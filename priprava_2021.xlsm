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klima\Documents\SKV\pripravy\"/>
    </mc:Choice>
  </mc:AlternateContent>
  <workbookProtection workbookAlgorithmName="SHA-512" workbookHashValue="Dl3wbWNYjFj7JSV3KIEJCfEk9UE1xrRcoClzXzSg1IqbUB/jQJ1xPpc1nBKA1J6WPN945fcezTmBBUVmfXrjAA==" workbookSaltValue="wGJT/iBrHNNIwydYt+ECdQ==" workbookSpinCount="100000" lockStructure="1"/>
  <bookViews>
    <workbookView xWindow="-120" yWindow="-120" windowWidth="29040" windowHeight="15840" firstSheet="1" activeTab="1"/>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 name="CLP" sheetId="23" r:id="rId20"/>
    <sheet name="CLP_nej" sheetId="24" state="hidden" r:id="rId21"/>
    <sheet name="LIB" sheetId="25" r:id="rId22"/>
    <sheet name="LIB_nej" sheetId="26" state="hidden" r:id="rId23"/>
    <sheet name="HAT" sheetId="27" r:id="rId24"/>
    <sheet name="HAT_nej" sheetId="28" state="hidden" r:id="rId25"/>
  </sheets>
  <definedNames>
    <definedName name="BOH_bestof" localSheetId="16">BOH_nej!$B$1:$C$30</definedName>
    <definedName name="BOH_goalies" localSheetId="15">BOH!$A$39:$O$41</definedName>
    <definedName name="BOH_players" localSheetId="15">BOH!$A$2:$N$30</definedName>
    <definedName name="BOH_zapasy" localSheetId="16">BOH_nej!$B$31:$D$41</definedName>
    <definedName name="CLP_bestof_1" localSheetId="20">CLP_nej!$B$1:$C$30</definedName>
    <definedName name="CLP_goalies" localSheetId="19">CLP!$A$39:$O$42</definedName>
    <definedName name="CLP_players" localSheetId="19">CLP!$A$2:$N$39</definedName>
    <definedName name="CLP_zapasy" localSheetId="20">CLP_nej!$B$31:$D$41</definedName>
    <definedName name="HAT_bestof" localSheetId="24">HAT_nej!$B$1:$C$30</definedName>
    <definedName name="HAT_goalies" localSheetId="23">HAT!$A$39:$O$41</definedName>
    <definedName name="HAT_players" localSheetId="23">HAT!$A$2:$N$28</definedName>
    <definedName name="HAT_zapasy" localSheetId="24">HAT_nej!$B$31:$D$41</definedName>
    <definedName name="CHO_bestof" localSheetId="6">CHO_nej!$B$1:$C$30</definedName>
    <definedName name="CHO_goalies" localSheetId="5">CHO!$A$39:$O$42</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1" localSheetId="5">CHO!$A$2:$N$30</definedName>
    <definedName name="CHO_zapasy" localSheetId="6">CHO_nej!$B$31:$D$41</definedName>
    <definedName name="LIB_bestof" localSheetId="22">LIB_nej!$B$1:$C$30</definedName>
    <definedName name="LIB_goalies" localSheetId="21">LIB!$A$39:$O$42</definedName>
    <definedName name="LIB_players" localSheetId="21">LIB!$A$2:$N$29</definedName>
    <definedName name="LIB_zapasy" localSheetId="22">LIB_nej!$B$31:$D$41</definedName>
    <definedName name="MB_bestof" localSheetId="10">MB_nej!$B$1:$C$30</definedName>
    <definedName name="MB_goalies" localSheetId="9">MB!$A$39:$O$42</definedName>
    <definedName name="MB_players" localSheetId="9">MB!$A$2:$N$29</definedName>
    <definedName name="MB_zapasy" localSheetId="10">MB_nej!$B$31:$D$41</definedName>
    <definedName name="OTR_bestof" localSheetId="14">OTR_nej!$B$1:$C$30</definedName>
    <definedName name="OTR_goalies" localSheetId="13">OTR!$A$39:$O$42</definedName>
    <definedName name="OTR_players" localSheetId="13">OTR!$A$2:$N$36</definedName>
    <definedName name="OTR_zapasy" localSheetId="14">OTR_nej!$B$31:$D$41</definedName>
    <definedName name="SKV_bestof" localSheetId="4">SKV_nej!$B$1:$C$30</definedName>
    <definedName name="SKV_goalies_1" localSheetId="3">SKV!$A$39:$O$42</definedName>
    <definedName name="SKV_players" localSheetId="3">SKV!$A$2:$N$32</definedName>
    <definedName name="SKV_zapasy" localSheetId="4">SKV_nej!$B$31:$D$41</definedName>
    <definedName name="SPA_bestof" localSheetId="18">SPA_nej!$B$1:$C$30</definedName>
    <definedName name="SPA_goalies" localSheetId="17">SPA!$A$39:$O$41</definedName>
    <definedName name="SPA_players" localSheetId="17">SPA!$A$2:$N$29</definedName>
    <definedName name="SPA_zapasy" localSheetId="18">SPA_nej!$B$31:$D$41</definedName>
    <definedName name="tabulka" localSheetId="2">Tabulka!$A$26:$AG$39</definedName>
    <definedName name="TAT_bestof" localSheetId="12">TAT_nej!$B$1:$C$30</definedName>
    <definedName name="TAT_goalies" localSheetId="11">TAT!$A$39:$O$41</definedName>
    <definedName name="TAT_players" localSheetId="11">TAT!$A$2:$N$31</definedName>
    <definedName name="TAT_zapasy" localSheetId="12">TAT_nej!$B$31:$D$41</definedName>
    <definedName name="VIT_bestof" localSheetId="8">VIT_nej!$B$1:$C$30</definedName>
    <definedName name="VIT_goalies" localSheetId="7">VIT!$A$39:$O$41</definedName>
    <definedName name="VIT_players" localSheetId="7">VIT!$A$2:$N$28</definedName>
    <definedName name="VIT_zapasy" localSheetId="8">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I50" i="1" l="1"/>
  <c r="GH50" i="1"/>
  <c r="GL49" i="1"/>
  <c r="GI48" i="1"/>
  <c r="GH48" i="1"/>
  <c r="FZ48" i="1"/>
  <c r="FY48" i="1"/>
  <c r="GL47" i="1"/>
  <c r="GC47" i="1"/>
  <c r="GO44" i="1"/>
  <c r="GL44" i="1"/>
  <c r="GI44" i="1"/>
  <c r="GH44" i="1"/>
  <c r="GD44" i="1"/>
  <c r="GB44" i="1"/>
  <c r="FY44" i="1"/>
  <c r="GN43" i="1"/>
  <c r="GL43" i="1"/>
  <c r="GK43" i="1"/>
  <c r="GI43" i="1"/>
  <c r="GH43" i="1"/>
  <c r="GC43" i="1"/>
  <c r="GA43" i="1"/>
  <c r="FY43" i="1"/>
  <c r="GP42" i="1"/>
  <c r="GO42" i="1"/>
  <c r="GD42" i="1"/>
  <c r="GB42" i="1"/>
  <c r="FZ42" i="1"/>
  <c r="FY42" i="1"/>
  <c r="GC41" i="1"/>
  <c r="GB41" i="1"/>
  <c r="FZ41" i="1"/>
  <c r="FY41" i="1"/>
  <c r="GO40" i="1"/>
  <c r="GL40" i="1"/>
  <c r="GI40" i="1"/>
  <c r="GH40" i="1"/>
  <c r="GD40" i="1"/>
  <c r="GC40" i="1"/>
  <c r="GN39" i="1"/>
  <c r="GL39" i="1"/>
  <c r="GK39" i="1"/>
  <c r="GI39" i="1"/>
  <c r="GH39" i="1"/>
  <c r="GP38" i="1"/>
  <c r="GO38" i="1"/>
  <c r="GD38" i="1"/>
  <c r="GB38" i="1"/>
  <c r="FY38" i="1"/>
  <c r="GC37" i="1"/>
  <c r="GA37" i="1"/>
  <c r="FY37" i="1"/>
  <c r="GO36" i="1"/>
  <c r="GL36" i="1"/>
  <c r="GI36" i="1"/>
  <c r="GH36" i="1"/>
  <c r="GD36" i="1"/>
  <c r="GB36" i="1"/>
  <c r="FZ36" i="1"/>
  <c r="FY36" i="1"/>
  <c r="GN35" i="1"/>
  <c r="GL35" i="1"/>
  <c r="GK35" i="1"/>
  <c r="GI35" i="1"/>
  <c r="GH35" i="1"/>
  <c r="GC35" i="1"/>
  <c r="GB35" i="1"/>
  <c r="FZ35" i="1"/>
  <c r="FY35" i="1"/>
  <c r="GP34" i="1"/>
  <c r="GO34" i="1"/>
  <c r="GD34" i="1"/>
  <c r="GC34" i="1"/>
  <c r="GP31" i="1"/>
  <c r="GN31" i="1"/>
  <c r="GK31" i="1"/>
  <c r="GD31" i="1"/>
  <c r="GB31" i="1"/>
  <c r="FY31" i="1"/>
  <c r="GN30" i="1"/>
  <c r="GK30" i="1"/>
  <c r="GB30" i="1"/>
  <c r="FY30" i="1"/>
  <c r="GO29" i="1"/>
  <c r="GN29" i="1"/>
  <c r="GL29" i="1"/>
  <c r="GK29" i="1"/>
  <c r="GC29" i="1"/>
  <c r="GB29" i="1"/>
  <c r="FZ29" i="1"/>
  <c r="FY29" i="1"/>
  <c r="GP28" i="1"/>
  <c r="GO28" i="1"/>
  <c r="GJ28" i="1"/>
  <c r="GH28" i="1"/>
  <c r="GE28" i="1"/>
  <c r="GD28" i="1"/>
  <c r="GC28" i="1"/>
  <c r="GH27" i="1"/>
  <c r="GE27" i="1"/>
  <c r="GP26" i="1"/>
  <c r="GN26" i="1"/>
  <c r="GK26" i="1"/>
  <c r="GI26" i="1"/>
  <c r="GH26" i="1"/>
  <c r="GF26" i="1"/>
  <c r="GE26" i="1"/>
  <c r="GD26" i="1"/>
  <c r="GB26" i="1"/>
  <c r="FY26" i="1"/>
  <c r="GN25" i="1"/>
  <c r="GK25" i="1"/>
  <c r="GJ25" i="1"/>
  <c r="GI25" i="1"/>
  <c r="GB25" i="1"/>
  <c r="FY25" i="1"/>
  <c r="GO24" i="1"/>
  <c r="GN24" i="1"/>
  <c r="GL24" i="1"/>
  <c r="GK24" i="1"/>
  <c r="GC24" i="1"/>
  <c r="GB24" i="1"/>
  <c r="FZ24" i="1"/>
  <c r="FY24" i="1"/>
  <c r="GP23" i="1"/>
  <c r="GO23" i="1"/>
  <c r="GD23" i="1"/>
  <c r="GC23" i="1"/>
  <c r="GP20" i="1"/>
  <c r="GN20" i="1"/>
  <c r="GK20" i="1"/>
  <c r="GD20" i="1"/>
  <c r="GB20" i="1"/>
  <c r="FY20" i="1"/>
  <c r="GN19" i="1"/>
  <c r="GK19" i="1"/>
  <c r="GB19" i="1"/>
  <c r="FY19" i="1"/>
  <c r="GO18" i="1"/>
  <c r="GN18" i="1"/>
  <c r="GL18" i="1"/>
  <c r="GK18" i="1"/>
  <c r="GC18" i="1"/>
  <c r="GB18" i="1"/>
  <c r="FZ18" i="1"/>
  <c r="FY18" i="1"/>
  <c r="GP17" i="1"/>
  <c r="GO17" i="1"/>
  <c r="GJ17" i="1"/>
  <c r="GH17" i="1"/>
  <c r="GE17" i="1"/>
  <c r="GD17" i="1"/>
  <c r="GC17" i="1"/>
  <c r="GH16" i="1"/>
  <c r="GE16" i="1"/>
  <c r="GP15" i="1"/>
  <c r="GN15" i="1"/>
  <c r="GK15" i="1"/>
  <c r="GI15" i="1"/>
  <c r="GH15" i="1"/>
  <c r="GF15" i="1"/>
  <c r="GE15" i="1"/>
  <c r="GD15" i="1"/>
  <c r="GB15" i="1"/>
  <c r="FY15" i="1"/>
  <c r="GN14" i="1"/>
  <c r="GK14" i="1"/>
  <c r="GJ14" i="1"/>
  <c r="GI14" i="1"/>
  <c r="GB14" i="1"/>
  <c r="FY14" i="1"/>
  <c r="GO13" i="1"/>
  <c r="GN13" i="1"/>
  <c r="GL13" i="1"/>
  <c r="GK13" i="1"/>
  <c r="GC13" i="1"/>
  <c r="GB13" i="1"/>
  <c r="FZ13" i="1"/>
  <c r="FY13" i="1"/>
  <c r="GP12" i="1"/>
  <c r="GO12" i="1"/>
  <c r="GD12" i="1"/>
  <c r="GC12" i="1"/>
  <c r="GP9" i="1"/>
  <c r="GN9" i="1"/>
  <c r="GK9" i="1"/>
  <c r="GD9" i="1"/>
  <c r="GB9" i="1"/>
  <c r="FY9" i="1"/>
  <c r="GN8" i="1"/>
  <c r="GK8" i="1"/>
  <c r="GB8" i="1"/>
  <c r="FY8" i="1"/>
  <c r="GO7" i="1"/>
  <c r="GN7" i="1"/>
  <c r="GL7" i="1"/>
  <c r="GK7" i="1"/>
  <c r="GC7" i="1"/>
  <c r="GB7" i="1"/>
  <c r="FZ7" i="1"/>
  <c r="FY7" i="1"/>
  <c r="GP6" i="1"/>
  <c r="GO6" i="1"/>
  <c r="GJ6" i="1"/>
  <c r="GH6" i="1"/>
  <c r="GE6" i="1"/>
  <c r="GD6" i="1"/>
  <c r="GC6" i="1"/>
  <c r="GH5" i="1"/>
  <c r="GE5" i="1"/>
  <c r="GP4" i="1"/>
  <c r="GN4" i="1"/>
  <c r="GK4" i="1"/>
  <c r="GI4" i="1"/>
  <c r="GH4" i="1"/>
  <c r="GF4" i="1"/>
  <c r="GE4" i="1"/>
  <c r="GD4" i="1"/>
  <c r="GB4" i="1"/>
  <c r="FY4" i="1"/>
  <c r="GN3" i="1"/>
  <c r="GK3" i="1"/>
  <c r="GJ3" i="1"/>
  <c r="GI3" i="1"/>
  <c r="GB3" i="1"/>
  <c r="FY3" i="1"/>
  <c r="GO2" i="1"/>
  <c r="GN2" i="1"/>
  <c r="GL2" i="1"/>
  <c r="GK2" i="1"/>
  <c r="GC2" i="1"/>
  <c r="GB2" i="1"/>
  <c r="FZ2" i="1"/>
  <c r="FY2" i="1"/>
  <c r="GP1" i="1"/>
  <c r="GO1" i="1"/>
  <c r="GD1" i="1"/>
  <c r="GC1" i="1"/>
  <c r="GF30" i="1"/>
  <c r="GF19" i="1"/>
  <c r="E40" i="28"/>
  <c r="E39" i="28"/>
  <c r="E38" i="28"/>
  <c r="E37" i="28"/>
  <c r="E36" i="28"/>
  <c r="E35" i="28"/>
  <c r="E34" i="28"/>
  <c r="E33" i="28"/>
  <c r="E32" i="28"/>
  <c r="E31" i="28"/>
  <c r="D30" i="28"/>
  <c r="D29" i="28"/>
  <c r="D28" i="28"/>
  <c r="D27" i="28"/>
  <c r="D26" i="28"/>
  <c r="D25" i="28"/>
  <c r="D24" i="28"/>
  <c r="D23" i="28"/>
  <c r="D22" i="28"/>
  <c r="D21" i="28"/>
  <c r="F20" i="28"/>
  <c r="D20" i="28"/>
  <c r="F19" i="28"/>
  <c r="D19" i="28"/>
  <c r="F18" i="28"/>
  <c r="D18" i="28"/>
  <c r="F17" i="28"/>
  <c r="D17" i="28"/>
  <c r="F16" i="28"/>
  <c r="D16" i="28"/>
  <c r="D15" i="28"/>
  <c r="D14" i="28"/>
  <c r="D13" i="28"/>
  <c r="D12" i="28"/>
  <c r="D11" i="28"/>
  <c r="F10" i="28"/>
  <c r="D10" i="28"/>
  <c r="F9" i="28"/>
  <c r="D9" i="28"/>
  <c r="F8" i="28"/>
  <c r="D8" i="28"/>
  <c r="F7" i="28"/>
  <c r="D7" i="28"/>
  <c r="F6" i="28"/>
  <c r="D6" i="28"/>
  <c r="D5" i="28"/>
  <c r="D4" i="28"/>
  <c r="D3" i="28"/>
  <c r="D2" i="28"/>
  <c r="D1" i="28"/>
  <c r="D92" i="27"/>
  <c r="D91" i="27"/>
  <c r="D90" i="27"/>
  <c r="A84" i="27"/>
  <c r="D89" i="27" s="1"/>
  <c r="W82" i="27"/>
  <c r="V82" i="27"/>
  <c r="U82" i="27"/>
  <c r="T82" i="27"/>
  <c r="S82" i="27"/>
  <c r="P82" i="27"/>
  <c r="O82" i="27"/>
  <c r="H82" i="27"/>
  <c r="D82" i="27"/>
  <c r="W81" i="27"/>
  <c r="V81" i="27"/>
  <c r="U81" i="27"/>
  <c r="T81" i="27"/>
  <c r="S81" i="27"/>
  <c r="P81" i="27"/>
  <c r="O81" i="27"/>
  <c r="H81" i="27"/>
  <c r="D81" i="27"/>
  <c r="W80" i="27"/>
  <c r="V80" i="27"/>
  <c r="U80" i="27"/>
  <c r="T80" i="27"/>
  <c r="S80" i="27"/>
  <c r="P80" i="27"/>
  <c r="O80" i="27"/>
  <c r="H80" i="27"/>
  <c r="D80" i="27"/>
  <c r="W79" i="27"/>
  <c r="V79" i="27"/>
  <c r="U79" i="27"/>
  <c r="T79" i="27"/>
  <c r="S79" i="27"/>
  <c r="P79" i="27"/>
  <c r="O79" i="27"/>
  <c r="H79" i="27"/>
  <c r="D79" i="27"/>
  <c r="W78" i="27"/>
  <c r="V78" i="27"/>
  <c r="U78" i="27"/>
  <c r="T78" i="27"/>
  <c r="S78" i="27"/>
  <c r="P78" i="27"/>
  <c r="O78" i="27"/>
  <c r="H78" i="27"/>
  <c r="D78" i="27"/>
  <c r="W77" i="27"/>
  <c r="V77" i="27"/>
  <c r="U77" i="27"/>
  <c r="T77" i="27"/>
  <c r="S77" i="27"/>
  <c r="P77" i="27"/>
  <c r="O77" i="27"/>
  <c r="H77" i="27"/>
  <c r="D77" i="27"/>
  <c r="W76" i="27"/>
  <c r="V76" i="27"/>
  <c r="U76" i="27"/>
  <c r="T76" i="27"/>
  <c r="S76" i="27"/>
  <c r="P76" i="27"/>
  <c r="O76" i="27"/>
  <c r="H76" i="27"/>
  <c r="D76" i="27"/>
  <c r="W75" i="27"/>
  <c r="U75" i="27"/>
  <c r="V75" i="27" s="1"/>
  <c r="T75" i="27" s="1"/>
  <c r="S75" i="27"/>
  <c r="P75" i="27"/>
  <c r="O75" i="27"/>
  <c r="H75" i="27"/>
  <c r="W60" i="27"/>
  <c r="U60" i="27"/>
  <c r="S60" i="27"/>
  <c r="P60" i="27"/>
  <c r="H60" i="27"/>
  <c r="O60" i="27" s="1"/>
  <c r="W62" i="27"/>
  <c r="U62" i="27"/>
  <c r="S62" i="27"/>
  <c r="P62" i="27"/>
  <c r="O62" i="27"/>
  <c r="H62" i="27"/>
  <c r="W74" i="27"/>
  <c r="U74" i="27"/>
  <c r="S74" i="27"/>
  <c r="P74" i="27"/>
  <c r="H74" i="27"/>
  <c r="O74" i="27" s="1"/>
  <c r="W52" i="27"/>
  <c r="U52" i="27"/>
  <c r="S52" i="27"/>
  <c r="P52" i="27"/>
  <c r="H52" i="27"/>
  <c r="O52" i="27" s="1"/>
  <c r="W66" i="27"/>
  <c r="U66" i="27"/>
  <c r="S66" i="27"/>
  <c r="P66" i="27"/>
  <c r="H66" i="27"/>
  <c r="O66" i="27" s="1"/>
  <c r="W55" i="27"/>
  <c r="U55" i="27"/>
  <c r="S55" i="27"/>
  <c r="P55" i="27"/>
  <c r="H55" i="27"/>
  <c r="O55" i="27" s="1"/>
  <c r="W63" i="27"/>
  <c r="U63" i="27"/>
  <c r="S63" i="27"/>
  <c r="P63" i="27"/>
  <c r="H63" i="27"/>
  <c r="O63" i="27" s="1"/>
  <c r="W67" i="27"/>
  <c r="U67" i="27"/>
  <c r="S67" i="27"/>
  <c r="P67" i="27"/>
  <c r="O67" i="27"/>
  <c r="H67" i="27"/>
  <c r="W56" i="27"/>
  <c r="U56" i="27"/>
  <c r="S56" i="27"/>
  <c r="P56" i="27"/>
  <c r="H56" i="27"/>
  <c r="O56" i="27" s="1"/>
  <c r="W54" i="27"/>
  <c r="U54" i="27"/>
  <c r="S54" i="27"/>
  <c r="P54" i="27"/>
  <c r="H54" i="27"/>
  <c r="O54" i="27" s="1"/>
  <c r="W64" i="27"/>
  <c r="U64" i="27"/>
  <c r="S64" i="27"/>
  <c r="P64" i="27"/>
  <c r="H64" i="27"/>
  <c r="O64" i="27" s="1"/>
  <c r="W50" i="27"/>
  <c r="U50" i="27"/>
  <c r="S50" i="27"/>
  <c r="P50" i="27"/>
  <c r="O50" i="27"/>
  <c r="H50" i="27"/>
  <c r="W65" i="27"/>
  <c r="U65" i="27"/>
  <c r="S65" i="27"/>
  <c r="P65" i="27"/>
  <c r="H65" i="27"/>
  <c r="O65" i="27" s="1"/>
  <c r="W70" i="27"/>
  <c r="U70" i="27"/>
  <c r="S70" i="27"/>
  <c r="P70" i="27"/>
  <c r="H70" i="27"/>
  <c r="O70" i="27" s="1"/>
  <c r="W49" i="27"/>
  <c r="U49" i="27"/>
  <c r="S49" i="27"/>
  <c r="P49" i="27"/>
  <c r="H49" i="27"/>
  <c r="O49" i="27" s="1"/>
  <c r="W57" i="27"/>
  <c r="U57" i="27"/>
  <c r="S57" i="27"/>
  <c r="P57" i="27"/>
  <c r="H57" i="27"/>
  <c r="O57" i="27" s="1"/>
  <c r="W51" i="27"/>
  <c r="U51" i="27"/>
  <c r="S51" i="27"/>
  <c r="P51" i="27"/>
  <c r="H51" i="27"/>
  <c r="O51" i="27" s="1"/>
  <c r="W71" i="27"/>
  <c r="U71" i="27"/>
  <c r="S71" i="27"/>
  <c r="P71" i="27"/>
  <c r="O71" i="27"/>
  <c r="H71" i="27"/>
  <c r="W73" i="27"/>
  <c r="U73" i="27"/>
  <c r="S73" i="27"/>
  <c r="P73" i="27"/>
  <c r="H73" i="27"/>
  <c r="O73" i="27" s="1"/>
  <c r="W58" i="27"/>
  <c r="U58" i="27"/>
  <c r="S58" i="27"/>
  <c r="P58" i="27"/>
  <c r="O58" i="27"/>
  <c r="H58" i="27"/>
  <c r="D58" i="27"/>
  <c r="W61" i="27"/>
  <c r="U61" i="27"/>
  <c r="S61" i="27"/>
  <c r="P61" i="27"/>
  <c r="H61" i="27"/>
  <c r="O61" i="27" s="1"/>
  <c r="W53" i="27"/>
  <c r="U53" i="27"/>
  <c r="S53" i="27"/>
  <c r="P53" i="27"/>
  <c r="H53" i="27"/>
  <c r="O53" i="27" s="1"/>
  <c r="W72" i="27"/>
  <c r="U72" i="27"/>
  <c r="S72" i="27"/>
  <c r="P72" i="27"/>
  <c r="H72" i="27"/>
  <c r="O72" i="27" s="1"/>
  <c r="W68" i="27"/>
  <c r="U68" i="27"/>
  <c r="S68" i="27"/>
  <c r="P68" i="27"/>
  <c r="H68" i="27"/>
  <c r="O68" i="27" s="1"/>
  <c r="W48" i="27"/>
  <c r="U48" i="27"/>
  <c r="S48" i="27"/>
  <c r="P48" i="27"/>
  <c r="H48" i="27"/>
  <c r="O48" i="27" s="1"/>
  <c r="W59" i="27"/>
  <c r="U59" i="27"/>
  <c r="S59" i="27"/>
  <c r="P59" i="27"/>
  <c r="O59" i="27"/>
  <c r="H59" i="27"/>
  <c r="W69" i="27"/>
  <c r="U69" i="27"/>
  <c r="V63" i="27" s="1"/>
  <c r="T63" i="27" s="1"/>
  <c r="S69" i="27"/>
  <c r="P69" i="27"/>
  <c r="H69" i="27"/>
  <c r="O69" i="27" s="1"/>
  <c r="A47" i="27"/>
  <c r="D75" i="27" s="1"/>
  <c r="R45" i="27"/>
  <c r="Q45" i="27"/>
  <c r="P45" i="27"/>
  <c r="R44" i="27"/>
  <c r="Q44" i="27"/>
  <c r="P44" i="27"/>
  <c r="R43" i="27"/>
  <c r="Q43" i="27"/>
  <c r="P43" i="27"/>
  <c r="R42" i="27"/>
  <c r="Q42" i="27"/>
  <c r="P42" i="27"/>
  <c r="R41" i="27"/>
  <c r="Q41" i="27"/>
  <c r="P41" i="27"/>
  <c r="R40" i="27"/>
  <c r="Q40" i="27"/>
  <c r="P40" i="27"/>
  <c r="R39" i="27"/>
  <c r="Q39" i="27"/>
  <c r="P39" i="27"/>
  <c r="P36" i="27"/>
  <c r="O36" i="27"/>
  <c r="P35" i="27"/>
  <c r="O35" i="27"/>
  <c r="P34" i="27"/>
  <c r="O34" i="27"/>
  <c r="P33" i="27"/>
  <c r="O33" i="27"/>
  <c r="P32" i="27"/>
  <c r="O32" i="27"/>
  <c r="P31" i="27"/>
  <c r="O31" i="27"/>
  <c r="P30" i="27"/>
  <c r="O30" i="27"/>
  <c r="P29" i="27"/>
  <c r="O29" i="27"/>
  <c r="P28" i="27"/>
  <c r="O28" i="27"/>
  <c r="P27" i="27"/>
  <c r="O27" i="27"/>
  <c r="P26" i="27"/>
  <c r="O26" i="27"/>
  <c r="P25" i="27"/>
  <c r="O25" i="27"/>
  <c r="P24" i="27"/>
  <c r="O24" i="27"/>
  <c r="P23" i="27"/>
  <c r="O23" i="27"/>
  <c r="P22" i="27"/>
  <c r="O22" i="27"/>
  <c r="P21" i="27"/>
  <c r="O21" i="27"/>
  <c r="P20" i="27"/>
  <c r="O20" i="27"/>
  <c r="P19" i="27"/>
  <c r="O19" i="27"/>
  <c r="P18" i="27"/>
  <c r="O18" i="27"/>
  <c r="P17" i="27"/>
  <c r="O17" i="27"/>
  <c r="P16" i="27"/>
  <c r="O16" i="27"/>
  <c r="P15" i="27"/>
  <c r="O15" i="27"/>
  <c r="P14" i="27"/>
  <c r="O14" i="27"/>
  <c r="P13" i="27"/>
  <c r="O13" i="27"/>
  <c r="P12" i="27"/>
  <c r="O12" i="27"/>
  <c r="P11" i="27"/>
  <c r="O11" i="27"/>
  <c r="P10" i="27"/>
  <c r="O10" i="27"/>
  <c r="P9" i="27"/>
  <c r="O9" i="27"/>
  <c r="P8" i="27"/>
  <c r="O8" i="27"/>
  <c r="P7" i="27"/>
  <c r="O7" i="27"/>
  <c r="P6" i="27"/>
  <c r="O6" i="27"/>
  <c r="P5" i="27"/>
  <c r="O5" i="27"/>
  <c r="P4" i="27"/>
  <c r="O4" i="27"/>
  <c r="P3" i="27"/>
  <c r="O3" i="27"/>
  <c r="P2" i="27"/>
  <c r="O2" i="27"/>
  <c r="V68" i="27" l="1"/>
  <c r="T68" i="27" s="1"/>
  <c r="V61" i="27"/>
  <c r="T61" i="27" s="1"/>
  <c r="V67" i="27"/>
  <c r="T67" i="27" s="1"/>
  <c r="V62" i="27"/>
  <c r="T62" i="27" s="1"/>
  <c r="V49" i="27"/>
  <c r="T49" i="27" s="1"/>
  <c r="V71" i="27"/>
  <c r="T71" i="27" s="1"/>
  <c r="V50" i="27"/>
  <c r="T50" i="27" s="1"/>
  <c r="V55" i="27"/>
  <c r="T55" i="27" s="1"/>
  <c r="V74" i="27"/>
  <c r="T74" i="27" s="1"/>
  <c r="V73" i="27"/>
  <c r="T73" i="27" s="1"/>
  <c r="V59" i="27"/>
  <c r="T59" i="27" s="1"/>
  <c r="V57" i="27"/>
  <c r="T57" i="27" s="1"/>
  <c r="V54" i="27"/>
  <c r="T54" i="27" s="1"/>
  <c r="V52" i="27"/>
  <c r="T52" i="27" s="1"/>
  <c r="V72" i="27"/>
  <c r="T72" i="27" s="1"/>
  <c r="V70" i="27"/>
  <c r="T70" i="27" s="1"/>
  <c r="V64" i="27"/>
  <c r="T64" i="27" s="1"/>
  <c r="D68" i="27"/>
  <c r="D67" i="27"/>
  <c r="D48" i="27"/>
  <c r="D61" i="27"/>
  <c r="D59" i="27"/>
  <c r="D86" i="27"/>
  <c r="D57" i="27"/>
  <c r="D53" i="27"/>
  <c r="D51" i="27"/>
  <c r="D54" i="27"/>
  <c r="D55" i="27"/>
  <c r="D71" i="27"/>
  <c r="D70" i="27"/>
  <c r="D72" i="27"/>
  <c r="V53" i="27"/>
  <c r="T53" i="27" s="1"/>
  <c r="D49" i="27"/>
  <c r="D63" i="27"/>
  <c r="D85" i="27"/>
  <c r="V58" i="27"/>
  <c r="T58" i="27" s="1"/>
  <c r="D65" i="27"/>
  <c r="D66" i="27"/>
  <c r="D87" i="27"/>
  <c r="V66" i="27"/>
  <c r="T66" i="27" s="1"/>
  <c r="V69" i="27"/>
  <c r="T69" i="27" s="1"/>
  <c r="D50" i="27"/>
  <c r="D52" i="27"/>
  <c r="D88" i="27"/>
  <c r="D69" i="27"/>
  <c r="D73" i="27"/>
  <c r="D64" i="27"/>
  <c r="D74" i="27"/>
  <c r="V65" i="27"/>
  <c r="T65" i="27" s="1"/>
  <c r="V48" i="27"/>
  <c r="T48" i="27" s="1"/>
  <c r="V51" i="27"/>
  <c r="T51" i="27" s="1"/>
  <c r="V56" i="27"/>
  <c r="T56" i="27" s="1"/>
  <c r="D62" i="27"/>
  <c r="V60" i="27"/>
  <c r="T60" i="27" s="1"/>
  <c r="D56" i="27"/>
  <c r="D60" i="27"/>
  <c r="S57" i="2"/>
  <c r="S62" i="2"/>
  <c r="FQ50" i="1" l="1"/>
  <c r="FT49" i="1"/>
  <c r="FQ48" i="1"/>
  <c r="FH48" i="1"/>
  <c r="FT47" i="1"/>
  <c r="FK47" i="1"/>
  <c r="FW44" i="1"/>
  <c r="FT44" i="1"/>
  <c r="FP44" i="1"/>
  <c r="FL44" i="1"/>
  <c r="FJ44" i="1"/>
  <c r="FG44" i="1"/>
  <c r="FQ43" i="1"/>
  <c r="FP43" i="1"/>
  <c r="FG43" i="1"/>
  <c r="FX42" i="1"/>
  <c r="FW42" i="1"/>
  <c r="FJ42" i="1"/>
  <c r="FG42" i="1"/>
  <c r="FK41" i="1"/>
  <c r="FH41" i="1"/>
  <c r="FG41" i="1"/>
  <c r="FW40" i="1"/>
  <c r="FT40" i="1"/>
  <c r="FP40" i="1"/>
  <c r="FL40" i="1"/>
  <c r="FK40" i="1"/>
  <c r="FQ39" i="1"/>
  <c r="FP39" i="1"/>
  <c r="FX38" i="1"/>
  <c r="FW38" i="1"/>
  <c r="FL38" i="1"/>
  <c r="FJ38" i="1"/>
  <c r="FG38" i="1"/>
  <c r="FG37" i="1"/>
  <c r="FW36" i="1"/>
  <c r="FT36" i="1"/>
  <c r="FP36" i="1"/>
  <c r="FJ36" i="1"/>
  <c r="FG36" i="1"/>
  <c r="FQ35" i="1"/>
  <c r="FP35" i="1"/>
  <c r="FH35" i="1"/>
  <c r="FG35" i="1"/>
  <c r="FX34" i="1"/>
  <c r="FW34" i="1"/>
  <c r="FL34" i="1"/>
  <c r="FK34" i="1"/>
  <c r="FX31" i="1"/>
  <c r="FV31" i="1"/>
  <c r="FS31" i="1"/>
  <c r="FL31" i="1"/>
  <c r="FJ31" i="1"/>
  <c r="FG31" i="1"/>
  <c r="FT29" i="1"/>
  <c r="FS29" i="1"/>
  <c r="FH29" i="1"/>
  <c r="FG29" i="1"/>
  <c r="FX28" i="1"/>
  <c r="FW28" i="1"/>
  <c r="FR28" i="1"/>
  <c r="FP28" i="1"/>
  <c r="FM28" i="1"/>
  <c r="FL28" i="1"/>
  <c r="FK28" i="1"/>
  <c r="FX26" i="1"/>
  <c r="FV26" i="1"/>
  <c r="FS26" i="1"/>
  <c r="FN26" i="1"/>
  <c r="FM26" i="1"/>
  <c r="FL26" i="1"/>
  <c r="FJ26" i="1"/>
  <c r="FG26" i="1"/>
  <c r="FR25" i="1"/>
  <c r="FQ25" i="1"/>
  <c r="FT24" i="1"/>
  <c r="FS24" i="1"/>
  <c r="FH24" i="1"/>
  <c r="FG24" i="1"/>
  <c r="FX23" i="1"/>
  <c r="FW23" i="1"/>
  <c r="FL23" i="1"/>
  <c r="FK23" i="1"/>
  <c r="FX20" i="1"/>
  <c r="FV20" i="1"/>
  <c r="FS20" i="1"/>
  <c r="FL20" i="1"/>
  <c r="FJ20" i="1"/>
  <c r="FG20" i="1"/>
  <c r="FT18" i="1"/>
  <c r="FS18" i="1"/>
  <c r="FH18" i="1"/>
  <c r="FG18" i="1"/>
  <c r="FX17" i="1"/>
  <c r="FW17" i="1"/>
  <c r="FR17" i="1"/>
  <c r="FP17" i="1"/>
  <c r="FM17" i="1"/>
  <c r="FL17" i="1"/>
  <c r="FK17" i="1"/>
  <c r="FX15" i="1"/>
  <c r="FV15" i="1"/>
  <c r="FS15" i="1"/>
  <c r="FN15" i="1"/>
  <c r="FM15" i="1"/>
  <c r="FL15" i="1"/>
  <c r="FJ15" i="1"/>
  <c r="FG15" i="1"/>
  <c r="FR14" i="1"/>
  <c r="FQ14" i="1"/>
  <c r="FT13" i="1"/>
  <c r="FS13" i="1"/>
  <c r="FH13" i="1"/>
  <c r="FG13" i="1"/>
  <c r="FX12" i="1"/>
  <c r="FW12" i="1"/>
  <c r="FL12" i="1"/>
  <c r="FK12" i="1"/>
  <c r="FX9" i="1"/>
  <c r="FV9" i="1"/>
  <c r="FS9" i="1"/>
  <c r="FL9" i="1"/>
  <c r="FJ9" i="1"/>
  <c r="FG9" i="1"/>
  <c r="FT7" i="1"/>
  <c r="FS7" i="1"/>
  <c r="FH7" i="1"/>
  <c r="FG7" i="1"/>
  <c r="FX6" i="1"/>
  <c r="FW6" i="1"/>
  <c r="FR6" i="1"/>
  <c r="FP6" i="1"/>
  <c r="FM6" i="1"/>
  <c r="FL6" i="1"/>
  <c r="FK6" i="1"/>
  <c r="FX4" i="1"/>
  <c r="FV4" i="1"/>
  <c r="FS4" i="1"/>
  <c r="FN4" i="1"/>
  <c r="FM4" i="1"/>
  <c r="FL4" i="1"/>
  <c r="FJ4" i="1"/>
  <c r="FG4" i="1"/>
  <c r="FR3" i="1"/>
  <c r="FQ3" i="1"/>
  <c r="FT2" i="1"/>
  <c r="FS2" i="1"/>
  <c r="FH2" i="1"/>
  <c r="FG2" i="1"/>
  <c r="FX1" i="1"/>
  <c r="FW1" i="1"/>
  <c r="FL1" i="1"/>
  <c r="FK1" i="1"/>
  <c r="FN30" i="1"/>
  <c r="FN19" i="1"/>
  <c r="EY50" i="1"/>
  <c r="EX50" i="1"/>
  <c r="FB49" i="1"/>
  <c r="EY48" i="1"/>
  <c r="EX48" i="1"/>
  <c r="EP48" i="1"/>
  <c r="EO48" i="1"/>
  <c r="FB47" i="1"/>
  <c r="ES47" i="1"/>
  <c r="FE44" i="1"/>
  <c r="FB44" i="1"/>
  <c r="EY44" i="1"/>
  <c r="EX44" i="1"/>
  <c r="ET44" i="1"/>
  <c r="ER44" i="1"/>
  <c r="EO44" i="1"/>
  <c r="FD43" i="1"/>
  <c r="FB43" i="1"/>
  <c r="FA43" i="1"/>
  <c r="EY43" i="1"/>
  <c r="EX43" i="1"/>
  <c r="ES43" i="1"/>
  <c r="EQ43" i="1"/>
  <c r="EO43" i="1"/>
  <c r="FF42" i="1"/>
  <c r="FE42" i="1"/>
  <c r="ET42" i="1"/>
  <c r="ER42" i="1"/>
  <c r="EP42" i="1"/>
  <c r="EO42" i="1"/>
  <c r="ES41" i="1"/>
  <c r="ER41" i="1"/>
  <c r="EP41" i="1"/>
  <c r="EO41" i="1"/>
  <c r="FE40" i="1"/>
  <c r="FB40" i="1"/>
  <c r="EY40" i="1"/>
  <c r="EX40" i="1"/>
  <c r="ET40" i="1"/>
  <c r="ES40" i="1"/>
  <c r="FD39" i="1"/>
  <c r="FB39" i="1"/>
  <c r="FA39" i="1"/>
  <c r="EY39" i="1"/>
  <c r="EX39" i="1"/>
  <c r="FF38" i="1"/>
  <c r="FE38" i="1"/>
  <c r="ET38" i="1"/>
  <c r="ER38" i="1"/>
  <c r="EO38" i="1"/>
  <c r="ES37" i="1"/>
  <c r="EQ37" i="1"/>
  <c r="EO37" i="1"/>
  <c r="FE36" i="1"/>
  <c r="FB36" i="1"/>
  <c r="EY36" i="1"/>
  <c r="EX36" i="1"/>
  <c r="ET36" i="1"/>
  <c r="ER36" i="1"/>
  <c r="EP36" i="1"/>
  <c r="EO36" i="1"/>
  <c r="FD35" i="1"/>
  <c r="FB35" i="1"/>
  <c r="FA35" i="1"/>
  <c r="EY35" i="1"/>
  <c r="EX35" i="1"/>
  <c r="ES35" i="1"/>
  <c r="ER35" i="1"/>
  <c r="EP35" i="1"/>
  <c r="EO35" i="1"/>
  <c r="FF34" i="1"/>
  <c r="FE34" i="1"/>
  <c r="ET34" i="1"/>
  <c r="ES34" i="1"/>
  <c r="FF31" i="1"/>
  <c r="FD31" i="1"/>
  <c r="FA31" i="1"/>
  <c r="ET31" i="1"/>
  <c r="ER31" i="1"/>
  <c r="EO31" i="1"/>
  <c r="FD30" i="1"/>
  <c r="FA30" i="1"/>
  <c r="ER30" i="1"/>
  <c r="EO30" i="1"/>
  <c r="FE29" i="1"/>
  <c r="FD29" i="1"/>
  <c r="FB29" i="1"/>
  <c r="FA29" i="1"/>
  <c r="ES29" i="1"/>
  <c r="ER29" i="1"/>
  <c r="EP29" i="1"/>
  <c r="EO29" i="1"/>
  <c r="FF28" i="1"/>
  <c r="FE28" i="1"/>
  <c r="EZ28" i="1"/>
  <c r="EX28" i="1"/>
  <c r="EU28" i="1"/>
  <c r="ET28" i="1"/>
  <c r="ES28" i="1"/>
  <c r="EX27" i="1"/>
  <c r="EU27" i="1"/>
  <c r="FF26" i="1"/>
  <c r="FD26" i="1"/>
  <c r="FA26" i="1"/>
  <c r="EY26" i="1"/>
  <c r="EX26" i="1"/>
  <c r="EV26" i="1"/>
  <c r="EU26" i="1"/>
  <c r="ET26" i="1"/>
  <c r="ER26" i="1"/>
  <c r="EO26" i="1"/>
  <c r="FD25" i="1"/>
  <c r="FA25" i="1"/>
  <c r="EZ25" i="1"/>
  <c r="EY25" i="1"/>
  <c r="ER25" i="1"/>
  <c r="EO25" i="1"/>
  <c r="FE24" i="1"/>
  <c r="FD24" i="1"/>
  <c r="FB24" i="1"/>
  <c r="FA24" i="1"/>
  <c r="ES24" i="1"/>
  <c r="ER24" i="1"/>
  <c r="EP24" i="1"/>
  <c r="EO24" i="1"/>
  <c r="FF23" i="1"/>
  <c r="FE23" i="1"/>
  <c r="ET23" i="1"/>
  <c r="ES23" i="1"/>
  <c r="FF20" i="1"/>
  <c r="FD20" i="1"/>
  <c r="FA20" i="1"/>
  <c r="ET20" i="1"/>
  <c r="ER20" i="1"/>
  <c r="EO20" i="1"/>
  <c r="FD19" i="1"/>
  <c r="FA19" i="1"/>
  <c r="ER19" i="1"/>
  <c r="EO19" i="1"/>
  <c r="FE18" i="1"/>
  <c r="FD18" i="1"/>
  <c r="FB18" i="1"/>
  <c r="FA18" i="1"/>
  <c r="ES18" i="1"/>
  <c r="ER18" i="1"/>
  <c r="EP18" i="1"/>
  <c r="EO18" i="1"/>
  <c r="FF17" i="1"/>
  <c r="FE17" i="1"/>
  <c r="EZ17" i="1"/>
  <c r="EX17" i="1"/>
  <c r="EU17" i="1"/>
  <c r="ET17" i="1"/>
  <c r="ES17" i="1"/>
  <c r="EX16" i="1"/>
  <c r="EU16" i="1"/>
  <c r="FF15" i="1"/>
  <c r="FD15" i="1"/>
  <c r="FA15" i="1"/>
  <c r="EY15" i="1"/>
  <c r="EX15" i="1"/>
  <c r="EV15" i="1"/>
  <c r="EU15" i="1"/>
  <c r="ET15" i="1"/>
  <c r="ER15" i="1"/>
  <c r="EO15" i="1"/>
  <c r="FD14" i="1"/>
  <c r="FA14" i="1"/>
  <c r="EZ14" i="1"/>
  <c r="EY14" i="1"/>
  <c r="ER14" i="1"/>
  <c r="EO14" i="1"/>
  <c r="FE13" i="1"/>
  <c r="FD13" i="1"/>
  <c r="FB13" i="1"/>
  <c r="FA13" i="1"/>
  <c r="ES13" i="1"/>
  <c r="ER13" i="1"/>
  <c r="EP13" i="1"/>
  <c r="EO13" i="1"/>
  <c r="FF12" i="1"/>
  <c r="FE12" i="1"/>
  <c r="ET12" i="1"/>
  <c r="ES12" i="1"/>
  <c r="FF9" i="1"/>
  <c r="FD9" i="1"/>
  <c r="FA9" i="1"/>
  <c r="ET9" i="1"/>
  <c r="ER9" i="1"/>
  <c r="EO9" i="1"/>
  <c r="FD8" i="1"/>
  <c r="FA8" i="1"/>
  <c r="ER8" i="1"/>
  <c r="EO8" i="1"/>
  <c r="FE7" i="1"/>
  <c r="FD7" i="1"/>
  <c r="FB7" i="1"/>
  <c r="FA7" i="1"/>
  <c r="ES7" i="1"/>
  <c r="ER7" i="1"/>
  <c r="EP7" i="1"/>
  <c r="EO7" i="1"/>
  <c r="FF6" i="1"/>
  <c r="FE6" i="1"/>
  <c r="EZ6" i="1"/>
  <c r="EX6" i="1"/>
  <c r="EU6" i="1"/>
  <c r="ET6" i="1"/>
  <c r="ES6" i="1"/>
  <c r="EX5" i="1"/>
  <c r="EU5" i="1"/>
  <c r="FF4" i="1"/>
  <c r="FD4" i="1"/>
  <c r="FA4" i="1"/>
  <c r="EY4" i="1"/>
  <c r="EX4" i="1"/>
  <c r="EV4" i="1"/>
  <c r="EU4" i="1"/>
  <c r="ET4" i="1"/>
  <c r="ER4" i="1"/>
  <c r="EO4" i="1"/>
  <c r="FD3" i="1"/>
  <c r="FA3" i="1"/>
  <c r="EZ3" i="1"/>
  <c r="EY3" i="1"/>
  <c r="ER3" i="1"/>
  <c r="EO3" i="1"/>
  <c r="FE2" i="1"/>
  <c r="FD2" i="1"/>
  <c r="FB2" i="1"/>
  <c r="FA2" i="1"/>
  <c r="ES2" i="1"/>
  <c r="EP2" i="1"/>
  <c r="EO2" i="1"/>
  <c r="FF1" i="1"/>
  <c r="FE1" i="1"/>
  <c r="ET1" i="1"/>
  <c r="ES1" i="1"/>
  <c r="EV30" i="1"/>
  <c r="EV19" i="1"/>
  <c r="E40" i="26" l="1"/>
  <c r="E39" i="26"/>
  <c r="E38" i="26"/>
  <c r="E37" i="26"/>
  <c r="E36" i="26"/>
  <c r="E35" i="26"/>
  <c r="E34" i="26"/>
  <c r="E33" i="26"/>
  <c r="E32" i="26"/>
  <c r="E31" i="26"/>
  <c r="D30" i="26"/>
  <c r="D29" i="26"/>
  <c r="D28" i="26"/>
  <c r="D27" i="26"/>
  <c r="D26" i="26"/>
  <c r="D25" i="26"/>
  <c r="D24" i="26"/>
  <c r="D23" i="26"/>
  <c r="D22" i="26"/>
  <c r="D21" i="26"/>
  <c r="F20" i="26"/>
  <c r="D20" i="26"/>
  <c r="F19" i="26"/>
  <c r="D19" i="26"/>
  <c r="F18" i="26"/>
  <c r="D18" i="26"/>
  <c r="F17" i="26"/>
  <c r="D17" i="26"/>
  <c r="F16" i="26"/>
  <c r="D16" i="26"/>
  <c r="D15" i="26"/>
  <c r="D14" i="26"/>
  <c r="D13" i="26"/>
  <c r="D12" i="26"/>
  <c r="D11" i="26"/>
  <c r="F10" i="26"/>
  <c r="D10" i="26"/>
  <c r="F9" i="26"/>
  <c r="D9" i="26"/>
  <c r="F8" i="26"/>
  <c r="D8" i="26"/>
  <c r="F7" i="26"/>
  <c r="D7" i="26"/>
  <c r="F6" i="26"/>
  <c r="D6" i="26"/>
  <c r="D5" i="26"/>
  <c r="D4" i="26"/>
  <c r="D3" i="26"/>
  <c r="D2" i="26"/>
  <c r="D1" i="26"/>
  <c r="P40" i="25"/>
  <c r="P41" i="25"/>
  <c r="FI43" i="1" s="1"/>
  <c r="P42" i="25"/>
  <c r="P43" i="25"/>
  <c r="P44" i="25"/>
  <c r="P45" i="25"/>
  <c r="P39" i="25"/>
  <c r="FI37" i="1" s="1"/>
  <c r="P40" i="23"/>
  <c r="P41" i="23"/>
  <c r="P42" i="23"/>
  <c r="P43" i="23"/>
  <c r="P44" i="23"/>
  <c r="P45" i="23"/>
  <c r="P39" i="23"/>
  <c r="D92" i="25"/>
  <c r="D91" i="25"/>
  <c r="D90" i="25"/>
  <c r="A84" i="25"/>
  <c r="D89" i="25" s="1"/>
  <c r="W82" i="25"/>
  <c r="U82" i="25"/>
  <c r="S82" i="25"/>
  <c r="P82" i="25"/>
  <c r="O82" i="25"/>
  <c r="H82" i="25"/>
  <c r="D82" i="25"/>
  <c r="W81" i="25"/>
  <c r="U81" i="25"/>
  <c r="S81" i="25"/>
  <c r="P81" i="25"/>
  <c r="O81" i="25"/>
  <c r="H81" i="25"/>
  <c r="D81" i="25"/>
  <c r="W80" i="25"/>
  <c r="U80" i="25"/>
  <c r="S80" i="25"/>
  <c r="P80" i="25"/>
  <c r="O80" i="25"/>
  <c r="H80" i="25"/>
  <c r="D80" i="25"/>
  <c r="W79" i="25"/>
  <c r="U79" i="25"/>
  <c r="S79" i="25"/>
  <c r="P79" i="25"/>
  <c r="H79" i="25"/>
  <c r="O79" i="25" s="1"/>
  <c r="D79" i="25"/>
  <c r="W78" i="25"/>
  <c r="U78" i="25"/>
  <c r="S78" i="25"/>
  <c r="P78" i="25"/>
  <c r="O78" i="25"/>
  <c r="H78" i="25"/>
  <c r="D78" i="25"/>
  <c r="W77" i="25"/>
  <c r="U77" i="25"/>
  <c r="S77" i="25"/>
  <c r="P77" i="25"/>
  <c r="O77" i="25"/>
  <c r="H77" i="25"/>
  <c r="D77" i="25"/>
  <c r="W76" i="25"/>
  <c r="U76" i="25"/>
  <c r="S76" i="25"/>
  <c r="P76" i="25"/>
  <c r="O76" i="25"/>
  <c r="H76" i="25"/>
  <c r="D76" i="25"/>
  <c r="W57" i="25"/>
  <c r="U57" i="25"/>
  <c r="S57" i="25"/>
  <c r="FK43" i="1" s="1"/>
  <c r="P57" i="25"/>
  <c r="H57" i="25"/>
  <c r="O57" i="25" s="1"/>
  <c r="W67" i="25"/>
  <c r="U67" i="25"/>
  <c r="S67" i="25"/>
  <c r="FK37" i="1" s="1"/>
  <c r="P67" i="25"/>
  <c r="FK35" i="1" s="1"/>
  <c r="H67" i="25"/>
  <c r="O67" i="25" s="1"/>
  <c r="W68" i="25"/>
  <c r="U68" i="25"/>
  <c r="S68" i="25"/>
  <c r="P68" i="25"/>
  <c r="H68" i="25"/>
  <c r="O68" i="25" s="1"/>
  <c r="W66" i="25"/>
  <c r="U66" i="25"/>
  <c r="S66" i="25"/>
  <c r="P66" i="25"/>
  <c r="H66" i="25"/>
  <c r="O66" i="25" s="1"/>
  <c r="W55" i="25"/>
  <c r="U55" i="25"/>
  <c r="S55" i="25"/>
  <c r="P55" i="25"/>
  <c r="H55" i="25"/>
  <c r="O55" i="25" s="1"/>
  <c r="D55" i="25"/>
  <c r="W64" i="25"/>
  <c r="U64" i="25"/>
  <c r="S64" i="25"/>
  <c r="P64" i="25"/>
  <c r="H64" i="25"/>
  <c r="O64" i="25" s="1"/>
  <c r="W52" i="25"/>
  <c r="U52" i="25"/>
  <c r="S52" i="25"/>
  <c r="P52" i="25"/>
  <c r="H52" i="25"/>
  <c r="O52" i="25" s="1"/>
  <c r="W70" i="25"/>
  <c r="U70" i="25"/>
  <c r="S70" i="25"/>
  <c r="P70" i="25"/>
  <c r="FK13" i="1" s="1"/>
  <c r="H70" i="25"/>
  <c r="O70" i="25" s="1"/>
  <c r="FJ14" i="1" s="1"/>
  <c r="W50" i="25"/>
  <c r="U50" i="25"/>
  <c r="S50" i="25"/>
  <c r="P50" i="25"/>
  <c r="FK29" i="1" s="1"/>
  <c r="H50" i="25"/>
  <c r="O50" i="25" s="1"/>
  <c r="FJ30" i="1" s="1"/>
  <c r="W59" i="25"/>
  <c r="U59" i="25"/>
  <c r="S59" i="25"/>
  <c r="P59" i="25"/>
  <c r="FK24" i="1" s="1"/>
  <c r="H59" i="25"/>
  <c r="O59" i="25" s="1"/>
  <c r="FJ25" i="1" s="1"/>
  <c r="W58" i="25"/>
  <c r="U58" i="25"/>
  <c r="S58" i="25"/>
  <c r="P58" i="25"/>
  <c r="FW18" i="1" s="1"/>
  <c r="H58" i="25"/>
  <c r="O58" i="25" s="1"/>
  <c r="FV19" i="1" s="1"/>
  <c r="W51" i="25"/>
  <c r="U51" i="25"/>
  <c r="S51" i="25"/>
  <c r="P51" i="25"/>
  <c r="H51" i="25"/>
  <c r="O51" i="25" s="1"/>
  <c r="W63" i="25"/>
  <c r="U63" i="25"/>
  <c r="S63" i="25"/>
  <c r="P63" i="25"/>
  <c r="FW29" i="1" s="1"/>
  <c r="H63" i="25"/>
  <c r="O63" i="25" s="1"/>
  <c r="FV30" i="1" s="1"/>
  <c r="W65" i="25"/>
  <c r="U65" i="25"/>
  <c r="S65" i="25"/>
  <c r="P65" i="25"/>
  <c r="H65" i="25"/>
  <c r="O65" i="25" s="1"/>
  <c r="W60" i="25"/>
  <c r="U60" i="25"/>
  <c r="S60" i="25"/>
  <c r="P60" i="25"/>
  <c r="FK7" i="1" s="1"/>
  <c r="O60" i="25"/>
  <c r="FJ8" i="1" s="1"/>
  <c r="H60" i="25"/>
  <c r="W48" i="25"/>
  <c r="U48" i="25"/>
  <c r="S48" i="25"/>
  <c r="P48" i="25"/>
  <c r="H48" i="25"/>
  <c r="O48" i="25" s="1"/>
  <c r="W49" i="25"/>
  <c r="U49" i="25"/>
  <c r="S49" i="25"/>
  <c r="P49" i="25"/>
  <c r="FW2" i="1" s="1"/>
  <c r="H49" i="25"/>
  <c r="O49" i="25" s="1"/>
  <c r="FV3" i="1" s="1"/>
  <c r="W73" i="25"/>
  <c r="U73" i="25"/>
  <c r="S73" i="25"/>
  <c r="P73" i="25"/>
  <c r="FK2" i="1" s="1"/>
  <c r="O73" i="25"/>
  <c r="FJ3" i="1" s="1"/>
  <c r="H73" i="25"/>
  <c r="W69" i="25"/>
  <c r="U69" i="25"/>
  <c r="S69" i="25"/>
  <c r="P69" i="25"/>
  <c r="FW7" i="1" s="1"/>
  <c r="H69" i="25"/>
  <c r="O69" i="25" s="1"/>
  <c r="FV8" i="1" s="1"/>
  <c r="W71" i="25"/>
  <c r="U71" i="25"/>
  <c r="S71" i="25"/>
  <c r="P71" i="25"/>
  <c r="FT39" i="1" s="1"/>
  <c r="H71" i="25"/>
  <c r="O71" i="25" s="1"/>
  <c r="FQ40" i="1" s="1"/>
  <c r="W61" i="25"/>
  <c r="U61" i="25"/>
  <c r="S61" i="25"/>
  <c r="P61" i="25"/>
  <c r="FK18" i="1" s="1"/>
  <c r="H61" i="25"/>
  <c r="O61" i="25" s="1"/>
  <c r="FJ19" i="1" s="1"/>
  <c r="W72" i="25"/>
  <c r="U72" i="25"/>
  <c r="S72" i="25"/>
  <c r="P72" i="25"/>
  <c r="FT43" i="1" s="1"/>
  <c r="H72" i="25"/>
  <c r="O72" i="25" s="1"/>
  <c r="FQ44" i="1" s="1"/>
  <c r="W54" i="25"/>
  <c r="U54" i="25"/>
  <c r="S54" i="25"/>
  <c r="P54" i="25"/>
  <c r="FQ4" i="1" s="1"/>
  <c r="H54" i="25"/>
  <c r="O54" i="25" s="1"/>
  <c r="FP5" i="1" s="1"/>
  <c r="W75" i="25"/>
  <c r="U75" i="25"/>
  <c r="S75" i="25"/>
  <c r="P75" i="25"/>
  <c r="FQ26" i="1" s="1"/>
  <c r="H75" i="25"/>
  <c r="O75" i="25" s="1"/>
  <c r="FP27" i="1" s="1"/>
  <c r="W62" i="25"/>
  <c r="U62" i="25"/>
  <c r="S62" i="25"/>
  <c r="P62" i="25"/>
  <c r="FQ15" i="1" s="1"/>
  <c r="H62" i="25"/>
  <c r="O62" i="25" s="1"/>
  <c r="FP16" i="1" s="1"/>
  <c r="W53" i="25"/>
  <c r="U53" i="25"/>
  <c r="S53" i="25"/>
  <c r="P53" i="25"/>
  <c r="FT35" i="1" s="1"/>
  <c r="H53" i="25"/>
  <c r="O53" i="25" s="1"/>
  <c r="FQ36" i="1" s="1"/>
  <c r="W56" i="25"/>
  <c r="U56" i="25"/>
  <c r="S56" i="25"/>
  <c r="P56" i="25"/>
  <c r="FW24" i="1" s="1"/>
  <c r="H56" i="25"/>
  <c r="O56" i="25" s="1"/>
  <c r="FV25" i="1" s="1"/>
  <c r="W74" i="25"/>
  <c r="U74" i="25"/>
  <c r="S74" i="25"/>
  <c r="P74" i="25"/>
  <c r="FW13" i="1" s="1"/>
  <c r="H74" i="25"/>
  <c r="O74" i="25" s="1"/>
  <c r="FV14" i="1" s="1"/>
  <c r="A47" i="25"/>
  <c r="D50" i="25" s="1"/>
  <c r="R45" i="25"/>
  <c r="Q45" i="25"/>
  <c r="R44" i="25"/>
  <c r="Q44" i="25"/>
  <c r="R43" i="25"/>
  <c r="Q43" i="25"/>
  <c r="R42" i="25"/>
  <c r="Q42" i="25"/>
  <c r="R41" i="25"/>
  <c r="FH42" i="1" s="1"/>
  <c r="Q41" i="25"/>
  <c r="FL42" i="1" s="1"/>
  <c r="R40" i="25"/>
  <c r="Q40" i="25"/>
  <c r="R39" i="25"/>
  <c r="FH36" i="1" s="1"/>
  <c r="Q39" i="25"/>
  <c r="FL36" i="1" s="1"/>
  <c r="P36" i="25"/>
  <c r="O36" i="25"/>
  <c r="P35" i="25"/>
  <c r="O35" i="25"/>
  <c r="P34" i="25"/>
  <c r="O34" i="25"/>
  <c r="P33" i="25"/>
  <c r="O33" i="25"/>
  <c r="P32" i="25"/>
  <c r="O32" i="25"/>
  <c r="P31" i="25"/>
  <c r="O31" i="25"/>
  <c r="P30" i="25"/>
  <c r="O30" i="25"/>
  <c r="P29" i="25"/>
  <c r="O29" i="25"/>
  <c r="P28" i="25"/>
  <c r="O28" i="25"/>
  <c r="P27" i="25"/>
  <c r="O27" i="25"/>
  <c r="P26" i="25"/>
  <c r="O26" i="25"/>
  <c r="P25" i="25"/>
  <c r="O25" i="25"/>
  <c r="P24" i="25"/>
  <c r="O24" i="25"/>
  <c r="P23" i="25"/>
  <c r="O23" i="25"/>
  <c r="P22" i="25"/>
  <c r="O22" i="25"/>
  <c r="FG30" i="1" s="1"/>
  <c r="P21" i="25"/>
  <c r="O21" i="25"/>
  <c r="P20" i="25"/>
  <c r="O20" i="25"/>
  <c r="P19" i="25"/>
  <c r="O19" i="25"/>
  <c r="P18" i="25"/>
  <c r="O18" i="25"/>
  <c r="FS30" i="1" s="1"/>
  <c r="P17" i="25"/>
  <c r="O17" i="25"/>
  <c r="FS19" i="1" s="1"/>
  <c r="P16" i="25"/>
  <c r="O16" i="25"/>
  <c r="P15" i="25"/>
  <c r="O15" i="25"/>
  <c r="FG8" i="1" s="1"/>
  <c r="P14" i="25"/>
  <c r="O14" i="25"/>
  <c r="P13" i="25"/>
  <c r="O13" i="25"/>
  <c r="FS3" i="1" s="1"/>
  <c r="P12" i="25"/>
  <c r="O12" i="25"/>
  <c r="FG3" i="1" s="1"/>
  <c r="P11" i="25"/>
  <c r="O11" i="25"/>
  <c r="FS8" i="1" s="1"/>
  <c r="P10" i="25"/>
  <c r="O10" i="25"/>
  <c r="P9" i="25"/>
  <c r="O9" i="25"/>
  <c r="FG19" i="1" s="1"/>
  <c r="P8" i="25"/>
  <c r="O8" i="25"/>
  <c r="FV43" i="1" s="1"/>
  <c r="P7" i="25"/>
  <c r="O7" i="25"/>
  <c r="FM5" i="1" s="1"/>
  <c r="P6" i="25"/>
  <c r="O6" i="25"/>
  <c r="FM16" i="1" s="1"/>
  <c r="P5" i="25"/>
  <c r="O5" i="25"/>
  <c r="FM27" i="1" s="1"/>
  <c r="P4" i="25"/>
  <c r="O4" i="25"/>
  <c r="FS25" i="1" s="1"/>
  <c r="P3" i="25"/>
  <c r="O3" i="25"/>
  <c r="FV35" i="1" s="1"/>
  <c r="P2" i="25"/>
  <c r="O2" i="25"/>
  <c r="FS14" i="1" s="1"/>
  <c r="N63" i="1"/>
  <c r="P62" i="1"/>
  <c r="P64" i="1"/>
  <c r="N64" i="1"/>
  <c r="N62" i="1"/>
  <c r="P66" i="1"/>
  <c r="N65" i="1"/>
  <c r="N66" i="1"/>
  <c r="P65" i="1"/>
  <c r="P63" i="1"/>
  <c r="FJ29" i="1" l="1"/>
  <c r="FV39" i="1"/>
  <c r="FG25" i="1"/>
  <c r="FG14" i="1"/>
  <c r="D57" i="25"/>
  <c r="V56" i="25"/>
  <c r="T56" i="25" s="1"/>
  <c r="D86" i="25"/>
  <c r="D85" i="25"/>
  <c r="D87" i="25"/>
  <c r="D88" i="25"/>
  <c r="D73" i="25"/>
  <c r="D72" i="25"/>
  <c r="D68" i="25"/>
  <c r="D52" i="25"/>
  <c r="D71" i="25"/>
  <c r="D59" i="25"/>
  <c r="D62" i="25"/>
  <c r="D48" i="25"/>
  <c r="D61" i="25"/>
  <c r="D58" i="25"/>
  <c r="D64" i="25"/>
  <c r="D67" i="25"/>
  <c r="D53" i="25"/>
  <c r="D49" i="25"/>
  <c r="D51" i="25"/>
  <c r="D56" i="25"/>
  <c r="D63" i="25"/>
  <c r="D70" i="25"/>
  <c r="D74" i="25"/>
  <c r="D54" i="25"/>
  <c r="D69" i="25"/>
  <c r="D65" i="25"/>
  <c r="D66" i="25"/>
  <c r="D75" i="25"/>
  <c r="D60" i="25"/>
  <c r="V54" i="25"/>
  <c r="T54" i="25" s="1"/>
  <c r="V59" i="25"/>
  <c r="T59" i="25" s="1"/>
  <c r="V78" i="25"/>
  <c r="T78" i="25" s="1"/>
  <c r="V73" i="25"/>
  <c r="T73" i="25" s="1"/>
  <c r="V64" i="25"/>
  <c r="T64" i="25" s="1"/>
  <c r="V75" i="25"/>
  <c r="T75" i="25" s="1"/>
  <c r="V48" i="25"/>
  <c r="T48" i="25" s="1"/>
  <c r="V82" i="25"/>
  <c r="T82" i="25" s="1"/>
  <c r="V76" i="25"/>
  <c r="T76" i="25" s="1"/>
  <c r="V65" i="25"/>
  <c r="T65" i="25" s="1"/>
  <c r="V67" i="25"/>
  <c r="T67" i="25" s="1"/>
  <c r="V60" i="25"/>
  <c r="T60" i="25" s="1"/>
  <c r="V72" i="25"/>
  <c r="T72" i="25" s="1"/>
  <c r="V52" i="25"/>
  <c r="T52" i="25" s="1"/>
  <c r="V77" i="25"/>
  <c r="T77" i="25" s="1"/>
  <c r="V61" i="25"/>
  <c r="T61" i="25" s="1"/>
  <c r="V63" i="25"/>
  <c r="T63" i="25" s="1"/>
  <c r="V55" i="25"/>
  <c r="T55" i="25" s="1"/>
  <c r="V79" i="25"/>
  <c r="T79" i="25" s="1"/>
  <c r="V74" i="25"/>
  <c r="T74" i="25" s="1"/>
  <c r="V71" i="25"/>
  <c r="T71" i="25" s="1"/>
  <c r="V51" i="25"/>
  <c r="T51" i="25" s="1"/>
  <c r="V66" i="25"/>
  <c r="T66" i="25" s="1"/>
  <c r="V80" i="25"/>
  <c r="T80" i="25" s="1"/>
  <c r="V69" i="25"/>
  <c r="T69" i="25" s="1"/>
  <c r="V58" i="25"/>
  <c r="T58" i="25" s="1"/>
  <c r="V68" i="25"/>
  <c r="T68" i="25" s="1"/>
  <c r="V81" i="25"/>
  <c r="T81" i="25" s="1"/>
  <c r="V53" i="25"/>
  <c r="T53" i="25" s="1"/>
  <c r="V62" i="25"/>
  <c r="T62" i="25" s="1"/>
  <c r="V49" i="25"/>
  <c r="T49" i="25" s="1"/>
  <c r="V50" i="25"/>
  <c r="T50" i="25" s="1"/>
  <c r="V57" i="25"/>
  <c r="T57" i="25" s="1"/>
  <c r="V70" i="25"/>
  <c r="T70" i="25" s="1"/>
  <c r="D2" i="24"/>
  <c r="D3" i="24"/>
  <c r="D4" i="24"/>
  <c r="D5" i="24"/>
  <c r="D6" i="24"/>
  <c r="D7" i="24"/>
  <c r="D8" i="24"/>
  <c r="D9" i="24"/>
  <c r="D10" i="24"/>
  <c r="D11" i="24"/>
  <c r="D12" i="24"/>
  <c r="D13" i="24"/>
  <c r="D14" i="24"/>
  <c r="D15" i="24"/>
  <c r="D16" i="24"/>
  <c r="D17" i="24"/>
  <c r="D18" i="24"/>
  <c r="D19" i="24"/>
  <c r="D20" i="24"/>
  <c r="D21" i="24"/>
  <c r="D22" i="24"/>
  <c r="D23" i="24"/>
  <c r="D24" i="24"/>
  <c r="D25" i="24"/>
  <c r="D26" i="24"/>
  <c r="D27" i="24"/>
  <c r="D28" i="24"/>
  <c r="D29" i="24"/>
  <c r="D30" i="24"/>
  <c r="D1" i="24"/>
  <c r="E40" i="24"/>
  <c r="E39" i="24"/>
  <c r="E38" i="24"/>
  <c r="E37" i="24"/>
  <c r="E36" i="24"/>
  <c r="E35" i="24"/>
  <c r="E34" i="24"/>
  <c r="E33" i="24"/>
  <c r="E32" i="24"/>
  <c r="E31" i="24"/>
  <c r="F20" i="24"/>
  <c r="F19" i="24"/>
  <c r="F18" i="24"/>
  <c r="F17" i="24"/>
  <c r="F16" i="24"/>
  <c r="F10" i="24"/>
  <c r="F9" i="24"/>
  <c r="F8" i="24"/>
  <c r="F7" i="24"/>
  <c r="F6" i="24"/>
  <c r="O3" i="23"/>
  <c r="P3" i="23"/>
  <c r="O4" i="23"/>
  <c r="P4" i="23"/>
  <c r="O5" i="23"/>
  <c r="P5" i="23"/>
  <c r="O6" i="23"/>
  <c r="P6" i="23"/>
  <c r="O7" i="23"/>
  <c r="P7" i="23"/>
  <c r="O8" i="23"/>
  <c r="P8" i="23"/>
  <c r="O9" i="23"/>
  <c r="P9" i="23"/>
  <c r="O10" i="23"/>
  <c r="P10" i="23"/>
  <c r="O11" i="23"/>
  <c r="P11" i="23"/>
  <c r="O12" i="23"/>
  <c r="P12" i="23"/>
  <c r="O13" i="23"/>
  <c r="P13" i="23"/>
  <c r="O14" i="23"/>
  <c r="P14" i="23"/>
  <c r="O15" i="23"/>
  <c r="P15" i="23"/>
  <c r="O16" i="23"/>
  <c r="P16" i="23"/>
  <c r="O17" i="23"/>
  <c r="P17" i="23"/>
  <c r="O18" i="23"/>
  <c r="P18" i="23"/>
  <c r="O19" i="23"/>
  <c r="P19" i="23"/>
  <c r="O20" i="23"/>
  <c r="P20" i="23"/>
  <c r="O21" i="23"/>
  <c r="P21" i="23"/>
  <c r="O22" i="23"/>
  <c r="P22" i="23"/>
  <c r="O23" i="23"/>
  <c r="P23" i="23"/>
  <c r="O24" i="23"/>
  <c r="P24" i="23"/>
  <c r="O25" i="23"/>
  <c r="P25" i="23"/>
  <c r="O26" i="23"/>
  <c r="P26" i="23"/>
  <c r="O27" i="23"/>
  <c r="P27" i="23"/>
  <c r="O28" i="23"/>
  <c r="P28" i="23"/>
  <c r="O29" i="23"/>
  <c r="P29" i="23"/>
  <c r="O30" i="23"/>
  <c r="P30" i="23"/>
  <c r="O31" i="23"/>
  <c r="P31" i="23"/>
  <c r="O32" i="23"/>
  <c r="P32" i="23"/>
  <c r="O33" i="23"/>
  <c r="P33" i="23"/>
  <c r="O34" i="23"/>
  <c r="P34" i="23"/>
  <c r="O35" i="23"/>
  <c r="P35" i="23"/>
  <c r="O36" i="23"/>
  <c r="P36" i="23"/>
  <c r="P2" i="23"/>
  <c r="O2" i="23"/>
  <c r="D92" i="23"/>
  <c r="D91" i="23"/>
  <c r="D90" i="23"/>
  <c r="D89" i="23"/>
  <c r="A84" i="23"/>
  <c r="D87" i="23" s="1"/>
  <c r="W55" i="23"/>
  <c r="U55" i="23"/>
  <c r="S55" i="23"/>
  <c r="P55" i="23"/>
  <c r="H55" i="23"/>
  <c r="O55" i="23" s="1"/>
  <c r="W50" i="23"/>
  <c r="U50" i="23"/>
  <c r="S50" i="23"/>
  <c r="P50" i="23"/>
  <c r="H50" i="23"/>
  <c r="O50" i="23" s="1"/>
  <c r="W68" i="23"/>
  <c r="U68" i="23"/>
  <c r="S68" i="23"/>
  <c r="P68" i="23"/>
  <c r="H68" i="23"/>
  <c r="O68" i="23" s="1"/>
  <c r="W62" i="23"/>
  <c r="U62" i="23"/>
  <c r="S62" i="23"/>
  <c r="P62" i="23"/>
  <c r="H62" i="23"/>
  <c r="O62" i="23" s="1"/>
  <c r="W69" i="23"/>
  <c r="U69" i="23"/>
  <c r="S69" i="23"/>
  <c r="P69" i="23"/>
  <c r="H69" i="23"/>
  <c r="O69" i="23" s="1"/>
  <c r="D69" i="23"/>
  <c r="W59" i="23"/>
  <c r="U59" i="23"/>
  <c r="S59" i="23"/>
  <c r="P59" i="23"/>
  <c r="H59" i="23"/>
  <c r="O59" i="23" s="1"/>
  <c r="D59" i="23"/>
  <c r="W79" i="23"/>
  <c r="U79" i="23"/>
  <c r="S79" i="23"/>
  <c r="P79" i="23"/>
  <c r="H79" i="23"/>
  <c r="O79" i="23" s="1"/>
  <c r="W67" i="23"/>
  <c r="U67" i="23"/>
  <c r="S67" i="23"/>
  <c r="P67" i="23"/>
  <c r="H67" i="23"/>
  <c r="O67" i="23" s="1"/>
  <c r="D67" i="23"/>
  <c r="W49" i="23"/>
  <c r="U49" i="23"/>
  <c r="S49" i="23"/>
  <c r="P49" i="23"/>
  <c r="H49" i="23"/>
  <c r="O49" i="23" s="1"/>
  <c r="W74" i="23"/>
  <c r="U74" i="23"/>
  <c r="S74" i="23"/>
  <c r="P74" i="23"/>
  <c r="H74" i="23"/>
  <c r="O74" i="23" s="1"/>
  <c r="W76" i="23"/>
  <c r="U76" i="23"/>
  <c r="S76" i="23"/>
  <c r="P76" i="23"/>
  <c r="H76" i="23"/>
  <c r="O76" i="23" s="1"/>
  <c r="D76" i="23"/>
  <c r="W64" i="23"/>
  <c r="U64" i="23"/>
  <c r="S64" i="23"/>
  <c r="P64" i="23"/>
  <c r="H64" i="23"/>
  <c r="O64" i="23" s="1"/>
  <c r="W48" i="23"/>
  <c r="U48" i="23"/>
  <c r="S48" i="23"/>
  <c r="P48" i="23"/>
  <c r="H48" i="23"/>
  <c r="O48" i="23" s="1"/>
  <c r="D48" i="23"/>
  <c r="W71" i="23"/>
  <c r="U71" i="23"/>
  <c r="S71" i="23"/>
  <c r="P71" i="23"/>
  <c r="H71" i="23"/>
  <c r="O71" i="23" s="1"/>
  <c r="D71" i="23"/>
  <c r="W65" i="23"/>
  <c r="U65" i="23"/>
  <c r="S65" i="23"/>
  <c r="P65" i="23"/>
  <c r="H65" i="23"/>
  <c r="O65" i="23" s="1"/>
  <c r="W53" i="23"/>
  <c r="U53" i="23"/>
  <c r="S53" i="23"/>
  <c r="P53" i="23"/>
  <c r="H53" i="23"/>
  <c r="O53" i="23" s="1"/>
  <c r="W80" i="23"/>
  <c r="U80" i="23"/>
  <c r="S80" i="23"/>
  <c r="P80" i="23"/>
  <c r="H80" i="23"/>
  <c r="O80" i="23" s="1"/>
  <c r="W82" i="23"/>
  <c r="U82" i="23"/>
  <c r="S82" i="23"/>
  <c r="P82" i="23"/>
  <c r="H82" i="23"/>
  <c r="O82" i="23" s="1"/>
  <c r="W78" i="23"/>
  <c r="U78" i="23"/>
  <c r="S78" i="23"/>
  <c r="P78" i="23"/>
  <c r="H78" i="23"/>
  <c r="O78" i="23" s="1"/>
  <c r="W75" i="23"/>
  <c r="U75" i="23"/>
  <c r="S75" i="23"/>
  <c r="P75" i="23"/>
  <c r="H75" i="23"/>
  <c r="O75" i="23" s="1"/>
  <c r="W72" i="23"/>
  <c r="U72" i="23"/>
  <c r="S72" i="23"/>
  <c r="P72" i="23"/>
  <c r="H72" i="23"/>
  <c r="O72" i="23" s="1"/>
  <c r="W70" i="23"/>
  <c r="U70" i="23"/>
  <c r="S70" i="23"/>
  <c r="P70" i="23"/>
  <c r="H70" i="23"/>
  <c r="O70" i="23" s="1"/>
  <c r="W66" i="23"/>
  <c r="U66" i="23"/>
  <c r="S66" i="23"/>
  <c r="P66" i="23"/>
  <c r="H66" i="23"/>
  <c r="O66" i="23" s="1"/>
  <c r="W51" i="23"/>
  <c r="U51" i="23"/>
  <c r="S51" i="23"/>
  <c r="P51" i="23"/>
  <c r="H51" i="23"/>
  <c r="O51" i="23" s="1"/>
  <c r="W60" i="23"/>
  <c r="U60" i="23"/>
  <c r="S60" i="23"/>
  <c r="P60" i="23"/>
  <c r="H60" i="23"/>
  <c r="O60" i="23" s="1"/>
  <c r="W58" i="23"/>
  <c r="U58" i="23"/>
  <c r="S58" i="23"/>
  <c r="P58" i="23"/>
  <c r="H58" i="23"/>
  <c r="O58" i="23" s="1"/>
  <c r="W54" i="23"/>
  <c r="U54" i="23"/>
  <c r="S54" i="23"/>
  <c r="P54" i="23"/>
  <c r="H54" i="23"/>
  <c r="O54" i="23" s="1"/>
  <c r="W56" i="23"/>
  <c r="U56" i="23"/>
  <c r="S56" i="23"/>
  <c r="P56" i="23"/>
  <c r="H56" i="23"/>
  <c r="O56" i="23" s="1"/>
  <c r="W81" i="23"/>
  <c r="U81" i="23"/>
  <c r="S81" i="23"/>
  <c r="P81" i="23"/>
  <c r="H81" i="23"/>
  <c r="O81" i="23" s="1"/>
  <c r="W73" i="23"/>
  <c r="U73" i="23"/>
  <c r="S73" i="23"/>
  <c r="P73" i="23"/>
  <c r="H73" i="23"/>
  <c r="O73" i="23" s="1"/>
  <c r="W57" i="23"/>
  <c r="U57" i="23"/>
  <c r="S57" i="23"/>
  <c r="P57" i="23"/>
  <c r="H57" i="23"/>
  <c r="O57" i="23" s="1"/>
  <c r="W77" i="23"/>
  <c r="U77" i="23"/>
  <c r="S77" i="23"/>
  <c r="P77" i="23"/>
  <c r="H77" i="23"/>
  <c r="O77" i="23" s="1"/>
  <c r="W61" i="23"/>
  <c r="U61" i="23"/>
  <c r="S61" i="23"/>
  <c r="P61" i="23"/>
  <c r="H61" i="23"/>
  <c r="O61" i="23" s="1"/>
  <c r="W52" i="23"/>
  <c r="U52" i="23"/>
  <c r="S52" i="23"/>
  <c r="P52" i="23"/>
  <c r="H52" i="23"/>
  <c r="O52" i="23" s="1"/>
  <c r="W63" i="23"/>
  <c r="U63" i="23"/>
  <c r="S63" i="23"/>
  <c r="P63" i="23"/>
  <c r="H63" i="23"/>
  <c r="O63" i="23" s="1"/>
  <c r="A47" i="23"/>
  <c r="D68" i="23" s="1"/>
  <c r="R45" i="23"/>
  <c r="Q45" i="23"/>
  <c r="R44" i="23"/>
  <c r="Q44" i="23"/>
  <c r="R43" i="23"/>
  <c r="Q43" i="23"/>
  <c r="R42" i="23"/>
  <c r="Q42" i="23"/>
  <c r="R41" i="23"/>
  <c r="Q41" i="23"/>
  <c r="R40" i="23"/>
  <c r="Q40" i="23"/>
  <c r="R39" i="23"/>
  <c r="Q39" i="23"/>
  <c r="FS39" i="1" l="1"/>
  <c r="FP4" i="1"/>
  <c r="FJ35" i="1"/>
  <c r="FV13" i="1"/>
  <c r="FJ41" i="1"/>
  <c r="FV7" i="1"/>
  <c r="FJ13" i="1"/>
  <c r="FS43" i="1"/>
  <c r="FJ7" i="1"/>
  <c r="FV29" i="1"/>
  <c r="FJ18" i="1"/>
  <c r="FJ2" i="1"/>
  <c r="FP26" i="1"/>
  <c r="FV18" i="1"/>
  <c r="FP15" i="1"/>
  <c r="FJ24" i="1"/>
  <c r="FG48" i="1"/>
  <c r="FV24" i="1"/>
  <c r="FS35" i="1"/>
  <c r="FV2" i="1"/>
  <c r="FP48" i="1"/>
  <c r="FP50" i="1"/>
  <c r="V79" i="23"/>
  <c r="T79" i="23" s="1"/>
  <c r="V61" i="23"/>
  <c r="T61" i="23" s="1"/>
  <c r="V62" i="23"/>
  <c r="T62" i="23" s="1"/>
  <c r="V67" i="23"/>
  <c r="T67" i="23" s="1"/>
  <c r="V50" i="23"/>
  <c r="T50" i="23" s="1"/>
  <c r="V59" i="23"/>
  <c r="T59" i="23" s="1"/>
  <c r="D85" i="23"/>
  <c r="D86" i="23"/>
  <c r="D88" i="23"/>
  <c r="D51" i="23"/>
  <c r="ER2" i="1" s="1"/>
  <c r="D65" i="23"/>
  <c r="D61" i="23"/>
  <c r="D55" i="23"/>
  <c r="D81" i="23"/>
  <c r="D77" i="23"/>
  <c r="D66" i="23"/>
  <c r="D74" i="23"/>
  <c r="D56" i="23"/>
  <c r="D78" i="23"/>
  <c r="D52" i="23"/>
  <c r="D75" i="23"/>
  <c r="D60" i="23"/>
  <c r="D53" i="23"/>
  <c r="D64" i="23"/>
  <c r="D79" i="23"/>
  <c r="D50" i="23"/>
  <c r="D63" i="23"/>
  <c r="D58" i="23"/>
  <c r="D72" i="23"/>
  <c r="D80" i="23"/>
  <c r="D54" i="23"/>
  <c r="D70" i="23"/>
  <c r="D82" i="23"/>
  <c r="D49" i="23"/>
  <c r="D62" i="23"/>
  <c r="D73" i="23"/>
  <c r="D57" i="23"/>
  <c r="V72" i="23"/>
  <c r="T72" i="23" s="1"/>
  <c r="V49" i="23"/>
  <c r="T49" i="23" s="1"/>
  <c r="V76" i="23"/>
  <c r="T76" i="23" s="1"/>
  <c r="V65" i="23"/>
  <c r="T65" i="23" s="1"/>
  <c r="V57" i="23"/>
  <c r="T57" i="23" s="1"/>
  <c r="V80" i="23"/>
  <c r="T80" i="23" s="1"/>
  <c r="V54" i="23"/>
  <c r="T54" i="23" s="1"/>
  <c r="V74" i="23"/>
  <c r="T74" i="23" s="1"/>
  <c r="V69" i="23"/>
  <c r="T69" i="23" s="1"/>
  <c r="V55" i="23"/>
  <c r="T55" i="23" s="1"/>
  <c r="V73" i="23"/>
  <c r="T73" i="23" s="1"/>
  <c r="V78" i="23"/>
  <c r="T78" i="23" s="1"/>
  <c r="V48" i="23"/>
  <c r="T48" i="23" s="1"/>
  <c r="V60" i="23"/>
  <c r="T60" i="23" s="1"/>
  <c r="V68" i="23"/>
  <c r="T68" i="23" s="1"/>
  <c r="V70" i="23"/>
  <c r="T70" i="23" s="1"/>
  <c r="V71" i="23"/>
  <c r="T71" i="23" s="1"/>
  <c r="V81" i="23"/>
  <c r="T81" i="23" s="1"/>
  <c r="V56" i="23"/>
  <c r="T56" i="23" s="1"/>
  <c r="V75" i="23"/>
  <c r="T75" i="23" s="1"/>
  <c r="V64" i="23"/>
  <c r="T64" i="23" s="1"/>
  <c r="V63" i="23"/>
  <c r="T63" i="23" s="1"/>
  <c r="V52" i="23"/>
  <c r="T52" i="23" s="1"/>
  <c r="V58" i="23"/>
  <c r="T58" i="23" s="1"/>
  <c r="V82" i="23"/>
  <c r="T82" i="23" s="1"/>
  <c r="V77" i="23"/>
  <c r="T77" i="23" s="1"/>
  <c r="V51" i="23"/>
  <c r="T51" i="23" s="1"/>
  <c r="V53" i="23"/>
  <c r="T53" i="23" s="1"/>
  <c r="V66" i="23"/>
  <c r="T66" i="23" s="1"/>
  <c r="P3" i="21"/>
  <c r="P4" i="21"/>
  <c r="P5" i="21"/>
  <c r="P6" i="21"/>
  <c r="P7" i="21"/>
  <c r="P8" i="21"/>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2" i="21"/>
  <c r="P3" i="19"/>
  <c r="P4" i="19"/>
  <c r="P5" i="19"/>
  <c r="P6" i="19"/>
  <c r="P7" i="19"/>
  <c r="P8" i="19"/>
  <c r="P9" i="19"/>
  <c r="P10" i="19"/>
  <c r="P11" i="19"/>
  <c r="P12" i="19"/>
  <c r="P13" i="19"/>
  <c r="P14" i="19"/>
  <c r="P15" i="19"/>
  <c r="P16" i="19"/>
  <c r="P17" i="19"/>
  <c r="P18" i="19"/>
  <c r="P19" i="19"/>
  <c r="P20" i="19"/>
  <c r="P21" i="19"/>
  <c r="P22" i="19"/>
  <c r="P23" i="19"/>
  <c r="P24" i="19"/>
  <c r="P25" i="19"/>
  <c r="P26" i="19"/>
  <c r="P27" i="19"/>
  <c r="P28" i="19"/>
  <c r="P29" i="19"/>
  <c r="P30" i="19"/>
  <c r="P31" i="19"/>
  <c r="P32" i="19"/>
  <c r="P33" i="19"/>
  <c r="P34" i="19"/>
  <c r="P35" i="19"/>
  <c r="P36" i="19"/>
  <c r="P2" i="19"/>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2" i="13"/>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2" i="11"/>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2" i="2"/>
  <c r="P2" i="7"/>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H48" i="11" l="1"/>
  <c r="O48" i="11"/>
  <c r="P48" i="11"/>
  <c r="S48" i="11"/>
  <c r="U48" i="11"/>
  <c r="W48" i="11"/>
  <c r="H49" i="11"/>
  <c r="O49" i="11" s="1"/>
  <c r="P49" i="11"/>
  <c r="S49" i="11"/>
  <c r="U49" i="11"/>
  <c r="W49" i="11"/>
  <c r="H50" i="11"/>
  <c r="O50" i="11" s="1"/>
  <c r="P50" i="11"/>
  <c r="S50" i="11"/>
  <c r="U50" i="11"/>
  <c r="W50" i="11"/>
  <c r="H51" i="11"/>
  <c r="O51" i="11" s="1"/>
  <c r="P51" i="11"/>
  <c r="S51" i="11"/>
  <c r="U51" i="11"/>
  <c r="W51" i="11"/>
  <c r="H52" i="11"/>
  <c r="O52" i="11" s="1"/>
  <c r="P52" i="11"/>
  <c r="S52" i="11"/>
  <c r="U52" i="11"/>
  <c r="W52" i="11"/>
  <c r="H53" i="11"/>
  <c r="O53" i="11" s="1"/>
  <c r="P53" i="11"/>
  <c r="S53" i="11"/>
  <c r="U53" i="11"/>
  <c r="W53" i="11"/>
  <c r="H54" i="11"/>
  <c r="O54" i="11" s="1"/>
  <c r="P54" i="11"/>
  <c r="S54" i="11"/>
  <c r="U54" i="11"/>
  <c r="W54" i="11"/>
  <c r="H55" i="11"/>
  <c r="O55" i="11" s="1"/>
  <c r="P55" i="11"/>
  <c r="S55" i="11"/>
  <c r="U55" i="11"/>
  <c r="W55" i="11"/>
  <c r="H56" i="11"/>
  <c r="O56" i="11" s="1"/>
  <c r="P56" i="11"/>
  <c r="S56" i="11"/>
  <c r="U56" i="11"/>
  <c r="W56" i="11"/>
  <c r="H57" i="11"/>
  <c r="O57" i="11" s="1"/>
  <c r="P57" i="11"/>
  <c r="S57" i="11"/>
  <c r="U57" i="11"/>
  <c r="W57" i="11"/>
  <c r="H58" i="11"/>
  <c r="O58" i="11"/>
  <c r="P58" i="11"/>
  <c r="S58" i="11"/>
  <c r="U58" i="11"/>
  <c r="W58" i="11"/>
  <c r="H59" i="11"/>
  <c r="O59" i="11" s="1"/>
  <c r="P59" i="11"/>
  <c r="S59" i="11"/>
  <c r="U59" i="11"/>
  <c r="W59" i="11"/>
  <c r="H60" i="11"/>
  <c r="O60" i="11" s="1"/>
  <c r="P60" i="11"/>
  <c r="S60" i="11"/>
  <c r="U60" i="11"/>
  <c r="W60" i="11"/>
  <c r="H61" i="11"/>
  <c r="O61" i="11" s="1"/>
  <c r="P61" i="11"/>
  <c r="S61" i="11"/>
  <c r="U61" i="11"/>
  <c r="W61" i="11"/>
  <c r="H62" i="11"/>
  <c r="O62" i="11" s="1"/>
  <c r="P62" i="11"/>
  <c r="S62" i="11"/>
  <c r="U62" i="11"/>
  <c r="W62" i="11"/>
  <c r="H63" i="11"/>
  <c r="O63" i="11" s="1"/>
  <c r="P63" i="11"/>
  <c r="S63" i="11"/>
  <c r="U63" i="11"/>
  <c r="W63" i="11"/>
  <c r="H64" i="11"/>
  <c r="O64" i="11"/>
  <c r="P64" i="11"/>
  <c r="S64" i="11"/>
  <c r="U64" i="11"/>
  <c r="W64" i="11"/>
  <c r="H65" i="11"/>
  <c r="O65" i="11" s="1"/>
  <c r="P65" i="11"/>
  <c r="S65" i="11"/>
  <c r="U65" i="11"/>
  <c r="W65" i="11"/>
  <c r="H66" i="11"/>
  <c r="O66" i="11" s="1"/>
  <c r="P66" i="11"/>
  <c r="S66" i="11"/>
  <c r="U66" i="11"/>
  <c r="W66" i="11"/>
  <c r="H67" i="11"/>
  <c r="O67" i="11" s="1"/>
  <c r="P67" i="11"/>
  <c r="S67" i="11"/>
  <c r="U67" i="11"/>
  <c r="W67" i="11"/>
  <c r="H68" i="11"/>
  <c r="O68" i="11" s="1"/>
  <c r="P68" i="11"/>
  <c r="S68" i="11"/>
  <c r="U68" i="11"/>
  <c r="W68" i="11"/>
  <c r="H69" i="11"/>
  <c r="O69" i="11" s="1"/>
  <c r="P69" i="11"/>
  <c r="S69" i="11"/>
  <c r="U69" i="11"/>
  <c r="W69" i="11"/>
  <c r="H70" i="11"/>
  <c r="O70" i="11"/>
  <c r="P70" i="11"/>
  <c r="S70" i="11"/>
  <c r="U70" i="11"/>
  <c r="W70" i="11"/>
  <c r="H71" i="11"/>
  <c r="O71" i="11" s="1"/>
  <c r="P71" i="11"/>
  <c r="S71" i="11"/>
  <c r="U71" i="11"/>
  <c r="V71" i="11" s="1"/>
  <c r="T71" i="11" s="1"/>
  <c r="W71" i="11"/>
  <c r="H72" i="11"/>
  <c r="O72" i="11"/>
  <c r="P72" i="11"/>
  <c r="S72" i="11"/>
  <c r="U72" i="11"/>
  <c r="W72" i="11"/>
  <c r="H73" i="11"/>
  <c r="O73" i="11" s="1"/>
  <c r="P73" i="11"/>
  <c r="S73" i="11"/>
  <c r="U73" i="11"/>
  <c r="V73" i="11" s="1"/>
  <c r="T73" i="11" s="1"/>
  <c r="W73" i="11"/>
  <c r="H74" i="11"/>
  <c r="O74" i="11" s="1"/>
  <c r="P74" i="11"/>
  <c r="S74" i="11"/>
  <c r="U74" i="11"/>
  <c r="V74" i="11" s="1"/>
  <c r="T74" i="11" s="1"/>
  <c r="W74" i="11"/>
  <c r="H75" i="11"/>
  <c r="O75" i="11" s="1"/>
  <c r="P75" i="11"/>
  <c r="S75" i="11"/>
  <c r="U75" i="11"/>
  <c r="W75" i="11"/>
  <c r="E65" i="1"/>
  <c r="E64" i="1"/>
  <c r="G62" i="1"/>
  <c r="G66" i="1"/>
  <c r="E63" i="1"/>
  <c r="E62" i="1"/>
  <c r="E66" i="1"/>
  <c r="G65" i="1"/>
  <c r="G64" i="1"/>
  <c r="G63" i="1"/>
  <c r="V60" i="11" l="1"/>
  <c r="T60" i="11" s="1"/>
  <c r="V53" i="11"/>
  <c r="T53" i="11" s="1"/>
  <c r="V50" i="11"/>
  <c r="T50" i="11" s="1"/>
  <c r="V68" i="11"/>
  <c r="T68" i="11" s="1"/>
  <c r="V58" i="11"/>
  <c r="T58" i="11" s="1"/>
  <c r="V48" i="11"/>
  <c r="T48" i="11" s="1"/>
  <c r="V66" i="11"/>
  <c r="T66" i="11" s="1"/>
  <c r="V55" i="11"/>
  <c r="V52" i="11"/>
  <c r="T52" i="11" s="1"/>
  <c r="V63" i="11"/>
  <c r="T63" i="11" s="1"/>
  <c r="V56" i="11"/>
  <c r="V57" i="11"/>
  <c r="T57" i="11" s="1"/>
  <c r="V49" i="11"/>
  <c r="T49" i="11" s="1"/>
  <c r="V72" i="11"/>
  <c r="T72" i="11" s="1"/>
  <c r="V64" i="11"/>
  <c r="T64" i="11" s="1"/>
  <c r="V65" i="11"/>
  <c r="T65" i="11" s="1"/>
  <c r="V62" i="11"/>
  <c r="T62" i="11" s="1"/>
  <c r="V54" i="11"/>
  <c r="T54" i="11" s="1"/>
  <c r="V70" i="11"/>
  <c r="T70" i="11" s="1"/>
  <c r="V61" i="11"/>
  <c r="T61" i="11" s="1"/>
  <c r="V69" i="11"/>
  <c r="T69" i="11" s="1"/>
  <c r="V75" i="11"/>
  <c r="T75" i="11" s="1"/>
  <c r="V59" i="11"/>
  <c r="T59" i="11" s="1"/>
  <c r="V51" i="11"/>
  <c r="T51" i="11" s="1"/>
  <c r="V67" i="11"/>
  <c r="T67" i="11" s="1"/>
  <c r="G100" i="1"/>
  <c r="S60" i="2" l="1"/>
  <c r="EG50" i="1" l="1"/>
  <c r="EF50" i="1"/>
  <c r="EJ49" i="1"/>
  <c r="EG48" i="1"/>
  <c r="EF48" i="1"/>
  <c r="DX48" i="1"/>
  <c r="DW48" i="1"/>
  <c r="EJ47" i="1"/>
  <c r="EA47" i="1"/>
  <c r="EM44" i="1"/>
  <c r="EJ44" i="1"/>
  <c r="EG44" i="1"/>
  <c r="EF44" i="1"/>
  <c r="EB44" i="1"/>
  <c r="DZ44" i="1"/>
  <c r="DW44" i="1"/>
  <c r="EL43" i="1"/>
  <c r="EJ43" i="1"/>
  <c r="EI43" i="1"/>
  <c r="EG43" i="1"/>
  <c r="EF43" i="1"/>
  <c r="EA43" i="1"/>
  <c r="DY43" i="1"/>
  <c r="DW43" i="1"/>
  <c r="EN42" i="1"/>
  <c r="EM42" i="1"/>
  <c r="EB42" i="1"/>
  <c r="DZ42" i="1"/>
  <c r="DX42" i="1"/>
  <c r="DW42" i="1"/>
  <c r="EA41" i="1"/>
  <c r="DZ41" i="1"/>
  <c r="DX41" i="1"/>
  <c r="DW41" i="1"/>
  <c r="EM40" i="1"/>
  <c r="EJ40" i="1"/>
  <c r="EG40" i="1"/>
  <c r="EF40" i="1"/>
  <c r="EB40" i="1"/>
  <c r="EA40" i="1"/>
  <c r="EL39" i="1"/>
  <c r="EJ39" i="1"/>
  <c r="EI39" i="1"/>
  <c r="EG39" i="1"/>
  <c r="EF39" i="1"/>
  <c r="EN38" i="1"/>
  <c r="EM38" i="1"/>
  <c r="EB38" i="1"/>
  <c r="DZ38" i="1"/>
  <c r="DW38" i="1"/>
  <c r="EA37" i="1"/>
  <c r="DY37" i="1"/>
  <c r="DW37" i="1"/>
  <c r="EM36" i="1"/>
  <c r="EJ36" i="1"/>
  <c r="EG36" i="1"/>
  <c r="EF36" i="1"/>
  <c r="EB36" i="1"/>
  <c r="DZ36" i="1"/>
  <c r="DX36" i="1"/>
  <c r="DW36" i="1"/>
  <c r="EL35" i="1"/>
  <c r="EJ35" i="1"/>
  <c r="EI35" i="1"/>
  <c r="EG35" i="1"/>
  <c r="EF35" i="1"/>
  <c r="EA35" i="1"/>
  <c r="DZ35" i="1"/>
  <c r="DX35" i="1"/>
  <c r="DW35" i="1"/>
  <c r="EN34" i="1"/>
  <c r="EM34" i="1"/>
  <c r="EB34" i="1"/>
  <c r="EA34" i="1"/>
  <c r="EN31" i="1"/>
  <c r="EL31" i="1"/>
  <c r="EI31" i="1"/>
  <c r="EB31" i="1"/>
  <c r="DZ31" i="1"/>
  <c r="DW31" i="1"/>
  <c r="EL30" i="1"/>
  <c r="EI30" i="1"/>
  <c r="DZ30" i="1"/>
  <c r="DW30" i="1"/>
  <c r="EM29" i="1"/>
  <c r="EL29" i="1"/>
  <c r="EJ29" i="1"/>
  <c r="EI29" i="1"/>
  <c r="EA29" i="1"/>
  <c r="DZ29" i="1"/>
  <c r="DX29" i="1"/>
  <c r="DW29" i="1"/>
  <c r="EN28" i="1"/>
  <c r="EM28" i="1"/>
  <c r="EH28" i="1"/>
  <c r="EF28" i="1"/>
  <c r="EC28" i="1"/>
  <c r="EB28" i="1"/>
  <c r="EA28" i="1"/>
  <c r="EF27" i="1"/>
  <c r="EC27" i="1"/>
  <c r="EN26" i="1"/>
  <c r="EL26" i="1"/>
  <c r="EI26" i="1"/>
  <c r="EG26" i="1"/>
  <c r="EF26" i="1"/>
  <c r="ED26" i="1"/>
  <c r="EC26" i="1"/>
  <c r="EB26" i="1"/>
  <c r="DZ26" i="1"/>
  <c r="DW26" i="1"/>
  <c r="EL25" i="1"/>
  <c r="EI25" i="1"/>
  <c r="EH25" i="1"/>
  <c r="EG25" i="1"/>
  <c r="DZ25" i="1"/>
  <c r="DW25" i="1"/>
  <c r="EM24" i="1"/>
  <c r="EL24" i="1"/>
  <c r="EJ24" i="1"/>
  <c r="EI24" i="1"/>
  <c r="EA24" i="1"/>
  <c r="DZ24" i="1"/>
  <c r="DX24" i="1"/>
  <c r="DW24" i="1"/>
  <c r="EN23" i="1"/>
  <c r="EM23" i="1"/>
  <c r="EB23" i="1"/>
  <c r="EA23" i="1"/>
  <c r="EN20" i="1"/>
  <c r="EL20" i="1"/>
  <c r="EI20" i="1"/>
  <c r="EB20" i="1"/>
  <c r="DZ20" i="1"/>
  <c r="DW20" i="1"/>
  <c r="EL19" i="1"/>
  <c r="EI19" i="1"/>
  <c r="DZ19" i="1"/>
  <c r="DW19" i="1"/>
  <c r="EM18" i="1"/>
  <c r="EL18" i="1"/>
  <c r="EJ18" i="1"/>
  <c r="EI18" i="1"/>
  <c r="EA18" i="1"/>
  <c r="DZ18" i="1"/>
  <c r="DX18" i="1"/>
  <c r="DW18" i="1"/>
  <c r="EN17" i="1"/>
  <c r="EM17" i="1"/>
  <c r="EH17" i="1"/>
  <c r="EF17" i="1"/>
  <c r="EC17" i="1"/>
  <c r="EB17" i="1"/>
  <c r="EA17" i="1"/>
  <c r="EF16" i="1"/>
  <c r="EC16" i="1"/>
  <c r="EN15" i="1"/>
  <c r="EL15" i="1"/>
  <c r="EI15" i="1"/>
  <c r="EG15" i="1"/>
  <c r="EF15" i="1"/>
  <c r="ED15" i="1"/>
  <c r="EC15" i="1"/>
  <c r="EB15" i="1"/>
  <c r="DZ15" i="1"/>
  <c r="DW15" i="1"/>
  <c r="EL14" i="1"/>
  <c r="EI14" i="1"/>
  <c r="EH14" i="1"/>
  <c r="EG14" i="1"/>
  <c r="DZ14" i="1"/>
  <c r="DW14" i="1"/>
  <c r="EM13" i="1"/>
  <c r="EL13" i="1"/>
  <c r="EJ13" i="1"/>
  <c r="EI13" i="1"/>
  <c r="EA13" i="1"/>
  <c r="DZ13" i="1"/>
  <c r="DX13" i="1"/>
  <c r="DW13" i="1"/>
  <c r="EN12" i="1"/>
  <c r="EM12" i="1"/>
  <c r="EB12" i="1"/>
  <c r="EA12" i="1"/>
  <c r="EN9" i="1"/>
  <c r="EL9" i="1"/>
  <c r="EI9" i="1"/>
  <c r="EB9" i="1"/>
  <c r="DZ9" i="1"/>
  <c r="DW9" i="1"/>
  <c r="EL8" i="1"/>
  <c r="EI8" i="1"/>
  <c r="DZ8" i="1"/>
  <c r="DW8" i="1"/>
  <c r="EM7" i="1"/>
  <c r="EL7" i="1"/>
  <c r="EJ7" i="1"/>
  <c r="EI7" i="1"/>
  <c r="EA7" i="1"/>
  <c r="DZ7" i="1"/>
  <c r="DX7" i="1"/>
  <c r="DW7" i="1"/>
  <c r="EN6" i="1"/>
  <c r="EM6" i="1"/>
  <c r="EH6" i="1"/>
  <c r="EF6" i="1"/>
  <c r="EC6" i="1"/>
  <c r="EB6" i="1"/>
  <c r="EA6" i="1"/>
  <c r="EF5" i="1"/>
  <c r="EC5" i="1"/>
  <c r="EN4" i="1"/>
  <c r="EL4" i="1"/>
  <c r="EI4" i="1"/>
  <c r="EG4" i="1"/>
  <c r="EF4" i="1"/>
  <c r="ED4" i="1"/>
  <c r="EC4" i="1"/>
  <c r="EB4" i="1"/>
  <c r="DZ4" i="1"/>
  <c r="DW4" i="1"/>
  <c r="EL3" i="1"/>
  <c r="EI3" i="1"/>
  <c r="EH3" i="1"/>
  <c r="EG3" i="1"/>
  <c r="DZ3" i="1"/>
  <c r="DW3" i="1"/>
  <c r="EM2" i="1"/>
  <c r="EL2" i="1"/>
  <c r="EJ2" i="1"/>
  <c r="EI2" i="1"/>
  <c r="EA2" i="1"/>
  <c r="DZ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D89" i="21"/>
  <c r="D88" i="21"/>
  <c r="D87" i="21"/>
  <c r="D86" i="21"/>
  <c r="D85" i="21"/>
  <c r="A84" i="2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64" i="21"/>
  <c r="U64" i="21"/>
  <c r="S64" i="21"/>
  <c r="P64" i="21"/>
  <c r="H64" i="21"/>
  <c r="O64" i="21" s="1"/>
  <c r="D64" i="21"/>
  <c r="W74" i="21"/>
  <c r="U74" i="21"/>
  <c r="S74" i="21"/>
  <c r="P74" i="21"/>
  <c r="H74" i="21"/>
  <c r="O74" i="21" s="1"/>
  <c r="D74" i="21"/>
  <c r="W72" i="21"/>
  <c r="U72" i="21"/>
  <c r="S72" i="21"/>
  <c r="P72" i="21"/>
  <c r="O72" i="21"/>
  <c r="H72" i="21"/>
  <c r="D72" i="21"/>
  <c r="W65" i="21"/>
  <c r="U65" i="21"/>
  <c r="S65" i="21"/>
  <c r="P65" i="21"/>
  <c r="H65" i="21"/>
  <c r="O65" i="21" s="1"/>
  <c r="D65" i="21"/>
  <c r="W67" i="21"/>
  <c r="U67" i="21"/>
  <c r="S67" i="21"/>
  <c r="P67" i="21"/>
  <c r="H67" i="21"/>
  <c r="O67" i="21" s="1"/>
  <c r="D67" i="21"/>
  <c r="W51" i="21"/>
  <c r="U51" i="21"/>
  <c r="S51" i="21"/>
  <c r="P51" i="21"/>
  <c r="H51" i="21"/>
  <c r="O51" i="21" s="1"/>
  <c r="D51" i="21"/>
  <c r="W58" i="21"/>
  <c r="U58" i="21"/>
  <c r="S58" i="21"/>
  <c r="P58" i="21"/>
  <c r="H58" i="21"/>
  <c r="O58" i="21" s="1"/>
  <c r="D58" i="21"/>
  <c r="W66" i="21"/>
  <c r="U66" i="21"/>
  <c r="S66" i="21"/>
  <c r="P66" i="21"/>
  <c r="H66" i="21"/>
  <c r="O66" i="21" s="1"/>
  <c r="D66" i="21"/>
  <c r="W60" i="21"/>
  <c r="U60" i="21"/>
  <c r="S60" i="21"/>
  <c r="P60" i="21"/>
  <c r="H60" i="21"/>
  <c r="O60" i="21" s="1"/>
  <c r="D60" i="21"/>
  <c r="W71" i="21"/>
  <c r="U71" i="21"/>
  <c r="S71" i="21"/>
  <c r="P71" i="21"/>
  <c r="H71" i="21"/>
  <c r="O71" i="21" s="1"/>
  <c r="D71" i="21"/>
  <c r="W69" i="21"/>
  <c r="U69" i="21"/>
  <c r="S69" i="21"/>
  <c r="P69" i="21"/>
  <c r="H69" i="21"/>
  <c r="O69" i="21" s="1"/>
  <c r="D69" i="21"/>
  <c r="W54" i="21"/>
  <c r="U54" i="21"/>
  <c r="S54" i="21"/>
  <c r="P54" i="21"/>
  <c r="H54" i="21"/>
  <c r="O54" i="21" s="1"/>
  <c r="D54" i="21"/>
  <c r="W53" i="21"/>
  <c r="U53" i="21"/>
  <c r="S53" i="21"/>
  <c r="P53" i="21"/>
  <c r="H53" i="21"/>
  <c r="O53" i="21" s="1"/>
  <c r="D53" i="21"/>
  <c r="W49" i="21"/>
  <c r="U49" i="21"/>
  <c r="S49" i="21"/>
  <c r="P49" i="21"/>
  <c r="H49" i="21"/>
  <c r="O49" i="21" s="1"/>
  <c r="D49" i="21"/>
  <c r="W68" i="21"/>
  <c r="U68" i="21"/>
  <c r="S68" i="21"/>
  <c r="P68" i="21"/>
  <c r="H68" i="21"/>
  <c r="O68" i="21" s="1"/>
  <c r="D68" i="21"/>
  <c r="W56" i="21"/>
  <c r="U56" i="21"/>
  <c r="S56" i="21"/>
  <c r="P56" i="21"/>
  <c r="H56" i="21"/>
  <c r="O56" i="21" s="1"/>
  <c r="D56" i="21"/>
  <c r="W61" i="21"/>
  <c r="U61" i="21"/>
  <c r="S61" i="21"/>
  <c r="P61" i="21"/>
  <c r="H61" i="21"/>
  <c r="O61" i="21" s="1"/>
  <c r="D61" i="21"/>
  <c r="W55" i="21"/>
  <c r="U55" i="21"/>
  <c r="S55" i="21"/>
  <c r="P55" i="21"/>
  <c r="H55" i="21"/>
  <c r="O55" i="21" s="1"/>
  <c r="D55" i="21"/>
  <c r="W73" i="21"/>
  <c r="U73" i="21"/>
  <c r="S73" i="21"/>
  <c r="P73" i="21"/>
  <c r="H73" i="21"/>
  <c r="O73" i="21" s="1"/>
  <c r="D73" i="21"/>
  <c r="W48" i="21"/>
  <c r="U48" i="21"/>
  <c r="S48" i="21"/>
  <c r="P48" i="21"/>
  <c r="O48" i="21"/>
  <c r="H48" i="21"/>
  <c r="D48" i="21"/>
  <c r="W50" i="21"/>
  <c r="U50" i="21"/>
  <c r="S50" i="21"/>
  <c r="P50" i="21"/>
  <c r="H50" i="21"/>
  <c r="O50" i="21" s="1"/>
  <c r="D50" i="21"/>
  <c r="W63" i="21"/>
  <c r="U63" i="21"/>
  <c r="S63" i="21"/>
  <c r="P63" i="21"/>
  <c r="H63" i="21"/>
  <c r="O63" i="21" s="1"/>
  <c r="D63" i="21"/>
  <c r="W75" i="21"/>
  <c r="U75" i="21"/>
  <c r="S75" i="21"/>
  <c r="P75" i="21"/>
  <c r="H75" i="21"/>
  <c r="O75" i="21" s="1"/>
  <c r="D75" i="21"/>
  <c r="W57" i="21"/>
  <c r="U57" i="21"/>
  <c r="S57" i="21"/>
  <c r="P57" i="21"/>
  <c r="H57" i="21"/>
  <c r="O57" i="21" s="1"/>
  <c r="D57" i="21"/>
  <c r="W59" i="21"/>
  <c r="U59" i="21"/>
  <c r="S59" i="21"/>
  <c r="P59" i="21"/>
  <c r="H59" i="21"/>
  <c r="O59" i="21" s="1"/>
  <c r="D59" i="21"/>
  <c r="W52" i="21"/>
  <c r="U52" i="21"/>
  <c r="S52" i="21"/>
  <c r="P52" i="21"/>
  <c r="H52" i="21"/>
  <c r="O52" i="21" s="1"/>
  <c r="D52" i="21"/>
  <c r="W70" i="21"/>
  <c r="U70" i="21"/>
  <c r="S70" i="21"/>
  <c r="P70" i="21"/>
  <c r="H70" i="21"/>
  <c r="O70" i="21" s="1"/>
  <c r="D70" i="21"/>
  <c r="W62" i="21"/>
  <c r="U62" i="21"/>
  <c r="S62" i="21"/>
  <c r="P62" i="21"/>
  <c r="H62" i="21"/>
  <c r="O62" i="21" s="1"/>
  <c r="D62" i="21"/>
  <c r="A47" i="21"/>
  <c r="R45" i="21"/>
  <c r="Q45" i="21"/>
  <c r="P45" i="21"/>
  <c r="R44" i="21"/>
  <c r="Q44" i="21"/>
  <c r="P44" i="21"/>
  <c r="R43" i="21"/>
  <c r="Q43" i="21"/>
  <c r="P43" i="21"/>
  <c r="R42" i="21"/>
  <c r="Q42" i="21"/>
  <c r="P42" i="21"/>
  <c r="R41" i="21"/>
  <c r="Q41" i="21"/>
  <c r="P41" i="21"/>
  <c r="R40" i="21"/>
  <c r="Q40" i="21"/>
  <c r="P40" i="21"/>
  <c r="R39" i="21"/>
  <c r="Q39" i="21"/>
  <c r="P39" i="21"/>
  <c r="O36" i="21"/>
  <c r="O35" i="21"/>
  <c r="O34" i="21"/>
  <c r="O33" i="21"/>
  <c r="O32" i="21"/>
  <c r="O31" i="21"/>
  <c r="O30" i="21"/>
  <c r="O29" i="21"/>
  <c r="O28" i="21"/>
  <c r="O27" i="21"/>
  <c r="O26" i="21"/>
  <c r="O25" i="21"/>
  <c r="O24" i="21"/>
  <c r="O23" i="21"/>
  <c r="O22" i="21"/>
  <c r="O21" i="21"/>
  <c r="O20" i="21"/>
  <c r="O19" i="21"/>
  <c r="O18" i="21"/>
  <c r="O17" i="21"/>
  <c r="O16" i="21"/>
  <c r="O15" i="21"/>
  <c r="O14" i="21"/>
  <c r="O13" i="21"/>
  <c r="O12" i="21"/>
  <c r="O11" i="21"/>
  <c r="O10" i="21"/>
  <c r="O9" i="21"/>
  <c r="O8" i="21"/>
  <c r="O7" i="21"/>
  <c r="O6" i="21"/>
  <c r="O5" i="21"/>
  <c r="O4" i="21"/>
  <c r="O3" i="21"/>
  <c r="O2" i="21"/>
  <c r="DO50" i="1"/>
  <c r="DR49" i="1"/>
  <c r="DO48" i="1"/>
  <c r="DF48" i="1"/>
  <c r="DR47" i="1"/>
  <c r="DI47" i="1"/>
  <c r="DU44" i="1"/>
  <c r="DR44" i="1"/>
  <c r="DN44" i="1"/>
  <c r="DJ44" i="1"/>
  <c r="DH44" i="1"/>
  <c r="DE44" i="1"/>
  <c r="DO43" i="1"/>
  <c r="DN43" i="1"/>
  <c r="DE43" i="1"/>
  <c r="DV42" i="1"/>
  <c r="DU42" i="1"/>
  <c r="DH42" i="1"/>
  <c r="DE42" i="1"/>
  <c r="DF41" i="1"/>
  <c r="DE41" i="1"/>
  <c r="DU40" i="1"/>
  <c r="DR40" i="1"/>
  <c r="DN40" i="1"/>
  <c r="DJ40" i="1"/>
  <c r="DI40" i="1"/>
  <c r="DO39" i="1"/>
  <c r="DN39" i="1"/>
  <c r="DV38" i="1"/>
  <c r="DU38" i="1"/>
  <c r="DJ38" i="1"/>
  <c r="DH38" i="1"/>
  <c r="DE38" i="1"/>
  <c r="DE37" i="1"/>
  <c r="DU36" i="1"/>
  <c r="DR36" i="1"/>
  <c r="DN36" i="1"/>
  <c r="DH36" i="1"/>
  <c r="DE36" i="1"/>
  <c r="DO35" i="1"/>
  <c r="DN35" i="1"/>
  <c r="DF35" i="1"/>
  <c r="DE35" i="1"/>
  <c r="DV34" i="1"/>
  <c r="DU34" i="1"/>
  <c r="DJ34" i="1"/>
  <c r="DI34" i="1"/>
  <c r="DV31" i="1"/>
  <c r="DT31" i="1"/>
  <c r="DQ31" i="1"/>
  <c r="DJ31" i="1"/>
  <c r="DH31" i="1"/>
  <c r="DE31" i="1"/>
  <c r="DR29" i="1"/>
  <c r="DQ29" i="1"/>
  <c r="DF29" i="1"/>
  <c r="DE29" i="1"/>
  <c r="DV28" i="1"/>
  <c r="DU28" i="1"/>
  <c r="DP28" i="1"/>
  <c r="DN28" i="1"/>
  <c r="DK28" i="1"/>
  <c r="DJ28" i="1"/>
  <c r="DI28" i="1"/>
  <c r="DV26" i="1"/>
  <c r="DT26" i="1"/>
  <c r="DQ26" i="1"/>
  <c r="DL26" i="1"/>
  <c r="DK26" i="1"/>
  <c r="DJ26" i="1"/>
  <c r="DH26" i="1"/>
  <c r="DE26" i="1"/>
  <c r="DP25" i="1"/>
  <c r="DO25" i="1"/>
  <c r="DR24" i="1"/>
  <c r="DQ24" i="1"/>
  <c r="DF24" i="1"/>
  <c r="DE24" i="1"/>
  <c r="DV23" i="1"/>
  <c r="DU23" i="1"/>
  <c r="DJ23" i="1"/>
  <c r="DI23" i="1"/>
  <c r="DV20" i="1"/>
  <c r="DT20" i="1"/>
  <c r="DQ20" i="1"/>
  <c r="DJ20" i="1"/>
  <c r="DH20" i="1"/>
  <c r="DE20" i="1"/>
  <c r="DR18" i="1"/>
  <c r="DQ18" i="1"/>
  <c r="DF18" i="1"/>
  <c r="DE18" i="1"/>
  <c r="DV17" i="1"/>
  <c r="DU17" i="1"/>
  <c r="DP17" i="1"/>
  <c r="DN17" i="1"/>
  <c r="DK17" i="1"/>
  <c r="DJ17" i="1"/>
  <c r="DI17" i="1"/>
  <c r="DV15" i="1"/>
  <c r="DT15" i="1"/>
  <c r="DQ15" i="1"/>
  <c r="DL15" i="1"/>
  <c r="DK15" i="1"/>
  <c r="DJ15" i="1"/>
  <c r="DH15" i="1"/>
  <c r="DE15" i="1"/>
  <c r="DP14" i="1"/>
  <c r="DO14" i="1"/>
  <c r="DR13" i="1"/>
  <c r="DQ13" i="1"/>
  <c r="DF13" i="1"/>
  <c r="DE13" i="1"/>
  <c r="DV12" i="1"/>
  <c r="DU12" i="1"/>
  <c r="DJ12" i="1"/>
  <c r="DI12" i="1"/>
  <c r="DV9" i="1"/>
  <c r="DT9" i="1"/>
  <c r="DQ9" i="1"/>
  <c r="DJ9" i="1"/>
  <c r="DH9" i="1"/>
  <c r="DE9" i="1"/>
  <c r="DR7" i="1"/>
  <c r="DQ7" i="1"/>
  <c r="DF7" i="1"/>
  <c r="DE7" i="1"/>
  <c r="DV6" i="1"/>
  <c r="DU6" i="1"/>
  <c r="DP6" i="1"/>
  <c r="DN6" i="1"/>
  <c r="DK6" i="1"/>
  <c r="DJ6" i="1"/>
  <c r="DI6" i="1"/>
  <c r="DV4" i="1"/>
  <c r="DT4" i="1"/>
  <c r="DQ4" i="1"/>
  <c r="DL4" i="1"/>
  <c r="DK4" i="1"/>
  <c r="DJ4" i="1"/>
  <c r="DH4" i="1"/>
  <c r="DE4" i="1"/>
  <c r="DP3" i="1"/>
  <c r="DO3" i="1"/>
  <c r="DR2" i="1"/>
  <c r="DQ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A84" i="19"/>
  <c r="D85" i="19" s="1"/>
  <c r="DE48" i="1"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2" i="19"/>
  <c r="U72" i="19"/>
  <c r="S72" i="19"/>
  <c r="P72" i="19"/>
  <c r="H72" i="19"/>
  <c r="O72" i="19" s="1"/>
  <c r="W65" i="19"/>
  <c r="U65" i="19"/>
  <c r="S65" i="19"/>
  <c r="DI37" i="1" s="1"/>
  <c r="P65" i="19"/>
  <c r="DI35" i="1" s="1"/>
  <c r="H65" i="19"/>
  <c r="O65" i="19" s="1"/>
  <c r="W56" i="19"/>
  <c r="U56" i="19"/>
  <c r="S56" i="19"/>
  <c r="DI43" i="1" s="1"/>
  <c r="P56" i="19"/>
  <c r="DI41" i="1" s="1"/>
  <c r="H56" i="19"/>
  <c r="O56" i="19" s="1"/>
  <c r="W63" i="19"/>
  <c r="U63" i="19"/>
  <c r="S63" i="19"/>
  <c r="P63" i="19"/>
  <c r="DR39" i="1" s="1"/>
  <c r="H63" i="19"/>
  <c r="O63" i="19" s="1"/>
  <c r="DO40" i="1" s="1"/>
  <c r="W53" i="19"/>
  <c r="U53" i="19"/>
  <c r="S53" i="19"/>
  <c r="P53" i="19"/>
  <c r="H53" i="19"/>
  <c r="O53" i="19" s="1"/>
  <c r="W66" i="19"/>
  <c r="U66" i="19"/>
  <c r="S66" i="19"/>
  <c r="P66" i="19"/>
  <c r="H66" i="19"/>
  <c r="O66" i="19" s="1"/>
  <c r="W69" i="19"/>
  <c r="U69" i="19"/>
  <c r="S69" i="19"/>
  <c r="P69" i="19"/>
  <c r="DI24" i="1" s="1"/>
  <c r="H69" i="19"/>
  <c r="O69" i="19" s="1"/>
  <c r="DH25" i="1" s="1"/>
  <c r="W49" i="19"/>
  <c r="U49" i="19"/>
  <c r="S49" i="19"/>
  <c r="P49" i="19"/>
  <c r="H49" i="19"/>
  <c r="O49" i="19" s="1"/>
  <c r="W75" i="19"/>
  <c r="U75" i="19"/>
  <c r="S75" i="19"/>
  <c r="P75" i="19"/>
  <c r="H75" i="19"/>
  <c r="O75" i="19" s="1"/>
  <c r="W60" i="19"/>
  <c r="U60" i="19"/>
  <c r="S60" i="19"/>
  <c r="P60" i="19"/>
  <c r="DR43" i="1" s="1"/>
  <c r="H60" i="19"/>
  <c r="O60" i="19" s="1"/>
  <c r="DO44" i="1" s="1"/>
  <c r="W57" i="19"/>
  <c r="U57" i="19"/>
  <c r="S57" i="19"/>
  <c r="P57" i="19"/>
  <c r="DU29" i="1" s="1"/>
  <c r="H57" i="19"/>
  <c r="O57" i="19" s="1"/>
  <c r="DT30" i="1" s="1"/>
  <c r="W52" i="19"/>
  <c r="U52" i="19"/>
  <c r="S52" i="19"/>
  <c r="P52" i="19"/>
  <c r="H52" i="19"/>
  <c r="O52" i="19" s="1"/>
  <c r="W68" i="19"/>
  <c r="U68" i="19"/>
  <c r="S68" i="19"/>
  <c r="P68" i="19"/>
  <c r="DO26" i="1" s="1"/>
  <c r="H68" i="19"/>
  <c r="O68" i="19" s="1"/>
  <c r="DN27" i="1" s="1"/>
  <c r="W58" i="19"/>
  <c r="U58" i="19"/>
  <c r="S58" i="19"/>
  <c r="P58" i="19"/>
  <c r="H58" i="19"/>
  <c r="O58" i="19" s="1"/>
  <c r="W61" i="19"/>
  <c r="U61" i="19"/>
  <c r="S61" i="19"/>
  <c r="P61" i="19"/>
  <c r="DU18" i="1" s="1"/>
  <c r="H61" i="19"/>
  <c r="O61" i="19" s="1"/>
  <c r="DT19" i="1" s="1"/>
  <c r="W50" i="19"/>
  <c r="U50" i="19"/>
  <c r="S50" i="19"/>
  <c r="P50" i="19"/>
  <c r="DI29" i="1" s="1"/>
  <c r="H50" i="19"/>
  <c r="O50" i="19" s="1"/>
  <c r="DH30" i="1" s="1"/>
  <c r="W51" i="19"/>
  <c r="U51" i="19"/>
  <c r="S51" i="19"/>
  <c r="P51" i="19"/>
  <c r="H51" i="19"/>
  <c r="O51" i="19" s="1"/>
  <c r="W76" i="19"/>
  <c r="U76" i="19"/>
  <c r="S76" i="19"/>
  <c r="P76" i="19"/>
  <c r="DI18" i="1" s="1"/>
  <c r="H76" i="19"/>
  <c r="O76" i="19" s="1"/>
  <c r="DH19" i="1" s="1"/>
  <c r="W59" i="19"/>
  <c r="U59" i="19"/>
  <c r="S59" i="19"/>
  <c r="P59" i="19"/>
  <c r="H59" i="19"/>
  <c r="O59" i="19" s="1"/>
  <c r="W55" i="19"/>
  <c r="U55" i="19"/>
  <c r="S55" i="19"/>
  <c r="P55" i="19"/>
  <c r="DR35" i="1" s="1"/>
  <c r="H55" i="19"/>
  <c r="O55" i="19" s="1"/>
  <c r="DO36" i="1" s="1"/>
  <c r="W73" i="19"/>
  <c r="U73" i="19"/>
  <c r="S73" i="19"/>
  <c r="P73" i="19"/>
  <c r="DU24" i="1" s="1"/>
  <c r="H73" i="19"/>
  <c r="O73" i="19" s="1"/>
  <c r="DT25" i="1" s="1"/>
  <c r="W71" i="19"/>
  <c r="U71" i="19"/>
  <c r="S71" i="19"/>
  <c r="P71" i="19"/>
  <c r="DI13" i="1" s="1"/>
  <c r="H71" i="19"/>
  <c r="O71" i="19" s="1"/>
  <c r="DH14" i="1" s="1"/>
  <c r="W74" i="19"/>
  <c r="U74" i="19"/>
  <c r="S74" i="19"/>
  <c r="P74" i="19"/>
  <c r="DI7" i="1" s="1"/>
  <c r="H74" i="19"/>
  <c r="O74" i="19" s="1"/>
  <c r="DH8" i="1" s="1"/>
  <c r="W48" i="19"/>
  <c r="U48" i="19"/>
  <c r="S48" i="19"/>
  <c r="P48" i="19"/>
  <c r="DI2" i="1" s="1"/>
  <c r="H48" i="19"/>
  <c r="O48" i="19" s="1"/>
  <c r="DH3" i="1" s="1"/>
  <c r="W70" i="19"/>
  <c r="U70" i="19"/>
  <c r="S70" i="19"/>
  <c r="P70" i="19"/>
  <c r="DO15" i="1" s="1"/>
  <c r="H70" i="19"/>
  <c r="O70" i="19" s="1"/>
  <c r="DN16" i="1" s="1"/>
  <c r="W67" i="19"/>
  <c r="U67" i="19"/>
  <c r="S67" i="19"/>
  <c r="P67" i="19"/>
  <c r="DU7" i="1" s="1"/>
  <c r="H67" i="19"/>
  <c r="O67" i="19" s="1"/>
  <c r="DT8" i="1" s="1"/>
  <c r="W62" i="19"/>
  <c r="U62" i="19"/>
  <c r="S62" i="19"/>
  <c r="P62" i="19"/>
  <c r="DU13" i="1" s="1"/>
  <c r="H62" i="19"/>
  <c r="O62" i="19" s="1"/>
  <c r="DT14" i="1" s="1"/>
  <c r="W64" i="19"/>
  <c r="U64" i="19"/>
  <c r="S64" i="19"/>
  <c r="P64" i="19"/>
  <c r="DU2" i="1" s="1"/>
  <c r="H64" i="19"/>
  <c r="O64" i="19" s="1"/>
  <c r="DT3" i="1" s="1"/>
  <c r="W54" i="19"/>
  <c r="U54" i="19"/>
  <c r="S54" i="19"/>
  <c r="P54" i="19"/>
  <c r="DO4" i="1" s="1"/>
  <c r="H54" i="19"/>
  <c r="O54" i="19" s="1"/>
  <c r="DN5" i="1" s="1"/>
  <c r="A47" i="19"/>
  <c r="D65" i="19" s="1"/>
  <c r="DH35" i="1" s="1"/>
  <c r="R45" i="19"/>
  <c r="Q45" i="19"/>
  <c r="P45" i="19"/>
  <c r="R44" i="19"/>
  <c r="Q44" i="19"/>
  <c r="P44" i="19"/>
  <c r="R43" i="19"/>
  <c r="Q43" i="19"/>
  <c r="P43" i="19"/>
  <c r="R42" i="19"/>
  <c r="Q42" i="19"/>
  <c r="P42" i="19"/>
  <c r="R41" i="19"/>
  <c r="DF42" i="1" s="1"/>
  <c r="Q41" i="19"/>
  <c r="DJ42" i="1" s="1"/>
  <c r="P41" i="19"/>
  <c r="DG43" i="1" s="1"/>
  <c r="R40" i="19"/>
  <c r="Q40" i="19"/>
  <c r="P40" i="19"/>
  <c r="R39" i="19"/>
  <c r="DF36" i="1" s="1"/>
  <c r="Q39" i="19"/>
  <c r="DJ36" i="1" s="1"/>
  <c r="P39" i="19"/>
  <c r="DG37" i="1" s="1"/>
  <c r="O36" i="19"/>
  <c r="O35" i="19"/>
  <c r="O34" i="19"/>
  <c r="O33" i="19"/>
  <c r="O32" i="19"/>
  <c r="O31" i="19"/>
  <c r="O30" i="19"/>
  <c r="O29" i="19"/>
  <c r="O28" i="19"/>
  <c r="O27" i="19"/>
  <c r="O26" i="19"/>
  <c r="O25" i="19"/>
  <c r="O24" i="19"/>
  <c r="O23" i="19"/>
  <c r="O22" i="19"/>
  <c r="O21" i="19"/>
  <c r="O20" i="19"/>
  <c r="O19" i="19"/>
  <c r="O18" i="19"/>
  <c r="O17" i="19"/>
  <c r="O16" i="19"/>
  <c r="O15" i="19"/>
  <c r="O14" i="19"/>
  <c r="O13" i="19"/>
  <c r="O12" i="19"/>
  <c r="O11" i="19"/>
  <c r="O10" i="19"/>
  <c r="O9" i="19"/>
  <c r="O8" i="19"/>
  <c r="O7" i="19"/>
  <c r="O6" i="19"/>
  <c r="O5" i="19"/>
  <c r="O4" i="19"/>
  <c r="O3" i="19"/>
  <c r="O2" i="19"/>
  <c r="DK5" i="1" s="1"/>
  <c r="Z30" i="1"/>
  <c r="Z19" i="1"/>
  <c r="DT39" i="1" l="1"/>
  <c r="DQ30" i="1"/>
  <c r="DE3" i="1"/>
  <c r="DE8" i="1"/>
  <c r="DT35" i="1"/>
  <c r="DE14" i="1"/>
  <c r="DE30" i="1"/>
  <c r="DQ25" i="1"/>
  <c r="DQ8" i="1"/>
  <c r="DQ14" i="1"/>
  <c r="DQ3" i="1"/>
  <c r="DQ19" i="1"/>
  <c r="DT43" i="1"/>
  <c r="DE25" i="1"/>
  <c r="DE19" i="1"/>
  <c r="DK16" i="1"/>
  <c r="DK27" i="1"/>
  <c r="V48" i="21"/>
  <c r="T48" i="21" s="1"/>
  <c r="V52" i="21"/>
  <c r="T52" i="21" s="1"/>
  <c r="D89" i="19"/>
  <c r="D88" i="19"/>
  <c r="V57" i="21"/>
  <c r="T57" i="21" s="1"/>
  <c r="V68" i="21"/>
  <c r="T68" i="21" s="1"/>
  <c r="V71" i="21"/>
  <c r="T71" i="21" s="1"/>
  <c r="V65" i="21"/>
  <c r="T65" i="21" s="1"/>
  <c r="V67" i="21"/>
  <c r="T67" i="21" s="1"/>
  <c r="V49" i="21"/>
  <c r="T49" i="21" s="1"/>
  <c r="V56" i="21"/>
  <c r="T56" i="21" s="1"/>
  <c r="V58" i="21"/>
  <c r="T58" i="21" s="1"/>
  <c r="V75" i="21"/>
  <c r="T75" i="21" s="1"/>
  <c r="V63" i="21"/>
  <c r="T63" i="21" s="1"/>
  <c r="V54" i="21"/>
  <c r="T54" i="21" s="1"/>
  <c r="V64" i="21"/>
  <c r="T64" i="21" s="1"/>
  <c r="V60" i="21"/>
  <c r="T60" i="21" s="1"/>
  <c r="V55" i="21"/>
  <c r="T55" i="21" s="1"/>
  <c r="V53" i="21"/>
  <c r="T53" i="21" s="1"/>
  <c r="V66" i="21"/>
  <c r="T66" i="21" s="1"/>
  <c r="V50" i="21"/>
  <c r="T50" i="21" s="1"/>
  <c r="V62" i="21"/>
  <c r="T62" i="21" s="1"/>
  <c r="V70" i="21"/>
  <c r="T70" i="21" s="1"/>
  <c r="V73" i="21"/>
  <c r="T73" i="21" s="1"/>
  <c r="V69" i="21"/>
  <c r="T69" i="21" s="1"/>
  <c r="V72" i="21"/>
  <c r="T72" i="21" s="1"/>
  <c r="V51" i="21"/>
  <c r="T51" i="21" s="1"/>
  <c r="V74" i="21"/>
  <c r="T74" i="21" s="1"/>
  <c r="V59" i="21"/>
  <c r="T59" i="21" s="1"/>
  <c r="V61" i="21"/>
  <c r="T61" i="21" s="1"/>
  <c r="V74" i="19"/>
  <c r="T74" i="19" s="1"/>
  <c r="V62" i="19"/>
  <c r="T62" i="19" s="1"/>
  <c r="V51" i="19"/>
  <c r="T51" i="19" s="1"/>
  <c r="V58" i="19"/>
  <c r="T58" i="19" s="1"/>
  <c r="V72" i="19"/>
  <c r="T72" i="19" s="1"/>
  <c r="V57" i="19"/>
  <c r="T57" i="19" s="1"/>
  <c r="V68" i="19"/>
  <c r="T68" i="19" s="1"/>
  <c r="V73" i="19"/>
  <c r="T73" i="19" s="1"/>
  <c r="V53" i="19"/>
  <c r="T53" i="19" s="1"/>
  <c r="V70" i="19"/>
  <c r="T70" i="19" s="1"/>
  <c r="V69" i="19"/>
  <c r="T69" i="19" s="1"/>
  <c r="V75" i="19"/>
  <c r="T75" i="19" s="1"/>
  <c r="V66" i="19"/>
  <c r="T66" i="19" s="1"/>
  <c r="V67" i="19"/>
  <c r="T67" i="19" s="1"/>
  <c r="V59" i="19"/>
  <c r="T59" i="19" s="1"/>
  <c r="V56" i="19"/>
  <c r="T56" i="19" s="1"/>
  <c r="D62" i="19"/>
  <c r="DT13" i="1" s="1"/>
  <c r="D69" i="19"/>
  <c r="D87" i="19"/>
  <c r="DN50" i="1" s="1"/>
  <c r="D86" i="19"/>
  <c r="DN48" i="1" s="1"/>
  <c r="D48" i="19"/>
  <c r="D61" i="19"/>
  <c r="D54" i="19"/>
  <c r="DN4" i="1" s="1"/>
  <c r="D49" i="19"/>
  <c r="D57" i="19"/>
  <c r="DT29" i="1" s="1"/>
  <c r="D70" i="19"/>
  <c r="D50" i="19"/>
  <c r="DH29" i="1" s="1"/>
  <c r="D73" i="19"/>
  <c r="DT24" i="1" s="1"/>
  <c r="D74" i="19"/>
  <c r="D59" i="19"/>
  <c r="D51" i="19"/>
  <c r="V48" i="19"/>
  <c r="T48" i="19" s="1"/>
  <c r="V50" i="19"/>
  <c r="T50" i="19" s="1"/>
  <c r="D75" i="19"/>
  <c r="V49" i="19"/>
  <c r="T49" i="19" s="1"/>
  <c r="D72" i="19"/>
  <c r="V61" i="19"/>
  <c r="T61" i="19" s="1"/>
  <c r="V71" i="19"/>
  <c r="T71" i="19" s="1"/>
  <c r="V54" i="19"/>
  <c r="T54" i="19" s="1"/>
  <c r="D71" i="19"/>
  <c r="DH13" i="1" s="1"/>
  <c r="D58" i="19"/>
  <c r="D66" i="19"/>
  <c r="V64" i="19"/>
  <c r="T64" i="19" s="1"/>
  <c r="V55" i="19"/>
  <c r="T55" i="19" s="1"/>
  <c r="D68" i="19"/>
  <c r="V52" i="19"/>
  <c r="T52" i="19" s="1"/>
  <c r="D53" i="19"/>
  <c r="V63" i="19"/>
  <c r="T63" i="19" s="1"/>
  <c r="D64" i="19"/>
  <c r="D55" i="19"/>
  <c r="DQ35" i="1" s="1"/>
  <c r="D52" i="19"/>
  <c r="D63" i="19"/>
  <c r="DQ39" i="1" s="1"/>
  <c r="V76" i="19"/>
  <c r="T76" i="19" s="1"/>
  <c r="V60" i="19"/>
  <c r="T60" i="19" s="1"/>
  <c r="D56" i="19"/>
  <c r="DH41" i="1" s="1"/>
  <c r="V65" i="19"/>
  <c r="T65" i="19" s="1"/>
  <c r="D67" i="19"/>
  <c r="DT2" i="1" s="1"/>
  <c r="D76" i="19"/>
  <c r="DH18" i="1" s="1"/>
  <c r="D60" i="19"/>
  <c r="DQ43" i="1" s="1"/>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C9" i="18"/>
  <c r="I9" i="18"/>
  <c r="C8" i="18"/>
  <c r="G5" i="18"/>
  <c r="F6" i="18"/>
  <c r="N6" i="18"/>
  <c r="M8" i="18"/>
  <c r="M5" i="18"/>
  <c r="K6" i="18"/>
  <c r="G7" i="18"/>
  <c r="O6" i="18"/>
  <c r="N2" i="18"/>
  <c r="B4" i="18"/>
  <c r="L5" i="18"/>
  <c r="E9" i="18"/>
  <c r="E3" i="18"/>
  <c r="N5" i="18"/>
  <c r="C4" i="18"/>
  <c r="N9" i="18"/>
  <c r="K8" i="18"/>
  <c r="L4" i="18"/>
  <c r="G4" i="18"/>
  <c r="F9" i="18"/>
  <c r="K4" i="18"/>
  <c r="B8" i="18"/>
  <c r="M7" i="18"/>
  <c r="H4" i="18"/>
  <c r="G3" i="18"/>
  <c r="E8" i="18"/>
  <c r="B7" i="18"/>
  <c r="G6" i="18"/>
  <c r="M6" i="18"/>
  <c r="D2" i="18"/>
  <c r="D5" i="18"/>
  <c r="H6" i="18"/>
  <c r="J5" i="18"/>
  <c r="G2" i="18"/>
  <c r="L9" i="18"/>
  <c r="O2" i="18"/>
  <c r="I4" i="18"/>
  <c r="O4" i="18"/>
  <c r="N4" i="18"/>
  <c r="G9" i="18"/>
  <c r="O5" i="18"/>
  <c r="C7" i="18"/>
  <c r="C2" i="18"/>
  <c r="B5" i="18"/>
  <c r="I3" i="18"/>
  <c r="J2" i="18"/>
  <c r="K5" i="18"/>
  <c r="K7" i="18"/>
  <c r="F4" i="18"/>
  <c r="D9" i="18"/>
  <c r="D6" i="18"/>
  <c r="D8" i="18"/>
  <c r="E4" i="18"/>
  <c r="O9" i="18"/>
  <c r="G8" i="18"/>
  <c r="L2" i="18"/>
  <c r="D7" i="18"/>
  <c r="E2" i="18"/>
  <c r="I8" i="18"/>
  <c r="J4" i="18"/>
  <c r="F5" i="18"/>
  <c r="C5" i="18"/>
  <c r="E6" i="18"/>
  <c r="M4" i="18"/>
  <c r="J6" i="18"/>
  <c r="E7" i="18"/>
  <c r="B6" i="18"/>
  <c r="B2" i="18"/>
  <c r="C3" i="18"/>
  <c r="M2" i="18"/>
  <c r="I5" i="18"/>
  <c r="J9" i="18"/>
  <c r="K9" i="18"/>
  <c r="I6" i="18"/>
  <c r="C6" i="18"/>
  <c r="I2" i="18"/>
  <c r="H5" i="18"/>
  <c r="I7" i="18"/>
  <c r="F2" i="18"/>
  <c r="K3" i="18"/>
  <c r="L6" i="18"/>
  <c r="M9" i="18"/>
  <c r="H2" i="18"/>
  <c r="M3" i="18"/>
  <c r="K2" i="18"/>
  <c r="B9" i="18"/>
  <c r="B3" i="18"/>
  <c r="D3" i="18"/>
  <c r="E5" i="18"/>
  <c r="D4" i="18"/>
  <c r="H9" i="18"/>
  <c r="DH24" i="1" l="1"/>
  <c r="DN26" i="1"/>
  <c r="DT18" i="1"/>
  <c r="DN15" i="1"/>
  <c r="DT7" i="1"/>
  <c r="DH2" i="1"/>
  <c r="DH7" i="1"/>
  <c r="CW50" i="1"/>
  <c r="CZ49" i="1"/>
  <c r="CW48" i="1"/>
  <c r="CN48" i="1"/>
  <c r="CZ47" i="1"/>
  <c r="CQ47" i="1"/>
  <c r="DC44" i="1"/>
  <c r="CZ44" i="1"/>
  <c r="CV44" i="1"/>
  <c r="CR44" i="1"/>
  <c r="CP44" i="1"/>
  <c r="CM44" i="1"/>
  <c r="DB43" i="1"/>
  <c r="CW43" i="1"/>
  <c r="CV43" i="1"/>
  <c r="CM43" i="1"/>
  <c r="DD42" i="1"/>
  <c r="DC42" i="1"/>
  <c r="CP42" i="1"/>
  <c r="CM42" i="1"/>
  <c r="CN41" i="1"/>
  <c r="CM41" i="1"/>
  <c r="DC40" i="1"/>
  <c r="CZ40" i="1"/>
  <c r="CV40" i="1"/>
  <c r="CR40" i="1"/>
  <c r="CQ40" i="1"/>
  <c r="DB39" i="1"/>
  <c r="CW39" i="1"/>
  <c r="CV39" i="1"/>
  <c r="DD38" i="1"/>
  <c r="DC38" i="1"/>
  <c r="CR38" i="1"/>
  <c r="CP38" i="1"/>
  <c r="CM38" i="1"/>
  <c r="CM37" i="1"/>
  <c r="DC36" i="1"/>
  <c r="CZ36" i="1"/>
  <c r="CV36" i="1"/>
  <c r="CP36" i="1"/>
  <c r="CM36" i="1"/>
  <c r="DB35" i="1"/>
  <c r="CW35" i="1"/>
  <c r="CV35" i="1"/>
  <c r="CN35" i="1"/>
  <c r="CM35" i="1"/>
  <c r="DD34" i="1"/>
  <c r="DC34" i="1"/>
  <c r="CR34" i="1"/>
  <c r="CQ34" i="1"/>
  <c r="DD31" i="1"/>
  <c r="DB31" i="1"/>
  <c r="CY31" i="1"/>
  <c r="CR31" i="1"/>
  <c r="CP31" i="1"/>
  <c r="CM31" i="1"/>
  <c r="DB30" i="1"/>
  <c r="CY30" i="1"/>
  <c r="CM30" i="1"/>
  <c r="DC29" i="1"/>
  <c r="DB29" i="1"/>
  <c r="CZ29" i="1"/>
  <c r="CY29" i="1"/>
  <c r="CN29" i="1"/>
  <c r="CM29" i="1"/>
  <c r="DD28" i="1"/>
  <c r="DC28" i="1"/>
  <c r="CX28" i="1"/>
  <c r="CV28" i="1"/>
  <c r="CS28" i="1"/>
  <c r="CR28" i="1"/>
  <c r="CQ28" i="1"/>
  <c r="CS27" i="1"/>
  <c r="DD26" i="1"/>
  <c r="DB26" i="1"/>
  <c r="CY26" i="1"/>
  <c r="CT26" i="1"/>
  <c r="CS26" i="1"/>
  <c r="CR26" i="1"/>
  <c r="CP26" i="1"/>
  <c r="CM26" i="1"/>
  <c r="CY25" i="1"/>
  <c r="CX25" i="1"/>
  <c r="CW25" i="1"/>
  <c r="CM25" i="1"/>
  <c r="CZ24" i="1"/>
  <c r="CY24" i="1"/>
  <c r="CN24" i="1"/>
  <c r="CM24" i="1"/>
  <c r="DD23" i="1"/>
  <c r="DC23" i="1"/>
  <c r="CR23" i="1"/>
  <c r="CQ23" i="1"/>
  <c r="DD20" i="1"/>
  <c r="DB20" i="1"/>
  <c r="CY20" i="1"/>
  <c r="CR20" i="1"/>
  <c r="CP20" i="1"/>
  <c r="CM20" i="1"/>
  <c r="CY19" i="1"/>
  <c r="CM19" i="1"/>
  <c r="CZ18" i="1"/>
  <c r="CY18" i="1"/>
  <c r="CN18" i="1"/>
  <c r="CM18" i="1"/>
  <c r="DD17" i="1"/>
  <c r="DC17" i="1"/>
  <c r="CX17" i="1"/>
  <c r="CV17" i="1"/>
  <c r="CS17" i="1"/>
  <c r="CR17" i="1"/>
  <c r="CQ17" i="1"/>
  <c r="CS16" i="1"/>
  <c r="DD15" i="1"/>
  <c r="DB15" i="1"/>
  <c r="CY15" i="1"/>
  <c r="CT15" i="1"/>
  <c r="CS15" i="1"/>
  <c r="CR15" i="1"/>
  <c r="CP15" i="1"/>
  <c r="CM15" i="1"/>
  <c r="CY14" i="1"/>
  <c r="CX14" i="1"/>
  <c r="CW14" i="1"/>
  <c r="CM14" i="1"/>
  <c r="CZ13" i="1"/>
  <c r="CY13" i="1"/>
  <c r="CN13" i="1"/>
  <c r="CM13" i="1"/>
  <c r="DD12" i="1"/>
  <c r="DC12" i="1"/>
  <c r="CR12" i="1"/>
  <c r="CQ12" i="1"/>
  <c r="DD9" i="1"/>
  <c r="DB9" i="1"/>
  <c r="CY9" i="1"/>
  <c r="CR9" i="1"/>
  <c r="CP9" i="1"/>
  <c r="CM9" i="1"/>
  <c r="CY8" i="1"/>
  <c r="CM8" i="1"/>
  <c r="CZ7" i="1"/>
  <c r="CY7" i="1"/>
  <c r="CN7" i="1"/>
  <c r="CM7" i="1"/>
  <c r="DD6" i="1"/>
  <c r="DC6" i="1"/>
  <c r="CX6" i="1"/>
  <c r="CV6" i="1"/>
  <c r="CS6" i="1"/>
  <c r="CR6" i="1"/>
  <c r="CQ6" i="1"/>
  <c r="CS5" i="1"/>
  <c r="DD4" i="1"/>
  <c r="DB4" i="1"/>
  <c r="CY4" i="1"/>
  <c r="CT4" i="1"/>
  <c r="CS4" i="1"/>
  <c r="CR4" i="1"/>
  <c r="CP4" i="1"/>
  <c r="CM4" i="1"/>
  <c r="CY3" i="1"/>
  <c r="CX3" i="1"/>
  <c r="CW3" i="1"/>
  <c r="CM3" i="1"/>
  <c r="CZ2" i="1"/>
  <c r="CY2" i="1"/>
  <c r="CN2" i="1"/>
  <c r="CM2" i="1"/>
  <c r="DD1" i="1"/>
  <c r="DC1" i="1"/>
  <c r="CR1" i="1"/>
  <c r="CQ1" i="1"/>
  <c r="CT30" i="1"/>
  <c r="CT19" i="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79" i="15"/>
  <c r="U79" i="15"/>
  <c r="S79" i="15"/>
  <c r="P79" i="15"/>
  <c r="H79" i="15"/>
  <c r="O79" i="15" s="1"/>
  <c r="D79" i="15"/>
  <c r="W78" i="15"/>
  <c r="U78" i="15"/>
  <c r="S78" i="15"/>
  <c r="P78" i="15"/>
  <c r="O78" i="15"/>
  <c r="H78" i="15"/>
  <c r="D78" i="15"/>
  <c r="W76" i="15"/>
  <c r="U76" i="15"/>
  <c r="S76" i="15"/>
  <c r="P76" i="15"/>
  <c r="O76" i="15"/>
  <c r="H76" i="15"/>
  <c r="D76" i="15"/>
  <c r="W73" i="15"/>
  <c r="U73" i="15"/>
  <c r="S73" i="15"/>
  <c r="P73" i="15"/>
  <c r="H73" i="15"/>
  <c r="O73" i="15" s="1"/>
  <c r="D73" i="15"/>
  <c r="W56" i="15"/>
  <c r="U56" i="15"/>
  <c r="S56" i="15"/>
  <c r="P56" i="15"/>
  <c r="H56" i="15"/>
  <c r="O56" i="15" s="1"/>
  <c r="D56" i="15"/>
  <c r="W65" i="15"/>
  <c r="U65" i="15"/>
  <c r="S65" i="15"/>
  <c r="P65" i="15"/>
  <c r="H65" i="15"/>
  <c r="O65" i="15" s="1"/>
  <c r="D65" i="15"/>
  <c r="W66" i="15"/>
  <c r="U66" i="15"/>
  <c r="S66" i="15"/>
  <c r="CQ37" i="1" s="1"/>
  <c r="P66" i="15"/>
  <c r="CQ35" i="1" s="1"/>
  <c r="H66" i="15"/>
  <c r="O66" i="15" s="1"/>
  <c r="W63" i="15"/>
  <c r="U63" i="15"/>
  <c r="S63" i="15"/>
  <c r="P63" i="15"/>
  <c r="H63" i="15"/>
  <c r="O63" i="15" s="1"/>
  <c r="W72" i="15"/>
  <c r="U72" i="15"/>
  <c r="S72" i="15"/>
  <c r="CQ43" i="1" s="1"/>
  <c r="P72" i="15"/>
  <c r="CQ41" i="1" s="1"/>
  <c r="H72" i="15"/>
  <c r="O72" i="15" s="1"/>
  <c r="W52" i="15"/>
  <c r="U52" i="15"/>
  <c r="S52" i="15"/>
  <c r="P52" i="15"/>
  <c r="H52" i="15"/>
  <c r="O52" i="15" s="1"/>
  <c r="W60" i="15"/>
  <c r="U60" i="15"/>
  <c r="S60" i="15"/>
  <c r="P60" i="15"/>
  <c r="H60" i="15"/>
  <c r="O60" i="15" s="1"/>
  <c r="W57" i="15"/>
  <c r="U57" i="15"/>
  <c r="S57" i="15"/>
  <c r="P57" i="15"/>
  <c r="H57" i="15"/>
  <c r="O57" i="15" s="1"/>
  <c r="W74" i="15"/>
  <c r="U74" i="15"/>
  <c r="S74" i="15"/>
  <c r="P74" i="15"/>
  <c r="DC24" i="1" s="1"/>
  <c r="H74" i="15"/>
  <c r="O74" i="15" s="1"/>
  <c r="DB25" i="1" s="1"/>
  <c r="W62" i="15"/>
  <c r="U62" i="15"/>
  <c r="S62" i="15"/>
  <c r="P62" i="15"/>
  <c r="H62" i="15"/>
  <c r="O62" i="15" s="1"/>
  <c r="W82" i="15"/>
  <c r="U82" i="15"/>
  <c r="S82" i="15"/>
  <c r="P82" i="15"/>
  <c r="H82" i="15"/>
  <c r="O82" i="15" s="1"/>
  <c r="W48" i="15"/>
  <c r="U48" i="15"/>
  <c r="S48" i="15"/>
  <c r="P48" i="15"/>
  <c r="H48" i="15"/>
  <c r="O48" i="15" s="1"/>
  <c r="W59" i="15"/>
  <c r="U59" i="15"/>
  <c r="S59" i="15"/>
  <c r="P59" i="15"/>
  <c r="H59" i="15"/>
  <c r="O59" i="15" s="1"/>
  <c r="W71" i="15"/>
  <c r="U71" i="15"/>
  <c r="S71" i="15"/>
  <c r="P71" i="15"/>
  <c r="CQ29" i="1" s="1"/>
  <c r="H71" i="15"/>
  <c r="O71" i="15" s="1"/>
  <c r="CP30" i="1" s="1"/>
  <c r="W77" i="15"/>
  <c r="U77" i="15"/>
  <c r="S77" i="15"/>
  <c r="P77" i="15"/>
  <c r="CZ39" i="1" s="1"/>
  <c r="H77" i="15"/>
  <c r="O77" i="15" s="1"/>
  <c r="CW40" i="1" s="1"/>
  <c r="W55" i="15"/>
  <c r="U55" i="15"/>
  <c r="S55" i="15"/>
  <c r="P55" i="15"/>
  <c r="CQ24" i="1" s="1"/>
  <c r="H55" i="15"/>
  <c r="O55" i="15" s="1"/>
  <c r="CP25" i="1" s="1"/>
  <c r="W58" i="15"/>
  <c r="U58" i="15"/>
  <c r="S58" i="15"/>
  <c r="P58" i="15"/>
  <c r="H58" i="15"/>
  <c r="O58" i="15" s="1"/>
  <c r="W81" i="15"/>
  <c r="U81" i="15"/>
  <c r="S81" i="15"/>
  <c r="P81" i="15"/>
  <c r="CW26" i="1" s="1"/>
  <c r="H81" i="15"/>
  <c r="O81" i="15" s="1"/>
  <c r="CV27" i="1" s="1"/>
  <c r="W64" i="15"/>
  <c r="U64" i="15"/>
  <c r="S64" i="15"/>
  <c r="P64" i="15"/>
  <c r="CW15" i="1" s="1"/>
  <c r="H64" i="15"/>
  <c r="O64" i="15" s="1"/>
  <c r="CV16" i="1" s="1"/>
  <c r="W61" i="15"/>
  <c r="U61" i="15"/>
  <c r="S61" i="15"/>
  <c r="P61" i="15"/>
  <c r="CQ18" i="1" s="1"/>
  <c r="H61" i="15"/>
  <c r="O61" i="15" s="1"/>
  <c r="CP19" i="1" s="1"/>
  <c r="W67" i="15"/>
  <c r="U67" i="15"/>
  <c r="S67" i="15"/>
  <c r="P67" i="15"/>
  <c r="CQ7" i="1" s="1"/>
  <c r="H67" i="15"/>
  <c r="O67" i="15" s="1"/>
  <c r="CP8" i="1" s="1"/>
  <c r="W51" i="15"/>
  <c r="U51" i="15"/>
  <c r="S51" i="15"/>
  <c r="P51" i="15"/>
  <c r="H51" i="15"/>
  <c r="O51" i="15" s="1"/>
  <c r="W49" i="15"/>
  <c r="U49" i="15"/>
  <c r="S49" i="15"/>
  <c r="P49" i="15"/>
  <c r="CQ13" i="1" s="1"/>
  <c r="H49" i="15"/>
  <c r="O49" i="15" s="1"/>
  <c r="CP14" i="1" s="1"/>
  <c r="W70" i="15"/>
  <c r="U70" i="15"/>
  <c r="S70" i="15"/>
  <c r="P70" i="15"/>
  <c r="DC2" i="1" s="1"/>
  <c r="H70" i="15"/>
  <c r="O70" i="15" s="1"/>
  <c r="DB3" i="1" s="1"/>
  <c r="W68" i="15"/>
  <c r="U68" i="15"/>
  <c r="S68" i="15"/>
  <c r="P68" i="15"/>
  <c r="DC7" i="1" s="1"/>
  <c r="H68" i="15"/>
  <c r="O68" i="15" s="1"/>
  <c r="DB8" i="1" s="1"/>
  <c r="W69" i="15"/>
  <c r="U69" i="15"/>
  <c r="S69" i="15"/>
  <c r="P69" i="15"/>
  <c r="CZ43" i="1" s="1"/>
  <c r="H69" i="15"/>
  <c r="O69" i="15" s="1"/>
  <c r="CW44" i="1" s="1"/>
  <c r="W75" i="15"/>
  <c r="U75" i="15"/>
  <c r="S75" i="15"/>
  <c r="P75" i="15"/>
  <c r="DC18" i="1" s="1"/>
  <c r="H75" i="15"/>
  <c r="O75" i="15" s="1"/>
  <c r="DB19" i="1" s="1"/>
  <c r="W50" i="15"/>
  <c r="U50" i="15"/>
  <c r="S50" i="15"/>
  <c r="P50" i="15"/>
  <c r="CZ35" i="1" s="1"/>
  <c r="H50" i="15"/>
  <c r="O50" i="15" s="1"/>
  <c r="CW36" i="1" s="1"/>
  <c r="W53" i="15"/>
  <c r="U53" i="15"/>
  <c r="S53" i="15"/>
  <c r="P53" i="15"/>
  <c r="DC13" i="1" s="1"/>
  <c r="H53" i="15"/>
  <c r="O53" i="15" s="1"/>
  <c r="DB14" i="1" s="1"/>
  <c r="W54" i="15"/>
  <c r="U54" i="15"/>
  <c r="S54" i="15"/>
  <c r="P54" i="15"/>
  <c r="CQ2" i="1" s="1"/>
  <c r="H54" i="15"/>
  <c r="O54" i="15" s="1"/>
  <c r="CP3" i="1" s="1"/>
  <c r="W80" i="15"/>
  <c r="U80" i="15"/>
  <c r="S80" i="15"/>
  <c r="P80" i="15"/>
  <c r="CW4" i="1" s="1"/>
  <c r="H80" i="15"/>
  <c r="O80" i="15" s="1"/>
  <c r="CV5" i="1" s="1"/>
  <c r="A47" i="15"/>
  <c r="D67" i="15" s="1"/>
  <c r="CP7" i="1" s="1"/>
  <c r="R45" i="15"/>
  <c r="Q45" i="15"/>
  <c r="P45" i="15"/>
  <c r="R44" i="15"/>
  <c r="Q44" i="15"/>
  <c r="P44" i="15"/>
  <c r="R43" i="15"/>
  <c r="Q43" i="15"/>
  <c r="P43" i="15"/>
  <c r="R42" i="15"/>
  <c r="Q42" i="15"/>
  <c r="P42" i="15"/>
  <c r="R41" i="15"/>
  <c r="CN42" i="1" s="1"/>
  <c r="Q41" i="15"/>
  <c r="CR42" i="1" s="1"/>
  <c r="P41" i="15"/>
  <c r="CO43" i="1" s="1"/>
  <c r="R40" i="15"/>
  <c r="Q40" i="15"/>
  <c r="P40" i="15"/>
  <c r="R39" i="15"/>
  <c r="CN36" i="1" s="1"/>
  <c r="Q39" i="15"/>
  <c r="CR36" i="1" s="1"/>
  <c r="P39" i="15"/>
  <c r="CO37" i="1" s="1"/>
  <c r="CE50" i="1"/>
  <c r="CD50" i="1"/>
  <c r="CH49" i="1"/>
  <c r="CE48" i="1"/>
  <c r="CD48" i="1"/>
  <c r="BV48" i="1"/>
  <c r="BU48" i="1"/>
  <c r="CH47" i="1"/>
  <c r="BY47" i="1"/>
  <c r="CK44" i="1"/>
  <c r="CH44" i="1"/>
  <c r="CE44" i="1"/>
  <c r="CD44" i="1"/>
  <c r="BZ44" i="1"/>
  <c r="BX44" i="1"/>
  <c r="BU44" i="1"/>
  <c r="CJ43" i="1"/>
  <c r="CH43" i="1"/>
  <c r="CG43" i="1"/>
  <c r="CE43" i="1"/>
  <c r="CD43" i="1"/>
  <c r="BY43" i="1"/>
  <c r="BW43" i="1"/>
  <c r="BU43" i="1"/>
  <c r="CL42" i="1"/>
  <c r="CK42" i="1"/>
  <c r="BZ42" i="1"/>
  <c r="BX42" i="1"/>
  <c r="BV42" i="1"/>
  <c r="BU42" i="1"/>
  <c r="BY41" i="1"/>
  <c r="BX41" i="1"/>
  <c r="BV41" i="1"/>
  <c r="BU41" i="1"/>
  <c r="CK40" i="1"/>
  <c r="CH40" i="1"/>
  <c r="CE40" i="1"/>
  <c r="CD40" i="1"/>
  <c r="BZ40" i="1"/>
  <c r="BY40" i="1"/>
  <c r="CJ39" i="1"/>
  <c r="CH39" i="1"/>
  <c r="CG39" i="1"/>
  <c r="CE39" i="1"/>
  <c r="CD39" i="1"/>
  <c r="CL38" i="1"/>
  <c r="CK38" i="1"/>
  <c r="BZ38" i="1"/>
  <c r="BX38" i="1"/>
  <c r="BU38" i="1"/>
  <c r="BY37" i="1"/>
  <c r="BW37" i="1"/>
  <c r="BU37" i="1"/>
  <c r="CK36" i="1"/>
  <c r="CH36" i="1"/>
  <c r="CE36" i="1"/>
  <c r="CD36" i="1"/>
  <c r="BZ36" i="1"/>
  <c r="BX36" i="1"/>
  <c r="BV36" i="1"/>
  <c r="BU36" i="1"/>
  <c r="CJ35" i="1"/>
  <c r="CH35" i="1"/>
  <c r="CG35" i="1"/>
  <c r="CE35" i="1"/>
  <c r="CD35" i="1"/>
  <c r="BY35" i="1"/>
  <c r="BX35" i="1"/>
  <c r="BV35" i="1"/>
  <c r="BU35" i="1"/>
  <c r="CL34" i="1"/>
  <c r="CK34" i="1"/>
  <c r="BZ34" i="1"/>
  <c r="BY34" i="1"/>
  <c r="CL31" i="1"/>
  <c r="CJ31" i="1"/>
  <c r="CG31" i="1"/>
  <c r="BZ31" i="1"/>
  <c r="BX31" i="1"/>
  <c r="BU31" i="1"/>
  <c r="CJ30" i="1"/>
  <c r="CG30" i="1"/>
  <c r="BX30" i="1"/>
  <c r="BU30" i="1"/>
  <c r="CK29" i="1"/>
  <c r="CJ29" i="1"/>
  <c r="CH29" i="1"/>
  <c r="CG29" i="1"/>
  <c r="BY29" i="1"/>
  <c r="BX29" i="1"/>
  <c r="BV29" i="1"/>
  <c r="BU29" i="1"/>
  <c r="CL28" i="1"/>
  <c r="CK28" i="1"/>
  <c r="CF28" i="1"/>
  <c r="CD28" i="1"/>
  <c r="CA28" i="1"/>
  <c r="BZ28" i="1"/>
  <c r="BY28" i="1"/>
  <c r="CD27" i="1"/>
  <c r="CA27" i="1"/>
  <c r="CL26" i="1"/>
  <c r="CJ26" i="1"/>
  <c r="CG26" i="1"/>
  <c r="CE26" i="1"/>
  <c r="CD26" i="1"/>
  <c r="CB26" i="1"/>
  <c r="CA26" i="1"/>
  <c r="BZ26" i="1"/>
  <c r="BX26" i="1"/>
  <c r="BU26" i="1"/>
  <c r="CJ25" i="1"/>
  <c r="CG25" i="1"/>
  <c r="CF25" i="1"/>
  <c r="CE25" i="1"/>
  <c r="BX25" i="1"/>
  <c r="BU25" i="1"/>
  <c r="CK24" i="1"/>
  <c r="CJ24" i="1"/>
  <c r="CH24" i="1"/>
  <c r="CG24" i="1"/>
  <c r="BY24" i="1"/>
  <c r="BX24" i="1"/>
  <c r="BV24" i="1"/>
  <c r="BU24" i="1"/>
  <c r="CL23" i="1"/>
  <c r="CK23" i="1"/>
  <c r="BZ23" i="1"/>
  <c r="BY23" i="1"/>
  <c r="CL20" i="1"/>
  <c r="CJ20" i="1"/>
  <c r="CG20" i="1"/>
  <c r="BZ20" i="1"/>
  <c r="BX20" i="1"/>
  <c r="BU20" i="1"/>
  <c r="CJ19" i="1"/>
  <c r="CG19" i="1"/>
  <c r="BX19" i="1"/>
  <c r="BU19" i="1"/>
  <c r="CK18" i="1"/>
  <c r="CJ18" i="1"/>
  <c r="CH18" i="1"/>
  <c r="CG18" i="1"/>
  <c r="BY18" i="1"/>
  <c r="BX18" i="1"/>
  <c r="BV18" i="1"/>
  <c r="BU18" i="1"/>
  <c r="CL17" i="1"/>
  <c r="CK17" i="1"/>
  <c r="CF17" i="1"/>
  <c r="CD17" i="1"/>
  <c r="CA17" i="1"/>
  <c r="BZ17" i="1"/>
  <c r="BY17" i="1"/>
  <c r="CD16" i="1"/>
  <c r="CA16" i="1"/>
  <c r="CL15" i="1"/>
  <c r="CJ15" i="1"/>
  <c r="CG15" i="1"/>
  <c r="CE15" i="1"/>
  <c r="CD15" i="1"/>
  <c r="CB15" i="1"/>
  <c r="CA15" i="1"/>
  <c r="BZ15" i="1"/>
  <c r="BX15" i="1"/>
  <c r="BU15" i="1"/>
  <c r="CJ14" i="1"/>
  <c r="CG14" i="1"/>
  <c r="CF14" i="1"/>
  <c r="CE14" i="1"/>
  <c r="BX14" i="1"/>
  <c r="BU14" i="1"/>
  <c r="CK13" i="1"/>
  <c r="CJ13" i="1"/>
  <c r="CH13" i="1"/>
  <c r="CG13" i="1"/>
  <c r="BY13" i="1"/>
  <c r="BX13" i="1"/>
  <c r="BV13" i="1"/>
  <c r="BU13" i="1"/>
  <c r="CL12" i="1"/>
  <c r="CK12" i="1"/>
  <c r="BZ12" i="1"/>
  <c r="BY12" i="1"/>
  <c r="CL9" i="1"/>
  <c r="CJ9" i="1"/>
  <c r="CG9" i="1"/>
  <c r="BZ9" i="1"/>
  <c r="BX9" i="1"/>
  <c r="BU9" i="1"/>
  <c r="CJ8" i="1"/>
  <c r="CG8" i="1"/>
  <c r="BX8" i="1"/>
  <c r="BU8" i="1"/>
  <c r="CK7" i="1"/>
  <c r="CJ7" i="1"/>
  <c r="CH7" i="1"/>
  <c r="CG7" i="1"/>
  <c r="BY7" i="1"/>
  <c r="BX7" i="1"/>
  <c r="BV7" i="1"/>
  <c r="BU7" i="1"/>
  <c r="CL6" i="1"/>
  <c r="CK6" i="1"/>
  <c r="CF6" i="1"/>
  <c r="CD6" i="1"/>
  <c r="CA6" i="1"/>
  <c r="BZ6" i="1"/>
  <c r="BY6" i="1"/>
  <c r="CD5" i="1"/>
  <c r="CA5" i="1"/>
  <c r="CL4" i="1"/>
  <c r="CJ4" i="1"/>
  <c r="CG4" i="1"/>
  <c r="CE4" i="1"/>
  <c r="CD4" i="1"/>
  <c r="CB4" i="1"/>
  <c r="CA4" i="1"/>
  <c r="BZ4" i="1"/>
  <c r="BX4" i="1"/>
  <c r="BU4" i="1"/>
  <c r="CJ3" i="1"/>
  <c r="CG3" i="1"/>
  <c r="CF3" i="1"/>
  <c r="CE3" i="1"/>
  <c r="BX3" i="1"/>
  <c r="BU3" i="1"/>
  <c r="CK2" i="1"/>
  <c r="CJ2" i="1"/>
  <c r="CH2" i="1"/>
  <c r="CG2" i="1"/>
  <c r="BY2" i="1"/>
  <c r="BX2" i="1"/>
  <c r="BV2" i="1"/>
  <c r="BU2" i="1"/>
  <c r="CL1" i="1"/>
  <c r="CK1" i="1"/>
  <c r="BZ1" i="1"/>
  <c r="BY1" i="1"/>
  <c r="CB30" i="1"/>
  <c r="CB19" i="1"/>
  <c r="O3" i="18"/>
  <c r="H3" i="18"/>
  <c r="N3" i="18"/>
  <c r="L3" i="18"/>
  <c r="J3" i="18"/>
  <c r="F3" i="18"/>
  <c r="V79" i="15" l="1"/>
  <c r="T79" i="15" s="1"/>
  <c r="V78" i="15"/>
  <c r="T78" i="15" s="1"/>
  <c r="V76" i="15"/>
  <c r="T76" i="15" s="1"/>
  <c r="V73" i="15"/>
  <c r="T73" i="15" s="1"/>
  <c r="V56" i="15"/>
  <c r="T56" i="15" s="1"/>
  <c r="D87" i="15"/>
  <c r="CV50" i="1" s="1"/>
  <c r="D86" i="15"/>
  <c r="CV48" i="1" s="1"/>
  <c r="D57" i="15"/>
  <c r="D59" i="15"/>
  <c r="D62" i="15"/>
  <c r="D48" i="15"/>
  <c r="D52" i="15"/>
  <c r="D77" i="15"/>
  <c r="CY39" i="1" s="1"/>
  <c r="D81" i="15"/>
  <c r="CV26" i="1" s="1"/>
  <c r="D60" i="15"/>
  <c r="D49" i="15"/>
  <c r="CP13" i="1" s="1"/>
  <c r="D74" i="15"/>
  <c r="DB24" i="1" s="1"/>
  <c r="D71" i="15"/>
  <c r="CP29" i="1" s="1"/>
  <c r="D72" i="15"/>
  <c r="D61" i="15"/>
  <c r="CP18" i="1" s="1"/>
  <c r="D69" i="15"/>
  <c r="CY43" i="1" s="1"/>
  <c r="D58" i="15"/>
  <c r="D68" i="15"/>
  <c r="DB7" i="1" s="1"/>
  <c r="D66" i="15"/>
  <c r="CP35" i="1" s="1"/>
  <c r="D63" i="15"/>
  <c r="D54" i="15"/>
  <c r="CP2" i="1" s="1"/>
  <c r="D75" i="15"/>
  <c r="DB18" i="1" s="1"/>
  <c r="D51" i="15"/>
  <c r="D70" i="15"/>
  <c r="DB2" i="1" s="1"/>
  <c r="D64" i="15"/>
  <c r="CV15" i="1" s="1"/>
  <c r="D50" i="15"/>
  <c r="CY35" i="1" s="1"/>
  <c r="D80" i="15"/>
  <c r="CV4" i="1" s="1"/>
  <c r="D53" i="15"/>
  <c r="DB13" i="1" s="1"/>
  <c r="D55" i="15"/>
  <c r="CP24" i="1" s="1"/>
  <c r="D82" i="15"/>
  <c r="V69" i="15"/>
  <c r="T69" i="15" s="1"/>
  <c r="V57" i="15"/>
  <c r="T57" i="15" s="1"/>
  <c r="V71" i="15"/>
  <c r="T71" i="15" s="1"/>
  <c r="V74" i="15"/>
  <c r="T74" i="15" s="1"/>
  <c r="V51" i="15"/>
  <c r="T51" i="15" s="1"/>
  <c r="V55" i="15"/>
  <c r="T55" i="15" s="1"/>
  <c r="V75" i="15"/>
  <c r="T75" i="15" s="1"/>
  <c r="V58" i="15"/>
  <c r="T58" i="15" s="1"/>
  <c r="V66" i="15"/>
  <c r="T66" i="15" s="1"/>
  <c r="V52" i="15"/>
  <c r="T52" i="15" s="1"/>
  <c r="V80" i="15"/>
  <c r="T80" i="15" s="1"/>
  <c r="V64" i="15"/>
  <c r="T64" i="15" s="1"/>
  <c r="V81" i="15"/>
  <c r="T81" i="15" s="1"/>
  <c r="V65" i="15"/>
  <c r="T65" i="15" s="1"/>
  <c r="V68" i="15"/>
  <c r="T68" i="15" s="1"/>
  <c r="V62" i="15"/>
  <c r="T62" i="15" s="1"/>
  <c r="V70" i="15"/>
  <c r="T70" i="15" s="1"/>
  <c r="V49" i="15"/>
  <c r="T49" i="15" s="1"/>
  <c r="V77" i="15"/>
  <c r="T77" i="15" s="1"/>
  <c r="V60" i="15"/>
  <c r="T60" i="15" s="1"/>
  <c r="V54" i="15"/>
  <c r="T54" i="15" s="1"/>
  <c r="V53" i="15"/>
  <c r="T53" i="15" s="1"/>
  <c r="V67" i="15"/>
  <c r="T67" i="15" s="1"/>
  <c r="V59" i="15"/>
  <c r="T59" i="15" s="1"/>
  <c r="V72" i="15"/>
  <c r="T72" i="15" s="1"/>
  <c r="V50" i="15"/>
  <c r="T50" i="15" s="1"/>
  <c r="V61" i="15"/>
  <c r="T61" i="15" s="1"/>
  <c r="V48" i="15"/>
  <c r="V63" i="15"/>
  <c r="T63" i="15" s="1"/>
  <c r="V82" i="15"/>
  <c r="T82"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T78" i="13" s="1"/>
  <c r="U78" i="13"/>
  <c r="S78" i="13"/>
  <c r="P78" i="13"/>
  <c r="H78" i="13"/>
  <c r="O78" i="13" s="1"/>
  <c r="D78" i="13"/>
  <c r="W57" i="13"/>
  <c r="U57" i="13"/>
  <c r="S57" i="13"/>
  <c r="P57" i="13"/>
  <c r="H57" i="13"/>
  <c r="O57" i="13" s="1"/>
  <c r="D57" i="13"/>
  <c r="W68" i="13"/>
  <c r="U68" i="13"/>
  <c r="S68" i="13"/>
  <c r="P68" i="13"/>
  <c r="H68" i="13"/>
  <c r="O68" i="13" s="1"/>
  <c r="D68" i="13"/>
  <c r="W49" i="13"/>
  <c r="U49" i="13"/>
  <c r="S49" i="13"/>
  <c r="P49" i="13"/>
  <c r="H49" i="13"/>
  <c r="O49" i="13" s="1"/>
  <c r="D49" i="13"/>
  <c r="W65" i="13"/>
  <c r="U65" i="13"/>
  <c r="S65" i="13"/>
  <c r="P65" i="13"/>
  <c r="H65" i="13"/>
  <c r="O65" i="13" s="1"/>
  <c r="W51" i="13"/>
  <c r="U51" i="13"/>
  <c r="S51" i="13"/>
  <c r="P51" i="13"/>
  <c r="H51" i="13"/>
  <c r="O51" i="13" s="1"/>
  <c r="W73" i="13"/>
  <c r="U73" i="13"/>
  <c r="S73" i="13"/>
  <c r="P73" i="13"/>
  <c r="H73" i="13"/>
  <c r="O73" i="13" s="1"/>
  <c r="W52" i="13"/>
  <c r="U52" i="13"/>
  <c r="S52" i="13"/>
  <c r="P52" i="13"/>
  <c r="H52" i="13"/>
  <c r="O52" i="13" s="1"/>
  <c r="W56" i="13"/>
  <c r="U56" i="13"/>
  <c r="S56" i="13"/>
  <c r="P56" i="13"/>
  <c r="O56" i="13"/>
  <c r="H56" i="13"/>
  <c r="W76" i="13"/>
  <c r="U76" i="13"/>
  <c r="S76" i="13"/>
  <c r="P76" i="13"/>
  <c r="H76" i="13"/>
  <c r="O76" i="13" s="1"/>
  <c r="W67" i="13"/>
  <c r="U67" i="13"/>
  <c r="S67" i="13"/>
  <c r="P67" i="13"/>
  <c r="H67" i="13"/>
  <c r="O67" i="13" s="1"/>
  <c r="W72" i="13"/>
  <c r="U72" i="13"/>
  <c r="S72" i="13"/>
  <c r="P72" i="13"/>
  <c r="H72" i="13"/>
  <c r="O72" i="13" s="1"/>
  <c r="W53" i="13"/>
  <c r="U53" i="13"/>
  <c r="S53" i="13"/>
  <c r="P53" i="13"/>
  <c r="H53" i="13"/>
  <c r="O53" i="13" s="1"/>
  <c r="W69" i="13"/>
  <c r="U69" i="13"/>
  <c r="S69" i="13"/>
  <c r="P69" i="13"/>
  <c r="H69" i="13"/>
  <c r="O69" i="13" s="1"/>
  <c r="W61" i="13"/>
  <c r="U61" i="13"/>
  <c r="S61" i="13"/>
  <c r="P61" i="13"/>
  <c r="O61" i="13"/>
  <c r="H61" i="13"/>
  <c r="W75" i="13"/>
  <c r="U75" i="13"/>
  <c r="S75" i="13"/>
  <c r="P75" i="13"/>
  <c r="H75" i="13"/>
  <c r="O75" i="13" s="1"/>
  <c r="D75" i="13"/>
  <c r="W55" i="13"/>
  <c r="U55" i="13"/>
  <c r="S55" i="13"/>
  <c r="P55" i="13"/>
  <c r="H55" i="13"/>
  <c r="O55" i="13" s="1"/>
  <c r="D55" i="13"/>
  <c r="W66" i="13"/>
  <c r="U66" i="13"/>
  <c r="S66" i="13"/>
  <c r="P66" i="13"/>
  <c r="H66" i="13"/>
  <c r="O66" i="13" s="1"/>
  <c r="W63" i="13"/>
  <c r="U63" i="13"/>
  <c r="S63" i="13"/>
  <c r="P63" i="13"/>
  <c r="H63" i="13"/>
  <c r="O63" i="13" s="1"/>
  <c r="W60" i="13"/>
  <c r="U60" i="13"/>
  <c r="S60" i="13"/>
  <c r="P60" i="13"/>
  <c r="H60" i="13"/>
  <c r="O60" i="13" s="1"/>
  <c r="D60" i="13"/>
  <c r="W74" i="13"/>
  <c r="U74" i="13"/>
  <c r="S74" i="13"/>
  <c r="P74" i="13"/>
  <c r="H74" i="13"/>
  <c r="O74" i="13" s="1"/>
  <c r="W54" i="13"/>
  <c r="U54" i="13"/>
  <c r="S54" i="13"/>
  <c r="P54" i="13"/>
  <c r="H54" i="13"/>
  <c r="O54" i="13" s="1"/>
  <c r="W77" i="13"/>
  <c r="U77" i="13"/>
  <c r="S77" i="13"/>
  <c r="P77" i="13"/>
  <c r="H77" i="13"/>
  <c r="O77" i="13" s="1"/>
  <c r="W64" i="13"/>
  <c r="U64" i="13"/>
  <c r="S64" i="13"/>
  <c r="P64" i="13"/>
  <c r="H64" i="13"/>
  <c r="O64" i="13" s="1"/>
  <c r="W70" i="13"/>
  <c r="U70" i="13"/>
  <c r="S70" i="13"/>
  <c r="P70" i="13"/>
  <c r="H70" i="13"/>
  <c r="O70" i="13" s="1"/>
  <c r="W48" i="13"/>
  <c r="U48" i="13"/>
  <c r="S48" i="13"/>
  <c r="P48" i="13"/>
  <c r="H48" i="13"/>
  <c r="O48" i="13" s="1"/>
  <c r="W50" i="13"/>
  <c r="U50" i="13"/>
  <c r="S50" i="13"/>
  <c r="P50" i="13"/>
  <c r="H50" i="13"/>
  <c r="O50" i="13" s="1"/>
  <c r="W71" i="13"/>
  <c r="U71" i="13"/>
  <c r="S71" i="13"/>
  <c r="P71" i="13"/>
  <c r="H71" i="13"/>
  <c r="O71" i="13" s="1"/>
  <c r="W59" i="13"/>
  <c r="U59" i="13"/>
  <c r="S59" i="13"/>
  <c r="P59" i="13"/>
  <c r="H59" i="13"/>
  <c r="O59" i="13" s="1"/>
  <c r="W62" i="13"/>
  <c r="U62" i="13"/>
  <c r="S62" i="13"/>
  <c r="P62" i="13"/>
  <c r="H62" i="13"/>
  <c r="O62" i="13" s="1"/>
  <c r="W58" i="13"/>
  <c r="U58" i="13"/>
  <c r="S58" i="13"/>
  <c r="P58" i="13"/>
  <c r="H58" i="13"/>
  <c r="O58" i="13" s="1"/>
  <c r="A47" i="13"/>
  <c r="D72" i="13" s="1"/>
  <c r="R45" i="13"/>
  <c r="Q45" i="13"/>
  <c r="P45" i="13"/>
  <c r="R44" i="13"/>
  <c r="Q44" i="13"/>
  <c r="P44" i="13"/>
  <c r="R43" i="13"/>
  <c r="Q43" i="13"/>
  <c r="P43" i="13"/>
  <c r="R42" i="13"/>
  <c r="Q42" i="13"/>
  <c r="P42" i="13"/>
  <c r="R41" i="13"/>
  <c r="Q41" i="13"/>
  <c r="P41" i="13"/>
  <c r="R40" i="13"/>
  <c r="Q40" i="13"/>
  <c r="P40" i="13"/>
  <c r="R39" i="13"/>
  <c r="Q39" i="13"/>
  <c r="P39" i="13"/>
  <c r="J7" i="18"/>
  <c r="N86" i="1"/>
  <c r="J8" i="18"/>
  <c r="T48" i="15" l="1"/>
  <c r="CP41" i="1"/>
  <c r="V50" i="13"/>
  <c r="T50" i="13" s="1"/>
  <c r="V68" i="13"/>
  <c r="T68" i="13" s="1"/>
  <c r="V53" i="13"/>
  <c r="T53" i="13" s="1"/>
  <c r="V49" i="13"/>
  <c r="T49" i="13" s="1"/>
  <c r="V74" i="13"/>
  <c r="T74" i="13" s="1"/>
  <c r="V55" i="13"/>
  <c r="T55" i="13" s="1"/>
  <c r="V73" i="13"/>
  <c r="T73" i="13" s="1"/>
  <c r="V71" i="13"/>
  <c r="T71" i="13" s="1"/>
  <c r="V70" i="13"/>
  <c r="T70" i="13" s="1"/>
  <c r="V67" i="13"/>
  <c r="T67" i="13" s="1"/>
  <c r="V59" i="13"/>
  <c r="T59" i="13" s="1"/>
  <c r="V65" i="13"/>
  <c r="T65" i="13" s="1"/>
  <c r="V57" i="13"/>
  <c r="T57" i="13" s="1"/>
  <c r="V63" i="13"/>
  <c r="T63" i="13" s="1"/>
  <c r="V61" i="13"/>
  <c r="T61" i="13" s="1"/>
  <c r="V77" i="13"/>
  <c r="T77" i="13" s="1"/>
  <c r="V56" i="13"/>
  <c r="T56" i="13" s="1"/>
  <c r="D63" i="13"/>
  <c r="D70" i="13"/>
  <c r="D50" i="13"/>
  <c r="D77" i="13"/>
  <c r="D59" i="13"/>
  <c r="D62" i="13"/>
  <c r="D74" i="13"/>
  <c r="D58" i="13"/>
  <c r="V48" i="13"/>
  <c r="V66" i="13"/>
  <c r="T66" i="13" s="1"/>
  <c r="D67" i="13"/>
  <c r="V76" i="13"/>
  <c r="T76" i="13" s="1"/>
  <c r="D85" i="13"/>
  <c r="D48" i="13"/>
  <c r="D66" i="13"/>
  <c r="D76" i="13"/>
  <c r="D86" i="13"/>
  <c r="V64" i="13"/>
  <c r="T64" i="13" s="1"/>
  <c r="V75" i="13"/>
  <c r="T75" i="13" s="1"/>
  <c r="D56" i="13"/>
  <c r="V52" i="13"/>
  <c r="T52" i="13" s="1"/>
  <c r="D87" i="13"/>
  <c r="V58" i="13"/>
  <c r="T58" i="13" s="1"/>
  <c r="D64" i="13"/>
  <c r="D52" i="13"/>
  <c r="D88" i="13"/>
  <c r="V62" i="13"/>
  <c r="T62" i="13" s="1"/>
  <c r="V54" i="13"/>
  <c r="T54" i="13" s="1"/>
  <c r="D61" i="13"/>
  <c r="V69" i="13"/>
  <c r="T69" i="13" s="1"/>
  <c r="D73" i="13"/>
  <c r="V51" i="13"/>
  <c r="T51" i="13" s="1"/>
  <c r="D54" i="13"/>
  <c r="D69" i="13"/>
  <c r="D51" i="13"/>
  <c r="V60" i="13"/>
  <c r="T60" i="13" s="1"/>
  <c r="D53" i="13"/>
  <c r="V72" i="13"/>
  <c r="T72" i="13" s="1"/>
  <c r="D65" i="13"/>
  <c r="D71" i="13"/>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P71" i="1"/>
  <c r="P81" i="1"/>
  <c r="A65" i="1"/>
  <c r="N7" i="18"/>
  <c r="P79" i="1"/>
  <c r="M73" i="1"/>
  <c r="M81" i="1"/>
  <c r="P78" i="1"/>
  <c r="J65" i="1"/>
  <c r="P74" i="1"/>
  <c r="P73" i="1"/>
  <c r="J81" i="1"/>
  <c r="M80" i="1"/>
  <c r="P80" i="1"/>
  <c r="M72" i="1"/>
  <c r="A62" i="1"/>
  <c r="J73" i="1"/>
  <c r="J71" i="1"/>
  <c r="P82" i="1"/>
  <c r="J74" i="1"/>
  <c r="J66" i="1"/>
  <c r="J79" i="1"/>
  <c r="L63" i="1"/>
  <c r="J78" i="1"/>
  <c r="A66" i="1"/>
  <c r="L64" i="1"/>
  <c r="M75" i="1"/>
  <c r="P72" i="1"/>
  <c r="M71" i="1"/>
  <c r="L65" i="1"/>
  <c r="A63" i="1"/>
  <c r="M79" i="1"/>
  <c r="P75" i="1"/>
  <c r="J75" i="1"/>
  <c r="J64" i="1"/>
  <c r="L66" i="1"/>
  <c r="J82" i="1"/>
  <c r="J63" i="1"/>
  <c r="L62" i="1"/>
  <c r="J80" i="1"/>
  <c r="M78" i="1"/>
  <c r="M82" i="1"/>
  <c r="J72" i="1"/>
  <c r="M74" i="1"/>
  <c r="A64" i="1"/>
  <c r="J62" i="1"/>
  <c r="N8" i="18"/>
  <c r="T48" i="13" l="1"/>
  <c r="F17" i="8"/>
  <c r="F18" i="8"/>
  <c r="F19" i="8"/>
  <c r="F20" i="8"/>
  <c r="F16" i="8"/>
  <c r="I75" i="1"/>
  <c r="C74" i="1"/>
  <c r="C80" i="1"/>
  <c r="I73" i="1"/>
  <c r="F73" i="1"/>
  <c r="I81" i="1"/>
  <c r="I74" i="1"/>
  <c r="I80" i="1"/>
  <c r="F75" i="1"/>
  <c r="C72" i="1"/>
  <c r="C75" i="1"/>
  <c r="I82" i="1"/>
  <c r="I78" i="1"/>
  <c r="I71" i="1"/>
  <c r="C79" i="1"/>
  <c r="C78" i="1"/>
  <c r="I79" i="1"/>
  <c r="C73" i="1"/>
  <c r="C71" i="1"/>
  <c r="F71" i="1"/>
  <c r="F72" i="1"/>
  <c r="F74" i="1"/>
  <c r="I72" i="1"/>
  <c r="C81" i="1"/>
  <c r="C82"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C62" i="1"/>
  <c r="O81" i="1"/>
  <c r="O71" i="1"/>
  <c r="O74" i="1"/>
  <c r="R81" i="1"/>
  <c r="O80" i="1"/>
  <c r="D82" i="1"/>
  <c r="R82" i="1"/>
  <c r="O72" i="1"/>
  <c r="L59" i="1"/>
  <c r="C65" i="1"/>
  <c r="R73" i="1"/>
  <c r="R80" i="1"/>
  <c r="O75" i="1"/>
  <c r="F81" i="1"/>
  <c r="R79" i="1"/>
  <c r="R72" i="1"/>
  <c r="R75" i="1"/>
  <c r="F79" i="1"/>
  <c r="C59" i="1"/>
  <c r="R71" i="1"/>
  <c r="L78" i="1"/>
  <c r="O73" i="1"/>
  <c r="C64" i="1"/>
  <c r="O82" i="1"/>
  <c r="R78" i="1"/>
  <c r="L80" i="1"/>
  <c r="F78" i="1"/>
  <c r="L79" i="1"/>
  <c r="R74" i="1"/>
  <c r="G82" i="1"/>
  <c r="C66" i="1"/>
  <c r="C63" i="1"/>
  <c r="L82" i="1"/>
  <c r="F80" i="1"/>
  <c r="L81" i="1"/>
  <c r="F82" i="1"/>
  <c r="O79" i="1"/>
  <c r="O78" i="1"/>
  <c r="O77" i="6" l="1"/>
  <c r="O78" i="6"/>
  <c r="O79" i="6"/>
  <c r="O80" i="6"/>
  <c r="O81" i="6"/>
  <c r="O82" i="6"/>
  <c r="O75" i="7"/>
  <c r="O76" i="7"/>
  <c r="O77" i="7"/>
  <c r="O78" i="7"/>
  <c r="O79" i="7"/>
  <c r="O80" i="7"/>
  <c r="O81" i="7"/>
  <c r="O82" i="7"/>
  <c r="O76" i="11"/>
  <c r="O77" i="11"/>
  <c r="O78" i="11"/>
  <c r="O79" i="11"/>
  <c r="O80" i="11"/>
  <c r="O81" i="11"/>
  <c r="O82" i="11"/>
  <c r="O79" i="2"/>
  <c r="O80" i="2"/>
  <c r="O81" i="2"/>
  <c r="O82" i="2"/>
  <c r="D25" i="9"/>
  <c r="D21" i="9"/>
  <c r="D22" i="9"/>
  <c r="D23" i="9"/>
  <c r="D24" i="9"/>
  <c r="D90" i="11" l="1"/>
  <c r="D91" i="11"/>
  <c r="D92" i="11"/>
  <c r="BG1" i="1"/>
  <c r="BA1" i="1"/>
  <c r="BM50" i="1"/>
  <c r="BP49" i="1"/>
  <c r="BM48" i="1"/>
  <c r="BD48" i="1"/>
  <c r="BP47" i="1"/>
  <c r="BG47" i="1"/>
  <c r="BS44" i="1"/>
  <c r="BP44" i="1"/>
  <c r="BM44" i="1"/>
  <c r="BL44" i="1"/>
  <c r="BH44" i="1"/>
  <c r="BF44" i="1"/>
  <c r="BC44" i="1"/>
  <c r="BR43" i="1"/>
  <c r="BP43" i="1"/>
  <c r="BM43" i="1"/>
  <c r="BL43" i="1"/>
  <c r="BG43" i="1"/>
  <c r="BC43" i="1"/>
  <c r="BT42" i="1"/>
  <c r="BS42" i="1"/>
  <c r="BF42" i="1"/>
  <c r="BC42" i="1"/>
  <c r="BG41" i="1"/>
  <c r="BD41" i="1"/>
  <c r="BC41" i="1"/>
  <c r="BS40" i="1"/>
  <c r="BP40" i="1"/>
  <c r="BM40" i="1"/>
  <c r="BL40" i="1"/>
  <c r="BH40" i="1"/>
  <c r="BG40" i="1"/>
  <c r="BR39" i="1"/>
  <c r="BP39" i="1"/>
  <c r="BM39" i="1"/>
  <c r="BL39" i="1"/>
  <c r="BT38" i="1"/>
  <c r="BS38" i="1"/>
  <c r="BH38" i="1"/>
  <c r="BF38" i="1"/>
  <c r="BC38" i="1"/>
  <c r="BG37" i="1"/>
  <c r="BC37" i="1"/>
  <c r="BS36" i="1"/>
  <c r="BP36" i="1"/>
  <c r="BM36" i="1"/>
  <c r="BL36" i="1"/>
  <c r="BF36" i="1"/>
  <c r="BC36" i="1"/>
  <c r="BR35" i="1"/>
  <c r="BP35" i="1"/>
  <c r="BM35" i="1"/>
  <c r="BL35" i="1"/>
  <c r="BG35" i="1"/>
  <c r="BD35" i="1"/>
  <c r="BC35" i="1"/>
  <c r="BT34" i="1"/>
  <c r="BS34" i="1"/>
  <c r="BH34" i="1"/>
  <c r="BG34" i="1"/>
  <c r="BT31" i="1"/>
  <c r="BR31" i="1"/>
  <c r="BO31" i="1"/>
  <c r="BH31" i="1"/>
  <c r="BF31" i="1"/>
  <c r="BC31" i="1"/>
  <c r="BR30" i="1"/>
  <c r="BO30" i="1"/>
  <c r="BF30" i="1"/>
  <c r="BC30" i="1"/>
  <c r="BS29" i="1"/>
  <c r="BP29" i="1"/>
  <c r="BO29" i="1"/>
  <c r="BG29" i="1"/>
  <c r="BD29" i="1"/>
  <c r="BC29" i="1"/>
  <c r="BT28" i="1"/>
  <c r="BS28" i="1"/>
  <c r="BN28" i="1"/>
  <c r="BL28" i="1"/>
  <c r="BI28" i="1"/>
  <c r="BH28" i="1"/>
  <c r="BG28" i="1"/>
  <c r="BL27" i="1"/>
  <c r="BI27" i="1"/>
  <c r="BT26" i="1"/>
  <c r="BR26" i="1"/>
  <c r="BO26" i="1"/>
  <c r="BM26" i="1"/>
  <c r="BJ26" i="1"/>
  <c r="BI26" i="1"/>
  <c r="BH26" i="1"/>
  <c r="BF26" i="1"/>
  <c r="BC26" i="1"/>
  <c r="BR25" i="1"/>
  <c r="BO25" i="1"/>
  <c r="BN25" i="1"/>
  <c r="BM25" i="1"/>
  <c r="BF25" i="1"/>
  <c r="BC25" i="1"/>
  <c r="BS24" i="1"/>
  <c r="BP24" i="1"/>
  <c r="BO24" i="1"/>
  <c r="BG24" i="1"/>
  <c r="BD24" i="1"/>
  <c r="BC24" i="1"/>
  <c r="BT23" i="1"/>
  <c r="BS23" i="1"/>
  <c r="BH23" i="1"/>
  <c r="BG23" i="1"/>
  <c r="BT20" i="1"/>
  <c r="BR20" i="1"/>
  <c r="BO20" i="1"/>
  <c r="BH20" i="1"/>
  <c r="BF20" i="1"/>
  <c r="BC20" i="1"/>
  <c r="BR19" i="1"/>
  <c r="BO19" i="1"/>
  <c r="BF19" i="1"/>
  <c r="BC19" i="1"/>
  <c r="BS18" i="1"/>
  <c r="BP18" i="1"/>
  <c r="BO18" i="1"/>
  <c r="BG18" i="1"/>
  <c r="BD18" i="1"/>
  <c r="BC18" i="1"/>
  <c r="BT17" i="1"/>
  <c r="BS17" i="1"/>
  <c r="BN17" i="1"/>
  <c r="BL17" i="1"/>
  <c r="BI17" i="1"/>
  <c r="BH17" i="1"/>
  <c r="BG17" i="1"/>
  <c r="BL16" i="1"/>
  <c r="BI16" i="1"/>
  <c r="BT15" i="1"/>
  <c r="BR15" i="1"/>
  <c r="BO15" i="1"/>
  <c r="BM15" i="1"/>
  <c r="BJ15" i="1"/>
  <c r="BI15" i="1"/>
  <c r="BH15" i="1"/>
  <c r="BF15" i="1"/>
  <c r="BC15" i="1"/>
  <c r="BR14" i="1"/>
  <c r="BO14" i="1"/>
  <c r="BN14" i="1"/>
  <c r="BM14" i="1"/>
  <c r="BF14" i="1"/>
  <c r="BC14" i="1"/>
  <c r="BS13" i="1"/>
  <c r="BP13" i="1"/>
  <c r="BO13" i="1"/>
  <c r="BG13" i="1"/>
  <c r="BD13" i="1"/>
  <c r="BC13" i="1"/>
  <c r="BT12" i="1"/>
  <c r="BS12" i="1"/>
  <c r="BH12" i="1"/>
  <c r="BG12" i="1"/>
  <c r="BT9" i="1"/>
  <c r="BR9" i="1"/>
  <c r="BO9" i="1"/>
  <c r="BH9" i="1"/>
  <c r="BF9" i="1"/>
  <c r="BC9" i="1"/>
  <c r="BR8" i="1"/>
  <c r="BO8" i="1"/>
  <c r="BF8" i="1"/>
  <c r="BC8" i="1"/>
  <c r="BS7" i="1"/>
  <c r="BP7" i="1"/>
  <c r="BO7" i="1"/>
  <c r="BG7" i="1"/>
  <c r="BD7" i="1"/>
  <c r="BC7" i="1"/>
  <c r="BT6" i="1"/>
  <c r="BS6" i="1"/>
  <c r="BN6" i="1"/>
  <c r="BL6" i="1"/>
  <c r="BI6" i="1"/>
  <c r="BH6" i="1"/>
  <c r="BG6" i="1"/>
  <c r="BL5" i="1"/>
  <c r="BI5" i="1"/>
  <c r="BT4" i="1"/>
  <c r="BR4" i="1"/>
  <c r="BO4" i="1"/>
  <c r="BM4" i="1"/>
  <c r="BJ4" i="1"/>
  <c r="BI4" i="1"/>
  <c r="BH4" i="1"/>
  <c r="BF4" i="1"/>
  <c r="BC4" i="1"/>
  <c r="BR3" i="1"/>
  <c r="BO3" i="1"/>
  <c r="BN3" i="1"/>
  <c r="BM3" i="1"/>
  <c r="BF3" i="1"/>
  <c r="BC3" i="1"/>
  <c r="BS2" i="1"/>
  <c r="BP2" i="1"/>
  <c r="BO2" i="1"/>
  <c r="BG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A47" i="11"/>
  <c r="R45" i="11"/>
  <c r="Q45" i="11"/>
  <c r="P45" i="11"/>
  <c r="R44" i="11"/>
  <c r="Q44" i="11"/>
  <c r="P44" i="11"/>
  <c r="R43" i="11"/>
  <c r="Q43" i="11"/>
  <c r="P43" i="11"/>
  <c r="R42" i="11"/>
  <c r="Q42" i="11"/>
  <c r="P42" i="11"/>
  <c r="R41" i="11"/>
  <c r="Q41" i="11"/>
  <c r="P41" i="11"/>
  <c r="R40" i="11"/>
  <c r="BD42" i="1" s="1"/>
  <c r="Q40" i="11"/>
  <c r="BH42" i="1" s="1"/>
  <c r="P40" i="11"/>
  <c r="BE43" i="1" s="1"/>
  <c r="R39" i="11"/>
  <c r="BD36" i="1" s="1"/>
  <c r="Q39" i="11"/>
  <c r="BH36" i="1" s="1"/>
  <c r="P39" i="11"/>
  <c r="BE37" i="1" s="1"/>
  <c r="BJ30" i="1"/>
  <c r="BJ19" i="1"/>
  <c r="D90" i="7"/>
  <c r="D91" i="7"/>
  <c r="D92" i="7"/>
  <c r="D90" i="6"/>
  <c r="D91" i="6"/>
  <c r="D92" i="6"/>
  <c r="D90" i="2"/>
  <c r="D91" i="2"/>
  <c r="D92" i="2"/>
  <c r="D63" i="7"/>
  <c r="D75" i="7"/>
  <c r="D76" i="7"/>
  <c r="D77" i="7"/>
  <c r="D78" i="7"/>
  <c r="D79" i="7"/>
  <c r="D80" i="7"/>
  <c r="D81" i="7"/>
  <c r="D82" i="7"/>
  <c r="D50" i="6"/>
  <c r="AE35" i="1" s="1"/>
  <c r="D64" i="6"/>
  <c r="D69" i="6"/>
  <c r="D54" i="6"/>
  <c r="D77" i="6"/>
  <c r="D78" i="6"/>
  <c r="D79" i="6"/>
  <c r="D80" i="6"/>
  <c r="D81" i="6"/>
  <c r="D82" i="6"/>
  <c r="S56" i="7"/>
  <c r="S57" i="7"/>
  <c r="S58" i="7"/>
  <c r="S50" i="7"/>
  <c r="S55" i="7"/>
  <c r="S59" i="7"/>
  <c r="S73" i="7"/>
  <c r="S65" i="7"/>
  <c r="S48" i="7"/>
  <c r="S53" i="7"/>
  <c r="S71" i="7"/>
  <c r="S49" i="7"/>
  <c r="S66" i="7"/>
  <c r="S62" i="7"/>
  <c r="S68" i="7"/>
  <c r="S74" i="7"/>
  <c r="S69" i="7"/>
  <c r="S72" i="7"/>
  <c r="S52" i="7"/>
  <c r="S54" i="7"/>
  <c r="S61" i="7"/>
  <c r="S60" i="7"/>
  <c r="S70" i="7"/>
  <c r="S64" i="7"/>
  <c r="S67" i="7"/>
  <c r="S63" i="7"/>
  <c r="S75" i="7"/>
  <c r="S76" i="7"/>
  <c r="S77" i="7"/>
  <c r="S78" i="7"/>
  <c r="S79" i="7"/>
  <c r="S80" i="7"/>
  <c r="S81" i="7"/>
  <c r="S82" i="7"/>
  <c r="S51" i="7"/>
  <c r="S51" i="6"/>
  <c r="S60" i="6"/>
  <c r="S53" i="6"/>
  <c r="S63" i="6"/>
  <c r="S50" i="6"/>
  <c r="S48" i="6"/>
  <c r="S56" i="6"/>
  <c r="S58" i="6"/>
  <c r="S52" i="6"/>
  <c r="S64" i="6"/>
  <c r="S74" i="6"/>
  <c r="S57" i="6"/>
  <c r="S68" i="6"/>
  <c r="S66" i="6"/>
  <c r="S67" i="6"/>
  <c r="S70" i="6"/>
  <c r="S61" i="6"/>
  <c r="S65" i="6"/>
  <c r="S76" i="6"/>
  <c r="S59" i="6"/>
  <c r="S69" i="6"/>
  <c r="S49" i="6"/>
  <c r="S62" i="6"/>
  <c r="S71" i="6"/>
  <c r="S75" i="6"/>
  <c r="S72" i="6"/>
  <c r="S73" i="6"/>
  <c r="S54" i="6"/>
  <c r="S77" i="6"/>
  <c r="S78" i="6"/>
  <c r="S79" i="6"/>
  <c r="S80" i="6"/>
  <c r="S81" i="6"/>
  <c r="S82" i="6"/>
  <c r="S55" i="6"/>
  <c r="P56" i="7"/>
  <c r="P57" i="7"/>
  <c r="P58" i="7"/>
  <c r="P50" i="7"/>
  <c r="P55" i="7"/>
  <c r="P59" i="7"/>
  <c r="P73" i="7"/>
  <c r="P65" i="7"/>
  <c r="P48" i="7"/>
  <c r="P53" i="7"/>
  <c r="P71" i="7"/>
  <c r="P49" i="7"/>
  <c r="P66" i="7"/>
  <c r="BA7" i="1" s="1"/>
  <c r="P62" i="7"/>
  <c r="P68" i="7"/>
  <c r="P74" i="7"/>
  <c r="P69" i="7"/>
  <c r="P72" i="7"/>
  <c r="P52" i="7"/>
  <c r="P54" i="7"/>
  <c r="P61" i="7"/>
  <c r="AX39" i="1" s="1"/>
  <c r="P60" i="7"/>
  <c r="P70" i="7"/>
  <c r="P64" i="7"/>
  <c r="P67" i="7"/>
  <c r="P63" i="7"/>
  <c r="P75" i="7"/>
  <c r="P76" i="7"/>
  <c r="P77" i="7"/>
  <c r="P78" i="7"/>
  <c r="P79" i="7"/>
  <c r="P80" i="7"/>
  <c r="P81" i="7"/>
  <c r="P82" i="7"/>
  <c r="H56" i="7"/>
  <c r="O56" i="7" s="1"/>
  <c r="H57" i="7"/>
  <c r="O57" i="7" s="1"/>
  <c r="H58" i="7"/>
  <c r="O58" i="7" s="1"/>
  <c r="H50" i="7"/>
  <c r="O50" i="7" s="1"/>
  <c r="H55" i="7"/>
  <c r="O55" i="7" s="1"/>
  <c r="H59" i="7"/>
  <c r="O59" i="7" s="1"/>
  <c r="H73" i="7"/>
  <c r="O73" i="7" s="1"/>
  <c r="H65" i="7"/>
  <c r="O65" i="7" s="1"/>
  <c r="H48" i="7"/>
  <c r="O48" i="7" s="1"/>
  <c r="H53" i="7"/>
  <c r="O53" i="7" s="1"/>
  <c r="H71" i="7"/>
  <c r="O71" i="7" s="1"/>
  <c r="AZ19" i="1" s="1"/>
  <c r="H49" i="7"/>
  <c r="O49" i="7" s="1"/>
  <c r="H66" i="7"/>
  <c r="O66" i="7" s="1"/>
  <c r="H62" i="7"/>
  <c r="O62" i="7" s="1"/>
  <c r="H68" i="7"/>
  <c r="O68" i="7" s="1"/>
  <c r="H74" i="7"/>
  <c r="O74" i="7" s="1"/>
  <c r="H69" i="7"/>
  <c r="O69" i="7" s="1"/>
  <c r="H72" i="7"/>
  <c r="O72" i="7" s="1"/>
  <c r="H52" i="7"/>
  <c r="O52" i="7" s="1"/>
  <c r="AN3" i="1" s="1"/>
  <c r="H54" i="7"/>
  <c r="O54" i="7" s="1"/>
  <c r="AZ30" i="1" s="1"/>
  <c r="H61" i="7"/>
  <c r="O61" i="7" s="1"/>
  <c r="AU40" i="1" s="1"/>
  <c r="H60" i="7"/>
  <c r="O60" i="7" s="1"/>
  <c r="H70" i="7"/>
  <c r="O70" i="7" s="1"/>
  <c r="H64" i="7"/>
  <c r="O64" i="7" s="1"/>
  <c r="H67" i="7"/>
  <c r="O67" i="7" s="1"/>
  <c r="AT16" i="1" s="1"/>
  <c r="H63" i="7"/>
  <c r="O63" i="7" s="1"/>
  <c r="H75" i="7"/>
  <c r="H76" i="7"/>
  <c r="H77" i="7"/>
  <c r="H78" i="7"/>
  <c r="H79" i="7"/>
  <c r="H80" i="7"/>
  <c r="H81" i="7"/>
  <c r="H82" i="7"/>
  <c r="H51" i="6"/>
  <c r="O51" i="6" s="1"/>
  <c r="AH25" i="1" s="1"/>
  <c r="H60" i="6"/>
  <c r="O60" i="6" s="1"/>
  <c r="V30" i="1" s="1"/>
  <c r="H53" i="6"/>
  <c r="O53" i="6" s="1"/>
  <c r="AH19" i="1" s="1"/>
  <c r="H63" i="6"/>
  <c r="O63" i="6" s="1"/>
  <c r="H50" i="6"/>
  <c r="O50" i="6" s="1"/>
  <c r="AC36" i="1" s="1"/>
  <c r="H48" i="6"/>
  <c r="O48" i="6" s="1"/>
  <c r="V19" i="1" s="1"/>
  <c r="H56" i="6"/>
  <c r="O56" i="6" s="1"/>
  <c r="AB16" i="1" s="1"/>
  <c r="H58" i="6"/>
  <c r="O58" i="6" s="1"/>
  <c r="H52" i="6"/>
  <c r="O52" i="6" s="1"/>
  <c r="H64" i="6"/>
  <c r="O64" i="6" s="1"/>
  <c r="H74" i="6"/>
  <c r="O74" i="6" s="1"/>
  <c r="AH3" i="1" s="1"/>
  <c r="H57" i="6"/>
  <c r="O57" i="6" s="1"/>
  <c r="AH14" i="1" s="1"/>
  <c r="H68" i="6"/>
  <c r="O68" i="6" s="1"/>
  <c r="V25" i="1" s="1"/>
  <c r="H66" i="6"/>
  <c r="O66" i="6" s="1"/>
  <c r="V8" i="1" s="1"/>
  <c r="H67" i="6"/>
  <c r="O67" i="6" s="1"/>
  <c r="H70" i="6"/>
  <c r="O70" i="6" s="1"/>
  <c r="AC44" i="1" s="1"/>
  <c r="H61" i="6"/>
  <c r="O61" i="6" s="1"/>
  <c r="AB5" i="1" s="1"/>
  <c r="H65" i="6"/>
  <c r="O65" i="6" s="1"/>
  <c r="AC40" i="1" s="1"/>
  <c r="H76" i="6"/>
  <c r="O76" i="6" s="1"/>
  <c r="AB27" i="1" s="1"/>
  <c r="H59" i="6"/>
  <c r="O59" i="6" s="1"/>
  <c r="V14" i="1" s="1"/>
  <c r="H69" i="6"/>
  <c r="O69" i="6" s="1"/>
  <c r="H49" i="6"/>
  <c r="O49" i="6" s="1"/>
  <c r="H62" i="6"/>
  <c r="O62" i="6" s="1"/>
  <c r="V3" i="1" s="1"/>
  <c r="H71" i="6"/>
  <c r="O71" i="6" s="1"/>
  <c r="AH8" i="1" s="1"/>
  <c r="H75" i="6"/>
  <c r="O75" i="6" s="1"/>
  <c r="AH30" i="1" s="1"/>
  <c r="H72" i="6"/>
  <c r="O72" i="6" s="1"/>
  <c r="H73" i="6"/>
  <c r="O73" i="6" s="1"/>
  <c r="H54" i="6"/>
  <c r="O54" i="6" s="1"/>
  <c r="H77" i="6"/>
  <c r="H78" i="6"/>
  <c r="H79" i="6"/>
  <c r="H80" i="6"/>
  <c r="H81" i="6"/>
  <c r="H82" i="6"/>
  <c r="P51" i="6"/>
  <c r="AI24" i="1" s="1"/>
  <c r="P60" i="6"/>
  <c r="W29" i="1" s="1"/>
  <c r="P53" i="6"/>
  <c r="AI18" i="1" s="1"/>
  <c r="P63" i="6"/>
  <c r="P50" i="6"/>
  <c r="AF35" i="1" s="1"/>
  <c r="P48" i="6"/>
  <c r="W18" i="1" s="1"/>
  <c r="P56" i="6"/>
  <c r="AC15" i="1" s="1"/>
  <c r="P58" i="6"/>
  <c r="P52" i="6"/>
  <c r="P64" i="6"/>
  <c r="P74" i="6"/>
  <c r="AI2" i="1" s="1"/>
  <c r="P57" i="6"/>
  <c r="AI13" i="1" s="1"/>
  <c r="P68" i="6"/>
  <c r="W24" i="1" s="1"/>
  <c r="P66" i="6"/>
  <c r="W7" i="1" s="1"/>
  <c r="P67" i="6"/>
  <c r="P70" i="6"/>
  <c r="AF43" i="1" s="1"/>
  <c r="P61" i="6"/>
  <c r="AC4" i="1" s="1"/>
  <c r="P65" i="6"/>
  <c r="AF39" i="1" s="1"/>
  <c r="P76" i="6"/>
  <c r="AC26" i="1" s="1"/>
  <c r="P59" i="6"/>
  <c r="W13" i="1" s="1"/>
  <c r="P69" i="6"/>
  <c r="P49" i="6"/>
  <c r="P62" i="6"/>
  <c r="W2" i="1" s="1"/>
  <c r="P71" i="6"/>
  <c r="AI7" i="1" s="1"/>
  <c r="P75" i="6"/>
  <c r="AI29" i="1" s="1"/>
  <c r="P72" i="6"/>
  <c r="P73" i="6"/>
  <c r="P54" i="6"/>
  <c r="P77" i="6"/>
  <c r="P78" i="6"/>
  <c r="P79" i="6"/>
  <c r="P80" i="6"/>
  <c r="P81" i="6"/>
  <c r="P82" i="6"/>
  <c r="P51" i="7"/>
  <c r="P55" i="6"/>
  <c r="H51" i="7"/>
  <c r="O51" i="7" s="1"/>
  <c r="H55" i="6"/>
  <c r="O55" i="6" s="1"/>
  <c r="P40" i="7"/>
  <c r="Q40" i="7"/>
  <c r="R40" i="7"/>
  <c r="P41" i="7"/>
  <c r="Q41" i="7"/>
  <c r="R41" i="7"/>
  <c r="P42" i="7"/>
  <c r="Q42" i="7"/>
  <c r="R42" i="7"/>
  <c r="P43" i="7"/>
  <c r="Q43" i="7"/>
  <c r="R43" i="7"/>
  <c r="P44" i="7"/>
  <c r="Q44" i="7"/>
  <c r="R44" i="7"/>
  <c r="P45" i="7"/>
  <c r="Q45" i="7"/>
  <c r="R45" i="7"/>
  <c r="R39" i="7"/>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56" i="7"/>
  <c r="W56" i="7"/>
  <c r="U57" i="7"/>
  <c r="W57" i="7"/>
  <c r="U58" i="7"/>
  <c r="W58" i="7"/>
  <c r="U50" i="7"/>
  <c r="W50" i="7"/>
  <c r="U55" i="7"/>
  <c r="W55" i="7"/>
  <c r="U59" i="7"/>
  <c r="W59" i="7"/>
  <c r="U73" i="7"/>
  <c r="W73" i="7"/>
  <c r="U65" i="7"/>
  <c r="W65" i="7"/>
  <c r="U48" i="7"/>
  <c r="W48" i="7"/>
  <c r="U53" i="7"/>
  <c r="W53" i="7"/>
  <c r="U71" i="7"/>
  <c r="W71" i="7"/>
  <c r="U49" i="7"/>
  <c r="W49" i="7"/>
  <c r="U66" i="7"/>
  <c r="W66" i="7"/>
  <c r="U62" i="7"/>
  <c r="W62" i="7"/>
  <c r="U68" i="7"/>
  <c r="W68" i="7"/>
  <c r="U74" i="7"/>
  <c r="W74" i="7"/>
  <c r="U69" i="7"/>
  <c r="W69" i="7"/>
  <c r="U72" i="7"/>
  <c r="W72" i="7"/>
  <c r="U52" i="7"/>
  <c r="W52" i="7"/>
  <c r="U54" i="7"/>
  <c r="W54" i="7"/>
  <c r="U61" i="7"/>
  <c r="W61" i="7"/>
  <c r="U60" i="7"/>
  <c r="W60" i="7"/>
  <c r="U70" i="7"/>
  <c r="W70" i="7"/>
  <c r="U64" i="7"/>
  <c r="W64" i="7"/>
  <c r="U67" i="7"/>
  <c r="W67" i="7"/>
  <c r="U63" i="7"/>
  <c r="V63" i="7" s="1"/>
  <c r="T63" i="7" s="1"/>
  <c r="W63"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51" i="7"/>
  <c r="U51" i="7"/>
  <c r="U51" i="6"/>
  <c r="W51" i="6"/>
  <c r="U60" i="6"/>
  <c r="W60" i="6"/>
  <c r="U53" i="6"/>
  <c r="W53" i="6"/>
  <c r="U63" i="6"/>
  <c r="W63" i="6"/>
  <c r="U50" i="6"/>
  <c r="W50" i="6"/>
  <c r="U48" i="6"/>
  <c r="W48" i="6"/>
  <c r="U56" i="6"/>
  <c r="W56" i="6"/>
  <c r="U58" i="6"/>
  <c r="W58" i="6"/>
  <c r="U52" i="6"/>
  <c r="W52" i="6"/>
  <c r="U64" i="6"/>
  <c r="W64" i="6"/>
  <c r="U74" i="6"/>
  <c r="W74" i="6"/>
  <c r="U57" i="6"/>
  <c r="W57" i="6"/>
  <c r="U68" i="6"/>
  <c r="W68" i="6"/>
  <c r="U66" i="6"/>
  <c r="W66" i="6"/>
  <c r="U67" i="6"/>
  <c r="W67" i="6"/>
  <c r="U70" i="6"/>
  <c r="W70" i="6"/>
  <c r="U61" i="6"/>
  <c r="W61" i="6"/>
  <c r="U65" i="6"/>
  <c r="W65" i="6"/>
  <c r="U76" i="6"/>
  <c r="W76" i="6"/>
  <c r="U59" i="6"/>
  <c r="W59" i="6"/>
  <c r="U69" i="6"/>
  <c r="W69" i="6"/>
  <c r="U49" i="6"/>
  <c r="W49" i="6"/>
  <c r="U62" i="6"/>
  <c r="W62" i="6"/>
  <c r="U71" i="6"/>
  <c r="W71" i="6"/>
  <c r="U75" i="6"/>
  <c r="W75" i="6"/>
  <c r="U72" i="6"/>
  <c r="W72" i="6"/>
  <c r="U73" i="6"/>
  <c r="W73" i="6"/>
  <c r="U54" i="6"/>
  <c r="W54" i="6"/>
  <c r="T77" i="6"/>
  <c r="U77" i="6"/>
  <c r="V77" i="6"/>
  <c r="W77" i="6"/>
  <c r="T78" i="6"/>
  <c r="U78" i="6"/>
  <c r="V78" i="6"/>
  <c r="W78" i="6"/>
  <c r="T79" i="6"/>
  <c r="U79" i="6"/>
  <c r="V79" i="6"/>
  <c r="W79" i="6"/>
  <c r="T80" i="6"/>
  <c r="U80" i="6"/>
  <c r="V80" i="6"/>
  <c r="W80" i="6"/>
  <c r="T81" i="6"/>
  <c r="U81" i="6"/>
  <c r="V81" i="6"/>
  <c r="W81" i="6"/>
  <c r="T82" i="6"/>
  <c r="U82" i="6"/>
  <c r="V82" i="6"/>
  <c r="W82" i="6"/>
  <c r="W55" i="6"/>
  <c r="U55" i="6"/>
  <c r="W78" i="2"/>
  <c r="W52" i="2"/>
  <c r="W63" i="2"/>
  <c r="W67" i="2"/>
  <c r="W68" i="2"/>
  <c r="W73" i="2"/>
  <c r="W49" i="2"/>
  <c r="W74" i="2"/>
  <c r="W54" i="2"/>
  <c r="W61" i="2"/>
  <c r="W66" i="2"/>
  <c r="W58" i="2"/>
  <c r="W69" i="2"/>
  <c r="W76" i="2"/>
  <c r="W75" i="2"/>
  <c r="W64" i="2"/>
  <c r="W70" i="2"/>
  <c r="W48" i="2"/>
  <c r="W53" i="2"/>
  <c r="W71" i="2"/>
  <c r="W55" i="2"/>
  <c r="W56" i="2"/>
  <c r="W77" i="2"/>
  <c r="W65" i="2"/>
  <c r="W51" i="2"/>
  <c r="W59" i="2"/>
  <c r="W72" i="2"/>
  <c r="W60" i="2"/>
  <c r="W62" i="2"/>
  <c r="W57" i="2"/>
  <c r="W79" i="2"/>
  <c r="W80" i="2"/>
  <c r="W81" i="2"/>
  <c r="W82" i="2"/>
  <c r="W50" i="2"/>
  <c r="V79" i="2"/>
  <c r="V80" i="2"/>
  <c r="V81" i="2"/>
  <c r="V82" i="2"/>
  <c r="U78" i="2"/>
  <c r="U52" i="2"/>
  <c r="U63" i="2"/>
  <c r="U67" i="2"/>
  <c r="U68" i="2"/>
  <c r="U73" i="2"/>
  <c r="U49" i="2"/>
  <c r="U74" i="2"/>
  <c r="U54" i="2"/>
  <c r="U61" i="2"/>
  <c r="U66" i="2"/>
  <c r="U58" i="2"/>
  <c r="U69" i="2"/>
  <c r="U76" i="2"/>
  <c r="U75" i="2"/>
  <c r="U64" i="2"/>
  <c r="U70" i="2"/>
  <c r="U48" i="2"/>
  <c r="U53" i="2"/>
  <c r="U71" i="2"/>
  <c r="U55" i="2"/>
  <c r="U56" i="2"/>
  <c r="U77" i="2"/>
  <c r="U65" i="2"/>
  <c r="U51" i="2"/>
  <c r="U59" i="2"/>
  <c r="U72" i="2"/>
  <c r="U60" i="2"/>
  <c r="U62" i="2"/>
  <c r="U57" i="2"/>
  <c r="U79" i="2"/>
  <c r="U80" i="2"/>
  <c r="U81" i="2"/>
  <c r="U82" i="2"/>
  <c r="U50" i="2"/>
  <c r="S78" i="2"/>
  <c r="S52" i="2"/>
  <c r="S63" i="2"/>
  <c r="S67" i="2"/>
  <c r="S68" i="2"/>
  <c r="S73" i="2"/>
  <c r="S49" i="2"/>
  <c r="S74" i="2"/>
  <c r="S54" i="2"/>
  <c r="S61" i="2"/>
  <c r="S66" i="2"/>
  <c r="S58" i="2"/>
  <c r="S69" i="2"/>
  <c r="S76" i="2"/>
  <c r="S75" i="2"/>
  <c r="S64" i="2"/>
  <c r="S70" i="2"/>
  <c r="S48" i="2"/>
  <c r="S53" i="2"/>
  <c r="S71" i="2"/>
  <c r="S55" i="2"/>
  <c r="S56" i="2"/>
  <c r="S77" i="2"/>
  <c r="S65" i="2"/>
  <c r="S51" i="2"/>
  <c r="S59" i="2"/>
  <c r="S72" i="2"/>
  <c r="S50" i="2"/>
  <c r="T79" i="2"/>
  <c r="T80" i="2"/>
  <c r="T81" i="2"/>
  <c r="T82" i="2"/>
  <c r="H78" i="2"/>
  <c r="O78" i="2" s="1"/>
  <c r="H52" i="2"/>
  <c r="O52" i="2" s="1"/>
  <c r="H63" i="2"/>
  <c r="O63" i="2" s="1"/>
  <c r="H67" i="2"/>
  <c r="O67" i="2" s="1"/>
  <c r="K36" i="1" s="1"/>
  <c r="H68" i="2"/>
  <c r="H73" i="2"/>
  <c r="H49" i="2"/>
  <c r="O49" i="2" s="1"/>
  <c r="H74" i="2"/>
  <c r="O74" i="2" s="1"/>
  <c r="H54" i="2"/>
  <c r="H61" i="2"/>
  <c r="O61" i="2" s="1"/>
  <c r="H66" i="2"/>
  <c r="O66" i="2" s="1"/>
  <c r="H58" i="2"/>
  <c r="H69" i="2"/>
  <c r="O69" i="2" s="1"/>
  <c r="H76" i="2"/>
  <c r="O76" i="2" s="1"/>
  <c r="H75" i="2"/>
  <c r="H64" i="2"/>
  <c r="O64" i="2" s="1"/>
  <c r="H70" i="2"/>
  <c r="H48" i="2"/>
  <c r="O48" i="2" s="1"/>
  <c r="H53" i="2"/>
  <c r="O53" i="2" s="1"/>
  <c r="J27" i="1" s="1"/>
  <c r="H71" i="2"/>
  <c r="H55" i="2"/>
  <c r="H56" i="2"/>
  <c r="H77" i="2"/>
  <c r="H65" i="2"/>
  <c r="O65" i="2" s="1"/>
  <c r="H51" i="2"/>
  <c r="H72" i="2"/>
  <c r="O72" i="2" s="1"/>
  <c r="H59" i="2"/>
  <c r="O59" i="2" s="1"/>
  <c r="H60" i="2"/>
  <c r="O60" i="2" s="1"/>
  <c r="H62" i="2"/>
  <c r="O62" i="2" s="1"/>
  <c r="H57" i="2"/>
  <c r="O57" i="2" s="1"/>
  <c r="H79" i="2"/>
  <c r="H80" i="2"/>
  <c r="H81" i="2"/>
  <c r="H82" i="2"/>
  <c r="H50" i="2"/>
  <c r="O50" i="2" s="1"/>
  <c r="D25" i="1" s="1"/>
  <c r="P78" i="2"/>
  <c r="P52" i="2"/>
  <c r="E2" i="1" s="1"/>
  <c r="P63" i="2"/>
  <c r="P67" i="2"/>
  <c r="N35" i="1" s="1"/>
  <c r="P68" i="2"/>
  <c r="P73" i="2"/>
  <c r="P49" i="2"/>
  <c r="P74" i="2"/>
  <c r="E41" i="1" s="1"/>
  <c r="P54" i="2"/>
  <c r="Q13" i="1" s="1"/>
  <c r="P61" i="2"/>
  <c r="E7" i="1" s="1"/>
  <c r="P66" i="2"/>
  <c r="Q29" i="1" s="1"/>
  <c r="P58" i="2"/>
  <c r="E29" i="1" s="1"/>
  <c r="P69" i="2"/>
  <c r="P76" i="2"/>
  <c r="P75" i="2"/>
  <c r="P64" i="2"/>
  <c r="P70" i="2"/>
  <c r="K15" i="1" s="1"/>
  <c r="P48" i="2"/>
  <c r="P53" i="2"/>
  <c r="K26" i="1" s="1"/>
  <c r="P71" i="2"/>
  <c r="E18" i="1" s="1"/>
  <c r="P55" i="2"/>
  <c r="Q24" i="1" s="1"/>
  <c r="P56" i="2"/>
  <c r="E13" i="1" s="1"/>
  <c r="P77" i="2"/>
  <c r="Q7" i="1" s="1"/>
  <c r="P65" i="2"/>
  <c r="P51" i="2"/>
  <c r="N39" i="1" s="1"/>
  <c r="P72" i="2"/>
  <c r="K4" i="1" s="1"/>
  <c r="P59" i="2"/>
  <c r="N43" i="1" s="1"/>
  <c r="P60" i="2"/>
  <c r="P62" i="2"/>
  <c r="P57" i="2"/>
  <c r="P79" i="2"/>
  <c r="P80" i="2"/>
  <c r="P81" i="2"/>
  <c r="P82" i="2"/>
  <c r="P50" i="2"/>
  <c r="E24" i="1" s="1"/>
  <c r="D76" i="2"/>
  <c r="D57"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U43" i="1"/>
  <c r="AT43" i="1"/>
  <c r="AO43" i="1"/>
  <c r="BB42" i="1"/>
  <c r="BA42" i="1"/>
  <c r="AO41" i="1"/>
  <c r="AL41" i="1"/>
  <c r="AK41" i="1"/>
  <c r="BA40" i="1"/>
  <c r="AX40" i="1"/>
  <c r="AT40" i="1"/>
  <c r="AP40" i="1"/>
  <c r="AO40" i="1"/>
  <c r="AU39" i="1"/>
  <c r="AT39" i="1"/>
  <c r="BB38" i="1"/>
  <c r="BA38" i="1"/>
  <c r="AN38" i="1"/>
  <c r="AK38" i="1"/>
  <c r="AO37" i="1"/>
  <c r="BA36" i="1"/>
  <c r="AX36" i="1"/>
  <c r="AU36" i="1"/>
  <c r="AT36" i="1"/>
  <c r="AX35" i="1"/>
  <c r="AU35" i="1"/>
  <c r="AT35" i="1"/>
  <c r="AO35" i="1"/>
  <c r="AL35" i="1"/>
  <c r="AK35" i="1"/>
  <c r="BB34" i="1"/>
  <c r="BA34" i="1"/>
  <c r="AP34" i="1"/>
  <c r="AO34" i="1"/>
  <c r="BB31" i="1"/>
  <c r="AZ31" i="1"/>
  <c r="AW31" i="1"/>
  <c r="AP31" i="1"/>
  <c r="AN31" i="1"/>
  <c r="AK31" i="1"/>
  <c r="AN30" i="1"/>
  <c r="BA29" i="1"/>
  <c r="AX29" i="1"/>
  <c r="AW29" i="1"/>
  <c r="AO29" i="1"/>
  <c r="AL29" i="1"/>
  <c r="AK29" i="1"/>
  <c r="BB28" i="1"/>
  <c r="BA28" i="1"/>
  <c r="AV28" i="1"/>
  <c r="AT28" i="1"/>
  <c r="AQ28" i="1"/>
  <c r="AP28" i="1"/>
  <c r="AO28" i="1"/>
  <c r="AT27" i="1"/>
  <c r="BB26" i="1"/>
  <c r="AZ26" i="1"/>
  <c r="AW26" i="1"/>
  <c r="AU26" i="1"/>
  <c r="AR26" i="1"/>
  <c r="AQ26" i="1"/>
  <c r="AP26" i="1"/>
  <c r="AN26" i="1"/>
  <c r="AK26" i="1"/>
  <c r="AZ25" i="1"/>
  <c r="AV25" i="1"/>
  <c r="AU25" i="1"/>
  <c r="AN25" i="1"/>
  <c r="BA24" i="1"/>
  <c r="AX24" i="1"/>
  <c r="AW24" i="1"/>
  <c r="AO24" i="1"/>
  <c r="AL24" i="1"/>
  <c r="AK24" i="1"/>
  <c r="BB23" i="1"/>
  <c r="BA23" i="1"/>
  <c r="AP23" i="1"/>
  <c r="AO23" i="1"/>
  <c r="BB20" i="1"/>
  <c r="AZ20" i="1"/>
  <c r="AW20" i="1"/>
  <c r="AP20" i="1"/>
  <c r="AN20" i="1"/>
  <c r="AK20" i="1"/>
  <c r="AN19" i="1"/>
  <c r="BA18" i="1"/>
  <c r="AX18" i="1"/>
  <c r="AW18" i="1"/>
  <c r="AO18" i="1"/>
  <c r="AL18" i="1"/>
  <c r="AK18" i="1"/>
  <c r="BB17" i="1"/>
  <c r="BA17" i="1"/>
  <c r="AV17" i="1"/>
  <c r="AT17" i="1"/>
  <c r="AQ17" i="1"/>
  <c r="AP17" i="1"/>
  <c r="AO17" i="1"/>
  <c r="BB15" i="1"/>
  <c r="AZ15" i="1"/>
  <c r="AW15" i="1"/>
  <c r="AU15" i="1"/>
  <c r="AR15" i="1"/>
  <c r="AQ15" i="1"/>
  <c r="AP15" i="1"/>
  <c r="AN15" i="1"/>
  <c r="AK15" i="1"/>
  <c r="AZ14" i="1"/>
  <c r="AV14" i="1"/>
  <c r="AU14" i="1"/>
  <c r="AN14" i="1"/>
  <c r="BA13" i="1"/>
  <c r="AX13" i="1"/>
  <c r="AW13" i="1"/>
  <c r="AO13" i="1"/>
  <c r="AL13" i="1"/>
  <c r="AK13" i="1"/>
  <c r="BB12" i="1"/>
  <c r="BA12" i="1"/>
  <c r="AP12" i="1"/>
  <c r="AO12" i="1"/>
  <c r="BB9" i="1"/>
  <c r="AZ9" i="1"/>
  <c r="AW9" i="1"/>
  <c r="AP9" i="1"/>
  <c r="AN9" i="1"/>
  <c r="AK9" i="1"/>
  <c r="AZ8" i="1"/>
  <c r="AN8" i="1"/>
  <c r="AX7" i="1"/>
  <c r="AW7" i="1"/>
  <c r="AO7" i="1"/>
  <c r="AL7" i="1"/>
  <c r="AK7" i="1"/>
  <c r="BB6" i="1"/>
  <c r="BA6" i="1"/>
  <c r="AV6" i="1"/>
  <c r="AT6" i="1"/>
  <c r="AQ6" i="1"/>
  <c r="AP6" i="1"/>
  <c r="AO6" i="1"/>
  <c r="AT5" i="1"/>
  <c r="BB4" i="1"/>
  <c r="AZ4" i="1"/>
  <c r="AW4" i="1"/>
  <c r="AU4" i="1"/>
  <c r="AR4" i="1"/>
  <c r="AQ4" i="1"/>
  <c r="AP4" i="1"/>
  <c r="AN4" i="1"/>
  <c r="AK4" i="1"/>
  <c r="AZ3" i="1"/>
  <c r="AV3" i="1"/>
  <c r="AU3" i="1"/>
  <c r="BA2" i="1"/>
  <c r="AX2" i="1"/>
  <c r="AW2" i="1"/>
  <c r="AO2" i="1"/>
  <c r="AL2" i="1"/>
  <c r="AK2" i="1"/>
  <c r="BB1" i="1"/>
  <c r="AP1" i="1"/>
  <c r="AO1" i="1"/>
  <c r="AU50" i="1"/>
  <c r="AC50" i="1"/>
  <c r="AX49" i="1"/>
  <c r="AF49" i="1"/>
  <c r="AU48" i="1"/>
  <c r="AL48" i="1"/>
  <c r="AC48" i="1"/>
  <c r="T48" i="1"/>
  <c r="AX47" i="1"/>
  <c r="AO47" i="1"/>
  <c r="AF47" i="1"/>
  <c r="W47" i="1"/>
  <c r="W41" i="1"/>
  <c r="T41" i="1"/>
  <c r="S41" i="1"/>
  <c r="W35" i="1"/>
  <c r="T35" i="1"/>
  <c r="S35" i="1"/>
  <c r="AL42" i="1"/>
  <c r="AL36" i="1"/>
  <c r="K50" i="1"/>
  <c r="N49" i="1"/>
  <c r="K48" i="1"/>
  <c r="B48" i="1"/>
  <c r="N47" i="1"/>
  <c r="E47" i="1"/>
  <c r="D30" i="9"/>
  <c r="D20" i="9"/>
  <c r="D19" i="9"/>
  <c r="D18" i="9"/>
  <c r="D17" i="9"/>
  <c r="D16" i="9"/>
  <c r="D15" i="9"/>
  <c r="D14" i="9"/>
  <c r="D13" i="9"/>
  <c r="D12" i="9"/>
  <c r="D11" i="9"/>
  <c r="D10" i="9"/>
  <c r="D9" i="9"/>
  <c r="D8" i="9"/>
  <c r="D7" i="9"/>
  <c r="D6" i="9"/>
  <c r="D5" i="9"/>
  <c r="D4" i="9"/>
  <c r="D3" i="9"/>
  <c r="D2" i="9"/>
  <c r="D1" i="9"/>
  <c r="L75" i="1"/>
  <c r="L74" i="1"/>
  <c r="L71" i="1"/>
  <c r="L72" i="1"/>
  <c r="L73" i="1"/>
  <c r="V54" i="6" l="1"/>
  <c r="T54" i="6" s="1"/>
  <c r="V73" i="6"/>
  <c r="T73" i="6" s="1"/>
  <c r="V48" i="6"/>
  <c r="D8" i="1"/>
  <c r="D3" i="1"/>
  <c r="Q18" i="1"/>
  <c r="Q2" i="1"/>
  <c r="V57" i="2"/>
  <c r="T57" i="2" s="1"/>
  <c r="E35" i="1"/>
  <c r="V62" i="2"/>
  <c r="T62" i="2" s="1"/>
  <c r="V64" i="7"/>
  <c r="T64" i="7" s="1"/>
  <c r="V67" i="7"/>
  <c r="T67" i="7" s="1"/>
  <c r="K44" i="1"/>
  <c r="D61" i="11"/>
  <c r="D75" i="11"/>
  <c r="BL26" i="1" s="1"/>
  <c r="D73" i="11"/>
  <c r="D58" i="11"/>
  <c r="D48" i="11"/>
  <c r="BF35" i="1" s="1"/>
  <c r="D49" i="11"/>
  <c r="D57" i="11"/>
  <c r="BO35" i="1" s="1"/>
  <c r="D65" i="11"/>
  <c r="BR29" i="1" s="1"/>
  <c r="D66" i="11"/>
  <c r="BF18" i="1" s="1"/>
  <c r="D50" i="11"/>
  <c r="BL4" i="1" s="1"/>
  <c r="D74" i="11"/>
  <c r="BR18" i="1" s="1"/>
  <c r="D72" i="11"/>
  <c r="D51" i="11"/>
  <c r="D59" i="11"/>
  <c r="BR7" i="1" s="1"/>
  <c r="D67" i="11"/>
  <c r="BF13" i="1" s="1"/>
  <c r="D68" i="11"/>
  <c r="D52" i="11"/>
  <c r="D60" i="11"/>
  <c r="BO43" i="1" s="1"/>
  <c r="D69" i="11"/>
  <c r="D53" i="11"/>
  <c r="BF7" i="1" s="1"/>
  <c r="D56" i="11"/>
  <c r="BR24" i="1" s="1"/>
  <c r="D64" i="11"/>
  <c r="D54" i="11"/>
  <c r="BF29" i="1" s="1"/>
  <c r="D62" i="11"/>
  <c r="BF41" i="1" s="1"/>
  <c r="D70" i="11"/>
  <c r="BR13" i="1" s="1"/>
  <c r="D63" i="11"/>
  <c r="BF2" i="1" s="1"/>
  <c r="D55" i="11"/>
  <c r="BF24" i="1" s="1"/>
  <c r="D71" i="11"/>
  <c r="BL15" i="1" s="1"/>
  <c r="E37" i="1"/>
  <c r="E43" i="1"/>
  <c r="V51" i="7"/>
  <c r="T51" i="7" s="1"/>
  <c r="V76" i="6"/>
  <c r="T76" i="6" s="1"/>
  <c r="V49" i="6"/>
  <c r="T48" i="6"/>
  <c r="V60" i="2"/>
  <c r="T60" i="2" s="1"/>
  <c r="V53" i="6"/>
  <c r="T53" i="6" s="1"/>
  <c r="V70" i="6"/>
  <c r="T70" i="6" s="1"/>
  <c r="V66" i="6"/>
  <c r="T66" i="6" s="1"/>
  <c r="V57" i="6"/>
  <c r="T57" i="6" s="1"/>
  <c r="V60" i="7"/>
  <c r="T60" i="7" s="1"/>
  <c r="V72" i="7"/>
  <c r="T72" i="7" s="1"/>
  <c r="V62" i="7"/>
  <c r="T62" i="7" s="1"/>
  <c r="V53" i="7"/>
  <c r="T53" i="7" s="1"/>
  <c r="V59" i="7"/>
  <c r="T59" i="7" s="1"/>
  <c r="V57" i="7"/>
  <c r="T57" i="7" s="1"/>
  <c r="O71" i="2"/>
  <c r="D19" i="1" s="1"/>
  <c r="O58" i="2"/>
  <c r="D30" i="1" s="1"/>
  <c r="V59" i="2"/>
  <c r="T59" i="2" s="1"/>
  <c r="V48" i="2"/>
  <c r="T48" i="2" s="1"/>
  <c r="V61" i="2"/>
  <c r="T61" i="2" s="1"/>
  <c r="V52" i="2"/>
  <c r="T52" i="2" s="1"/>
  <c r="V68" i="6"/>
  <c r="T68" i="6" s="1"/>
  <c r="V75" i="6"/>
  <c r="T75" i="6" s="1"/>
  <c r="V52" i="6"/>
  <c r="T52" i="6" s="1"/>
  <c r="O51" i="2"/>
  <c r="O70" i="2"/>
  <c r="J16" i="1" s="1"/>
  <c r="O54" i="2"/>
  <c r="P14" i="1" s="1"/>
  <c r="V77" i="2"/>
  <c r="T77" i="2" s="1"/>
  <c r="V75" i="2"/>
  <c r="T75" i="2" s="1"/>
  <c r="V49" i="2"/>
  <c r="T49" i="2" s="1"/>
  <c r="V65" i="6"/>
  <c r="T65" i="6" s="1"/>
  <c r="V67" i="6"/>
  <c r="T67" i="6" s="1"/>
  <c r="V60" i="6"/>
  <c r="T60" i="6" s="1"/>
  <c r="V61" i="7"/>
  <c r="T61" i="7" s="1"/>
  <c r="V69" i="7"/>
  <c r="T69" i="7" s="1"/>
  <c r="V66" i="7"/>
  <c r="T66" i="7" s="1"/>
  <c r="V48" i="7"/>
  <c r="V55" i="7"/>
  <c r="T55" i="7" s="1"/>
  <c r="V56" i="7"/>
  <c r="T56" i="7" s="1"/>
  <c r="V56" i="2"/>
  <c r="T56" i="2" s="1"/>
  <c r="V76" i="2"/>
  <c r="T76" i="2" s="1"/>
  <c r="V65" i="2"/>
  <c r="T65" i="2" s="1"/>
  <c r="V55" i="6"/>
  <c r="T55" i="6" s="1"/>
  <c r="V71" i="6"/>
  <c r="T71" i="6" s="1"/>
  <c r="V69" i="6"/>
  <c r="T69" i="6" s="1"/>
  <c r="V58" i="6"/>
  <c r="T58" i="6" s="1"/>
  <c r="V50" i="6"/>
  <c r="T50" i="6" s="1"/>
  <c r="O77" i="2"/>
  <c r="O75" i="2"/>
  <c r="V55" i="2"/>
  <c r="T55" i="2" s="1"/>
  <c r="V69" i="2"/>
  <c r="T69" i="2" s="1"/>
  <c r="V68" i="2"/>
  <c r="T68" i="2" s="1"/>
  <c r="V74" i="6"/>
  <c r="T74" i="6" s="1"/>
  <c r="V54" i="7"/>
  <c r="T54" i="7" s="1"/>
  <c r="V74" i="7"/>
  <c r="T74" i="7" s="1"/>
  <c r="V49" i="7"/>
  <c r="T49" i="7" s="1"/>
  <c r="V65" i="7"/>
  <c r="T65" i="7" s="1"/>
  <c r="V50" i="7"/>
  <c r="T50" i="7" s="1"/>
  <c r="O56" i="2"/>
  <c r="D14" i="1" s="1"/>
  <c r="O73" i="2"/>
  <c r="V71" i="2"/>
  <c r="T71" i="2" s="1"/>
  <c r="V58" i="2"/>
  <c r="T58" i="2" s="1"/>
  <c r="V67" i="2"/>
  <c r="T67" i="2" s="1"/>
  <c r="V59" i="6"/>
  <c r="T59" i="6" s="1"/>
  <c r="V61" i="6"/>
  <c r="T61" i="6" s="1"/>
  <c r="V63" i="6"/>
  <c r="T63" i="6" s="1"/>
  <c r="V51" i="6"/>
  <c r="T51" i="6" s="1"/>
  <c r="O55" i="2"/>
  <c r="P25" i="1" s="1"/>
  <c r="O68" i="2"/>
  <c r="P3" i="1" s="1"/>
  <c r="V50" i="2"/>
  <c r="T50" i="2" s="1"/>
  <c r="V72" i="2"/>
  <c r="T72" i="2" s="1"/>
  <c r="V53" i="2"/>
  <c r="T53" i="2" s="1"/>
  <c r="V66" i="2"/>
  <c r="T66" i="2" s="1"/>
  <c r="V63" i="2"/>
  <c r="T63" i="2" s="1"/>
  <c r="V72" i="6"/>
  <c r="T72" i="6" s="1"/>
  <c r="V62" i="6"/>
  <c r="T62" i="6" s="1"/>
  <c r="V64" i="6"/>
  <c r="T64" i="6" s="1"/>
  <c r="V56" i="6"/>
  <c r="T56" i="6" s="1"/>
  <c r="V70" i="7"/>
  <c r="T70" i="7" s="1"/>
  <c r="V52" i="7"/>
  <c r="T52" i="7" s="1"/>
  <c r="V68" i="7"/>
  <c r="T68" i="7" s="1"/>
  <c r="V71" i="7"/>
  <c r="T71" i="7" s="1"/>
  <c r="V73" i="7"/>
  <c r="T73" i="7" s="1"/>
  <c r="V58" i="7"/>
  <c r="T58" i="7" s="1"/>
  <c r="D88" i="11"/>
  <c r="D89" i="11"/>
  <c r="D86" i="11"/>
  <c r="BL50" i="1" s="1"/>
  <c r="D87" i="11"/>
  <c r="BL48" i="1" s="1"/>
  <c r="D85" i="11"/>
  <c r="BC48" i="1" s="1"/>
  <c r="V51" i="2"/>
  <c r="T51" i="2" s="1"/>
  <c r="V78" i="2"/>
  <c r="T78" i="2" s="1"/>
  <c r="V74" i="2"/>
  <c r="T74" i="2" s="1"/>
  <c r="V54" i="2"/>
  <c r="T54" i="2" s="1"/>
  <c r="V73" i="2"/>
  <c r="T73" i="2" s="1"/>
  <c r="V64" i="2"/>
  <c r="T64" i="2" s="1"/>
  <c r="V70" i="2"/>
  <c r="T70" i="2" s="1"/>
  <c r="AP44" i="1"/>
  <c r="AM43" i="1"/>
  <c r="AK43" i="1"/>
  <c r="AP42" i="1"/>
  <c r="AN42" i="1"/>
  <c r="AK42" i="1"/>
  <c r="AP38" i="1"/>
  <c r="AM37" i="1"/>
  <c r="AK37" i="1"/>
  <c r="AP36" i="1"/>
  <c r="AN36" i="1"/>
  <c r="AK36" i="1"/>
  <c r="AR19" i="1"/>
  <c r="AR30" i="1"/>
  <c r="H30" i="1"/>
  <c r="H19" i="1"/>
  <c r="A71" i="1"/>
  <c r="A82" i="1"/>
  <c r="D72" i="1"/>
  <c r="A81" i="1"/>
  <c r="O8" i="18"/>
  <c r="D79" i="1"/>
  <c r="G73" i="1"/>
  <c r="H7" i="18"/>
  <c r="G81" i="1"/>
  <c r="D75" i="1"/>
  <c r="H8" i="18"/>
  <c r="A78" i="1"/>
  <c r="D73" i="1"/>
  <c r="D71" i="1"/>
  <c r="A72" i="1"/>
  <c r="F8" i="18"/>
  <c r="A79" i="1"/>
  <c r="G75" i="1"/>
  <c r="D80" i="1"/>
  <c r="A80" i="1"/>
  <c r="L7" i="18"/>
  <c r="G80" i="1"/>
  <c r="L8" i="18"/>
  <c r="D74" i="1"/>
  <c r="G74" i="1"/>
  <c r="A75" i="1"/>
  <c r="F7" i="18"/>
  <c r="G72" i="1"/>
  <c r="A74" i="1"/>
  <c r="G79" i="1"/>
  <c r="D81" i="1"/>
  <c r="G71" i="1"/>
  <c r="G78" i="1"/>
  <c r="A73" i="1"/>
  <c r="D78" i="1"/>
  <c r="O7" i="18"/>
  <c r="J5" i="1" l="1"/>
  <c r="P8" i="1"/>
  <c r="P30" i="1"/>
  <c r="BO39" i="1"/>
  <c r="BR2" i="1"/>
  <c r="P19" i="1"/>
  <c r="K40" i="1"/>
  <c r="T48" i="7"/>
  <c r="T49" i="6"/>
  <c r="A84" i="7"/>
  <c r="A47" i="7"/>
  <c r="D64" i="7" l="1"/>
  <c r="AN13" i="1" s="1"/>
  <c r="D67" i="7"/>
  <c r="D65" i="7"/>
  <c r="D72" i="7"/>
  <c r="AT4" i="1" s="1"/>
  <c r="D86" i="7"/>
  <c r="D87" i="7"/>
  <c r="D88" i="7"/>
  <c r="D89" i="7"/>
  <c r="D85" i="7"/>
  <c r="D56" i="7"/>
  <c r="AW43" i="1" s="1"/>
  <c r="D48" i="7"/>
  <c r="AN7" i="1" s="1"/>
  <c r="D69" i="7"/>
  <c r="AN35" i="1" s="1"/>
  <c r="D57" i="7"/>
  <c r="D53" i="7"/>
  <c r="AZ13" i="1" s="1"/>
  <c r="D70" i="7"/>
  <c r="D58" i="7"/>
  <c r="AN41" i="1" s="1"/>
  <c r="D71" i="7"/>
  <c r="D52" i="7"/>
  <c r="AN2" i="1" s="1"/>
  <c r="D50" i="7"/>
  <c r="AW35" i="1" s="1"/>
  <c r="D49" i="7"/>
  <c r="AT26" i="1" s="1"/>
  <c r="D54" i="7"/>
  <c r="AZ29" i="1" s="1"/>
  <c r="D73" i="7"/>
  <c r="D55" i="7"/>
  <c r="AN18" i="1" s="1"/>
  <c r="D66" i="7"/>
  <c r="AZ7" i="1" s="1"/>
  <c r="D61" i="7"/>
  <c r="AW39" i="1" s="1"/>
  <c r="D68" i="7"/>
  <c r="AN24" i="1" s="1"/>
  <c r="D59" i="7"/>
  <c r="D62" i="7"/>
  <c r="D60" i="7"/>
  <c r="D74" i="7"/>
  <c r="D51" i="7"/>
  <c r="AZ2" i="1" s="1"/>
  <c r="A87" i="1"/>
  <c r="E86" i="1"/>
  <c r="A86" i="1"/>
  <c r="J86" i="1"/>
  <c r="J87" i="1"/>
  <c r="N87" i="1"/>
  <c r="E87" i="1"/>
  <c r="AZ24" i="1" l="1"/>
  <c r="AN29" i="1"/>
  <c r="AT15" i="1"/>
  <c r="AZ18" i="1"/>
  <c r="AT48" i="1"/>
  <c r="AK48" i="1"/>
  <c r="AT50" i="1"/>
  <c r="AE3" i="1"/>
  <c r="G16" i="1"/>
  <c r="R55" i="1"/>
  <c r="Q55" i="1"/>
  <c r="P55" i="1"/>
  <c r="N55" i="1"/>
  <c r="M55" i="1"/>
  <c r="L55" i="1"/>
  <c r="C55" i="1"/>
  <c r="I55" i="1"/>
  <c r="H55" i="1"/>
  <c r="G55" i="1"/>
  <c r="E55" i="1"/>
  <c r="D55" i="1"/>
  <c r="AK27" i="4"/>
  <c r="AK28" i="4"/>
  <c r="AK29" i="4"/>
  <c r="AK30" i="4"/>
  <c r="AK31" i="4"/>
  <c r="AK32" i="4"/>
  <c r="AK33" i="4"/>
  <c r="AK34" i="4"/>
  <c r="AK35" i="4"/>
  <c r="AK36" i="4"/>
  <c r="AK37" i="4"/>
  <c r="AK38" i="4"/>
  <c r="AK39" i="4"/>
  <c r="AK26" i="4"/>
  <c r="X44" i="1"/>
  <c r="S43" i="1"/>
  <c r="V42" i="1"/>
  <c r="S42" i="1"/>
  <c r="X38" i="1"/>
  <c r="V36" i="1"/>
  <c r="S37" i="1"/>
  <c r="S36" i="1"/>
  <c r="F44" i="1"/>
  <c r="A43" i="1"/>
  <c r="D42" i="1"/>
  <c r="A42" i="1"/>
  <c r="F38" i="1"/>
  <c r="D36" i="1"/>
  <c r="A37" i="1"/>
  <c r="A36" i="1"/>
  <c r="W43" i="1"/>
  <c r="W37" i="1"/>
  <c r="A84" i="6"/>
  <c r="A47" i="6"/>
  <c r="T42" i="1"/>
  <c r="X42" i="1"/>
  <c r="U43" i="1"/>
  <c r="T36" i="1"/>
  <c r="X36" i="1"/>
  <c r="U37" i="1"/>
  <c r="AE30" i="1"/>
  <c r="AH39" i="1"/>
  <c r="AH35" i="1"/>
  <c r="AE14" i="1"/>
  <c r="AH43" i="1"/>
  <c r="AE19" i="1"/>
  <c r="S25" i="1"/>
  <c r="S30" i="1"/>
  <c r="AE25" i="1"/>
  <c r="Y27" i="1"/>
  <c r="S19" i="1"/>
  <c r="Y16" i="1"/>
  <c r="S8" i="1"/>
  <c r="AE8" i="1"/>
  <c r="S14" i="1"/>
  <c r="Y5" i="1"/>
  <c r="S3" i="1"/>
  <c r="D63" i="6" l="1"/>
  <c r="D73" i="6"/>
  <c r="D86" i="6"/>
  <c r="D87" i="6"/>
  <c r="AB48" i="1" s="1"/>
  <c r="D88" i="6"/>
  <c r="AB50" i="1" s="1"/>
  <c r="D89" i="6"/>
  <c r="D85" i="6"/>
  <c r="S48" i="1" s="1"/>
  <c r="D55" i="6"/>
  <c r="D51" i="6"/>
  <c r="AH24" i="1" s="1"/>
  <c r="D52" i="6"/>
  <c r="V41" i="1" s="1"/>
  <c r="D61" i="6"/>
  <c r="AB4" i="1" s="1"/>
  <c r="D75" i="6"/>
  <c r="AH29" i="1" s="1"/>
  <c r="D60" i="6"/>
  <c r="V29" i="1" s="1"/>
  <c r="D65" i="6"/>
  <c r="AE39" i="1" s="1"/>
  <c r="D72" i="6"/>
  <c r="V35" i="1" s="1"/>
  <c r="D68" i="6"/>
  <c r="V24" i="1" s="1"/>
  <c r="D53" i="6"/>
  <c r="AH18" i="1" s="1"/>
  <c r="D74" i="6"/>
  <c r="AH2" i="1" s="1"/>
  <c r="D76" i="6"/>
  <c r="AB26" i="1" s="1"/>
  <c r="D57" i="6"/>
  <c r="AH13" i="1" s="1"/>
  <c r="D59" i="6"/>
  <c r="V13" i="1" s="1"/>
  <c r="D48" i="6"/>
  <c r="V18" i="1" s="1"/>
  <c r="D66" i="6"/>
  <c r="V7" i="1" s="1"/>
  <c r="D49" i="6"/>
  <c r="D70" i="6"/>
  <c r="AE43" i="1" s="1"/>
  <c r="D71" i="6"/>
  <c r="AH7" i="1" s="1"/>
  <c r="D56" i="6"/>
  <c r="AB15" i="1" s="1"/>
  <c r="D67" i="6"/>
  <c r="D62" i="6"/>
  <c r="V2" i="1" s="1"/>
  <c r="D58" i="6"/>
  <c r="A55" i="1"/>
  <c r="J55" i="1"/>
  <c r="AJ27" i="4"/>
  <c r="AJ28" i="4"/>
  <c r="AJ29" i="4"/>
  <c r="AJ30" i="4"/>
  <c r="AJ31" i="4"/>
  <c r="AJ32" i="4"/>
  <c r="AJ33" i="4"/>
  <c r="AJ34" i="4"/>
  <c r="AJ35" i="4"/>
  <c r="AJ36" i="4"/>
  <c r="AJ37" i="4"/>
  <c r="AJ38" i="4"/>
  <c r="AJ39" i="4"/>
  <c r="AJ26" i="4"/>
  <c r="AI27" i="4"/>
  <c r="AI28" i="4"/>
  <c r="AI29" i="4"/>
  <c r="AI30" i="4"/>
  <c r="AI31" i="4"/>
  <c r="AI32" i="4"/>
  <c r="AI33" i="4"/>
  <c r="AI34" i="4"/>
  <c r="AI35" i="4"/>
  <c r="AI36" i="4"/>
  <c r="AI37" i="4"/>
  <c r="AI38" i="4"/>
  <c r="AI39" i="4"/>
  <c r="AI26" i="4"/>
  <c r="AH27" i="4"/>
  <c r="AH28" i="4"/>
  <c r="AH29" i="4"/>
  <c r="AH30" i="4"/>
  <c r="AH31" i="4"/>
  <c r="AH32" i="4"/>
  <c r="AH33" i="4"/>
  <c r="AH34" i="4"/>
  <c r="AH35" i="4"/>
  <c r="AH36" i="4"/>
  <c r="AH37" i="4"/>
  <c r="AH38" i="4"/>
  <c r="AH39"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T10" i="4"/>
  <c r="U10" i="4"/>
  <c r="V10" i="4"/>
  <c r="T11" i="4"/>
  <c r="U11" i="4"/>
  <c r="V11" i="4"/>
  <c r="T12" i="4"/>
  <c r="U12" i="4"/>
  <c r="V12" i="4"/>
  <c r="T13" i="4"/>
  <c r="U13" i="4"/>
  <c r="V13" i="4"/>
  <c r="T14" i="4"/>
  <c r="U14" i="4"/>
  <c r="V14" i="4"/>
  <c r="T15" i="4"/>
  <c r="U15" i="4"/>
  <c r="V15"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L10" i="4"/>
  <c r="M10" i="4"/>
  <c r="N10" i="4"/>
  <c r="O10" i="4"/>
  <c r="P10" i="4"/>
  <c r="Q10" i="4"/>
  <c r="R10" i="4"/>
  <c r="S10"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B10" i="4"/>
  <c r="C10" i="4"/>
  <c r="D10" i="4"/>
  <c r="E10" i="4"/>
  <c r="F10" i="4"/>
  <c r="G10" i="4"/>
  <c r="H10" i="4"/>
  <c r="I10" i="4"/>
  <c r="J10" i="4"/>
  <c r="K10" i="4"/>
  <c r="B11" i="4"/>
  <c r="C11" i="4"/>
  <c r="D11" i="4"/>
  <c r="E11" i="4"/>
  <c r="F11" i="4"/>
  <c r="G11" i="4"/>
  <c r="H11" i="4"/>
  <c r="I11" i="4"/>
  <c r="J11" i="4"/>
  <c r="K11" i="4"/>
  <c r="B12" i="4"/>
  <c r="C12" i="4"/>
  <c r="D12" i="4"/>
  <c r="E12" i="4"/>
  <c r="F12" i="4"/>
  <c r="G12" i="4"/>
  <c r="H12" i="4"/>
  <c r="I12" i="4"/>
  <c r="J12" i="4"/>
  <c r="K12" i="4"/>
  <c r="B13" i="4"/>
  <c r="C13" i="4"/>
  <c r="D13" i="4"/>
  <c r="E13" i="4"/>
  <c r="F13" i="4"/>
  <c r="G13" i="4"/>
  <c r="H13" i="4"/>
  <c r="I13" i="4"/>
  <c r="J13" i="4"/>
  <c r="K13" i="4"/>
  <c r="B14" i="4"/>
  <c r="C14" i="4"/>
  <c r="D14" i="4"/>
  <c r="E14" i="4"/>
  <c r="F14" i="4"/>
  <c r="G14" i="4"/>
  <c r="H14" i="4"/>
  <c r="I14" i="4"/>
  <c r="J14" i="4"/>
  <c r="K14" i="4"/>
  <c r="B15" i="4"/>
  <c r="C15" i="4"/>
  <c r="D15" i="4"/>
  <c r="E15" i="4"/>
  <c r="F15" i="4"/>
  <c r="G15" i="4"/>
  <c r="H15" i="4"/>
  <c r="I15" i="4"/>
  <c r="J15" i="4"/>
  <c r="K15" i="4"/>
  <c r="I2" i="4"/>
  <c r="J2" i="4"/>
  <c r="K2" i="4"/>
  <c r="C2" i="4"/>
  <c r="D2" i="4"/>
  <c r="E2" i="4"/>
  <c r="F2" i="4"/>
  <c r="G2" i="4"/>
  <c r="H2" i="4"/>
  <c r="B2" i="4"/>
  <c r="A84" i="2"/>
  <c r="D89" i="2" s="1"/>
  <c r="B42" i="1"/>
  <c r="F36" i="1"/>
  <c r="C37" i="1"/>
  <c r="A47" i="2"/>
  <c r="D62" i="2" s="1"/>
  <c r="D59" i="2" l="1"/>
  <c r="D60" i="2"/>
  <c r="D86" i="2"/>
  <c r="J48" i="1" s="1"/>
  <c r="D87" i="2"/>
  <c r="D88" i="2"/>
  <c r="J50" i="1" s="1"/>
  <c r="D85" i="2"/>
  <c r="A48" i="1" s="1"/>
  <c r="C43" i="1"/>
  <c r="B36" i="1"/>
  <c r="F42" i="1"/>
  <c r="D50" i="2"/>
  <c r="D78" i="2"/>
  <c r="D54" i="2"/>
  <c r="D70" i="2"/>
  <c r="D51" i="2"/>
  <c r="D77" i="2"/>
  <c r="D52" i="2"/>
  <c r="D61" i="2"/>
  <c r="D48" i="2"/>
  <c r="D72" i="2"/>
  <c r="D63" i="2"/>
  <c r="D66" i="2"/>
  <c r="D53" i="2"/>
  <c r="D67" i="2"/>
  <c r="M35" i="1" s="1"/>
  <c r="D58" i="2"/>
  <c r="D29" i="1" s="1"/>
  <c r="D71" i="2"/>
  <c r="D18" i="1" s="1"/>
  <c r="D75" i="2"/>
  <c r="D68" i="2"/>
  <c r="D69" i="2"/>
  <c r="D55" i="2"/>
  <c r="D73" i="2"/>
  <c r="D56" i="2"/>
  <c r="D49" i="2"/>
  <c r="D74" i="2"/>
  <c r="D64" i="2"/>
  <c r="D65" i="2"/>
  <c r="I56" i="1"/>
  <c r="Q56" i="1"/>
  <c r="P43" i="1"/>
  <c r="P39" i="1"/>
  <c r="P56" i="1"/>
  <c r="H56" i="1"/>
  <c r="G56" i="1"/>
  <c r="R56" i="1"/>
  <c r="D13" i="1" l="1"/>
  <c r="J15" i="1"/>
  <c r="P24" i="1"/>
  <c r="P29" i="1"/>
  <c r="J26" i="1"/>
  <c r="D7" i="1"/>
  <c r="D2" i="1"/>
  <c r="J4" i="1"/>
  <c r="P2" i="1"/>
  <c r="P13" i="1"/>
  <c r="P18" i="1"/>
  <c r="D24" i="1"/>
  <c r="M43" i="1"/>
  <c r="P7" i="1"/>
  <c r="M39" i="1"/>
  <c r="D41" i="1"/>
  <c r="D35" i="1"/>
</calcChain>
</file>

<file path=xl/connections.xml><?xml version="1.0" encoding="utf-8"?>
<connections xmlns="http://schemas.openxmlformats.org/spreadsheetml/2006/main">
  <connection id="1" name="BOH_bestof" type="6" refreshedVersion="5" background="1" saveData="1">
    <textPr prompt="0" codePage="65001" sourceFile="D:\klima\Documents\SKV\pripravy\csv_2021\BOH_bestof.csv" thousands=" " tab="0" comma="1" consecutive="1">
      <textFields count="3">
        <textField type="skip"/>
        <textField/>
        <textField/>
      </textFields>
    </textPr>
  </connection>
  <connection id="2" name="BOH_goalies" type="6" refreshedVersion="5" background="1" saveData="1">
    <textPr prompt="0" codePage="65001" sourceFile="D:\klima\Documents\SKV\pripravy\csv_2021\BOH_goalies.csv" thousands=" " tab="0" comma="1">
      <textFields count="15">
        <textField/>
        <textField/>
        <textField/>
        <textField/>
        <textField/>
        <textField/>
        <textField/>
        <textField/>
        <textField/>
        <textField/>
        <textField/>
        <textField/>
        <textField/>
        <textField/>
        <textField/>
      </textFields>
    </textPr>
  </connection>
  <connection id="3" name="BOH_players" type="6" refreshedVersion="5" background="1" saveData="1">
    <textPr prompt="0" codePage="65001" sourceFile="D:\klima\Documents\SKV\pripravy\csv_2021\BOH_players.csv" thousands=" " tab="0"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LP_bestof" type="6" refreshedVersion="5" background="1" saveData="1">
    <textPr prompt="0" codePage="65001" sourceFile="D:\klima\Documents\SKV\pripravy\csv_2021\CLP_bestof.csv" thousands=" " tab="0" comma="1" consecutive="1">
      <textFields count="3">
        <textField type="skip"/>
        <textField/>
        <textField/>
      </textFields>
    </textPr>
  </connection>
  <connection id="6" name="CLP_goalies" type="6" refreshedVersion="5" background="1" saveData="1">
    <textPr prompt="0" codePage="65001" sourceFile="D:\klima\Documents\SKV\pripravy\csv_2021\CLP_goalies.csv" thousands=" " tab="0" comma="1">
      <textFields count="15">
        <textField/>
        <textField/>
        <textField/>
        <textField/>
        <textField/>
        <textField/>
        <textField/>
        <textField/>
        <textField/>
        <textField/>
        <textField/>
        <textField/>
        <textField/>
        <textField/>
        <textField/>
      </textFields>
    </textPr>
  </connection>
  <connection id="7" name="CLP_players" type="6" refreshedVersion="5" background="1" saveData="1">
    <textPr prompt="0" codePage="65001" sourceFile="D:\klima\Documents\SKV\pripravy\csv_2021\CLP_players.csv" thousands=" " tab="0" comma="1">
      <textFields count="14">
        <textField/>
        <textField/>
        <textField/>
        <textField/>
        <textField/>
        <textField/>
        <textField/>
        <textField/>
        <textField/>
        <textField/>
        <textField/>
        <textField/>
        <textField/>
        <textField/>
      </textFields>
    </textPr>
  </connection>
  <connection id="8" name="CLP_zapasy" type="6" refreshedVersion="5" background="1" saveData="1">
    <textPr prompt="0" codePage="65001" sourceFile="D:\klima\Documents\SKV\pripravy\csv_2021\CLP_zapasy.csv" thousands=" " tab="0" comma="1" qualifier="none">
      <textFields count="3">
        <textField/>
        <textField/>
        <textField/>
      </textFields>
    </textPr>
  </connection>
  <connection id="9" name="HAT_bestof" type="6" refreshedVersion="5" background="1" saveData="1">
    <textPr prompt="0" codePage="65001" sourceFile="D:\klima\Documents\SKV\pripravy\csv_2021\HAT_bestof.csv" thousands=" " comma="1" consecutive="1">
      <textFields count="3">
        <textField type="skip"/>
        <textField/>
        <textField/>
      </textFields>
    </textPr>
  </connection>
  <connection id="10" name="HAT_goalies" type="6" refreshedVersion="5" background="1" saveData="1">
    <textPr prompt="0" codePage="65001" sourceFile="D:\klima\Documents\SKV\pripravy\csv_2021\HAT_goalies.csv" thousands=" " comma="1">
      <textFields count="15">
        <textField/>
        <textField/>
        <textField/>
        <textField/>
        <textField/>
        <textField/>
        <textField/>
        <textField/>
        <textField/>
        <textField/>
        <textField/>
        <textField/>
        <textField/>
        <textField/>
        <textField/>
      </textFields>
    </textPr>
  </connection>
  <connection id="11" name="HAT_players" type="6" refreshedVersion="5" background="1" saveData="1">
    <textPr prompt="0" codePage="65001" sourceFile="D:\klima\Documents\SKV\pripravy\csv_2021\HAT_players.csv" thousands=" " tab="0" comma="1">
      <textFields count="14">
        <textField/>
        <textField/>
        <textField/>
        <textField/>
        <textField/>
        <textField/>
        <textField/>
        <textField/>
        <textField/>
        <textField/>
        <textField/>
        <textField/>
        <textField/>
        <textField/>
      </textFields>
    </textPr>
  </connection>
  <connection id="12" name="HAT_zapasy" type="6" refreshedVersion="5" background="1" saveData="1">
    <textPr prompt="0" codePage="65001" sourceFile="D:\klima\Documents\SKV\pripravy\csv_2021\HAT_zapasy.csv" thousands=" " comma="1" qualifier="none">
      <textFields count="3">
        <textField/>
        <textField/>
        <textField/>
      </textFields>
    </textPr>
  </connection>
  <connection id="13" name="CHO_bestof" type="6" refreshedVersion="5" background="1" saveData="1">
    <textPr prompt="0" codePage="65001" sourceFile="D:\klima\Documents\SKV\pripravy\csv_2021\CHO_bestof.csv" thousands=" " tab="0" comma="1" consecutive="1">
      <textFields count="3">
        <textField type="skip"/>
        <textField/>
        <textField/>
      </textFields>
    </textPr>
  </connection>
  <connection id="14" name="CHO_goalies" type="6" refreshedVersion="5" background="1" saveData="1">
    <textPr prompt="0" codePage="65001" sourceFile="D:\klima\Documents\SKV\pripravy\csv_2021\CHO_goalies.csv" thousands=" " tab="0" comma="1">
      <textFields count="15">
        <textField/>
        <textField/>
        <textField/>
        <textField/>
        <textField/>
        <textField/>
        <textField/>
        <textField/>
        <textField/>
        <textField/>
        <textField/>
        <textField/>
        <textField/>
        <textField/>
        <textField/>
      </textFields>
    </textPr>
  </connection>
  <connection id="15" name="CHO_players" type="6" refreshedVersion="5" background="1" saveData="1">
    <textPr prompt="0" codePage="65001" sourceFile="D:\klima\Documents\SKV\pripravy\csv_2021\CHO_players.csv" thousands=" " tab="0" comma="1">
      <textFields count="14">
        <textField/>
        <textField/>
        <textField/>
        <textField/>
        <textField/>
        <textField/>
        <textField/>
        <textField/>
        <textField/>
        <textField/>
        <textField/>
        <textField/>
        <textField/>
        <textField/>
      </textFields>
    </textPr>
  </connection>
  <connection id="16" name="CHO_zapasy" type="6" refreshedVersion="5" background="1" saveData="1">
    <textPr prompt="0" codePage="65001" sourceFile="D:\klima\Documents\SKV\pripravy\csv_2021\CHO_zapasy.csv" thousands=" " comma="1" qualifier="none">
      <textFields count="3">
        <textField/>
        <textField/>
        <textField/>
      </textFields>
    </textPr>
  </connection>
  <connection id="17" name="LIB_bestof" type="6" refreshedVersion="5" background="1" saveData="1">
    <textPr prompt="0" codePage="65001" sourceFile="D:\klima\Documents\SKV\pripravy\csv_2021\LIB_bestof.csv" thousands=" " tab="0" comma="1" consecutive="1">
      <textFields count="3">
        <textField type="skip"/>
        <textField/>
        <textField/>
      </textFields>
    </textPr>
  </connection>
  <connection id="18" name="LIB_goalies" type="6" refreshedVersion="5" background="1" saveData="1">
    <textPr prompt="0" codePage="65001" sourceFile="D:\klima\Documents\SKV\pripravy\csv_2021\LIB_goalies.csv" thousands=" " tab="0" comma="1">
      <textFields count="15">
        <textField/>
        <textField/>
        <textField/>
        <textField/>
        <textField/>
        <textField/>
        <textField/>
        <textField/>
        <textField/>
        <textField/>
        <textField/>
        <textField/>
        <textField/>
        <textField/>
        <textField/>
      </textFields>
    </textPr>
  </connection>
  <connection id="19" name="LIB_players" type="6" refreshedVersion="5" background="1" saveData="1">
    <textPr prompt="0" codePage="65001" sourceFile="D:\klima\Documents\SKV\pripravy\csv_2021\LIB_players.csv" thousands=" " tab="0" comma="1">
      <textFields count="14">
        <textField/>
        <textField/>
        <textField/>
        <textField/>
        <textField/>
        <textField/>
        <textField/>
        <textField/>
        <textField/>
        <textField/>
        <textField/>
        <textField/>
        <textField/>
        <textField/>
      </textFields>
    </textPr>
  </connection>
  <connection id="20" name="LIB_zapasy" type="6" refreshedVersion="5" background="1" saveData="1">
    <textPr prompt="0" codePage="65001" sourceFile="D:\klima\Documents\SKV\pripravy\csv_2021\LIB_zapasy.csv" thousands=" " tab="0" comma="1" qualifier="none">
      <textFields count="3">
        <textField/>
        <textField/>
        <textField/>
      </textFields>
    </textPr>
  </connection>
  <connection id="21"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22"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23"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24" name="MB_zapasy" type="6" refreshedVersion="5" background="1" saveData="1">
    <textPr prompt="0" codePage="65001" sourceFile="D:\klima\Documents\SKV\pripravy\csv_2021\MB_zapasy.csv" thousands=" " tab="0" comma="1" qualifier="none">
      <textFields count="3">
        <textField/>
        <textField/>
        <textField/>
      </textFields>
    </textPr>
  </connection>
  <connection id="25"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26"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27"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28" name="OTR_zapasy" type="6" refreshedVersion="5" background="1" saveData="1">
    <textPr prompt="0" codePage="65001" sourceFile="D:\klima\Documents\SKV\pripravy\csv_2021\OTR_zapasy.csv" thousands=" " tab="0" comma="1" qualifier="none">
      <textFields count="3">
        <textField/>
        <textField/>
        <textField/>
      </textFields>
    </textPr>
  </connection>
  <connection id="29"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30"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31"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32" name="SKV_zapasy" type="6" refreshedVersion="5" background="1" saveData="1">
    <textPr prompt="0" codePage="65001" sourceFile="D:\klima\Documents\SKV\pripravy\csv_2021\SKV_zapasy.csv" thousands=" " tab="0" comma="1" qualifier="none">
      <textFields count="3">
        <textField/>
        <textField/>
        <textField/>
      </textFields>
    </textPr>
  </connection>
  <connection id="33" name="SPA_bestof" type="6" refreshedVersion="5" background="1" saveData="1">
    <textPr prompt="0" codePage="65001" sourceFile="D:\klima\Documents\SKV\pripravy\csv_2021\SPA_bestof.csv" thousands=" " tab="0" comma="1" consecutive="1">
      <textFields count="3">
        <textField type="skip"/>
        <textField/>
        <textField/>
      </textFields>
    </textPr>
  </connection>
  <connection id="34" name="SPA_goalies" type="6" refreshedVersion="5" background="1" saveData="1">
    <textPr prompt="0" codePage="65001" sourceFile="D:\klima\Documents\SKV\pripravy\csv_2021\SPA_goalies.csv" thousands=" " tab="0" comma="1">
      <textFields count="15">
        <textField/>
        <textField/>
        <textField/>
        <textField/>
        <textField/>
        <textField/>
        <textField/>
        <textField/>
        <textField/>
        <textField/>
        <textField/>
        <textField/>
        <textField/>
        <textField/>
        <textField/>
      </textFields>
    </textPr>
  </connection>
  <connection id="35" name="SPA_players" type="6" refreshedVersion="5" background="1" saveData="1">
    <textPr prompt="0" codePage="65001" sourceFile="D:\klima\Documents\SKV\pripravy\csv_2021\SPA_players.csv" thousands=" " tab="0" comma="1">
      <textFields count="14">
        <textField/>
        <textField/>
        <textField/>
        <textField/>
        <textField/>
        <textField/>
        <textField/>
        <textField/>
        <textField/>
        <textField/>
        <textField/>
        <textField/>
        <textField/>
        <textField/>
      </textFields>
    </textPr>
  </connection>
  <connection id="36" name="SPA_zapasy" type="6" refreshedVersion="5" background="1" saveData="1">
    <textPr prompt="0" codePage="65001" sourceFile="D:\klima\Documents\SKV\pripravy\csv_2021\SPA_zapasy.csv" thousands=" " tab="0" comma="1" qualifier="none">
      <textFields count="3">
        <textField/>
        <textField/>
        <textField/>
      </textFields>
    </textPr>
  </connection>
  <connection id="37" name="tabulka" type="6" refreshedVersion="5" background="1" saveData="1">
    <textPr prompt="0" codePage="65001" sourceFile="D:\klima\Documents\SKV\pripravy\csv_2021\tabulka.csv" thousands=" " tab="0"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 name="TAT_bestof" type="6" refreshedVersion="5" background="1" saveData="1">
    <textPr prompt="0" codePage="65001" sourceFile="D:\klima\Documents\SKV\pripravy\csv_2021\TAT_bestof.csv" thousands=" " tab="0" comma="1" consecutive="1">
      <textFields count="3">
        <textField type="skip"/>
        <textField/>
        <textField/>
      </textFields>
    </textPr>
  </connection>
  <connection id="39" name="TAT_goalies" type="6" refreshedVersion="5" backgroun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40" name="TAT_players" type="6" refreshedVersion="5" backgroun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41" name="TAT_zapasy" type="6" refreshedVersion="5" background="1" saveData="1">
    <textPr prompt="0" codePage="65001" sourceFile="D:\klima\Documents\SKV\pripravy\csv_2021\TAT_zapasy.csv" thousands=" " tab="0" comma="1" qualifier="none">
      <textFields count="3">
        <textField/>
        <textField/>
        <textField/>
      </textFields>
    </textPr>
  </connection>
  <connection id="42"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43"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44"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45"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<sst xmlns="http://schemas.openxmlformats.org/spreadsheetml/2006/main" count="3444" uniqueCount="1065">
  <si>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</si>
  <si>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</si>
  <si>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</si>
  <si>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</si>
  <si>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</si>
  <si>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</si>
  <si>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</si>
  <si>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</si>
  <si>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</si>
  <si>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</si>
  <si>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</si>
  <si>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</si>
  <si>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</si>
  <si>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</si>
  <si>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</si>
  <si>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</si>
  <si>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</si>
  <si>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</si>
  <si>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</si>
  <si>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</si>
  <si>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</si>
  <si>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</si>
  <si>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</si>
  <si>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</si>
  <si>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</si>
  <si>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</si>
  <si>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</si>
  <si>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</si>
  <si>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</si>
  <si>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</si>
  <si>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</si>
  <si>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</si>
  <si>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</si>
  <si>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</si>
  <si>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</si>
  <si>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</si>
  <si>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</si>
  <si>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</si>
  <si>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</si>
  <si>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</si>
  <si>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</si>
  <si>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</si>
  <si>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</si>
  <si>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</si>
  <si>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</si>
  <si>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</si>
  <si>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</si>
  <si>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</si>
  <si>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</si>
  <si>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</si>
  <si>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</si>
  <si>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</si>
  <si>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</si>
  <si>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</si>
  <si>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</si>
  <si>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</si>
  <si>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</si>
  <si>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</si>
  <si>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</si>
  <si>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</si>
  <si>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</si>
  <si>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</si>
  <si>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</si>
  <si>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</si>
  <si>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</si>
  <si>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</si>
  <si>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</si>
  <si>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</si>
  <si>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</si>
  <si>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</si>
  <si>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</si>
  <si>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</si>
  <si>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</si>
  <si>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</si>
  <si>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</si>
  <si>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</si>
  <si>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</si>
  <si>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</si>
  <si>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</si>
  <si>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</si>
  <si>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</si>
  <si>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</si>
  <si>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</si>
  <si>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</si>
  <si>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</si>
  <si>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</si>
  <si>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</si>
  <si>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</si>
  <si>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</si>
  <si>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</si>
  <si>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</si>
  <si>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</si>
  <si>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</si>
  <si>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</si>
  <si>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</si>
  <si>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</si>
  <si>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</si>
  <si>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</si>
  <si>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</si>
  <si>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</si>
  <si>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</si>
  <si>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</si>
  <si>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</si>
  <si>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</si>
  <si>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</si>
  <si>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</si>
  <si>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</si>
  <si>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</si>
  <si>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</si>
  <si>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</si>
  <si>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</si>
  <si>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</si>
  <si>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</si>
  <si>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</si>
  <si>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</si>
  <si>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</si>
  <si>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</si>
  <si>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</si>
  <si>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</si>
  <si>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</si>
  <si>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</si>
  <si>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</si>
  <si>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</si>
  <si>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</si>
  <si>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</si>
  <si>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</si>
  <si>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</si>
  <si>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</si>
  <si>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</si>
  <si>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</si>
  <si>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</si>
  <si>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</si>
  <si>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</si>
  <si>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</si>
  <si>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</si>
  <si>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</si>
  <si>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</si>
  <si>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</si>
  <si>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</si>
  <si>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</si>
  <si>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</si>
  <si>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</si>
  <si>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</si>
  <si>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</si>
  <si>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</si>
  <si>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</si>
  <si>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</si>
  <si>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</si>
  <si>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</si>
  <si>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</si>
  <si>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</si>
  <si>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</si>
  <si>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</si>
  <si>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</si>
  <si>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</si>
  <si>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</si>
  <si>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</si>
  <si>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</si>
  <si>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</si>
  <si>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</si>
  <si>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</si>
  <si>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</si>
  <si>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</si>
  <si>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</si>
  <si>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</si>
  <si>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</si>
  <si>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</si>
  <si>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</si>
  <si>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</si>
  <si>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</si>
  <si>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</si>
  <si>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</si>
  <si>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</si>
  <si>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</si>
  <si>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</si>
  <si>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</si>
  <si>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</si>
  <si>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</si>
  <si>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</si>
  <si>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</si>
  <si>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</si>
  <si>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</si>
  <si>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</si>
  <si>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</si>
  <si>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</si>
  <si>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</si>
  <si>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</si>
  <si>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</si>
  <si>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</si>
  <si>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</si>
  <si>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</si>
  <si>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</si>
  <si>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</si>
  <si>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</si>
  <si>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</si>
  <si>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</si>
  <si>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</si>
  <si>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</si>
  <si>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</si>
  <si>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</si>
  <si>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</si>
  <si>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</si>
  <si>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</si>
  <si>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</si>
  <si>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</si>
  <si>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</si>
  <si>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</si>
  <si>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</si>
  <si>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</si>
  <si>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</si>
  <si>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</si>
  <si>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</si>
  <si>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</si>
  <si>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</si>
  <si>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</si>
  <si>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</si>
  <si>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</si>
  <si>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</si>
  <si>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</si>
  <si>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</si>
  <si>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</si>
  <si>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</si>
  <si>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</si>
  <si>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</si>
  <si>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</si>
  <si>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</si>
  <si>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</si>
  <si>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</si>
  <si>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</si>
  <si>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</si>
  <si>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</si>
  <si>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</si>
  <si>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</si>
  <si>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</si>
  <si>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</si>
  <si>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</si>
  <si>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</si>
  <si>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</si>
  <si>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</si>
  <si>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</si>
  <si>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</si>
  <si>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G/Z</t>
  </si>
  <si>
    <t>1. Lukáš Gregor</t>
  </si>
  <si>
    <t>2. Michal Strachota</t>
  </si>
  <si>
    <t>4. Ondřej Stuchlík</t>
  </si>
  <si>
    <t>1. Karel Šantora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</si>
  <si>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</si>
  <si>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</si>
  <si>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</si>
  <si>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</si>
  <si>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</si>
  <si>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</si>
  <si>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</si>
  <si>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</si>
  <si>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</si>
  <si>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</si>
  <si>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</si>
  <si>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</si>
  <si>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</si>
  <si>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</si>
  <si>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</si>
  <si>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</si>
  <si>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</si>
  <si>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</si>
  <si>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</si>
  <si>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</si>
  <si>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</si>
  <si>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</si>
  <si>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</si>
  <si>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</si>
  <si>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</si>
  <si>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</si>
  <si>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</si>
  <si>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</si>
  <si>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</si>
  <si>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</si>
  <si>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</si>
  <si>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</si>
  <si>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</si>
  <si>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</si>
  <si>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</si>
  <si>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</si>
  <si>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</si>
  <si>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</si>
  <si>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</si>
  <si>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 první řady a ostatních</t>
  </si>
  <si>
    <t>Komp. G</t>
  </si>
  <si>
    <t>Komp. A</t>
  </si>
  <si>
    <t>Komp. Z</t>
  </si>
  <si>
    <t>Letošní statistiky hráče v předchozích týmech</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</si>
  <si>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</si>
  <si>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</si>
  <si>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</si>
  <si>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</si>
  <si>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</si>
  <si>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</si>
  <si>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</si>
  <si>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</si>
  <si>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</si>
  <si>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</si>
  <si>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</si>
  <si>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</si>
  <si>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</si>
  <si>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</si>
  <si>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</si>
  <si>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</si>
  <si>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</si>
  <si>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</si>
  <si>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</si>
  <si>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</si>
  <si>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</si>
  <si>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</si>
  <si>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</si>
  <si>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</si>
  <si>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</si>
  <si>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</si>
  <si>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</si>
  <si>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</si>
  <si>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</si>
  <si>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</si>
  <si>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</si>
  <si>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</si>
  <si>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</si>
  <si>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</si>
  <si>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</si>
  <si>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</si>
  <si>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</si>
  <si>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</si>
  <si>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</si>
  <si>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</si>
  <si>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</si>
  <si>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Posl. 5</t>
  </si>
  <si>
    <t>Násl. 5</t>
  </si>
  <si>
    <t>Série</t>
  </si>
  <si>
    <t>12:3</t>
  </si>
  <si>
    <t>"-:-"</t>
  </si>
  <si>
    <t>1. Marek Vávra</t>
  </si>
  <si>
    <t>4. Ondřej Mikeš</t>
  </si>
  <si>
    <t>1. Michal Rebro</t>
  </si>
  <si>
    <t>4,32</t>
  </si>
  <si>
    <t>5. Daniel Eremiáš</t>
  </si>
  <si>
    <t>4. Karel Pergler</t>
  </si>
  <si>
    <t>1. Jiří Bauer</t>
  </si>
  <si>
    <t>"12:3"</t>
  </si>
  <si>
    <t>1. Adam Delong</t>
  </si>
  <si>
    <t>2. Rostislav Gattnar</t>
  </si>
  <si>
    <t>5. Marek Matejčík</t>
  </si>
  <si>
    <t>1. Lukáš Souček</t>
  </si>
  <si>
    <t>2. Denis Jasiok</t>
  </si>
  <si>
    <t>3. Lukáš Hájek</t>
  </si>
  <si>
    <t>1. Matyáš Šindler</t>
  </si>
  <si>
    <t>2. Lukáš Hájek</t>
  </si>
  <si>
    <t>5. Rostislav Gattnar</t>
  </si>
  <si>
    <t>"8:3"</t>
  </si>
  <si>
    <t>30. 1.</t>
  </si>
  <si>
    <t>1. Jiří Curney</t>
  </si>
  <si>
    <t>2. Jan Natov</t>
  </si>
  <si>
    <t>1. Lukáš Bauer</t>
  </si>
  <si>
    <t>2. Petr Musil</t>
  </si>
  <si>
    <t>4,74</t>
  </si>
  <si>
    <t>3. Marek Macík</t>
  </si>
  <si>
    <t>4. Ondřej Tomšík</t>
  </si>
  <si>
    <t>15,00</t>
  </si>
  <si>
    <t>1. Jakub Bína</t>
  </si>
  <si>
    <t>Sýkora -    +18 ±</t>
  </si>
  <si>
    <t>sobotní zápas - 13:2</t>
  </si>
  <si>
    <t>Archiv vzájemných zápasů</t>
  </si>
  <si>
    <t>nedělní prohra s BOH</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</si>
  <si>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</si>
  <si>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</si>
  <si>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</si>
  <si>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</si>
  <si>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</si>
  <si>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</si>
  <si>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</si>
  <si>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</si>
  <si>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</si>
  <si>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</si>
  <si>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</si>
  <si>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</si>
  <si>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</si>
  <si>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</si>
  <si>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</si>
  <si>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</si>
  <si>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</si>
  <si>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</si>
  <si>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</si>
  <si>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</si>
  <si>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</si>
  <si>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</si>
  <si>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</si>
  <si>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</si>
  <si>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</si>
  <si>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</si>
  <si>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Lukáš Kříž</t>
  </si>
  <si>
    <t>1. Filip Langer</t>
  </si>
  <si>
    <t>1. Lukáš Kříž</t>
  </si>
  <si>
    <t>2. Matěj Havlas</t>
  </si>
  <si>
    <t>4. Milan Meliš</t>
  </si>
  <si>
    <t>"3:8"</t>
  </si>
  <si>
    <t>"6:4"</t>
  </si>
  <si>
    <t>Stuchlík O. - 4 GP</t>
  </si>
  <si>
    <t>± první pětky</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</si>
  <si>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</si>
  <si>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</si>
  <si>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</si>
  <si>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</si>
  <si>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</si>
  <si>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</si>
  <si>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</si>
  <si>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</si>
  <si>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</si>
  <si>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</si>
  <si>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</si>
  <si>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</si>
  <si>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</si>
  <si>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</si>
  <si>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</si>
  <si>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</si>
  <si>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</si>
  <si>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</si>
  <si>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</si>
  <si>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</si>
  <si>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</si>
  <si>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</si>
  <si>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</si>
  <si>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</si>
  <si>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</si>
  <si>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</si>
  <si>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</si>
  <si>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</si>
  <si>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</si>
  <si>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</si>
  <si>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</si>
  <si>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</si>
  <si>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4. Ladislav Gál</t>
  </si>
  <si>
    <t>1. Kevin Majrich</t>
  </si>
  <si>
    <t>9,75</t>
  </si>
  <si>
    <t>3. Matěj Kubíček</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</si>
  <si>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</si>
  <si>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</si>
  <si>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</si>
  <si>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</si>
  <si>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</si>
  <si>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</si>
  <si>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</si>
  <si>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</si>
  <si>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</si>
  <si>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</si>
  <si>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</si>
  <si>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</si>
  <si>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</si>
  <si>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</si>
  <si>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</si>
  <si>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</si>
  <si>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</si>
  <si>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</si>
  <si>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</si>
  <si>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</si>
  <si>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</si>
  <si>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</si>
  <si>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</si>
  <si>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</si>
  <si>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</si>
  <si>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</si>
  <si>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</si>
  <si>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</si>
  <si>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</si>
  <si>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</si>
  <si>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</si>
  <si>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</si>
  <si>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5. Jiří Bauer</t>
  </si>
  <si>
    <t>2. Jiří Koutný</t>
  </si>
  <si>
    <t>3. Tomáš Vávra</t>
  </si>
  <si>
    <t>14. 2.</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</si>
  <si>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</si>
  <si>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</si>
  <si>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</si>
  <si>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</si>
  <si>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</si>
  <si>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</si>
  <si>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</si>
  <si>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</si>
  <si>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</si>
  <si>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</si>
  <si>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</si>
  <si>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</si>
  <si>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</si>
  <si>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</si>
  <si>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</si>
  <si>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</si>
  <si>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</si>
  <si>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</si>
  <si>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</si>
  <si>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</si>
  <si>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</si>
  <si>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</si>
  <si>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</si>
  <si>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</si>
  <si>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</si>
  <si>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</si>
  <si>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</si>
  <si>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Filip Forman</t>
  </si>
  <si>
    <t>1. Radovan Michajlovič</t>
  </si>
  <si>
    <t>2. Jakub Zavřel</t>
  </si>
  <si>
    <t>3. Tomáš Hyršl</t>
  </si>
  <si>
    <t>13,73</t>
  </si>
  <si>
    <t>1. Matěj Pěnička</t>
  </si>
  <si>
    <t>"7:5"</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</si>
  <si>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</si>
  <si>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</si>
  <si>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</si>
  <si>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</si>
  <si>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</si>
  <si>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</si>
  <si>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</si>
  <si>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</si>
  <si>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</si>
  <si>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</si>
  <si>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</si>
  <si>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</si>
  <si>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</si>
  <si>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</si>
  <si>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</si>
  <si>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</si>
  <si>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</si>
  <si>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</si>
  <si>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</si>
  <si>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</si>
  <si>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</si>
  <si>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</si>
  <si>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</si>
  <si>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</si>
  <si>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</si>
  <si>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</si>
  <si>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</si>
  <si>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</si>
  <si>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2. Lukáš Ujhelyi</t>
  </si>
  <si>
    <t>1. Martin Beneš</t>
  </si>
  <si>
    <t>2. Ondřej Pelech</t>
  </si>
  <si>
    <t>3. Patrik Zítka</t>
  </si>
  <si>
    <t>1. Lukáš Ujhelyi</t>
  </si>
  <si>
    <t>3. Jakub Kolstrunk</t>
  </si>
  <si>
    <t>4. Matěj Čermák</t>
  </si>
  <si>
    <t>2. Patrik Zítka</t>
  </si>
  <si>
    <t>3. Ondřej Pelech</t>
  </si>
  <si>
    <t>1. Matěj Pruner</t>
  </si>
  <si>
    <t>13. 2.</t>
  </si>
  <si>
    <t>2. Lukáš Gregor</t>
  </si>
  <si>
    <t>10. 2.</t>
  </si>
  <si>
    <t>5. Martin Šindelář</t>
  </si>
  <si>
    <t>2. Martin Frühbauer</t>
  </si>
  <si>
    <t>3. Tomáš Jurco</t>
  </si>
  <si>
    <t>"4:3"</t>
  </si>
  <si>
    <t>OTR - SKV</t>
  </si>
  <si>
    <t>0:3</t>
  </si>
  <si>
    <t>10:6</t>
  </si>
  <si>
    <t>SKV - OTR</t>
  </si>
  <si>
    <t>5:7</t>
  </si>
  <si>
    <t>7:2</t>
  </si>
  <si>
    <t>4:1</t>
  </si>
  <si>
    <t>4:6</t>
  </si>
  <si>
    <t>4:3p</t>
  </si>
  <si>
    <t>vs. OST 7:6</t>
  </si>
  <si>
    <t>vs. VIT 10:12</t>
  </si>
  <si>
    <t>Zapletal, Sovják - B-tým</t>
  </si>
  <si>
    <t>Kladivo, Koláčný - Bulldogs</t>
  </si>
  <si>
    <t>2x mistr české ligy (Chodov)</t>
  </si>
  <si>
    <t>3. 2.</t>
  </si>
  <si>
    <t>3. Jan Svoboda</t>
  </si>
  <si>
    <t>3. Peter Nehila</t>
  </si>
  <si>
    <t>Děkanka</t>
  </si>
  <si>
    <t>Florko Košice</t>
  </si>
  <si>
    <t>FbK Jeseník</t>
  </si>
  <si>
    <t>Florbal Ústí</t>
  </si>
  <si>
    <t>Faraos</t>
  </si>
  <si>
    <t>SK Florbal Kroměříž</t>
  </si>
  <si>
    <t>Bučis</t>
  </si>
  <si>
    <t>1. SC Ostrava</t>
  </si>
  <si>
    <t>FBC Predátor Sabinov</t>
  </si>
  <si>
    <t>Michal Jedlička</t>
  </si>
  <si>
    <t>několikanásobný mistr ČR jako hráč</t>
  </si>
  <si>
    <t>Martin Forman</t>
  </si>
  <si>
    <t>trenér juniorských mistrů ČR</t>
  </si>
  <si>
    <t>Marek Brosch</t>
  </si>
  <si>
    <t>Václav Slavík</t>
  </si>
  <si>
    <t>Roman Janda</t>
  </si>
  <si>
    <t>Boleslav Kytka</t>
  </si>
  <si>
    <t>sportovní ředitel</t>
  </si>
  <si>
    <t>postup do Tipsport superligy (hráč)</t>
  </si>
  <si>
    <t>Jan Králík</t>
  </si>
  <si>
    <t>1. 2.</t>
  </si>
  <si>
    <t>FBC Frymburk</t>
  </si>
  <si>
    <t>Forman - 27 A (2. v lize)</t>
  </si>
  <si>
    <t>hodně odchovanců</t>
  </si>
  <si>
    <t>středeční zápas vs. SKV - 10:4</t>
  </si>
  <si>
    <t>nejlepší oslabení v lize</t>
  </si>
  <si>
    <t>9:4</t>
  </si>
  <si>
    <t>BOH - SKV</t>
  </si>
  <si>
    <t>10:4</t>
  </si>
  <si>
    <t>SKV - BOH</t>
  </si>
  <si>
    <t>4:5</t>
  </si>
  <si>
    <t>9:3</t>
  </si>
  <si>
    <t>7:8</t>
  </si>
  <si>
    <t>6:2</t>
  </si>
  <si>
    <t>10:13</t>
  </si>
  <si>
    <t>2. Rastislav Mazák</t>
  </si>
  <si>
    <t>3. Jiří Buchta</t>
  </si>
  <si>
    <t>4. Matyáš Lorenc</t>
  </si>
  <si>
    <t>12,00</t>
  </si>
  <si>
    <t>1. Zbyněk Stuchlík</t>
  </si>
  <si>
    <t>2. Vojtěch Šimůnek</t>
  </si>
  <si>
    <t>2. Matyáš Krebner</t>
  </si>
  <si>
    <t>3. Jan Malič</t>
  </si>
  <si>
    <t>5:14</t>
  </si>
  <si>
    <t>Vzájmené zápasy</t>
  </si>
  <si>
    <t>"3:10"</t>
  </si>
  <si>
    <t>28. 2.</t>
  </si>
  <si>
    <t>5. Radovan Vnuk</t>
  </si>
  <si>
    <t>"6:5"</t>
  </si>
  <si>
    <t>1. 3.</t>
  </si>
  <si>
    <t>10,42</t>
  </si>
  <si>
    <t>2. Petr Majer</t>
  </si>
  <si>
    <t>3. Tom Ondrušek</t>
  </si>
  <si>
    <t>1. Karel Hodík</t>
  </si>
  <si>
    <t>3. Michal Rebro</t>
  </si>
  <si>
    <t>Tomáš Kvasnica</t>
  </si>
  <si>
    <t>Ladislav Mirt</t>
  </si>
  <si>
    <t>27. 2.</t>
  </si>
  <si>
    <t>4. Jan Šebesta</t>
  </si>
  <si>
    <t>1. Jan Šebesta</t>
  </si>
  <si>
    <t>2. Tomáš Sladký</t>
  </si>
  <si>
    <t>3. Marek Bräuer</t>
  </si>
  <si>
    <t>4. Daniels Janis Anis</t>
  </si>
  <si>
    <t>"7:3"</t>
  </si>
  <si>
    <t>22. 2.</t>
  </si>
  <si>
    <t>3. Martin Tokoš</t>
  </si>
  <si>
    <t>4. Jiří Curney</t>
  </si>
  <si>
    <t>5. Daniel Šebek</t>
  </si>
  <si>
    <t>4. Petr Krzyžanek</t>
  </si>
  <si>
    <t>5. Jan Natov</t>
  </si>
  <si>
    <t>3. 3.</t>
  </si>
  <si>
    <t>5,25</t>
  </si>
  <si>
    <t>2. Petr Brautferger</t>
  </si>
  <si>
    <t>2. Petr Novotný</t>
  </si>
  <si>
    <t>Jan Vorálek</t>
  </si>
  <si>
    <t>Reinis Rudzītis</t>
  </si>
  <si>
    <t>Valters Lapinš</t>
  </si>
  <si>
    <t>Rudolfs Vilmanis</t>
  </si>
  <si>
    <t>Šimon Šmajda</t>
  </si>
  <si>
    <t>4. Peter Nehila</t>
  </si>
  <si>
    <t>2. Jan Vorálek</t>
  </si>
  <si>
    <t>2. Filip Hrabal</t>
  </si>
  <si>
    <t>4. Zdeněk Raška</t>
  </si>
  <si>
    <t>3. Petr Koláčný</t>
  </si>
  <si>
    <t>1. Martin Szweda</t>
  </si>
  <si>
    <t>2. Petr Koláčný</t>
  </si>
  <si>
    <t>3. Michal Nagy</t>
  </si>
  <si>
    <t>2. Matěj Pěnička</t>
  </si>
  <si>
    <t>3. Matyáš Krebner</t>
  </si>
  <si>
    <t>5. Filip Forman</t>
  </si>
  <si>
    <t>4. Matěj Pěnička</t>
  </si>
  <si>
    <t>Jan Marvánek</t>
  </si>
  <si>
    <t>5. Radim Křenek</t>
  </si>
  <si>
    <t>4. Dominik Beneš</t>
  </si>
  <si>
    <t>5. Matěj Čermák</t>
  </si>
  <si>
    <t>TJ SKV</t>
  </si>
  <si>
    <t>ED Havlíčkův Brod</t>
  </si>
  <si>
    <t>SK FBC Třinec</t>
  </si>
  <si>
    <t>TJ Turnov</t>
  </si>
  <si>
    <t>Vosy Praha</t>
  </si>
  <si>
    <t>Mladá Boleslav</t>
  </si>
  <si>
    <t>1. SC Vítkovice</t>
  </si>
  <si>
    <t>FTC Vysoké Mýto</t>
  </si>
  <si>
    <t>Torpedo Havířov</t>
  </si>
  <si>
    <t>SSK Future</t>
  </si>
  <si>
    <t>FA Mladá Boleslav</t>
  </si>
  <si>
    <t>FBC Česká Lípa</t>
  </si>
  <si>
    <t>FBC Sok. Poruba Škorpioni</t>
  </si>
  <si>
    <t>Chroust Ta.</t>
  </si>
  <si>
    <t>Chroust To.</t>
  </si>
  <si>
    <t>Gregor - 6 GP</t>
  </si>
  <si>
    <t>jediná prohra první zápas (VIT)</t>
  </si>
  <si>
    <t>19 V v řadě (17 V, 1 VP, 1 VN)</t>
  </si>
  <si>
    <t>nejlepší obrana v lize (75 OG)</t>
  </si>
  <si>
    <t>Bauer - 16 V a 3,41 OG/Z</t>
  </si>
  <si>
    <t>SKV - MB</t>
  </si>
  <si>
    <t>MB - SKV</t>
  </si>
  <si>
    <t>3:13</t>
  </si>
  <si>
    <t>2:9</t>
  </si>
  <si>
    <t>1:7</t>
  </si>
  <si>
    <t>1:9</t>
  </si>
  <si>
    <t>12. 2.</t>
  </si>
  <si>
    <t>4. Vlastimil Červenka</t>
  </si>
  <si>
    <t>"7:4"</t>
  </si>
  <si>
    <t>"9:5"</t>
  </si>
  <si>
    <t>1. Martin Tokoš</t>
  </si>
  <si>
    <t>3. Milan Meliš</t>
  </si>
  <si>
    <t>4. Martin Šindelář</t>
  </si>
  <si>
    <t>5. Petr Brautferger</t>
  </si>
  <si>
    <t>3. Matěj Hronek</t>
  </si>
  <si>
    <t>5. Petr Koláčný</t>
  </si>
  <si>
    <t>4,24</t>
  </si>
  <si>
    <t>Radek Krajcigr</t>
  </si>
  <si>
    <t>Jaromír Ekl</t>
  </si>
  <si>
    <t>Ondřej Kopič</t>
  </si>
  <si>
    <t>Daniel Štěrba</t>
  </si>
  <si>
    <t>Jakub Jirsa</t>
  </si>
  <si>
    <t>Štěpán Slaný</t>
  </si>
  <si>
    <t>Jiří Vlček</t>
  </si>
  <si>
    <t>Oldřich Jireček</t>
  </si>
  <si>
    <t>Jan Hřebřina</t>
  </si>
  <si>
    <t>Tomáš Kadlec</t>
  </si>
  <si>
    <t>Jakub Karel</t>
  </si>
  <si>
    <t>Marek Dzierža</t>
  </si>
  <si>
    <t>Tomáš Novák</t>
  </si>
  <si>
    <t>Josef Pluhař</t>
  </si>
  <si>
    <t>Dan Semerád</t>
  </si>
  <si>
    <t>Antonín Stárek</t>
  </si>
  <si>
    <t>Filip Vybíral</t>
  </si>
  <si>
    <t>Václav Vavruška</t>
  </si>
  <si>
    <t>Martin Fuchsig</t>
  </si>
  <si>
    <t>Daniel Nicklas</t>
  </si>
  <si>
    <t>Petr Procházka</t>
  </si>
  <si>
    <t>Jakub Černý</t>
  </si>
  <si>
    <t>Lukáš Mlejnek</t>
  </si>
  <si>
    <t>Lukáš Studený</t>
  </si>
  <si>
    <t>Jan Spilka</t>
  </si>
  <si>
    <t>Tadeáš Dittrich</t>
  </si>
  <si>
    <t>Vladimír Trčka</t>
  </si>
  <si>
    <t>Matyáš Kalina</t>
  </si>
  <si>
    <t>Jan Petříček</t>
  </si>
  <si>
    <t>Albert Kouba</t>
  </si>
  <si>
    <t>Drahoslav Pastor</t>
  </si>
  <si>
    <t>Jan Dvořák</t>
  </si>
  <si>
    <t>Lukáš Chyna</t>
  </si>
  <si>
    <t>1. Radek Krajcigr</t>
  </si>
  <si>
    <t>2. Jaromír Ekl</t>
  </si>
  <si>
    <t>3. Ondřej Kopič</t>
  </si>
  <si>
    <t>5. Jakub Jirsa</t>
  </si>
  <si>
    <t>1. Jan Dvořák</t>
  </si>
  <si>
    <t>2. Lukáš Chyna</t>
  </si>
  <si>
    <t>4. Jakub Jirsa</t>
  </si>
  <si>
    <t>5. Daniel Štěrba</t>
  </si>
  <si>
    <t>3. Daniel Štěrba</t>
  </si>
  <si>
    <t>1. Jakub Jirsa</t>
  </si>
  <si>
    <t>2. Radek Krajcigr</t>
  </si>
  <si>
    <t>"2:8"</t>
  </si>
  <si>
    <t>18. 2.</t>
  </si>
  <si>
    <t>Radek Valeš</t>
  </si>
  <si>
    <t>Prokop Ferdan</t>
  </si>
  <si>
    <t>Martin Čermák</t>
  </si>
  <si>
    <t>Jakub Kopecký</t>
  </si>
  <si>
    <t>Vojtěch Wiener</t>
  </si>
  <si>
    <t>Tomáš Dlesk</t>
  </si>
  <si>
    <t>Jan Světlík</t>
  </si>
  <si>
    <t>Petr Kološ</t>
  </si>
  <si>
    <t>Šimon Stránský</t>
  </si>
  <si>
    <t>Patrik Rozkovec</t>
  </si>
  <si>
    <t>Jan Šoltys</t>
  </si>
  <si>
    <t>Jan Baudisch</t>
  </si>
  <si>
    <t>Adam Balatka</t>
  </si>
  <si>
    <t>Matěj Klucho</t>
  </si>
  <si>
    <t>Lukáš Lhota</t>
  </si>
  <si>
    <t>Lukáš Kořínek</t>
  </si>
  <si>
    <t>Vojtěch Blažek</t>
  </si>
  <si>
    <t>Vojtěch Janeček</t>
  </si>
  <si>
    <t>Jakub Kárník</t>
  </si>
  <si>
    <t>Jan Bitman</t>
  </si>
  <si>
    <t>Petr Salát</t>
  </si>
  <si>
    <t>Martin Blecha</t>
  </si>
  <si>
    <t>Tomáš Leksa</t>
  </si>
  <si>
    <t>Dominik Emlar</t>
  </si>
  <si>
    <t>Daniel Martínek</t>
  </si>
  <si>
    <t>Ivan Ponomarev</t>
  </si>
  <si>
    <t>Daniel Mück</t>
  </si>
  <si>
    <t>1. Radek Valeš</t>
  </si>
  <si>
    <t>1. Daniel Mück</t>
  </si>
  <si>
    <t>2. Jan Baudisch</t>
  </si>
  <si>
    <t>6,39</t>
  </si>
  <si>
    <t>2. Jakub Kopecký</t>
  </si>
  <si>
    <t>3. Prokop Ferdan</t>
  </si>
  <si>
    <t>2. Ivan Ponomarev</t>
  </si>
  <si>
    <t>3. Jan Baudisch</t>
  </si>
  <si>
    <t>2. Vojtěch Wiener</t>
  </si>
  <si>
    <t>5. Prokop Ferdan</t>
  </si>
  <si>
    <t>24. 2.</t>
  </si>
  <si>
    <t>3:7</t>
  </si>
  <si>
    <t>"3:7"</t>
  </si>
  <si>
    <t>"4:6"</t>
  </si>
  <si>
    <t>"8:2"</t>
  </si>
  <si>
    <t>"5:7"</t>
  </si>
  <si>
    <t>"5:10"</t>
  </si>
  <si>
    <t>"5:9"</t>
  </si>
  <si>
    <t>FbK Sokol Škoprioni</t>
  </si>
  <si>
    <t>FbK Horní Suchá</t>
  </si>
  <si>
    <t>Sokol Ostrava Zábřeh</t>
  </si>
  <si>
    <t>ŠK 1. FBC Trenčín</t>
  </si>
  <si>
    <t>Lotyšsko</t>
  </si>
  <si>
    <t>Paskov Saurians</t>
  </si>
  <si>
    <t>MVIL Hrabová</t>
  </si>
  <si>
    <t>Slovan Havířov</t>
  </si>
  <si>
    <t>FbC Ossiko Třinec</t>
  </si>
  <si>
    <t>Vik. Kopřivnice</t>
  </si>
  <si>
    <t>SK P.E.M.A. Opava</t>
  </si>
  <si>
    <t>Sokol Ostrava Poruba</t>
  </si>
  <si>
    <t>FbC Frýdek-Místek</t>
  </si>
  <si>
    <t>FBK Škorpioni Ostrava</t>
  </si>
  <si>
    <t>FBC Droždín</t>
  </si>
  <si>
    <t>TJ Centropen Dačice</t>
  </si>
  <si>
    <t>TJ Sokol Jaroměř</t>
  </si>
  <si>
    <t>Sokol Pardubice</t>
  </si>
  <si>
    <t>DTJ Trutnov</t>
  </si>
  <si>
    <t>FBC Mustang</t>
  </si>
  <si>
    <t>FBC Lomnice</t>
  </si>
  <si>
    <t>Florbal Mladá Boleslav</t>
  </si>
  <si>
    <t>Sokol Dvůr Králové</t>
  </si>
  <si>
    <t>Florbal Jablonec</t>
  </si>
  <si>
    <t>SK Jihlava</t>
  </si>
  <si>
    <t>Sokol Benátky nad Jizerou</t>
  </si>
  <si>
    <t>Taifun Moskva</t>
  </si>
  <si>
    <t>AC Sparta Praha</t>
  </si>
  <si>
    <t>Zdeněk Skružný</t>
  </si>
  <si>
    <t>Ladislav Láska</t>
  </si>
  <si>
    <t>Jan Lorenc</t>
  </si>
  <si>
    <t>Miroslav Nečas</t>
  </si>
  <si>
    <t>Matouš Vágner</t>
  </si>
  <si>
    <t>stříbro a bronz z MS</t>
  </si>
  <si>
    <t>mentální kouč</t>
  </si>
  <si>
    <t>fyzioterapeut</t>
  </si>
  <si>
    <t>Erupting Dragons H. B.</t>
  </si>
  <si>
    <t>FbK Sokol Mladá Boleslav</t>
  </si>
  <si>
    <t>FBC Líný FŠI Česká Lípa</t>
  </si>
  <si>
    <t>Akademie Zákupy</t>
  </si>
  <si>
    <t>Slávie Ústí nad Labem</t>
  </si>
  <si>
    <t>S.K. P.E.M.A. Opava</t>
  </si>
  <si>
    <t>FbC Ústí nad Labem</t>
  </si>
  <si>
    <t>DDM Děčín IV</t>
  </si>
  <si>
    <t>ASK Lovosice</t>
  </si>
  <si>
    <t>TJ Sokol Plzeň IV</t>
  </si>
  <si>
    <t>FB Hurrican Karlovy Vary</t>
  </si>
  <si>
    <t>Radiaci</t>
  </si>
  <si>
    <t>BILLY BOY Mladá Boleslav</t>
  </si>
  <si>
    <t>David Derka</t>
  </si>
  <si>
    <t>Petr Kopta</t>
  </si>
  <si>
    <t>Daniel Obyt</t>
  </si>
  <si>
    <t>Jaroslav Hocmut</t>
  </si>
  <si>
    <t>"10:7"</t>
  </si>
  <si>
    <t>5. Tomáš Sýkora</t>
  </si>
  <si>
    <t>6,02</t>
  </si>
  <si>
    <t>4. Petr Majer</t>
  </si>
  <si>
    <t>5. Michal Strnad</t>
  </si>
  <si>
    <t>"10:6"</t>
  </si>
  <si>
    <t>4. Ondřej Kopič</t>
  </si>
  <si>
    <t>Tomáš Josefovič</t>
  </si>
  <si>
    <t>20. 2.</t>
  </si>
  <si>
    <t>"6:8"</t>
  </si>
  <si>
    <t>2. Karel Hodík</t>
  </si>
  <si>
    <t>3. Vojtěch Šimůnek</t>
  </si>
  <si>
    <t>"8:6"</t>
  </si>
  <si>
    <t>4,12</t>
  </si>
  <si>
    <t>2. Marek Matejčík</t>
  </si>
  <si>
    <t>"9:1"</t>
  </si>
  <si>
    <t>V - V - V - V - V - V - V - V - V - V</t>
  </si>
  <si>
    <t>2. Jakub Bína</t>
  </si>
  <si>
    <t>3. Jan Natov</t>
  </si>
  <si>
    <t>4. Daniel Šebek</t>
  </si>
  <si>
    <t>2. Milan Tomašík</t>
  </si>
  <si>
    <t>3. Daniel Šebek</t>
  </si>
  <si>
    <t>"11:4"</t>
  </si>
  <si>
    <t>4. Jan Malič</t>
  </si>
  <si>
    <t>5. Jakub Buršík</t>
  </si>
  <si>
    <t>2. Jakub Šárka</t>
  </si>
  <si>
    <t>"1:9"</t>
  </si>
  <si>
    <t>5,07</t>
  </si>
  <si>
    <t>2,32</t>
  </si>
  <si>
    <t>3. Štěpán Slaný</t>
  </si>
  <si>
    <t>2. Martin Čermák</t>
  </si>
  <si>
    <t>4. Vojtěch Wiener</t>
  </si>
  <si>
    <t>5. Jakub Kopecký</t>
  </si>
  <si>
    <t>1. řada dohromady - 148 B</t>
  </si>
  <si>
    <t>Delong - 1. v lize</t>
  </si>
  <si>
    <t>nejméně TM v lize</t>
  </si>
  <si>
    <t>nejvíce vstřelených gólů</t>
  </si>
  <si>
    <t>VIT - SKV</t>
  </si>
  <si>
    <t>10:5</t>
  </si>
  <si>
    <t>SKV - VIT</t>
  </si>
  <si>
    <t>4:10</t>
  </si>
  <si>
    <t>4:3</t>
  </si>
  <si>
    <t>5:3</t>
  </si>
  <si>
    <t>10:1</t>
  </si>
  <si>
    <t>11:4</t>
  </si>
  <si>
    <t>6:3</t>
  </si>
  <si>
    <t>Patrik Chládek</t>
  </si>
  <si>
    <t>"5:6p"</t>
  </si>
  <si>
    <t>21. 2.</t>
  </si>
  <si>
    <t>"6:9"</t>
  </si>
  <si>
    <t>27. 3.</t>
  </si>
  <si>
    <t>28. 3.</t>
  </si>
  <si>
    <t>31. 3.</t>
  </si>
  <si>
    <t>2. 4.</t>
  </si>
  <si>
    <t>3. 4.</t>
  </si>
  <si>
    <t>8,12</t>
  </si>
  <si>
    <t>4. Petr Hartman</t>
  </si>
  <si>
    <t>2. Zbyněk Stuchlík</t>
  </si>
  <si>
    <t>5. Milan Bína</t>
  </si>
  <si>
    <t>"12:4"</t>
  </si>
  <si>
    <t>V - P - V - VP - P - V - P - V - V - P</t>
  </si>
  <si>
    <t>5,54</t>
  </si>
  <si>
    <t>1. Petr Majer</t>
  </si>
  <si>
    <t>2. Marek Vávra</t>
  </si>
  <si>
    <t>2. Tomáš Sýkora</t>
  </si>
  <si>
    <t>Petr Maláč</t>
  </si>
  <si>
    <t>"9:6"</t>
  </si>
  <si>
    <t>5. 4.</t>
  </si>
  <si>
    <t>5,55</t>
  </si>
  <si>
    <t>3. Petr Maláč</t>
  </si>
  <si>
    <t>6,00</t>
  </si>
  <si>
    <t>"7:1"</t>
  </si>
  <si>
    <t>"6:1"</t>
  </si>
  <si>
    <t>3. Patrik Suchánek</t>
  </si>
  <si>
    <t>5. Jan Řehoř</t>
  </si>
  <si>
    <t>Sebastian Rod</t>
  </si>
  <si>
    <t>"17:1"</t>
  </si>
  <si>
    <t>"1:7"</t>
  </si>
  <si>
    <t>"4:5"</t>
  </si>
  <si>
    <t>3,93</t>
  </si>
  <si>
    <t>4. Matěj Havlas</t>
  </si>
  <si>
    <t>3. Ondřej Němeček</t>
  </si>
  <si>
    <t>3. Petr Brautferger</t>
  </si>
  <si>
    <t>2. Zdeněk Raška</t>
  </si>
  <si>
    <t>10,50</t>
  </si>
  <si>
    <t>4. Jan Vorálek</t>
  </si>
  <si>
    <t>12,16</t>
  </si>
  <si>
    <t>"3:9"</t>
  </si>
  <si>
    <t>"3:12"</t>
  </si>
  <si>
    <t>Dominik Šimáně</t>
  </si>
  <si>
    <t>P - V - V - V - P - P - V - V - V - V</t>
  </si>
  <si>
    <t>5,14</t>
  </si>
  <si>
    <t>4. Jakub Buršík</t>
  </si>
  <si>
    <t>5. Patrik Šebek</t>
  </si>
  <si>
    <t>2. Jan Malič</t>
  </si>
  <si>
    <t>3. Ivan Tomčo</t>
  </si>
  <si>
    <t>5. Lukáš Kuncman</t>
  </si>
  <si>
    <t>"6:5p"</t>
  </si>
  <si>
    <t>"1:6"</t>
  </si>
  <si>
    <t>2. Jakub Kolstrunk</t>
  </si>
  <si>
    <t>3. Mikuláš Krbec</t>
  </si>
  <si>
    <t>"9:7"</t>
  </si>
  <si>
    <t>6:9</t>
  </si>
  <si>
    <t>LIB - SKV</t>
  </si>
  <si>
    <t>7:6p</t>
  </si>
  <si>
    <t>6:5n</t>
  </si>
  <si>
    <t>SKV - LIB</t>
  </si>
  <si>
    <t>6:5</t>
  </si>
  <si>
    <t>1:2</t>
  </si>
  <si>
    <t>8:4</t>
  </si>
  <si>
    <t>Petr Chlad</t>
  </si>
  <si>
    <t>Lanc -    -30 ±</t>
  </si>
  <si>
    <t>7. 3.</t>
  </si>
  <si>
    <t>"4:11"</t>
  </si>
  <si>
    <t>V - P - P - P - VP - P - P - P - PP - P</t>
  </si>
  <si>
    <t>3. Zbyněk Stuchlík</t>
  </si>
  <si>
    <t>4. Milan Bína</t>
  </si>
  <si>
    <t>5. Martin Skřivánek</t>
  </si>
  <si>
    <t>7,14</t>
  </si>
  <si>
    <t>5. Jan Fiala</t>
  </si>
  <si>
    <t>3. Martin Skřivánek</t>
  </si>
  <si>
    <t>4. Jan Procházka</t>
  </si>
  <si>
    <t>V - V - P - V - V - V - V - V - P - V</t>
  </si>
  <si>
    <t>3. Matyáš Šindler</t>
  </si>
  <si>
    <t>4. Rostislav Gattnar</t>
  </si>
  <si>
    <t>4. Adam Delong</t>
  </si>
  <si>
    <t>4. Milan Tomašík</t>
  </si>
  <si>
    <t>5. Martin Tokoš</t>
  </si>
  <si>
    <t>3,12</t>
  </si>
  <si>
    <t>V - PP - V - V - V - V - P - P - V - PP</t>
  </si>
  <si>
    <t>4,46</t>
  </si>
  <si>
    <t>5. Matěj Havlas</t>
  </si>
  <si>
    <t>6,75</t>
  </si>
  <si>
    <t>5. Lukáš Petřík</t>
  </si>
  <si>
    <t>4. Tomáš Sovják</t>
  </si>
  <si>
    <t>5. Filip Hrabal</t>
  </si>
  <si>
    <t>P - P - P - PP - P - P - P - P - P - P</t>
  </si>
  <si>
    <t>V - V - V - V - P - P - P - V - VP - VP</t>
  </si>
  <si>
    <t>5. Marek Zouzal</t>
  </si>
  <si>
    <t>3. Marek Zouzal</t>
  </si>
  <si>
    <t>2. Michal Pažák</t>
  </si>
  <si>
    <t>3. Kristián Kozák</t>
  </si>
  <si>
    <t>4. Dominik Bartoš</t>
  </si>
  <si>
    <t>5. Josef Juha</t>
  </si>
  <si>
    <t>František Beránek</t>
  </si>
  <si>
    <t>Vojtěch Jirka</t>
  </si>
  <si>
    <t>"4:9"</t>
  </si>
  <si>
    <t>V - VP - VP - P - P - P - V - V - P - V</t>
  </si>
  <si>
    <t>4. Štěpán Slaný</t>
  </si>
  <si>
    <t>6,73</t>
  </si>
  <si>
    <t>10,56</t>
  </si>
  <si>
    <t>3. Vojtěch Jirka</t>
  </si>
  <si>
    <t>4. Tadeáš Dittrich</t>
  </si>
  <si>
    <t>5. Tomáš Kadlec</t>
  </si>
  <si>
    <t>V - VP - V - P - V - V - P - P - V - V</t>
  </si>
  <si>
    <t>5,72</t>
  </si>
  <si>
    <t>3. Petr Chlad</t>
  </si>
  <si>
    <t>4. Ivan Ponomarev</t>
  </si>
  <si>
    <t>4. Jakub Kopecký</t>
  </si>
  <si>
    <t>5. Tomáš Dlesk</t>
  </si>
  <si>
    <t>4. Petr Chlad</t>
  </si>
  <si>
    <t>3. Martin Čermák</t>
  </si>
  <si>
    <t>4. Petr Kološ</t>
  </si>
  <si>
    <t>3. Matěj Klucho</t>
  </si>
  <si>
    <t>5. Jan Baudisch</t>
  </si>
  <si>
    <t>Luděk Ondráček</t>
  </si>
  <si>
    <t>Jiří Juhaňák</t>
  </si>
  <si>
    <t>Tomáš Brom</t>
  </si>
  <si>
    <t>Martin Nagy</t>
  </si>
  <si>
    <t>René Slezák</t>
  </si>
  <si>
    <t>Adam Hemerka</t>
  </si>
  <si>
    <t>Matěj Kostka</t>
  </si>
  <si>
    <t>Lukáš Jalový</t>
  </si>
  <si>
    <t>Lukáš Vlach</t>
  </si>
  <si>
    <t>David Sládeček</t>
  </si>
  <si>
    <t>Marek Fuchs</t>
  </si>
  <si>
    <t>Šimon Hronek</t>
  </si>
  <si>
    <t>David Coufal</t>
  </si>
  <si>
    <t>Jakub Procházka</t>
  </si>
  <si>
    <t>Šimon Leško</t>
  </si>
  <si>
    <t>Dominik Dvořák</t>
  </si>
  <si>
    <t>Matyáš Kůra</t>
  </si>
  <si>
    <t>Filip Horák</t>
  </si>
  <si>
    <t>Vít Máček</t>
  </si>
  <si>
    <t>Jonáš Kůra</t>
  </si>
  <si>
    <t>David Hrazdira</t>
  </si>
  <si>
    <t>Filip Létal</t>
  </si>
  <si>
    <t>Jiří Halama</t>
  </si>
  <si>
    <t>Tomáš Zach</t>
  </si>
  <si>
    <t>Filip Kuhn</t>
  </si>
  <si>
    <t>Ondřej Kolajta</t>
  </si>
  <si>
    <t>1. Luděk Ondráček</t>
  </si>
  <si>
    <t>2. Jiří Juhaňák</t>
  </si>
  <si>
    <t>3. Tomáš Brom</t>
  </si>
  <si>
    <t>4. Martin Nagy</t>
  </si>
  <si>
    <t>5. René Slezák</t>
  </si>
  <si>
    <t>1. Filip Kuhn</t>
  </si>
  <si>
    <t>2. Ondřej Kolajta</t>
  </si>
  <si>
    <t>6,01</t>
  </si>
  <si>
    <t>3. Filip Létal</t>
  </si>
  <si>
    <t>7,17</t>
  </si>
  <si>
    <t>2. Tomáš Brom</t>
  </si>
  <si>
    <t>3. Martin Nagy</t>
  </si>
  <si>
    <t>4. René Slezák</t>
  </si>
  <si>
    <t>5. Adam Hemerka</t>
  </si>
  <si>
    <t>1. Jiří Juhaňák</t>
  </si>
  <si>
    <t>2. Luděk Ondráček</t>
  </si>
  <si>
    <t>4. Matěj Kostka</t>
  </si>
  <si>
    <t>5. David Sládeček</t>
  </si>
  <si>
    <t>2. Dominik Dvořák</t>
  </si>
  <si>
    <t>3. David Sládeček</t>
  </si>
  <si>
    <t>4. Adam Hemerka</t>
  </si>
  <si>
    <t>5. Marek Fuchs</t>
  </si>
  <si>
    <t>"5:6"</t>
  </si>
  <si>
    <t>"7:10"</t>
  </si>
  <si>
    <t>"4:5p"</t>
  </si>
  <si>
    <t>PP - V - P - P - PP - PP - P - PP - P - P</t>
  </si>
  <si>
    <t>4:11</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</si>
</sst>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b/>
      <sz val="11"/>
      <color rgb="FF00B050"/>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ck">
        <color indexed="64"/>
      </left>
      <right/>
      <top style="medium">
        <color indexed="64"/>
      </top>
      <bottom style="thin">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diagonal/>
    </border>
    <border>
      <left style="thin">
        <color indexed="64"/>
      </left>
      <right style="thick">
        <color indexed="64"/>
      </right>
      <top/>
      <bottom/>
      <diagonal/>
    </border>
    <border>
      <left style="thick">
        <color indexed="64"/>
      </left>
      <right/>
      <top style="medium">
        <color indexed="64"/>
      </top>
      <bottom/>
      <diagonal/>
    </border>
    <border>
      <left/>
      <right/>
      <top style="medium">
        <color indexed="64"/>
      </top>
      <bottom/>
      <diagonal/>
    </border>
    <border>
      <left style="medium">
        <color indexed="64"/>
      </left>
      <right/>
      <top style="medium">
        <color indexed="64"/>
      </top>
      <bottom/>
      <diagonal/>
    </border>
    <border>
      <left/>
      <right style="thick">
        <color indexed="64"/>
      </right>
      <top style="medium">
        <color indexed="64"/>
      </top>
      <bottom/>
      <diagonal/>
    </border>
  </borders>
  <cellStyleXfs count="1">
    <xf numFmtId="0" fontId="0" fillId="0" borderId="0"/>
  </cellStyleXfs>
  <cellXfs count="404">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5" fillId="0" borderId="0" xfId="0" applyFont="1" applyBorder="1" applyAlignment="1">
      <alignment vertical="center"/>
    </xf>
    <xf numFmtId="0" fontId="5" fillId="0" borderId="0" xfId="0" applyFont="1" applyBorder="1" applyAlignment="1">
      <alignment horizontal="center" vertical="center"/>
    </xf>
    <xf numFmtId="0" fontId="3" fillId="2" borderId="0" xfId="0" applyFont="1" applyFill="1" applyBorder="1" applyAlignment="1">
      <alignment horizontal="center" vertical="center"/>
    </xf>
    <xf numFmtId="165" fontId="4" fillId="3" borderId="57" xfId="0" applyNumberFormat="1" applyFont="1" applyFill="1" applyBorder="1" applyAlignment="1">
      <alignment horizontal="right" vertical="center"/>
    </xf>
    <xf numFmtId="0" fontId="5" fillId="3" borderId="0" xfId="0" applyFont="1" applyFill="1" applyBorder="1" applyAlignment="1">
      <alignment vertical="center"/>
    </xf>
    <xf numFmtId="0" fontId="5" fillId="3" borderId="0" xfId="0" applyFont="1" applyFill="1" applyBorder="1" applyAlignment="1">
      <alignment horizontal="center" vertical="center"/>
    </xf>
    <xf numFmtId="2" fontId="5" fillId="3" borderId="0" xfId="0" applyNumberFormat="1" applyFont="1" applyFill="1" applyBorder="1" applyAlignment="1">
      <alignment horizontal="center" vertical="center"/>
    </xf>
    <xf numFmtId="2" fontId="5" fillId="3" borderId="58" xfId="0" applyNumberFormat="1" applyFont="1" applyFill="1" applyBorder="1" applyAlignment="1">
      <alignment horizontal="center" vertical="center"/>
    </xf>
    <xf numFmtId="165" fontId="3" fillId="3" borderId="57" xfId="0" applyNumberFormat="1" applyFont="1" applyFill="1" applyBorder="1" applyAlignment="1">
      <alignment horizontal="right" vertical="center"/>
    </xf>
    <xf numFmtId="165" fontId="6" fillId="3" borderId="57" xfId="0" applyNumberFormat="1" applyFont="1" applyFill="1" applyBorder="1" applyAlignment="1">
      <alignment horizontal="right" vertical="center"/>
    </xf>
    <xf numFmtId="165" fontId="6" fillId="3" borderId="54" xfId="0" applyNumberFormat="1" applyFont="1" applyFill="1" applyBorder="1" applyAlignment="1">
      <alignment horizontal="right" vertical="center"/>
    </xf>
    <xf numFmtId="0" fontId="5" fillId="3" borderId="20" xfId="0" applyFont="1" applyFill="1" applyBorder="1" applyAlignment="1">
      <alignment vertical="center"/>
    </xf>
    <xf numFmtId="0" fontId="5"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2" fontId="5"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5" fillId="0" borderId="0" xfId="0" applyFont="1" applyAlignment="1">
      <alignment vertical="center"/>
    </xf>
    <xf numFmtId="0" fontId="3" fillId="0" borderId="56" xfId="0" applyFont="1" applyBorder="1" applyAlignment="1">
      <alignment horizontal="center" vertical="center"/>
    </xf>
    <xf numFmtId="0" fontId="5" fillId="0" borderId="6" xfId="0" applyFont="1" applyBorder="1" applyAlignment="1">
      <alignment horizontal="center" vertical="center"/>
    </xf>
    <xf numFmtId="0" fontId="3" fillId="0" borderId="16" xfId="0" applyFont="1" applyBorder="1" applyAlignment="1">
      <alignment horizontal="center" vertical="center"/>
    </xf>
    <xf numFmtId="0" fontId="5" fillId="0" borderId="20" xfId="0" applyFont="1" applyBorder="1" applyAlignment="1">
      <alignment horizontal="left" vertical="center"/>
    </xf>
    <xf numFmtId="0" fontId="5" fillId="0" borderId="20" xfId="0" applyFont="1" applyBorder="1" applyAlignment="1">
      <alignment horizontal="center" vertical="center"/>
    </xf>
    <xf numFmtId="0" fontId="5" fillId="0" borderId="20" xfId="0" applyFont="1" applyBorder="1" applyAlignment="1">
      <alignment vertical="center"/>
    </xf>
    <xf numFmtId="0" fontId="5" fillId="0" borderId="36" xfId="0" applyFont="1" applyBorder="1" applyAlignment="1">
      <alignment vertical="center"/>
    </xf>
    <xf numFmtId="0" fontId="5" fillId="0" borderId="53" xfId="0" applyFont="1" applyBorder="1" applyAlignment="1">
      <alignment vertical="center"/>
    </xf>
    <xf numFmtId="165" fontId="3" fillId="0" borderId="56" xfId="0" applyNumberFormat="1" applyFont="1" applyBorder="1" applyAlignment="1">
      <alignment horizontal="center" vertical="center"/>
    </xf>
    <xf numFmtId="0" fontId="5" fillId="0" borderId="2" xfId="0" applyFont="1" applyBorder="1" applyAlignment="1">
      <alignment horizontal="center" vertical="center"/>
    </xf>
    <xf numFmtId="166" fontId="5" fillId="0" borderId="10" xfId="0" applyNumberFormat="1" applyFont="1" applyBorder="1" applyAlignment="1">
      <alignment horizontal="center" vertical="center"/>
    </xf>
    <xf numFmtId="171" fontId="5" fillId="0" borderId="13" xfId="0" applyNumberFormat="1" applyFont="1" applyBorder="1" applyAlignment="1">
      <alignment horizontal="center" vertical="center"/>
    </xf>
    <xf numFmtId="167" fontId="5" fillId="0" borderId="16" xfId="0" applyNumberFormat="1" applyFont="1" applyBorder="1" applyAlignment="1">
      <alignment horizontal="center" vertical="center"/>
    </xf>
    <xf numFmtId="0" fontId="3" fillId="0" borderId="0" xfId="0" applyFont="1" applyBorder="1" applyAlignment="1">
      <alignment vertical="center"/>
    </xf>
    <xf numFmtId="164" fontId="7" fillId="0" borderId="0" xfId="0" applyNumberFormat="1" applyFont="1" applyBorder="1" applyAlignment="1">
      <alignment horizontal="right" vertical="center"/>
    </xf>
    <xf numFmtId="0" fontId="3" fillId="0" borderId="53" xfId="0" applyFont="1" applyBorder="1" applyAlignment="1">
      <alignment vertical="center"/>
    </xf>
    <xf numFmtId="164" fontId="7" fillId="0" borderId="53" xfId="0" applyNumberFormat="1" applyFont="1" applyBorder="1" applyAlignment="1">
      <alignment horizontal="right" vertical="center"/>
    </xf>
    <xf numFmtId="0" fontId="5"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8" fillId="0" borderId="0" xfId="0" applyFont="1" applyBorder="1" applyAlignment="1">
      <alignment vertical="center" wrapText="1"/>
    </xf>
    <xf numFmtId="0" fontId="8"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5" fillId="0" borderId="0" xfId="0" applyFont="1" applyFill="1" applyBorder="1" applyAlignment="1">
      <alignment vertical="center"/>
    </xf>
    <xf numFmtId="0" fontId="3"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5" fillId="0" borderId="0" xfId="0" applyNumberFormat="1" applyFont="1" applyFill="1" applyBorder="1" applyAlignment="1">
      <alignment vertical="center"/>
    </xf>
    <xf numFmtId="169" fontId="5" fillId="0" borderId="0" xfId="0" applyNumberFormat="1" applyFont="1" applyFill="1" applyBorder="1" applyAlignment="1">
      <alignment vertical="center"/>
    </xf>
    <xf numFmtId="171" fontId="5" fillId="0" borderId="0" xfId="0" applyNumberFormat="1" applyFont="1" applyFill="1" applyBorder="1" applyAlignment="1">
      <alignment horizontal="center" vertical="center"/>
    </xf>
    <xf numFmtId="170"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4" fontId="7" fillId="0" borderId="0" xfId="0" applyNumberFormat="1" applyFont="1" applyFill="1" applyBorder="1" applyAlignment="1">
      <alignment horizontal="right" vertical="center"/>
    </xf>
    <xf numFmtId="0" fontId="8" fillId="0" borderId="0" xfId="0" applyFont="1" applyFill="1" applyBorder="1" applyAlignment="1">
      <alignment vertical="center" wrapText="1"/>
    </xf>
    <xf numFmtId="0" fontId="8"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42" xfId="0" applyFont="1" applyFill="1" applyBorder="1" applyAlignment="1">
      <alignment horizontal="center" vertical="center"/>
    </xf>
    <xf numFmtId="0" fontId="5" fillId="0" borderId="49" xfId="0" applyFont="1" applyFill="1" applyBorder="1" applyAlignment="1">
      <alignment horizontal="center" vertical="center"/>
    </xf>
    <xf numFmtId="165" fontId="10" fillId="0" borderId="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38"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42" xfId="0" applyFont="1" applyFill="1" applyBorder="1" applyAlignment="1">
      <alignment horizontal="center" vertical="center"/>
    </xf>
    <xf numFmtId="2" fontId="5" fillId="3" borderId="5" xfId="0" applyNumberFormat="1" applyFont="1" applyFill="1" applyBorder="1" applyAlignment="1">
      <alignment horizontal="center" vertical="center"/>
    </xf>
    <xf numFmtId="2" fontId="5" fillId="3" borderId="38" xfId="0" applyNumberFormat="1" applyFont="1" applyFill="1" applyBorder="1" applyAlignment="1">
      <alignment horizontal="center" vertical="center"/>
    </xf>
    <xf numFmtId="2" fontId="5" fillId="0" borderId="5"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5" fillId="0" borderId="3" xfId="0" applyFont="1" applyFill="1" applyBorder="1" applyAlignment="1">
      <alignment horizontal="center" vertical="center"/>
    </xf>
    <xf numFmtId="0" fontId="0" fillId="0" borderId="0" xfId="0" applyAlignment="1">
      <alignment horizontal="left" vertical="center"/>
    </xf>
    <xf numFmtId="0" fontId="5" fillId="3" borderId="3" xfId="0" applyFont="1" applyFill="1" applyBorder="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5" fillId="3" borderId="3" xfId="0" applyNumberFormat="1" applyFont="1" applyFill="1" applyBorder="1" applyAlignment="1">
      <alignment horizontal="center" vertical="center"/>
    </xf>
    <xf numFmtId="0" fontId="3" fillId="0" borderId="0" xfId="0" applyFont="1" applyAlignment="1">
      <alignment horizontal="center" vertical="center"/>
    </xf>
    <xf numFmtId="2" fontId="5"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5" fillId="0" borderId="13"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5" fillId="0" borderId="0" xfId="0" applyFont="1" applyAlignment="1" applyProtection="1">
      <alignment horizontal="center" vertical="center"/>
      <protection locked="0"/>
    </xf>
    <xf numFmtId="0" fontId="11" fillId="0" borderId="0" xfId="0" applyFont="1" applyAlignment="1">
      <alignment vertical="center"/>
    </xf>
    <xf numFmtId="0" fontId="5" fillId="0" borderId="0" xfId="0" applyFont="1" applyAlignment="1" applyProtection="1">
      <alignment vertical="center"/>
      <protection locked="0"/>
    </xf>
    <xf numFmtId="49" fontId="5" fillId="0" borderId="3" xfId="0" applyNumberFormat="1" applyFont="1" applyFill="1" applyBorder="1" applyAlignment="1" applyProtection="1">
      <alignment horizontal="center"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5" fillId="0" borderId="65" xfId="0" applyNumberFormat="1" applyFont="1" applyFill="1" applyBorder="1" applyAlignment="1" applyProtection="1">
      <alignment horizontal="center" vertical="center"/>
      <protection locked="0"/>
    </xf>
    <xf numFmtId="49" fontId="5" fillId="0" borderId="70" xfId="0" applyNumberFormat="1" applyFont="1" applyFill="1" applyBorder="1" applyAlignment="1" applyProtection="1">
      <alignment horizontal="center" vertical="center"/>
      <protection locked="0"/>
    </xf>
    <xf numFmtId="49" fontId="5" fillId="0" borderId="36" xfId="0" applyNumberFormat="1" applyFont="1" applyFill="1" applyBorder="1" applyAlignment="1" applyProtection="1">
      <alignment horizontal="center" vertical="center"/>
      <protection locked="0"/>
    </xf>
    <xf numFmtId="167" fontId="5" fillId="0" borderId="36" xfId="0" applyNumberFormat="1" applyFont="1" applyFill="1" applyBorder="1" applyAlignment="1" applyProtection="1">
      <alignment vertical="center"/>
      <protection locked="0"/>
    </xf>
    <xf numFmtId="14" fontId="5" fillId="0" borderId="36" xfId="0" applyNumberFormat="1" applyFont="1" applyFill="1" applyBorder="1" applyAlignment="1" applyProtection="1">
      <alignment vertical="center"/>
      <protection locked="0"/>
    </xf>
    <xf numFmtId="0" fontId="5" fillId="0" borderId="36" xfId="0" applyFont="1" applyFill="1" applyBorder="1" applyAlignment="1" applyProtection="1">
      <alignment vertical="center"/>
      <protection locked="0"/>
    </xf>
    <xf numFmtId="0" fontId="5"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165" fontId="4" fillId="0" borderId="57" xfId="0" applyNumberFormat="1" applyFont="1" applyFill="1" applyBorder="1" applyAlignment="1">
      <alignment horizontal="right" vertical="center"/>
    </xf>
    <xf numFmtId="2" fontId="5" fillId="0" borderId="0" xfId="0" applyNumberFormat="1" applyFont="1" applyFill="1" applyBorder="1" applyAlignment="1">
      <alignment horizontal="center" vertical="center"/>
    </xf>
    <xf numFmtId="2" fontId="5" fillId="0" borderId="58" xfId="0" applyNumberFormat="1" applyFont="1" applyFill="1" applyBorder="1" applyAlignment="1">
      <alignment horizontal="center" vertical="center"/>
    </xf>
    <xf numFmtId="0" fontId="0" fillId="0" borderId="0" xfId="0" applyFill="1" applyAlignment="1">
      <alignment vertical="center"/>
    </xf>
    <xf numFmtId="165" fontId="3" fillId="0" borderId="57" xfId="0" applyNumberFormat="1" applyFont="1" applyFill="1" applyBorder="1" applyAlignment="1">
      <alignment horizontal="right" vertical="center"/>
    </xf>
    <xf numFmtId="165" fontId="6" fillId="0" borderId="57" xfId="0" applyNumberFormat="1" applyFont="1" applyFill="1" applyBorder="1" applyAlignment="1">
      <alignment horizontal="right" vertical="center"/>
    </xf>
    <xf numFmtId="0" fontId="0" fillId="0" borderId="0" xfId="0" applyNumberFormat="1" applyAlignment="1">
      <alignment horizontal="center"/>
    </xf>
    <xf numFmtId="49" fontId="5" fillId="0" borderId="73" xfId="0" applyNumberFormat="1" applyFont="1" applyFill="1" applyBorder="1" applyAlignment="1" applyProtection="1">
      <alignment horizontal="center" vertical="center"/>
      <protection locked="0"/>
    </xf>
    <xf numFmtId="0" fontId="0" fillId="0" borderId="0" xfId="0" applyAlignment="1">
      <alignment horizontal="center" vertical="center"/>
    </xf>
    <xf numFmtId="167" fontId="5" fillId="0" borderId="0" xfId="0" applyNumberFormat="1" applyFont="1" applyFill="1" applyBorder="1" applyAlignment="1" applyProtection="1">
      <alignment vertical="center"/>
      <protection locked="0"/>
    </xf>
    <xf numFmtId="49" fontId="5" fillId="0" borderId="0" xfId="0" applyNumberFormat="1" applyFont="1" applyFill="1" applyBorder="1" applyAlignment="1" applyProtection="1">
      <alignment horizontal="center" vertical="center"/>
      <protection locked="0"/>
    </xf>
    <xf numFmtId="14" fontId="5" fillId="0" borderId="0" xfId="0" applyNumberFormat="1" applyFont="1" applyFill="1" applyBorder="1" applyAlignment="1" applyProtection="1">
      <alignment vertical="center"/>
      <protection locked="0"/>
    </xf>
    <xf numFmtId="0" fontId="5" fillId="0" borderId="0" xfId="0" applyFont="1" applyFill="1" applyBorder="1" applyAlignment="1" applyProtection="1">
      <alignment vertical="center"/>
      <protection locked="0"/>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lignment horizont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49" fontId="5" fillId="0" borderId="65" xfId="0" applyNumberFormat="1" applyFont="1" applyFill="1" applyBorder="1" applyAlignment="1" applyProtection="1">
      <alignment horizontal="center" vertical="center"/>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xf>
    <xf numFmtId="49" fontId="5" fillId="0" borderId="81" xfId="0" applyNumberFormat="1" applyFont="1" applyFill="1" applyBorder="1" applyAlignment="1" applyProtection="1">
      <alignment horizontal="center" vertical="center"/>
      <protection locked="0"/>
    </xf>
    <xf numFmtId="0" fontId="5" fillId="0" borderId="2" xfId="0" applyFont="1" applyBorder="1" applyAlignment="1">
      <alignment horizontal="center" vertical="center"/>
    </xf>
    <xf numFmtId="0" fontId="5" fillId="0" borderId="14"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167" fontId="5" fillId="0" borderId="84" xfId="0" applyNumberFormat="1" applyFont="1" applyFill="1" applyBorder="1" applyAlignment="1" applyProtection="1">
      <alignment horizontal="center" vertical="center"/>
      <protection locked="0"/>
    </xf>
    <xf numFmtId="167" fontId="5" fillId="0" borderId="85" xfId="0" applyNumberFormat="1" applyFont="1" applyFill="1" applyBorder="1" applyAlignment="1" applyProtection="1">
      <alignment horizontal="center" vertical="center"/>
      <protection locked="0"/>
    </xf>
    <xf numFmtId="167" fontId="5" fillId="0" borderId="66" xfId="0" applyNumberFormat="1" applyFont="1" applyFill="1" applyBorder="1" applyAlignment="1" applyProtection="1">
      <alignment horizontal="center" vertical="center"/>
      <protection locked="0"/>
    </xf>
    <xf numFmtId="14" fontId="5" fillId="0" borderId="86" xfId="0" applyNumberFormat="1" applyFont="1" applyFill="1" applyBorder="1" applyAlignment="1" applyProtection="1">
      <alignment horizontal="center" vertical="center"/>
      <protection locked="0"/>
    </xf>
    <xf numFmtId="14" fontId="5" fillId="0" borderId="85" xfId="0" applyNumberFormat="1" applyFont="1" applyFill="1" applyBorder="1" applyAlignment="1" applyProtection="1">
      <alignment horizontal="center" vertical="center"/>
      <protection locked="0"/>
    </xf>
    <xf numFmtId="14" fontId="5" fillId="0" borderId="87" xfId="0" applyNumberFormat="1" applyFont="1" applyFill="1" applyBorder="1" applyAlignment="1" applyProtection="1">
      <alignment horizontal="center" vertical="center"/>
      <protection locked="0"/>
    </xf>
    <xf numFmtId="167" fontId="5" fillId="0" borderId="68" xfId="0" applyNumberFormat="1" applyFont="1" applyFill="1" applyBorder="1" applyAlignment="1" applyProtection="1">
      <alignment horizontal="center" vertical="center"/>
      <protection locked="0"/>
    </xf>
    <xf numFmtId="167" fontId="5" fillId="0" borderId="69" xfId="0" applyNumberFormat="1" applyFont="1" applyFill="1" applyBorder="1" applyAlignment="1" applyProtection="1">
      <alignment horizontal="center" vertical="center"/>
      <protection locked="0"/>
    </xf>
    <xf numFmtId="14" fontId="5" fillId="0" borderId="71" xfId="0" applyNumberFormat="1" applyFont="1" applyFill="1" applyBorder="1" applyAlignment="1" applyProtection="1">
      <alignment horizontal="center" vertical="center"/>
      <protection locked="0"/>
    </xf>
    <xf numFmtId="0" fontId="5" fillId="0" borderId="69" xfId="0" applyFont="1" applyFill="1" applyBorder="1" applyAlignment="1" applyProtection="1">
      <alignment horizontal="center" vertical="center"/>
      <protection locked="0"/>
    </xf>
    <xf numFmtId="0" fontId="5" fillId="0" borderId="72" xfId="0" applyFont="1" applyFill="1" applyBorder="1" applyAlignment="1" applyProtection="1">
      <alignment horizontal="center" vertical="center"/>
      <protection locked="0"/>
    </xf>
    <xf numFmtId="167" fontId="5" fillId="0" borderId="12" xfId="0" applyNumberFormat="1" applyFont="1" applyFill="1" applyBorder="1" applyAlignment="1" applyProtection="1">
      <alignment horizontal="center" vertical="center"/>
      <protection locked="0"/>
    </xf>
    <xf numFmtId="167" fontId="5" fillId="0" borderId="1" xfId="0" applyNumberFormat="1" applyFont="1" applyFill="1" applyBorder="1" applyAlignment="1" applyProtection="1">
      <alignment horizontal="center" vertical="center"/>
      <protection locked="0"/>
    </xf>
    <xf numFmtId="14" fontId="5" fillId="0" borderId="22" xfId="0" applyNumberFormat="1"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167" fontId="5" fillId="0" borderId="14" xfId="0" applyNumberFormat="1" applyFont="1" applyFill="1" applyBorder="1" applyAlignment="1" applyProtection="1">
      <alignment horizontal="center" vertical="center"/>
      <protection locked="0"/>
    </xf>
    <xf numFmtId="167" fontId="5" fillId="0" borderId="15" xfId="0" applyNumberFormat="1"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167" fontId="5" fillId="0" borderId="78" xfId="0" applyNumberFormat="1" applyFont="1" applyFill="1" applyBorder="1" applyAlignment="1" applyProtection="1">
      <alignment horizontal="center" vertical="center"/>
      <protection locked="0"/>
    </xf>
    <xf numFmtId="167" fontId="5" fillId="0" borderId="24" xfId="0" applyNumberFormat="1" applyFont="1" applyFill="1" applyBorder="1" applyAlignment="1" applyProtection="1">
      <alignment horizontal="center" vertical="center"/>
      <protection locked="0"/>
    </xf>
    <xf numFmtId="167" fontId="5" fillId="0" borderId="52" xfId="0" applyNumberFormat="1" applyFont="1" applyFill="1" applyBorder="1" applyAlignment="1" applyProtection="1">
      <alignment horizontal="center" vertical="center"/>
      <protection locked="0"/>
    </xf>
    <xf numFmtId="14" fontId="5" fillId="0" borderId="77" xfId="0" applyNumberFormat="1" applyFont="1" applyFill="1" applyBorder="1" applyAlignment="1" applyProtection="1">
      <alignment horizontal="center" vertical="center"/>
      <protection locked="0"/>
    </xf>
    <xf numFmtId="14" fontId="5" fillId="0" borderId="24" xfId="0" applyNumberFormat="1" applyFont="1" applyFill="1" applyBorder="1" applyAlignment="1" applyProtection="1">
      <alignment horizontal="center" vertical="center"/>
      <protection locked="0"/>
    </xf>
    <xf numFmtId="14" fontId="5" fillId="0" borderId="25" xfId="0" applyNumberFormat="1" applyFont="1" applyFill="1" applyBorder="1" applyAlignment="1" applyProtection="1">
      <alignment horizontal="center" vertical="center"/>
      <protection locked="0"/>
    </xf>
    <xf numFmtId="167" fontId="5" fillId="0" borderId="76" xfId="0" applyNumberFormat="1" applyFont="1" applyFill="1" applyBorder="1" applyAlignment="1" applyProtection="1">
      <alignment horizontal="center" vertical="center"/>
      <protection locked="0"/>
    </xf>
    <xf numFmtId="167" fontId="5" fillId="0" borderId="75" xfId="0" applyNumberFormat="1" applyFont="1" applyFill="1" applyBorder="1" applyAlignment="1" applyProtection="1">
      <alignment horizontal="center" vertical="center"/>
      <protection locked="0"/>
    </xf>
    <xf numFmtId="167" fontId="5" fillId="0" borderId="22" xfId="0" applyNumberFormat="1" applyFont="1" applyFill="1" applyBorder="1" applyAlignment="1" applyProtection="1">
      <alignment horizontal="center" vertical="center"/>
      <protection locked="0"/>
    </xf>
    <xf numFmtId="14" fontId="5" fillId="0" borderId="74" xfId="0" applyNumberFormat="1" applyFont="1" applyFill="1" applyBorder="1" applyAlignment="1" applyProtection="1">
      <alignment horizontal="center" vertical="center"/>
      <protection locked="0"/>
    </xf>
    <xf numFmtId="14" fontId="5" fillId="0" borderId="75" xfId="0" applyNumberFormat="1" applyFont="1" applyFill="1" applyBorder="1" applyAlignment="1" applyProtection="1">
      <alignment horizontal="center" vertical="center"/>
      <protection locked="0"/>
    </xf>
    <xf numFmtId="14" fontId="5" fillId="0" borderId="32" xfId="0" applyNumberFormat="1" applyFont="1" applyFill="1" applyBorder="1" applyAlignment="1" applyProtection="1">
      <alignment horizontal="center" vertical="center"/>
      <protection locked="0"/>
    </xf>
    <xf numFmtId="167" fontId="5" fillId="0" borderId="50" xfId="0" applyNumberFormat="1" applyFont="1" applyFill="1" applyBorder="1" applyAlignment="1" applyProtection="1">
      <alignment horizontal="center" vertical="center"/>
      <protection locked="0"/>
    </xf>
    <xf numFmtId="167" fontId="5" fillId="0" borderId="2" xfId="0" applyNumberFormat="1" applyFont="1" applyFill="1" applyBorder="1" applyAlignment="1" applyProtection="1">
      <alignment horizontal="center" vertical="center"/>
      <protection locked="0"/>
    </xf>
    <xf numFmtId="14" fontId="5" fillId="0" borderId="52" xfId="0" applyNumberFormat="1" applyFont="1" applyFill="1" applyBorder="1" applyAlignment="1" applyProtection="1">
      <alignment horizontal="center" vertical="center"/>
      <protection locked="0"/>
    </xf>
    <xf numFmtId="0" fontId="5" fillId="0" borderId="2"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168" fontId="5" fillId="0" borderId="21" xfId="0" applyNumberFormat="1" applyFont="1" applyBorder="1" applyAlignment="1">
      <alignment horizontal="center" vertical="center"/>
    </xf>
    <xf numFmtId="168" fontId="5" fillId="0" borderId="22" xfId="0" applyNumberFormat="1" applyFont="1" applyBorder="1" applyAlignment="1">
      <alignment horizontal="center" vertical="center"/>
    </xf>
    <xf numFmtId="0" fontId="5" fillId="0" borderId="21" xfId="0" applyFont="1" applyBorder="1" applyAlignment="1">
      <alignment horizontal="center" vertical="center"/>
    </xf>
    <xf numFmtId="0" fontId="5" fillId="0" borderId="32" xfId="0" applyFont="1" applyBorder="1" applyAlignment="1">
      <alignment horizontal="center" vertical="center"/>
    </xf>
    <xf numFmtId="0" fontId="5" fillId="0" borderId="52" xfId="0" applyFont="1" applyBorder="1" applyAlignment="1">
      <alignment horizontal="center" vertical="center"/>
    </xf>
    <xf numFmtId="0" fontId="5" fillId="0" borderId="2" xfId="0" applyFont="1" applyBorder="1" applyAlignment="1">
      <alignment horizontal="center" vertical="center"/>
    </xf>
    <xf numFmtId="0" fontId="5" fillId="0" borderId="43" xfId="0" applyFont="1" applyBorder="1" applyAlignment="1">
      <alignment horizontal="center" vertical="center"/>
    </xf>
    <xf numFmtId="0" fontId="5" fillId="0" borderId="29" xfId="0" applyFont="1" applyBorder="1" applyAlignment="1">
      <alignment horizontal="left" vertical="center"/>
    </xf>
    <xf numFmtId="0" fontId="5" fillId="0" borderId="30" xfId="0" applyFont="1" applyBorder="1" applyAlignment="1">
      <alignment horizontal="left" vertical="center"/>
    </xf>
    <xf numFmtId="0" fontId="5" fillId="0" borderId="31" xfId="0" applyFont="1" applyBorder="1" applyAlignment="1">
      <alignment horizontal="left" vertical="center"/>
    </xf>
    <xf numFmtId="0" fontId="5" fillId="0" borderId="28" xfId="0" applyFont="1" applyBorder="1" applyAlignment="1">
      <alignment horizontal="center" vertical="center"/>
    </xf>
    <xf numFmtId="0" fontId="5" fillId="0" borderId="31" xfId="0" applyFont="1" applyBorder="1" applyAlignment="1">
      <alignment horizontal="center" vertical="center"/>
    </xf>
    <xf numFmtId="0" fontId="5" fillId="0" borderId="15" xfId="0" applyFont="1" applyBorder="1" applyAlignment="1">
      <alignment horizontal="center" vertical="center"/>
    </xf>
    <xf numFmtId="0" fontId="5" fillId="0" borderId="15" xfId="0" applyFont="1" applyBorder="1" applyAlignment="1">
      <alignment horizontal="left" vertical="center"/>
    </xf>
    <xf numFmtId="0" fontId="5"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5" fillId="0" borderId="60" xfId="0" applyFont="1" applyBorder="1" applyAlignment="1">
      <alignment horizontal="center" vertical="center"/>
    </xf>
    <xf numFmtId="0" fontId="5"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5" fillId="0" borderId="12" xfId="0" applyFont="1" applyBorder="1" applyAlignment="1">
      <alignment horizontal="center" vertical="center"/>
    </xf>
    <xf numFmtId="0" fontId="5" fillId="0" borderId="14" xfId="0" applyFont="1" applyBorder="1" applyAlignment="1">
      <alignment horizontal="center" vertical="center"/>
    </xf>
    <xf numFmtId="0" fontId="8" fillId="0" borderId="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3" fillId="3" borderId="0" xfId="0" applyFont="1" applyFill="1" applyAlignment="1">
      <alignment horizontal="center" vertical="center" textRotation="90"/>
    </xf>
    <xf numFmtId="0" fontId="5" fillId="0" borderId="24"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166" fontId="5" fillId="0" borderId="1" xfId="0" applyNumberFormat="1" applyFont="1" applyBorder="1" applyAlignment="1">
      <alignment horizontal="center" vertical="center"/>
    </xf>
    <xf numFmtId="169" fontId="5" fillId="0" borderId="21" xfId="0" applyNumberFormat="1" applyFont="1" applyBorder="1" applyAlignment="1">
      <alignment horizontal="center" vertical="center"/>
    </xf>
    <xf numFmtId="169" fontId="5" fillId="0" borderId="22" xfId="0" applyNumberFormat="1" applyFont="1" applyBorder="1" applyAlignment="1">
      <alignment horizontal="center" vertical="center"/>
    </xf>
    <xf numFmtId="170" fontId="5" fillId="0" borderId="12" xfId="0" applyNumberFormat="1" applyFont="1" applyBorder="1" applyAlignment="1">
      <alignment horizontal="center" vertical="center"/>
    </xf>
    <xf numFmtId="170" fontId="5" fillId="0" borderId="1" xfId="0" applyNumberFormat="1" applyFont="1" applyBorder="1" applyAlignment="1">
      <alignment horizontal="center" vertical="center"/>
    </xf>
    <xf numFmtId="0" fontId="5" fillId="0" borderId="10" xfId="0" applyFont="1" applyBorder="1" applyAlignment="1">
      <alignment horizontal="center" vertical="center"/>
    </xf>
    <xf numFmtId="0" fontId="5" fillId="0" borderId="6" xfId="0" applyFont="1" applyBorder="1" applyAlignment="1">
      <alignment horizontal="center" vertical="center"/>
    </xf>
    <xf numFmtId="0" fontId="5" fillId="0" borderId="1" xfId="0" applyFont="1" applyBorder="1" applyAlignment="1">
      <alignment horizontal="center" vertical="center"/>
    </xf>
    <xf numFmtId="0" fontId="5" fillId="0" borderId="13" xfId="0" applyFont="1" applyBorder="1" applyAlignment="1">
      <alignment horizontal="center" vertical="center"/>
    </xf>
    <xf numFmtId="0" fontId="9" fillId="0" borderId="0" xfId="0" applyFont="1" applyFill="1" applyBorder="1" applyAlignment="1">
      <alignment horizontal="center" vertical="center"/>
    </xf>
    <xf numFmtId="0" fontId="3" fillId="3" borderId="0" xfId="0" applyFont="1" applyFill="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9" fillId="0" borderId="33" xfId="0" applyFont="1" applyFill="1" applyBorder="1" applyAlignment="1" applyProtection="1">
      <alignment horizontal="center" vertical="center"/>
      <protection locked="0"/>
    </xf>
    <xf numFmtId="0" fontId="9" fillId="0" borderId="34" xfId="0" applyFont="1" applyFill="1" applyBorder="1" applyAlignment="1" applyProtection="1">
      <alignment horizontal="center" vertical="center"/>
      <protection locked="0"/>
    </xf>
    <xf numFmtId="0" fontId="3" fillId="0" borderId="18" xfId="0" applyFont="1" applyFill="1" applyBorder="1" applyAlignment="1">
      <alignment horizontal="center" vertical="center"/>
    </xf>
    <xf numFmtId="0" fontId="5" fillId="3" borderId="26" xfId="0" applyFont="1" applyFill="1" applyBorder="1" applyAlignment="1">
      <alignment horizontal="left" vertical="center"/>
    </xf>
    <xf numFmtId="0" fontId="5" fillId="3" borderId="6" xfId="0" applyFont="1" applyFill="1" applyBorder="1" applyAlignment="1">
      <alignment horizontal="left" vertical="center"/>
    </xf>
    <xf numFmtId="0" fontId="5" fillId="3" borderId="12" xfId="0" applyFont="1" applyFill="1" applyBorder="1" applyAlignment="1">
      <alignment horizontal="left" vertical="center"/>
    </xf>
    <xf numFmtId="0" fontId="5" fillId="3" borderId="1" xfId="0" applyFont="1" applyFill="1" applyBorder="1" applyAlignment="1">
      <alignment horizontal="left" vertical="center"/>
    </xf>
    <xf numFmtId="0" fontId="5" fillId="3" borderId="4" xfId="0" applyFont="1" applyFill="1" applyBorder="1" applyAlignment="1">
      <alignment horizontal="left" vertical="center"/>
    </xf>
    <xf numFmtId="0" fontId="5" fillId="3" borderId="31" xfId="0" applyFont="1" applyFill="1" applyBorder="1" applyAlignment="1">
      <alignment horizontal="left" vertical="center"/>
    </xf>
    <xf numFmtId="0" fontId="5" fillId="3" borderId="15" xfId="0" applyFont="1" applyFill="1" applyBorder="1" applyAlignment="1">
      <alignment horizontal="left"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5" fillId="0" borderId="4" xfId="0" applyFont="1" applyFill="1" applyBorder="1" applyAlignment="1">
      <alignment horizontal="left" vertical="center"/>
    </xf>
    <xf numFmtId="0" fontId="5" fillId="0" borderId="1" xfId="0" applyFont="1" applyFill="1" applyBorder="1" applyAlignment="1">
      <alignment horizontal="left" vertical="center"/>
    </xf>
    <xf numFmtId="0" fontId="5" fillId="0" borderId="1"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5" fillId="0" borderId="31" xfId="0" applyFont="1" applyFill="1" applyBorder="1" applyAlignment="1">
      <alignment horizontal="center" vertical="center"/>
    </xf>
    <xf numFmtId="0" fontId="5" fillId="0" borderId="15" xfId="0" applyFont="1" applyFill="1" applyBorder="1" applyAlignment="1">
      <alignment horizontal="center" vertical="center"/>
    </xf>
    <xf numFmtId="0" fontId="3" fillId="3" borderId="18" xfId="0" applyFont="1" applyFill="1" applyBorder="1" applyAlignment="1">
      <alignment horizontal="center" vertical="center"/>
    </xf>
    <xf numFmtId="0" fontId="3" fillId="3" borderId="9" xfId="0" applyFont="1" applyFill="1" applyBorder="1" applyAlignment="1">
      <alignment horizontal="center" vertical="center"/>
    </xf>
    <xf numFmtId="0" fontId="5" fillId="0" borderId="22" xfId="0" applyFont="1" applyFill="1" applyBorder="1" applyAlignment="1">
      <alignment horizontal="left" vertical="center"/>
    </xf>
    <xf numFmtId="0" fontId="5" fillId="0" borderId="15" xfId="0" applyNumberFormat="1" applyFont="1" applyFill="1" applyBorder="1" applyAlignment="1">
      <alignment horizontal="center" vertical="center"/>
    </xf>
    <xf numFmtId="0" fontId="5" fillId="0" borderId="16" xfId="0" applyNumberFormat="1" applyFont="1" applyFill="1" applyBorder="1" applyAlignment="1">
      <alignment horizontal="center" vertical="center"/>
    </xf>
    <xf numFmtId="0" fontId="3" fillId="0" borderId="0" xfId="0" applyFont="1" applyFill="1" applyBorder="1" applyAlignment="1">
      <alignment horizontal="center" vertical="center"/>
    </xf>
    <xf numFmtId="0" fontId="5" fillId="0" borderId="22"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26" xfId="0" applyFont="1" applyFill="1" applyBorder="1" applyAlignment="1">
      <alignment horizontal="left" vertical="center"/>
    </xf>
    <xf numFmtId="0" fontId="5" fillId="0" borderId="6" xfId="0" applyFont="1" applyFill="1" applyBorder="1" applyAlignment="1">
      <alignment horizontal="left" vertical="center"/>
    </xf>
    <xf numFmtId="0" fontId="5" fillId="3" borderId="12"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1" xfId="0" applyNumberFormat="1" applyFont="1" applyFill="1" applyBorder="1" applyAlignment="1">
      <alignment horizontal="center" vertical="center"/>
    </xf>
    <xf numFmtId="0" fontId="5" fillId="3" borderId="13" xfId="0" applyNumberFormat="1" applyFont="1" applyFill="1" applyBorder="1" applyAlignment="1">
      <alignment horizontal="center" vertical="center"/>
    </xf>
    <xf numFmtId="0" fontId="5" fillId="0" borderId="14" xfId="0" applyFont="1" applyFill="1" applyBorder="1" applyAlignment="1">
      <alignment horizontal="center" vertical="center"/>
    </xf>
    <xf numFmtId="0" fontId="5" fillId="3" borderId="22" xfId="0" applyFont="1" applyFill="1" applyBorder="1" applyAlignment="1">
      <alignment horizontal="center" vertical="center"/>
    </xf>
    <xf numFmtId="0" fontId="5" fillId="0" borderId="12"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5" fillId="0" borderId="14" xfId="0" applyFont="1" applyFill="1" applyBorder="1" applyAlignment="1">
      <alignment horizontal="left" vertical="center"/>
    </xf>
    <xf numFmtId="0" fontId="5" fillId="0" borderId="15" xfId="0" applyFont="1" applyFill="1" applyBorder="1" applyAlignment="1">
      <alignment horizontal="left" vertical="center"/>
    </xf>
    <xf numFmtId="0" fontId="5" fillId="3" borderId="61" xfId="0" applyFont="1" applyFill="1" applyBorder="1" applyAlignment="1">
      <alignment horizontal="left" vertical="center"/>
    </xf>
    <xf numFmtId="0" fontId="5" fillId="0" borderId="6" xfId="0" applyNumberFormat="1" applyFont="1" applyFill="1" applyBorder="1" applyAlignment="1">
      <alignment horizontal="center" vertical="center"/>
    </xf>
    <xf numFmtId="0" fontId="5" fillId="0" borderId="11" xfId="0" applyNumberFormat="1" applyFont="1" applyFill="1" applyBorder="1" applyAlignment="1">
      <alignment horizontal="center" vertical="center"/>
    </xf>
    <xf numFmtId="0" fontId="5" fillId="3" borderId="45" xfId="0" applyFont="1" applyFill="1" applyBorder="1" applyAlignment="1">
      <alignment horizontal="center" vertical="center"/>
    </xf>
    <xf numFmtId="0" fontId="5" fillId="3" borderId="46" xfId="0" applyFont="1" applyFill="1" applyBorder="1" applyAlignment="1">
      <alignment horizontal="center" vertical="center"/>
    </xf>
    <xf numFmtId="0" fontId="5" fillId="0" borderId="10" xfId="0" applyFont="1" applyFill="1" applyBorder="1" applyAlignment="1">
      <alignment horizontal="center" vertical="center"/>
    </xf>
    <xf numFmtId="0" fontId="5" fillId="0" borderId="6" xfId="0" applyFont="1" applyFill="1" applyBorder="1" applyAlignment="1">
      <alignment horizontal="center" vertical="center"/>
    </xf>
    <xf numFmtId="0" fontId="5" fillId="3" borderId="48" xfId="0" applyFont="1" applyFill="1" applyBorder="1" applyAlignment="1">
      <alignment horizontal="center" vertical="center"/>
    </xf>
    <xf numFmtId="0" fontId="3" fillId="0" borderId="37" xfId="0" applyFont="1" applyFill="1" applyBorder="1" applyAlignment="1">
      <alignment horizontal="center" vertical="center"/>
    </xf>
    <xf numFmtId="0" fontId="5" fillId="0" borderId="12" xfId="0" applyFont="1" applyFill="1" applyBorder="1" applyAlignment="1">
      <alignment horizontal="center" vertical="center"/>
    </xf>
    <xf numFmtId="0" fontId="5" fillId="3" borderId="22" xfId="0" applyFont="1" applyFill="1" applyBorder="1" applyAlignment="1">
      <alignment horizontal="left" vertical="center"/>
    </xf>
    <xf numFmtId="0" fontId="5" fillId="0" borderId="61" xfId="0" applyFont="1" applyFill="1" applyBorder="1" applyAlignment="1">
      <alignment horizontal="left" vertical="center"/>
    </xf>
    <xf numFmtId="0" fontId="5" fillId="0" borderId="31" xfId="0" applyFont="1" applyFill="1" applyBorder="1" applyAlignment="1">
      <alignment horizontal="left" vertical="center"/>
    </xf>
    <xf numFmtId="0" fontId="5" fillId="3" borderId="14" xfId="0" applyFont="1" applyFill="1" applyBorder="1" applyAlignment="1">
      <alignment horizontal="left" vertical="center"/>
    </xf>
    <xf numFmtId="0" fontId="5" fillId="0" borderId="10" xfId="0" applyFont="1" applyFill="1" applyBorder="1" applyAlignment="1">
      <alignment horizontal="left" vertical="center"/>
    </xf>
    <xf numFmtId="0" fontId="5" fillId="3" borderId="10" xfId="0" applyFont="1" applyFill="1" applyBorder="1" applyAlignment="1">
      <alignment horizontal="left" vertical="center"/>
    </xf>
    <xf numFmtId="0" fontId="5" fillId="0" borderId="26"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3" fillId="3" borderId="37" xfId="0" applyFont="1" applyFill="1" applyBorder="1" applyAlignment="1">
      <alignment horizontal="center"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3" borderId="47" xfId="0" applyFont="1" applyFill="1" applyBorder="1" applyAlignment="1">
      <alignment horizontal="center" vertical="center"/>
    </xf>
    <xf numFmtId="167" fontId="5" fillId="0" borderId="10" xfId="0" applyNumberFormat="1" applyFont="1" applyFill="1" applyBorder="1" applyAlignment="1" applyProtection="1">
      <alignment horizontal="center" vertical="center"/>
      <protection locked="0"/>
    </xf>
    <xf numFmtId="167" fontId="5" fillId="0" borderId="6" xfId="0" applyNumberFormat="1" applyFont="1" applyFill="1" applyBorder="1" applyAlignment="1" applyProtection="1">
      <alignment horizontal="center" vertical="center"/>
      <protection locked="0"/>
    </xf>
    <xf numFmtId="14" fontId="5" fillId="0" borderId="26" xfId="0" applyNumberFormat="1"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167" fontId="5" fillId="0" borderId="63" xfId="0" applyNumberFormat="1" applyFont="1" applyFill="1" applyBorder="1" applyAlignment="1" applyProtection="1">
      <alignment horizontal="center" vertical="center"/>
      <protection locked="0"/>
    </xf>
    <xf numFmtId="167" fontId="5" fillId="0" borderId="64" xfId="0" applyNumberFormat="1" applyFont="1" applyFill="1" applyBorder="1" applyAlignment="1" applyProtection="1">
      <alignment horizontal="center" vertical="center"/>
      <protection locked="0"/>
    </xf>
    <xf numFmtId="14" fontId="5" fillId="0" borderId="66" xfId="0" applyNumberFormat="1" applyFont="1" applyFill="1" applyBorder="1" applyAlignment="1" applyProtection="1">
      <alignment horizontal="center" vertical="center"/>
      <protection locked="0"/>
    </xf>
    <xf numFmtId="0" fontId="5" fillId="0" borderId="64" xfId="0" applyFont="1" applyFill="1" applyBorder="1" applyAlignment="1" applyProtection="1">
      <alignment horizontal="center" vertical="center"/>
      <protection locked="0"/>
    </xf>
    <xf numFmtId="0" fontId="5" fillId="0" borderId="67" xfId="0" applyFont="1" applyFill="1" applyBorder="1" applyAlignment="1" applyProtection="1">
      <alignment horizontal="center" vertical="center"/>
      <protection locked="0"/>
    </xf>
    <xf numFmtId="14" fontId="5" fillId="0" borderId="62" xfId="0" applyNumberFormat="1" applyFont="1" applyFill="1" applyBorder="1" applyAlignment="1">
      <alignment horizontal="center" vertical="center"/>
    </xf>
    <xf numFmtId="0" fontId="5" fillId="0" borderId="62" xfId="0" applyFont="1" applyFill="1" applyBorder="1" applyAlignment="1">
      <alignment horizontal="center" vertical="center"/>
    </xf>
    <xf numFmtId="0" fontId="5" fillId="0" borderId="11" xfId="0" applyFont="1" applyFill="1" applyBorder="1" applyAlignment="1">
      <alignment horizontal="center" vertical="center"/>
    </xf>
    <xf numFmtId="0" fontId="5" fillId="0" borderId="16"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167" fontId="5" fillId="0" borderId="79" xfId="0" applyNumberFormat="1" applyFont="1" applyFill="1" applyBorder="1" applyAlignment="1" applyProtection="1">
      <alignment horizontal="center" vertical="center"/>
      <protection locked="0"/>
    </xf>
    <xf numFmtId="167" fontId="5" fillId="0" borderId="80" xfId="0" applyNumberFormat="1" applyFont="1" applyFill="1" applyBorder="1" applyAlignment="1" applyProtection="1">
      <alignment horizontal="center" vertical="center"/>
      <protection locked="0"/>
    </xf>
    <xf numFmtId="14" fontId="5" fillId="0" borderId="82" xfId="0" applyNumberFormat="1" applyFont="1" applyFill="1" applyBorder="1" applyAlignment="1" applyProtection="1">
      <alignment horizontal="center" vertical="center"/>
      <protection locked="0"/>
    </xf>
    <xf numFmtId="0" fontId="5" fillId="0" borderId="80" xfId="0" applyFont="1" applyFill="1" applyBorder="1" applyAlignment="1" applyProtection="1">
      <alignment horizontal="center" vertical="center"/>
      <protection locked="0"/>
    </xf>
    <xf numFmtId="0" fontId="5" fillId="0" borderId="83" xfId="0" applyFont="1" applyFill="1" applyBorder="1" applyAlignment="1" applyProtection="1">
      <alignment horizontal="center" vertical="center"/>
      <protection locked="0"/>
    </xf>
    <xf numFmtId="0" fontId="0" fillId="0" borderId="0" xfId="0" applyFont="1" applyAlignment="1" applyProtection="1">
      <alignment horizontal="center" vertical="center" wrapText="1"/>
      <protection locked="0"/>
    </xf>
    <xf numFmtId="0" fontId="1"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left" vertical="center"/>
    </xf>
  </cellXfs>
  <cellStyles count="1">
    <cellStyle name="Normální" xfId="0" builtinId="0"/>
  </cellStyles>
  <dxfs count="504">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queryTables/queryTable1.xml><?xml version="1.0" encoding="utf-8"?>
<queryTable xmlns="http://schemas.openxmlformats.org/spreadsheetml/2006/main" name="tabulka" growShrinkType="overwriteClear" adjustColumnWidth="0" connectionId="3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30"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31"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32"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29"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goalies" growShrinkType="overwriteClear" adjustColumnWidth="0" connectionId="14"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players_1" growShrinkType="overwriteClear" adjustColumnWidth="0" connectionId="15"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growShrinkType="overwriteClear" adjustColumnWidth="0" connectionId="16"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 growShrinkType="overwriteClear" adjustColumnWidth="0" connectionId="13"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players" growShrinkType="overwriteClear" adjustColumnWidth="0" connectionId="44"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goalies" growShrinkType="overwriteClear" adjustColumnWidth="0" connectionId="43"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45"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42"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players" growShrinkType="overwriteClear" adjustColumnWidth="0" connectionId="23"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goalies" growShrinkType="overwriteClear" adjustColumnWidth="0" connectionId="22"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zapasy" growShrinkType="overwriteClear" adjustColumnWidth="0" connectionId="24"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bestof" growShrinkType="overwriteClear" adjustColumnWidth="0" connectionId="21"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goalies" growShrinkType="overwriteClear" adjustColumnWidth="0" connectionId="39"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players" growShrinkType="overwriteClear" adjustColumnWidth="0" connectionId="40"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zapasy" growShrinkType="overwriteClear" adjustColumnWidth="0" connectionId="41"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bestof" growShrinkType="overwriteClear" adjustColumnWidth="0" connectionId="38"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players" growShrinkType="overwriteClear" adjustColumnWidth="0" connectionId="27"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goalies" growShrinkType="overwriteClear" adjustColumnWidth="0" connectionId="26"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25"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28"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goalies" growShrinkType="overwriteClear" adjustColumnWidth="0" connectionId="2"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players" growShrinkType="overwriteClear" adjustColumnWidth="0" connectionId="3"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bestof" growShrinkType="overwriteClear" adjustColumnWidth="0" connectionId="1"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goalies" growShrinkType="overwriteClear" adjustColumnWidth="0" connectionId="34"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players" growShrinkType="overwriteClear" adjustColumnWidth="0" connectionId="35"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zapasy" growShrinkType="overwriteClear" adjustColumnWidth="0" connectionId="36"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bestof" growShrinkType="overwriteClear" adjustColumnWidth="0" connectionId="33" autoFormatId="16" applyNumberFormats="0" applyBorderFormats="0" applyFontFormats="0" applyPatternFormats="0" applyAlignmentFormats="0" applyWidthHeightFormats="0"/>
</file>

<file path=xl/queryTables/queryTable34.xml><?xml version="1.0" encoding="utf-8"?>
<queryTable xmlns="http://schemas.openxmlformats.org/spreadsheetml/2006/main" name="CLP_players" growShrinkType="overwriteClear" adjustColumnWidth="0" connectionId="7" autoFormatId="16" applyNumberFormats="0" applyBorderFormats="0" applyFontFormats="0" applyPatternFormats="0" applyAlignmentFormats="0" applyWidthHeightFormats="0"/>
</file>

<file path=xl/queryTables/queryTable35.xml><?xml version="1.0" encoding="utf-8"?>
<queryTable xmlns="http://schemas.openxmlformats.org/spreadsheetml/2006/main" name="CLP_goalies" growShrinkType="overwriteClear" adjustColumnWidth="0" connectionId="6" autoFormatId="16" applyNumberFormats="0" applyBorderFormats="0" applyFontFormats="0" applyPatternFormats="0" applyAlignmentFormats="0" applyWidthHeightFormats="0"/>
</file>

<file path=xl/queryTables/queryTable36.xml><?xml version="1.0" encoding="utf-8"?>
<queryTable xmlns="http://schemas.openxmlformats.org/spreadsheetml/2006/main" name="CLP_zapasy" growShrinkType="overwriteClear" adjustColumnWidth="0" connectionId="8" autoFormatId="16" applyNumberFormats="0" applyBorderFormats="0" applyFontFormats="0" applyPatternFormats="0" applyAlignmentFormats="0" applyWidthHeightFormats="0"/>
</file>

<file path=xl/queryTables/queryTable37.xml><?xml version="1.0" encoding="utf-8"?>
<queryTable xmlns="http://schemas.openxmlformats.org/spreadsheetml/2006/main" name="CLP_bestof_1" growShrinkType="overwriteClear" adjustColumnWidth="0" connectionId="5" autoFormatId="16" applyNumberFormats="0" applyBorderFormats="0" applyFontFormats="0" applyPatternFormats="0" applyAlignmentFormats="0" applyWidthHeightFormats="0"/>
</file>

<file path=xl/queryTables/queryTable38.xml><?xml version="1.0" encoding="utf-8"?>
<queryTable xmlns="http://schemas.openxmlformats.org/spreadsheetml/2006/main" name="LIB_goalies" growShrinkType="overwriteClear" adjustColumnWidth="0" connectionId="18" autoFormatId="16" applyNumberFormats="0" applyBorderFormats="0" applyFontFormats="0" applyPatternFormats="0" applyAlignmentFormats="0" applyWidthHeightFormats="0"/>
</file>

<file path=xl/queryTables/queryTable39.xml><?xml version="1.0" encoding="utf-8"?>
<queryTable xmlns="http://schemas.openxmlformats.org/spreadsheetml/2006/main" name="LIB_players" growShrinkType="overwriteClear" adjustColumnWidth="0" connectionId="19" autoFormatId="16" applyNumberFormats="0" applyBorderFormats="0" applyFontFormats="0" applyPatternFormats="0" applyAlignmentFormats="0" applyWidthHeightFormats="0"/>
</file>

<file path=xl/queryTables/queryTable40.xml><?xml version="1.0" encoding="utf-8"?>
<queryTable xmlns="http://schemas.openxmlformats.org/spreadsheetml/2006/main" name="LIB_zapasy" growShrinkType="overwriteClear" adjustColumnWidth="0" connectionId="20" autoFormatId="16" applyNumberFormats="0" applyBorderFormats="0" applyFontFormats="0" applyPatternFormats="0" applyAlignmentFormats="0" applyWidthHeightFormats="0"/>
</file>

<file path=xl/queryTables/queryTable41.xml><?xml version="1.0" encoding="utf-8"?>
<queryTable xmlns="http://schemas.openxmlformats.org/spreadsheetml/2006/main" name="LIB_bestof" growShrinkType="overwriteClear" adjustColumnWidth="0" connectionId="17" autoFormatId="16" applyNumberFormats="0" applyBorderFormats="0" applyFontFormats="0" applyPatternFormats="0" applyAlignmentFormats="0" applyWidthHeightFormats="0"/>
</file>

<file path=xl/queryTables/queryTable42.xml><?xml version="1.0" encoding="utf-8"?>
<queryTable xmlns="http://schemas.openxmlformats.org/spreadsheetml/2006/main" name="HAT_goalies" growShrinkType="overwriteClear" adjustColumnWidth="0" connectionId="10" autoFormatId="16" applyNumberFormats="0" applyBorderFormats="0" applyFontFormats="0" applyPatternFormats="0" applyAlignmentFormats="0" applyWidthHeightFormats="0"/>
</file>

<file path=xl/queryTables/queryTable43.xml><?xml version="1.0" encoding="utf-8"?>
<queryTable xmlns="http://schemas.openxmlformats.org/spreadsheetml/2006/main" name="HAT_players" growShrinkType="overwriteClear" adjustColumnWidth="0" connectionId="11" autoFormatId="16" applyNumberFormats="0" applyBorderFormats="0" applyFontFormats="0" applyPatternFormats="0" applyAlignmentFormats="0" applyWidthHeightFormats="0"/>
</file>

<file path=xl/queryTables/queryTable44.xml><?xml version="1.0" encoding="utf-8"?>
<queryTable xmlns="http://schemas.openxmlformats.org/spreadsheetml/2006/main" name="HAT_zapasy" growShrinkType="overwriteClear" adjustColumnWidth="0" connectionId="12" autoFormatId="16" applyNumberFormats="0" applyBorderFormats="0" applyFontFormats="0" applyPatternFormats="0" applyAlignmentFormats="0" applyWidthHeightFormats="0"/>
</file>

<file path=xl/queryTables/queryTable45.xml><?xml version="1.0" encoding="utf-8"?>
<queryTable xmlns="http://schemas.openxmlformats.org/spreadsheetml/2006/main" name="HAT_bestof" growShrinkType="overwriteClear" adjustColumnWidth="0" connectionId="9"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queryTable" Target="../queryTables/queryTable34.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7.xml"/><Relationship Id="rId1" Type="http://schemas.openxmlformats.org/officeDocument/2006/relationships/queryTable" Target="../queryTables/queryTable36.xml"/></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1.xml"/><Relationship Id="rId1" Type="http://schemas.openxmlformats.org/officeDocument/2006/relationships/queryTable" Target="../queryTables/queryTable40.xml"/></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queryTable" Target="../queryTables/queryTable42.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45.xml"/><Relationship Id="rId1" Type="http://schemas.openxmlformats.org/officeDocument/2006/relationships/queryTable" Target="../queryTables/queryTable4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election activeCell="D2" sqref="D2"/>
    </sheetView>
  </sheetViews>
  <sheetFormatPr defaultRowHeight="15" x14ac:dyDescent="0.25"/>
  <cols>
    <col min="1" max="1" width="23" style="169" bestFit="1" customWidth="1"/>
    <col min="2" max="16384" width="9.140625" style="122"/>
  </cols>
  <sheetData>
    <row r="1" spans="1:15" s="169" customFormat="1" x14ac:dyDescent="0.25">
      <c r="B1" s="162" t="s">
        <v>149</v>
      </c>
      <c r="C1" s="162" t="s">
        <v>143</v>
      </c>
      <c r="D1" s="162" t="s">
        <v>152</v>
      </c>
      <c r="E1" s="162" t="s">
        <v>151</v>
      </c>
      <c r="F1" s="162" t="s">
        <v>145</v>
      </c>
      <c r="G1" s="162" t="s">
        <v>144</v>
      </c>
      <c r="H1" s="162" t="s">
        <v>150</v>
      </c>
      <c r="I1" s="162" t="s">
        <v>146</v>
      </c>
      <c r="J1" s="162" t="s">
        <v>153</v>
      </c>
      <c r="K1" s="162" t="s">
        <v>147</v>
      </c>
      <c r="L1" s="162" t="s">
        <v>29</v>
      </c>
      <c r="M1" s="162" t="s">
        <v>148</v>
      </c>
      <c r="N1" s="162" t="s">
        <v>142</v>
      </c>
      <c r="O1" s="162" t="s">
        <v>141</v>
      </c>
    </row>
    <row r="2" spans="1:15" x14ac:dyDescent="0.25">
      <c r="A2" s="169" t="s">
        <v>463</v>
      </c>
      <c r="B2" s="122" t="str">
        <f ca="1">IFERROR(COUNTIF(INDIRECT(B$1 &amp; "!B2:B36"),"?*"),"")</f>
        <v/>
      </c>
      <c r="C2" s="122">
        <f t="shared" ref="C2:O2" ca="1" si="0">IFERROR(COUNTIF(INDIRECT(C$1 &amp; "!B2:B36"),"?*"),"")</f>
        <v>29</v>
      </c>
      <c r="D2" s="122">
        <f t="shared" ca="1" si="0"/>
        <v>35</v>
      </c>
      <c r="E2" s="122">
        <f t="shared" ca="1" si="0"/>
        <v>27</v>
      </c>
      <c r="F2" s="122">
        <f t="shared" ca="1" si="0"/>
        <v>29</v>
      </c>
      <c r="G2" s="122">
        <f t="shared" ca="1" si="0"/>
        <v>28</v>
      </c>
      <c r="H2" s="122">
        <f t="shared" ca="1" si="0"/>
        <v>28</v>
      </c>
      <c r="I2" s="122" t="str">
        <f t="shared" ca="1" si="0"/>
        <v/>
      </c>
      <c r="J2" s="122">
        <f t="shared" ca="1" si="0"/>
        <v>35</v>
      </c>
      <c r="K2" s="122" t="str">
        <f t="shared" ca="1" si="0"/>
        <v/>
      </c>
      <c r="L2" s="122">
        <f t="shared" ca="1" si="0"/>
        <v>31</v>
      </c>
      <c r="M2" s="122">
        <f t="shared" ca="1" si="0"/>
        <v>28</v>
      </c>
      <c r="N2" s="122">
        <f t="shared" ca="1" si="0"/>
        <v>30</v>
      </c>
      <c r="O2" s="122">
        <f t="shared" ca="1" si="0"/>
        <v>27</v>
      </c>
    </row>
    <row r="3" spans="1:15" x14ac:dyDescent="0.25">
      <c r="A3" s="169" t="s">
        <v>464</v>
      </c>
      <c r="B3" s="122" t="str">
        <f ca="1">IFERROR(COUNTIF(INDIRECT(B$1 &amp; "!P2:P36"),"NE"),"")</f>
        <v/>
      </c>
      <c r="C3" s="122">
        <f t="shared" ref="C3:O3" ca="1" si="1">IFERROR(COUNTIF(INDIRECT(C$1 &amp; "!P2:P36"),"NE"),"")</f>
        <v>0</v>
      </c>
      <c r="D3" s="122">
        <f t="shared" ca="1" si="1"/>
        <v>3</v>
      </c>
      <c r="E3" s="122">
        <f t="shared" ca="1" si="1"/>
        <v>0</v>
      </c>
      <c r="F3" s="122">
        <f t="shared" ca="1" si="1"/>
        <v>0</v>
      </c>
      <c r="G3" s="122">
        <f t="shared" ca="1" si="1"/>
        <v>0</v>
      </c>
      <c r="H3" s="122">
        <f t="shared" ca="1" si="1"/>
        <v>0</v>
      </c>
      <c r="I3" s="122" t="str">
        <f t="shared" ca="1" si="1"/>
        <v/>
      </c>
      <c r="J3" s="122">
        <f t="shared" ca="1" si="1"/>
        <v>0</v>
      </c>
      <c r="K3" s="122" t="str">
        <f t="shared" ca="1" si="1"/>
        <v/>
      </c>
      <c r="L3" s="122">
        <f t="shared" ca="1" si="1"/>
        <v>0</v>
      </c>
      <c r="M3" s="122">
        <f t="shared" ca="1" si="1"/>
        <v>0</v>
      </c>
      <c r="N3" s="122">
        <f t="shared" ca="1" si="1"/>
        <v>0</v>
      </c>
      <c r="O3" s="122">
        <f t="shared" ca="1" si="1"/>
        <v>0</v>
      </c>
    </row>
    <row r="4" spans="1:15" x14ac:dyDescent="0.25">
      <c r="A4" s="169" t="s">
        <v>465</v>
      </c>
      <c r="B4" s="122" t="str">
        <f ca="1">IFERROR(COUNTBLANK(OFFSET(INDIRECT(B$1 &amp; "!C48"),,,COUNTIF(INDIRECT(B$1 &amp; "!B48:B82"),"?*"))),"")</f>
        <v/>
      </c>
      <c r="C4" s="122">
        <f t="shared" ref="C4:O4" ca="1" si="2">IFERROR(COUNTBLANK(OFFSET(INDIRECT(C$1 &amp; "!C48"),,,COUNTIF(INDIRECT(C$1 &amp; "!B48:B82"),"?*"))),"")</f>
        <v>1</v>
      </c>
      <c r="D4" s="122">
        <f t="shared" ca="1" si="2"/>
        <v>6</v>
      </c>
      <c r="E4" s="122">
        <f t="shared" ca="1" si="2"/>
        <v>27</v>
      </c>
      <c r="F4" s="122">
        <f t="shared" ca="1" si="2"/>
        <v>5</v>
      </c>
      <c r="G4" s="122">
        <f t="shared" ca="1" si="2"/>
        <v>1</v>
      </c>
      <c r="H4" s="122">
        <f t="shared" ca="1" si="2"/>
        <v>0</v>
      </c>
      <c r="I4" s="122" t="str">
        <f t="shared" ca="1" si="2"/>
        <v/>
      </c>
      <c r="J4" s="122">
        <f t="shared" ca="1" si="2"/>
        <v>6</v>
      </c>
      <c r="K4" s="122" t="str">
        <f t="shared" ca="1" si="2"/>
        <v/>
      </c>
      <c r="L4" s="122">
        <f t="shared" ca="1" si="2"/>
        <v>2</v>
      </c>
      <c r="M4" s="122">
        <f t="shared" ca="1" si="2"/>
        <v>28</v>
      </c>
      <c r="N4" s="122">
        <f t="shared" ca="1" si="2"/>
        <v>30</v>
      </c>
      <c r="O4" s="122">
        <f t="shared" ca="1" si="2"/>
        <v>3</v>
      </c>
    </row>
    <row r="5" spans="1:15" x14ac:dyDescent="0.25">
      <c r="A5" s="169" t="s">
        <v>466</v>
      </c>
      <c r="B5" s="122" t="str">
        <f ca="1">IFERROR(COUNTBLANK(OFFSET(INDIRECT(B$1 &amp; "!E48"),,,COUNTIF(INDIRECT(B$1 &amp; "!B48:B82"),"?*"))),"")</f>
        <v/>
      </c>
      <c r="C5" s="122">
        <f t="shared" ref="C5:O5" ca="1" si="3">IFERROR(COUNTBLANK(OFFSET(INDIRECT(C$1 &amp; "!E48"),,,COUNTIF(INDIRECT(C$1 &amp; "!B48:B82"),"?*"))),"")</f>
        <v>1</v>
      </c>
      <c r="D5" s="122">
        <f t="shared" ca="1" si="3"/>
        <v>1</v>
      </c>
      <c r="E5" s="122">
        <f t="shared" ca="1" si="3"/>
        <v>27</v>
      </c>
      <c r="F5" s="122">
        <f t="shared" ca="1" si="3"/>
        <v>4</v>
      </c>
      <c r="G5" s="122">
        <f t="shared" ca="1" si="3"/>
        <v>0</v>
      </c>
      <c r="H5" s="122">
        <f t="shared" ca="1" si="3"/>
        <v>0</v>
      </c>
      <c r="I5" s="122" t="str">
        <f t="shared" ca="1" si="3"/>
        <v/>
      </c>
      <c r="J5" s="122">
        <f t="shared" ca="1" si="3"/>
        <v>6</v>
      </c>
      <c r="K5" s="122" t="str">
        <f t="shared" ca="1" si="3"/>
        <v/>
      </c>
      <c r="L5" s="122">
        <f t="shared" ca="1" si="3"/>
        <v>1</v>
      </c>
      <c r="M5" s="122">
        <f t="shared" ca="1" si="3"/>
        <v>28</v>
      </c>
      <c r="N5" s="122">
        <f t="shared" ca="1" si="3"/>
        <v>30</v>
      </c>
      <c r="O5" s="122">
        <f t="shared" ca="1" si="3"/>
        <v>3</v>
      </c>
    </row>
    <row r="6" spans="1:15" x14ac:dyDescent="0.25">
      <c r="A6" s="169" t="s">
        <v>467</v>
      </c>
      <c r="B6" s="122" t="str">
        <f ca="1">IFERROR(COUNTBLANK(OFFSET(INDIRECT(B$1 &amp; "!Q48"),,,COUNTIF(INDIRECT(B$1 &amp; "!B48:B82"),"?*"))),"")</f>
        <v/>
      </c>
      <c r="C6" s="122">
        <f t="shared" ref="C6:O6" ca="1" si="4">IFERROR(COUNTBLANK(OFFSET(INDIRECT(C$1 &amp; "!Q48"),,,COUNTIF(INDIRECT(C$1 &amp; "!B48:B82"),"?*"))),"")</f>
        <v>1</v>
      </c>
      <c r="D6" s="122">
        <f t="shared" ca="1" si="4"/>
        <v>0</v>
      </c>
      <c r="E6" s="122">
        <f t="shared" ca="1" si="4"/>
        <v>27</v>
      </c>
      <c r="F6" s="122">
        <f t="shared" ca="1" si="4"/>
        <v>6</v>
      </c>
      <c r="G6" s="122">
        <f t="shared" ca="1" si="4"/>
        <v>1</v>
      </c>
      <c r="H6" s="122">
        <f t="shared" ca="1" si="4"/>
        <v>0</v>
      </c>
      <c r="I6" s="122" t="str">
        <f t="shared" ca="1" si="4"/>
        <v/>
      </c>
      <c r="J6" s="122">
        <f t="shared" ca="1" si="4"/>
        <v>6</v>
      </c>
      <c r="K6" s="122" t="str">
        <f t="shared" ca="1" si="4"/>
        <v/>
      </c>
      <c r="L6" s="122">
        <f t="shared" ca="1" si="4"/>
        <v>4</v>
      </c>
      <c r="M6" s="122">
        <f t="shared" ca="1" si="4"/>
        <v>28</v>
      </c>
      <c r="N6" s="122">
        <f t="shared" ca="1" si="4"/>
        <v>30</v>
      </c>
      <c r="O6" s="122">
        <f t="shared" ca="1" si="4"/>
        <v>1</v>
      </c>
    </row>
    <row r="7" spans="1:15" x14ac:dyDescent="0.25">
      <c r="A7" s="169" t="s">
        <v>468</v>
      </c>
      <c r="B7" s="122" t="str">
        <f ca="1">IFERROR(COUNTIF(OFFSET(INDIRECT(B$1 &amp; "!V48"),,,COUNTIF(INDIRECT(B$1 &amp; "!B48:B82"),"?*")),"=2")/2,"")</f>
        <v/>
      </c>
      <c r="C7" s="122">
        <f t="shared" ref="C7:O7" ca="1" si="5">IFERROR(COUNTIF(OFFSET(INDIRECT(C$1 &amp; "!V48"),,,COUNTIF(INDIRECT(C$1 &amp; "!B48:B82"),"?*")),"=2")/2,"")</f>
        <v>1</v>
      </c>
      <c r="D7" s="122">
        <f t="shared" ca="1" si="5"/>
        <v>0</v>
      </c>
      <c r="E7" s="122">
        <f t="shared" ca="1" si="5"/>
        <v>2</v>
      </c>
      <c r="F7" s="122">
        <f t="shared" ca="1" si="5"/>
        <v>3</v>
      </c>
      <c r="G7" s="122">
        <f t="shared" ca="1" si="5"/>
        <v>0</v>
      </c>
      <c r="H7" s="122">
        <f t="shared" ca="1" si="5"/>
        <v>1</v>
      </c>
      <c r="I7" s="122" t="str">
        <f t="shared" ca="1" si="5"/>
        <v/>
      </c>
      <c r="J7" s="122">
        <f t="shared" ca="1" si="5"/>
        <v>0</v>
      </c>
      <c r="K7" s="122" t="str">
        <f t="shared" ca="1" si="5"/>
        <v/>
      </c>
      <c r="L7" s="122">
        <f t="shared" ca="1" si="5"/>
        <v>1</v>
      </c>
      <c r="M7" s="122">
        <f t="shared" ca="1" si="5"/>
        <v>1</v>
      </c>
      <c r="N7" s="122">
        <f t="shared" ca="1" si="5"/>
        <v>1</v>
      </c>
      <c r="O7" s="122">
        <f t="shared" ca="1" si="5"/>
        <v>0</v>
      </c>
    </row>
    <row r="8" spans="1:15" x14ac:dyDescent="0.25">
      <c r="A8" s="169" t="s">
        <v>469</v>
      </c>
      <c r="B8" s="122" t="str">
        <f ca="1">IFERROR(COUNTIF(OFFSET(INDIRECT(B$1 &amp; "!V48"),,,COUNTIF(INDIRECT(B$1 &amp; "!B48:B82"),"?*")),"=3")/3,"")</f>
        <v/>
      </c>
      <c r="C8" s="122">
        <f t="shared" ref="C8:O8" ca="1" si="6">IFERROR(COUNTIF(OFFSET(INDIRECT(C$1 &amp; "!V48"),,,COUNTIF(INDIRECT(C$1 &amp; "!B48:B82"),"?*")),"=3")/3,"")</f>
        <v>0</v>
      </c>
      <c r="D8" s="122">
        <f t="shared" ca="1" si="6"/>
        <v>0</v>
      </c>
      <c r="E8" s="122">
        <f t="shared" ca="1" si="6"/>
        <v>0</v>
      </c>
      <c r="F8" s="122">
        <f t="shared" ca="1" si="6"/>
        <v>0</v>
      </c>
      <c r="G8" s="122">
        <f t="shared" ca="1" si="6"/>
        <v>0</v>
      </c>
      <c r="H8" s="122">
        <f t="shared" ca="1" si="6"/>
        <v>0</v>
      </c>
      <c r="I8" s="122" t="str">
        <f t="shared" ca="1" si="6"/>
        <v/>
      </c>
      <c r="J8" s="122">
        <f t="shared" ca="1" si="6"/>
        <v>0</v>
      </c>
      <c r="K8" s="122" t="str">
        <f t="shared" ca="1" si="6"/>
        <v/>
      </c>
      <c r="L8" s="122">
        <f t="shared" ca="1" si="6"/>
        <v>0</v>
      </c>
      <c r="M8" s="122">
        <f t="shared" ca="1" si="6"/>
        <v>0</v>
      </c>
      <c r="N8" s="122">
        <f t="shared" ca="1" si="6"/>
        <v>0</v>
      </c>
      <c r="O8" s="122">
        <f t="shared" ca="1" si="6"/>
        <v>0</v>
      </c>
    </row>
    <row r="9" spans="1:15" x14ac:dyDescent="0.25">
      <c r="A9" s="169" t="s">
        <v>470</v>
      </c>
      <c r="B9" s="122" t="str">
        <f ca="1">IFERROR(COUNTIF(INDIRECT(B$1 &amp; "!B85:B92"),"?*"),"")</f>
        <v/>
      </c>
      <c r="C9" s="122">
        <f t="shared" ref="C9:O9" ca="1" si="7">IFERROR(COUNTIF(INDIRECT(C$1 &amp; "!B85:B92"),"?*"),"")</f>
        <v>5</v>
      </c>
      <c r="D9" s="122">
        <f t="shared" ca="1" si="7"/>
        <v>4</v>
      </c>
      <c r="E9" s="122">
        <f t="shared" ca="1" si="7"/>
        <v>0</v>
      </c>
      <c r="F9" s="122">
        <f t="shared" ca="1" si="7"/>
        <v>5</v>
      </c>
      <c r="G9" s="122">
        <f t="shared" ca="1" si="7"/>
        <v>5</v>
      </c>
      <c r="H9" s="122">
        <f t="shared" ca="1" si="7"/>
        <v>5</v>
      </c>
      <c r="I9" s="122" t="str">
        <f t="shared" ca="1" si="7"/>
        <v/>
      </c>
      <c r="J9" s="122">
        <f t="shared" ca="1" si="7"/>
        <v>3</v>
      </c>
      <c r="K9" s="122" t="str">
        <f t="shared" ca="1" si="7"/>
        <v/>
      </c>
      <c r="L9" s="122">
        <f t="shared" ca="1" si="7"/>
        <v>5</v>
      </c>
      <c r="M9" s="122">
        <f t="shared" ca="1" si="7"/>
        <v>0</v>
      </c>
      <c r="N9" s="122">
        <f t="shared" ca="1" si="7"/>
        <v>0</v>
      </c>
      <c r="O9" s="122">
        <f t="shared" ca="1" si="7"/>
        <v>5</v>
      </c>
    </row>
  </sheetData>
  <sheetProtection algorithmName="SHA-512" hashValue="UIxfX/3Fr0WvJs2xOvQMoZINvxTmRLojRgBcM1Pqbxe6RcDeWsHV9jElzMBljAjqoS5hxFplG7gP8C4fKjlj2g==" saltValue="ca7vEAkkIX8cuGSa+qIoiA=="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503" priority="12" operator="equal">
      <formula>0</formula>
    </cfRule>
    <cfRule type="cellIs" dxfId="502"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501" priority="8" operator="equal">
      <formula>0</formula>
    </cfRule>
    <cfRule type="cellIs" dxfId="500" priority="9" operator="greaterThan">
      <formula>0</formula>
    </cfRule>
  </conditionalFormatting>
  <conditionalFormatting sqref="B9:O9">
    <cfRule type="containsBlanks" priority="1" stopIfTrue="1">
      <formula>LEN(TRIM(B9))=0</formula>
    </cfRule>
    <cfRule type="cellIs" dxfId="499" priority="2" operator="greaterThan">
      <formula>0</formula>
    </cfRule>
    <cfRule type="cellIs" dxfId="498"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GP103"/>
  <sheetViews>
    <sheetView tabSelected="1" view="pageLayout" zoomScaleNormal="100" workbookViewId="0">
      <selection sqref="A1:D1"/>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98" ht="15.6" customHeight="1" thickTop="1" thickBot="1" x14ac:dyDescent="0.3">
      <c r="A1" s="286" t="s">
        <v>280</v>
      </c>
      <c r="B1" s="287"/>
      <c r="C1" s="287"/>
      <c r="D1" s="287"/>
      <c r="E1" s="32" t="str">
        <f>IFERROR(IF(VLOOKUP(A1,SKV!$B$48:$AA$82,10,FALSE)=0,"",VLOOKUP(A1,SKV!$B$48:$AA$82,10,FALSE)),"")</f>
        <v/>
      </c>
      <c r="F1" s="52">
        <f>IFERROR(VLOOKUP(A1,SKV!$B$48:$AA$82,9,FALSE),"")</f>
        <v>89</v>
      </c>
      <c r="G1" s="33"/>
      <c r="H1" s="302" t="s">
        <v>154</v>
      </c>
      <c r="I1" s="302"/>
      <c r="J1" s="302"/>
      <c r="K1" s="302"/>
      <c r="L1" s="33"/>
      <c r="M1" s="286" t="s">
        <v>12</v>
      </c>
      <c r="N1" s="287"/>
      <c r="O1" s="287"/>
      <c r="P1" s="287"/>
      <c r="Q1" s="32" t="str">
        <f>IFERROR(IF(VLOOKUP(M1,SKV!$B$48:$AA$82,10,FALSE)=0,"",VLOOKUP(M1,SKV!$B$48:$AA$82,10,FALSE)),"")</f>
        <v/>
      </c>
      <c r="R1" s="52">
        <f>IFERROR(VLOOKUP(M1,SKV!$B$48:$AA$82,9,FALSE),"")</f>
        <v>23</v>
      </c>
      <c r="S1" s="286" t="s">
        <v>161</v>
      </c>
      <c r="T1" s="287"/>
      <c r="U1" s="287"/>
      <c r="V1" s="287"/>
      <c r="W1" s="32" t="str">
        <f>IFERROR(IF(VLOOKUP(S1,CHO!$B$48:$AA$82,10,FALSE)=0,"",VLOOKUP(S1,CHO!$B$48:$AA$82,10,FALSE)),"")</f>
        <v/>
      </c>
      <c r="X1" s="52">
        <f>IFERROR(VLOOKUP(S1,CHO!$B$48:$AA$82,9,FALSE),"")</f>
        <v>25</v>
      </c>
      <c r="Y1" s="33"/>
      <c r="Z1" s="302" t="s">
        <v>154</v>
      </c>
      <c r="AA1" s="302"/>
      <c r="AB1" s="302"/>
      <c r="AC1" s="302"/>
      <c r="AD1" s="33"/>
      <c r="AE1" s="286" t="s">
        <v>160</v>
      </c>
      <c r="AF1" s="287"/>
      <c r="AG1" s="287"/>
      <c r="AH1" s="287"/>
      <c r="AI1" s="32" t="str">
        <f>IFERROR(IF(VLOOKUP(AE1,CHO!$B$48:$AA$82,10,FALSE)=0,"",VLOOKUP(AE1,CHO!$B$48:$AA$82,10,FALSE)),"")</f>
        <v/>
      </c>
      <c r="AJ1" s="52">
        <f>IFERROR(VLOOKUP(AE1,CHO!$B$48:$AA$82,9,FALSE),"")</f>
        <v>21</v>
      </c>
      <c r="AK1" s="286" t="s">
        <v>250</v>
      </c>
      <c r="AL1" s="287"/>
      <c r="AM1" s="287"/>
      <c r="AN1" s="287"/>
      <c r="AO1" s="32" t="str">
        <f>IFERROR(IF(VLOOKUP(AK1,VIT!$B$48:$R$82,10,FALSE)=0,"",VLOOKUP(AK1,VIT!$B$48:$R$82,10,FALSE)),"")</f>
        <v/>
      </c>
      <c r="AP1" s="52">
        <f>IFERROR(VLOOKUP(AK1,VIT!$B$48:$R$82,9,FALSE),"")</f>
        <v>13</v>
      </c>
      <c r="AQ1" s="33"/>
      <c r="AR1" s="302" t="s">
        <v>154</v>
      </c>
      <c r="AS1" s="302"/>
      <c r="AT1" s="302"/>
      <c r="AU1" s="302"/>
      <c r="AV1" s="33"/>
      <c r="AW1" s="286" t="s">
        <v>249</v>
      </c>
      <c r="AX1" s="287"/>
      <c r="AY1" s="287"/>
      <c r="AZ1" s="287"/>
      <c r="BA1" s="32" t="str">
        <f>IFERROR(IF(VLOOKUP(AW1,VIT!$B$48:$R$82,10,FALSE)=0,"",VLOOKUP(AW1,VIT!$B$48:$R$82,10,FALSE)),"")</f>
        <v/>
      </c>
      <c r="BB1" s="52">
        <f>IFERROR(VLOOKUP(AW1,VIT!$B$48:$R$82,9,FALSE),"")</f>
        <v>72</v>
      </c>
      <c r="BC1" s="286" t="s">
        <v>291</v>
      </c>
      <c r="BD1" s="287"/>
      <c r="BE1" s="287"/>
      <c r="BF1" s="287"/>
      <c r="BG1" s="32" t="str">
        <f>IFERROR(IF(VLOOKUP(AW1,MB!$B$48:$R$82,10,FALSE)=0,"",VLOOKUP(AW1,MB!$B$48:$R$82,10,FALSE)),"")</f>
        <v/>
      </c>
      <c r="BH1" s="52">
        <f>IFERROR(VLOOKUP(BC1,MB!$B$48:$R$82,9,FALSE),"")</f>
        <v>88</v>
      </c>
      <c r="BI1" s="33"/>
      <c r="BJ1" s="302" t="s">
        <v>154</v>
      </c>
      <c r="BK1" s="302"/>
      <c r="BL1" s="302"/>
      <c r="BM1" s="302"/>
      <c r="BN1" s="33"/>
      <c r="BO1" s="286" t="s">
        <v>292</v>
      </c>
      <c r="BP1" s="287"/>
      <c r="BQ1" s="287"/>
      <c r="BR1" s="287"/>
      <c r="BS1" s="32" t="str">
        <f>IFERROR(IF(VLOOKUP(BO1,MB!$B$48:$R$82,10,FALSE)=0,"",VLOOKUP(BO1,MB!$B$48:$R$82,10,FALSE)),"")</f>
        <v/>
      </c>
      <c r="BT1" s="52">
        <f>IFERROR(VLOOKUP(BO1,MB!$B$48:$R$82,9,FALSE),"")</f>
        <v>17</v>
      </c>
      <c r="BU1" s="286"/>
      <c r="BV1" s="287"/>
      <c r="BW1" s="287"/>
      <c r="BX1" s="287"/>
      <c r="BY1" s="32" t="str">
        <f>IFERROR(IF(VLOOKUP(BO1,TAT!$B$48:$R$82,10,FALSE)=0,"",VLOOKUP(BO1,TAT!$B$48:$R$82,10,FALSE)),"")</f>
        <v/>
      </c>
      <c r="BZ1" s="52" t="str">
        <f>IFERROR(VLOOKUP(BU1,TAT!$B$48:$R$82,9,FALSE),"")</f>
        <v/>
      </c>
      <c r="CA1" s="33"/>
      <c r="CB1" s="302" t="s">
        <v>154</v>
      </c>
      <c r="CC1" s="302"/>
      <c r="CD1" s="302"/>
      <c r="CE1" s="302"/>
      <c r="CF1" s="33"/>
      <c r="CG1" s="286"/>
      <c r="CH1" s="287"/>
      <c r="CI1" s="287"/>
      <c r="CJ1" s="287"/>
      <c r="CK1" s="32" t="str">
        <f>IFERROR(IF(VLOOKUP(CG1,TAT!$B$48:$R$82,10,FALSE)=0,"",VLOOKUP(CG1,TAT!$B$48:$R$82,10,FALSE)),"")</f>
        <v/>
      </c>
      <c r="CL1" s="52" t="str">
        <f>IFERROR(VLOOKUP(CG1,TAT!$B$48:$R$82,9,FALSE),"")</f>
        <v/>
      </c>
      <c r="CM1" s="286" t="s">
        <v>405</v>
      </c>
      <c r="CN1" s="287"/>
      <c r="CO1" s="287"/>
      <c r="CP1" s="287"/>
      <c r="CQ1" s="32" t="str">
        <f>IFERROR(IF(VLOOKUP(CG1,OTR!$B$48:$R$82,10,FALSE)=0,"",VLOOKUP(CG1,OTR!$B$48:$R$82,10,FALSE)),"")</f>
        <v/>
      </c>
      <c r="CR1" s="52">
        <f>IFERROR(VLOOKUP(CM1,OTR!$B$48:$R$82,9,FALSE),"")</f>
        <v>70</v>
      </c>
      <c r="CS1" s="33"/>
      <c r="CT1" s="302" t="s">
        <v>154</v>
      </c>
      <c r="CU1" s="302"/>
      <c r="CV1" s="302"/>
      <c r="CW1" s="302"/>
      <c r="CX1" s="33"/>
      <c r="CY1" s="286" t="s">
        <v>411</v>
      </c>
      <c r="CZ1" s="287"/>
      <c r="DA1" s="287"/>
      <c r="DB1" s="287"/>
      <c r="DC1" s="32" t="str">
        <f>IFERROR(IF(VLOOKUP(CY1,OTR!$B$48:$R$82,10,FALSE)=0,"",VLOOKUP(CY1,OTR!$B$48:$R$82,10,FALSE)),"")</f>
        <v/>
      </c>
      <c r="DD1" s="52">
        <f>IFERROR(VLOOKUP(CY1,OTR!$B$48:$R$82,9,FALSE),"")</f>
        <v>91</v>
      </c>
      <c r="DE1" s="286" t="s">
        <v>480</v>
      </c>
      <c r="DF1" s="287"/>
      <c r="DG1" s="287"/>
      <c r="DH1" s="287"/>
      <c r="DI1" s="32" t="str">
        <f>IFERROR(IF(VLOOKUP(CY1,BOH!$B$48:$R$82,10,FALSE)=0,"",VLOOKUP(CY1,BOH!$B$48:$R$82,10,FALSE)),"")</f>
        <v/>
      </c>
      <c r="DJ1" s="52">
        <f>IFERROR(VLOOKUP(DE1,BOH!$B$48:$R$82,9,FALSE),"")</f>
        <v>21</v>
      </c>
      <c r="DK1" s="33"/>
      <c r="DL1" s="302" t="s">
        <v>154</v>
      </c>
      <c r="DM1" s="302"/>
      <c r="DN1" s="302"/>
      <c r="DO1" s="302"/>
      <c r="DP1" s="33"/>
      <c r="DQ1" s="286" t="s">
        <v>476</v>
      </c>
      <c r="DR1" s="287"/>
      <c r="DS1" s="287"/>
      <c r="DT1" s="287"/>
      <c r="DU1" s="32" t="str">
        <f>IFERROR(IF(VLOOKUP(DQ1,BOH!$B$48:$R$82,10,FALSE)=0,"",VLOOKUP(DQ1,BOH!$B$48:$R$82,10,FALSE)),"")</f>
        <v/>
      </c>
      <c r="DV1" s="52">
        <f>IFERROR(VLOOKUP(DQ1,BOH!$B$48:$R$82,9,FALSE),"")</f>
        <v>38</v>
      </c>
      <c r="DW1" s="286"/>
      <c r="DX1" s="287"/>
      <c r="DY1" s="287"/>
      <c r="DZ1" s="287"/>
      <c r="EA1" s="32" t="str">
        <f>IFERROR(IF(VLOOKUP(DQ1,SPA!$B$48:$R$82,10,FALSE)=0,"",VLOOKUP(DQ1,SPA!$B$48:$R$82,10,FALSE)),"")</f>
        <v/>
      </c>
      <c r="EB1" s="52" t="str">
        <f>IFERROR(VLOOKUP(DW1,SPA!$B$48:$R$82,9,FALSE),"")</f>
        <v/>
      </c>
      <c r="EC1" s="33"/>
      <c r="ED1" s="302" t="s">
        <v>154</v>
      </c>
      <c r="EE1" s="302"/>
      <c r="EF1" s="302"/>
      <c r="EG1" s="302"/>
      <c r="EH1" s="33"/>
      <c r="EI1" s="286"/>
      <c r="EJ1" s="287"/>
      <c r="EK1" s="287"/>
      <c r="EL1" s="287"/>
      <c r="EM1" s="32" t="str">
        <f>IFERROR(IF(VLOOKUP(EI1,SPA!$B$48:$R$82,10,FALSE)=0,"",VLOOKUP(EI1,SPA!$B$48:$R$82,10,FALSE)),"")</f>
        <v/>
      </c>
      <c r="EN1" s="52" t="str">
        <f>IFERROR(VLOOKUP(EI1,SPA!$B$48:$R$82,9,FALSE),"")</f>
        <v/>
      </c>
      <c r="EO1" s="286"/>
      <c r="EP1" s="287"/>
      <c r="EQ1" s="287"/>
      <c r="ER1" s="287"/>
      <c r="ES1" s="32" t="str">
        <f>IFERROR(IF(VLOOKUP(EI1,CLP!$B$48:$R$82,10,FALSE)=0,"",VLOOKUP(EI1,CLP!$B$48:$R$82,10,FALSE)),"")</f>
        <v/>
      </c>
      <c r="ET1" s="52" t="str">
        <f>IFERROR(VLOOKUP(EO1,CLP!$B$48:$R$82,9,FALSE),"")</f>
        <v/>
      </c>
      <c r="EU1" s="33"/>
      <c r="EV1" s="302" t="s">
        <v>154</v>
      </c>
      <c r="EW1" s="302"/>
      <c r="EX1" s="302"/>
      <c r="EY1" s="302"/>
      <c r="EZ1" s="33"/>
      <c r="FA1" s="286"/>
      <c r="FB1" s="287"/>
      <c r="FC1" s="287"/>
      <c r="FD1" s="287"/>
      <c r="FE1" s="32" t="str">
        <f>IFERROR(IF(VLOOKUP(FA1,CLP!$B$48:$R$82,10,FALSE)=0,"",VLOOKUP(FA1,CLP!$B$48:$R$82,10,FALSE)),"")</f>
        <v/>
      </c>
      <c r="FF1" s="52" t="str">
        <f>IFERROR(VLOOKUP(FA1,CLP!$B$48:$R$82,9,FALSE),"")</f>
        <v/>
      </c>
      <c r="FG1" s="286" t="s">
        <v>759</v>
      </c>
      <c r="FH1" s="287"/>
      <c r="FI1" s="287"/>
      <c r="FJ1" s="287"/>
      <c r="FK1" s="32" t="str">
        <f>IFERROR(IF(VLOOKUP(FA1,LIB!$B$48:$R$82,10,FALSE)=0,"",VLOOKUP(FA1,LIB!$B$48:$R$82,10,FALSE)),"")</f>
        <v/>
      </c>
      <c r="FL1" s="52">
        <f>IFERROR(VLOOKUP(FG1,LIB!$B$48:$R$82,9,FALSE),"")</f>
        <v>61</v>
      </c>
      <c r="FM1" s="33"/>
      <c r="FN1" s="302" t="s">
        <v>154</v>
      </c>
      <c r="FO1" s="302"/>
      <c r="FP1" s="302"/>
      <c r="FQ1" s="302"/>
      <c r="FR1" s="33"/>
      <c r="FS1" s="286" t="s">
        <v>760</v>
      </c>
      <c r="FT1" s="287"/>
      <c r="FU1" s="287"/>
      <c r="FV1" s="287"/>
      <c r="FW1" s="32" t="str">
        <f>IFERROR(IF(VLOOKUP(FS1,LIB!$B$48:$R$82,10,FALSE)=0,"",VLOOKUP(FS1,LIB!$B$48:$R$82,10,FALSE)),"")</f>
        <v/>
      </c>
      <c r="FX1" s="52">
        <f>IFERROR(VLOOKUP(FS1,LIB!$B$48:$R$82,9,FALSE),"")</f>
        <v>48</v>
      </c>
      <c r="FY1" s="286"/>
      <c r="FZ1" s="287"/>
      <c r="GA1" s="287"/>
      <c r="GB1" s="287"/>
      <c r="GC1" s="32" t="str">
        <f>IFERROR(IF(VLOOKUP(FS1,HAT!$B$48:$R$82,10,FALSE)=0,"",VLOOKUP(FS1,HAT!$B$48:$R$82,10,FALSE)),"")</f>
        <v/>
      </c>
      <c r="GD1" s="52" t="str">
        <f>IFERROR(VLOOKUP(FY1,HAT!$B$48:$R$82,9,FALSE),"")</f>
        <v/>
      </c>
      <c r="GE1" s="33"/>
      <c r="GF1" s="302" t="s">
        <v>154</v>
      </c>
      <c r="GG1" s="302"/>
      <c r="GH1" s="302"/>
      <c r="GI1" s="302"/>
      <c r="GJ1" s="33"/>
      <c r="GK1" s="286"/>
      <c r="GL1" s="287"/>
      <c r="GM1" s="287"/>
      <c r="GN1" s="287"/>
      <c r="GO1" s="32" t="str">
        <f>IFERROR(IF(VLOOKUP(GK1,HAT!$B$48:$R$82,10,FALSE)=0,"",VLOOKUP(GK1,HAT!$B$48:$R$82,10,FALSE)),"")</f>
        <v/>
      </c>
      <c r="GP1" s="52" t="str">
        <f>IFERROR(VLOOKUP(GK1,HAT!$B$48:$R$82,9,FALSE),"")</f>
        <v/>
      </c>
    </row>
    <row r="2" spans="1:198" ht="15.6" customHeight="1" thickBot="1" x14ac:dyDescent="0.3">
      <c r="A2" s="34" t="str">
        <f>IFERROR(VLOOKUP(A1,SKV!$B$48:$AA$82,11,FALSE),"")</f>
        <v>L</v>
      </c>
      <c r="B2" s="289">
        <f>IFERROR(YEAR(VLOOKUP(A1,SKV!$B$48:$AA$82,2,FALSE)),"")</f>
        <v>2003</v>
      </c>
      <c r="C2" s="260"/>
      <c r="D2" s="35">
        <f ca="1">IFERROR(VLOOKUP(A1,SKV!$B$48:$AA$82,3,FALSE),"")</f>
        <v>17</v>
      </c>
      <c r="E2" s="290" t="str">
        <f>IFERROR(VLOOKUP(A1,SKV!$B$48:$AA$82,15,FALSE),"")</f>
        <v>185/71</v>
      </c>
      <c r="F2" s="291"/>
      <c r="G2" s="33"/>
      <c r="H2" s="33"/>
      <c r="I2" s="33"/>
      <c r="J2" s="33"/>
      <c r="K2" s="33"/>
      <c r="L2" s="33"/>
      <c r="M2" s="34" t="str">
        <f>IFERROR(VLOOKUP(M1,SKV!$B$48:$AA$82,11,FALSE),"")</f>
        <v>L</v>
      </c>
      <c r="N2" s="289">
        <f>IFERROR(YEAR(VLOOKUP(M1,SKV!$B$48:$AA$82,2,FALSE)),"")</f>
        <v>1992</v>
      </c>
      <c r="O2" s="260"/>
      <c r="P2" s="35">
        <f ca="1">IFERROR(VLOOKUP(M1,SKV!$B$48:$AA$82,3,FALSE),"")</f>
        <v>28</v>
      </c>
      <c r="Q2" s="290" t="str">
        <f>IFERROR(VLOOKUP(M1,SKV!$B$48:$AA$82,15,FALSE),"")</f>
        <v>181/78</v>
      </c>
      <c r="R2" s="291"/>
      <c r="S2" s="34" t="str">
        <f>IFERROR(VLOOKUP(S1,CHO!$B$48:$AA$82,11,FALSE),"")</f>
        <v>P</v>
      </c>
      <c r="T2" s="289">
        <f>IFERROR(YEAR(VLOOKUP(S1,CHO!$B$48:$AA$82,2,FALSE)),"")</f>
        <v>1992</v>
      </c>
      <c r="U2" s="260"/>
      <c r="V2" s="35">
        <f ca="1">IFERROR(VLOOKUP(S1,CHO!$B$48:$AA$82,3,FALSE),"")</f>
        <v>28</v>
      </c>
      <c r="W2" s="290" t="str">
        <f>IFERROR(VLOOKUP(S1,CHO!$B$48:$AA$82,15,FALSE),"")</f>
        <v>186/82</v>
      </c>
      <c r="X2" s="291"/>
      <c r="Y2" s="33"/>
      <c r="Z2" s="33"/>
      <c r="AA2" s="33"/>
      <c r="AB2" s="33"/>
      <c r="AC2" s="33"/>
      <c r="AD2" s="33"/>
      <c r="AE2" s="34" t="str">
        <f>IFERROR(VLOOKUP(AE1,CHO!$B$48:$AA$82,11,FALSE),"")</f>
        <v>L</v>
      </c>
      <c r="AF2" s="289">
        <f>IFERROR(YEAR(VLOOKUP(AE1,CHO!$B$48:$AA$82,2,FALSE)),"")</f>
        <v>1993</v>
      </c>
      <c r="AG2" s="260"/>
      <c r="AH2" s="35">
        <f ca="1">IFERROR(VLOOKUP(AE1,CHO!$B$48:$AA$82,3,FALSE),"")</f>
        <v>27</v>
      </c>
      <c r="AI2" s="290" t="str">
        <f>IFERROR(VLOOKUP(AE1,CHO!$B$48:$AA$82,15,FALSE),"")</f>
        <v>178/72</v>
      </c>
      <c r="AJ2" s="291"/>
      <c r="AK2" s="34" t="str">
        <f>IFERROR(VLOOKUP(AK1,VIT!$B$48:$R$82,11,FALSE),"")</f>
        <v>P</v>
      </c>
      <c r="AL2" s="289">
        <f>IFERROR(YEAR(VLOOKUP(AK1,VIT!$B$48:$R$82,2,FALSE)),"")</f>
        <v>2001</v>
      </c>
      <c r="AM2" s="260"/>
      <c r="AN2" s="106">
        <f ca="1">IFERROR(VLOOKUP(AK1,VIT!$B$48:$R$82,3,FALSE),"")</f>
        <v>20</v>
      </c>
      <c r="AO2" s="290" t="str">
        <f>IFERROR(VLOOKUP(AK1,VIT!$B$48:$R$82,15,FALSE),"")</f>
        <v>171/70</v>
      </c>
      <c r="AP2" s="291"/>
      <c r="AQ2" s="33"/>
      <c r="AR2" s="33"/>
      <c r="AS2" s="33"/>
      <c r="AT2" s="33"/>
      <c r="AU2" s="33"/>
      <c r="AV2" s="33"/>
      <c r="AW2" s="34" t="str">
        <f>IFERROR(VLOOKUP(AW1,VIT!$B$48:$R$82,11,FALSE),"")</f>
        <v>L</v>
      </c>
      <c r="AX2" s="289">
        <f>IFERROR(YEAR(VLOOKUP(AW1,VIT!$B$48:$R$82,2,FALSE)),"")</f>
        <v>1996</v>
      </c>
      <c r="AY2" s="260"/>
      <c r="AZ2" s="106">
        <f ca="1">IFERROR(VLOOKUP(AW1,VIT!$B$48:$R$82,3,FALSE),"")</f>
        <v>24</v>
      </c>
      <c r="BA2" s="290" t="str">
        <f>IFERROR(VLOOKUP(AW1,VIT!$B$48:$R$82,15,FALSE),"")</f>
        <v>183/75</v>
      </c>
      <c r="BB2" s="291"/>
      <c r="BC2" s="34" t="str">
        <f>IFERROR(VLOOKUP(BC1,MB!$B$48:$R$82,11,FALSE),"")</f>
        <v>P</v>
      </c>
      <c r="BD2" s="289">
        <f>IFERROR(YEAR(VLOOKUP(BC1,MB!$B$48:$R$82,2,FALSE)),"")</f>
        <v>1992</v>
      </c>
      <c r="BE2" s="260"/>
      <c r="BF2" s="108">
        <f ca="1">IFERROR(VLOOKUP(BC1,MB!$B$48:$R$82,3,FALSE),"")</f>
        <v>28</v>
      </c>
      <c r="BG2" s="290" t="str">
        <f>IFERROR(VLOOKUP(BC1,MB!$B$48:$R$82,15,FALSE),"")</f>
        <v>181/76</v>
      </c>
      <c r="BH2" s="291"/>
      <c r="BI2" s="33"/>
      <c r="BJ2" s="33"/>
      <c r="BK2" s="33"/>
      <c r="BL2" s="33"/>
      <c r="BM2" s="33"/>
      <c r="BN2" s="33"/>
      <c r="BO2" s="34" t="str">
        <f>IFERROR(VLOOKUP(BO1,MB!$B$48:$R$82,11,FALSE),"")</f>
        <v>L</v>
      </c>
      <c r="BP2" s="289">
        <f>IFERROR(YEAR(VLOOKUP(BO1,MB!$B$48:$R$82,2,FALSE)),"")</f>
        <v>1998</v>
      </c>
      <c r="BQ2" s="260"/>
      <c r="BR2" s="108">
        <f ca="1">IFERROR(VLOOKUP(BO1,MB!$B$48:$R$82,3,FALSE),"")</f>
        <v>22</v>
      </c>
      <c r="BS2" s="290" t="str">
        <f>IFERROR(VLOOKUP(BO1,MB!$B$48:$R$82,15,FALSE),"")</f>
        <v>181/62</v>
      </c>
      <c r="BT2" s="291"/>
      <c r="BU2" s="34" t="str">
        <f>IFERROR(VLOOKUP(BU1,TAT!$B$48:$R$82,11,FALSE),"")</f>
        <v/>
      </c>
      <c r="BV2" s="289" t="str">
        <f>IFERROR(YEAR(VLOOKUP(BU1,TAT!$B$48:$R$82,2,FALSE)),"")</f>
        <v/>
      </c>
      <c r="BW2" s="260"/>
      <c r="BX2" s="150" t="str">
        <f>IFERROR(VLOOKUP(BU1,TAT!$B$48:$R$82,3,FALSE),"")</f>
        <v/>
      </c>
      <c r="BY2" s="290" t="str">
        <f>IFERROR(VLOOKUP(BU1,TAT!$B$48:$R$82,15,FALSE),"")</f>
        <v/>
      </c>
      <c r="BZ2" s="291"/>
      <c r="CA2" s="33"/>
      <c r="CB2" s="33"/>
      <c r="CC2" s="33"/>
      <c r="CD2" s="33"/>
      <c r="CE2" s="33"/>
      <c r="CF2" s="33"/>
      <c r="CG2" s="34" t="str">
        <f>IFERROR(VLOOKUP(CG1,TAT!$B$48:$R$82,11,FALSE),"")</f>
        <v/>
      </c>
      <c r="CH2" s="289" t="str">
        <f>IFERROR(YEAR(VLOOKUP(CG1,TAT!$B$48:$R$82,2,FALSE)),"")</f>
        <v/>
      </c>
      <c r="CI2" s="260"/>
      <c r="CJ2" s="150" t="str">
        <f>IFERROR(VLOOKUP(CG1,TAT!$B$48:$R$82,3,FALSE),"")</f>
        <v/>
      </c>
      <c r="CK2" s="290" t="str">
        <f>IFERROR(VLOOKUP(CG1,TAT!$B$48:$R$82,15,FALSE),"")</f>
        <v/>
      </c>
      <c r="CL2" s="291"/>
      <c r="CM2" s="34" t="str">
        <f>IFERROR(VLOOKUP(CM1,OTR!$B$48:$R$82,11,FALSE),"")</f>
        <v>L</v>
      </c>
      <c r="CN2" s="289">
        <f>IFERROR(YEAR(VLOOKUP(CM1,OTR!$B$48:$R$82,2,FALSE)),"")</f>
        <v>1998</v>
      </c>
      <c r="CO2" s="260"/>
      <c r="CP2" s="150">
        <f ca="1">IFERROR(VLOOKUP(CM1,OTR!$B$48:$R$82,3,FALSE),"")</f>
        <v>22</v>
      </c>
      <c r="CQ2" s="290" t="str">
        <f>IFERROR(VLOOKUP(CM1,OTR!$B$48:$R$82,15,FALSE),"")</f>
        <v>185/75</v>
      </c>
      <c r="CR2" s="291"/>
      <c r="CS2" s="33"/>
      <c r="CT2" s="33"/>
      <c r="CU2" s="33"/>
      <c r="CV2" s="33"/>
      <c r="CW2" s="33"/>
      <c r="CX2" s="33"/>
      <c r="CY2" s="34" t="str">
        <f>IFERROR(VLOOKUP(CY1,OTR!$B$48:$R$82,11,FALSE),"")</f>
        <v>L</v>
      </c>
      <c r="CZ2" s="289">
        <f>IFERROR(YEAR(VLOOKUP(CY1,OTR!$B$48:$R$82,2,FALSE)),"")</f>
        <v>1984</v>
      </c>
      <c r="DA2" s="260"/>
      <c r="DB2" s="150">
        <f ca="1">IFERROR(VLOOKUP(CY1,OTR!$B$48:$R$82,3,FALSE),"")</f>
        <v>36</v>
      </c>
      <c r="DC2" s="290" t="str">
        <f>IFERROR(VLOOKUP(CY1,OTR!$B$48:$R$82,15,FALSE),"")</f>
        <v>192/81</v>
      </c>
      <c r="DD2" s="291"/>
      <c r="DE2" s="34" t="str">
        <f>IFERROR(VLOOKUP(DE1,BOH!$B$48:$R$82,11,FALSE),"")</f>
        <v>L</v>
      </c>
      <c r="DF2" s="289">
        <f>IFERROR(YEAR(VLOOKUP(DE1,BOH!$B$48:$R$82,2,FALSE)),"")</f>
        <v>2001</v>
      </c>
      <c r="DG2" s="260"/>
      <c r="DH2" s="165">
        <f ca="1">IFERROR(VLOOKUP(DE1,BOH!$B$48:$R$82,3,FALSE),"")</f>
        <v>19</v>
      </c>
      <c r="DI2" s="290" t="str">
        <f>IFERROR(VLOOKUP(DE1,BOH!$B$48:$R$82,15,FALSE),"")</f>
        <v>183/67</v>
      </c>
      <c r="DJ2" s="291"/>
      <c r="DK2" s="33"/>
      <c r="DL2" s="33"/>
      <c r="DM2" s="33"/>
      <c r="DN2" s="33"/>
      <c r="DO2" s="33"/>
      <c r="DP2" s="33"/>
      <c r="DQ2" s="34" t="str">
        <f>IFERROR(VLOOKUP(DQ1,BOH!$B$48:$R$82,11,FALSE),"")</f>
        <v>L</v>
      </c>
      <c r="DR2" s="289">
        <f>IFERROR(YEAR(VLOOKUP(DQ1,BOH!$B$48:$R$82,2,FALSE)),"")</f>
        <v>2003</v>
      </c>
      <c r="DS2" s="260"/>
      <c r="DT2" s="165">
        <f ca="1">IFERROR(VLOOKUP(DQ1,BOH!$B$48:$R$82,3,FALSE),"")</f>
        <v>18</v>
      </c>
      <c r="DU2" s="290" t="str">
        <f>IFERROR(VLOOKUP(DQ1,BOH!$B$48:$R$82,15,FALSE),"")</f>
        <v>175/65</v>
      </c>
      <c r="DV2" s="291"/>
      <c r="DW2" s="34" t="str">
        <f>IFERROR(VLOOKUP(DW1,SPA!$B$48:$R$82,11,FALSE),"")</f>
        <v/>
      </c>
      <c r="DX2" s="289" t="str">
        <f>IFERROR(YEAR(VLOOKUP(DW1,SPA!$B$48:$R$82,2,FALSE)),"")</f>
        <v/>
      </c>
      <c r="DY2" s="260"/>
      <c r="DZ2" s="165" t="str">
        <f>IFERROR(VLOOKUP(DW1,SPA!$B$48:$R$82,3,FALSE),"")</f>
        <v/>
      </c>
      <c r="EA2" s="290" t="str">
        <f>IFERROR(VLOOKUP(DW1,SPA!$B$48:$R$82,15,FALSE),"")</f>
        <v/>
      </c>
      <c r="EB2" s="291"/>
      <c r="EC2" s="33"/>
      <c r="ED2" s="33"/>
      <c r="EE2" s="33"/>
      <c r="EF2" s="33"/>
      <c r="EG2" s="33"/>
      <c r="EH2" s="33"/>
      <c r="EI2" s="34" t="str">
        <f>IFERROR(VLOOKUP(EI1,SPA!$B$48:$R$82,11,FALSE),"")</f>
        <v/>
      </c>
      <c r="EJ2" s="289" t="str">
        <f>IFERROR(YEAR(VLOOKUP(EI1,SPA!$B$48:$R$82,2,FALSE)),"")</f>
        <v/>
      </c>
      <c r="EK2" s="260"/>
      <c r="EL2" s="165" t="str">
        <f>IFERROR(VLOOKUP(EI1,SPA!$B$48:$R$82,3,FALSE),"")</f>
        <v/>
      </c>
      <c r="EM2" s="290" t="str">
        <f>IFERROR(VLOOKUP(EI1,SPA!$B$48:$R$82,15,FALSE),"")</f>
        <v/>
      </c>
      <c r="EN2" s="291"/>
      <c r="EO2" s="34" t="str">
        <f>IFERROR(VLOOKUP(EO1,CLP!$B$48:$R$82,11,FALSE),"")</f>
        <v/>
      </c>
      <c r="EP2" s="289" t="str">
        <f>IFERROR(YEAR(VLOOKUP(EO1,CLP!$B$48:$R$82,2,FALSE)),"")</f>
        <v/>
      </c>
      <c r="EQ2" s="260"/>
      <c r="ER2" s="204" t="str">
        <f>IFERROR(VLOOKUP(EO1,CLP!$B$48:$R$82,3,FALSE),"")</f>
        <v/>
      </c>
      <c r="ES2" s="290" t="str">
        <f>IFERROR(VLOOKUP(EO1,CLP!$B$48:$R$82,15,FALSE),"")</f>
        <v/>
      </c>
      <c r="ET2" s="291"/>
      <c r="EU2" s="33"/>
      <c r="EV2" s="33"/>
      <c r="EW2" s="33"/>
      <c r="EX2" s="33"/>
      <c r="EY2" s="33"/>
      <c r="EZ2" s="33"/>
      <c r="FA2" s="34" t="str">
        <f>IFERROR(VLOOKUP(FA1,CLP!$B$48:$R$82,11,FALSE),"")</f>
        <v/>
      </c>
      <c r="FB2" s="289" t="str">
        <f>IFERROR(YEAR(VLOOKUP(FA1,CLP!$B$48:$R$82,2,FALSE)),"")</f>
        <v/>
      </c>
      <c r="FC2" s="260"/>
      <c r="FD2" s="204" t="str">
        <f>IFERROR(VLOOKUP(FA1,CLP!$B$48:$R$82,3,FALSE),"")</f>
        <v/>
      </c>
      <c r="FE2" s="290" t="str">
        <f>IFERROR(VLOOKUP(FA1,CLP!$B$48:$R$82,15,FALSE),"")</f>
        <v/>
      </c>
      <c r="FF2" s="291"/>
      <c r="FG2" s="34" t="str">
        <f>IFERROR(VLOOKUP(FG1,LIB!$B$48:$R$82,11,FALSE),"")</f>
        <v>L</v>
      </c>
      <c r="FH2" s="289">
        <f>IFERROR(YEAR(VLOOKUP(FG1,LIB!$B$48:$R$82,2,FALSE)),"")</f>
        <v>1998</v>
      </c>
      <c r="FI2" s="260"/>
      <c r="FJ2" s="204">
        <f ca="1">IFERROR(VLOOKUP(FG1,LIB!$B$48:$R$82,3,FALSE),"")</f>
        <v>22</v>
      </c>
      <c r="FK2" s="290" t="str">
        <f>IFERROR(VLOOKUP(FG1,LIB!$B$48:$R$82,15,FALSE),"")</f>
        <v>177/74</v>
      </c>
      <c r="FL2" s="291"/>
      <c r="FM2" s="33"/>
      <c r="FN2" s="33"/>
      <c r="FO2" s="33"/>
      <c r="FP2" s="33"/>
      <c r="FQ2" s="33"/>
      <c r="FR2" s="33"/>
      <c r="FS2" s="34" t="str">
        <f>IFERROR(VLOOKUP(FS1,LIB!$B$48:$R$82,11,FALSE),"")</f>
        <v>L</v>
      </c>
      <c r="FT2" s="289">
        <f>IFERROR(YEAR(VLOOKUP(FS1,LIB!$B$48:$R$82,2,FALSE)),"")</f>
        <v>1994</v>
      </c>
      <c r="FU2" s="260"/>
      <c r="FV2" s="204">
        <f ca="1">IFERROR(VLOOKUP(FS1,LIB!$B$48:$R$82,3,FALSE),"")</f>
        <v>26</v>
      </c>
      <c r="FW2" s="290" t="str">
        <f>IFERROR(VLOOKUP(FS1,LIB!$B$48:$R$82,15,FALSE),"")</f>
        <v>185/86</v>
      </c>
      <c r="FX2" s="291"/>
      <c r="FY2" s="34" t="str">
        <f>IFERROR(VLOOKUP(FY1,HAT!$B$48:$R$82,11,FALSE),"")</f>
        <v/>
      </c>
      <c r="FZ2" s="289" t="str">
        <f>IFERROR(YEAR(VLOOKUP(FY1,HAT!$B$48:$R$82,2,FALSE)),"")</f>
        <v/>
      </c>
      <c r="GA2" s="260"/>
      <c r="GB2" s="211" t="str">
        <f>IFERROR(VLOOKUP(FY1,HAT!$B$48:$R$82,3,FALSE),"")</f>
        <v/>
      </c>
      <c r="GC2" s="290" t="str">
        <f>IFERROR(VLOOKUP(FY1,HAT!$B$48:$R$82,15,FALSE),"")</f>
        <v/>
      </c>
      <c r="GD2" s="291"/>
      <c r="GE2" s="33"/>
      <c r="GF2" s="33"/>
      <c r="GG2" s="33"/>
      <c r="GH2" s="33"/>
      <c r="GI2" s="33"/>
      <c r="GJ2" s="33"/>
      <c r="GK2" s="34" t="str">
        <f>IFERROR(VLOOKUP(GK1,HAT!$B$48:$R$82,11,FALSE),"")</f>
        <v/>
      </c>
      <c r="GL2" s="289" t="str">
        <f>IFERROR(YEAR(VLOOKUP(GK1,HAT!$B$48:$R$82,2,FALSE)),"")</f>
        <v/>
      </c>
      <c r="GM2" s="260"/>
      <c r="GN2" s="211" t="str">
        <f>IFERROR(VLOOKUP(GK1,HAT!$B$48:$R$82,3,FALSE),"")</f>
        <v/>
      </c>
      <c r="GO2" s="290" t="str">
        <f>IFERROR(VLOOKUP(GK1,HAT!$B$48:$R$82,15,FALSE),"")</f>
        <v/>
      </c>
      <c r="GP2" s="291"/>
    </row>
    <row r="3" spans="1:198" ht="15.6" customHeight="1" thickTop="1" thickBot="1" x14ac:dyDescent="0.3">
      <c r="A3" s="297" t="str">
        <f>IFERROR(VLOOKUP(A1,SKV!$B$2:$O$36,14,FALSE),"")</f>
        <v>20 OZ , 8 (4+4), -12 ±</v>
      </c>
      <c r="B3" s="298"/>
      <c r="C3" s="298"/>
      <c r="D3" s="299" t="str">
        <f>IFERROR(VLOOKUP(A1,SKV!$B$48:$AA$82,14,FALSE),"")</f>
        <v>20 OZ, 8 (4+4)</v>
      </c>
      <c r="E3" s="299"/>
      <c r="F3" s="300"/>
      <c r="G3" s="286" t="s">
        <v>14</v>
      </c>
      <c r="H3" s="287"/>
      <c r="I3" s="287"/>
      <c r="J3" s="287"/>
      <c r="K3" s="32" t="str">
        <f>IFERROR(IF(VLOOKUP(G3,SKV!$B$48:$AA$82,10,FALSE)=0,"",VLOOKUP(G3,SKV!$B$48:$AA$82,10,FALSE)),"")</f>
        <v/>
      </c>
      <c r="L3" s="52">
        <f>IFERROR(VLOOKUP(G3,SKV!$B$48:$AA$82,9,FALSE),"")</f>
        <v>78</v>
      </c>
      <c r="M3" s="297" t="str">
        <f>IFERROR(VLOOKUP(M1,SKV!$B$2:$O$36,14,FALSE),"")</f>
        <v>24 OZ , 20 (11+9), -8 ±</v>
      </c>
      <c r="N3" s="298"/>
      <c r="O3" s="298"/>
      <c r="P3" s="299" t="str">
        <f>IFERROR(VLOOKUP(M1,SKV!$B$48:$AA$82,14,FALSE),"")</f>
        <v>141 OZ, 149 (90+59)</v>
      </c>
      <c r="Q3" s="299"/>
      <c r="R3" s="300"/>
      <c r="S3" s="297" t="str">
        <f>IFERROR(VLOOKUP(S1,CHO!$B$2:$O$36,14,FALSE),"")</f>
        <v>26 OZ , 45 (27+18), +15 ±</v>
      </c>
      <c r="T3" s="298"/>
      <c r="U3" s="298"/>
      <c r="V3" s="299" t="str">
        <f>IFERROR(VLOOKUP(S1,CHO!$B$48:$AA$82,14,FALSE),"")</f>
        <v>240 OZ, 523 (322+201)</v>
      </c>
      <c r="W3" s="299"/>
      <c r="X3" s="300"/>
      <c r="Y3" s="286" t="s">
        <v>162</v>
      </c>
      <c r="Z3" s="287"/>
      <c r="AA3" s="287"/>
      <c r="AB3" s="287"/>
      <c r="AC3" s="32" t="str">
        <f>IFERROR(IF(VLOOKUP(Y3,CHO!$B$48:$AA$82,10,FALSE)=0,"",VLOOKUP(Y3,CHO!$B$48:$AA$82,10,FALSE)),"")</f>
        <v/>
      </c>
      <c r="AD3" s="52">
        <f>IFERROR(VLOOKUP(Y3,CHO!$B$48:$AA$82,9,FALSE),"")</f>
        <v>9</v>
      </c>
      <c r="AE3" s="297" t="str">
        <f>IFERROR(VLOOKUP(AE1,CHO!$B$2:$O$36,14,FALSE),"")</f>
        <v>26 OZ , 59 (31+28), +25 ±</v>
      </c>
      <c r="AF3" s="298"/>
      <c r="AG3" s="298"/>
      <c r="AH3" s="299" t="str">
        <f>IFERROR(VLOOKUP(AE1,CHO!$B$48:$AA$82,14,FALSE),"")</f>
        <v>230 OZ, 458 (266+192)</v>
      </c>
      <c r="AI3" s="299"/>
      <c r="AJ3" s="300"/>
      <c r="AK3" s="297" t="str">
        <f>IFERROR(VLOOKUP(AK1,VIT!$B$2:$O$36,14,FALSE),"")</f>
        <v>26 OZ , 49 (34+15), +42 ±</v>
      </c>
      <c r="AL3" s="298"/>
      <c r="AM3" s="298"/>
      <c r="AN3" s="299" t="str">
        <f>IFERROR(VLOOKUP(AK1,VIT!$B$48:$R$82,14,FALSE),"")</f>
        <v>71 OZ, 73 (45+28)</v>
      </c>
      <c r="AO3" s="299"/>
      <c r="AP3" s="300"/>
      <c r="AQ3" s="286" t="s">
        <v>251</v>
      </c>
      <c r="AR3" s="287"/>
      <c r="AS3" s="287"/>
      <c r="AT3" s="287"/>
      <c r="AU3" s="32" t="str">
        <f>IFERROR(IF(VLOOKUP(AQ3,VIT!$B$48:$R$82,10,FALSE)=0,"",VLOOKUP(AQ3,VIT!$B$48:$R$82,10,FALSE)),"")</f>
        <v/>
      </c>
      <c r="AV3" s="52">
        <f>IFERROR(VLOOKUP(AQ3,VIT!$B$48:$R$82,9,FALSE),"")</f>
        <v>25</v>
      </c>
      <c r="AW3" s="297" t="str">
        <f>IFERROR(VLOOKUP(AW1,VIT!$B$2:$O$36,14,FALSE),"")</f>
        <v>26 OZ , 63 (41+22), +46 ±</v>
      </c>
      <c r="AX3" s="298"/>
      <c r="AY3" s="298"/>
      <c r="AZ3" s="299" t="str">
        <f>IFERROR(VLOOKUP(AW1,VIT!$B$48:$R$82,14,FALSE),"")</f>
        <v>141 OZ, 219 (122+97)</v>
      </c>
      <c r="BA3" s="299"/>
      <c r="BB3" s="300"/>
      <c r="BC3" s="297" t="str">
        <f>IFERROR(VLOOKUP(BC1,MB!$B$2:$O$36,14,FALSE),"")</f>
        <v>26 OZ , 40 (26+14), +43 ±</v>
      </c>
      <c r="BD3" s="298"/>
      <c r="BE3" s="298"/>
      <c r="BF3" s="299" t="str">
        <f>IFERROR(VLOOKUP(BC1,MB!$B$48:$R$82,14,FALSE),"")</f>
        <v>273 OZ, 456 (275+181)</v>
      </c>
      <c r="BG3" s="299"/>
      <c r="BH3" s="300"/>
      <c r="BI3" s="286" t="s">
        <v>290</v>
      </c>
      <c r="BJ3" s="287"/>
      <c r="BK3" s="287"/>
      <c r="BL3" s="287"/>
      <c r="BM3" s="32" t="str">
        <f>IFERROR(IF(VLOOKUP(BI3,MB!$B$48:$R$82,10,FALSE)=0,"",VLOOKUP(BI3,MB!$B$48:$R$82,10,FALSE)),"")</f>
        <v/>
      </c>
      <c r="BN3" s="52">
        <f>IFERROR(VLOOKUP(BI3,MB!$B$48:$R$82,9,FALSE),"")</f>
        <v>40</v>
      </c>
      <c r="BO3" s="297" t="str">
        <f>IFERROR(VLOOKUP(BO1,MB!$B$2:$O$36,14,FALSE),"")</f>
        <v>26 OZ , 44 (37+7), +40 ±</v>
      </c>
      <c r="BP3" s="298"/>
      <c r="BQ3" s="298"/>
      <c r="BR3" s="299" t="str">
        <f>IFERROR(VLOOKUP(BO1,MB!$B$48:$R$82,14,FALSE),"")</f>
        <v>138 OZ, 114 (84+30)</v>
      </c>
      <c r="BS3" s="299"/>
      <c r="BT3" s="300"/>
      <c r="BU3" s="297" t="str">
        <f>IFERROR(VLOOKUP(BU1,TAT!$B$2:$O$36,14,FALSE),"")</f>
        <v/>
      </c>
      <c r="BV3" s="298"/>
      <c r="BW3" s="298"/>
      <c r="BX3" s="299" t="str">
        <f>IFERROR(VLOOKUP(BU1,TAT!$B$48:$R$82,14,FALSE),"")</f>
        <v/>
      </c>
      <c r="BY3" s="299"/>
      <c r="BZ3" s="300"/>
      <c r="CA3" s="286"/>
      <c r="CB3" s="287"/>
      <c r="CC3" s="287"/>
      <c r="CD3" s="287"/>
      <c r="CE3" s="32" t="str">
        <f>IFERROR(IF(VLOOKUP(CA3,TAT!$B$48:$R$82,10,FALSE)=0,"",VLOOKUP(CA3,TAT!$B$48:$R$82,10,FALSE)),"")</f>
        <v/>
      </c>
      <c r="CF3" s="52" t="str">
        <f>IFERROR(VLOOKUP(CA3,TAT!$B$48:$R$82,9,FALSE),"")</f>
        <v/>
      </c>
      <c r="CG3" s="297" t="str">
        <f>IFERROR(VLOOKUP(CG1,TAT!$B$2:$O$36,14,FALSE),"")</f>
        <v/>
      </c>
      <c r="CH3" s="298"/>
      <c r="CI3" s="298"/>
      <c r="CJ3" s="299" t="str">
        <f>IFERROR(VLOOKUP(CG1,TAT!$B$48:$R$82,14,FALSE),"")</f>
        <v/>
      </c>
      <c r="CK3" s="299"/>
      <c r="CL3" s="300"/>
      <c r="CM3" s="297" t="str">
        <f>IFERROR(VLOOKUP(CM1,OTR!$B$2:$O$36,14,FALSE),"")</f>
        <v>18 OZ , 15 (6+9), -17 ±</v>
      </c>
      <c r="CN3" s="298"/>
      <c r="CO3" s="298"/>
      <c r="CP3" s="299" t="str">
        <f>IFERROR(VLOOKUP(CM1,OTR!$B$48:$R$82,14,FALSE),"")</f>
        <v>44 OZ, 29 (12+17)</v>
      </c>
      <c r="CQ3" s="299"/>
      <c r="CR3" s="300"/>
      <c r="CS3" s="286" t="s">
        <v>404</v>
      </c>
      <c r="CT3" s="287"/>
      <c r="CU3" s="287"/>
      <c r="CV3" s="287"/>
      <c r="CW3" s="32" t="str">
        <f>IFERROR(IF(VLOOKUP(CS3,OTR!$B$48:$R$82,10,FALSE)=0,"",VLOOKUP(CS3,OTR!$B$48:$R$82,10,FALSE)),"")</f>
        <v/>
      </c>
      <c r="CX3" s="52">
        <f>IFERROR(VLOOKUP(CS3,OTR!$B$48:$R$82,9,FALSE),"")</f>
        <v>88</v>
      </c>
      <c r="CY3" s="297" t="str">
        <f>IFERROR(VLOOKUP(CY1,OTR!$B$2:$O$36,14,FALSE),"")</f>
        <v>25 OZ , 11 (5+6), -41 ±</v>
      </c>
      <c r="CZ3" s="298"/>
      <c r="DA3" s="298"/>
      <c r="DB3" s="299" t="str">
        <f>IFERROR(VLOOKUP(CY1,OTR!$B$48:$R$82,14,FALSE),"")</f>
        <v>306 OZ, 262 (121+141)</v>
      </c>
      <c r="DC3" s="299"/>
      <c r="DD3" s="300"/>
      <c r="DE3" s="297" t="str">
        <f>IFERROR(VLOOKUP(DE1,BOH!$B$2:$O$36,14,FALSE),"")</f>
        <v>26 OZ , 30 (19+11), +6 ±</v>
      </c>
      <c r="DF3" s="298"/>
      <c r="DG3" s="298"/>
      <c r="DH3" s="299" t="str">
        <f>IFERROR(VLOOKUP(DE1,BOH!$B$48:$R$82,14,FALSE),"")</f>
        <v>72 OZ, 95 (62+33)</v>
      </c>
      <c r="DI3" s="299"/>
      <c r="DJ3" s="300"/>
      <c r="DK3" s="286" t="s">
        <v>475</v>
      </c>
      <c r="DL3" s="287"/>
      <c r="DM3" s="287"/>
      <c r="DN3" s="287"/>
      <c r="DO3" s="32" t="str">
        <f>IFERROR(IF(VLOOKUP(DK3,BOH!$B$48:$R$82,10,FALSE)=0,"",VLOOKUP(DK3,BOH!$B$48:$R$82,10,FALSE)),"")</f>
        <v/>
      </c>
      <c r="DP3" s="52">
        <f>IFERROR(VLOOKUP(DK3,BOH!$B$48:$R$82,9,FALSE),"")</f>
        <v>12</v>
      </c>
      <c r="DQ3" s="297" t="str">
        <f>IFERROR(VLOOKUP(DQ1,BOH!$B$2:$O$36,14,FALSE),"")</f>
        <v>26 OZ , 31 (13+18), +23 ±</v>
      </c>
      <c r="DR3" s="298"/>
      <c r="DS3" s="298"/>
      <c r="DT3" s="299" t="str">
        <f>IFERROR(VLOOKUP(DQ1,BOH!$B$48:$R$82,14,FALSE),"")</f>
        <v>26 OZ, 31 (13+18)</v>
      </c>
      <c r="DU3" s="299"/>
      <c r="DV3" s="300"/>
      <c r="DW3" s="297" t="str">
        <f>IFERROR(VLOOKUP(DW1,SPA!$B$2:$O$36,14,FALSE),"")</f>
        <v/>
      </c>
      <c r="DX3" s="298"/>
      <c r="DY3" s="298"/>
      <c r="DZ3" s="299" t="str">
        <f>IFERROR(VLOOKUP(DW1,SPA!$B$48:$R$82,14,FALSE),"")</f>
        <v/>
      </c>
      <c r="EA3" s="299"/>
      <c r="EB3" s="300"/>
      <c r="EC3" s="286"/>
      <c r="ED3" s="287"/>
      <c r="EE3" s="287"/>
      <c r="EF3" s="287"/>
      <c r="EG3" s="32" t="str">
        <f>IFERROR(IF(VLOOKUP(EC3,SPA!$B$48:$R$82,10,FALSE)=0,"",VLOOKUP(EC3,SPA!$B$48:$R$82,10,FALSE)),"")</f>
        <v/>
      </c>
      <c r="EH3" s="52" t="str">
        <f>IFERROR(VLOOKUP(EC3,SPA!$B$48:$R$82,9,FALSE),"")</f>
        <v/>
      </c>
      <c r="EI3" s="297" t="str">
        <f>IFERROR(VLOOKUP(EI1,SPA!$B$2:$O$36,14,FALSE),"")</f>
        <v/>
      </c>
      <c r="EJ3" s="298"/>
      <c r="EK3" s="298"/>
      <c r="EL3" s="299" t="str">
        <f>IFERROR(VLOOKUP(EI1,SPA!$B$48:$R$82,14,FALSE),"")</f>
        <v/>
      </c>
      <c r="EM3" s="299"/>
      <c r="EN3" s="300"/>
      <c r="EO3" s="297" t="str">
        <f>IFERROR(VLOOKUP(EO1,CLP!$B$2:$O$36,14,FALSE),"")</f>
        <v/>
      </c>
      <c r="EP3" s="298"/>
      <c r="EQ3" s="298"/>
      <c r="ER3" s="299" t="str">
        <f>IFERROR(VLOOKUP(EO1,CLP!$B$48:$R$82,14,FALSE),"")</f>
        <v/>
      </c>
      <c r="ES3" s="299"/>
      <c r="ET3" s="300"/>
      <c r="EU3" s="286"/>
      <c r="EV3" s="287"/>
      <c r="EW3" s="287"/>
      <c r="EX3" s="287"/>
      <c r="EY3" s="32" t="str">
        <f>IFERROR(IF(VLOOKUP(EU3,CLP!$B$48:$R$82,10,FALSE)=0,"",VLOOKUP(EU3,CLP!$B$48:$R$82,10,FALSE)),"")</f>
        <v/>
      </c>
      <c r="EZ3" s="52" t="str">
        <f>IFERROR(VLOOKUP(EU3,CLP!$B$48:$R$82,9,FALSE),"")</f>
        <v/>
      </c>
      <c r="FA3" s="297" t="str">
        <f>IFERROR(VLOOKUP(FA1,CLP!$B$2:$O$36,14,FALSE),"")</f>
        <v/>
      </c>
      <c r="FB3" s="298"/>
      <c r="FC3" s="298"/>
      <c r="FD3" s="299" t="str">
        <f>IFERROR(VLOOKUP(FA1,CLP!$B$48:$R$82,14,FALSE),"")</f>
        <v/>
      </c>
      <c r="FE3" s="299"/>
      <c r="FF3" s="300"/>
      <c r="FG3" s="297" t="str">
        <f>IFERROR(VLOOKUP(FG1,LIB!$B$2:$O$36,14,FALSE),"")</f>
        <v>24 OZ , 9 (8+1), -13 ±</v>
      </c>
      <c r="FH3" s="298"/>
      <c r="FI3" s="298"/>
      <c r="FJ3" s="299" t="str">
        <f>IFERROR(VLOOKUP(FG1,LIB!$B$48:$R$82,14,FALSE),"")</f>
        <v>94 OZ, 29 (20+9)</v>
      </c>
      <c r="FK3" s="299"/>
      <c r="FL3" s="300"/>
      <c r="FM3" s="286" t="s">
        <v>754</v>
      </c>
      <c r="FN3" s="287"/>
      <c r="FO3" s="287"/>
      <c r="FP3" s="287"/>
      <c r="FQ3" s="32" t="str">
        <f>IFERROR(IF(VLOOKUP(FM3,LIB!$B$48:$R$82,10,FALSE)=0,"",VLOOKUP(FM3,LIB!$B$48:$R$82,10,FALSE)),"")</f>
        <v/>
      </c>
      <c r="FR3" s="52">
        <f>IFERROR(VLOOKUP(FM3,LIB!$B$48:$R$82,9,FALSE),"")</f>
        <v>24</v>
      </c>
      <c r="FS3" s="297" t="str">
        <f>IFERROR(VLOOKUP(FS1,LIB!$B$2:$O$36,14,FALSE),"")</f>
        <v>25 OZ , 7 (5+2), -9 ±</v>
      </c>
      <c r="FT3" s="298"/>
      <c r="FU3" s="298"/>
      <c r="FV3" s="299" t="str">
        <f>IFERROR(VLOOKUP(FS1,LIB!$B$48:$R$82,14,FALSE),"")</f>
        <v>143 OZ, 42 (31+11)</v>
      </c>
      <c r="FW3" s="299"/>
      <c r="FX3" s="300"/>
      <c r="FY3" s="297" t="str">
        <f>IFERROR(VLOOKUP(FY1,HAT!$B$2:$O$36,14,FALSE),"")</f>
        <v/>
      </c>
      <c r="FZ3" s="298"/>
      <c r="GA3" s="298"/>
      <c r="GB3" s="299" t="str">
        <f>IFERROR(VLOOKUP(FY1,HAT!$B$48:$R$82,14,FALSE),"")</f>
        <v/>
      </c>
      <c r="GC3" s="299"/>
      <c r="GD3" s="300"/>
      <c r="GE3" s="286"/>
      <c r="GF3" s="287"/>
      <c r="GG3" s="287"/>
      <c r="GH3" s="287"/>
      <c r="GI3" s="32" t="str">
        <f>IFERROR(IF(VLOOKUP(GE3,HAT!$B$48:$R$82,10,FALSE)=0,"",VLOOKUP(GE3,HAT!$B$48:$R$82,10,FALSE)),"")</f>
        <v/>
      </c>
      <c r="GJ3" s="52" t="str">
        <f>IFERROR(VLOOKUP(GE3,HAT!$B$48:$R$82,9,FALSE),"")</f>
        <v/>
      </c>
      <c r="GK3" s="297" t="str">
        <f>IFERROR(VLOOKUP(GK1,HAT!$B$2:$O$36,14,FALSE),"")</f>
        <v/>
      </c>
      <c r="GL3" s="298"/>
      <c r="GM3" s="298"/>
      <c r="GN3" s="299" t="str">
        <f>IFERROR(VLOOKUP(GK1,HAT!$B$48:$R$82,14,FALSE),"")</f>
        <v/>
      </c>
      <c r="GO3" s="299"/>
      <c r="GP3" s="300"/>
    </row>
    <row r="4" spans="1:198" ht="15.6" customHeight="1" thickBot="1" x14ac:dyDescent="0.3">
      <c r="A4" s="263" t="str">
        <f>IFERROR(VLOOKUP(A1,SKV!$B$48:$AA$82,16,FALSE),"")</f>
        <v>SK Florbal Benešov</v>
      </c>
      <c r="B4" s="264"/>
      <c r="C4" s="265"/>
      <c r="D4" s="266">
        <f>IFERROR(VLOOKUP(A1,SKV!$B$48:$AA$82,17,FALSE),"")</f>
        <v>2009</v>
      </c>
      <c r="E4" s="267"/>
      <c r="F4" s="124">
        <f>IFERROR(VLOOKUP(A1,SKV!$B$48:$AA$82,8,FALSE),"")</f>
        <v>1</v>
      </c>
      <c r="G4" s="34" t="str">
        <f>IFERROR(VLOOKUP(G3,SKV!$B$48:$AA$82,11,FALSE),"")</f>
        <v>L</v>
      </c>
      <c r="H4" s="289">
        <f>IFERROR(YEAR(VLOOKUP(G3,SKV!$B$48:$AA$82,2,FALSE)),"")</f>
        <v>1992</v>
      </c>
      <c r="I4" s="260"/>
      <c r="J4" s="35">
        <f ca="1">IFERROR(VLOOKUP(G3,SKV!$B$48:$AA$82,3,FALSE),"")</f>
        <v>28</v>
      </c>
      <c r="K4" s="290" t="str">
        <f>IFERROR(VLOOKUP(G3,SKV!$B$48:$AA$82,15,FALSE),"")</f>
        <v>172/73</v>
      </c>
      <c r="L4" s="291"/>
      <c r="M4" s="263" t="str">
        <f>IFERROR(VLOOKUP(M1,SKV!$B$48:$AA$82,16,FALSE),"")</f>
        <v>Pelhřimov</v>
      </c>
      <c r="N4" s="264"/>
      <c r="O4" s="265"/>
      <c r="P4" s="266">
        <f>IFERROR(VLOOKUP(M1,SKV!$B$48:$AA$82,17,FALSE),"")</f>
        <v>2003</v>
      </c>
      <c r="Q4" s="267"/>
      <c r="R4" s="124">
        <f>IFERROR(VLOOKUP(M1,SKV!$B$48:$AA$82,8,FALSE),"")</f>
        <v>9</v>
      </c>
      <c r="S4" s="263" t="str">
        <f>IFERROR(VLOOKUP(S1,CHO!$B$48:$AA$82,16,FALSE),"")</f>
        <v>SPA Sokol Brno I.</v>
      </c>
      <c r="T4" s="264"/>
      <c r="U4" s="265"/>
      <c r="V4" s="266">
        <f>IFERROR(VLOOKUP(S1,CHO!$B$48:$AA$82,17,FALSE),"")</f>
        <v>1999</v>
      </c>
      <c r="W4" s="267"/>
      <c r="X4" s="124">
        <f>IFERROR(VLOOKUP(S1,CHO!$B$48:$AA$82,8,FALSE),"")</f>
        <v>12</v>
      </c>
      <c r="Y4" s="34" t="str">
        <f>IFERROR(VLOOKUP(Y3,CHO!$B$48:$AA$82,11,FALSE),"")</f>
        <v>L</v>
      </c>
      <c r="Z4" s="289">
        <f>IFERROR(YEAR(VLOOKUP(Y3,CHO!$B$48:$AA$82,2,FALSE)),"")</f>
        <v>1989</v>
      </c>
      <c r="AA4" s="260"/>
      <c r="AB4" s="35">
        <f ca="1">IFERROR(VLOOKUP(Y3,CHO!$B$48:$AA$82,3,FALSE),"")</f>
        <v>31</v>
      </c>
      <c r="AC4" s="290" t="str">
        <f>IFERROR(VLOOKUP(Y3,CHO!$B$48:$AA$82,15,FALSE),"")</f>
        <v>182/82</v>
      </c>
      <c r="AD4" s="291"/>
      <c r="AE4" s="263" t="str">
        <f>IFERROR(VLOOKUP(AE1,CHO!$B$48:$AA$82,16,FALSE),"")</f>
        <v>Tatran Střešovice</v>
      </c>
      <c r="AF4" s="264"/>
      <c r="AG4" s="265"/>
      <c r="AH4" s="266">
        <f>IFERROR(VLOOKUP(AE1,CHO!$B$48:$AA$82,17,FALSE),"")</f>
        <v>2000</v>
      </c>
      <c r="AI4" s="267"/>
      <c r="AJ4" s="124">
        <f>IFERROR(VLOOKUP(AE1,CHO!$B$48:$AA$82,8,FALSE),"")</f>
        <v>11</v>
      </c>
      <c r="AK4" s="263" t="str">
        <f>IFERROR(VLOOKUP(AK1,VIT!$B$48:$R$82,16,FALSE),"")</f>
        <v>1. SC Vítkovice</v>
      </c>
      <c r="AL4" s="264"/>
      <c r="AM4" s="265"/>
      <c r="AN4" s="266">
        <f>IFERROR(VLOOKUP(AK1,VIT!$B$48:$R$82,17,FALSE),"")</f>
        <v>2008</v>
      </c>
      <c r="AO4" s="267"/>
      <c r="AP4" s="124">
        <f>IFERROR(VLOOKUP(AK1,VIT!$B$48:$R$82,8,FALSE),"")</f>
        <v>3</v>
      </c>
      <c r="AQ4" s="34" t="str">
        <f>IFERROR(VLOOKUP(AQ3,VIT!$B$48:$R$82,11,FALSE),"")</f>
        <v>L</v>
      </c>
      <c r="AR4" s="289">
        <f>IFERROR(YEAR(VLOOKUP(AQ3,VIT!$B$48:$R$82,2,FALSE)),"")</f>
        <v>2000</v>
      </c>
      <c r="AS4" s="260"/>
      <c r="AT4" s="106">
        <f ca="1">IFERROR(VLOOKUP(AQ3,VIT!$B$48:$R$82,3,FALSE),"")</f>
        <v>20</v>
      </c>
      <c r="AU4" s="290" t="str">
        <f>IFERROR(VLOOKUP(AQ3,VIT!$B$48:$R$82,15,FALSE),"")</f>
        <v>186/81</v>
      </c>
      <c r="AV4" s="291"/>
      <c r="AW4" s="263" t="str">
        <f>IFERROR(VLOOKUP(AW1,VIT!$B$48:$R$82,16,FALSE),"")</f>
        <v>FbK Horní Suchá</v>
      </c>
      <c r="AX4" s="264"/>
      <c r="AY4" s="265"/>
      <c r="AZ4" s="266">
        <f>IFERROR(VLOOKUP(AW1,VIT!$B$48:$R$82,17,FALSE),"")</f>
        <v>2005</v>
      </c>
      <c r="BA4" s="267"/>
      <c r="BB4" s="124">
        <f>IFERROR(VLOOKUP(AW1,VIT!$B$48:$R$82,8,FALSE),"")</f>
        <v>7</v>
      </c>
      <c r="BC4" s="263" t="str">
        <f>IFERROR(VLOOKUP(BC1,MB!$B$48:$R$82,16,FALSE),"")</f>
        <v>Torpedo Havířov</v>
      </c>
      <c r="BD4" s="264"/>
      <c r="BE4" s="265"/>
      <c r="BF4" s="266">
        <f>IFERROR(VLOOKUP(BC1,MB!$B$48:$R$82,17,FALSE),"")</f>
        <v>2000</v>
      </c>
      <c r="BG4" s="267"/>
      <c r="BH4" s="124">
        <f>IFERROR(VLOOKUP(BC1,MB!$B$48:$R$82,8,FALSE),"")</f>
        <v>13</v>
      </c>
      <c r="BI4" s="34" t="str">
        <f>IFERROR(VLOOKUP(BI3,MB!$B$48:$R$82,11,FALSE),"")</f>
        <v>L</v>
      </c>
      <c r="BJ4" s="289">
        <f>IFERROR(YEAR(VLOOKUP(BI3,MB!$B$48:$R$82,2,FALSE)),"")</f>
        <v>1989</v>
      </c>
      <c r="BK4" s="260"/>
      <c r="BL4" s="108">
        <f ca="1">IFERROR(VLOOKUP(BI3,MB!$B$48:$R$82,3,FALSE),"")</f>
        <v>31</v>
      </c>
      <c r="BM4" s="290" t="str">
        <f>IFERROR(VLOOKUP(BI3,MB!$B$48:$R$82,15,FALSE),"")</f>
        <v>180/77</v>
      </c>
      <c r="BN4" s="291"/>
      <c r="BO4" s="263" t="str">
        <f>IFERROR(VLOOKUP(BO1,MB!$B$48:$R$82,16,FALSE),"")</f>
        <v>ED Havlíčkův Brod</v>
      </c>
      <c r="BP4" s="264"/>
      <c r="BQ4" s="265"/>
      <c r="BR4" s="266">
        <f>IFERROR(VLOOKUP(BO1,MB!$B$48:$R$82,17,FALSE),"")</f>
        <v>2006</v>
      </c>
      <c r="BS4" s="267"/>
      <c r="BT4" s="124">
        <f>IFERROR(VLOOKUP(BO1,MB!$B$48:$R$82,8,FALSE),"")</f>
        <v>6</v>
      </c>
      <c r="BU4" s="263" t="str">
        <f>IFERROR(VLOOKUP(BU1,TAT!$B$48:$R$82,16,FALSE),"")</f>
        <v/>
      </c>
      <c r="BV4" s="264"/>
      <c r="BW4" s="265"/>
      <c r="BX4" s="266" t="str">
        <f>IFERROR(VLOOKUP(BU1,TAT!$B$48:$R$82,17,FALSE),"")</f>
        <v/>
      </c>
      <c r="BY4" s="267"/>
      <c r="BZ4" s="124" t="str">
        <f>IFERROR(VLOOKUP(BU1,TAT!$B$48:$R$82,8,FALSE),"")</f>
        <v/>
      </c>
      <c r="CA4" s="34" t="str">
        <f>IFERROR(VLOOKUP(CA3,TAT!$B$48:$R$82,11,FALSE),"")</f>
        <v/>
      </c>
      <c r="CB4" s="289" t="str">
        <f>IFERROR(YEAR(VLOOKUP(CA3,TAT!$B$48:$R$82,2,FALSE)),"")</f>
        <v/>
      </c>
      <c r="CC4" s="260"/>
      <c r="CD4" s="150" t="str">
        <f>IFERROR(VLOOKUP(CA3,TAT!$B$48:$R$82,3,FALSE),"")</f>
        <v/>
      </c>
      <c r="CE4" s="290" t="str">
        <f>IFERROR(VLOOKUP(CA3,TAT!$B$48:$R$82,15,FALSE),"")</f>
        <v/>
      </c>
      <c r="CF4" s="291"/>
      <c r="CG4" s="263" t="str">
        <f>IFERROR(VLOOKUP(CG1,TAT!$B$48:$R$82,16,FALSE),"")</f>
        <v/>
      </c>
      <c r="CH4" s="264"/>
      <c r="CI4" s="265"/>
      <c r="CJ4" s="266" t="str">
        <f>IFERROR(VLOOKUP(CG1,TAT!$B$48:$R$82,17,FALSE),"")</f>
        <v/>
      </c>
      <c r="CK4" s="267"/>
      <c r="CL4" s="124" t="str">
        <f>IFERROR(VLOOKUP(CG1,TAT!$B$48:$R$82,8,FALSE),"")</f>
        <v/>
      </c>
      <c r="CM4" s="263" t="str">
        <f>IFERROR(VLOOKUP(CM1,OTR!$B$48:$R$82,16,FALSE),"")</f>
        <v>Hattrick Brno</v>
      </c>
      <c r="CN4" s="264"/>
      <c r="CO4" s="265"/>
      <c r="CP4" s="266">
        <f>IFERROR(VLOOKUP(CM1,OTR!$B$48:$R$82,17,FALSE),"")</f>
        <v>2008</v>
      </c>
      <c r="CQ4" s="267"/>
      <c r="CR4" s="124">
        <f>IFERROR(VLOOKUP(CM1,OTR!$B$48:$R$82,8,FALSE),"")</f>
        <v>5</v>
      </c>
      <c r="CS4" s="34" t="str">
        <f>IFERROR(VLOOKUP(CS3,OTR!$B$48:$R$82,11,FALSE),"")</f>
        <v>P</v>
      </c>
      <c r="CT4" s="289">
        <f>IFERROR(YEAR(VLOOKUP(CS3,OTR!$B$48:$R$82,2,FALSE)),"")</f>
        <v>1998</v>
      </c>
      <c r="CU4" s="260"/>
      <c r="CV4" s="150">
        <f ca="1">IFERROR(VLOOKUP(CS3,OTR!$B$48:$R$82,3,FALSE),"")</f>
        <v>22</v>
      </c>
      <c r="CW4" s="290" t="str">
        <f>IFERROR(VLOOKUP(CS3,OTR!$B$48:$R$82,15,FALSE),"")</f>
        <v>180/73</v>
      </c>
      <c r="CX4" s="291"/>
      <c r="CY4" s="263" t="str">
        <f>IFERROR(VLOOKUP(CY1,OTR!$B$48:$R$82,16,FALSE),"")</f>
        <v>Čeladná Rams</v>
      </c>
      <c r="CZ4" s="264"/>
      <c r="DA4" s="265"/>
      <c r="DB4" s="266">
        <f>IFERROR(VLOOKUP(CY1,OTR!$B$48:$R$82,17,FALSE),"")</f>
        <v>1999</v>
      </c>
      <c r="DC4" s="267"/>
      <c r="DD4" s="124">
        <f>IFERROR(VLOOKUP(CY1,OTR!$B$48:$R$82,8,FALSE),"")</f>
        <v>14</v>
      </c>
      <c r="DE4" s="263" t="str">
        <f>IFERROR(VLOOKUP(DE1,BOH!$B$48:$R$82,16,FALSE),"")</f>
        <v>FbŠ Bohemians</v>
      </c>
      <c r="DF4" s="264"/>
      <c r="DG4" s="265"/>
      <c r="DH4" s="266">
        <f>IFERROR(VLOOKUP(DE1,BOH!$B$48:$R$82,17,FALSE),"")</f>
        <v>2006</v>
      </c>
      <c r="DI4" s="267"/>
      <c r="DJ4" s="124">
        <f>IFERROR(VLOOKUP(DE1,BOH!$B$48:$R$82,8,FALSE),"")</f>
        <v>3</v>
      </c>
      <c r="DK4" s="34" t="str">
        <f>IFERROR(VLOOKUP(DK3,BOH!$B$48:$R$82,11,FALSE),"")</f>
        <v>P</v>
      </c>
      <c r="DL4" s="289">
        <f>IFERROR(YEAR(VLOOKUP(DK3,BOH!$B$48:$R$82,2,FALSE)),"")</f>
        <v>1995</v>
      </c>
      <c r="DM4" s="260"/>
      <c r="DN4" s="165">
        <f ca="1">IFERROR(VLOOKUP(DK3,BOH!$B$48:$R$82,3,FALSE),"")</f>
        <v>25</v>
      </c>
      <c r="DO4" s="290" t="str">
        <f>IFERROR(VLOOKUP(DK3,BOH!$B$48:$R$82,15,FALSE),"")</f>
        <v>175/72</v>
      </c>
      <c r="DP4" s="291"/>
      <c r="DQ4" s="263" t="str">
        <f>IFERROR(VLOOKUP(DQ1,BOH!$B$48:$R$82,16,FALSE),"")</f>
        <v>Black Angels</v>
      </c>
      <c r="DR4" s="264"/>
      <c r="DS4" s="265"/>
      <c r="DT4" s="266">
        <f>IFERROR(VLOOKUP(DQ1,BOH!$B$48:$R$82,17,FALSE),"")</f>
        <v>2009</v>
      </c>
      <c r="DU4" s="267"/>
      <c r="DV4" s="124">
        <f>IFERROR(VLOOKUP(DQ1,BOH!$B$48:$R$82,8,FALSE),"")</f>
        <v>1</v>
      </c>
      <c r="DW4" s="263" t="str">
        <f>IFERROR(VLOOKUP(DW1,SPA!$B$48:$R$82,16,FALSE),"")</f>
        <v/>
      </c>
      <c r="DX4" s="264"/>
      <c r="DY4" s="265"/>
      <c r="DZ4" s="266" t="str">
        <f>IFERROR(VLOOKUP(DW1,SPA!$B$48:$R$82,17,FALSE),"")</f>
        <v/>
      </c>
      <c r="EA4" s="267"/>
      <c r="EB4" s="124" t="str">
        <f>IFERROR(VLOOKUP(DW1,SPA!$B$48:$R$82,8,FALSE),"")</f>
        <v/>
      </c>
      <c r="EC4" s="34" t="str">
        <f>IFERROR(VLOOKUP(EC3,SPA!$B$48:$R$82,11,FALSE),"")</f>
        <v/>
      </c>
      <c r="ED4" s="289" t="str">
        <f>IFERROR(YEAR(VLOOKUP(EC3,SPA!$B$48:$R$82,2,FALSE)),"")</f>
        <v/>
      </c>
      <c r="EE4" s="260"/>
      <c r="EF4" s="165" t="str">
        <f>IFERROR(VLOOKUP(EC3,SPA!$B$48:$R$82,3,FALSE),"")</f>
        <v/>
      </c>
      <c r="EG4" s="290" t="str">
        <f>IFERROR(VLOOKUP(EC3,SPA!$B$48:$R$82,15,FALSE),"")</f>
        <v/>
      </c>
      <c r="EH4" s="291"/>
      <c r="EI4" s="263" t="str">
        <f>IFERROR(VLOOKUP(EI1,SPA!$B$48:$R$82,16,FALSE),"")</f>
        <v/>
      </c>
      <c r="EJ4" s="264"/>
      <c r="EK4" s="265"/>
      <c r="EL4" s="266" t="str">
        <f>IFERROR(VLOOKUP(EI1,SPA!$B$48:$R$82,17,FALSE),"")</f>
        <v/>
      </c>
      <c r="EM4" s="267"/>
      <c r="EN4" s="124" t="str">
        <f>IFERROR(VLOOKUP(EI1,SPA!$B$48:$R$82,8,FALSE),"")</f>
        <v/>
      </c>
      <c r="EO4" s="263" t="str">
        <f>IFERROR(VLOOKUP(EO1,CLP!$B$48:$R$82,16,FALSE),"")</f>
        <v/>
      </c>
      <c r="EP4" s="264"/>
      <c r="EQ4" s="265"/>
      <c r="ER4" s="266" t="str">
        <f>IFERROR(VLOOKUP(EO1,CLP!$B$48:$R$82,17,FALSE),"")</f>
        <v/>
      </c>
      <c r="ES4" s="267"/>
      <c r="ET4" s="124" t="str">
        <f>IFERROR(VLOOKUP(EO1,CLP!$B$48:$R$82,8,FALSE),"")</f>
        <v/>
      </c>
      <c r="EU4" s="34" t="str">
        <f>IFERROR(VLOOKUP(EU3,CLP!$B$48:$R$82,11,FALSE),"")</f>
        <v/>
      </c>
      <c r="EV4" s="289" t="str">
        <f>IFERROR(YEAR(VLOOKUP(EU3,CLP!$B$48:$R$82,2,FALSE)),"")</f>
        <v/>
      </c>
      <c r="EW4" s="260"/>
      <c r="EX4" s="204" t="str">
        <f>IFERROR(VLOOKUP(EU3,CLP!$B$48:$R$82,3,FALSE),"")</f>
        <v/>
      </c>
      <c r="EY4" s="290" t="str">
        <f>IFERROR(VLOOKUP(EU3,CLP!$B$48:$R$82,15,FALSE),"")</f>
        <v/>
      </c>
      <c r="EZ4" s="291"/>
      <c r="FA4" s="263" t="str">
        <f>IFERROR(VLOOKUP(FA1,CLP!$B$48:$R$82,16,FALSE),"")</f>
        <v/>
      </c>
      <c r="FB4" s="264"/>
      <c r="FC4" s="265"/>
      <c r="FD4" s="266" t="str">
        <f>IFERROR(VLOOKUP(FA1,CLP!$B$48:$R$82,17,FALSE),"")</f>
        <v/>
      </c>
      <c r="FE4" s="267"/>
      <c r="FF4" s="124" t="str">
        <f>IFERROR(VLOOKUP(FA1,CLP!$B$48:$R$82,8,FALSE),"")</f>
        <v/>
      </c>
      <c r="FG4" s="263" t="str">
        <f>IFERROR(VLOOKUP(FG1,LIB!$B$48:$R$82,16,FALSE),"")</f>
        <v>FBC Liberec</v>
      </c>
      <c r="FH4" s="264"/>
      <c r="FI4" s="265"/>
      <c r="FJ4" s="266">
        <f>IFERROR(VLOOKUP(FG1,LIB!$B$48:$R$82,17,FALSE),"")</f>
        <v>2011</v>
      </c>
      <c r="FK4" s="267"/>
      <c r="FL4" s="124">
        <f>IFERROR(VLOOKUP(FG1,LIB!$B$48:$R$82,8,FALSE),"")</f>
        <v>5</v>
      </c>
      <c r="FM4" s="34" t="str">
        <f>IFERROR(VLOOKUP(FM3,LIB!$B$48:$R$82,11,FALSE),"")</f>
        <v>L</v>
      </c>
      <c r="FN4" s="289">
        <f>IFERROR(YEAR(VLOOKUP(FM3,LIB!$B$48:$R$82,2,FALSE)),"")</f>
        <v>1994</v>
      </c>
      <c r="FO4" s="260"/>
      <c r="FP4" s="204">
        <f ca="1">IFERROR(VLOOKUP(FM3,LIB!$B$48:$R$82,3,FALSE),"")</f>
        <v>26</v>
      </c>
      <c r="FQ4" s="290" t="str">
        <f>IFERROR(VLOOKUP(FM3,LIB!$B$48:$R$82,15,FALSE),"")</f>
        <v>180/82</v>
      </c>
      <c r="FR4" s="291"/>
      <c r="FS4" s="263" t="str">
        <f>IFERROR(VLOOKUP(FS1,LIB!$B$48:$R$82,16,FALSE),"")</f>
        <v>Sokol Dvůr Králové</v>
      </c>
      <c r="FT4" s="264"/>
      <c r="FU4" s="265"/>
      <c r="FV4" s="266">
        <f>IFERROR(VLOOKUP(FS1,LIB!$B$48:$R$82,17,FALSE),"")</f>
        <v>2001</v>
      </c>
      <c r="FW4" s="267"/>
      <c r="FX4" s="124">
        <f>IFERROR(VLOOKUP(FS1,LIB!$B$48:$R$82,8,FALSE),"")</f>
        <v>10</v>
      </c>
      <c r="FY4" s="263" t="str">
        <f>IFERROR(VLOOKUP(FY1,HAT!$B$48:$R$82,16,FALSE),"")</f>
        <v/>
      </c>
      <c r="FZ4" s="264"/>
      <c r="GA4" s="265"/>
      <c r="GB4" s="266" t="str">
        <f>IFERROR(VLOOKUP(FY1,HAT!$B$48:$R$82,17,FALSE),"")</f>
        <v/>
      </c>
      <c r="GC4" s="267"/>
      <c r="GD4" s="124" t="str">
        <f>IFERROR(VLOOKUP(FY1,HAT!$B$48:$R$82,8,FALSE),"")</f>
        <v/>
      </c>
      <c r="GE4" s="34" t="str">
        <f>IFERROR(VLOOKUP(GE3,HAT!$B$48:$R$82,11,FALSE),"")</f>
        <v/>
      </c>
      <c r="GF4" s="289" t="str">
        <f>IFERROR(YEAR(VLOOKUP(GE3,HAT!$B$48:$R$82,2,FALSE)),"")</f>
        <v/>
      </c>
      <c r="GG4" s="260"/>
      <c r="GH4" s="211" t="str">
        <f>IFERROR(VLOOKUP(GE3,HAT!$B$48:$R$82,3,FALSE),"")</f>
        <v/>
      </c>
      <c r="GI4" s="290" t="str">
        <f>IFERROR(VLOOKUP(GE3,HAT!$B$48:$R$82,15,FALSE),"")</f>
        <v/>
      </c>
      <c r="GJ4" s="291"/>
      <c r="GK4" s="263" t="str">
        <f>IFERROR(VLOOKUP(GK1,HAT!$B$48:$R$82,16,FALSE),"")</f>
        <v/>
      </c>
      <c r="GL4" s="264"/>
      <c r="GM4" s="265"/>
      <c r="GN4" s="266" t="str">
        <f>IFERROR(VLOOKUP(GK1,HAT!$B$48:$R$82,17,FALSE),"")</f>
        <v/>
      </c>
      <c r="GO4" s="267"/>
      <c r="GP4" s="124" t="str">
        <f>IFERROR(VLOOKUP(GK1,HAT!$B$48:$R$82,8,FALSE),"")</f>
        <v/>
      </c>
    </row>
    <row r="5" spans="1:198" ht="15.6" customHeight="1" thickTop="1" thickBot="1" x14ac:dyDescent="0.3">
      <c r="A5" s="16"/>
      <c r="B5" s="16"/>
      <c r="C5" s="16"/>
      <c r="D5" s="16"/>
      <c r="E5" s="33"/>
      <c r="F5" s="33"/>
      <c r="G5" s="297" t="str">
        <f>IFERROR(VLOOKUP(G3,SKV!$B$2:$O$36,14,FALSE),"")</f>
        <v>25 OZ , 31 (18+13), -23 ±</v>
      </c>
      <c r="H5" s="298"/>
      <c r="I5" s="298"/>
      <c r="J5" s="299" t="str">
        <f>IFERROR(VLOOKUP(G3,SKV!$B$48:$AA$82,14,FALSE),"")</f>
        <v>203 OZ, 195 (108+87)</v>
      </c>
      <c r="K5" s="299"/>
      <c r="L5" s="300"/>
      <c r="M5" s="33"/>
      <c r="N5" s="33"/>
      <c r="O5" s="33"/>
      <c r="P5" s="33"/>
      <c r="Q5" s="33"/>
      <c r="R5" s="33"/>
      <c r="S5" s="16"/>
      <c r="T5" s="16"/>
      <c r="U5" s="16"/>
      <c r="V5" s="16"/>
      <c r="W5" s="33"/>
      <c r="X5" s="33"/>
      <c r="Y5" s="297" t="str">
        <f>IFERROR(VLOOKUP(Y3,CHO!$B$2:$O$36,14,FALSE),"")</f>
        <v>25 OZ , 25 (15+10), +10 ±</v>
      </c>
      <c r="Z5" s="298"/>
      <c r="AA5" s="298"/>
      <c r="AB5" s="299" t="str">
        <f>IFERROR(VLOOKUP(Y3,CHO!$B$48:$AA$82,14,FALSE),"")</f>
        <v>233 OZ, 277 (140+137)</v>
      </c>
      <c r="AC5" s="299"/>
      <c r="AD5" s="300"/>
      <c r="AE5" s="33"/>
      <c r="AF5" s="33"/>
      <c r="AG5" s="33"/>
      <c r="AH5" s="33"/>
      <c r="AI5" s="33"/>
      <c r="AJ5" s="33"/>
      <c r="AK5" s="16"/>
      <c r="AL5" s="16"/>
      <c r="AM5" s="16"/>
      <c r="AN5" s="16"/>
      <c r="AO5" s="33"/>
      <c r="AP5" s="33"/>
      <c r="AQ5" s="297" t="str">
        <f>IFERROR(VLOOKUP(AQ3,VIT!$B$2:$O$36,14,FALSE),"")</f>
        <v>26 OZ , 50 (13+37), +44 ±</v>
      </c>
      <c r="AR5" s="298"/>
      <c r="AS5" s="298"/>
      <c r="AT5" s="299" t="str">
        <f>IFERROR(VLOOKUP(AQ3,VIT!$B$48:$R$82,14,FALSE),"")</f>
        <v>84 OZ, 121 (36+85)</v>
      </c>
      <c r="AU5" s="299"/>
      <c r="AV5" s="300"/>
      <c r="AW5" s="33"/>
      <c r="AX5" s="33"/>
      <c r="AY5" s="33"/>
      <c r="AZ5" s="33"/>
      <c r="BA5" s="33"/>
      <c r="BB5" s="33"/>
      <c r="BC5" s="16"/>
      <c r="BD5" s="16"/>
      <c r="BE5" s="16"/>
      <c r="BF5" s="16"/>
      <c r="BG5" s="33"/>
      <c r="BH5" s="33"/>
      <c r="BI5" s="297" t="str">
        <f>IFERROR(VLOOKUP(BI3,MB!$B$2:$O$36,14,FALSE),"")</f>
        <v>26 OZ , 51 (21+30), +43 ±</v>
      </c>
      <c r="BJ5" s="298"/>
      <c r="BK5" s="298"/>
      <c r="BL5" s="299" t="str">
        <f>IFERROR(VLOOKUP(BI3,MB!$B$48:$R$82,14,FALSE),"")</f>
        <v>335 OZ, 735 (403+332)</v>
      </c>
      <c r="BM5" s="299"/>
      <c r="BN5" s="300"/>
      <c r="BO5" s="33"/>
      <c r="BP5" s="33"/>
      <c r="BQ5" s="33"/>
      <c r="BR5" s="33"/>
      <c r="BS5" s="33"/>
      <c r="BT5" s="33"/>
      <c r="BU5" s="16"/>
      <c r="BV5" s="16"/>
      <c r="BW5" s="16"/>
      <c r="BX5" s="16"/>
      <c r="BY5" s="33"/>
      <c r="BZ5" s="33"/>
      <c r="CA5" s="297" t="str">
        <f>IFERROR(VLOOKUP(CA3,TAT!$B$2:$O$36,14,FALSE),"")</f>
        <v/>
      </c>
      <c r="CB5" s="298"/>
      <c r="CC5" s="298"/>
      <c r="CD5" s="299" t="str">
        <f>IFERROR(VLOOKUP(CA3,TAT!$B$48:$R$82,14,FALSE),"")</f>
        <v/>
      </c>
      <c r="CE5" s="299"/>
      <c r="CF5" s="300"/>
      <c r="CG5" s="33"/>
      <c r="CH5" s="33"/>
      <c r="CI5" s="33"/>
      <c r="CJ5" s="33"/>
      <c r="CK5" s="33"/>
      <c r="CL5" s="33"/>
      <c r="CM5" s="16"/>
      <c r="CN5" s="16"/>
      <c r="CO5" s="16"/>
      <c r="CP5" s="16"/>
      <c r="CQ5" s="33"/>
      <c r="CR5" s="33"/>
      <c r="CS5" s="297" t="str">
        <f>IFERROR(VLOOKUP(CS3,OTR!$B$2:$O$36,14,FALSE),"")</f>
        <v>26 OZ , 24 (15+9), -30 ±</v>
      </c>
      <c r="CT5" s="298"/>
      <c r="CU5" s="298"/>
      <c r="CV5" s="299" t="str">
        <f>IFERROR(VLOOKUP(CS3,OTR!$B$48:$R$82,14,FALSE),"")</f>
        <v>99 OZ, 70 (41+29)</v>
      </c>
      <c r="CW5" s="299"/>
      <c r="CX5" s="300"/>
      <c r="CY5" s="33"/>
      <c r="CZ5" s="33"/>
      <c r="DA5" s="33"/>
      <c r="DB5" s="33"/>
      <c r="DC5" s="33"/>
      <c r="DD5" s="33"/>
      <c r="DE5" s="16"/>
      <c r="DF5" s="16"/>
      <c r="DG5" s="16"/>
      <c r="DH5" s="16"/>
      <c r="DI5" s="33"/>
      <c r="DJ5" s="33"/>
      <c r="DK5" s="297" t="str">
        <f>IFERROR(VLOOKUP(DK3,BOH!$B$2:$O$36,14,FALSE),"")</f>
        <v>26 OZ , 55 (18+37), +26 ±</v>
      </c>
      <c r="DL5" s="298"/>
      <c r="DM5" s="298"/>
      <c r="DN5" s="299" t="str">
        <f>IFERROR(VLOOKUP(DK3,BOH!$B$48:$R$82,14,FALSE),"")</f>
        <v>142 OZ, 80 (35+45)</v>
      </c>
      <c r="DO5" s="299"/>
      <c r="DP5" s="300"/>
      <c r="DQ5" s="33"/>
      <c r="DR5" s="33"/>
      <c r="DS5" s="33"/>
      <c r="DT5" s="33"/>
      <c r="DU5" s="33"/>
      <c r="DV5" s="33"/>
      <c r="DW5" s="16"/>
      <c r="DX5" s="16"/>
      <c r="DY5" s="16"/>
      <c r="DZ5" s="16"/>
      <c r="EA5" s="33"/>
      <c r="EB5" s="33"/>
      <c r="EC5" s="297" t="str">
        <f>IFERROR(VLOOKUP(EC3,SPA!$B$2:$O$36,14,FALSE),"")</f>
        <v/>
      </c>
      <c r="ED5" s="298"/>
      <c r="EE5" s="298"/>
      <c r="EF5" s="299" t="str">
        <f>IFERROR(VLOOKUP(EC3,SPA!$B$48:$R$82,14,FALSE),"")</f>
        <v/>
      </c>
      <c r="EG5" s="299"/>
      <c r="EH5" s="300"/>
      <c r="EI5" s="33"/>
      <c r="EJ5" s="33"/>
      <c r="EK5" s="33"/>
      <c r="EL5" s="33"/>
      <c r="EM5" s="33"/>
      <c r="EN5" s="33"/>
      <c r="EO5" s="16"/>
      <c r="EP5" s="16"/>
      <c r="EQ5" s="16"/>
      <c r="ER5" s="16"/>
      <c r="ES5" s="33"/>
      <c r="ET5" s="33"/>
      <c r="EU5" s="297" t="str">
        <f>IFERROR(VLOOKUP(EU3,CLP!$B$2:$O$36,14,FALSE),"")</f>
        <v/>
      </c>
      <c r="EV5" s="298"/>
      <c r="EW5" s="298"/>
      <c r="EX5" s="299" t="str">
        <f>IFERROR(VLOOKUP(EU3,CLP!$B$48:$R$82,14,FALSE),"")</f>
        <v/>
      </c>
      <c r="EY5" s="299"/>
      <c r="EZ5" s="300"/>
      <c r="FA5" s="33"/>
      <c r="FB5" s="33"/>
      <c r="FC5" s="33"/>
      <c r="FD5" s="33"/>
      <c r="FE5" s="33"/>
      <c r="FF5" s="33"/>
      <c r="FG5" s="16"/>
      <c r="FH5" s="16"/>
      <c r="FI5" s="16"/>
      <c r="FJ5" s="16"/>
      <c r="FK5" s="33"/>
      <c r="FL5" s="33"/>
      <c r="FM5" s="297" t="str">
        <f>IFERROR(VLOOKUP(FM3,LIB!$B$2:$O$36,14,FALSE),"")</f>
        <v>26 OZ , 20 (11+9), -6 ±</v>
      </c>
      <c r="FN5" s="298"/>
      <c r="FO5" s="298"/>
      <c r="FP5" s="299" t="str">
        <f>IFERROR(VLOOKUP(FM3,LIB!$B$48:$R$82,14,FALSE),"")</f>
        <v>194 OZ, 116 (50+66)</v>
      </c>
      <c r="FQ5" s="299"/>
      <c r="FR5" s="300"/>
      <c r="FS5" s="33"/>
      <c r="FT5" s="33"/>
      <c r="FU5" s="33"/>
      <c r="FV5" s="33"/>
      <c r="FW5" s="33"/>
      <c r="FX5" s="33"/>
      <c r="FY5" s="16"/>
      <c r="FZ5" s="16"/>
      <c r="GA5" s="16"/>
      <c r="GB5" s="16"/>
      <c r="GC5" s="33"/>
      <c r="GD5" s="33"/>
      <c r="GE5" s="297" t="str">
        <f>IFERROR(VLOOKUP(GE3,HAT!$B$2:$O$36,14,FALSE),"")</f>
        <v/>
      </c>
      <c r="GF5" s="298"/>
      <c r="GG5" s="298"/>
      <c r="GH5" s="299" t="str">
        <f>IFERROR(VLOOKUP(GE3,HAT!$B$48:$R$82,14,FALSE),"")</f>
        <v/>
      </c>
      <c r="GI5" s="299"/>
      <c r="GJ5" s="300"/>
      <c r="GK5" s="33"/>
      <c r="GL5" s="33"/>
      <c r="GM5" s="33"/>
      <c r="GN5" s="33"/>
      <c r="GO5" s="33"/>
      <c r="GP5" s="33"/>
    </row>
    <row r="6" spans="1:198" ht="15.6" customHeight="1" thickTop="1" thickBot="1" x14ac:dyDescent="0.3">
      <c r="A6" s="286" t="s">
        <v>0</v>
      </c>
      <c r="B6" s="287"/>
      <c r="C6" s="287"/>
      <c r="D6" s="287"/>
      <c r="E6" s="32" t="str">
        <f>IFERROR(IF(VLOOKUP(A6,SKV!$B$48:$AA$82,10,FALSE)=0,"",VLOOKUP(A6,SKV!$B$48:$AA$82,10,FALSE)),"")</f>
        <v/>
      </c>
      <c r="F6" s="52">
        <f>IFERROR(VLOOKUP(A6,SKV!$B$48:$AA$82,9,FALSE),"")</f>
        <v>77</v>
      </c>
      <c r="G6" s="263" t="str">
        <f>IFERROR(VLOOKUP(G3,SKV!$B$48:$AA$82,16,FALSE),"")</f>
        <v>FC Vlci</v>
      </c>
      <c r="H6" s="264"/>
      <c r="I6" s="265"/>
      <c r="J6" s="266">
        <f>IFERROR(VLOOKUP(G3,SKV!$B$48:$AA$82,17,FALSE),"")</f>
        <v>2000</v>
      </c>
      <c r="K6" s="267"/>
      <c r="L6" s="124">
        <f>IFERROR(VLOOKUP(G3,SKV!$B$48:$AA$82,8,FALSE),"")</f>
        <v>10</v>
      </c>
      <c r="M6" s="286" t="s">
        <v>24</v>
      </c>
      <c r="N6" s="287"/>
      <c r="O6" s="287"/>
      <c r="P6" s="287"/>
      <c r="Q6" s="32" t="str">
        <f>IFERROR(IF(VLOOKUP(M6,SKV!$B$48:$AA$82,10,FALSE)=0,"",VLOOKUP(M6,SKV!$B$48:$AA$82,10,FALSE)),"")</f>
        <v/>
      </c>
      <c r="R6" s="52">
        <f>IFERROR(VLOOKUP(M6,SKV!$B$48:$AA$82,9,FALSE),"")</f>
        <v>47</v>
      </c>
      <c r="S6" s="286" t="s">
        <v>165</v>
      </c>
      <c r="T6" s="287"/>
      <c r="U6" s="287"/>
      <c r="V6" s="287"/>
      <c r="W6" s="32" t="str">
        <f>IFERROR(IF(VLOOKUP(S6,CHO!$B$48:$AA$82,10,FALSE)=0,"",VLOOKUP(S6,CHO!$B$48:$AA$82,10,FALSE)),"")</f>
        <v/>
      </c>
      <c r="X6" s="52">
        <f>IFERROR(VLOOKUP(S6,CHO!$B$48:$AA$82,9,FALSE),"")</f>
        <v>95</v>
      </c>
      <c r="Y6" s="263" t="str">
        <f>IFERROR(VLOOKUP(Y3,CHO!$B$48:$AA$82,16,FALSE),"")</f>
        <v>TJ Znojmo</v>
      </c>
      <c r="Z6" s="264"/>
      <c r="AA6" s="265"/>
      <c r="AB6" s="266">
        <f>IFERROR(VLOOKUP(Y3,CHO!$B$48:$AA$82,17,FALSE),"")</f>
        <v>2004</v>
      </c>
      <c r="AC6" s="267"/>
      <c r="AD6" s="124">
        <f>IFERROR(VLOOKUP(Y3,CHO!$B$48:$AA$82,8,FALSE),"")</f>
        <v>12</v>
      </c>
      <c r="AE6" s="286" t="s">
        <v>164</v>
      </c>
      <c r="AF6" s="287"/>
      <c r="AG6" s="287"/>
      <c r="AH6" s="287"/>
      <c r="AI6" s="32" t="str">
        <f>IFERROR(IF(VLOOKUP(AE6,CHO!$B$48:$AA$82,10,FALSE)=0,"",VLOOKUP(AE6,CHO!$B$48:$AA$82,10,FALSE)),"")</f>
        <v/>
      </c>
      <c r="AJ6" s="52">
        <f>IFERROR(VLOOKUP(AE6,CHO!$B$48:$AA$82,9,FALSE),"")</f>
        <v>26</v>
      </c>
      <c r="AK6" s="286" t="s">
        <v>256</v>
      </c>
      <c r="AL6" s="287"/>
      <c r="AM6" s="287"/>
      <c r="AN6" s="287"/>
      <c r="AO6" s="32" t="str">
        <f>IFERROR(IF(VLOOKUP(AK6,VIT!$B$48:$R$82,10,FALSE)=0,"",VLOOKUP(AK6,VIT!$B$48:$R$82,10,FALSE)),"")</f>
        <v/>
      </c>
      <c r="AP6" s="52">
        <f>IFERROR(VLOOKUP(AK6,VIT!$B$48:$R$82,9,FALSE),"")</f>
        <v>88</v>
      </c>
      <c r="AQ6" s="263" t="str">
        <f>IFERROR(VLOOKUP(AQ3,VIT!$B$48:$R$82,16,FALSE),"")</f>
        <v>FBK Škorpioni Ostrava</v>
      </c>
      <c r="AR6" s="264"/>
      <c r="AS6" s="265"/>
      <c r="AT6" s="266">
        <f>IFERROR(VLOOKUP(AQ3,VIT!$B$48:$R$82,17,FALSE),"")</f>
        <v>2005</v>
      </c>
      <c r="AU6" s="267"/>
      <c r="AV6" s="124">
        <f>IFERROR(VLOOKUP(AQ3,VIT!$B$48:$R$82,8,FALSE),"")</f>
        <v>4</v>
      </c>
      <c r="AW6" s="286" t="s">
        <v>262</v>
      </c>
      <c r="AX6" s="287"/>
      <c r="AY6" s="287"/>
      <c r="AZ6" s="287"/>
      <c r="BA6" s="32" t="str">
        <f>IFERROR(IF(VLOOKUP(AW6,VIT!$B$48:$R$82,10,FALSE)=0,"",VLOOKUP(AW6,VIT!$B$48:$R$82,10,FALSE)),"")</f>
        <v/>
      </c>
      <c r="BB6" s="52">
        <f>IFERROR(VLOOKUP(AW6,VIT!$B$48:$R$82,9,FALSE),"")</f>
        <v>23</v>
      </c>
      <c r="BC6" s="286" t="s">
        <v>307</v>
      </c>
      <c r="BD6" s="287"/>
      <c r="BE6" s="287"/>
      <c r="BF6" s="287"/>
      <c r="BG6" s="32" t="str">
        <f>IFERROR(IF(VLOOKUP(BC6,MB!$B$48:$R$82,10,FALSE)=0,"",VLOOKUP(BC6,MB!$B$48:$R$82,10,FALSE)),"")</f>
        <v/>
      </c>
      <c r="BH6" s="52">
        <f>IFERROR(VLOOKUP(BC6,MB!$B$48:$R$82,9,FALSE),"")</f>
        <v>25</v>
      </c>
      <c r="BI6" s="263" t="str">
        <f>IFERROR(VLOOKUP(BI3,MB!$B$48:$R$82,16,FALSE),"")</f>
        <v>SK FBC Třinec</v>
      </c>
      <c r="BJ6" s="264"/>
      <c r="BK6" s="265"/>
      <c r="BL6" s="266">
        <f>IFERROR(VLOOKUP(BI3,MB!$B$48:$R$82,17,FALSE),"")</f>
        <v>2004</v>
      </c>
      <c r="BM6" s="267"/>
      <c r="BN6" s="124">
        <f>IFERROR(VLOOKUP(BI3,MB!$B$48:$R$82,8,FALSE),"")</f>
        <v>15</v>
      </c>
      <c r="BO6" s="286" t="s">
        <v>296</v>
      </c>
      <c r="BP6" s="287"/>
      <c r="BQ6" s="287"/>
      <c r="BR6" s="287"/>
      <c r="BS6" s="32" t="str">
        <f>IFERROR(IF(VLOOKUP(BO6,MB!$B$48:$R$82,10,FALSE)=0,"",VLOOKUP(BO6,MB!$B$48:$R$82,10,FALSE)),"")</f>
        <v/>
      </c>
      <c r="BT6" s="52">
        <f>IFERROR(VLOOKUP(BO6,MB!$B$48:$R$82,9,FALSE),"")</f>
        <v>70</v>
      </c>
      <c r="BU6" s="286"/>
      <c r="BV6" s="287"/>
      <c r="BW6" s="287"/>
      <c r="BX6" s="287"/>
      <c r="BY6" s="32" t="str">
        <f>IFERROR(IF(VLOOKUP(BU6,TAT!$B$48:$R$82,10,FALSE)=0,"",VLOOKUP(BU6,TAT!$B$48:$R$82,10,FALSE)),"")</f>
        <v/>
      </c>
      <c r="BZ6" s="52" t="str">
        <f>IFERROR(VLOOKUP(BU6,TAT!$B$48:$R$82,9,FALSE),"")</f>
        <v/>
      </c>
      <c r="CA6" s="263" t="str">
        <f>IFERROR(VLOOKUP(CA3,TAT!$B$48:$R$82,16,FALSE),"")</f>
        <v/>
      </c>
      <c r="CB6" s="264"/>
      <c r="CC6" s="265"/>
      <c r="CD6" s="266" t="str">
        <f>IFERROR(VLOOKUP(CA3,TAT!$B$48:$R$82,17,FALSE),"")</f>
        <v/>
      </c>
      <c r="CE6" s="267"/>
      <c r="CF6" s="124" t="str">
        <f>IFERROR(VLOOKUP(CA3,TAT!$B$48:$R$82,8,FALSE),"")</f>
        <v/>
      </c>
      <c r="CG6" s="286"/>
      <c r="CH6" s="287"/>
      <c r="CI6" s="287"/>
      <c r="CJ6" s="287"/>
      <c r="CK6" s="32" t="str">
        <f>IFERROR(IF(VLOOKUP(CG6,TAT!$B$48:$R$82,10,FALSE)=0,"",VLOOKUP(CG6,TAT!$B$48:$R$82,10,FALSE)),"")</f>
        <v/>
      </c>
      <c r="CL6" s="52" t="str">
        <f>IFERROR(VLOOKUP(CG6,TAT!$B$48:$R$82,9,FALSE),"")</f>
        <v/>
      </c>
      <c r="CM6" s="286" t="s">
        <v>414</v>
      </c>
      <c r="CN6" s="287"/>
      <c r="CO6" s="287"/>
      <c r="CP6" s="287"/>
      <c r="CQ6" s="32" t="str">
        <f>IFERROR(IF(VLOOKUP(CM6,OTR!$B$48:$R$82,10,FALSE)=0,"",VLOOKUP(CM6,OTR!$B$48:$R$82,10,FALSE)),"")</f>
        <v/>
      </c>
      <c r="CR6" s="52">
        <f>IFERROR(VLOOKUP(CM6,OTR!$B$48:$R$82,9,FALSE),"")</f>
        <v>13</v>
      </c>
      <c r="CS6" s="263" t="str">
        <f>IFERROR(VLOOKUP(CS3,OTR!$B$48:$R$82,16,FALSE),"")</f>
        <v>FBC Orel Uherský Brod</v>
      </c>
      <c r="CT6" s="264"/>
      <c r="CU6" s="265"/>
      <c r="CV6" s="266">
        <f>IFERROR(VLOOKUP(CS3,OTR!$B$48:$R$82,17,FALSE),"")</f>
        <v>2005</v>
      </c>
      <c r="CW6" s="267"/>
      <c r="CX6" s="124">
        <f>IFERROR(VLOOKUP(CS3,OTR!$B$48:$R$82,8,FALSE),"")</f>
        <v>4</v>
      </c>
      <c r="CY6" s="286" t="s">
        <v>410</v>
      </c>
      <c r="CZ6" s="287"/>
      <c r="DA6" s="287"/>
      <c r="DB6" s="287"/>
      <c r="DC6" s="32" t="str">
        <f>IFERROR(IF(VLOOKUP(CY6,OTR!$B$48:$R$82,10,FALSE)=0,"",VLOOKUP(CY6,OTR!$B$48:$R$82,10,FALSE)),"")</f>
        <v/>
      </c>
      <c r="DD6" s="52">
        <f>IFERROR(VLOOKUP(CY6,OTR!$B$48:$R$82,9,FALSE),"")</f>
        <v>56</v>
      </c>
      <c r="DE6" s="286" t="s">
        <v>481</v>
      </c>
      <c r="DF6" s="287"/>
      <c r="DG6" s="287"/>
      <c r="DH6" s="287"/>
      <c r="DI6" s="32" t="str">
        <f>IFERROR(IF(VLOOKUP(DE6,BOH!$B$48:$R$82,10,FALSE)=0,"",VLOOKUP(DE6,BOH!$B$48:$R$82,10,FALSE)),"")</f>
        <v/>
      </c>
      <c r="DJ6" s="52">
        <f>IFERROR(VLOOKUP(DE6,BOH!$B$48:$R$82,9,FALSE),"")</f>
        <v>13</v>
      </c>
      <c r="DK6" s="263" t="str">
        <f>IFERROR(VLOOKUP(DK3,BOH!$B$48:$R$82,16,FALSE),"")</f>
        <v>FbŠ Bohemians</v>
      </c>
      <c r="DL6" s="264"/>
      <c r="DM6" s="265"/>
      <c r="DN6" s="266">
        <f>IFERROR(VLOOKUP(DK3,BOH!$B$48:$R$82,17,FALSE),"")</f>
        <v>2010</v>
      </c>
      <c r="DO6" s="267"/>
      <c r="DP6" s="124">
        <f>IFERROR(VLOOKUP(DK3,BOH!$B$48:$R$82,8,FALSE),"")</f>
        <v>8</v>
      </c>
      <c r="DQ6" s="286" t="s">
        <v>478</v>
      </c>
      <c r="DR6" s="287"/>
      <c r="DS6" s="287"/>
      <c r="DT6" s="287"/>
      <c r="DU6" s="32" t="str">
        <f>IFERROR(IF(VLOOKUP(DQ6,BOH!$B$48:$R$82,10,FALSE)=0,"",VLOOKUP(DQ6,BOH!$B$48:$R$82,10,FALSE)),"")</f>
        <v/>
      </c>
      <c r="DV6" s="52">
        <f>IFERROR(VLOOKUP(DQ6,BOH!$B$48:$R$82,9,FALSE),"")</f>
        <v>41</v>
      </c>
      <c r="DW6" s="286"/>
      <c r="DX6" s="287"/>
      <c r="DY6" s="287"/>
      <c r="DZ6" s="287"/>
      <c r="EA6" s="32" t="str">
        <f>IFERROR(IF(VLOOKUP(DW6,SPA!$B$48:$R$82,10,FALSE)=0,"",VLOOKUP(DW6,SPA!$B$48:$R$82,10,FALSE)),"")</f>
        <v/>
      </c>
      <c r="EB6" s="52" t="str">
        <f>IFERROR(VLOOKUP(DW6,SPA!$B$48:$R$82,9,FALSE),"")</f>
        <v/>
      </c>
      <c r="EC6" s="263" t="str">
        <f>IFERROR(VLOOKUP(EC3,SPA!$B$48:$R$82,16,FALSE),"")</f>
        <v/>
      </c>
      <c r="ED6" s="264"/>
      <c r="EE6" s="265"/>
      <c r="EF6" s="266" t="str">
        <f>IFERROR(VLOOKUP(EC3,SPA!$B$48:$R$82,17,FALSE),"")</f>
        <v/>
      </c>
      <c r="EG6" s="267"/>
      <c r="EH6" s="124" t="str">
        <f>IFERROR(VLOOKUP(EC3,SPA!$B$48:$R$82,8,FALSE),"")</f>
        <v/>
      </c>
      <c r="EI6" s="286"/>
      <c r="EJ6" s="287"/>
      <c r="EK6" s="287"/>
      <c r="EL6" s="287"/>
      <c r="EM6" s="32" t="str">
        <f>IFERROR(IF(VLOOKUP(EI6,SPA!$B$48:$R$82,10,FALSE)=0,"",VLOOKUP(EI6,SPA!$B$48:$R$82,10,FALSE)),"")</f>
        <v/>
      </c>
      <c r="EN6" s="52" t="str">
        <f>IFERROR(VLOOKUP(EI6,SPA!$B$48:$R$82,9,FALSE),"")</f>
        <v/>
      </c>
      <c r="EO6" s="286"/>
      <c r="EP6" s="287"/>
      <c r="EQ6" s="287"/>
      <c r="ER6" s="287"/>
      <c r="ES6" s="32" t="str">
        <f>IFERROR(IF(VLOOKUP(EO6,CLP!$B$48:$R$82,10,FALSE)=0,"",VLOOKUP(EO6,CLP!$B$48:$R$82,10,FALSE)),"")</f>
        <v/>
      </c>
      <c r="ET6" s="52" t="str">
        <f>IFERROR(VLOOKUP(EO6,CLP!$B$48:$R$82,9,FALSE),"")</f>
        <v/>
      </c>
      <c r="EU6" s="263" t="str">
        <f>IFERROR(VLOOKUP(EU3,CLP!$B$48:$R$82,16,FALSE),"")</f>
        <v/>
      </c>
      <c r="EV6" s="264"/>
      <c r="EW6" s="265"/>
      <c r="EX6" s="266" t="str">
        <f>IFERROR(VLOOKUP(EU3,CLP!$B$48:$R$82,17,FALSE),"")</f>
        <v/>
      </c>
      <c r="EY6" s="267"/>
      <c r="EZ6" s="124" t="str">
        <f>IFERROR(VLOOKUP(EU3,CLP!$B$48:$R$82,8,FALSE),"")</f>
        <v/>
      </c>
      <c r="FA6" s="286"/>
      <c r="FB6" s="287"/>
      <c r="FC6" s="287"/>
      <c r="FD6" s="287"/>
      <c r="FE6" s="32" t="str">
        <f>IFERROR(IF(VLOOKUP(FA6,CLP!$B$48:$R$82,10,FALSE)=0,"",VLOOKUP(FA6,CLP!$B$48:$R$82,10,FALSE)),"")</f>
        <v/>
      </c>
      <c r="FF6" s="52" t="str">
        <f>IFERROR(VLOOKUP(FA6,CLP!$B$48:$R$82,9,FALSE),"")</f>
        <v/>
      </c>
      <c r="FG6" s="286" t="s">
        <v>762</v>
      </c>
      <c r="FH6" s="287"/>
      <c r="FI6" s="287"/>
      <c r="FJ6" s="287"/>
      <c r="FK6" s="32" t="str">
        <f>IFERROR(IF(VLOOKUP(FG6,LIB!$B$48:$R$82,10,FALSE)=0,"",VLOOKUP(FG6,LIB!$B$48:$R$82,10,FALSE)),"")</f>
        <v>C</v>
      </c>
      <c r="FL6" s="52">
        <f>IFERROR(VLOOKUP(FG6,LIB!$B$48:$R$82,9,FALSE),"")</f>
        <v>6</v>
      </c>
      <c r="FM6" s="263" t="str">
        <f>IFERROR(VLOOKUP(FM3,LIB!$B$48:$R$82,16,FALSE),"")</f>
        <v>Sokol Pardubice</v>
      </c>
      <c r="FN6" s="264"/>
      <c r="FO6" s="265"/>
      <c r="FP6" s="266">
        <f>IFERROR(VLOOKUP(FM3,LIB!$B$48:$R$82,17,FALSE),"")</f>
        <v>2009</v>
      </c>
      <c r="FQ6" s="267"/>
      <c r="FR6" s="124">
        <f>IFERROR(VLOOKUP(FM3,LIB!$B$48:$R$82,8,FALSE),"")</f>
        <v>10</v>
      </c>
      <c r="FS6" s="286" t="s">
        <v>758</v>
      </c>
      <c r="FT6" s="287"/>
      <c r="FU6" s="287"/>
      <c r="FV6" s="287"/>
      <c r="FW6" s="32" t="str">
        <f>IFERROR(IF(VLOOKUP(FS6,LIB!$B$48:$R$82,10,FALSE)=0,"",VLOOKUP(FS6,LIB!$B$48:$R$82,10,FALSE)),"")</f>
        <v/>
      </c>
      <c r="FX6" s="52">
        <f>IFERROR(VLOOKUP(FS6,LIB!$B$48:$R$82,9,FALSE),"")</f>
        <v>22</v>
      </c>
      <c r="FY6" s="286"/>
      <c r="FZ6" s="287"/>
      <c r="GA6" s="287"/>
      <c r="GB6" s="287"/>
      <c r="GC6" s="32" t="str">
        <f>IFERROR(IF(VLOOKUP(FY6,HAT!$B$48:$R$82,10,FALSE)=0,"",VLOOKUP(FY6,HAT!$B$48:$R$82,10,FALSE)),"")</f>
        <v/>
      </c>
      <c r="GD6" s="52" t="str">
        <f>IFERROR(VLOOKUP(FY6,HAT!$B$48:$R$82,9,FALSE),"")</f>
        <v/>
      </c>
      <c r="GE6" s="263" t="str">
        <f>IFERROR(VLOOKUP(GE3,HAT!$B$48:$R$82,16,FALSE),"")</f>
        <v/>
      </c>
      <c r="GF6" s="264"/>
      <c r="GG6" s="265"/>
      <c r="GH6" s="266" t="str">
        <f>IFERROR(VLOOKUP(GE3,HAT!$B$48:$R$82,17,FALSE),"")</f>
        <v/>
      </c>
      <c r="GI6" s="267"/>
      <c r="GJ6" s="124" t="str">
        <f>IFERROR(VLOOKUP(GE3,HAT!$B$48:$R$82,8,FALSE),"")</f>
        <v/>
      </c>
      <c r="GK6" s="286"/>
      <c r="GL6" s="287"/>
      <c r="GM6" s="287"/>
      <c r="GN6" s="287"/>
      <c r="GO6" s="32" t="str">
        <f>IFERROR(IF(VLOOKUP(GK6,HAT!$B$48:$R$82,10,FALSE)=0,"",VLOOKUP(GK6,HAT!$B$48:$R$82,10,FALSE)),"")</f>
        <v/>
      </c>
      <c r="GP6" s="52" t="str">
        <f>IFERROR(VLOOKUP(GK6,HAT!$B$48:$R$82,9,FALSE),"")</f>
        <v/>
      </c>
    </row>
    <row r="7" spans="1:198" ht="15.6" customHeight="1" thickBot="1" x14ac:dyDescent="0.3">
      <c r="A7" s="34" t="str">
        <f>IFERROR(VLOOKUP(A6,SKV!$B$48:$AA$82,11,FALSE),"")</f>
        <v>L</v>
      </c>
      <c r="B7" s="289">
        <f>IFERROR(YEAR(VLOOKUP(A6,SKV!$B$48:$AA$82,2,FALSE)),"")</f>
        <v>1999</v>
      </c>
      <c r="C7" s="260"/>
      <c r="D7" s="35">
        <f ca="1">IFERROR(VLOOKUP(A6,SKV!$B$48:$AA$82,3,FALSE),"")</f>
        <v>21</v>
      </c>
      <c r="E7" s="290" t="str">
        <f>IFERROR(VLOOKUP(A6,SKV!$B$48:$AA$82,15,FALSE),"")</f>
        <v>184/81</v>
      </c>
      <c r="F7" s="291"/>
      <c r="G7" s="33"/>
      <c r="H7" s="33"/>
      <c r="I7" s="33"/>
      <c r="J7" s="33"/>
      <c r="K7" s="33"/>
      <c r="L7" s="33"/>
      <c r="M7" s="34" t="str">
        <f>IFERROR(VLOOKUP(M6,SKV!$B$48:$AA$82,11,FALSE),"")</f>
        <v>L</v>
      </c>
      <c r="N7" s="289">
        <f>IFERROR(YEAR(VLOOKUP(M6,SKV!$B$48:$AA$82,2,FALSE)),"")</f>
        <v>1999</v>
      </c>
      <c r="O7" s="260"/>
      <c r="P7" s="35">
        <f ca="1">IFERROR(VLOOKUP(M6,SKV!$B$48:$AA$82,3,FALSE),"")</f>
        <v>21</v>
      </c>
      <c r="Q7" s="290" t="str">
        <f>IFERROR(VLOOKUP(M6,SKV!$B$48:$AA$82,15,FALSE),"")</f>
        <v>181/82</v>
      </c>
      <c r="R7" s="291"/>
      <c r="S7" s="34" t="str">
        <f>IFERROR(VLOOKUP(S6,CHO!$B$48:$AA$82,11,FALSE),"")</f>
        <v>P</v>
      </c>
      <c r="T7" s="289">
        <f>IFERROR(YEAR(VLOOKUP(S6,CHO!$B$48:$AA$82,2,FALSE)),"")</f>
        <v>1990</v>
      </c>
      <c r="U7" s="260"/>
      <c r="V7" s="35">
        <f ca="1">IFERROR(VLOOKUP(S6,CHO!$B$48:$AA$82,3,FALSE),"")</f>
        <v>30</v>
      </c>
      <c r="W7" s="290" t="str">
        <f>IFERROR(VLOOKUP(S6,CHO!$B$48:$AA$82,15,FALSE),"")</f>
        <v>173/82</v>
      </c>
      <c r="X7" s="291"/>
      <c r="Y7" s="33"/>
      <c r="Z7" s="33"/>
      <c r="AA7" s="33"/>
      <c r="AB7" s="33"/>
      <c r="AC7" s="33"/>
      <c r="AD7" s="33"/>
      <c r="AE7" s="34" t="str">
        <f>IFERROR(VLOOKUP(AE6,CHO!$B$48:$AA$82,11,FALSE),"")</f>
        <v>P</v>
      </c>
      <c r="AF7" s="289">
        <f>IFERROR(YEAR(VLOOKUP(AE6,CHO!$B$48:$AA$82,2,FALSE)),"")</f>
        <v>1988</v>
      </c>
      <c r="AG7" s="260"/>
      <c r="AH7" s="35">
        <f ca="1">IFERROR(VLOOKUP(AE6,CHO!$B$48:$AA$82,3,FALSE),"")</f>
        <v>32</v>
      </c>
      <c r="AI7" s="290" t="str">
        <f>IFERROR(VLOOKUP(AE6,CHO!$B$48:$AA$82,15,FALSE),"")</f>
        <v>180/74</v>
      </c>
      <c r="AJ7" s="291"/>
      <c r="AK7" s="34" t="str">
        <f>IFERROR(VLOOKUP(AK6,VIT!$B$48:$R$82,11,FALSE),"")</f>
        <v>L</v>
      </c>
      <c r="AL7" s="289">
        <f>IFERROR(YEAR(VLOOKUP(AK6,VIT!$B$48:$R$82,2,FALSE)),"")</f>
        <v>1999</v>
      </c>
      <c r="AM7" s="260"/>
      <c r="AN7" s="106">
        <f ca="1">IFERROR(VLOOKUP(AK6,VIT!$B$48:$R$82,3,FALSE),"")</f>
        <v>21</v>
      </c>
      <c r="AO7" s="290" t="str">
        <f>IFERROR(VLOOKUP(AK6,VIT!$B$48:$R$82,15,FALSE),"")</f>
        <v>179/76</v>
      </c>
      <c r="AP7" s="291"/>
      <c r="AQ7" s="33"/>
      <c r="AR7" s="33"/>
      <c r="AS7" s="33"/>
      <c r="AT7" s="33"/>
      <c r="AU7" s="33"/>
      <c r="AV7" s="33"/>
      <c r="AW7" s="34" t="str">
        <f>IFERROR(VLOOKUP(AW6,VIT!$B$48:$R$82,11,FALSE),"")</f>
        <v>L</v>
      </c>
      <c r="AX7" s="289">
        <f>IFERROR(YEAR(VLOOKUP(AW6,VIT!$B$48:$R$82,2,FALSE)),"")</f>
        <v>1992</v>
      </c>
      <c r="AY7" s="260"/>
      <c r="AZ7" s="106">
        <f ca="1">IFERROR(VLOOKUP(AW6,VIT!$B$48:$R$82,3,FALSE),"")</f>
        <v>28</v>
      </c>
      <c r="BA7" s="290" t="str">
        <f>IFERROR(VLOOKUP(AW6,VIT!$B$48:$R$82,15,FALSE),"")</f>
        <v>179/69</v>
      </c>
      <c r="BB7" s="291"/>
      <c r="BC7" s="34" t="str">
        <f>IFERROR(VLOOKUP(BC6,MB!$B$48:$R$82,11,FALSE),"")</f>
        <v>P</v>
      </c>
      <c r="BD7" s="289">
        <f>IFERROR(YEAR(VLOOKUP(BC6,MB!$B$48:$R$82,2,FALSE)),"")</f>
        <v>1994</v>
      </c>
      <c r="BE7" s="260"/>
      <c r="BF7" s="108">
        <f ca="1">IFERROR(VLOOKUP(BC6,MB!$B$48:$R$82,3,FALSE),"")</f>
        <v>26</v>
      </c>
      <c r="BG7" s="290" t="str">
        <f>IFERROR(VLOOKUP(BC6,MB!$B$48:$R$82,15,FALSE),"")</f>
        <v>185/84</v>
      </c>
      <c r="BH7" s="291"/>
      <c r="BI7" s="33"/>
      <c r="BJ7" s="33"/>
      <c r="BK7" s="33"/>
      <c r="BL7" s="33"/>
      <c r="BM7" s="33"/>
      <c r="BN7" s="33"/>
      <c r="BO7" s="34" t="str">
        <f>IFERROR(VLOOKUP(BO6,MB!$B$48:$R$82,11,FALSE),"")</f>
        <v>L</v>
      </c>
      <c r="BP7" s="289">
        <f>IFERROR(YEAR(VLOOKUP(BO6,MB!$B$48:$R$82,2,FALSE)),"")</f>
        <v>1989</v>
      </c>
      <c r="BQ7" s="260"/>
      <c r="BR7" s="108">
        <f ca="1">IFERROR(VLOOKUP(BO6,MB!$B$48:$R$82,3,FALSE),"")</f>
        <v>31</v>
      </c>
      <c r="BS7" s="290" t="str">
        <f>IFERROR(VLOOKUP(BO6,MB!$B$48:$R$82,15,FALSE),"")</f>
        <v>186/88</v>
      </c>
      <c r="BT7" s="291"/>
      <c r="BU7" s="34" t="str">
        <f>IFERROR(VLOOKUP(BU6,TAT!$B$48:$R$82,11,FALSE),"")</f>
        <v/>
      </c>
      <c r="BV7" s="289" t="str">
        <f>IFERROR(YEAR(VLOOKUP(BU6,TAT!$B$48:$R$82,2,FALSE)),"")</f>
        <v/>
      </c>
      <c r="BW7" s="260"/>
      <c r="BX7" s="150" t="str">
        <f>IFERROR(VLOOKUP(BU6,TAT!$B$48:$R$82,3,FALSE),"")</f>
        <v/>
      </c>
      <c r="BY7" s="290" t="str">
        <f>IFERROR(VLOOKUP(BU6,TAT!$B$48:$R$82,15,FALSE),"")</f>
        <v/>
      </c>
      <c r="BZ7" s="291"/>
      <c r="CA7" s="33"/>
      <c r="CB7" s="33"/>
      <c r="CC7" s="33"/>
      <c r="CD7" s="33"/>
      <c r="CE7" s="33"/>
      <c r="CF7" s="33"/>
      <c r="CG7" s="34" t="str">
        <f>IFERROR(VLOOKUP(CG6,TAT!$B$48:$R$82,11,FALSE),"")</f>
        <v/>
      </c>
      <c r="CH7" s="289" t="str">
        <f>IFERROR(YEAR(VLOOKUP(CG6,TAT!$B$48:$R$82,2,FALSE)),"")</f>
        <v/>
      </c>
      <c r="CI7" s="260"/>
      <c r="CJ7" s="150" t="str">
        <f>IFERROR(VLOOKUP(CG6,TAT!$B$48:$R$82,3,FALSE),"")</f>
        <v/>
      </c>
      <c r="CK7" s="290" t="str">
        <f>IFERROR(VLOOKUP(CG6,TAT!$B$48:$R$82,15,FALSE),"")</f>
        <v/>
      </c>
      <c r="CL7" s="291"/>
      <c r="CM7" s="34" t="str">
        <f>IFERROR(VLOOKUP(CM6,OTR!$B$48:$R$82,11,FALSE),"")</f>
        <v>L</v>
      </c>
      <c r="CN7" s="289">
        <f>IFERROR(YEAR(VLOOKUP(CM6,OTR!$B$48:$R$82,2,FALSE)),"")</f>
        <v>1997</v>
      </c>
      <c r="CO7" s="260"/>
      <c r="CP7" s="150">
        <f ca="1">IFERROR(VLOOKUP(CM6,OTR!$B$48:$R$82,3,FALSE),"")</f>
        <v>23</v>
      </c>
      <c r="CQ7" s="290" t="str">
        <f>IFERROR(VLOOKUP(CM6,OTR!$B$48:$R$82,15,FALSE),"")</f>
        <v>182/74</v>
      </c>
      <c r="CR7" s="291"/>
      <c r="CS7" s="33"/>
      <c r="CT7" s="33"/>
      <c r="CU7" s="33"/>
      <c r="CV7" s="33"/>
      <c r="CW7" s="33"/>
      <c r="CX7" s="33"/>
      <c r="CY7" s="34" t="str">
        <f>IFERROR(VLOOKUP(CY6,OTR!$B$48:$R$82,11,FALSE),"")</f>
        <v>L</v>
      </c>
      <c r="CZ7" s="289">
        <f>IFERROR(YEAR(VLOOKUP(CY6,OTR!$B$48:$R$82,2,FALSE)),"")</f>
        <v>1989</v>
      </c>
      <c r="DA7" s="260"/>
      <c r="DB7" s="150">
        <f ca="1">IFERROR(VLOOKUP(CY6,OTR!$B$48:$R$82,3,FALSE),"")</f>
        <v>32</v>
      </c>
      <c r="DC7" s="290" t="str">
        <f>IFERROR(VLOOKUP(CY6,OTR!$B$48:$R$82,15,FALSE),"")</f>
        <v>182/79</v>
      </c>
      <c r="DD7" s="291"/>
      <c r="DE7" s="34" t="str">
        <f>IFERROR(VLOOKUP(DE6,BOH!$B$48:$R$82,11,FALSE),"")</f>
        <v>P</v>
      </c>
      <c r="DF7" s="289">
        <f>IFERROR(YEAR(VLOOKUP(DE6,BOH!$B$48:$R$82,2,FALSE)),"")</f>
        <v>2002</v>
      </c>
      <c r="DG7" s="260"/>
      <c r="DH7" s="165">
        <f ca="1">IFERROR(VLOOKUP(DE6,BOH!$B$48:$R$82,3,FALSE),"")</f>
        <v>18</v>
      </c>
      <c r="DI7" s="290" t="str">
        <f>IFERROR(VLOOKUP(DE6,BOH!$B$48:$R$82,15,FALSE),"")</f>
        <v>179/73</v>
      </c>
      <c r="DJ7" s="291"/>
      <c r="DK7" s="33"/>
      <c r="DL7" s="33"/>
      <c r="DM7" s="33"/>
      <c r="DN7" s="33"/>
      <c r="DO7" s="33"/>
      <c r="DP7" s="33"/>
      <c r="DQ7" s="34" t="str">
        <f>IFERROR(VLOOKUP(DQ6,BOH!$B$48:$R$82,11,FALSE),"")</f>
        <v>P</v>
      </c>
      <c r="DR7" s="289">
        <f>IFERROR(YEAR(VLOOKUP(DQ6,BOH!$B$48:$R$82,2,FALSE)),"")</f>
        <v>2002</v>
      </c>
      <c r="DS7" s="260"/>
      <c r="DT7" s="165">
        <f ca="1">IFERROR(VLOOKUP(DQ6,BOH!$B$48:$R$82,3,FALSE),"")</f>
        <v>18</v>
      </c>
      <c r="DU7" s="290" t="str">
        <f>IFERROR(VLOOKUP(DQ6,BOH!$B$48:$R$82,15,FALSE),"")</f>
        <v>168/70</v>
      </c>
      <c r="DV7" s="291"/>
      <c r="DW7" s="34" t="str">
        <f>IFERROR(VLOOKUP(DW6,SPA!$B$48:$R$82,11,FALSE),"")</f>
        <v/>
      </c>
      <c r="DX7" s="289" t="str">
        <f>IFERROR(YEAR(VLOOKUP(DW6,SPA!$B$48:$R$82,2,FALSE)),"")</f>
        <v/>
      </c>
      <c r="DY7" s="260"/>
      <c r="DZ7" s="165" t="str">
        <f>IFERROR(VLOOKUP(DW6,SPA!$B$48:$R$82,3,FALSE),"")</f>
        <v/>
      </c>
      <c r="EA7" s="290" t="str">
        <f>IFERROR(VLOOKUP(DW6,SPA!$B$48:$R$82,15,FALSE),"")</f>
        <v/>
      </c>
      <c r="EB7" s="291"/>
      <c r="EC7" s="33"/>
      <c r="ED7" s="33"/>
      <c r="EE7" s="33"/>
      <c r="EF7" s="33"/>
      <c r="EG7" s="33"/>
      <c r="EH7" s="33"/>
      <c r="EI7" s="34" t="str">
        <f>IFERROR(VLOOKUP(EI6,SPA!$B$48:$R$82,11,FALSE),"")</f>
        <v/>
      </c>
      <c r="EJ7" s="289" t="str">
        <f>IFERROR(YEAR(VLOOKUP(EI6,SPA!$B$48:$R$82,2,FALSE)),"")</f>
        <v/>
      </c>
      <c r="EK7" s="260"/>
      <c r="EL7" s="165" t="str">
        <f>IFERROR(VLOOKUP(EI6,SPA!$B$48:$R$82,3,FALSE),"")</f>
        <v/>
      </c>
      <c r="EM7" s="290" t="str">
        <f>IFERROR(VLOOKUP(EI6,SPA!$B$48:$R$82,15,FALSE),"")</f>
        <v/>
      </c>
      <c r="EN7" s="291"/>
      <c r="EO7" s="34" t="str">
        <f>IFERROR(VLOOKUP(EO6,CLP!$B$48:$R$82,11,FALSE),"")</f>
        <v/>
      </c>
      <c r="EP7" s="289" t="str">
        <f>IFERROR(YEAR(VLOOKUP(EO6,CLP!$B$48:$R$82,2,FALSE)),"")</f>
        <v/>
      </c>
      <c r="EQ7" s="260"/>
      <c r="ER7" s="204" t="str">
        <f>IFERROR(VLOOKUP(EO6,CLP!$B$48:$R$82,3,FALSE),"")</f>
        <v/>
      </c>
      <c r="ES7" s="290" t="str">
        <f>IFERROR(VLOOKUP(EO6,CLP!$B$48:$R$82,15,FALSE),"")</f>
        <v/>
      </c>
      <c r="ET7" s="291"/>
      <c r="EU7" s="33"/>
      <c r="EV7" s="33"/>
      <c r="EW7" s="33"/>
      <c r="EX7" s="33"/>
      <c r="EY7" s="33"/>
      <c r="EZ7" s="33"/>
      <c r="FA7" s="34" t="str">
        <f>IFERROR(VLOOKUP(FA6,CLP!$B$48:$R$82,11,FALSE),"")</f>
        <v/>
      </c>
      <c r="FB7" s="289" t="str">
        <f>IFERROR(YEAR(VLOOKUP(FA6,CLP!$B$48:$R$82,2,FALSE)),"")</f>
        <v/>
      </c>
      <c r="FC7" s="260"/>
      <c r="FD7" s="204" t="str">
        <f>IFERROR(VLOOKUP(FA6,CLP!$B$48:$R$82,3,FALSE),"")</f>
        <v/>
      </c>
      <c r="FE7" s="290" t="str">
        <f>IFERROR(VLOOKUP(FA6,CLP!$B$48:$R$82,15,FALSE),"")</f>
        <v/>
      </c>
      <c r="FF7" s="291"/>
      <c r="FG7" s="34" t="str">
        <f>IFERROR(VLOOKUP(FG6,LIB!$B$48:$R$82,11,FALSE),"")</f>
        <v>L</v>
      </c>
      <c r="FH7" s="289">
        <f>IFERROR(YEAR(VLOOKUP(FG6,LIB!$B$48:$R$82,2,FALSE)),"")</f>
        <v>1989</v>
      </c>
      <c r="FI7" s="260"/>
      <c r="FJ7" s="204">
        <f ca="1">IFERROR(VLOOKUP(FG6,LIB!$B$48:$R$82,3,FALSE),"")</f>
        <v>31</v>
      </c>
      <c r="FK7" s="290" t="str">
        <f>IFERROR(VLOOKUP(FG6,LIB!$B$48:$R$82,15,FALSE),"")</f>
        <v>194/98</v>
      </c>
      <c r="FL7" s="291"/>
      <c r="FM7" s="33"/>
      <c r="FN7" s="33"/>
      <c r="FO7" s="33"/>
      <c r="FP7" s="33"/>
      <c r="FQ7" s="33"/>
      <c r="FR7" s="33"/>
      <c r="FS7" s="34" t="str">
        <f>IFERROR(VLOOKUP(FS6,LIB!$B$48:$R$82,11,FALSE),"")</f>
        <v>L</v>
      </c>
      <c r="FT7" s="289">
        <f>IFERROR(YEAR(VLOOKUP(FS6,LIB!$B$48:$R$82,2,FALSE)),"")</f>
        <v>1999</v>
      </c>
      <c r="FU7" s="260"/>
      <c r="FV7" s="204">
        <f ca="1">IFERROR(VLOOKUP(FS6,LIB!$B$48:$R$82,3,FALSE),"")</f>
        <v>21</v>
      </c>
      <c r="FW7" s="290" t="str">
        <f>IFERROR(VLOOKUP(FS6,LIB!$B$48:$R$82,15,FALSE),"")</f>
        <v>164/60</v>
      </c>
      <c r="FX7" s="291"/>
      <c r="FY7" s="34" t="str">
        <f>IFERROR(VLOOKUP(FY6,HAT!$B$48:$R$82,11,FALSE),"")</f>
        <v/>
      </c>
      <c r="FZ7" s="289" t="str">
        <f>IFERROR(YEAR(VLOOKUP(FY6,HAT!$B$48:$R$82,2,FALSE)),"")</f>
        <v/>
      </c>
      <c r="GA7" s="260"/>
      <c r="GB7" s="211" t="str">
        <f>IFERROR(VLOOKUP(FY6,HAT!$B$48:$R$82,3,FALSE),"")</f>
        <v/>
      </c>
      <c r="GC7" s="290" t="str">
        <f>IFERROR(VLOOKUP(FY6,HAT!$B$48:$R$82,15,FALSE),"")</f>
        <v/>
      </c>
      <c r="GD7" s="291"/>
      <c r="GE7" s="33"/>
      <c r="GF7" s="33"/>
      <c r="GG7" s="33"/>
      <c r="GH7" s="33"/>
      <c r="GI7" s="33"/>
      <c r="GJ7" s="33"/>
      <c r="GK7" s="34" t="str">
        <f>IFERROR(VLOOKUP(GK6,HAT!$B$48:$R$82,11,FALSE),"")</f>
        <v/>
      </c>
      <c r="GL7" s="289" t="str">
        <f>IFERROR(YEAR(VLOOKUP(GK6,HAT!$B$48:$R$82,2,FALSE)),"")</f>
        <v/>
      </c>
      <c r="GM7" s="260"/>
      <c r="GN7" s="211" t="str">
        <f>IFERROR(VLOOKUP(GK6,HAT!$B$48:$R$82,3,FALSE),"")</f>
        <v/>
      </c>
      <c r="GO7" s="290" t="str">
        <f>IFERROR(VLOOKUP(GK6,HAT!$B$48:$R$82,15,FALSE),"")</f>
        <v/>
      </c>
      <c r="GP7" s="291"/>
    </row>
    <row r="8" spans="1:198" ht="15.6" customHeight="1" x14ac:dyDescent="0.25">
      <c r="A8" s="297" t="str">
        <f>IFERROR(VLOOKUP(A6,SKV!$B$2:$O$36,14,FALSE),"")</f>
        <v>13 OZ , 3 (0+3), -12 ±</v>
      </c>
      <c r="B8" s="298"/>
      <c r="C8" s="298"/>
      <c r="D8" s="299" t="str">
        <f>IFERROR(VLOOKUP(A6,SKV!$B$48:$AA$82,14,FALSE),"")</f>
        <v>123 OZ, 70 (38+32)</v>
      </c>
      <c r="E8" s="299"/>
      <c r="F8" s="300"/>
      <c r="G8" s="33"/>
      <c r="H8" s="301" t="s">
        <v>29</v>
      </c>
      <c r="I8" s="301"/>
      <c r="J8" s="301"/>
      <c r="K8" s="301"/>
      <c r="L8" s="33"/>
      <c r="M8" s="297" t="str">
        <f>IFERROR(VLOOKUP(M6,SKV!$B$2:$O$36,14,FALSE),"")</f>
        <v>24 OZ , 1 (0+1), -12 ±</v>
      </c>
      <c r="N8" s="298"/>
      <c r="O8" s="298"/>
      <c r="P8" s="299" t="str">
        <f>IFERROR(VLOOKUP(M6,SKV!$B$48:$AA$82,14,FALSE),"")</f>
        <v>24 OZ, 1 (0+1)</v>
      </c>
      <c r="Q8" s="299"/>
      <c r="R8" s="300"/>
      <c r="S8" s="297" t="str">
        <f>IFERROR(VLOOKUP(S6,CHO!$B$2:$O$36,14,FALSE),"")</f>
        <v>23 OZ , 12 (4+8), +5 ±</v>
      </c>
      <c r="T8" s="298"/>
      <c r="U8" s="298"/>
      <c r="V8" s="299" t="str">
        <f>IFERROR(VLOOKUP(S6,CHO!$B$48:$AA$82,14,FALSE),"")</f>
        <v>221 OZ, 151 (44+107)</v>
      </c>
      <c r="W8" s="299"/>
      <c r="X8" s="300"/>
      <c r="Y8" s="33"/>
      <c r="Z8" s="301" t="s">
        <v>145</v>
      </c>
      <c r="AA8" s="301"/>
      <c r="AB8" s="301"/>
      <c r="AC8" s="301"/>
      <c r="AD8" s="33"/>
      <c r="AE8" s="297" t="str">
        <f>IFERROR(VLOOKUP(AE6,CHO!$B$2:$O$36,14,FALSE),"")</f>
        <v>24 OZ , 25 (5+20), +9 ±</v>
      </c>
      <c r="AF8" s="298"/>
      <c r="AG8" s="298"/>
      <c r="AH8" s="299" t="str">
        <f>IFERROR(VLOOKUP(AE6,CHO!$B$48:$AA$82,14,FALSE),"")</f>
        <v>228 OZ, 217 (59+158)</v>
      </c>
      <c r="AI8" s="299"/>
      <c r="AJ8" s="300"/>
      <c r="AK8" s="297" t="str">
        <f>IFERROR(VLOOKUP(AK6,VIT!$B$2:$O$36,14,FALSE),"")</f>
        <v>25 OZ , 21 (9+12), +47 ±</v>
      </c>
      <c r="AL8" s="298"/>
      <c r="AM8" s="298"/>
      <c r="AN8" s="299" t="str">
        <f>IFERROR(VLOOKUP(AK6,VIT!$B$48:$R$82,14,FALSE),"")</f>
        <v>127 OZ, 91 (38+53)</v>
      </c>
      <c r="AO8" s="299"/>
      <c r="AP8" s="300"/>
      <c r="AQ8" s="33"/>
      <c r="AR8" s="301" t="s">
        <v>141</v>
      </c>
      <c r="AS8" s="301"/>
      <c r="AT8" s="301"/>
      <c r="AU8" s="301"/>
      <c r="AV8" s="33"/>
      <c r="AW8" s="297" t="str">
        <f>IFERROR(VLOOKUP(AW6,VIT!$B$2:$O$36,14,FALSE),"")</f>
        <v>25 OZ , 9 (0+9), +47 ±</v>
      </c>
      <c r="AX8" s="298"/>
      <c r="AY8" s="298"/>
      <c r="AZ8" s="299" t="str">
        <f>IFERROR(VLOOKUP(AW6,VIT!$B$48:$R$82,14,FALSE),"")</f>
        <v>139 OZ, 40 (10+30)</v>
      </c>
      <c r="BA8" s="299"/>
      <c r="BB8" s="300"/>
      <c r="BC8" s="297" t="str">
        <f>IFERROR(VLOOKUP(BC6,MB!$B$2:$O$36,14,FALSE),"")</f>
        <v>26 OZ , 8 (2+6), +36 ±</v>
      </c>
      <c r="BD8" s="298"/>
      <c r="BE8" s="298"/>
      <c r="BF8" s="299" t="str">
        <f>IFERROR(VLOOKUP(BC6,MB!$B$48:$R$82,14,FALSE),"")</f>
        <v>207 OZ, 135 (78+57)</v>
      </c>
      <c r="BG8" s="299"/>
      <c r="BH8" s="300"/>
      <c r="BI8" s="33"/>
      <c r="BJ8" s="301" t="s">
        <v>150</v>
      </c>
      <c r="BK8" s="301"/>
      <c r="BL8" s="301"/>
      <c r="BM8" s="301"/>
      <c r="BN8" s="33"/>
      <c r="BO8" s="297" t="str">
        <f>IFERROR(VLOOKUP(BO6,MB!$B$2:$O$36,14,FALSE),"")</f>
        <v>25 OZ , 21 (4+17), +48 ±</v>
      </c>
      <c r="BP8" s="298"/>
      <c r="BQ8" s="298"/>
      <c r="BR8" s="299" t="str">
        <f>IFERROR(VLOOKUP(BO6,MB!$B$48:$R$82,14,FALSE),"")</f>
        <v>285 OZ, 176 (47+129)</v>
      </c>
      <c r="BS8" s="299"/>
      <c r="BT8" s="300"/>
      <c r="BU8" s="297" t="str">
        <f>IFERROR(VLOOKUP(BU6,TAT!$B$2:$O$36,14,FALSE),"")</f>
        <v/>
      </c>
      <c r="BV8" s="298"/>
      <c r="BW8" s="298"/>
      <c r="BX8" s="299" t="str">
        <f>IFERROR(VLOOKUP(BU6,TAT!$B$48:$R$82,14,FALSE),"")</f>
        <v/>
      </c>
      <c r="BY8" s="299"/>
      <c r="BZ8" s="300"/>
      <c r="CA8" s="33"/>
      <c r="CB8" s="301" t="s">
        <v>142</v>
      </c>
      <c r="CC8" s="301"/>
      <c r="CD8" s="301"/>
      <c r="CE8" s="301"/>
      <c r="CF8" s="33"/>
      <c r="CG8" s="297" t="str">
        <f>IFERROR(VLOOKUP(CG6,TAT!$B$2:$O$36,14,FALSE),"")</f>
        <v/>
      </c>
      <c r="CH8" s="298"/>
      <c r="CI8" s="298"/>
      <c r="CJ8" s="299" t="str">
        <f>IFERROR(VLOOKUP(CG6,TAT!$B$48:$R$82,14,FALSE),"")</f>
        <v/>
      </c>
      <c r="CK8" s="299"/>
      <c r="CL8" s="300"/>
      <c r="CM8" s="297" t="str">
        <f>IFERROR(VLOOKUP(CM6,OTR!$B$2:$O$36,14,FALSE),"")</f>
        <v>14 OZ , 5 (2+3), -10 ±</v>
      </c>
      <c r="CN8" s="298"/>
      <c r="CO8" s="298"/>
      <c r="CP8" s="299" t="str">
        <f>IFERROR(VLOOKUP(CM6,OTR!$B$48:$R$82,14,FALSE),"")</f>
        <v>38 OZ, 11 (2+9)</v>
      </c>
      <c r="CQ8" s="299"/>
      <c r="CR8" s="300"/>
      <c r="CS8" s="33"/>
      <c r="CT8" s="301" t="s">
        <v>153</v>
      </c>
      <c r="CU8" s="301"/>
      <c r="CV8" s="301"/>
      <c r="CW8" s="301"/>
      <c r="CX8" s="33"/>
      <c r="CY8" s="297" t="str">
        <f>IFERROR(VLOOKUP(CY6,OTR!$B$2:$O$36,14,FALSE),"")</f>
        <v>19 OZ , 10 (6+4), -18 ±</v>
      </c>
      <c r="CZ8" s="298"/>
      <c r="DA8" s="298"/>
      <c r="DB8" s="299" t="str">
        <f>IFERROR(VLOOKUP(CY6,OTR!$B$48:$R$82,14,FALSE),"")</f>
        <v>224 OZ, 115 (47+68)</v>
      </c>
      <c r="DC8" s="299"/>
      <c r="DD8" s="300"/>
      <c r="DE8" s="297" t="str">
        <f>IFERROR(VLOOKUP(DE6,BOH!$B$2:$O$36,14,FALSE),"")</f>
        <v>26 OZ , 21 (12+9), +16 ±</v>
      </c>
      <c r="DF8" s="298"/>
      <c r="DG8" s="298"/>
      <c r="DH8" s="299" t="str">
        <f>IFERROR(VLOOKUP(DE6,BOH!$B$48:$R$82,14,FALSE),"")</f>
        <v>48 OZ, 25 (14+11)</v>
      </c>
      <c r="DI8" s="299"/>
      <c r="DJ8" s="300"/>
      <c r="DK8" s="33"/>
      <c r="DL8" s="301" t="s">
        <v>143</v>
      </c>
      <c r="DM8" s="301"/>
      <c r="DN8" s="301"/>
      <c r="DO8" s="301"/>
      <c r="DP8" s="33"/>
      <c r="DQ8" s="297" t="str">
        <f>IFERROR(VLOOKUP(DQ6,BOH!$B$2:$O$36,14,FALSE),"")</f>
        <v>26 OZ , 45 (30+15), +18 ±</v>
      </c>
      <c r="DR8" s="298"/>
      <c r="DS8" s="298"/>
      <c r="DT8" s="299" t="str">
        <f>IFERROR(VLOOKUP(DQ6,BOH!$B$48:$R$82,14,FALSE),"")</f>
        <v>33 OZ, 46 (31+15)</v>
      </c>
      <c r="DU8" s="299"/>
      <c r="DV8" s="300"/>
      <c r="DW8" s="297" t="str">
        <f>IFERROR(VLOOKUP(DW6,SPA!$B$2:$O$36,14,FALSE),"")</f>
        <v/>
      </c>
      <c r="DX8" s="298"/>
      <c r="DY8" s="298"/>
      <c r="DZ8" s="299" t="str">
        <f>IFERROR(VLOOKUP(DW6,SPA!$B$48:$R$82,14,FALSE),"")</f>
        <v/>
      </c>
      <c r="EA8" s="299"/>
      <c r="EB8" s="300"/>
      <c r="EC8" s="33"/>
      <c r="ED8" s="301" t="s">
        <v>148</v>
      </c>
      <c r="EE8" s="301"/>
      <c r="EF8" s="301"/>
      <c r="EG8" s="301"/>
      <c r="EH8" s="33"/>
      <c r="EI8" s="297" t="str">
        <f>IFERROR(VLOOKUP(EI6,SPA!$B$2:$O$36,14,FALSE),"")</f>
        <v/>
      </c>
      <c r="EJ8" s="298"/>
      <c r="EK8" s="298"/>
      <c r="EL8" s="299" t="str">
        <f>IFERROR(VLOOKUP(EI6,SPA!$B$48:$R$82,14,FALSE),"")</f>
        <v/>
      </c>
      <c r="EM8" s="299"/>
      <c r="EN8" s="300"/>
      <c r="EO8" s="297" t="str">
        <f>IFERROR(VLOOKUP(EO6,CLP!$B$2:$O$36,14,FALSE),"")</f>
        <v/>
      </c>
      <c r="EP8" s="298"/>
      <c r="EQ8" s="298"/>
      <c r="ER8" s="299" t="str">
        <f>IFERROR(VLOOKUP(EO6,CLP!$B$48:$R$82,14,FALSE),"")</f>
        <v/>
      </c>
      <c r="ES8" s="299"/>
      <c r="ET8" s="300"/>
      <c r="EU8" s="33"/>
      <c r="EV8" s="301" t="s">
        <v>152</v>
      </c>
      <c r="EW8" s="301"/>
      <c r="EX8" s="301"/>
      <c r="EY8" s="301"/>
      <c r="EZ8" s="33"/>
      <c r="FA8" s="297" t="str">
        <f>IFERROR(VLOOKUP(FA6,CLP!$B$2:$O$36,14,FALSE),"")</f>
        <v/>
      </c>
      <c r="FB8" s="298"/>
      <c r="FC8" s="298"/>
      <c r="FD8" s="299" t="str">
        <f>IFERROR(VLOOKUP(FA6,CLP!$B$48:$R$82,14,FALSE),"")</f>
        <v/>
      </c>
      <c r="FE8" s="299"/>
      <c r="FF8" s="300"/>
      <c r="FG8" s="297" t="str">
        <f>IFERROR(VLOOKUP(FG6,LIB!$B$2:$O$36,14,FALSE),"")</f>
        <v>24 OZ , 6 (2+4), -6 ±</v>
      </c>
      <c r="FH8" s="298"/>
      <c r="FI8" s="298"/>
      <c r="FJ8" s="299" t="str">
        <f>IFERROR(VLOOKUP(FG6,LIB!$B$48:$R$82,14,FALSE),"")</f>
        <v>242 OZ, 118 (63+55)</v>
      </c>
      <c r="FK8" s="299"/>
      <c r="FL8" s="300"/>
      <c r="FM8" s="33"/>
      <c r="FN8" s="301" t="s">
        <v>144</v>
      </c>
      <c r="FO8" s="301"/>
      <c r="FP8" s="301"/>
      <c r="FQ8" s="301"/>
      <c r="FR8" s="33"/>
      <c r="FS8" s="297" t="str">
        <f>IFERROR(VLOOKUP(FS6,LIB!$B$2:$O$36,14,FALSE),"")</f>
        <v>25 OZ , 10 (5+5), -4 ±</v>
      </c>
      <c r="FT8" s="298"/>
      <c r="FU8" s="298"/>
      <c r="FV8" s="299" t="str">
        <f>IFERROR(VLOOKUP(FS6,LIB!$B$48:$R$82,14,FALSE),"")</f>
        <v>75 OZ, 44 (23+21)</v>
      </c>
      <c r="FW8" s="299"/>
      <c r="FX8" s="300"/>
      <c r="FY8" s="297" t="str">
        <f>IFERROR(VLOOKUP(FY6,HAT!$B$2:$O$36,14,FALSE),"")</f>
        <v/>
      </c>
      <c r="FZ8" s="298"/>
      <c r="GA8" s="298"/>
      <c r="GB8" s="299" t="str">
        <f>IFERROR(VLOOKUP(FY6,HAT!$B$48:$R$82,14,FALSE),"")</f>
        <v/>
      </c>
      <c r="GC8" s="299"/>
      <c r="GD8" s="300"/>
      <c r="GE8" s="33"/>
      <c r="GF8" s="301" t="s">
        <v>151</v>
      </c>
      <c r="GG8" s="301"/>
      <c r="GH8" s="301"/>
      <c r="GI8" s="301"/>
      <c r="GJ8" s="33"/>
      <c r="GK8" s="297" t="str">
        <f>IFERROR(VLOOKUP(GK6,HAT!$B$2:$O$36,14,FALSE),"")</f>
        <v/>
      </c>
      <c r="GL8" s="298"/>
      <c r="GM8" s="298"/>
      <c r="GN8" s="299" t="str">
        <f>IFERROR(VLOOKUP(GK6,HAT!$B$48:$R$82,14,FALSE),"")</f>
        <v/>
      </c>
      <c r="GO8" s="299"/>
      <c r="GP8" s="300"/>
    </row>
    <row r="9" spans="1:198" ht="15.6" customHeight="1" thickBot="1" x14ac:dyDescent="0.3">
      <c r="A9" s="263" t="str">
        <f>IFERROR(VLOOKUP(A6,SKV!$B$48:$AA$82,16,FALSE),"")</f>
        <v>Black Angels</v>
      </c>
      <c r="B9" s="264"/>
      <c r="C9" s="265"/>
      <c r="D9" s="266">
        <f>IFERROR(VLOOKUP(A6,SKV!$B$48:$AA$82,17,FALSE),"")</f>
        <v>2008</v>
      </c>
      <c r="E9" s="267"/>
      <c r="F9" s="124">
        <f>IFERROR(VLOOKUP(A6,SKV!$B$48:$AA$82,8,FALSE),"")</f>
        <v>5</v>
      </c>
      <c r="G9" s="33"/>
      <c r="H9" s="301"/>
      <c r="I9" s="301"/>
      <c r="J9" s="301"/>
      <c r="K9" s="301"/>
      <c r="L9" s="33"/>
      <c r="M9" s="263" t="str">
        <f>IFERROR(VLOOKUP(M6,SKV!$B$48:$AA$82,16,FALSE),"")</f>
        <v>Bohemians</v>
      </c>
      <c r="N9" s="264"/>
      <c r="O9" s="265"/>
      <c r="P9" s="266">
        <f>IFERROR(VLOOKUP(M6,SKV!$B$48:$AA$82,17,FALSE),"")</f>
        <v>2009</v>
      </c>
      <c r="Q9" s="267"/>
      <c r="R9" s="124">
        <f>IFERROR(VLOOKUP(M6,SKV!$B$48:$AA$82,8,FALSE),"")</f>
        <v>1</v>
      </c>
      <c r="S9" s="263" t="str">
        <f>IFERROR(VLOOKUP(S6,CHO!$B$48:$AA$82,16,FALSE),"")</f>
        <v>Faraos Praha</v>
      </c>
      <c r="T9" s="264"/>
      <c r="U9" s="265"/>
      <c r="V9" s="266">
        <f>IFERROR(VLOOKUP(S6,CHO!$B$48:$AA$82,17,FALSE),"")</f>
        <v>1998</v>
      </c>
      <c r="W9" s="267"/>
      <c r="X9" s="124">
        <f>IFERROR(VLOOKUP(S6,CHO!$B$48:$AA$82,8,FALSE),"")</f>
        <v>11</v>
      </c>
      <c r="Y9" s="33"/>
      <c r="Z9" s="301"/>
      <c r="AA9" s="301"/>
      <c r="AB9" s="301"/>
      <c r="AC9" s="301"/>
      <c r="AD9" s="33"/>
      <c r="AE9" s="263" t="str">
        <f>IFERROR(VLOOKUP(AE6,CHO!$B$48:$AA$82,16,FALSE),"")</f>
        <v>SK Juvenis Přibyslav</v>
      </c>
      <c r="AF9" s="264"/>
      <c r="AG9" s="265"/>
      <c r="AH9" s="266">
        <f>IFERROR(VLOOKUP(AE6,CHO!$B$48:$AA$82,17,FALSE),"")</f>
        <v>2004</v>
      </c>
      <c r="AI9" s="267"/>
      <c r="AJ9" s="124">
        <f>IFERROR(VLOOKUP(AE6,CHO!$B$48:$AA$82,8,FALSE),"")</f>
        <v>11</v>
      </c>
      <c r="AK9" s="263" t="str">
        <f>IFERROR(VLOOKUP(AK6,VIT!$B$48:$R$82,16,FALSE),"")</f>
        <v>FbK Sokol Škoprioni</v>
      </c>
      <c r="AL9" s="264"/>
      <c r="AM9" s="265"/>
      <c r="AN9" s="266">
        <f>IFERROR(VLOOKUP(AK6,VIT!$B$48:$R$82,17,FALSE),"")</f>
        <v>2003</v>
      </c>
      <c r="AO9" s="267"/>
      <c r="AP9" s="124">
        <f>IFERROR(VLOOKUP(AK6,VIT!$B$48:$R$82,8,FALSE),"")</f>
        <v>5</v>
      </c>
      <c r="AQ9" s="33"/>
      <c r="AR9" s="301"/>
      <c r="AS9" s="301"/>
      <c r="AT9" s="301"/>
      <c r="AU9" s="301"/>
      <c r="AV9" s="33"/>
      <c r="AW9" s="263" t="str">
        <f>IFERROR(VLOOKUP(AW6,VIT!$B$48:$R$82,16,FALSE),"")</f>
        <v>Vik. Kopřivnice</v>
      </c>
      <c r="AX9" s="264"/>
      <c r="AY9" s="265"/>
      <c r="AZ9" s="266">
        <f>IFERROR(VLOOKUP(AW6,VIT!$B$48:$R$82,17,FALSE),"")</f>
        <v>2008</v>
      </c>
      <c r="BA9" s="267"/>
      <c r="BB9" s="124">
        <f>IFERROR(VLOOKUP(AW6,VIT!$B$48:$R$82,8,FALSE),"")</f>
        <v>7</v>
      </c>
      <c r="BC9" s="263" t="str">
        <f>IFERROR(VLOOKUP(BC6,MB!$B$48:$R$82,16,FALSE),"")</f>
        <v>TJ SKV</v>
      </c>
      <c r="BD9" s="264"/>
      <c r="BE9" s="265"/>
      <c r="BF9" s="266">
        <f>IFERROR(VLOOKUP(BC6,MB!$B$48:$R$82,17,FALSE),"")</f>
        <v>2005</v>
      </c>
      <c r="BG9" s="267"/>
      <c r="BH9" s="124">
        <f>IFERROR(VLOOKUP(BC6,MB!$B$48:$R$82,8,FALSE),"")</f>
        <v>10</v>
      </c>
      <c r="BI9" s="33"/>
      <c r="BJ9" s="301"/>
      <c r="BK9" s="301"/>
      <c r="BL9" s="301"/>
      <c r="BM9" s="301"/>
      <c r="BN9" s="33"/>
      <c r="BO9" s="263" t="str">
        <f>IFERROR(VLOOKUP(BO6,MB!$B$48:$R$82,16,FALSE),"")</f>
        <v>1. SC Vítkovice</v>
      </c>
      <c r="BP9" s="264"/>
      <c r="BQ9" s="265"/>
      <c r="BR9" s="266">
        <f>IFERROR(VLOOKUP(BO6,MB!$B$48:$R$82,17,FALSE),"")</f>
        <v>2001</v>
      </c>
      <c r="BS9" s="267"/>
      <c r="BT9" s="124">
        <f>IFERROR(VLOOKUP(BO6,MB!$B$48:$R$82,8,FALSE),"")</f>
        <v>14</v>
      </c>
      <c r="BU9" s="263" t="str">
        <f>IFERROR(VLOOKUP(BU6,TAT!$B$48:$R$82,16,FALSE),"")</f>
        <v/>
      </c>
      <c r="BV9" s="264"/>
      <c r="BW9" s="265"/>
      <c r="BX9" s="266" t="str">
        <f>IFERROR(VLOOKUP(BU6,TAT!$B$48:$R$82,17,FALSE),"")</f>
        <v/>
      </c>
      <c r="BY9" s="267"/>
      <c r="BZ9" s="124" t="str">
        <f>IFERROR(VLOOKUP(BU6,TAT!$B$48:$R$82,8,FALSE),"")</f>
        <v/>
      </c>
      <c r="CA9" s="33"/>
      <c r="CB9" s="301"/>
      <c r="CC9" s="301"/>
      <c r="CD9" s="301"/>
      <c r="CE9" s="301"/>
      <c r="CF9" s="33"/>
      <c r="CG9" s="263" t="str">
        <f>IFERROR(VLOOKUP(CG6,TAT!$B$48:$R$82,16,FALSE),"")</f>
        <v/>
      </c>
      <c r="CH9" s="264"/>
      <c r="CI9" s="265"/>
      <c r="CJ9" s="266" t="str">
        <f>IFERROR(VLOOKUP(CG6,TAT!$B$48:$R$82,17,FALSE),"")</f>
        <v/>
      </c>
      <c r="CK9" s="267"/>
      <c r="CL9" s="124" t="str">
        <f>IFERROR(VLOOKUP(CG6,TAT!$B$48:$R$82,8,FALSE),"")</f>
        <v/>
      </c>
      <c r="CM9" s="263" t="str">
        <f>IFERROR(VLOOKUP(CM6,OTR!$B$48:$R$82,16,FALSE),"")</f>
        <v>Gullivers</v>
      </c>
      <c r="CN9" s="264"/>
      <c r="CO9" s="265"/>
      <c r="CP9" s="266">
        <f>IFERROR(VLOOKUP(CM6,OTR!$B$48:$R$82,17,FALSE),"")</f>
        <v>2008</v>
      </c>
      <c r="CQ9" s="267"/>
      <c r="CR9" s="124">
        <f>IFERROR(VLOOKUP(CM6,OTR!$B$48:$R$82,8,FALSE),"")</f>
        <v>4</v>
      </c>
      <c r="CS9" s="33"/>
      <c r="CT9" s="301"/>
      <c r="CU9" s="301"/>
      <c r="CV9" s="301"/>
      <c r="CW9" s="301"/>
      <c r="CX9" s="33"/>
      <c r="CY9" s="263" t="str">
        <f>IFERROR(VLOOKUP(CY6,OTR!$B$48:$R$82,16,FALSE),"")</f>
        <v>Panthers Otrokovice</v>
      </c>
      <c r="CZ9" s="264"/>
      <c r="DA9" s="265"/>
      <c r="DB9" s="266">
        <f>IFERROR(VLOOKUP(CY6,OTR!$B$48:$R$82,17,FALSE),"")</f>
        <v>1998</v>
      </c>
      <c r="DC9" s="267"/>
      <c r="DD9" s="124">
        <f>IFERROR(VLOOKUP(CY6,OTR!$B$48:$R$82,8,FALSE),"")</f>
        <v>11</v>
      </c>
      <c r="DE9" s="263" t="str">
        <f>IFERROR(VLOOKUP(DE6,BOH!$B$48:$R$82,16,FALSE),"")</f>
        <v>SK Florbal Benešov</v>
      </c>
      <c r="DF9" s="264"/>
      <c r="DG9" s="265"/>
      <c r="DH9" s="266" t="str">
        <f>IFERROR(VLOOKUP(DE6,BOH!$B$48:$R$82,17,FALSE),"")</f>
        <v>-</v>
      </c>
      <c r="DI9" s="267"/>
      <c r="DJ9" s="124">
        <f>IFERROR(VLOOKUP(DE6,BOH!$B$48:$R$82,8,FALSE),"")</f>
        <v>2</v>
      </c>
      <c r="DK9" s="33"/>
      <c r="DL9" s="301"/>
      <c r="DM9" s="301"/>
      <c r="DN9" s="301"/>
      <c r="DO9" s="301"/>
      <c r="DP9" s="33"/>
      <c r="DQ9" s="263" t="str">
        <f>IFERROR(VLOOKUP(DQ6,BOH!$B$48:$R$82,16,FALSE),"")</f>
        <v>Florbal Chodov</v>
      </c>
      <c r="DR9" s="264"/>
      <c r="DS9" s="265"/>
      <c r="DT9" s="266" t="str">
        <f>IFERROR(VLOOKUP(DQ6,BOH!$B$48:$R$82,17,FALSE),"")</f>
        <v>-</v>
      </c>
      <c r="DU9" s="267"/>
      <c r="DV9" s="124">
        <f>IFERROR(VLOOKUP(DQ6,BOH!$B$48:$R$82,8,FALSE),"")</f>
        <v>2</v>
      </c>
      <c r="DW9" s="263" t="str">
        <f>IFERROR(VLOOKUP(DW6,SPA!$B$48:$R$82,16,FALSE),"")</f>
        <v/>
      </c>
      <c r="DX9" s="264"/>
      <c r="DY9" s="265"/>
      <c r="DZ9" s="266" t="str">
        <f>IFERROR(VLOOKUP(DW6,SPA!$B$48:$R$82,17,FALSE),"")</f>
        <v/>
      </c>
      <c r="EA9" s="267"/>
      <c r="EB9" s="124" t="str">
        <f>IFERROR(VLOOKUP(DW6,SPA!$B$48:$R$82,8,FALSE),"")</f>
        <v/>
      </c>
      <c r="EC9" s="33"/>
      <c r="ED9" s="301"/>
      <c r="EE9" s="301"/>
      <c r="EF9" s="301"/>
      <c r="EG9" s="301"/>
      <c r="EH9" s="33"/>
      <c r="EI9" s="263" t="str">
        <f>IFERROR(VLOOKUP(EI6,SPA!$B$48:$R$82,16,FALSE),"")</f>
        <v/>
      </c>
      <c r="EJ9" s="264"/>
      <c r="EK9" s="265"/>
      <c r="EL9" s="266" t="str">
        <f>IFERROR(VLOOKUP(EI6,SPA!$B$48:$R$82,17,FALSE),"")</f>
        <v/>
      </c>
      <c r="EM9" s="267"/>
      <c r="EN9" s="124" t="str">
        <f>IFERROR(VLOOKUP(EI6,SPA!$B$48:$R$82,8,FALSE),"")</f>
        <v/>
      </c>
      <c r="EO9" s="263" t="str">
        <f>IFERROR(VLOOKUP(EO6,CLP!$B$48:$R$82,16,FALSE),"")</f>
        <v/>
      </c>
      <c r="EP9" s="264"/>
      <c r="EQ9" s="265"/>
      <c r="ER9" s="266" t="str">
        <f>IFERROR(VLOOKUP(EO6,CLP!$B$48:$R$82,17,FALSE),"")</f>
        <v/>
      </c>
      <c r="ES9" s="267"/>
      <c r="ET9" s="124" t="str">
        <f>IFERROR(VLOOKUP(EO6,CLP!$B$48:$R$82,8,FALSE),"")</f>
        <v/>
      </c>
      <c r="EU9" s="33"/>
      <c r="EV9" s="301"/>
      <c r="EW9" s="301"/>
      <c r="EX9" s="301"/>
      <c r="EY9" s="301"/>
      <c r="EZ9" s="33"/>
      <c r="FA9" s="263" t="str">
        <f>IFERROR(VLOOKUP(FA6,CLP!$B$48:$R$82,16,FALSE),"")</f>
        <v/>
      </c>
      <c r="FB9" s="264"/>
      <c r="FC9" s="265"/>
      <c r="FD9" s="266" t="str">
        <f>IFERROR(VLOOKUP(FA6,CLP!$B$48:$R$82,17,FALSE),"")</f>
        <v/>
      </c>
      <c r="FE9" s="267"/>
      <c r="FF9" s="124" t="str">
        <f>IFERROR(VLOOKUP(FA6,CLP!$B$48:$R$82,8,FALSE),"")</f>
        <v/>
      </c>
      <c r="FG9" s="263" t="str">
        <f>IFERROR(VLOOKUP(FG6,LIB!$B$48:$R$82,16,FALSE),"")</f>
        <v>FBC Liberec</v>
      </c>
      <c r="FH9" s="264"/>
      <c r="FI9" s="265"/>
      <c r="FJ9" s="266">
        <f>IFERROR(VLOOKUP(FG6,LIB!$B$48:$R$82,17,FALSE),"")</f>
        <v>1999</v>
      </c>
      <c r="FK9" s="267"/>
      <c r="FL9" s="124">
        <f>IFERROR(VLOOKUP(FG6,LIB!$B$48:$R$82,8,FALSE),"")</f>
        <v>13</v>
      </c>
      <c r="FM9" s="33"/>
      <c r="FN9" s="301"/>
      <c r="FO9" s="301"/>
      <c r="FP9" s="301"/>
      <c r="FQ9" s="301"/>
      <c r="FR9" s="33"/>
      <c r="FS9" s="263" t="str">
        <f>IFERROR(VLOOKUP(FS6,LIB!$B$48:$R$82,16,FALSE),"")</f>
        <v>Florbal Mladá Boleslav</v>
      </c>
      <c r="FT9" s="264"/>
      <c r="FU9" s="265"/>
      <c r="FV9" s="266">
        <f>IFERROR(VLOOKUP(FS6,LIB!$B$48:$R$82,17,FALSE),"")</f>
        <v>2008</v>
      </c>
      <c r="FW9" s="267"/>
      <c r="FX9" s="124">
        <f>IFERROR(VLOOKUP(FS6,LIB!$B$48:$R$82,8,FALSE),"")</f>
        <v>3</v>
      </c>
      <c r="FY9" s="263" t="str">
        <f>IFERROR(VLOOKUP(FY6,HAT!$B$48:$R$82,16,FALSE),"")</f>
        <v/>
      </c>
      <c r="FZ9" s="264"/>
      <c r="GA9" s="265"/>
      <c r="GB9" s="266" t="str">
        <f>IFERROR(VLOOKUP(FY6,HAT!$B$48:$R$82,17,FALSE),"")</f>
        <v/>
      </c>
      <c r="GC9" s="267"/>
      <c r="GD9" s="124" t="str">
        <f>IFERROR(VLOOKUP(FY6,HAT!$B$48:$R$82,8,FALSE),"")</f>
        <v/>
      </c>
      <c r="GE9" s="33"/>
      <c r="GF9" s="301"/>
      <c r="GG9" s="301"/>
      <c r="GH9" s="301"/>
      <c r="GI9" s="301"/>
      <c r="GJ9" s="33"/>
      <c r="GK9" s="263" t="str">
        <f>IFERROR(VLOOKUP(GK6,HAT!$B$48:$R$82,16,FALSE),"")</f>
        <v/>
      </c>
      <c r="GL9" s="264"/>
      <c r="GM9" s="265"/>
      <c r="GN9" s="266" t="str">
        <f>IFERROR(VLOOKUP(GK6,HAT!$B$48:$R$82,17,FALSE),"")</f>
        <v/>
      </c>
      <c r="GO9" s="267"/>
      <c r="GP9" s="124" t="str">
        <f>IFERROR(VLOOKUP(GK6,HAT!$B$48:$R$82,8,FALSE),"")</f>
        <v/>
      </c>
    </row>
    <row r="10" spans="1:198" ht="15.6" customHeight="1" thickTop="1" thickBot="1" x14ac:dyDescent="0.3">
      <c r="A10" s="37"/>
      <c r="B10" s="37"/>
      <c r="C10" s="37"/>
      <c r="D10" s="37"/>
      <c r="E10" s="38"/>
      <c r="F10" s="38"/>
      <c r="G10" s="39"/>
      <c r="H10" s="39"/>
      <c r="I10" s="39"/>
      <c r="J10" s="39"/>
      <c r="K10" s="39"/>
      <c r="L10" s="39"/>
      <c r="M10" s="37"/>
      <c r="N10" s="37"/>
      <c r="O10" s="37"/>
      <c r="P10" s="37"/>
      <c r="Q10" s="38"/>
      <c r="R10" s="38"/>
      <c r="S10" s="37"/>
      <c r="T10" s="37"/>
      <c r="U10" s="37"/>
      <c r="V10" s="37"/>
      <c r="W10" s="38"/>
      <c r="X10" s="38"/>
      <c r="Y10" s="39"/>
      <c r="Z10" s="39"/>
      <c r="AA10" s="39"/>
      <c r="AB10" s="39"/>
      <c r="AC10" s="39"/>
      <c r="AD10" s="39"/>
      <c r="AE10" s="37"/>
      <c r="AF10" s="37"/>
      <c r="AG10" s="37"/>
      <c r="AH10" s="37"/>
      <c r="AI10" s="38"/>
      <c r="AJ10" s="38"/>
      <c r="AK10" s="37"/>
      <c r="AL10" s="37"/>
      <c r="AM10" s="37"/>
      <c r="AN10" s="37"/>
      <c r="AO10" s="38"/>
      <c r="AP10" s="38"/>
      <c r="AQ10" s="39"/>
      <c r="AR10" s="39"/>
      <c r="AS10" s="39"/>
      <c r="AT10" s="39"/>
      <c r="AU10" s="39"/>
      <c r="AV10" s="39"/>
      <c r="AW10" s="37"/>
      <c r="AX10" s="37"/>
      <c r="AY10" s="37"/>
      <c r="AZ10" s="37"/>
      <c r="BA10" s="38"/>
      <c r="BB10" s="38"/>
      <c r="BC10" s="37"/>
      <c r="BD10" s="37"/>
      <c r="BE10" s="37"/>
      <c r="BF10" s="37"/>
      <c r="BG10" s="38"/>
      <c r="BH10" s="38"/>
      <c r="BI10" s="39"/>
      <c r="BJ10" s="39"/>
      <c r="BK10" s="39"/>
      <c r="BL10" s="39"/>
      <c r="BM10" s="39"/>
      <c r="BN10" s="39"/>
      <c r="BO10" s="37"/>
      <c r="BP10" s="37"/>
      <c r="BQ10" s="37"/>
      <c r="BR10" s="37"/>
      <c r="BS10" s="38"/>
      <c r="BT10" s="38"/>
      <c r="BU10" s="37"/>
      <c r="BV10" s="37"/>
      <c r="BW10" s="37"/>
      <c r="BX10" s="37"/>
      <c r="BY10" s="38"/>
      <c r="BZ10" s="38"/>
      <c r="CA10" s="39"/>
      <c r="CB10" s="39"/>
      <c r="CC10" s="39"/>
      <c r="CD10" s="39"/>
      <c r="CE10" s="39"/>
      <c r="CF10" s="39"/>
      <c r="CG10" s="37"/>
      <c r="CH10" s="37"/>
      <c r="CI10" s="37"/>
      <c r="CJ10" s="37"/>
      <c r="CK10" s="38"/>
      <c r="CL10" s="38"/>
      <c r="CM10" s="37"/>
      <c r="CN10" s="37"/>
      <c r="CO10" s="37"/>
      <c r="CP10" s="37"/>
      <c r="CQ10" s="38"/>
      <c r="CR10" s="38"/>
      <c r="CS10" s="39"/>
      <c r="CT10" s="39"/>
      <c r="CU10" s="39"/>
      <c r="CV10" s="39"/>
      <c r="CW10" s="39"/>
      <c r="CX10" s="39"/>
      <c r="CY10" s="37"/>
      <c r="CZ10" s="37"/>
      <c r="DA10" s="37"/>
      <c r="DB10" s="37"/>
      <c r="DC10" s="38"/>
      <c r="DD10" s="38"/>
      <c r="DE10" s="37"/>
      <c r="DF10" s="37"/>
      <c r="DG10" s="37"/>
      <c r="DH10" s="37"/>
      <c r="DI10" s="38"/>
      <c r="DJ10" s="38"/>
      <c r="DK10" s="39"/>
      <c r="DL10" s="39"/>
      <c r="DM10" s="39"/>
      <c r="DN10" s="39"/>
      <c r="DO10" s="39"/>
      <c r="DP10" s="39"/>
      <c r="DQ10" s="37"/>
      <c r="DR10" s="37"/>
      <c r="DS10" s="37"/>
      <c r="DT10" s="37"/>
      <c r="DU10" s="38"/>
      <c r="DV10" s="38"/>
      <c r="DW10" s="37"/>
      <c r="DX10" s="37"/>
      <c r="DY10" s="37"/>
      <c r="DZ10" s="37"/>
      <c r="EA10" s="38"/>
      <c r="EB10" s="38"/>
      <c r="EC10" s="39"/>
      <c r="ED10" s="39"/>
      <c r="EE10" s="39"/>
      <c r="EF10" s="39"/>
      <c r="EG10" s="39"/>
      <c r="EH10" s="39"/>
      <c r="EI10" s="37"/>
      <c r="EJ10" s="37"/>
      <c r="EK10" s="37"/>
      <c r="EL10" s="37"/>
      <c r="EM10" s="38"/>
      <c r="EN10" s="38"/>
      <c r="EO10" s="37"/>
      <c r="EP10" s="37"/>
      <c r="EQ10" s="37"/>
      <c r="ER10" s="37"/>
      <c r="ES10" s="38"/>
      <c r="ET10" s="38"/>
      <c r="EU10" s="39"/>
      <c r="EV10" s="39"/>
      <c r="EW10" s="39"/>
      <c r="EX10" s="39"/>
      <c r="EY10" s="39"/>
      <c r="EZ10" s="39"/>
      <c r="FA10" s="37"/>
      <c r="FB10" s="37"/>
      <c r="FC10" s="37"/>
      <c r="FD10" s="37"/>
      <c r="FE10" s="38"/>
      <c r="FF10" s="38"/>
      <c r="FG10" s="37"/>
      <c r="FH10" s="37"/>
      <c r="FI10" s="37"/>
      <c r="FJ10" s="37"/>
      <c r="FK10" s="38"/>
      <c r="FL10" s="38"/>
      <c r="FM10" s="39"/>
      <c r="FN10" s="39"/>
      <c r="FO10" s="39"/>
      <c r="FP10" s="39"/>
      <c r="FQ10" s="39"/>
      <c r="FR10" s="39"/>
      <c r="FS10" s="37"/>
      <c r="FT10" s="37"/>
      <c r="FU10" s="37"/>
      <c r="FV10" s="37"/>
      <c r="FW10" s="38"/>
      <c r="FX10" s="38"/>
      <c r="FY10" s="37"/>
      <c r="FZ10" s="37"/>
      <c r="GA10" s="37"/>
      <c r="GB10" s="37"/>
      <c r="GC10" s="38"/>
      <c r="GD10" s="38"/>
      <c r="GE10" s="39"/>
      <c r="GF10" s="39"/>
      <c r="GG10" s="39"/>
      <c r="GH10" s="39"/>
      <c r="GI10" s="39"/>
      <c r="GJ10" s="39"/>
      <c r="GK10" s="37"/>
      <c r="GL10" s="37"/>
      <c r="GM10" s="37"/>
      <c r="GN10" s="37"/>
      <c r="GO10" s="38"/>
      <c r="GP10" s="38"/>
    </row>
    <row r="11" spans="1:198" ht="15.6" customHeight="1" thickTop="1" thickBot="1" x14ac:dyDescent="0.3">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c r="FE11" s="33"/>
      <c r="FF11" s="33"/>
      <c r="FG11" s="33"/>
      <c r="FH11" s="33"/>
      <c r="FI11" s="33"/>
      <c r="FJ11" s="33"/>
      <c r="FK11" s="33"/>
      <c r="FL11" s="33"/>
      <c r="FM11" s="33"/>
      <c r="FN11" s="33"/>
      <c r="FO11" s="33"/>
      <c r="FP11" s="33"/>
      <c r="FQ11" s="33"/>
      <c r="FR11" s="33"/>
      <c r="FS11" s="33"/>
      <c r="FT11" s="33"/>
      <c r="FU11" s="33"/>
      <c r="FV11" s="33"/>
      <c r="FW11" s="33"/>
      <c r="FX11" s="33"/>
      <c r="FY11" s="33"/>
      <c r="FZ11" s="33"/>
      <c r="GA11" s="33"/>
      <c r="GB11" s="33"/>
      <c r="GC11" s="33"/>
      <c r="GD11" s="33"/>
      <c r="GE11" s="33"/>
      <c r="GF11" s="33"/>
      <c r="GG11" s="33"/>
      <c r="GH11" s="33"/>
      <c r="GI11" s="33"/>
      <c r="GJ11" s="33"/>
      <c r="GK11" s="33"/>
      <c r="GL11" s="33"/>
      <c r="GM11" s="33"/>
      <c r="GN11" s="33"/>
      <c r="GO11" s="33"/>
      <c r="GP11" s="33"/>
    </row>
    <row r="12" spans="1:198" ht="15.6" customHeight="1" thickTop="1" thickBot="1" x14ac:dyDescent="0.3">
      <c r="A12" s="286" t="s">
        <v>4</v>
      </c>
      <c r="B12" s="287"/>
      <c r="C12" s="287"/>
      <c r="D12" s="287"/>
      <c r="E12" s="32" t="str">
        <f>IFERROR(IF(VLOOKUP(A12,SKV!$B$48:$AA$82,10,FALSE)=0,"",VLOOKUP(A12,SKV!$B$48:$AA$82,10,FALSE)),"")</f>
        <v/>
      </c>
      <c r="F12" s="52">
        <f>IFERROR(VLOOKUP(A12,SKV!$B$48:$AA$82,9,FALSE),"")</f>
        <v>28</v>
      </c>
      <c r="G12" s="33"/>
      <c r="H12" s="302" t="s">
        <v>155</v>
      </c>
      <c r="I12" s="302"/>
      <c r="J12" s="302"/>
      <c r="K12" s="302"/>
      <c r="L12" s="33"/>
      <c r="M12" s="286" t="s">
        <v>21</v>
      </c>
      <c r="N12" s="287"/>
      <c r="O12" s="287"/>
      <c r="P12" s="287"/>
      <c r="Q12" s="32" t="str">
        <f>IFERROR(IF(VLOOKUP(M12,SKV!$B$48:$AA$82,10,FALSE)=0,"",VLOOKUP(M12,SKV!$B$48:$AA$82,10,FALSE)),"")</f>
        <v/>
      </c>
      <c r="R12" s="52">
        <f>IFERROR(VLOOKUP(M12,SKV!$B$48:$AA$82,9,FALSE),"")</f>
        <v>27</v>
      </c>
      <c r="S12" s="286" t="s">
        <v>163</v>
      </c>
      <c r="T12" s="287"/>
      <c r="U12" s="287"/>
      <c r="V12" s="287"/>
      <c r="W12" s="32" t="str">
        <f>IFERROR(IF(VLOOKUP(S12,CHO!$B$48:$AA$82,10,FALSE)=0,"",VLOOKUP(S12,CHO!$B$48:$AA$82,10,FALSE)),"")</f>
        <v/>
      </c>
      <c r="X12" s="52">
        <f>IFERROR(VLOOKUP(S12,CHO!$B$48:$AA$82,9,FALSE),"")</f>
        <v>84</v>
      </c>
      <c r="Y12" s="33"/>
      <c r="Z12" s="302" t="s">
        <v>155</v>
      </c>
      <c r="AA12" s="302"/>
      <c r="AB12" s="302"/>
      <c r="AC12" s="302"/>
      <c r="AD12" s="33"/>
      <c r="AE12" s="286" t="s">
        <v>174</v>
      </c>
      <c r="AF12" s="287"/>
      <c r="AG12" s="287"/>
      <c r="AH12" s="287"/>
      <c r="AI12" s="32" t="str">
        <f>IFERROR(IF(VLOOKUP(AE12,CHO!$B$48:$AA$82,10,FALSE)=0,"",VLOOKUP(AE12,CHO!$B$48:$AA$82,10,FALSE)),"")</f>
        <v>C</v>
      </c>
      <c r="AJ12" s="52">
        <f>IFERROR(VLOOKUP(AE12,CHO!$B$48:$AA$82,9,FALSE),"")</f>
        <v>32</v>
      </c>
      <c r="AK12" s="286" t="s">
        <v>253</v>
      </c>
      <c r="AL12" s="287"/>
      <c r="AM12" s="287"/>
      <c r="AN12" s="287"/>
      <c r="AO12" s="32" t="str">
        <f>IFERROR(IF(VLOOKUP(AK12,VIT!$B$48:$R$82,10,FALSE)=0,"",VLOOKUP(AK12,VIT!$B$48:$R$82,10,FALSE)),"")</f>
        <v/>
      </c>
      <c r="AP12" s="52">
        <f>IFERROR(VLOOKUP(AK12,VIT!$B$48:$R$82,9,FALSE),"")</f>
        <v>86</v>
      </c>
      <c r="AQ12" s="33"/>
      <c r="AR12" s="302" t="s">
        <v>155</v>
      </c>
      <c r="AS12" s="302"/>
      <c r="AT12" s="302"/>
      <c r="AU12" s="302"/>
      <c r="AV12" s="33"/>
      <c r="AW12" s="286" t="s">
        <v>252</v>
      </c>
      <c r="AX12" s="287"/>
      <c r="AY12" s="287"/>
      <c r="AZ12" s="287"/>
      <c r="BA12" s="32" t="str">
        <f>IFERROR(IF(VLOOKUP(AW12,VIT!$B$48:$R$82,10,FALSE)=0,"",VLOOKUP(AW12,VIT!$B$48:$R$82,10,FALSE)),"")</f>
        <v/>
      </c>
      <c r="BB12" s="52">
        <f>IFERROR(VLOOKUP(AW12,VIT!$B$48:$R$82,9,FALSE),"")</f>
        <v>44</v>
      </c>
      <c r="BC12" s="286" t="s">
        <v>293</v>
      </c>
      <c r="BD12" s="287"/>
      <c r="BE12" s="287"/>
      <c r="BF12" s="287"/>
      <c r="BG12" s="32" t="str">
        <f>IFERROR(IF(VLOOKUP(BC12,MB!$B$48:$R$82,10,FALSE)=0,"",VLOOKUP(BC12,MB!$B$48:$R$82,10,FALSE)),"")</f>
        <v/>
      </c>
      <c r="BH12" s="52">
        <f>IFERROR(VLOOKUP(BC12,MB!$B$48:$R$82,9,FALSE),"")</f>
        <v>3</v>
      </c>
      <c r="BI12" s="33"/>
      <c r="BJ12" s="302" t="s">
        <v>155</v>
      </c>
      <c r="BK12" s="302"/>
      <c r="BL12" s="302"/>
      <c r="BM12" s="302"/>
      <c r="BN12" s="33"/>
      <c r="BO12" s="286" t="s">
        <v>294</v>
      </c>
      <c r="BP12" s="287"/>
      <c r="BQ12" s="287"/>
      <c r="BR12" s="287"/>
      <c r="BS12" s="32" t="str">
        <f>IFERROR(IF(VLOOKUP(BO12,MB!$B$48:$R$82,10,FALSE)=0,"",VLOOKUP(BO12,MB!$B$48:$R$82,10,FALSE)),"")</f>
        <v/>
      </c>
      <c r="BT12" s="52">
        <f>IFERROR(VLOOKUP(BO12,MB!$B$48:$R$82,9,FALSE),"")</f>
        <v>20</v>
      </c>
      <c r="BU12" s="286"/>
      <c r="BV12" s="287"/>
      <c r="BW12" s="287"/>
      <c r="BX12" s="287"/>
      <c r="BY12" s="32" t="str">
        <f>IFERROR(IF(VLOOKUP(BU12,TAT!$B$48:$R$82,10,FALSE)=0,"",VLOOKUP(BU12,TAT!$B$48:$R$82,10,FALSE)),"")</f>
        <v/>
      </c>
      <c r="BZ12" s="52" t="str">
        <f>IFERROR(VLOOKUP(BU12,TAT!$B$48:$R$82,9,FALSE),"")</f>
        <v/>
      </c>
      <c r="CA12" s="33"/>
      <c r="CB12" s="302" t="s">
        <v>155</v>
      </c>
      <c r="CC12" s="302"/>
      <c r="CD12" s="302"/>
      <c r="CE12" s="302"/>
      <c r="CF12" s="33"/>
      <c r="CG12" s="286"/>
      <c r="CH12" s="287"/>
      <c r="CI12" s="287"/>
      <c r="CJ12" s="287"/>
      <c r="CK12" s="32" t="str">
        <f>IFERROR(IF(VLOOKUP(CG12,TAT!$B$48:$R$82,10,FALSE)=0,"",VLOOKUP(CG12,TAT!$B$48:$R$82,10,FALSE)),"")</f>
        <v/>
      </c>
      <c r="CL12" s="52" t="str">
        <f>IFERROR(VLOOKUP(CG12,TAT!$B$48:$R$82,9,FALSE),"")</f>
        <v/>
      </c>
      <c r="CM12" s="286" t="s">
        <v>412</v>
      </c>
      <c r="CN12" s="287"/>
      <c r="CO12" s="287"/>
      <c r="CP12" s="287"/>
      <c r="CQ12" s="32" t="str">
        <f>IFERROR(IF(VLOOKUP(CM12,OTR!$B$48:$R$82,10,FALSE)=0,"",VLOOKUP(CM12,OTR!$B$48:$R$82,10,FALSE)),"")</f>
        <v/>
      </c>
      <c r="CR12" s="52">
        <f>IFERROR(VLOOKUP(CM12,OTR!$B$48:$R$82,9,FALSE),"")</f>
        <v>6</v>
      </c>
      <c r="CS12" s="33"/>
      <c r="CT12" s="302" t="s">
        <v>155</v>
      </c>
      <c r="CU12" s="302"/>
      <c r="CV12" s="302"/>
      <c r="CW12" s="302"/>
      <c r="CX12" s="33"/>
      <c r="CY12" s="286" t="s">
        <v>406</v>
      </c>
      <c r="CZ12" s="287"/>
      <c r="DA12" s="287"/>
      <c r="DB12" s="287"/>
      <c r="DC12" s="32" t="str">
        <f>IFERROR(IF(VLOOKUP(CY12,OTR!$B$48:$R$82,10,FALSE)=0,"",VLOOKUP(CY12,OTR!$B$48:$R$82,10,FALSE)),"")</f>
        <v/>
      </c>
      <c r="DD12" s="52">
        <f>IFERROR(VLOOKUP(CY12,OTR!$B$48:$R$82,9,FALSE),"")</f>
        <v>97</v>
      </c>
      <c r="DE12" s="286" t="s">
        <v>482</v>
      </c>
      <c r="DF12" s="287"/>
      <c r="DG12" s="287"/>
      <c r="DH12" s="287"/>
      <c r="DI12" s="32" t="str">
        <f>IFERROR(IF(VLOOKUP(DE12,BOH!$B$48:$R$82,10,FALSE)=0,"",VLOOKUP(DE12,BOH!$B$48:$R$82,10,FALSE)),"")</f>
        <v/>
      </c>
      <c r="DJ12" s="52">
        <f>IFERROR(VLOOKUP(DE12,BOH!$B$48:$R$82,9,FALSE),"")</f>
        <v>7</v>
      </c>
      <c r="DK12" s="33"/>
      <c r="DL12" s="302" t="s">
        <v>155</v>
      </c>
      <c r="DM12" s="302"/>
      <c r="DN12" s="302"/>
      <c r="DO12" s="302"/>
      <c r="DP12" s="33"/>
      <c r="DQ12" s="286" t="s">
        <v>477</v>
      </c>
      <c r="DR12" s="287"/>
      <c r="DS12" s="287"/>
      <c r="DT12" s="287"/>
      <c r="DU12" s="32" t="str">
        <f>IFERROR(IF(VLOOKUP(DQ12,BOH!$B$48:$R$82,10,FALSE)=0,"",VLOOKUP(DQ12,BOH!$B$48:$R$82,10,FALSE)),"")</f>
        <v/>
      </c>
      <c r="DV12" s="52">
        <f>IFERROR(VLOOKUP(DQ12,BOH!$B$48:$R$82,9,FALSE),"")</f>
        <v>9</v>
      </c>
      <c r="DW12" s="286"/>
      <c r="DX12" s="287"/>
      <c r="DY12" s="287"/>
      <c r="DZ12" s="287"/>
      <c r="EA12" s="32" t="str">
        <f>IFERROR(IF(VLOOKUP(DW12,SPA!$B$48:$R$82,10,FALSE)=0,"",VLOOKUP(DW12,SPA!$B$48:$R$82,10,FALSE)),"")</f>
        <v/>
      </c>
      <c r="EB12" s="52" t="str">
        <f>IFERROR(VLOOKUP(DW12,SPA!$B$48:$R$82,9,FALSE),"")</f>
        <v/>
      </c>
      <c r="EC12" s="33"/>
      <c r="ED12" s="302" t="s">
        <v>155</v>
      </c>
      <c r="EE12" s="302"/>
      <c r="EF12" s="302"/>
      <c r="EG12" s="302"/>
      <c r="EH12" s="33"/>
      <c r="EI12" s="286"/>
      <c r="EJ12" s="287"/>
      <c r="EK12" s="287"/>
      <c r="EL12" s="287"/>
      <c r="EM12" s="32" t="str">
        <f>IFERROR(IF(VLOOKUP(EI12,SPA!$B$48:$R$82,10,FALSE)=0,"",VLOOKUP(EI12,SPA!$B$48:$R$82,10,FALSE)),"")</f>
        <v/>
      </c>
      <c r="EN12" s="52" t="str">
        <f>IFERROR(VLOOKUP(EI12,SPA!$B$48:$R$82,9,FALSE),"")</f>
        <v/>
      </c>
      <c r="EO12" s="286"/>
      <c r="EP12" s="287"/>
      <c r="EQ12" s="287"/>
      <c r="ER12" s="287"/>
      <c r="ES12" s="32" t="str">
        <f>IFERROR(IF(VLOOKUP(EO12,CLP!$B$48:$R$82,10,FALSE)=0,"",VLOOKUP(EO12,CLP!$B$48:$R$82,10,FALSE)),"")</f>
        <v/>
      </c>
      <c r="ET12" s="52" t="str">
        <f>IFERROR(VLOOKUP(EO12,CLP!$B$48:$R$82,9,FALSE),"")</f>
        <v/>
      </c>
      <c r="EU12" s="33"/>
      <c r="EV12" s="302" t="s">
        <v>155</v>
      </c>
      <c r="EW12" s="302"/>
      <c r="EX12" s="302"/>
      <c r="EY12" s="302"/>
      <c r="EZ12" s="33"/>
      <c r="FA12" s="286"/>
      <c r="FB12" s="287"/>
      <c r="FC12" s="287"/>
      <c r="FD12" s="287"/>
      <c r="FE12" s="32" t="str">
        <f>IFERROR(IF(VLOOKUP(FA12,CLP!$B$48:$R$82,10,FALSE)=0,"",VLOOKUP(FA12,CLP!$B$48:$R$82,10,FALSE)),"")</f>
        <v/>
      </c>
      <c r="FF12" s="52" t="str">
        <f>IFERROR(VLOOKUP(FA12,CLP!$B$48:$R$82,9,FALSE),"")</f>
        <v/>
      </c>
      <c r="FG12" s="286" t="s">
        <v>769</v>
      </c>
      <c r="FH12" s="287"/>
      <c r="FI12" s="287"/>
      <c r="FJ12" s="287"/>
      <c r="FK12" s="32" t="str">
        <f>IFERROR(IF(VLOOKUP(FG12,LIB!$B$48:$R$82,10,FALSE)=0,"",VLOOKUP(FG12,LIB!$B$48:$R$82,10,FALSE)),"")</f>
        <v/>
      </c>
      <c r="FL12" s="52">
        <f>IFERROR(VLOOKUP(FG12,LIB!$B$48:$R$82,9,FALSE),"")</f>
        <v>10</v>
      </c>
      <c r="FM12" s="33"/>
      <c r="FN12" s="302" t="s">
        <v>155</v>
      </c>
      <c r="FO12" s="302"/>
      <c r="FP12" s="302"/>
      <c r="FQ12" s="302"/>
      <c r="FR12" s="33"/>
      <c r="FS12" s="286" t="s">
        <v>749</v>
      </c>
      <c r="FT12" s="287"/>
      <c r="FU12" s="287"/>
      <c r="FV12" s="287"/>
      <c r="FW12" s="32" t="str">
        <f>IFERROR(IF(VLOOKUP(FS12,LIB!$B$48:$R$82,10,FALSE)=0,"",VLOOKUP(FS12,LIB!$B$48:$R$82,10,FALSE)),"")</f>
        <v/>
      </c>
      <c r="FX12" s="52">
        <f>IFERROR(VLOOKUP(FS12,LIB!$B$48:$R$82,9,FALSE),"")</f>
        <v>9</v>
      </c>
      <c r="FY12" s="286"/>
      <c r="FZ12" s="287"/>
      <c r="GA12" s="287"/>
      <c r="GB12" s="287"/>
      <c r="GC12" s="32" t="str">
        <f>IFERROR(IF(VLOOKUP(FY12,HAT!$B$48:$R$82,10,FALSE)=0,"",VLOOKUP(FY12,HAT!$B$48:$R$82,10,FALSE)),"")</f>
        <v/>
      </c>
      <c r="GD12" s="52" t="str">
        <f>IFERROR(VLOOKUP(FY12,HAT!$B$48:$R$82,9,FALSE),"")</f>
        <v/>
      </c>
      <c r="GE12" s="33"/>
      <c r="GF12" s="302" t="s">
        <v>155</v>
      </c>
      <c r="GG12" s="302"/>
      <c r="GH12" s="302"/>
      <c r="GI12" s="302"/>
      <c r="GJ12" s="33"/>
      <c r="GK12" s="286"/>
      <c r="GL12" s="287"/>
      <c r="GM12" s="287"/>
      <c r="GN12" s="287"/>
      <c r="GO12" s="32" t="str">
        <f>IFERROR(IF(VLOOKUP(GK12,HAT!$B$48:$R$82,10,FALSE)=0,"",VLOOKUP(GK12,HAT!$B$48:$R$82,10,FALSE)),"")</f>
        <v/>
      </c>
      <c r="GP12" s="52" t="str">
        <f>IFERROR(VLOOKUP(GK12,HAT!$B$48:$R$82,9,FALSE),"")</f>
        <v/>
      </c>
    </row>
    <row r="13" spans="1:198" ht="15.6" customHeight="1" thickBot="1" x14ac:dyDescent="0.3">
      <c r="A13" s="34" t="str">
        <f>IFERROR(VLOOKUP(A12,SKV!$B$48:$AA$82,11,FALSE),"")</f>
        <v>P</v>
      </c>
      <c r="B13" s="289">
        <f>IFERROR(YEAR(VLOOKUP(A12,SKV!$B$48:$AA$82,2,FALSE)),"")</f>
        <v>1995</v>
      </c>
      <c r="C13" s="260"/>
      <c r="D13" s="35">
        <f ca="1">IFERROR(VLOOKUP(A12,SKV!$B$48:$AA$82,3,FALSE),"")</f>
        <v>25</v>
      </c>
      <c r="E13" s="290" t="str">
        <f>IFERROR(VLOOKUP(A12,SKV!$B$48:$AA$82,15,FALSE),"")</f>
        <v>183/76</v>
      </c>
      <c r="F13" s="291"/>
      <c r="G13" s="33"/>
      <c r="H13" s="33"/>
      <c r="I13" s="33"/>
      <c r="J13" s="33"/>
      <c r="K13" s="33"/>
      <c r="L13" s="33"/>
      <c r="M13" s="34" t="str">
        <f>IFERROR(VLOOKUP(M12,SKV!$B$48:$AA$82,11,FALSE),"")</f>
        <v>L</v>
      </c>
      <c r="N13" s="289">
        <f>IFERROR(YEAR(VLOOKUP(M12,SKV!$B$48:$AA$82,2,FALSE)),"")</f>
        <v>1993</v>
      </c>
      <c r="O13" s="260"/>
      <c r="P13" s="35">
        <f ca="1">IFERROR(VLOOKUP(M12,SKV!$B$48:$AA$82,3,FALSE),"")</f>
        <v>27</v>
      </c>
      <c r="Q13" s="290" t="str">
        <f>IFERROR(VLOOKUP(M12,SKV!$B$48:$AA$82,15,FALSE),"")</f>
        <v>180/78</v>
      </c>
      <c r="R13" s="291"/>
      <c r="S13" s="34" t="str">
        <f>IFERROR(VLOOKUP(S12,CHO!$B$48:$AA$82,11,FALSE),"")</f>
        <v>P</v>
      </c>
      <c r="T13" s="289">
        <f>IFERROR(YEAR(VLOOKUP(S12,CHO!$B$48:$AA$82,2,FALSE)),"")</f>
        <v>2002</v>
      </c>
      <c r="U13" s="260"/>
      <c r="V13" s="35">
        <f ca="1">IFERROR(VLOOKUP(S12,CHO!$B$48:$AA$82,3,FALSE),"")</f>
        <v>18</v>
      </c>
      <c r="W13" s="290" t="str">
        <f>IFERROR(VLOOKUP(S12,CHO!$B$48:$AA$82,15,FALSE),"")</f>
        <v>183/72</v>
      </c>
      <c r="X13" s="291"/>
      <c r="Y13" s="33"/>
      <c r="Z13" s="33"/>
      <c r="AA13" s="33"/>
      <c r="AB13" s="33"/>
      <c r="AC13" s="33"/>
      <c r="AD13" s="33"/>
      <c r="AE13" s="34" t="str">
        <f>IFERROR(VLOOKUP(AE12,CHO!$B$48:$AA$82,11,FALSE),"")</f>
        <v>L</v>
      </c>
      <c r="AF13" s="289">
        <f>IFERROR(YEAR(VLOOKUP(AE12,CHO!$B$48:$AA$82,2,FALSE)),"")</f>
        <v>1986</v>
      </c>
      <c r="AG13" s="260"/>
      <c r="AH13" s="35">
        <f ca="1">IFERROR(VLOOKUP(AE12,CHO!$B$48:$AA$82,3,FALSE),"")</f>
        <v>34</v>
      </c>
      <c r="AI13" s="290" t="str">
        <f>IFERROR(VLOOKUP(AE12,CHO!$B$48:$AA$82,15,FALSE),"")</f>
        <v>186/84</v>
      </c>
      <c r="AJ13" s="291"/>
      <c r="AK13" s="34" t="str">
        <f>IFERROR(VLOOKUP(AK12,VIT!$B$48:$R$82,11,FALSE),"")</f>
        <v>L</v>
      </c>
      <c r="AL13" s="289">
        <f>IFERROR(YEAR(VLOOKUP(AK12,VIT!$B$48:$R$82,2,FALSE)),"")</f>
        <v>1993</v>
      </c>
      <c r="AM13" s="260"/>
      <c r="AN13" s="106">
        <f ca="1">IFERROR(VLOOKUP(AK12,VIT!$B$48:$R$82,3,FALSE),"")</f>
        <v>27</v>
      </c>
      <c r="AO13" s="290" t="str">
        <f>IFERROR(VLOOKUP(AK12,VIT!$B$48:$R$82,15,FALSE),"")</f>
        <v>168/69</v>
      </c>
      <c r="AP13" s="291"/>
      <c r="AQ13" s="33"/>
      <c r="AR13" s="33"/>
      <c r="AS13" s="33"/>
      <c r="AT13" s="33"/>
      <c r="AU13" s="33"/>
      <c r="AV13" s="33"/>
      <c r="AW13" s="34" t="str">
        <f>IFERROR(VLOOKUP(AW12,VIT!$B$48:$R$82,11,FALSE),"")</f>
        <v>L</v>
      </c>
      <c r="AX13" s="289">
        <f>IFERROR(YEAR(VLOOKUP(AW12,VIT!$B$48:$R$82,2,FALSE)),"")</f>
        <v>1992</v>
      </c>
      <c r="AY13" s="260"/>
      <c r="AZ13" s="106">
        <f ca="1">IFERROR(VLOOKUP(AW12,VIT!$B$48:$R$82,3,FALSE),"")</f>
        <v>28</v>
      </c>
      <c r="BA13" s="290" t="str">
        <f>IFERROR(VLOOKUP(AW12,VIT!$B$48:$R$82,15,FALSE),"")</f>
        <v>182/81</v>
      </c>
      <c r="BB13" s="291"/>
      <c r="BC13" s="34" t="str">
        <f>IFERROR(VLOOKUP(BC12,MB!$B$48:$R$82,11,FALSE),"")</f>
        <v>P</v>
      </c>
      <c r="BD13" s="289">
        <f>IFERROR(YEAR(VLOOKUP(BC12,MB!$B$48:$R$82,2,FALSE)),"")</f>
        <v>1989</v>
      </c>
      <c r="BE13" s="260"/>
      <c r="BF13" s="108">
        <f ca="1">IFERROR(VLOOKUP(BC12,MB!$B$48:$R$82,3,FALSE),"")</f>
        <v>31</v>
      </c>
      <c r="BG13" s="290" t="str">
        <f>IFERROR(VLOOKUP(BC12,MB!$B$48:$R$82,15,FALSE),"")</f>
        <v>185/86</v>
      </c>
      <c r="BH13" s="291"/>
      <c r="BI13" s="33"/>
      <c r="BJ13" s="33"/>
      <c r="BK13" s="33"/>
      <c r="BL13" s="33"/>
      <c r="BM13" s="33"/>
      <c r="BN13" s="33"/>
      <c r="BO13" s="34" t="str">
        <f>IFERROR(VLOOKUP(BO12,MB!$B$48:$R$82,11,FALSE),"")</f>
        <v>L</v>
      </c>
      <c r="BP13" s="289">
        <f>IFERROR(YEAR(VLOOKUP(BO12,MB!$B$48:$R$82,2,FALSE)),"")</f>
        <v>1990</v>
      </c>
      <c r="BQ13" s="260"/>
      <c r="BR13" s="108">
        <f ca="1">IFERROR(VLOOKUP(BO12,MB!$B$48:$R$82,3,FALSE),"")</f>
        <v>30</v>
      </c>
      <c r="BS13" s="290" t="str">
        <f>IFERROR(VLOOKUP(BO12,MB!$B$48:$R$82,15,FALSE),"")</f>
        <v>183/76</v>
      </c>
      <c r="BT13" s="291"/>
      <c r="BU13" s="34" t="str">
        <f>IFERROR(VLOOKUP(BU12,TAT!$B$48:$R$82,11,FALSE),"")</f>
        <v/>
      </c>
      <c r="BV13" s="289" t="str">
        <f>IFERROR(YEAR(VLOOKUP(BU12,TAT!$B$48:$R$82,2,FALSE)),"")</f>
        <v/>
      </c>
      <c r="BW13" s="260"/>
      <c r="BX13" s="150" t="str">
        <f>IFERROR(VLOOKUP(BU12,TAT!$B$48:$R$82,3,FALSE),"")</f>
        <v/>
      </c>
      <c r="BY13" s="290" t="str">
        <f>IFERROR(VLOOKUP(BU12,TAT!$B$48:$R$82,15,FALSE),"")</f>
        <v/>
      </c>
      <c r="BZ13" s="291"/>
      <c r="CA13" s="33"/>
      <c r="CB13" s="33"/>
      <c r="CC13" s="33"/>
      <c r="CD13" s="33"/>
      <c r="CE13" s="33"/>
      <c r="CF13" s="33"/>
      <c r="CG13" s="34" t="str">
        <f>IFERROR(VLOOKUP(CG12,TAT!$B$48:$R$82,11,FALSE),"")</f>
        <v/>
      </c>
      <c r="CH13" s="289" t="str">
        <f>IFERROR(YEAR(VLOOKUP(CG12,TAT!$B$48:$R$82,2,FALSE)),"")</f>
        <v/>
      </c>
      <c r="CI13" s="260"/>
      <c r="CJ13" s="150" t="str">
        <f>IFERROR(VLOOKUP(CG12,TAT!$B$48:$R$82,3,FALSE),"")</f>
        <v/>
      </c>
      <c r="CK13" s="290" t="str">
        <f>IFERROR(VLOOKUP(CG12,TAT!$B$48:$R$82,15,FALSE),"")</f>
        <v/>
      </c>
      <c r="CL13" s="291"/>
      <c r="CM13" s="34" t="str">
        <f>IFERROR(VLOOKUP(CM12,OTR!$B$48:$R$82,11,FALSE),"")</f>
        <v>L</v>
      </c>
      <c r="CN13" s="289">
        <f>IFERROR(YEAR(VLOOKUP(CM12,OTR!$B$48:$R$82,2,FALSE)),"")</f>
        <v>1999</v>
      </c>
      <c r="CO13" s="260"/>
      <c r="CP13" s="150">
        <f ca="1">IFERROR(VLOOKUP(CM12,OTR!$B$48:$R$82,3,FALSE),"")</f>
        <v>21</v>
      </c>
      <c r="CQ13" s="290" t="str">
        <f>IFERROR(VLOOKUP(CM12,OTR!$B$48:$R$82,15,FALSE),"")</f>
        <v>177/70</v>
      </c>
      <c r="CR13" s="291"/>
      <c r="CS13" s="33"/>
      <c r="CT13" s="33"/>
      <c r="CU13" s="33"/>
      <c r="CV13" s="33"/>
      <c r="CW13" s="33"/>
      <c r="CX13" s="33"/>
      <c r="CY13" s="34" t="str">
        <f>IFERROR(VLOOKUP(CY12,OTR!$B$48:$R$82,11,FALSE),"")</f>
        <v>L</v>
      </c>
      <c r="CZ13" s="289">
        <f>IFERROR(YEAR(VLOOKUP(CY12,OTR!$B$48:$R$82,2,FALSE)),"")</f>
        <v>1994</v>
      </c>
      <c r="DA13" s="260"/>
      <c r="DB13" s="150">
        <f ca="1">IFERROR(VLOOKUP(CY12,OTR!$B$48:$R$82,3,FALSE),"")</f>
        <v>26</v>
      </c>
      <c r="DC13" s="290" t="str">
        <f>IFERROR(VLOOKUP(CY12,OTR!$B$48:$R$82,15,FALSE),"")</f>
        <v>174/73</v>
      </c>
      <c r="DD13" s="291"/>
      <c r="DE13" s="34" t="str">
        <f>IFERROR(VLOOKUP(DE12,BOH!$B$48:$R$82,11,FALSE),"")</f>
        <v>P</v>
      </c>
      <c r="DF13" s="289">
        <f>IFERROR(YEAR(VLOOKUP(DE12,BOH!$B$48:$R$82,2,FALSE)),"")</f>
        <v>2000</v>
      </c>
      <c r="DG13" s="260"/>
      <c r="DH13" s="165">
        <f ca="1">IFERROR(VLOOKUP(DE12,BOH!$B$48:$R$82,3,FALSE),"")</f>
        <v>20</v>
      </c>
      <c r="DI13" s="290" t="str">
        <f>IFERROR(VLOOKUP(DE12,BOH!$B$48:$R$82,15,FALSE),"")</f>
        <v>190/76</v>
      </c>
      <c r="DJ13" s="291"/>
      <c r="DK13" s="33"/>
      <c r="DL13" s="33"/>
      <c r="DM13" s="33"/>
      <c r="DN13" s="33"/>
      <c r="DO13" s="33"/>
      <c r="DP13" s="33"/>
      <c r="DQ13" s="34" t="str">
        <f>IFERROR(VLOOKUP(DQ12,BOH!$B$48:$R$82,11,FALSE),"")</f>
        <v>L</v>
      </c>
      <c r="DR13" s="289">
        <f>IFERROR(YEAR(VLOOKUP(DQ12,BOH!$B$48:$R$82,2,FALSE)),"")</f>
        <v>1999</v>
      </c>
      <c r="DS13" s="260"/>
      <c r="DT13" s="165">
        <f ca="1">IFERROR(VLOOKUP(DQ12,BOH!$B$48:$R$82,3,FALSE),"")</f>
        <v>21</v>
      </c>
      <c r="DU13" s="290" t="str">
        <f>IFERROR(VLOOKUP(DQ12,BOH!$B$48:$R$82,15,FALSE),"")</f>
        <v>186/95</v>
      </c>
      <c r="DV13" s="291"/>
      <c r="DW13" s="34" t="str">
        <f>IFERROR(VLOOKUP(DW12,SPA!$B$48:$R$82,11,FALSE),"")</f>
        <v/>
      </c>
      <c r="DX13" s="289" t="str">
        <f>IFERROR(YEAR(VLOOKUP(DW12,SPA!$B$48:$R$82,2,FALSE)),"")</f>
        <v/>
      </c>
      <c r="DY13" s="260"/>
      <c r="DZ13" s="165" t="str">
        <f>IFERROR(VLOOKUP(DW12,SPA!$B$48:$R$82,3,FALSE),"")</f>
        <v/>
      </c>
      <c r="EA13" s="290" t="str">
        <f>IFERROR(VLOOKUP(DW12,SPA!$B$48:$R$82,15,FALSE),"")</f>
        <v/>
      </c>
      <c r="EB13" s="291"/>
      <c r="EC13" s="33"/>
      <c r="ED13" s="33"/>
      <c r="EE13" s="33"/>
      <c r="EF13" s="33"/>
      <c r="EG13" s="33"/>
      <c r="EH13" s="33"/>
      <c r="EI13" s="34" t="str">
        <f>IFERROR(VLOOKUP(EI12,SPA!$B$48:$R$82,11,FALSE),"")</f>
        <v/>
      </c>
      <c r="EJ13" s="289" t="str">
        <f>IFERROR(YEAR(VLOOKUP(EI12,SPA!$B$48:$R$82,2,FALSE)),"")</f>
        <v/>
      </c>
      <c r="EK13" s="260"/>
      <c r="EL13" s="165" t="str">
        <f>IFERROR(VLOOKUP(EI12,SPA!$B$48:$R$82,3,FALSE),"")</f>
        <v/>
      </c>
      <c r="EM13" s="290" t="str">
        <f>IFERROR(VLOOKUP(EI12,SPA!$B$48:$R$82,15,FALSE),"")</f>
        <v/>
      </c>
      <c r="EN13" s="291"/>
      <c r="EO13" s="34" t="str">
        <f>IFERROR(VLOOKUP(EO12,CLP!$B$48:$R$82,11,FALSE),"")</f>
        <v/>
      </c>
      <c r="EP13" s="289" t="str">
        <f>IFERROR(YEAR(VLOOKUP(EO12,CLP!$B$48:$R$82,2,FALSE)),"")</f>
        <v/>
      </c>
      <c r="EQ13" s="260"/>
      <c r="ER13" s="204" t="str">
        <f>IFERROR(VLOOKUP(EO12,CLP!$B$48:$R$82,3,FALSE),"")</f>
        <v/>
      </c>
      <c r="ES13" s="290" t="str">
        <f>IFERROR(VLOOKUP(EO12,CLP!$B$48:$R$82,15,FALSE),"")</f>
        <v/>
      </c>
      <c r="ET13" s="291"/>
      <c r="EU13" s="33"/>
      <c r="EV13" s="33"/>
      <c r="EW13" s="33"/>
      <c r="EX13" s="33"/>
      <c r="EY13" s="33"/>
      <c r="EZ13" s="33"/>
      <c r="FA13" s="34" t="str">
        <f>IFERROR(VLOOKUP(FA12,CLP!$B$48:$R$82,11,FALSE),"")</f>
        <v/>
      </c>
      <c r="FB13" s="289" t="str">
        <f>IFERROR(YEAR(VLOOKUP(FA12,CLP!$B$48:$R$82,2,FALSE)),"")</f>
        <v/>
      </c>
      <c r="FC13" s="260"/>
      <c r="FD13" s="204" t="str">
        <f>IFERROR(VLOOKUP(FA12,CLP!$B$48:$R$82,3,FALSE),"")</f>
        <v/>
      </c>
      <c r="FE13" s="290" t="str">
        <f>IFERROR(VLOOKUP(FA12,CLP!$B$48:$R$82,15,FALSE),"")</f>
        <v/>
      </c>
      <c r="FF13" s="291"/>
      <c r="FG13" s="34" t="str">
        <f>IFERROR(VLOOKUP(FG12,LIB!$B$48:$R$82,11,FALSE),"")</f>
        <v>L</v>
      </c>
      <c r="FH13" s="289">
        <f>IFERROR(YEAR(VLOOKUP(FG12,LIB!$B$48:$R$82,2,FALSE)),"")</f>
        <v>1985</v>
      </c>
      <c r="FI13" s="260"/>
      <c r="FJ13" s="204">
        <f ca="1">IFERROR(VLOOKUP(FG12,LIB!$B$48:$R$82,3,FALSE),"")</f>
        <v>35</v>
      </c>
      <c r="FK13" s="290" t="str">
        <f>IFERROR(VLOOKUP(FG12,LIB!$B$48:$R$82,15,FALSE),"")</f>
        <v>181/79</v>
      </c>
      <c r="FL13" s="291"/>
      <c r="FM13" s="33"/>
      <c r="FN13" s="33"/>
      <c r="FO13" s="33"/>
      <c r="FP13" s="33"/>
      <c r="FQ13" s="33"/>
      <c r="FR13" s="33"/>
      <c r="FS13" s="34" t="str">
        <f>IFERROR(VLOOKUP(FS12,LIB!$B$48:$R$82,11,FALSE),"")</f>
        <v>L</v>
      </c>
      <c r="FT13" s="289">
        <f>IFERROR(YEAR(VLOOKUP(FS12,LIB!$B$48:$R$82,2,FALSE)),"")</f>
        <v>1994</v>
      </c>
      <c r="FU13" s="260"/>
      <c r="FV13" s="204">
        <f ca="1">IFERROR(VLOOKUP(FS12,LIB!$B$48:$R$82,3,FALSE),"")</f>
        <v>26</v>
      </c>
      <c r="FW13" s="290" t="str">
        <f>IFERROR(VLOOKUP(FS12,LIB!$B$48:$R$82,15,FALSE),"")</f>
        <v>187/76</v>
      </c>
      <c r="FX13" s="291"/>
      <c r="FY13" s="34" t="str">
        <f>IFERROR(VLOOKUP(FY12,HAT!$B$48:$R$82,11,FALSE),"")</f>
        <v/>
      </c>
      <c r="FZ13" s="289" t="str">
        <f>IFERROR(YEAR(VLOOKUP(FY12,HAT!$B$48:$R$82,2,FALSE)),"")</f>
        <v/>
      </c>
      <c r="GA13" s="260"/>
      <c r="GB13" s="211" t="str">
        <f>IFERROR(VLOOKUP(FY12,HAT!$B$48:$R$82,3,FALSE),"")</f>
        <v/>
      </c>
      <c r="GC13" s="290" t="str">
        <f>IFERROR(VLOOKUP(FY12,HAT!$B$48:$R$82,15,FALSE),"")</f>
        <v/>
      </c>
      <c r="GD13" s="291"/>
      <c r="GE13" s="33"/>
      <c r="GF13" s="33"/>
      <c r="GG13" s="33"/>
      <c r="GH13" s="33"/>
      <c r="GI13" s="33"/>
      <c r="GJ13" s="33"/>
      <c r="GK13" s="34" t="str">
        <f>IFERROR(VLOOKUP(GK12,HAT!$B$48:$R$82,11,FALSE),"")</f>
        <v/>
      </c>
      <c r="GL13" s="289" t="str">
        <f>IFERROR(YEAR(VLOOKUP(GK12,HAT!$B$48:$R$82,2,FALSE)),"")</f>
        <v/>
      </c>
      <c r="GM13" s="260"/>
      <c r="GN13" s="211" t="str">
        <f>IFERROR(VLOOKUP(GK12,HAT!$B$48:$R$82,3,FALSE),"")</f>
        <v/>
      </c>
      <c r="GO13" s="290" t="str">
        <f>IFERROR(VLOOKUP(GK12,HAT!$B$48:$R$82,15,FALSE),"")</f>
        <v/>
      </c>
      <c r="GP13" s="291"/>
    </row>
    <row r="14" spans="1:198" ht="15.6" customHeight="1" thickTop="1" thickBot="1" x14ac:dyDescent="0.3">
      <c r="A14" s="297" t="str">
        <f>IFERROR(VLOOKUP(A12,SKV!$B$2:$O$36,14,FALSE),"")</f>
        <v>26 OZ , 12 (8+4), -13 ±</v>
      </c>
      <c r="B14" s="298"/>
      <c r="C14" s="298"/>
      <c r="D14" s="299" t="str">
        <f>IFERROR(VLOOKUP(A12,SKV!$B$48:$AA$82,14,FALSE),"")</f>
        <v>103 OZ, 40 (26+14)</v>
      </c>
      <c r="E14" s="299"/>
      <c r="F14" s="300"/>
      <c r="G14" s="286" t="s">
        <v>20</v>
      </c>
      <c r="H14" s="287"/>
      <c r="I14" s="287"/>
      <c r="J14" s="287"/>
      <c r="K14" s="32" t="str">
        <f>IFERROR(IF(VLOOKUP(G14,SKV!$B$48:$AA$82,10,FALSE)=0,"",VLOOKUP(G14,SKV!$B$48:$AA$82,10,FALSE)),"")</f>
        <v/>
      </c>
      <c r="L14" s="52">
        <f>IFERROR(VLOOKUP(G14,SKV!$B$48:$AA$82,9,FALSE),"")</f>
        <v>64</v>
      </c>
      <c r="M14" s="297" t="str">
        <f>IFERROR(VLOOKUP(M12,SKV!$B$2:$O$36,14,FALSE),"")</f>
        <v>26 OZ , 26 (19+7), -22 ±</v>
      </c>
      <c r="N14" s="298"/>
      <c r="O14" s="298"/>
      <c r="P14" s="299" t="str">
        <f>IFERROR(VLOOKUP(M12,SKV!$B$48:$AA$82,14,FALSE),"")</f>
        <v>161 OZ, 139 (92+47)</v>
      </c>
      <c r="Q14" s="299"/>
      <c r="R14" s="300"/>
      <c r="S14" s="297" t="str">
        <f>IFERROR(VLOOKUP(S12,CHO!$B$2:$O$36,14,FALSE),"")</f>
        <v>25 OZ , 50 (33+17), +12 ±</v>
      </c>
      <c r="T14" s="298"/>
      <c r="U14" s="298"/>
      <c r="V14" s="299" t="str">
        <f>IFERROR(VLOOKUP(S12,CHO!$B$48:$AA$82,14,FALSE),"")</f>
        <v>40 OZ, 65 (40+25)</v>
      </c>
      <c r="W14" s="299"/>
      <c r="X14" s="300"/>
      <c r="Y14" s="286" t="s">
        <v>166</v>
      </c>
      <c r="Z14" s="287"/>
      <c r="AA14" s="287"/>
      <c r="AB14" s="287"/>
      <c r="AC14" s="32" t="str">
        <f>IFERROR(IF(VLOOKUP(Y14,CHO!$B$48:$AA$82,10,FALSE)=0,"",VLOOKUP(Y14,CHO!$B$48:$AA$82,10,FALSE)),"")</f>
        <v/>
      </c>
      <c r="AD14" s="52">
        <f>IFERROR(VLOOKUP(Y14,CHO!$B$48:$AA$82,9,FALSE),"")</f>
        <v>87</v>
      </c>
      <c r="AE14" s="297" t="str">
        <f>IFERROR(VLOOKUP(AE12,CHO!$B$2:$O$36,14,FALSE),"")</f>
        <v>22 OZ , 7 (3+4), +1 ±</v>
      </c>
      <c r="AF14" s="298"/>
      <c r="AG14" s="298"/>
      <c r="AH14" s="299" t="str">
        <f>IFERROR(VLOOKUP(AE12,CHO!$B$48:$AA$82,14,FALSE),"")</f>
        <v>275 OZ, 316 (180+136)</v>
      </c>
      <c r="AI14" s="299"/>
      <c r="AJ14" s="300"/>
      <c r="AK14" s="297" t="str">
        <f>IFERROR(VLOOKUP(AK12,VIT!$B$2:$O$36,14,FALSE),"")</f>
        <v>26 OZ , 42 (16+26), +36 ±</v>
      </c>
      <c r="AL14" s="298"/>
      <c r="AM14" s="298"/>
      <c r="AN14" s="299" t="str">
        <f>IFERROR(VLOOKUP(AK12,VIT!$B$48:$R$82,14,FALSE),"")</f>
        <v>205 OZ, 231 (122+109)</v>
      </c>
      <c r="AO14" s="299"/>
      <c r="AP14" s="300"/>
      <c r="AQ14" s="286" t="s">
        <v>257</v>
      </c>
      <c r="AR14" s="287"/>
      <c r="AS14" s="287"/>
      <c r="AT14" s="287"/>
      <c r="AU14" s="32" t="str">
        <f>IFERROR(IF(VLOOKUP(AQ14,VIT!$B$48:$R$82,10,FALSE)=0,"",VLOOKUP(AQ14,VIT!$B$48:$R$82,10,FALSE)),"")</f>
        <v/>
      </c>
      <c r="AV14" s="52">
        <f>IFERROR(VLOOKUP(AQ14,VIT!$B$48:$R$82,9,FALSE),"")</f>
        <v>18</v>
      </c>
      <c r="AW14" s="297" t="str">
        <f>IFERROR(VLOOKUP(AW12,VIT!$B$2:$O$36,14,FALSE),"")</f>
        <v>24 OZ , 53 (29+24), +31 ±</v>
      </c>
      <c r="AX14" s="298"/>
      <c r="AY14" s="298"/>
      <c r="AZ14" s="299" t="str">
        <f>IFERROR(VLOOKUP(AW12,VIT!$B$48:$R$82,14,FALSE),"")</f>
        <v>139 OZ, 329 (144+185)</v>
      </c>
      <c r="BA14" s="299"/>
      <c r="BB14" s="300"/>
      <c r="BC14" s="297" t="str">
        <f>IFERROR(VLOOKUP(BC12,MB!$B$2:$O$36,14,FALSE),"")</f>
        <v>26 OZ , 33 (15+18), +41 ±</v>
      </c>
      <c r="BD14" s="298"/>
      <c r="BE14" s="298"/>
      <c r="BF14" s="299" t="str">
        <f>IFERROR(VLOOKUP(BC12,MB!$B$48:$R$82,14,FALSE),"")</f>
        <v>141 OZ, 188 (101+87)</v>
      </c>
      <c r="BG14" s="299"/>
      <c r="BH14" s="300"/>
      <c r="BI14" s="286" t="s">
        <v>301</v>
      </c>
      <c r="BJ14" s="287"/>
      <c r="BK14" s="287"/>
      <c r="BL14" s="287"/>
      <c r="BM14" s="32" t="str">
        <f>IFERROR(IF(VLOOKUP(BI14,MB!$B$48:$R$82,10,FALSE)=0,"",VLOOKUP(BI14,MB!$B$48:$R$82,10,FALSE)),"")</f>
        <v/>
      </c>
      <c r="BN14" s="52">
        <f>IFERROR(VLOOKUP(BI14,MB!$B$48:$R$82,9,FALSE),"")</f>
        <v>7</v>
      </c>
      <c r="BO14" s="297" t="str">
        <f>IFERROR(VLOOKUP(BO12,MB!$B$2:$O$36,14,FALSE),"")</f>
        <v>26 OZ , 34 (24+10), +38 ±</v>
      </c>
      <c r="BP14" s="298"/>
      <c r="BQ14" s="298"/>
      <c r="BR14" s="299" t="str">
        <f>IFERROR(VLOOKUP(BO12,MB!$B$48:$R$82,14,FALSE),"")</f>
        <v>233 OZ, 295 (183+112)</v>
      </c>
      <c r="BS14" s="299"/>
      <c r="BT14" s="300"/>
      <c r="BU14" s="297" t="str">
        <f>IFERROR(VLOOKUP(BU12,TAT!$B$2:$O$36,14,FALSE),"")</f>
        <v/>
      </c>
      <c r="BV14" s="298"/>
      <c r="BW14" s="298"/>
      <c r="BX14" s="299" t="str">
        <f>IFERROR(VLOOKUP(BU12,TAT!$B$48:$R$82,14,FALSE),"")</f>
        <v/>
      </c>
      <c r="BY14" s="299"/>
      <c r="BZ14" s="300"/>
      <c r="CA14" s="286"/>
      <c r="CB14" s="287"/>
      <c r="CC14" s="287"/>
      <c r="CD14" s="287"/>
      <c r="CE14" s="32" t="str">
        <f>IFERROR(IF(VLOOKUP(CA14,TAT!$B$48:$R$82,10,FALSE)=0,"",VLOOKUP(CA14,TAT!$B$48:$R$82,10,FALSE)),"")</f>
        <v/>
      </c>
      <c r="CF14" s="52" t="str">
        <f>IFERROR(VLOOKUP(CA14,TAT!$B$48:$R$82,9,FALSE),"")</f>
        <v/>
      </c>
      <c r="CG14" s="297" t="str">
        <f>IFERROR(VLOOKUP(CG12,TAT!$B$2:$O$36,14,FALSE),"")</f>
        <v/>
      </c>
      <c r="CH14" s="298"/>
      <c r="CI14" s="298"/>
      <c r="CJ14" s="299" t="str">
        <f>IFERROR(VLOOKUP(CG12,TAT!$B$48:$R$82,14,FALSE),"")</f>
        <v/>
      </c>
      <c r="CK14" s="299"/>
      <c r="CL14" s="300"/>
      <c r="CM14" s="297" t="str">
        <f>IFERROR(VLOOKUP(CM12,OTR!$B$2:$O$36,14,FALSE),"")</f>
        <v>22 OZ , 12 (5+7), -13 ±</v>
      </c>
      <c r="CN14" s="298"/>
      <c r="CO14" s="298"/>
      <c r="CP14" s="299" t="str">
        <f>IFERROR(VLOOKUP(CM12,OTR!$B$48:$R$82,14,FALSE),"")</f>
        <v>48 OZ, 20 (9+11)</v>
      </c>
      <c r="CQ14" s="299"/>
      <c r="CR14" s="300"/>
      <c r="CS14" s="286" t="s">
        <v>416</v>
      </c>
      <c r="CT14" s="287"/>
      <c r="CU14" s="287"/>
      <c r="CV14" s="287"/>
      <c r="CW14" s="32" t="str">
        <f>IFERROR(IF(VLOOKUP(CS14,OTR!$B$48:$R$82,10,FALSE)=0,"",VLOOKUP(CS14,OTR!$B$48:$R$82,10,FALSE)),"")</f>
        <v>C</v>
      </c>
      <c r="CX14" s="52">
        <f>IFERROR(VLOOKUP(CS14,OTR!$B$48:$R$82,9,FALSE),"")</f>
        <v>74</v>
      </c>
      <c r="CY14" s="297" t="str">
        <f>IFERROR(VLOOKUP(CY12,OTR!$B$2:$O$36,14,FALSE),"")</f>
        <v>24 OZ , 15 (12+3), -22 ±</v>
      </c>
      <c r="CZ14" s="298"/>
      <c r="DA14" s="298"/>
      <c r="DB14" s="299" t="str">
        <f>IFERROR(VLOOKUP(CY12,OTR!$B$48:$R$82,14,FALSE),"")</f>
        <v>171 OZ, 160 (99+61)</v>
      </c>
      <c r="DC14" s="299"/>
      <c r="DD14" s="300"/>
      <c r="DE14" s="297" t="str">
        <f>IFERROR(VLOOKUP(DE12,BOH!$B$2:$O$36,14,FALSE),"")</f>
        <v>25 OZ , 23 (10+13), +11 ±</v>
      </c>
      <c r="DF14" s="298"/>
      <c r="DG14" s="298"/>
      <c r="DH14" s="299" t="str">
        <f>IFERROR(VLOOKUP(DE12,BOH!$B$48:$R$82,14,FALSE),"")</f>
        <v>95 OZ, 94 (47+47)</v>
      </c>
      <c r="DI14" s="299"/>
      <c r="DJ14" s="300"/>
      <c r="DK14" s="286" t="s">
        <v>479</v>
      </c>
      <c r="DL14" s="287"/>
      <c r="DM14" s="287"/>
      <c r="DN14" s="287"/>
      <c r="DO14" s="32" t="str">
        <f>IFERROR(IF(VLOOKUP(DK14,BOH!$B$48:$R$82,10,FALSE)=0,"",VLOOKUP(DK14,BOH!$B$48:$R$82,10,FALSE)),"")</f>
        <v/>
      </c>
      <c r="DP14" s="52">
        <f>IFERROR(VLOOKUP(DK14,BOH!$B$48:$R$82,9,FALSE),"")</f>
        <v>91</v>
      </c>
      <c r="DQ14" s="297" t="str">
        <f>IFERROR(VLOOKUP(DQ12,BOH!$B$2:$O$36,14,FALSE),"")</f>
        <v>26 OZ , 43 (21+22), +11 ±</v>
      </c>
      <c r="DR14" s="298"/>
      <c r="DS14" s="298"/>
      <c r="DT14" s="299" t="str">
        <f>IFERROR(VLOOKUP(DQ12,BOH!$B$48:$R$82,14,FALSE),"")</f>
        <v>117 OZ, 167 (83+84)</v>
      </c>
      <c r="DU14" s="299"/>
      <c r="DV14" s="300"/>
      <c r="DW14" s="297" t="str">
        <f>IFERROR(VLOOKUP(DW12,SPA!$B$2:$O$36,14,FALSE),"")</f>
        <v/>
      </c>
      <c r="DX14" s="298"/>
      <c r="DY14" s="298"/>
      <c r="DZ14" s="299" t="str">
        <f>IFERROR(VLOOKUP(DW12,SPA!$B$48:$R$82,14,FALSE),"")</f>
        <v/>
      </c>
      <c r="EA14" s="299"/>
      <c r="EB14" s="300"/>
      <c r="EC14" s="286"/>
      <c r="ED14" s="287"/>
      <c r="EE14" s="287"/>
      <c r="EF14" s="287"/>
      <c r="EG14" s="32" t="str">
        <f>IFERROR(IF(VLOOKUP(EC14,SPA!$B$48:$R$82,10,FALSE)=0,"",VLOOKUP(EC14,SPA!$B$48:$R$82,10,FALSE)),"")</f>
        <v/>
      </c>
      <c r="EH14" s="52" t="str">
        <f>IFERROR(VLOOKUP(EC14,SPA!$B$48:$R$82,9,FALSE),"")</f>
        <v/>
      </c>
      <c r="EI14" s="297" t="str">
        <f>IFERROR(VLOOKUP(EI12,SPA!$B$2:$O$36,14,FALSE),"")</f>
        <v/>
      </c>
      <c r="EJ14" s="298"/>
      <c r="EK14" s="298"/>
      <c r="EL14" s="299" t="str">
        <f>IFERROR(VLOOKUP(EI12,SPA!$B$48:$R$82,14,FALSE),"")</f>
        <v/>
      </c>
      <c r="EM14" s="299"/>
      <c r="EN14" s="300"/>
      <c r="EO14" s="297" t="str">
        <f>IFERROR(VLOOKUP(EO12,CLP!$B$2:$O$36,14,FALSE),"")</f>
        <v/>
      </c>
      <c r="EP14" s="298"/>
      <c r="EQ14" s="298"/>
      <c r="ER14" s="299" t="str">
        <f>IFERROR(VLOOKUP(EO12,CLP!$B$48:$R$82,14,FALSE),"")</f>
        <v/>
      </c>
      <c r="ES14" s="299"/>
      <c r="ET14" s="300"/>
      <c r="EU14" s="286"/>
      <c r="EV14" s="287"/>
      <c r="EW14" s="287"/>
      <c r="EX14" s="287"/>
      <c r="EY14" s="32" t="str">
        <f>IFERROR(IF(VLOOKUP(EU14,CLP!$B$48:$R$82,10,FALSE)=0,"",VLOOKUP(EU14,CLP!$B$48:$R$82,10,FALSE)),"")</f>
        <v/>
      </c>
      <c r="EZ14" s="52" t="str">
        <f>IFERROR(VLOOKUP(EU14,CLP!$B$48:$R$82,9,FALSE),"")</f>
        <v/>
      </c>
      <c r="FA14" s="297" t="str">
        <f>IFERROR(VLOOKUP(FA12,CLP!$B$2:$O$36,14,FALSE),"")</f>
        <v/>
      </c>
      <c r="FB14" s="298"/>
      <c r="FC14" s="298"/>
      <c r="FD14" s="299" t="str">
        <f>IFERROR(VLOOKUP(FA12,CLP!$B$48:$R$82,14,FALSE),"")</f>
        <v/>
      </c>
      <c r="FE14" s="299"/>
      <c r="FF14" s="300"/>
      <c r="FG14" s="297" t="str">
        <f>IFERROR(VLOOKUP(FG12,LIB!$B$2:$O$36,14,FALSE),"")</f>
        <v>8 OZ , 4 (1+3), -3 ±</v>
      </c>
      <c r="FH14" s="298"/>
      <c r="FI14" s="298"/>
      <c r="FJ14" s="299" t="str">
        <f>IFERROR(VLOOKUP(FG12,LIB!$B$48:$R$82,14,FALSE),"")</f>
        <v>332 OZ, 453 (192+261)</v>
      </c>
      <c r="FK14" s="299"/>
      <c r="FL14" s="300"/>
      <c r="FM14" s="286" t="s">
        <v>752</v>
      </c>
      <c r="FN14" s="287"/>
      <c r="FO14" s="287"/>
      <c r="FP14" s="287"/>
      <c r="FQ14" s="32" t="str">
        <f>IFERROR(IF(VLOOKUP(FM14,LIB!$B$48:$R$82,10,FALSE)=0,"",VLOOKUP(FM14,LIB!$B$48:$R$82,10,FALSE)),"")</f>
        <v/>
      </c>
      <c r="FR14" s="52">
        <f>IFERROR(VLOOKUP(FM14,LIB!$B$48:$R$82,9,FALSE),"")</f>
        <v>5</v>
      </c>
      <c r="FS14" s="297" t="str">
        <f>IFERROR(VLOOKUP(FS12,LIB!$B$2:$O$36,14,FALSE),"")</f>
        <v>24 OZ , 39 (21+18), -1 ±</v>
      </c>
      <c r="FT14" s="298"/>
      <c r="FU14" s="298"/>
      <c r="FV14" s="299" t="str">
        <f>IFERROR(VLOOKUP(FS12,LIB!$B$48:$R$82,14,FALSE),"")</f>
        <v>189 OZ, 305 (166+139)</v>
      </c>
      <c r="FW14" s="299"/>
      <c r="FX14" s="300"/>
      <c r="FY14" s="297" t="str">
        <f>IFERROR(VLOOKUP(FY12,HAT!$B$2:$O$36,14,FALSE),"")</f>
        <v/>
      </c>
      <c r="FZ14" s="298"/>
      <c r="GA14" s="298"/>
      <c r="GB14" s="299" t="str">
        <f>IFERROR(VLOOKUP(FY12,HAT!$B$48:$R$82,14,FALSE),"")</f>
        <v/>
      </c>
      <c r="GC14" s="299"/>
      <c r="GD14" s="300"/>
      <c r="GE14" s="286"/>
      <c r="GF14" s="287"/>
      <c r="GG14" s="287"/>
      <c r="GH14" s="287"/>
      <c r="GI14" s="32" t="str">
        <f>IFERROR(IF(VLOOKUP(GE14,HAT!$B$48:$R$82,10,FALSE)=0,"",VLOOKUP(GE14,HAT!$B$48:$R$82,10,FALSE)),"")</f>
        <v/>
      </c>
      <c r="GJ14" s="52" t="str">
        <f>IFERROR(VLOOKUP(GE14,HAT!$B$48:$R$82,9,FALSE),"")</f>
        <v/>
      </c>
      <c r="GK14" s="297" t="str">
        <f>IFERROR(VLOOKUP(GK12,HAT!$B$2:$O$36,14,FALSE),"")</f>
        <v/>
      </c>
      <c r="GL14" s="298"/>
      <c r="GM14" s="298"/>
      <c r="GN14" s="299" t="str">
        <f>IFERROR(VLOOKUP(GK12,HAT!$B$48:$R$82,14,FALSE),"")</f>
        <v/>
      </c>
      <c r="GO14" s="299"/>
      <c r="GP14" s="300"/>
    </row>
    <row r="15" spans="1:198" ht="15.6" customHeight="1" thickBot="1" x14ac:dyDescent="0.3">
      <c r="A15" s="263" t="str">
        <f>IFERROR(VLOOKUP(A12,SKV!$B$48:$AA$82,16,FALSE),"")</f>
        <v>Chodov</v>
      </c>
      <c r="B15" s="264"/>
      <c r="C15" s="265"/>
      <c r="D15" s="266">
        <f>IFERROR(VLOOKUP(A12,SKV!$B$48:$AA$82,17,FALSE),"")</f>
        <v>2006</v>
      </c>
      <c r="E15" s="267"/>
      <c r="F15" s="124">
        <f>IFERROR(VLOOKUP(A12,SKV!$B$48:$AA$82,8,FALSE),"")</f>
        <v>5</v>
      </c>
      <c r="G15" s="34" t="str">
        <f>IFERROR(VLOOKUP(G14,SKV!$B$48:$AA$82,11,FALSE),"")</f>
        <v>L</v>
      </c>
      <c r="H15" s="289">
        <f>IFERROR(YEAR(VLOOKUP(G14,SKV!$B$48:$AA$82,2,FALSE)),"")</f>
        <v>1993</v>
      </c>
      <c r="I15" s="260"/>
      <c r="J15" s="35">
        <f ca="1">IFERROR(VLOOKUP(G14,SKV!$B$48:$AA$82,3,FALSE),"")</f>
        <v>27</v>
      </c>
      <c r="K15" s="290" t="str">
        <f>IFERROR(VLOOKUP(G14,SKV!$B$48:$AA$82,15,FALSE),"")</f>
        <v>173/68</v>
      </c>
      <c r="L15" s="291"/>
      <c r="M15" s="263" t="str">
        <f>IFERROR(VLOOKUP(M12,SKV!$B$48:$AA$82,16,FALSE),"")</f>
        <v>ASP Hr. Králové</v>
      </c>
      <c r="N15" s="264"/>
      <c r="O15" s="265"/>
      <c r="P15" s="266">
        <f>IFERROR(VLOOKUP(M12,SKV!$B$48:$AA$82,17,FALSE),"")</f>
        <v>2007</v>
      </c>
      <c r="Q15" s="267"/>
      <c r="R15" s="124">
        <f>IFERROR(VLOOKUP(M12,SKV!$B$48:$AA$82,8,FALSE),"")</f>
        <v>7</v>
      </c>
      <c r="S15" s="263" t="str">
        <f>IFERROR(VLOOKUP(S12,CHO!$B$48:$AA$82,16,FALSE),"")</f>
        <v>FBC Plzeň</v>
      </c>
      <c r="T15" s="264"/>
      <c r="U15" s="265"/>
      <c r="V15" s="266">
        <f>IFERROR(VLOOKUP(S12,CHO!$B$48:$AA$82,17,FALSE),"")</f>
        <v>2009</v>
      </c>
      <c r="W15" s="267"/>
      <c r="X15" s="124">
        <f>IFERROR(VLOOKUP(S12,CHO!$B$48:$AA$82,8,FALSE),"")</f>
        <v>2</v>
      </c>
      <c r="Y15" s="34" t="str">
        <f>IFERROR(VLOOKUP(Y14,CHO!$B$48:$AA$82,11,FALSE),"")</f>
        <v>L</v>
      </c>
      <c r="Z15" s="289">
        <f>IFERROR(YEAR(VLOOKUP(Y14,CHO!$B$48:$AA$82,2,FALSE)),"")</f>
        <v>1992</v>
      </c>
      <c r="AA15" s="260"/>
      <c r="AB15" s="35">
        <f ca="1">IFERROR(VLOOKUP(Y14,CHO!$B$48:$AA$82,3,FALSE),"")</f>
        <v>28</v>
      </c>
      <c r="AC15" s="290" t="str">
        <f>IFERROR(VLOOKUP(Y14,CHO!$B$48:$AA$82,15,FALSE),"")</f>
        <v>176/73</v>
      </c>
      <c r="AD15" s="291"/>
      <c r="AE15" s="263" t="str">
        <f>IFERROR(VLOOKUP(AE12,CHO!$B$48:$AA$82,16,FALSE),"")</f>
        <v>Sokol Brno III</v>
      </c>
      <c r="AF15" s="264"/>
      <c r="AG15" s="265"/>
      <c r="AH15" s="266">
        <f>IFERROR(VLOOKUP(AE12,CHO!$B$48:$AA$82,17,FALSE),"")</f>
        <v>2000</v>
      </c>
      <c r="AI15" s="267"/>
      <c r="AJ15" s="124">
        <f>IFERROR(VLOOKUP(AE12,CHO!$B$48:$AA$82,8,FALSE),"")</f>
        <v>15</v>
      </c>
      <c r="AK15" s="263" t="str">
        <f>IFERROR(VLOOKUP(AK12,VIT!$B$48:$R$82,16,FALSE),"")</f>
        <v>1. SC Vítkovice</v>
      </c>
      <c r="AL15" s="264"/>
      <c r="AM15" s="265"/>
      <c r="AN15" s="266">
        <f>IFERROR(VLOOKUP(AK12,VIT!$B$48:$R$82,17,FALSE),"")</f>
        <v>2006</v>
      </c>
      <c r="AO15" s="267"/>
      <c r="AP15" s="124">
        <f>IFERROR(VLOOKUP(AK12,VIT!$B$48:$R$82,8,FALSE),"")</f>
        <v>11</v>
      </c>
      <c r="AQ15" s="34" t="str">
        <f>IFERROR(VLOOKUP(AQ14,VIT!$B$48:$R$82,11,FALSE),"")</f>
        <v>L</v>
      </c>
      <c r="AR15" s="289">
        <f>IFERROR(YEAR(VLOOKUP(AQ14,VIT!$B$48:$R$82,2,FALSE)),"")</f>
        <v>2001</v>
      </c>
      <c r="AS15" s="260"/>
      <c r="AT15" s="106">
        <f ca="1">IFERROR(VLOOKUP(AQ14,VIT!$B$48:$R$82,3,FALSE),"")</f>
        <v>19</v>
      </c>
      <c r="AU15" s="290" t="str">
        <f>IFERROR(VLOOKUP(AQ14,VIT!$B$48:$R$82,15,FALSE),"")</f>
        <v>186/70</v>
      </c>
      <c r="AV15" s="291"/>
      <c r="AW15" s="263" t="str">
        <f>IFERROR(VLOOKUP(AW12,VIT!$B$48:$R$82,16,FALSE),"")</f>
        <v>Sokol Ostrava Zábřeh</v>
      </c>
      <c r="AX15" s="264"/>
      <c r="AY15" s="265"/>
      <c r="AZ15" s="266">
        <f>IFERROR(VLOOKUP(AW12,VIT!$B$48:$R$82,17,FALSE),"")</f>
        <v>2004</v>
      </c>
      <c r="BA15" s="267"/>
      <c r="BB15" s="124">
        <f>IFERROR(VLOOKUP(AW12,VIT!$B$48:$R$82,8,FALSE),"")</f>
        <v>12</v>
      </c>
      <c r="BC15" s="263" t="str">
        <f>IFERROR(VLOOKUP(BC12,MB!$B$48:$R$82,16,FALSE),"")</f>
        <v>Faraos Praha</v>
      </c>
      <c r="BD15" s="264"/>
      <c r="BE15" s="265"/>
      <c r="BF15" s="266">
        <f>IFERROR(VLOOKUP(BC12,MB!$B$48:$R$82,17,FALSE),"")</f>
        <v>1999</v>
      </c>
      <c r="BG15" s="267"/>
      <c r="BH15" s="124">
        <f>IFERROR(VLOOKUP(BC12,MB!$B$48:$R$82,8,FALSE),"")</f>
        <v>7</v>
      </c>
      <c r="BI15" s="34" t="str">
        <f>IFERROR(VLOOKUP(BI14,MB!$B$48:$R$82,11,FALSE),"")</f>
        <v>L</v>
      </c>
      <c r="BJ15" s="289">
        <f>IFERROR(YEAR(VLOOKUP(BI14,MB!$B$48:$R$82,2,FALSE)),"")</f>
        <v>1988</v>
      </c>
      <c r="BK15" s="260"/>
      <c r="BL15" s="108">
        <f ca="1">IFERROR(VLOOKUP(BI14,MB!$B$48:$R$82,3,FALSE),"")</f>
        <v>32</v>
      </c>
      <c r="BM15" s="290" t="str">
        <f>IFERROR(VLOOKUP(BI14,MB!$B$48:$R$82,15,FALSE),"")</f>
        <v>181/85</v>
      </c>
      <c r="BN15" s="291"/>
      <c r="BO15" s="263" t="str">
        <f>IFERROR(VLOOKUP(BO12,MB!$B$48:$R$82,16,FALSE),"")</f>
        <v>FBC Sok. Poruba Škorpioni</v>
      </c>
      <c r="BP15" s="264"/>
      <c r="BQ15" s="265"/>
      <c r="BR15" s="266">
        <f>IFERROR(VLOOKUP(BO12,MB!$B$48:$R$82,17,FALSE),"")</f>
        <v>1998</v>
      </c>
      <c r="BS15" s="267"/>
      <c r="BT15" s="124">
        <f>IFERROR(VLOOKUP(BO12,MB!$B$48:$R$82,8,FALSE),"")</f>
        <v>11</v>
      </c>
      <c r="BU15" s="263" t="str">
        <f>IFERROR(VLOOKUP(BU12,TAT!$B$48:$R$82,16,FALSE),"")</f>
        <v/>
      </c>
      <c r="BV15" s="264"/>
      <c r="BW15" s="265"/>
      <c r="BX15" s="266" t="str">
        <f>IFERROR(VLOOKUP(BU12,TAT!$B$48:$R$82,17,FALSE),"")</f>
        <v/>
      </c>
      <c r="BY15" s="267"/>
      <c r="BZ15" s="124" t="str">
        <f>IFERROR(VLOOKUP(BU12,TAT!$B$48:$R$82,8,FALSE),"")</f>
        <v/>
      </c>
      <c r="CA15" s="34" t="str">
        <f>IFERROR(VLOOKUP(CA14,TAT!$B$48:$R$82,11,FALSE),"")</f>
        <v/>
      </c>
      <c r="CB15" s="289" t="str">
        <f>IFERROR(YEAR(VLOOKUP(CA14,TAT!$B$48:$R$82,2,FALSE)),"")</f>
        <v/>
      </c>
      <c r="CC15" s="260"/>
      <c r="CD15" s="150" t="str">
        <f>IFERROR(VLOOKUP(CA14,TAT!$B$48:$R$82,3,FALSE),"")</f>
        <v/>
      </c>
      <c r="CE15" s="290" t="str">
        <f>IFERROR(VLOOKUP(CA14,TAT!$B$48:$R$82,15,FALSE),"")</f>
        <v/>
      </c>
      <c r="CF15" s="291"/>
      <c r="CG15" s="263" t="str">
        <f>IFERROR(VLOOKUP(CG12,TAT!$B$48:$R$82,16,FALSE),"")</f>
        <v/>
      </c>
      <c r="CH15" s="264"/>
      <c r="CI15" s="265"/>
      <c r="CJ15" s="266" t="str">
        <f>IFERROR(VLOOKUP(CG12,TAT!$B$48:$R$82,17,FALSE),"")</f>
        <v/>
      </c>
      <c r="CK15" s="267"/>
      <c r="CL15" s="124" t="str">
        <f>IFERROR(VLOOKUP(CG12,TAT!$B$48:$R$82,8,FALSE),"")</f>
        <v/>
      </c>
      <c r="CM15" s="263" t="str">
        <f>IFERROR(VLOOKUP(CM12,OTR!$B$48:$R$82,16,FALSE),"")</f>
        <v>Zlín Lions</v>
      </c>
      <c r="CN15" s="264"/>
      <c r="CO15" s="265"/>
      <c r="CP15" s="266">
        <f>IFERROR(VLOOKUP(CM12,OTR!$B$48:$R$82,17,FALSE),"")</f>
        <v>2015</v>
      </c>
      <c r="CQ15" s="267"/>
      <c r="CR15" s="124">
        <f>IFERROR(VLOOKUP(CM12,OTR!$B$48:$R$82,8,FALSE),"")</f>
        <v>2</v>
      </c>
      <c r="CS15" s="34" t="str">
        <f>IFERROR(VLOOKUP(CS14,OTR!$B$48:$R$82,11,FALSE),"")</f>
        <v>P</v>
      </c>
      <c r="CT15" s="289">
        <f>IFERROR(YEAR(VLOOKUP(CS14,OTR!$B$48:$R$82,2,FALSE)),"")</f>
        <v>1999</v>
      </c>
      <c r="CU15" s="260"/>
      <c r="CV15" s="150">
        <f ca="1">IFERROR(VLOOKUP(CS14,OTR!$B$48:$R$82,3,FALSE),"")</f>
        <v>21</v>
      </c>
      <c r="CW15" s="290" t="str">
        <f>IFERROR(VLOOKUP(CS14,OTR!$B$48:$R$82,15,FALSE),"")</f>
        <v>181/72</v>
      </c>
      <c r="CX15" s="291"/>
      <c r="CY15" s="263" t="str">
        <f>IFERROR(VLOOKUP(CY12,OTR!$B$48:$R$82,16,FALSE),"")</f>
        <v>FBC Sparta Přerov</v>
      </c>
      <c r="CZ15" s="264"/>
      <c r="DA15" s="265"/>
      <c r="DB15" s="266">
        <f>IFERROR(VLOOKUP(CY12,OTR!$B$48:$R$82,17,FALSE),"")</f>
        <v>2003</v>
      </c>
      <c r="DC15" s="267"/>
      <c r="DD15" s="124">
        <f>IFERROR(VLOOKUP(CY12,OTR!$B$48:$R$82,8,FALSE),"")</f>
        <v>10</v>
      </c>
      <c r="DE15" s="263" t="str">
        <f>IFERROR(VLOOKUP(DE12,BOH!$B$48:$R$82,16,FALSE),"")</f>
        <v>FbŠ Bohemians</v>
      </c>
      <c r="DF15" s="264"/>
      <c r="DG15" s="265"/>
      <c r="DH15" s="266">
        <f>IFERROR(VLOOKUP(DE12,BOH!$B$48:$R$82,17,FALSE),"")</f>
        <v>2011</v>
      </c>
      <c r="DI15" s="267"/>
      <c r="DJ15" s="124">
        <f>IFERROR(VLOOKUP(DE12,BOH!$B$48:$R$82,8,FALSE),"")</f>
        <v>4</v>
      </c>
      <c r="DK15" s="34" t="str">
        <f>IFERROR(VLOOKUP(DK14,BOH!$B$48:$R$82,11,FALSE),"")</f>
        <v>P</v>
      </c>
      <c r="DL15" s="289">
        <f>IFERROR(YEAR(VLOOKUP(DK14,BOH!$B$48:$R$82,2,FALSE)),"")</f>
        <v>1994</v>
      </c>
      <c r="DM15" s="260"/>
      <c r="DN15" s="165">
        <f ca="1">IFERROR(VLOOKUP(DK14,BOH!$B$48:$R$82,3,FALSE),"")</f>
        <v>26</v>
      </c>
      <c r="DO15" s="290" t="str">
        <f>IFERROR(VLOOKUP(DK14,BOH!$B$48:$R$82,15,FALSE),"")</f>
        <v>185/82</v>
      </c>
      <c r="DP15" s="291"/>
      <c r="DQ15" s="263" t="str">
        <f>IFERROR(VLOOKUP(DQ12,BOH!$B$48:$R$82,16,FALSE),"")</f>
        <v>FbŠ Bohemians</v>
      </c>
      <c r="DR15" s="264"/>
      <c r="DS15" s="265"/>
      <c r="DT15" s="266">
        <f>IFERROR(VLOOKUP(DQ12,BOH!$B$48:$R$82,17,FALSE),"")</f>
        <v>2008</v>
      </c>
      <c r="DU15" s="267"/>
      <c r="DV15" s="124">
        <f>IFERROR(VLOOKUP(DQ12,BOH!$B$48:$R$82,8,FALSE),"")</f>
        <v>5</v>
      </c>
      <c r="DW15" s="263" t="str">
        <f>IFERROR(VLOOKUP(DW12,SPA!$B$48:$R$82,16,FALSE),"")</f>
        <v/>
      </c>
      <c r="DX15" s="264"/>
      <c r="DY15" s="265"/>
      <c r="DZ15" s="266" t="str">
        <f>IFERROR(VLOOKUP(DW12,SPA!$B$48:$R$82,17,FALSE),"")</f>
        <v/>
      </c>
      <c r="EA15" s="267"/>
      <c r="EB15" s="124" t="str">
        <f>IFERROR(VLOOKUP(DW12,SPA!$B$48:$R$82,8,FALSE),"")</f>
        <v/>
      </c>
      <c r="EC15" s="34" t="str">
        <f>IFERROR(VLOOKUP(EC14,SPA!$B$48:$R$82,11,FALSE),"")</f>
        <v/>
      </c>
      <c r="ED15" s="289" t="str">
        <f>IFERROR(YEAR(VLOOKUP(EC14,SPA!$B$48:$R$82,2,FALSE)),"")</f>
        <v/>
      </c>
      <c r="EE15" s="260"/>
      <c r="EF15" s="165" t="str">
        <f>IFERROR(VLOOKUP(EC14,SPA!$B$48:$R$82,3,FALSE),"")</f>
        <v/>
      </c>
      <c r="EG15" s="290" t="str">
        <f>IFERROR(VLOOKUP(EC14,SPA!$B$48:$R$82,15,FALSE),"")</f>
        <v/>
      </c>
      <c r="EH15" s="291"/>
      <c r="EI15" s="263" t="str">
        <f>IFERROR(VLOOKUP(EI12,SPA!$B$48:$R$82,16,FALSE),"")</f>
        <v/>
      </c>
      <c r="EJ15" s="264"/>
      <c r="EK15" s="265"/>
      <c r="EL15" s="266" t="str">
        <f>IFERROR(VLOOKUP(EI12,SPA!$B$48:$R$82,17,FALSE),"")</f>
        <v/>
      </c>
      <c r="EM15" s="267"/>
      <c r="EN15" s="124" t="str">
        <f>IFERROR(VLOOKUP(EI12,SPA!$B$48:$R$82,8,FALSE),"")</f>
        <v/>
      </c>
      <c r="EO15" s="263" t="str">
        <f>IFERROR(VLOOKUP(EO12,CLP!$B$48:$R$82,16,FALSE),"")</f>
        <v/>
      </c>
      <c r="EP15" s="264"/>
      <c r="EQ15" s="265"/>
      <c r="ER15" s="266" t="str">
        <f>IFERROR(VLOOKUP(EO12,CLP!$B$48:$R$82,17,FALSE),"")</f>
        <v/>
      </c>
      <c r="ES15" s="267"/>
      <c r="ET15" s="124" t="str">
        <f>IFERROR(VLOOKUP(EO12,CLP!$B$48:$R$82,8,FALSE),"")</f>
        <v/>
      </c>
      <c r="EU15" s="34" t="str">
        <f>IFERROR(VLOOKUP(EU14,CLP!$B$48:$R$82,11,FALSE),"")</f>
        <v/>
      </c>
      <c r="EV15" s="289" t="str">
        <f>IFERROR(YEAR(VLOOKUP(EU14,CLP!$B$48:$R$82,2,FALSE)),"")</f>
        <v/>
      </c>
      <c r="EW15" s="260"/>
      <c r="EX15" s="204" t="str">
        <f>IFERROR(VLOOKUP(EU14,CLP!$B$48:$R$82,3,FALSE),"")</f>
        <v/>
      </c>
      <c r="EY15" s="290" t="str">
        <f>IFERROR(VLOOKUP(EU14,CLP!$B$48:$R$82,15,FALSE),"")</f>
        <v/>
      </c>
      <c r="EZ15" s="291"/>
      <c r="FA15" s="263" t="str">
        <f>IFERROR(VLOOKUP(FA12,CLP!$B$48:$R$82,16,FALSE),"")</f>
        <v/>
      </c>
      <c r="FB15" s="264"/>
      <c r="FC15" s="265"/>
      <c r="FD15" s="266" t="str">
        <f>IFERROR(VLOOKUP(FA12,CLP!$B$48:$R$82,17,FALSE),"")</f>
        <v/>
      </c>
      <c r="FE15" s="267"/>
      <c r="FF15" s="124" t="str">
        <f>IFERROR(VLOOKUP(FA12,CLP!$B$48:$R$82,8,FALSE),"")</f>
        <v/>
      </c>
      <c r="FG15" s="263" t="str">
        <f>IFERROR(VLOOKUP(FG12,LIB!$B$48:$R$82,16,FALSE),"")</f>
        <v>SK Jihlava</v>
      </c>
      <c r="FH15" s="264"/>
      <c r="FI15" s="265"/>
      <c r="FJ15" s="266">
        <f>IFERROR(VLOOKUP(FG12,LIB!$B$48:$R$82,17,FALSE),"")</f>
        <v>2000</v>
      </c>
      <c r="FK15" s="267"/>
      <c r="FL15" s="124">
        <f>IFERROR(VLOOKUP(FG12,LIB!$B$48:$R$82,8,FALSE),"")</f>
        <v>17</v>
      </c>
      <c r="FM15" s="34" t="str">
        <f>IFERROR(VLOOKUP(FM14,LIB!$B$48:$R$82,11,FALSE),"")</f>
        <v>L</v>
      </c>
      <c r="FN15" s="289">
        <f>IFERROR(YEAR(VLOOKUP(FM14,LIB!$B$48:$R$82,2,FALSE)),"")</f>
        <v>1998</v>
      </c>
      <c r="FO15" s="260"/>
      <c r="FP15" s="204">
        <f ca="1">IFERROR(VLOOKUP(FM14,LIB!$B$48:$R$82,3,FALSE),"")</f>
        <v>22</v>
      </c>
      <c r="FQ15" s="290" t="str">
        <f>IFERROR(VLOOKUP(FM14,LIB!$B$48:$R$82,15,FALSE),"")</f>
        <v>185/74</v>
      </c>
      <c r="FR15" s="291"/>
      <c r="FS15" s="263" t="str">
        <f>IFERROR(VLOOKUP(FS12,LIB!$B$48:$R$82,16,FALSE),"")</f>
        <v>FBC Liberec</v>
      </c>
      <c r="FT15" s="264"/>
      <c r="FU15" s="265"/>
      <c r="FV15" s="266">
        <f>IFERROR(VLOOKUP(FS12,LIB!$B$48:$R$82,17,FALSE),"")</f>
        <v>2002</v>
      </c>
      <c r="FW15" s="267"/>
      <c r="FX15" s="124">
        <f>IFERROR(VLOOKUP(FS12,LIB!$B$48:$R$82,8,FALSE),"")</f>
        <v>9</v>
      </c>
      <c r="FY15" s="263" t="str">
        <f>IFERROR(VLOOKUP(FY12,HAT!$B$48:$R$82,16,FALSE),"")</f>
        <v/>
      </c>
      <c r="FZ15" s="264"/>
      <c r="GA15" s="265"/>
      <c r="GB15" s="266" t="str">
        <f>IFERROR(VLOOKUP(FY12,HAT!$B$48:$R$82,17,FALSE),"")</f>
        <v/>
      </c>
      <c r="GC15" s="267"/>
      <c r="GD15" s="124" t="str">
        <f>IFERROR(VLOOKUP(FY12,HAT!$B$48:$R$82,8,FALSE),"")</f>
        <v/>
      </c>
      <c r="GE15" s="34" t="str">
        <f>IFERROR(VLOOKUP(GE14,HAT!$B$48:$R$82,11,FALSE),"")</f>
        <v/>
      </c>
      <c r="GF15" s="289" t="str">
        <f>IFERROR(YEAR(VLOOKUP(GE14,HAT!$B$48:$R$82,2,FALSE)),"")</f>
        <v/>
      </c>
      <c r="GG15" s="260"/>
      <c r="GH15" s="211" t="str">
        <f>IFERROR(VLOOKUP(GE14,HAT!$B$48:$R$82,3,FALSE),"")</f>
        <v/>
      </c>
      <c r="GI15" s="290" t="str">
        <f>IFERROR(VLOOKUP(GE14,HAT!$B$48:$R$82,15,FALSE),"")</f>
        <v/>
      </c>
      <c r="GJ15" s="291"/>
      <c r="GK15" s="263" t="str">
        <f>IFERROR(VLOOKUP(GK12,HAT!$B$48:$R$82,16,FALSE),"")</f>
        <v/>
      </c>
      <c r="GL15" s="264"/>
      <c r="GM15" s="265"/>
      <c r="GN15" s="266" t="str">
        <f>IFERROR(VLOOKUP(GK12,HAT!$B$48:$R$82,17,FALSE),"")</f>
        <v/>
      </c>
      <c r="GO15" s="267"/>
      <c r="GP15" s="124" t="str">
        <f>IFERROR(VLOOKUP(GK12,HAT!$B$48:$R$82,8,FALSE),"")</f>
        <v/>
      </c>
    </row>
    <row r="16" spans="1:198" ht="15.6" customHeight="1" thickTop="1" thickBot="1" x14ac:dyDescent="0.3">
      <c r="A16" s="16"/>
      <c r="B16" s="16"/>
      <c r="C16" s="16"/>
      <c r="D16" s="16"/>
      <c r="E16" s="33"/>
      <c r="F16" s="33"/>
      <c r="G16" s="297" t="str">
        <f>IFERROR(VLOOKUP(G14,SKV!$B$2:$O$36,14,FALSE),"")</f>
        <v>26 OZ , 21 (8+13), -13 ±</v>
      </c>
      <c r="H16" s="298"/>
      <c r="I16" s="298"/>
      <c r="J16" s="299" t="str">
        <f>IFERROR(VLOOKUP(G14,SKV!$B$48:$AA$82,14,FALSE),"")</f>
        <v>97 OZ, 86 (26+60)</v>
      </c>
      <c r="K16" s="299"/>
      <c r="L16" s="300"/>
      <c r="M16" s="33"/>
      <c r="N16" s="33"/>
      <c r="O16" s="33"/>
      <c r="P16" s="33"/>
      <c r="Q16" s="33"/>
      <c r="R16" s="33"/>
      <c r="S16" s="16"/>
      <c r="T16" s="16"/>
      <c r="U16" s="16"/>
      <c r="V16" s="16"/>
      <c r="W16" s="33"/>
      <c r="X16" s="33"/>
      <c r="Y16" s="297" t="str">
        <f>IFERROR(VLOOKUP(Y14,CHO!$B$2:$O$36,14,FALSE),"")</f>
        <v>26 OZ , 13 (6+7), -6 ±</v>
      </c>
      <c r="Z16" s="298"/>
      <c r="AA16" s="298"/>
      <c r="AB16" s="299" t="str">
        <f>IFERROR(VLOOKUP(Y14,CHO!$B$48:$AA$82,14,FALSE),"")</f>
        <v>210 OZ, 211 (122+89)</v>
      </c>
      <c r="AC16" s="299"/>
      <c r="AD16" s="300"/>
      <c r="AE16" s="33"/>
      <c r="AF16" s="33"/>
      <c r="AG16" s="33"/>
      <c r="AH16" s="33"/>
      <c r="AI16" s="33"/>
      <c r="AJ16" s="33"/>
      <c r="AK16" s="16"/>
      <c r="AL16" s="16"/>
      <c r="AM16" s="16"/>
      <c r="AN16" s="16"/>
      <c r="AO16" s="33"/>
      <c r="AP16" s="33"/>
      <c r="AQ16" s="297" t="str">
        <f>IFERROR(VLOOKUP(AQ14,VIT!$B$2:$O$36,14,FALSE),"")</f>
        <v>26 OZ , 23 (11+12), +33 ±</v>
      </c>
      <c r="AR16" s="298"/>
      <c r="AS16" s="298"/>
      <c r="AT16" s="299" t="str">
        <f>IFERROR(VLOOKUP(AQ14,VIT!$B$48:$R$82,14,FALSE),"")</f>
        <v>42 OZ, 32 (19+13)</v>
      </c>
      <c r="AU16" s="299"/>
      <c r="AV16" s="300"/>
      <c r="AW16" s="33"/>
      <c r="AX16" s="33"/>
      <c r="AY16" s="33"/>
      <c r="AZ16" s="33"/>
      <c r="BA16" s="33"/>
      <c r="BB16" s="33"/>
      <c r="BC16" s="16"/>
      <c r="BD16" s="16"/>
      <c r="BE16" s="16"/>
      <c r="BF16" s="16"/>
      <c r="BG16" s="33"/>
      <c r="BH16" s="33"/>
      <c r="BI16" s="297" t="str">
        <f>IFERROR(VLOOKUP(BI14,MB!$B$2:$O$36,14,FALSE),"")</f>
        <v>22 OZ , 35 (15+20), +36 ±</v>
      </c>
      <c r="BJ16" s="298"/>
      <c r="BK16" s="298"/>
      <c r="BL16" s="299" t="str">
        <f>IFERROR(VLOOKUP(BI14,MB!$B$48:$R$82,14,FALSE),"")</f>
        <v>218 OZ, 358 (184+174)</v>
      </c>
      <c r="BM16" s="299"/>
      <c r="BN16" s="300"/>
      <c r="BO16" s="33"/>
      <c r="BP16" s="33"/>
      <c r="BQ16" s="33"/>
      <c r="BR16" s="33"/>
      <c r="BS16" s="33"/>
      <c r="BT16" s="33"/>
      <c r="BU16" s="16"/>
      <c r="BV16" s="16"/>
      <c r="BW16" s="16"/>
      <c r="BX16" s="16"/>
      <c r="BY16" s="33"/>
      <c r="BZ16" s="33"/>
      <c r="CA16" s="297" t="str">
        <f>IFERROR(VLOOKUP(CA14,TAT!$B$2:$O$36,14,FALSE),"")</f>
        <v/>
      </c>
      <c r="CB16" s="298"/>
      <c r="CC16" s="298"/>
      <c r="CD16" s="299" t="str">
        <f>IFERROR(VLOOKUP(CA14,TAT!$B$48:$R$82,14,FALSE),"")</f>
        <v/>
      </c>
      <c r="CE16" s="299"/>
      <c r="CF16" s="300"/>
      <c r="CG16" s="33"/>
      <c r="CH16" s="33"/>
      <c r="CI16" s="33"/>
      <c r="CJ16" s="33"/>
      <c r="CK16" s="33"/>
      <c r="CL16" s="33"/>
      <c r="CM16" s="16"/>
      <c r="CN16" s="16"/>
      <c r="CO16" s="16"/>
      <c r="CP16" s="16"/>
      <c r="CQ16" s="33"/>
      <c r="CR16" s="33"/>
      <c r="CS16" s="297" t="str">
        <f>IFERROR(VLOOKUP(CS14,OTR!$B$2:$O$36,14,FALSE),"")</f>
        <v>23 OZ , 4 (1+3), -31 ±</v>
      </c>
      <c r="CT16" s="298"/>
      <c r="CU16" s="298"/>
      <c r="CV16" s="299" t="str">
        <f>IFERROR(VLOOKUP(CS14,OTR!$B$48:$R$82,14,FALSE),"")</f>
        <v>88 OZ, 25 (14+11)</v>
      </c>
      <c r="CW16" s="299"/>
      <c r="CX16" s="300"/>
      <c r="CY16" s="33"/>
      <c r="CZ16" s="33"/>
      <c r="DA16" s="33"/>
      <c r="DB16" s="33"/>
      <c r="DC16" s="33"/>
      <c r="DD16" s="33"/>
      <c r="DE16" s="16"/>
      <c r="DF16" s="16"/>
      <c r="DG16" s="16"/>
      <c r="DH16" s="16"/>
      <c r="DI16" s="33"/>
      <c r="DJ16" s="33"/>
      <c r="DK16" s="297" t="str">
        <f>IFERROR(VLOOKUP(DK14,BOH!$B$2:$O$36,14,FALSE),"")</f>
        <v>23 OZ , 27 (21+6), +9 ±</v>
      </c>
      <c r="DL16" s="298"/>
      <c r="DM16" s="298"/>
      <c r="DN16" s="299" t="str">
        <f>IFERROR(VLOOKUP(DK14,BOH!$B$48:$R$82,14,FALSE),"")</f>
        <v>186 OZ, 246 (156+90)</v>
      </c>
      <c r="DO16" s="299"/>
      <c r="DP16" s="300"/>
      <c r="DQ16" s="33"/>
      <c r="DR16" s="33"/>
      <c r="DS16" s="33"/>
      <c r="DT16" s="33"/>
      <c r="DU16" s="33"/>
      <c r="DV16" s="33"/>
      <c r="DW16" s="16"/>
      <c r="DX16" s="16"/>
      <c r="DY16" s="16"/>
      <c r="DZ16" s="16"/>
      <c r="EA16" s="33"/>
      <c r="EB16" s="33"/>
      <c r="EC16" s="297" t="str">
        <f>IFERROR(VLOOKUP(EC14,SPA!$B$2:$O$36,14,FALSE),"")</f>
        <v/>
      </c>
      <c r="ED16" s="298"/>
      <c r="EE16" s="298"/>
      <c r="EF16" s="299" t="str">
        <f>IFERROR(VLOOKUP(EC14,SPA!$B$48:$R$82,14,FALSE),"")</f>
        <v/>
      </c>
      <c r="EG16" s="299"/>
      <c r="EH16" s="300"/>
      <c r="EI16" s="33"/>
      <c r="EJ16" s="33"/>
      <c r="EK16" s="33"/>
      <c r="EL16" s="33"/>
      <c r="EM16" s="33"/>
      <c r="EN16" s="33"/>
      <c r="EO16" s="16"/>
      <c r="EP16" s="16"/>
      <c r="EQ16" s="16"/>
      <c r="ER16" s="16"/>
      <c r="ES16" s="33"/>
      <c r="ET16" s="33"/>
      <c r="EU16" s="297" t="str">
        <f>IFERROR(VLOOKUP(EU14,CLP!$B$2:$O$36,14,FALSE),"")</f>
        <v/>
      </c>
      <c r="EV16" s="298"/>
      <c r="EW16" s="298"/>
      <c r="EX16" s="299" t="str">
        <f>IFERROR(VLOOKUP(EU14,CLP!$B$48:$R$82,14,FALSE),"")</f>
        <v/>
      </c>
      <c r="EY16" s="299"/>
      <c r="EZ16" s="300"/>
      <c r="FA16" s="33"/>
      <c r="FB16" s="33"/>
      <c r="FC16" s="33"/>
      <c r="FD16" s="33"/>
      <c r="FE16" s="33"/>
      <c r="FF16" s="33"/>
      <c r="FG16" s="16"/>
      <c r="FH16" s="16"/>
      <c r="FI16" s="16"/>
      <c r="FJ16" s="16"/>
      <c r="FK16" s="33"/>
      <c r="FL16" s="33"/>
      <c r="FM16" s="297" t="str">
        <f>IFERROR(VLOOKUP(FM14,LIB!$B$2:$O$36,14,FALSE),"")</f>
        <v>24 OZ , 22 (15+7), -17 ±</v>
      </c>
      <c r="FN16" s="298"/>
      <c r="FO16" s="298"/>
      <c r="FP16" s="299" t="str">
        <f>IFERROR(VLOOKUP(FM14,LIB!$B$48:$R$82,14,FALSE),"")</f>
        <v>100 OZ, 85 (50+35)</v>
      </c>
      <c r="FQ16" s="299"/>
      <c r="FR16" s="300"/>
      <c r="FS16" s="33"/>
      <c r="FT16" s="33"/>
      <c r="FU16" s="33"/>
      <c r="FV16" s="33"/>
      <c r="FW16" s="33"/>
      <c r="FX16" s="33"/>
      <c r="FY16" s="16"/>
      <c r="FZ16" s="16"/>
      <c r="GA16" s="16"/>
      <c r="GB16" s="16"/>
      <c r="GC16" s="33"/>
      <c r="GD16" s="33"/>
      <c r="GE16" s="297" t="str">
        <f>IFERROR(VLOOKUP(GE14,HAT!$B$2:$O$36,14,FALSE),"")</f>
        <v/>
      </c>
      <c r="GF16" s="298"/>
      <c r="GG16" s="298"/>
      <c r="GH16" s="299" t="str">
        <f>IFERROR(VLOOKUP(GE14,HAT!$B$48:$R$82,14,FALSE),"")</f>
        <v/>
      </c>
      <c r="GI16" s="299"/>
      <c r="GJ16" s="300"/>
      <c r="GK16" s="33"/>
      <c r="GL16" s="33"/>
      <c r="GM16" s="33"/>
      <c r="GN16" s="33"/>
      <c r="GO16" s="33"/>
      <c r="GP16" s="33"/>
    </row>
    <row r="17" spans="1:198" ht="15.6" customHeight="1" thickTop="1" thickBot="1" x14ac:dyDescent="0.3">
      <c r="A17" s="286" t="s">
        <v>56</v>
      </c>
      <c r="B17" s="287"/>
      <c r="C17" s="287"/>
      <c r="D17" s="287"/>
      <c r="E17" s="32" t="str">
        <f>IFERROR(IF(VLOOKUP(A17,SKV!$B$48:$AA$82,10,FALSE)=0,"",VLOOKUP(A17,SKV!$B$48:$AA$82,10,FALSE)),"")</f>
        <v>C</v>
      </c>
      <c r="F17" s="52">
        <f>IFERROR(VLOOKUP(A17,SKV!$B$48:$AA$82,9,FALSE),"")</f>
        <v>65</v>
      </c>
      <c r="G17" s="263" t="str">
        <f>IFERROR(VLOOKUP(G14,SKV!$B$48:$AA$82,16,FALSE),"")</f>
        <v>Future</v>
      </c>
      <c r="H17" s="264"/>
      <c r="I17" s="265"/>
      <c r="J17" s="266">
        <f>IFERROR(VLOOKUP(G14,SKV!$B$48:$AA$82,17,FALSE),"")</f>
        <v>2003</v>
      </c>
      <c r="K17" s="267"/>
      <c r="L17" s="124">
        <f>IFERROR(VLOOKUP(G14,SKV!$B$48:$AA$82,8,FALSE),"")</f>
        <v>5</v>
      </c>
      <c r="M17" s="286" t="s">
        <v>26</v>
      </c>
      <c r="N17" s="287"/>
      <c r="O17" s="287"/>
      <c r="P17" s="287"/>
      <c r="Q17" s="32" t="str">
        <f>IFERROR(IF(VLOOKUP(M17,SKV!$B$48:$AA$82,10,FALSE)=0,"",VLOOKUP(M17,SKV!$B$48:$AA$82,10,FALSE)),"")</f>
        <v/>
      </c>
      <c r="R17" s="52">
        <f>IFERROR(VLOOKUP(M17,SKV!$B$48:$AA$82,9,FALSE),"")</f>
        <v>11</v>
      </c>
      <c r="S17" s="286" t="s">
        <v>167</v>
      </c>
      <c r="T17" s="287"/>
      <c r="U17" s="287"/>
      <c r="V17" s="287"/>
      <c r="W17" s="32" t="str">
        <f>IFERROR(IF(VLOOKUP(S17,CHO!$B$48:$AA$82,10,FALSE)=0,"",VLOOKUP(S17,CHO!$B$48:$AA$82,10,FALSE)),"")</f>
        <v/>
      </c>
      <c r="X17" s="52">
        <f>IFERROR(VLOOKUP(S17,CHO!$B$48:$AA$82,9,FALSE),"")</f>
        <v>65</v>
      </c>
      <c r="Y17" s="263" t="str">
        <f>IFERROR(VLOOKUP(Y14,CHO!$B$48:$AA$82,16,FALSE),"")</f>
        <v>Bulldogs Brno</v>
      </c>
      <c r="Z17" s="264"/>
      <c r="AA17" s="265"/>
      <c r="AB17" s="266">
        <f>IFERROR(VLOOKUP(Y14,CHO!$B$48:$AA$82,17,FALSE),"")</f>
        <v>2004</v>
      </c>
      <c r="AC17" s="267"/>
      <c r="AD17" s="124">
        <f>IFERROR(VLOOKUP(Y14,CHO!$B$48:$AA$82,8,FALSE),"")</f>
        <v>11</v>
      </c>
      <c r="AE17" s="286" t="s">
        <v>172</v>
      </c>
      <c r="AF17" s="287"/>
      <c r="AG17" s="287"/>
      <c r="AH17" s="287"/>
      <c r="AI17" s="32" t="str">
        <f>IFERROR(IF(VLOOKUP(AE17,CHO!$B$48:$AA$82,10,FALSE)=0,"",VLOOKUP(AE17,CHO!$B$48:$AA$82,10,FALSE)),"")</f>
        <v/>
      </c>
      <c r="AJ17" s="52">
        <f>IFERROR(VLOOKUP(AE17,CHO!$B$48:$AA$82,9,FALSE),"")</f>
        <v>93</v>
      </c>
      <c r="AK17" s="286" t="s">
        <v>258</v>
      </c>
      <c r="AL17" s="287"/>
      <c r="AM17" s="287"/>
      <c r="AN17" s="287"/>
      <c r="AO17" s="32" t="str">
        <f>IFERROR(IF(VLOOKUP(AK17,VIT!$B$48:$R$82,10,FALSE)=0,"",VLOOKUP(AK17,VIT!$B$48:$R$82,10,FALSE)),"")</f>
        <v/>
      </c>
      <c r="AP17" s="52">
        <f>IFERROR(VLOOKUP(AK17,VIT!$B$48:$R$82,9,FALSE),"")</f>
        <v>55</v>
      </c>
      <c r="AQ17" s="263" t="str">
        <f>IFERROR(VLOOKUP(AQ14,VIT!$B$48:$R$82,16,FALSE),"")</f>
        <v>SK P.E.M.A. Opava</v>
      </c>
      <c r="AR17" s="264"/>
      <c r="AS17" s="265"/>
      <c r="AT17" s="266">
        <f>IFERROR(VLOOKUP(AQ14,VIT!$B$48:$R$82,17,FALSE),"")</f>
        <v>2009</v>
      </c>
      <c r="AU17" s="267"/>
      <c r="AV17" s="36">
        <f>IFERROR(VLOOKUP(AQ14,VIT!$B$48:$R$82,8,FALSE),"")</f>
        <v>2</v>
      </c>
      <c r="AW17" s="286" t="s">
        <v>254</v>
      </c>
      <c r="AX17" s="287"/>
      <c r="AY17" s="287"/>
      <c r="AZ17" s="287"/>
      <c r="BA17" s="32" t="str">
        <f>IFERROR(IF(VLOOKUP(AW17,VIT!$B$48:$R$82,10,FALSE)=0,"",VLOOKUP(AW17,VIT!$B$48:$R$82,10,FALSE)),"")</f>
        <v/>
      </c>
      <c r="BB17" s="52">
        <f>IFERROR(VLOOKUP(AW17,VIT!$B$48:$R$82,9,FALSE),"")</f>
        <v>17</v>
      </c>
      <c r="BC17" s="286" t="s">
        <v>303</v>
      </c>
      <c r="BD17" s="287"/>
      <c r="BE17" s="287"/>
      <c r="BF17" s="287"/>
      <c r="BG17" s="32" t="str">
        <f>IFERROR(IF(VLOOKUP(BC17,MB!$B$48:$R$82,10,FALSE)=0,"",VLOOKUP(BC17,MB!$B$48:$R$82,10,FALSE)),"")</f>
        <v/>
      </c>
      <c r="BH17" s="52">
        <f>IFERROR(VLOOKUP(BC17,MB!$B$48:$R$82,9,FALSE),"")</f>
        <v>12</v>
      </c>
      <c r="BI17" s="263" t="str">
        <f>IFERROR(VLOOKUP(BI14,MB!$B$48:$R$82,16,FALSE),"")</f>
        <v>FBC Sok. Poruba Škorpioni</v>
      </c>
      <c r="BJ17" s="264"/>
      <c r="BK17" s="265"/>
      <c r="BL17" s="266">
        <f>IFERROR(VLOOKUP(BI14,MB!$B$48:$R$82,17,FALSE),"")</f>
        <v>1995</v>
      </c>
      <c r="BM17" s="267"/>
      <c r="BN17" s="124">
        <f>IFERROR(VLOOKUP(BI14,MB!$B$48:$R$82,8,FALSE),"")</f>
        <v>11</v>
      </c>
      <c r="BO17" s="286" t="s">
        <v>306</v>
      </c>
      <c r="BP17" s="287"/>
      <c r="BQ17" s="287"/>
      <c r="BR17" s="287"/>
      <c r="BS17" s="32" t="str">
        <f>IFERROR(IF(VLOOKUP(BO17,MB!$B$48:$R$82,10,FALSE)=0,"",VLOOKUP(BO17,MB!$B$48:$R$82,10,FALSE)),"")</f>
        <v/>
      </c>
      <c r="BT17" s="52">
        <f>IFERROR(VLOOKUP(BO17,MB!$B$48:$R$82,9,FALSE),"")</f>
        <v>58</v>
      </c>
      <c r="BU17" s="286"/>
      <c r="BV17" s="287"/>
      <c r="BW17" s="287"/>
      <c r="BX17" s="287"/>
      <c r="BY17" s="32" t="str">
        <f>IFERROR(IF(VLOOKUP(BU17,TAT!$B$48:$R$82,10,FALSE)=0,"",VLOOKUP(BU17,TAT!$B$48:$R$82,10,FALSE)),"")</f>
        <v/>
      </c>
      <c r="BZ17" s="52" t="str">
        <f>IFERROR(VLOOKUP(BU17,TAT!$B$48:$R$82,9,FALSE),"")</f>
        <v/>
      </c>
      <c r="CA17" s="263" t="str">
        <f>IFERROR(VLOOKUP(CA14,TAT!$B$48:$R$82,16,FALSE),"")</f>
        <v/>
      </c>
      <c r="CB17" s="264"/>
      <c r="CC17" s="265"/>
      <c r="CD17" s="266" t="str">
        <f>IFERROR(VLOOKUP(CA14,TAT!$B$48:$R$82,17,FALSE),"")</f>
        <v/>
      </c>
      <c r="CE17" s="267"/>
      <c r="CF17" s="124" t="str">
        <f>IFERROR(VLOOKUP(CA14,TAT!$B$48:$R$82,8,FALSE),"")</f>
        <v/>
      </c>
      <c r="CG17" s="286"/>
      <c r="CH17" s="287"/>
      <c r="CI17" s="287"/>
      <c r="CJ17" s="287"/>
      <c r="CK17" s="32" t="str">
        <f>IFERROR(IF(VLOOKUP(CG17,TAT!$B$48:$R$82,10,FALSE)=0,"",VLOOKUP(CG17,TAT!$B$48:$R$82,10,FALSE)),"")</f>
        <v/>
      </c>
      <c r="CL17" s="52" t="str">
        <f>IFERROR(VLOOKUP(CG17,TAT!$B$48:$R$82,9,FALSE),"")</f>
        <v/>
      </c>
      <c r="CM17" s="286" t="s">
        <v>415</v>
      </c>
      <c r="CN17" s="287"/>
      <c r="CO17" s="287"/>
      <c r="CP17" s="287"/>
      <c r="CQ17" s="32" t="str">
        <f>IFERROR(IF(VLOOKUP(CM17,OTR!$B$48:$R$82,10,FALSE)=0,"",VLOOKUP(CM17,OTR!$B$48:$R$82,10,FALSE)),"")</f>
        <v/>
      </c>
      <c r="CR17" s="52">
        <f>IFERROR(VLOOKUP(CM17,OTR!$B$48:$R$82,9,FALSE),"")</f>
        <v>25</v>
      </c>
      <c r="CS17" s="263" t="str">
        <f>IFERROR(VLOOKUP(CS14,OTR!$B$48:$R$82,16,FALSE),"")</f>
        <v>TJ MEZ Vsetín</v>
      </c>
      <c r="CT17" s="264"/>
      <c r="CU17" s="265"/>
      <c r="CV17" s="266">
        <f>IFERROR(VLOOKUP(CS14,OTR!$B$48:$R$82,17,FALSE),"")</f>
        <v>2004</v>
      </c>
      <c r="CW17" s="267"/>
      <c r="CX17" s="124">
        <f>IFERROR(VLOOKUP(CS14,OTR!$B$48:$R$82,8,FALSE),"")</f>
        <v>4</v>
      </c>
      <c r="CY17" s="286" t="s">
        <v>408</v>
      </c>
      <c r="CZ17" s="287"/>
      <c r="DA17" s="287"/>
      <c r="DB17" s="287"/>
      <c r="DC17" s="32" t="str">
        <f>IFERROR(IF(VLOOKUP(CY17,OTR!$B$48:$R$82,10,FALSE)=0,"",VLOOKUP(CY17,OTR!$B$48:$R$82,10,FALSE)),"")</f>
        <v/>
      </c>
      <c r="DD17" s="52">
        <f>IFERROR(VLOOKUP(CY17,OTR!$B$48:$R$82,9,FALSE),"")</f>
        <v>23</v>
      </c>
      <c r="DE17" s="286" t="s">
        <v>486</v>
      </c>
      <c r="DF17" s="287"/>
      <c r="DG17" s="287"/>
      <c r="DH17" s="287"/>
      <c r="DI17" s="32" t="str">
        <f>IFERROR(IF(VLOOKUP(DE17,BOH!$B$48:$R$82,10,FALSE)=0,"",VLOOKUP(DE17,BOH!$B$48:$R$82,10,FALSE)),"")</f>
        <v>C</v>
      </c>
      <c r="DJ17" s="52">
        <f>IFERROR(VLOOKUP(DE17,BOH!$B$48:$R$82,9,FALSE),"")</f>
        <v>3</v>
      </c>
      <c r="DK17" s="263" t="str">
        <f>IFERROR(VLOOKUP(DK14,BOH!$B$48:$R$82,16,FALSE),"")</f>
        <v>FBK Vosy Praha</v>
      </c>
      <c r="DL17" s="264"/>
      <c r="DM17" s="265"/>
      <c r="DN17" s="266">
        <f>IFERROR(VLOOKUP(DK14,BOH!$B$48:$R$82,17,FALSE),"")</f>
        <v>2007</v>
      </c>
      <c r="DO17" s="267"/>
      <c r="DP17" s="124">
        <f>IFERROR(VLOOKUP(DK14,BOH!$B$48:$R$82,8,FALSE),"")</f>
        <v>9</v>
      </c>
      <c r="DQ17" s="286" t="s">
        <v>489</v>
      </c>
      <c r="DR17" s="287"/>
      <c r="DS17" s="287"/>
      <c r="DT17" s="287"/>
      <c r="DU17" s="32" t="str">
        <f>IFERROR(IF(VLOOKUP(DQ17,BOH!$B$48:$R$82,10,FALSE)=0,"",VLOOKUP(DQ17,BOH!$B$48:$R$82,10,FALSE)),"")</f>
        <v/>
      </c>
      <c r="DV17" s="52">
        <f>IFERROR(VLOOKUP(DQ17,BOH!$B$48:$R$82,9,FALSE),"")</f>
        <v>98</v>
      </c>
      <c r="DW17" s="286"/>
      <c r="DX17" s="287"/>
      <c r="DY17" s="287"/>
      <c r="DZ17" s="287"/>
      <c r="EA17" s="32" t="str">
        <f>IFERROR(IF(VLOOKUP(DW17,SPA!$B$48:$R$82,10,FALSE)=0,"",VLOOKUP(DW17,SPA!$B$48:$R$82,10,FALSE)),"")</f>
        <v/>
      </c>
      <c r="EB17" s="52" t="str">
        <f>IFERROR(VLOOKUP(DW17,SPA!$B$48:$R$82,9,FALSE),"")</f>
        <v/>
      </c>
      <c r="EC17" s="263" t="str">
        <f>IFERROR(VLOOKUP(EC14,SPA!$B$48:$R$82,16,FALSE),"")</f>
        <v/>
      </c>
      <c r="ED17" s="264"/>
      <c r="EE17" s="265"/>
      <c r="EF17" s="266" t="str">
        <f>IFERROR(VLOOKUP(EC14,SPA!$B$48:$R$82,17,FALSE),"")</f>
        <v/>
      </c>
      <c r="EG17" s="267"/>
      <c r="EH17" s="124" t="str">
        <f>IFERROR(VLOOKUP(EC14,SPA!$B$48:$R$82,8,FALSE),"")</f>
        <v/>
      </c>
      <c r="EI17" s="286"/>
      <c r="EJ17" s="287"/>
      <c r="EK17" s="287"/>
      <c r="EL17" s="287"/>
      <c r="EM17" s="32" t="str">
        <f>IFERROR(IF(VLOOKUP(EI17,SPA!$B$48:$R$82,10,FALSE)=0,"",VLOOKUP(EI17,SPA!$B$48:$R$82,10,FALSE)),"")</f>
        <v/>
      </c>
      <c r="EN17" s="52" t="str">
        <f>IFERROR(VLOOKUP(EI17,SPA!$B$48:$R$82,9,FALSE),"")</f>
        <v/>
      </c>
      <c r="EO17" s="286"/>
      <c r="EP17" s="287"/>
      <c r="EQ17" s="287"/>
      <c r="ER17" s="287"/>
      <c r="ES17" s="32" t="str">
        <f>IFERROR(IF(VLOOKUP(EO17,CLP!$B$48:$R$82,10,FALSE)=0,"",VLOOKUP(EO17,CLP!$B$48:$R$82,10,FALSE)),"")</f>
        <v/>
      </c>
      <c r="ET17" s="52" t="str">
        <f>IFERROR(VLOOKUP(EO17,CLP!$B$48:$R$82,9,FALSE),"")</f>
        <v/>
      </c>
      <c r="EU17" s="263" t="str">
        <f>IFERROR(VLOOKUP(EU14,CLP!$B$48:$R$82,16,FALSE),"")</f>
        <v/>
      </c>
      <c r="EV17" s="264"/>
      <c r="EW17" s="265"/>
      <c r="EX17" s="266" t="str">
        <f>IFERROR(VLOOKUP(EU14,CLP!$B$48:$R$82,17,FALSE),"")</f>
        <v/>
      </c>
      <c r="EY17" s="267"/>
      <c r="EZ17" s="124" t="str">
        <f>IFERROR(VLOOKUP(EU14,CLP!$B$48:$R$82,8,FALSE),"")</f>
        <v/>
      </c>
      <c r="FA17" s="286"/>
      <c r="FB17" s="287"/>
      <c r="FC17" s="287"/>
      <c r="FD17" s="287"/>
      <c r="FE17" s="32" t="str">
        <f>IFERROR(IF(VLOOKUP(FA17,CLP!$B$48:$R$82,10,FALSE)=0,"",VLOOKUP(FA17,CLP!$B$48:$R$82,10,FALSE)),"")</f>
        <v/>
      </c>
      <c r="FF17" s="52" t="str">
        <f>IFERROR(VLOOKUP(FA17,CLP!$B$48:$R$82,9,FALSE),"")</f>
        <v/>
      </c>
      <c r="FG17" s="286" t="s">
        <v>756</v>
      </c>
      <c r="FH17" s="287"/>
      <c r="FI17" s="287"/>
      <c r="FJ17" s="287"/>
      <c r="FK17" s="32" t="str">
        <f>IFERROR(IF(VLOOKUP(FG17,LIB!$B$48:$R$82,10,FALSE)=0,"",VLOOKUP(FG17,LIB!$B$48:$R$82,10,FALSE)),"")</f>
        <v/>
      </c>
      <c r="FL17" s="52">
        <f>IFERROR(VLOOKUP(FG17,LIB!$B$48:$R$82,9,FALSE),"")</f>
        <v>11</v>
      </c>
      <c r="FM17" s="263" t="str">
        <f>IFERROR(VLOOKUP(FM14,LIB!$B$48:$R$82,16,FALSE),"")</f>
        <v>TJ Sokol Jaroměř</v>
      </c>
      <c r="FN17" s="264"/>
      <c r="FO17" s="265"/>
      <c r="FP17" s="266">
        <f>IFERROR(VLOOKUP(FM14,LIB!$B$48:$R$82,17,FALSE),"")</f>
        <v>2007</v>
      </c>
      <c r="FQ17" s="267"/>
      <c r="FR17" s="124">
        <f>IFERROR(VLOOKUP(FM14,LIB!$B$48:$R$82,8,FALSE),"")</f>
        <v>4</v>
      </c>
      <c r="FS17" s="286" t="s">
        <v>766</v>
      </c>
      <c r="FT17" s="287"/>
      <c r="FU17" s="287"/>
      <c r="FV17" s="287"/>
      <c r="FW17" s="32" t="str">
        <f>IFERROR(IF(VLOOKUP(FS17,LIB!$B$48:$R$82,10,FALSE)=0,"",VLOOKUP(FS17,LIB!$B$48:$R$82,10,FALSE)),"")</f>
        <v/>
      </c>
      <c r="FX17" s="52">
        <f>IFERROR(VLOOKUP(FS17,LIB!$B$48:$R$82,9,FALSE),"")</f>
        <v>93</v>
      </c>
      <c r="FY17" s="286"/>
      <c r="FZ17" s="287"/>
      <c r="GA17" s="287"/>
      <c r="GB17" s="287"/>
      <c r="GC17" s="32" t="str">
        <f>IFERROR(IF(VLOOKUP(FY17,HAT!$B$48:$R$82,10,FALSE)=0,"",VLOOKUP(FY17,HAT!$B$48:$R$82,10,FALSE)),"")</f>
        <v/>
      </c>
      <c r="GD17" s="52" t="str">
        <f>IFERROR(VLOOKUP(FY17,HAT!$B$48:$R$82,9,FALSE),"")</f>
        <v/>
      </c>
      <c r="GE17" s="263" t="str">
        <f>IFERROR(VLOOKUP(GE14,HAT!$B$48:$R$82,16,FALSE),"")</f>
        <v/>
      </c>
      <c r="GF17" s="264"/>
      <c r="GG17" s="265"/>
      <c r="GH17" s="266" t="str">
        <f>IFERROR(VLOOKUP(GE14,HAT!$B$48:$R$82,17,FALSE),"")</f>
        <v/>
      </c>
      <c r="GI17" s="267"/>
      <c r="GJ17" s="124" t="str">
        <f>IFERROR(VLOOKUP(GE14,HAT!$B$48:$R$82,8,FALSE),"")</f>
        <v/>
      </c>
      <c r="GK17" s="286"/>
      <c r="GL17" s="287"/>
      <c r="GM17" s="287"/>
      <c r="GN17" s="287"/>
      <c r="GO17" s="32" t="str">
        <f>IFERROR(IF(VLOOKUP(GK17,HAT!$B$48:$R$82,10,FALSE)=0,"",VLOOKUP(GK17,HAT!$B$48:$R$82,10,FALSE)),"")</f>
        <v/>
      </c>
      <c r="GP17" s="52" t="str">
        <f>IFERROR(VLOOKUP(GK17,HAT!$B$48:$R$82,9,FALSE),"")</f>
        <v/>
      </c>
    </row>
    <row r="18" spans="1:198" ht="15.6" customHeight="1" thickBot="1" x14ac:dyDescent="0.3">
      <c r="A18" s="34" t="str">
        <f>IFERROR(VLOOKUP(A17,SKV!$B$48:$AA$82,11,FALSE),"")</f>
        <v>P</v>
      </c>
      <c r="B18" s="289">
        <f>IFERROR(YEAR(VLOOKUP(A17,SKV!$B$48:$AA$82,2,FALSE)),"")</f>
        <v>1993</v>
      </c>
      <c r="C18" s="260"/>
      <c r="D18" s="35">
        <f ca="1">IFERROR(VLOOKUP(A17,SKV!$B$48:$AA$82,3,FALSE),"")</f>
        <v>27</v>
      </c>
      <c r="E18" s="290" t="str">
        <f>IFERROR(VLOOKUP(A17,SKV!$B$48:$AA$82,15,FALSE),"")</f>
        <v>169/65</v>
      </c>
      <c r="F18" s="291"/>
      <c r="G18" s="33"/>
      <c r="H18" s="33"/>
      <c r="I18" s="33"/>
      <c r="J18" s="33"/>
      <c r="K18" s="33"/>
      <c r="L18" s="33"/>
      <c r="M18" s="34" t="str">
        <f>IFERROR(VLOOKUP(M17,SKV!$B$48:$AA$82,11,FALSE),"")</f>
        <v>L</v>
      </c>
      <c r="N18" s="289">
        <f>IFERROR(YEAR(VLOOKUP(M17,SKV!$B$48:$AA$82,2,FALSE)),"")</f>
        <v>2001</v>
      </c>
      <c r="O18" s="260"/>
      <c r="P18" s="35">
        <f ca="1">IFERROR(VLOOKUP(M17,SKV!$B$48:$AA$82,3,FALSE),"")</f>
        <v>19</v>
      </c>
      <c r="Q18" s="290" t="str">
        <f>IFERROR(VLOOKUP(M17,SKV!$B$48:$AA$82,15,FALSE),"")</f>
        <v>181/80</v>
      </c>
      <c r="R18" s="291"/>
      <c r="S18" s="34" t="str">
        <f>IFERROR(VLOOKUP(S17,CHO!$B$48:$AA$82,11,FALSE),"")</f>
        <v>P</v>
      </c>
      <c r="T18" s="289">
        <f>IFERROR(YEAR(VLOOKUP(S17,CHO!$B$48:$AA$82,2,FALSE)),"")</f>
        <v>1992</v>
      </c>
      <c r="U18" s="260"/>
      <c r="V18" s="35">
        <f ca="1">IFERROR(VLOOKUP(S17,CHO!$B$48:$AA$82,3,FALSE),"")</f>
        <v>28</v>
      </c>
      <c r="W18" s="290" t="str">
        <f>IFERROR(VLOOKUP(S17,CHO!$B$48:$AA$82,15,FALSE),"")</f>
        <v>195/86</v>
      </c>
      <c r="X18" s="291"/>
      <c r="Y18" s="33"/>
      <c r="Z18" s="33"/>
      <c r="AA18" s="33"/>
      <c r="AB18" s="33"/>
      <c r="AC18" s="33"/>
      <c r="AD18" s="33"/>
      <c r="AE18" s="34" t="str">
        <f>IFERROR(VLOOKUP(AE17,CHO!$B$48:$AA$82,11,FALSE),"")</f>
        <v>L</v>
      </c>
      <c r="AF18" s="289">
        <f>IFERROR(YEAR(VLOOKUP(AE17,CHO!$B$48:$AA$82,2,FALSE)),"")</f>
        <v>2003</v>
      </c>
      <c r="AG18" s="260"/>
      <c r="AH18" s="35">
        <f ca="1">IFERROR(VLOOKUP(AE17,CHO!$B$48:$AA$82,3,FALSE),"")</f>
        <v>18</v>
      </c>
      <c r="AI18" s="290" t="str">
        <f>IFERROR(VLOOKUP(AE17,CHO!$B$48:$AA$82,15,FALSE),"")</f>
        <v>175/67</v>
      </c>
      <c r="AJ18" s="291"/>
      <c r="AK18" s="34" t="str">
        <f>IFERROR(VLOOKUP(AK17,VIT!$B$48:$R$82,11,FALSE),"")</f>
        <v>P</v>
      </c>
      <c r="AL18" s="289">
        <f>IFERROR(YEAR(VLOOKUP(AK17,VIT!$B$48:$R$82,2,FALSE)),"")</f>
        <v>1992</v>
      </c>
      <c r="AM18" s="260"/>
      <c r="AN18" s="106">
        <f ca="1">IFERROR(VLOOKUP(AK17,VIT!$B$48:$R$82,3,FALSE),"")</f>
        <v>28</v>
      </c>
      <c r="AO18" s="290" t="str">
        <f>IFERROR(VLOOKUP(AK17,VIT!$B$48:$R$82,15,FALSE),"")</f>
        <v>182/70</v>
      </c>
      <c r="AP18" s="291"/>
      <c r="AQ18" s="33"/>
      <c r="AR18" s="33"/>
      <c r="AS18" s="33"/>
      <c r="AT18" s="33"/>
      <c r="AU18" s="33"/>
      <c r="AV18" s="33"/>
      <c r="AW18" s="34" t="str">
        <f>IFERROR(VLOOKUP(AW17,VIT!$B$48:$R$82,11,FALSE),"")</f>
        <v>L</v>
      </c>
      <c r="AX18" s="289">
        <f>IFERROR(YEAR(VLOOKUP(AW17,VIT!$B$48:$R$82,2,FALSE)),"")</f>
        <v>1992</v>
      </c>
      <c r="AY18" s="260"/>
      <c r="AZ18" s="106">
        <f ca="1">IFERROR(VLOOKUP(AW17,VIT!$B$48:$R$82,3,FALSE),"")</f>
        <v>28</v>
      </c>
      <c r="BA18" s="290" t="str">
        <f>IFERROR(VLOOKUP(AW17,VIT!$B$48:$R$82,15,FALSE),"")</f>
        <v>182/78</v>
      </c>
      <c r="BB18" s="291"/>
      <c r="BC18" s="34" t="str">
        <f>IFERROR(VLOOKUP(BC17,MB!$B$48:$R$82,11,FALSE),"")</f>
        <v>P</v>
      </c>
      <c r="BD18" s="289">
        <f>IFERROR(YEAR(VLOOKUP(BC17,MB!$B$48:$R$82,2,FALSE)),"")</f>
        <v>1990</v>
      </c>
      <c r="BE18" s="260"/>
      <c r="BF18" s="108">
        <f ca="1">IFERROR(VLOOKUP(BC17,MB!$B$48:$R$82,3,FALSE),"")</f>
        <v>30</v>
      </c>
      <c r="BG18" s="290" t="str">
        <f>IFERROR(VLOOKUP(BC17,MB!$B$48:$R$82,15,FALSE),"")</f>
        <v>170/69</v>
      </c>
      <c r="BH18" s="291"/>
      <c r="BI18" s="33"/>
      <c r="BJ18" s="33"/>
      <c r="BK18" s="33"/>
      <c r="BL18" s="33"/>
      <c r="BM18" s="33"/>
      <c r="BN18" s="33"/>
      <c r="BO18" s="34" t="str">
        <f>IFERROR(VLOOKUP(BO17,MB!$B$48:$R$82,11,FALSE),"")</f>
        <v>L</v>
      </c>
      <c r="BP18" s="289">
        <f>IFERROR(YEAR(VLOOKUP(BO17,MB!$B$48:$R$82,2,FALSE)),"")</f>
        <v>1999</v>
      </c>
      <c r="BQ18" s="260"/>
      <c r="BR18" s="108">
        <f ca="1">IFERROR(VLOOKUP(BO17,MB!$B$48:$R$82,3,FALSE),"")</f>
        <v>21</v>
      </c>
      <c r="BS18" s="290" t="str">
        <f>IFERROR(VLOOKUP(BO17,MB!$B$48:$R$82,15,FALSE),"")</f>
        <v>186/78</v>
      </c>
      <c r="BT18" s="291"/>
      <c r="BU18" s="34" t="str">
        <f>IFERROR(VLOOKUP(BU17,TAT!$B$48:$R$82,11,FALSE),"")</f>
        <v/>
      </c>
      <c r="BV18" s="289" t="str">
        <f>IFERROR(YEAR(VLOOKUP(BU17,TAT!$B$48:$R$82,2,FALSE)),"")</f>
        <v/>
      </c>
      <c r="BW18" s="260"/>
      <c r="BX18" s="150" t="str">
        <f>IFERROR(VLOOKUP(BU17,TAT!$B$48:$R$82,3,FALSE),"")</f>
        <v/>
      </c>
      <c r="BY18" s="290" t="str">
        <f>IFERROR(VLOOKUP(BU17,TAT!$B$48:$R$82,15,FALSE),"")</f>
        <v/>
      </c>
      <c r="BZ18" s="291"/>
      <c r="CA18" s="33"/>
      <c r="CB18" s="33"/>
      <c r="CC18" s="33"/>
      <c r="CD18" s="33"/>
      <c r="CE18" s="33"/>
      <c r="CF18" s="33"/>
      <c r="CG18" s="34" t="str">
        <f>IFERROR(VLOOKUP(CG17,TAT!$B$48:$R$82,11,FALSE),"")</f>
        <v/>
      </c>
      <c r="CH18" s="289" t="str">
        <f>IFERROR(YEAR(VLOOKUP(CG17,TAT!$B$48:$R$82,2,FALSE)),"")</f>
        <v/>
      </c>
      <c r="CI18" s="260"/>
      <c r="CJ18" s="150" t="str">
        <f>IFERROR(VLOOKUP(CG17,TAT!$B$48:$R$82,3,FALSE),"")</f>
        <v/>
      </c>
      <c r="CK18" s="290" t="str">
        <f>IFERROR(VLOOKUP(CG17,TAT!$B$48:$R$82,15,FALSE),"")</f>
        <v/>
      </c>
      <c r="CL18" s="291"/>
      <c r="CM18" s="34" t="str">
        <f>IFERROR(VLOOKUP(CM17,OTR!$B$48:$R$82,11,FALSE),"")</f>
        <v>L</v>
      </c>
      <c r="CN18" s="289">
        <f>IFERROR(YEAR(VLOOKUP(CM17,OTR!$B$48:$R$82,2,FALSE)),"")</f>
        <v>2000</v>
      </c>
      <c r="CO18" s="260"/>
      <c r="CP18" s="150">
        <f ca="1">IFERROR(VLOOKUP(CM17,OTR!$B$48:$R$82,3,FALSE),"")</f>
        <v>20</v>
      </c>
      <c r="CQ18" s="290" t="str">
        <f>IFERROR(VLOOKUP(CM17,OTR!$B$48:$R$82,15,FALSE),"")</f>
        <v>185/77</v>
      </c>
      <c r="CR18" s="291"/>
      <c r="CS18" s="33"/>
      <c r="CT18" s="33"/>
      <c r="CU18" s="33"/>
      <c r="CV18" s="33"/>
      <c r="CW18" s="33"/>
      <c r="CX18" s="33"/>
      <c r="CY18" s="34" t="str">
        <f>IFERROR(VLOOKUP(CY17,OTR!$B$48:$R$82,11,FALSE),"")</f>
        <v>L</v>
      </c>
      <c r="CZ18" s="289">
        <f>IFERROR(YEAR(VLOOKUP(CY17,OTR!$B$48:$R$82,2,FALSE)),"")</f>
        <v>1997</v>
      </c>
      <c r="DA18" s="260"/>
      <c r="DB18" s="150">
        <f ca="1">IFERROR(VLOOKUP(CY17,OTR!$B$48:$R$82,3,FALSE),"")</f>
        <v>24</v>
      </c>
      <c r="DC18" s="290" t="str">
        <f>IFERROR(VLOOKUP(CY17,OTR!$B$48:$R$82,15,FALSE),"")</f>
        <v>185/78</v>
      </c>
      <c r="DD18" s="291"/>
      <c r="DE18" s="34" t="str">
        <f>IFERROR(VLOOKUP(DE17,BOH!$B$48:$R$82,11,FALSE),"")</f>
        <v>L</v>
      </c>
      <c r="DF18" s="289">
        <f>IFERROR(YEAR(VLOOKUP(DE17,BOH!$B$48:$R$82,2,FALSE)),"")</f>
        <v>1990</v>
      </c>
      <c r="DG18" s="260"/>
      <c r="DH18" s="165">
        <f ca="1">IFERROR(VLOOKUP(DE17,BOH!$B$48:$R$82,3,FALSE),"")</f>
        <v>30</v>
      </c>
      <c r="DI18" s="290" t="str">
        <f>IFERROR(VLOOKUP(DE17,BOH!$B$48:$R$82,15,FALSE),"")</f>
        <v>186/88</v>
      </c>
      <c r="DJ18" s="291"/>
      <c r="DK18" s="33"/>
      <c r="DL18" s="33"/>
      <c r="DM18" s="33"/>
      <c r="DN18" s="33"/>
      <c r="DO18" s="33"/>
      <c r="DP18" s="33"/>
      <c r="DQ18" s="34" t="str">
        <f>IFERROR(VLOOKUP(DQ17,BOH!$B$48:$R$82,11,FALSE),"")</f>
        <v>L</v>
      </c>
      <c r="DR18" s="289">
        <f>IFERROR(YEAR(VLOOKUP(DQ17,BOH!$B$48:$R$82,2,FALSE)),"")</f>
        <v>1998</v>
      </c>
      <c r="DS18" s="260"/>
      <c r="DT18" s="165">
        <f ca="1">IFERROR(VLOOKUP(DQ17,BOH!$B$48:$R$82,3,FALSE),"")</f>
        <v>22</v>
      </c>
      <c r="DU18" s="290" t="str">
        <f>IFERROR(VLOOKUP(DQ17,BOH!$B$48:$R$82,15,FALSE),"")</f>
        <v>183/73</v>
      </c>
      <c r="DV18" s="291"/>
      <c r="DW18" s="34" t="str">
        <f>IFERROR(VLOOKUP(DW17,SPA!$B$48:$R$82,11,FALSE),"")</f>
        <v/>
      </c>
      <c r="DX18" s="289" t="str">
        <f>IFERROR(YEAR(VLOOKUP(DW17,SPA!$B$48:$R$82,2,FALSE)),"")</f>
        <v/>
      </c>
      <c r="DY18" s="260"/>
      <c r="DZ18" s="165" t="str">
        <f>IFERROR(VLOOKUP(DW17,SPA!$B$48:$R$82,3,FALSE),"")</f>
        <v/>
      </c>
      <c r="EA18" s="290" t="str">
        <f>IFERROR(VLOOKUP(DW17,SPA!$B$48:$R$82,15,FALSE),"")</f>
        <v/>
      </c>
      <c r="EB18" s="291"/>
      <c r="EC18" s="33"/>
      <c r="ED18" s="33"/>
      <c r="EE18" s="33"/>
      <c r="EF18" s="33"/>
      <c r="EG18" s="33"/>
      <c r="EH18" s="33"/>
      <c r="EI18" s="34" t="str">
        <f>IFERROR(VLOOKUP(EI17,SPA!$B$48:$R$82,11,FALSE),"")</f>
        <v/>
      </c>
      <c r="EJ18" s="289" t="str">
        <f>IFERROR(YEAR(VLOOKUP(EI17,SPA!$B$48:$R$82,2,FALSE)),"")</f>
        <v/>
      </c>
      <c r="EK18" s="260"/>
      <c r="EL18" s="165" t="str">
        <f>IFERROR(VLOOKUP(EI17,SPA!$B$48:$R$82,3,FALSE),"")</f>
        <v/>
      </c>
      <c r="EM18" s="290" t="str">
        <f>IFERROR(VLOOKUP(EI17,SPA!$B$48:$R$82,15,FALSE),"")</f>
        <v/>
      </c>
      <c r="EN18" s="291"/>
      <c r="EO18" s="34" t="str">
        <f>IFERROR(VLOOKUP(EO17,CLP!$B$48:$R$82,11,FALSE),"")</f>
        <v/>
      </c>
      <c r="EP18" s="289" t="str">
        <f>IFERROR(YEAR(VLOOKUP(EO17,CLP!$B$48:$R$82,2,FALSE)),"")</f>
        <v/>
      </c>
      <c r="EQ18" s="260"/>
      <c r="ER18" s="204" t="str">
        <f>IFERROR(VLOOKUP(EO17,CLP!$B$48:$R$82,3,FALSE),"")</f>
        <v/>
      </c>
      <c r="ES18" s="290" t="str">
        <f>IFERROR(VLOOKUP(EO17,CLP!$B$48:$R$82,15,FALSE),"")</f>
        <v/>
      </c>
      <c r="ET18" s="291"/>
      <c r="EU18" s="33"/>
      <c r="EV18" s="33"/>
      <c r="EW18" s="33"/>
      <c r="EX18" s="33"/>
      <c r="EY18" s="33"/>
      <c r="EZ18" s="33"/>
      <c r="FA18" s="34" t="str">
        <f>IFERROR(VLOOKUP(FA17,CLP!$B$48:$R$82,11,FALSE),"")</f>
        <v/>
      </c>
      <c r="FB18" s="289" t="str">
        <f>IFERROR(YEAR(VLOOKUP(FA17,CLP!$B$48:$R$82,2,FALSE)),"")</f>
        <v/>
      </c>
      <c r="FC18" s="260"/>
      <c r="FD18" s="204" t="str">
        <f>IFERROR(VLOOKUP(FA17,CLP!$B$48:$R$82,3,FALSE),"")</f>
        <v/>
      </c>
      <c r="FE18" s="290" t="str">
        <f>IFERROR(VLOOKUP(FA17,CLP!$B$48:$R$82,15,FALSE),"")</f>
        <v/>
      </c>
      <c r="FF18" s="291"/>
      <c r="FG18" s="34" t="str">
        <f>IFERROR(VLOOKUP(FG17,LIB!$B$48:$R$82,11,FALSE),"")</f>
        <v>L</v>
      </c>
      <c r="FH18" s="289">
        <f>IFERROR(YEAR(VLOOKUP(FG17,LIB!$B$48:$R$82,2,FALSE)),"")</f>
        <v>1986</v>
      </c>
      <c r="FI18" s="260"/>
      <c r="FJ18" s="204">
        <f ca="1">IFERROR(VLOOKUP(FG17,LIB!$B$48:$R$82,3,FALSE),"")</f>
        <v>34</v>
      </c>
      <c r="FK18" s="290" t="str">
        <f>IFERROR(VLOOKUP(FG17,LIB!$B$48:$R$82,15,FALSE),"")</f>
        <v>185/69</v>
      </c>
      <c r="FL18" s="291"/>
      <c r="FM18" s="33"/>
      <c r="FN18" s="33"/>
      <c r="FO18" s="33"/>
      <c r="FP18" s="33"/>
      <c r="FQ18" s="33"/>
      <c r="FR18" s="33"/>
      <c r="FS18" s="34" t="str">
        <f>IFERROR(VLOOKUP(FS17,LIB!$B$48:$R$82,11,FALSE),"")</f>
        <v>L</v>
      </c>
      <c r="FT18" s="289">
        <f>IFERROR(YEAR(VLOOKUP(FS17,LIB!$B$48:$R$82,2,FALSE)),"")</f>
        <v>2003</v>
      </c>
      <c r="FU18" s="260"/>
      <c r="FV18" s="204">
        <f ca="1">IFERROR(VLOOKUP(FS17,LIB!$B$48:$R$82,3,FALSE),"")</f>
        <v>17</v>
      </c>
      <c r="FW18" s="290" t="str">
        <f>IFERROR(VLOOKUP(FS17,LIB!$B$48:$R$82,15,FALSE),"")</f>
        <v>178/74</v>
      </c>
      <c r="FX18" s="291"/>
      <c r="FY18" s="34" t="str">
        <f>IFERROR(VLOOKUP(FY17,HAT!$B$48:$R$82,11,FALSE),"")</f>
        <v/>
      </c>
      <c r="FZ18" s="289" t="str">
        <f>IFERROR(YEAR(VLOOKUP(FY17,HAT!$B$48:$R$82,2,FALSE)),"")</f>
        <v/>
      </c>
      <c r="GA18" s="260"/>
      <c r="GB18" s="211" t="str">
        <f>IFERROR(VLOOKUP(FY17,HAT!$B$48:$R$82,3,FALSE),"")</f>
        <v/>
      </c>
      <c r="GC18" s="290" t="str">
        <f>IFERROR(VLOOKUP(FY17,HAT!$B$48:$R$82,15,FALSE),"")</f>
        <v/>
      </c>
      <c r="GD18" s="291"/>
      <c r="GE18" s="33"/>
      <c r="GF18" s="33"/>
      <c r="GG18" s="33"/>
      <c r="GH18" s="33"/>
      <c r="GI18" s="33"/>
      <c r="GJ18" s="33"/>
      <c r="GK18" s="34" t="str">
        <f>IFERROR(VLOOKUP(GK17,HAT!$B$48:$R$82,11,FALSE),"")</f>
        <v/>
      </c>
      <c r="GL18" s="289" t="str">
        <f>IFERROR(YEAR(VLOOKUP(GK17,HAT!$B$48:$R$82,2,FALSE)),"")</f>
        <v/>
      </c>
      <c r="GM18" s="260"/>
      <c r="GN18" s="211" t="str">
        <f>IFERROR(VLOOKUP(GK17,HAT!$B$48:$R$82,3,FALSE),"")</f>
        <v/>
      </c>
      <c r="GO18" s="290" t="str">
        <f>IFERROR(VLOOKUP(GK17,HAT!$B$48:$R$82,15,FALSE),"")</f>
        <v/>
      </c>
      <c r="GP18" s="291"/>
    </row>
    <row r="19" spans="1:198" ht="15.6" customHeight="1" x14ac:dyDescent="0.25">
      <c r="A19" s="297" t="str">
        <f>IFERROR(VLOOKUP(A17,SKV!$B$2:$O$36,14,FALSE),"")</f>
        <v>26 OZ , 14 (8+6), -22 ±</v>
      </c>
      <c r="B19" s="298"/>
      <c r="C19" s="298"/>
      <c r="D19" s="299" t="str">
        <f>IFERROR(VLOOKUP(A17,SKV!$B$48:$AA$82,14,FALSE),"")</f>
        <v>109 OZ, 56 (32+24)</v>
      </c>
      <c r="E19" s="299"/>
      <c r="F19" s="300"/>
      <c r="G19" s="33"/>
      <c r="H19" s="301" t="str">
        <f>H$8</f>
        <v>SKV</v>
      </c>
      <c r="I19" s="301"/>
      <c r="J19" s="301"/>
      <c r="K19" s="301"/>
      <c r="L19" s="33"/>
      <c r="M19" s="297" t="str">
        <f>IFERROR(VLOOKUP(M17,SKV!$B$2:$O$36,14,FALSE),"")</f>
        <v>25 OZ , 8 (6+2), -5 ±</v>
      </c>
      <c r="N19" s="298"/>
      <c r="O19" s="298"/>
      <c r="P19" s="299" t="str">
        <f>IFERROR(VLOOKUP(M17,SKV!$B$48:$AA$82,14,FALSE),"")</f>
        <v>58 OZ, 16 (9+7)</v>
      </c>
      <c r="Q19" s="299"/>
      <c r="R19" s="300"/>
      <c r="S19" s="297" t="str">
        <f>IFERROR(VLOOKUP(S17,CHO!$B$2:$O$36,14,FALSE),"")</f>
        <v>26 OZ , 23 (11+12), +18 ±</v>
      </c>
      <c r="T19" s="298"/>
      <c r="U19" s="298"/>
      <c r="V19" s="299" t="str">
        <f>IFERROR(VLOOKUP(S17,CHO!$B$48:$AA$82,14,FALSE),"")</f>
        <v>208 OZ, 177 (93+84)</v>
      </c>
      <c r="W19" s="299"/>
      <c r="X19" s="300"/>
      <c r="Y19" s="33"/>
      <c r="Z19" s="301" t="str">
        <f>$Z$8</f>
        <v>CHO</v>
      </c>
      <c r="AA19" s="301"/>
      <c r="AB19" s="301"/>
      <c r="AC19" s="301"/>
      <c r="AD19" s="33"/>
      <c r="AE19" s="297" t="str">
        <f>IFERROR(VLOOKUP(AE17,CHO!$B$2:$O$36,14,FALSE),"")</f>
        <v>23 OZ , 7 (2+5), +2 ±</v>
      </c>
      <c r="AF19" s="298"/>
      <c r="AG19" s="298"/>
      <c r="AH19" s="299" t="str">
        <f>IFERROR(VLOOKUP(AE17,CHO!$B$48:$AA$82,14,FALSE),"")</f>
        <v>23 OZ, 7 (2+5)</v>
      </c>
      <c r="AI19" s="299"/>
      <c r="AJ19" s="300"/>
      <c r="AK19" s="297" t="str">
        <f>IFERROR(VLOOKUP(AK17,VIT!$B$2:$O$36,14,FALSE),"")</f>
        <v>21 OZ , 21 (12+9), +23 ±</v>
      </c>
      <c r="AL19" s="298"/>
      <c r="AM19" s="298"/>
      <c r="AN19" s="299" t="str">
        <f>IFERROR(VLOOKUP(AK17,VIT!$B$48:$R$82,14,FALSE),"")</f>
        <v>190 OZ, 161 (77+84)</v>
      </c>
      <c r="AO19" s="299"/>
      <c r="AP19" s="300"/>
      <c r="AQ19" s="33"/>
      <c r="AR19" s="301" t="str">
        <f>AR$8</f>
        <v>VIT</v>
      </c>
      <c r="AS19" s="301"/>
      <c r="AT19" s="301"/>
      <c r="AU19" s="301"/>
      <c r="AV19" s="33"/>
      <c r="AW19" s="297" t="str">
        <f>IFERROR(VLOOKUP(AW17,VIT!$B$2:$O$36,14,FALSE),"")</f>
        <v>24 OZ , 23 (16+7), +42 ±</v>
      </c>
      <c r="AX19" s="298"/>
      <c r="AY19" s="298"/>
      <c r="AZ19" s="299" t="str">
        <f>IFERROR(VLOOKUP(AW17,VIT!$B$48:$R$82,14,FALSE),"")</f>
        <v>189 OZ, 168 (102+66)</v>
      </c>
      <c r="BA19" s="299"/>
      <c r="BB19" s="300"/>
      <c r="BC19" s="297" t="str">
        <f>IFERROR(VLOOKUP(BC17,MB!$B$2:$O$36,14,FALSE),"")</f>
        <v>26 OZ , 23 (11+12), +51 ±</v>
      </c>
      <c r="BD19" s="298"/>
      <c r="BE19" s="298"/>
      <c r="BF19" s="299" t="str">
        <f>IFERROR(VLOOKUP(BC17,MB!$B$48:$R$82,14,FALSE),"")</f>
        <v>183 OZ, 183 (87+96)</v>
      </c>
      <c r="BG19" s="299"/>
      <c r="BH19" s="300"/>
      <c r="BI19" s="33"/>
      <c r="BJ19" s="301" t="str">
        <f>BJ$8</f>
        <v>MB</v>
      </c>
      <c r="BK19" s="301"/>
      <c r="BL19" s="301"/>
      <c r="BM19" s="301"/>
      <c r="BN19" s="33"/>
      <c r="BO19" s="297" t="str">
        <f>IFERROR(VLOOKUP(BO17,MB!$B$2:$O$36,14,FALSE),"")</f>
        <v>26 OZ , 7 (3+4), +34 ±</v>
      </c>
      <c r="BP19" s="298"/>
      <c r="BQ19" s="298"/>
      <c r="BR19" s="299" t="str">
        <f>IFERROR(VLOOKUP(BO17,MB!$B$48:$R$82,14,FALSE),"")</f>
        <v>122 OZ, 43 (18+25)</v>
      </c>
      <c r="BS19" s="299"/>
      <c r="BT19" s="300"/>
      <c r="BU19" s="297" t="str">
        <f>IFERROR(VLOOKUP(BU17,TAT!$B$2:$O$36,14,FALSE),"")</f>
        <v/>
      </c>
      <c r="BV19" s="298"/>
      <c r="BW19" s="298"/>
      <c r="BX19" s="299" t="str">
        <f>IFERROR(VLOOKUP(BU17,TAT!$B$48:$R$82,14,FALSE),"")</f>
        <v/>
      </c>
      <c r="BY19" s="299"/>
      <c r="BZ19" s="300"/>
      <c r="CA19" s="33"/>
      <c r="CB19" s="301" t="str">
        <f>CB$8</f>
        <v>TAT</v>
      </c>
      <c r="CC19" s="301"/>
      <c r="CD19" s="301"/>
      <c r="CE19" s="301"/>
      <c r="CF19" s="33"/>
      <c r="CG19" s="297" t="str">
        <f>IFERROR(VLOOKUP(CG17,TAT!$B$2:$O$36,14,FALSE),"")</f>
        <v/>
      </c>
      <c r="CH19" s="298"/>
      <c r="CI19" s="298"/>
      <c r="CJ19" s="299" t="str">
        <f>IFERROR(VLOOKUP(CG17,TAT!$B$48:$R$82,14,FALSE),"")</f>
        <v/>
      </c>
      <c r="CK19" s="299"/>
      <c r="CL19" s="300"/>
      <c r="CM19" s="297" t="str">
        <f>IFERROR(VLOOKUP(CM17,OTR!$B$2:$O$36,14,FALSE),"")</f>
        <v>20 OZ , 14 (7+7), -28 ±</v>
      </c>
      <c r="CN19" s="298"/>
      <c r="CO19" s="298"/>
      <c r="CP19" s="299" t="str">
        <f>IFERROR(VLOOKUP(CM17,OTR!$B$48:$R$82,14,FALSE),"")</f>
        <v>91 OZ, 64 (36+28)</v>
      </c>
      <c r="CQ19" s="299"/>
      <c r="CR19" s="300"/>
      <c r="CS19" s="33"/>
      <c r="CT19" s="301" t="str">
        <f>CT$8</f>
        <v>OTR</v>
      </c>
      <c r="CU19" s="301"/>
      <c r="CV19" s="301"/>
      <c r="CW19" s="301"/>
      <c r="CX19" s="33"/>
      <c r="CY19" s="297" t="str">
        <f>IFERROR(VLOOKUP(CY17,OTR!$B$2:$O$36,14,FALSE),"")</f>
        <v>26 OZ , 10 (5+5), -17 ±</v>
      </c>
      <c r="CZ19" s="298"/>
      <c r="DA19" s="298"/>
      <c r="DB19" s="299" t="str">
        <f>IFERROR(VLOOKUP(CY17,OTR!$B$48:$R$82,14,FALSE),"")</f>
        <v>121 OZ, 44 (25+19)</v>
      </c>
      <c r="DC19" s="299"/>
      <c r="DD19" s="300"/>
      <c r="DE19" s="297" t="str">
        <f>IFERROR(VLOOKUP(DE17,BOH!$B$2:$O$36,14,FALSE),"")</f>
        <v>26 OZ , 13 (6+7), +11 ±</v>
      </c>
      <c r="DF19" s="298"/>
      <c r="DG19" s="298"/>
      <c r="DH19" s="299" t="str">
        <f>IFERROR(VLOOKUP(DE17,BOH!$B$48:$R$82,14,FALSE),"")</f>
        <v>276 OZ, 83 (29+54)</v>
      </c>
      <c r="DI19" s="299"/>
      <c r="DJ19" s="300"/>
      <c r="DK19" s="33"/>
      <c r="DL19" s="301" t="str">
        <f>DL$8</f>
        <v>BOH</v>
      </c>
      <c r="DM19" s="301"/>
      <c r="DN19" s="301"/>
      <c r="DO19" s="301"/>
      <c r="DP19" s="33"/>
      <c r="DQ19" s="297" t="str">
        <f>IFERROR(VLOOKUP(DQ17,BOH!$B$2:$O$36,14,FALSE),"")</f>
        <v>23 OZ , 7 (2+5), +1 ±</v>
      </c>
      <c r="DR19" s="298"/>
      <c r="DS19" s="298"/>
      <c r="DT19" s="299" t="str">
        <f>IFERROR(VLOOKUP(DQ17,BOH!$B$48:$R$82,14,FALSE),"")</f>
        <v>141 OZ, 53 (24+29)</v>
      </c>
      <c r="DU19" s="299"/>
      <c r="DV19" s="300"/>
      <c r="DW19" s="297" t="str">
        <f>IFERROR(VLOOKUP(DW17,SPA!$B$2:$O$36,14,FALSE),"")</f>
        <v/>
      </c>
      <c r="DX19" s="298"/>
      <c r="DY19" s="298"/>
      <c r="DZ19" s="299" t="str">
        <f>IFERROR(VLOOKUP(DW17,SPA!$B$48:$R$82,14,FALSE),"")</f>
        <v/>
      </c>
      <c r="EA19" s="299"/>
      <c r="EB19" s="300"/>
      <c r="EC19" s="33"/>
      <c r="ED19" s="301" t="str">
        <f>ED$8</f>
        <v>SPA</v>
      </c>
      <c r="EE19" s="301"/>
      <c r="EF19" s="301"/>
      <c r="EG19" s="301"/>
      <c r="EH19" s="33"/>
      <c r="EI19" s="297" t="str">
        <f>IFERROR(VLOOKUP(EI17,SPA!$B$2:$O$36,14,FALSE),"")</f>
        <v/>
      </c>
      <c r="EJ19" s="298"/>
      <c r="EK19" s="298"/>
      <c r="EL19" s="299" t="str">
        <f>IFERROR(VLOOKUP(EI17,SPA!$B$48:$R$82,14,FALSE),"")</f>
        <v/>
      </c>
      <c r="EM19" s="299"/>
      <c r="EN19" s="300"/>
      <c r="EO19" s="297" t="str">
        <f>IFERROR(VLOOKUP(EO17,CLP!$B$2:$O$36,14,FALSE),"")</f>
        <v/>
      </c>
      <c r="EP19" s="298"/>
      <c r="EQ19" s="298"/>
      <c r="ER19" s="299" t="str">
        <f>IFERROR(VLOOKUP(EO17,CLP!$B$48:$R$82,14,FALSE),"")</f>
        <v/>
      </c>
      <c r="ES19" s="299"/>
      <c r="ET19" s="300"/>
      <c r="EU19" s="33"/>
      <c r="EV19" s="301" t="str">
        <f>EV$8</f>
        <v>CLP</v>
      </c>
      <c r="EW19" s="301"/>
      <c r="EX19" s="301"/>
      <c r="EY19" s="301"/>
      <c r="EZ19" s="33"/>
      <c r="FA19" s="297" t="str">
        <f>IFERROR(VLOOKUP(FA17,CLP!$B$2:$O$36,14,FALSE),"")</f>
        <v/>
      </c>
      <c r="FB19" s="298"/>
      <c r="FC19" s="298"/>
      <c r="FD19" s="299" t="str">
        <f>IFERROR(VLOOKUP(FA17,CLP!$B$48:$R$82,14,FALSE),"")</f>
        <v/>
      </c>
      <c r="FE19" s="299"/>
      <c r="FF19" s="300"/>
      <c r="FG19" s="297" t="str">
        <f>IFERROR(VLOOKUP(FG17,LIB!$B$2:$O$36,14,FALSE),"")</f>
        <v>25 OZ , 13 (1+12), 0 ±</v>
      </c>
      <c r="FH19" s="298"/>
      <c r="FI19" s="298"/>
      <c r="FJ19" s="299" t="str">
        <f>IFERROR(VLOOKUP(FG17,LIB!$B$48:$R$82,14,FALSE),"")</f>
        <v>302 OZ, 231 (95+136)</v>
      </c>
      <c r="FK19" s="299"/>
      <c r="FL19" s="300"/>
      <c r="FM19" s="33"/>
      <c r="FN19" s="301" t="str">
        <f>FN$8</f>
        <v>LIB</v>
      </c>
      <c r="FO19" s="301"/>
      <c r="FP19" s="301"/>
      <c r="FQ19" s="301"/>
      <c r="FR19" s="33"/>
      <c r="FS19" s="297" t="str">
        <f>IFERROR(VLOOKUP(FS17,LIB!$B$2:$O$36,14,FALSE),"")</f>
        <v>22 OZ , 4 (2+2), -9 ±</v>
      </c>
      <c r="FT19" s="298"/>
      <c r="FU19" s="298"/>
      <c r="FV19" s="299" t="str">
        <f>IFERROR(VLOOKUP(FS17,LIB!$B$48:$R$82,14,FALSE),"")</f>
        <v>22 OZ, 4 (2+2)</v>
      </c>
      <c r="FW19" s="299"/>
      <c r="FX19" s="300"/>
      <c r="FY19" s="297" t="str">
        <f>IFERROR(VLOOKUP(FY17,HAT!$B$2:$O$36,14,FALSE),"")</f>
        <v/>
      </c>
      <c r="FZ19" s="298"/>
      <c r="GA19" s="298"/>
      <c r="GB19" s="299" t="str">
        <f>IFERROR(VLOOKUP(FY17,HAT!$B$48:$R$82,14,FALSE),"")</f>
        <v/>
      </c>
      <c r="GC19" s="299"/>
      <c r="GD19" s="300"/>
      <c r="GE19" s="33"/>
      <c r="GF19" s="301" t="str">
        <f>GF$8</f>
        <v>HAT</v>
      </c>
      <c r="GG19" s="301"/>
      <c r="GH19" s="301"/>
      <c r="GI19" s="301"/>
      <c r="GJ19" s="33"/>
      <c r="GK19" s="297" t="str">
        <f>IFERROR(VLOOKUP(GK17,HAT!$B$2:$O$36,14,FALSE),"")</f>
        <v/>
      </c>
      <c r="GL19" s="298"/>
      <c r="GM19" s="298"/>
      <c r="GN19" s="299" t="str">
        <f>IFERROR(VLOOKUP(GK17,HAT!$B$48:$R$82,14,FALSE),"")</f>
        <v/>
      </c>
      <c r="GO19" s="299"/>
      <c r="GP19" s="300"/>
    </row>
    <row r="20" spans="1:198" ht="15.6" customHeight="1" thickBot="1" x14ac:dyDescent="0.3">
      <c r="A20" s="263" t="str">
        <f>IFERROR(VLOOKUP(A17,SKV!$B$48:$AA$82,16,FALSE),"")</f>
        <v>Lhokamo</v>
      </c>
      <c r="B20" s="264"/>
      <c r="C20" s="265"/>
      <c r="D20" s="266">
        <f>IFERROR(VLOOKUP(A17,SKV!$B$48:$AA$82,17,FALSE),"")</f>
        <v>2004</v>
      </c>
      <c r="E20" s="267"/>
      <c r="F20" s="124">
        <f>IFERROR(VLOOKUP(A17,SKV!$B$48:$AA$82,8,FALSE),"")</f>
        <v>6</v>
      </c>
      <c r="G20" s="33"/>
      <c r="H20" s="301"/>
      <c r="I20" s="301"/>
      <c r="J20" s="301"/>
      <c r="K20" s="301"/>
      <c r="L20" s="33"/>
      <c r="M20" s="263" t="str">
        <f>IFERROR(VLOOKUP(M17,SKV!$B$48:$AA$82,16,FALSE),"")</f>
        <v>Bulldogs Brno</v>
      </c>
      <c r="N20" s="264"/>
      <c r="O20" s="265"/>
      <c r="P20" s="266">
        <f>IFERROR(VLOOKUP(M17,SKV!$B$48:$AA$82,17,FALSE),"")</f>
        <v>2013</v>
      </c>
      <c r="Q20" s="267"/>
      <c r="R20" s="124">
        <f>IFERROR(VLOOKUP(M17,SKV!$B$48:$AA$82,8,FALSE),"")</f>
        <v>3</v>
      </c>
      <c r="S20" s="263" t="str">
        <f>IFERROR(VLOOKUP(S17,CHO!$B$48:$AA$82,16,FALSE),"")</f>
        <v>SK JeMoBu</v>
      </c>
      <c r="T20" s="264"/>
      <c r="U20" s="265"/>
      <c r="V20" s="266">
        <f>IFERROR(VLOOKUP(S17,CHO!$B$48:$AA$82,17,FALSE),"")</f>
        <v>2002</v>
      </c>
      <c r="W20" s="267"/>
      <c r="X20" s="124">
        <f>IFERROR(VLOOKUP(S17,CHO!$B$48:$AA$82,8,FALSE),"")</f>
        <v>10</v>
      </c>
      <c r="Y20" s="33"/>
      <c r="Z20" s="301"/>
      <c r="AA20" s="301"/>
      <c r="AB20" s="301"/>
      <c r="AC20" s="301"/>
      <c r="AD20" s="33"/>
      <c r="AE20" s="263" t="str">
        <f>IFERROR(VLOOKUP(AE17,CHO!$B$48:$AA$82,16,FALSE),"")</f>
        <v>SK Dvojka Praha</v>
      </c>
      <c r="AF20" s="264"/>
      <c r="AG20" s="265"/>
      <c r="AH20" s="266">
        <f>IFERROR(VLOOKUP(AE17,CHO!$B$48:$AA$82,17,FALSE),"")</f>
        <v>2010</v>
      </c>
      <c r="AI20" s="267"/>
      <c r="AJ20" s="124">
        <f>IFERROR(VLOOKUP(AE17,CHO!$B$48:$AA$82,8,FALSE),"")</f>
        <v>1</v>
      </c>
      <c r="AK20" s="263" t="str">
        <f>IFERROR(VLOOKUP(AK17,VIT!$B$48:$R$82,16,FALSE),"")</f>
        <v>1. SC Vítkovice</v>
      </c>
      <c r="AL20" s="264"/>
      <c r="AM20" s="265"/>
      <c r="AN20" s="266">
        <f>IFERROR(VLOOKUP(AK17,VIT!$B$48:$R$82,17,FALSE),"")</f>
        <v>1999</v>
      </c>
      <c r="AO20" s="267"/>
      <c r="AP20" s="124">
        <f>IFERROR(VLOOKUP(AK17,VIT!$B$48:$R$82,8,FALSE),"")</f>
        <v>10</v>
      </c>
      <c r="AQ20" s="33"/>
      <c r="AR20" s="301"/>
      <c r="AS20" s="301"/>
      <c r="AT20" s="301"/>
      <c r="AU20" s="301"/>
      <c r="AV20" s="33"/>
      <c r="AW20" s="263" t="str">
        <f>IFERROR(VLOOKUP(AW17,VIT!$B$48:$R$82,16,FALSE),"")</f>
        <v>Sokol Ostrava Zábřeh</v>
      </c>
      <c r="AX20" s="264"/>
      <c r="AY20" s="265"/>
      <c r="AZ20" s="266">
        <f>IFERROR(VLOOKUP(AW17,VIT!$B$48:$R$82,17,FALSE),"")</f>
        <v>2000</v>
      </c>
      <c r="BA20" s="267"/>
      <c r="BB20" s="124">
        <f>IFERROR(VLOOKUP(AW17,VIT!$B$48:$R$82,8,FALSE),"")</f>
        <v>8</v>
      </c>
      <c r="BC20" s="263" t="str">
        <f>IFERROR(VLOOKUP(BC17,MB!$B$48:$R$82,16,FALSE),"")</f>
        <v>1. SC Vítkovice</v>
      </c>
      <c r="BD20" s="264"/>
      <c r="BE20" s="265"/>
      <c r="BF20" s="266">
        <f>IFERROR(VLOOKUP(BC17,MB!$B$48:$R$82,17,FALSE),"")</f>
        <v>2001</v>
      </c>
      <c r="BG20" s="267"/>
      <c r="BH20" s="124">
        <f>IFERROR(VLOOKUP(BC17,MB!$B$48:$R$82,8,FALSE),"")</f>
        <v>9</v>
      </c>
      <c r="BI20" s="33"/>
      <c r="BJ20" s="301"/>
      <c r="BK20" s="301"/>
      <c r="BL20" s="301"/>
      <c r="BM20" s="301"/>
      <c r="BN20" s="33"/>
      <c r="BO20" s="263" t="str">
        <f>IFERROR(VLOOKUP(BO17,MB!$B$48:$R$82,16,FALSE),"")</f>
        <v>Mladá Boleslav</v>
      </c>
      <c r="BP20" s="264"/>
      <c r="BQ20" s="265"/>
      <c r="BR20" s="266">
        <f>IFERROR(VLOOKUP(BO17,MB!$B$48:$R$82,17,FALSE),"")</f>
        <v>2009</v>
      </c>
      <c r="BS20" s="267"/>
      <c r="BT20" s="124">
        <f>IFERROR(VLOOKUP(BO17,MB!$B$48:$R$82,8,FALSE),"")</f>
        <v>5</v>
      </c>
      <c r="BU20" s="263" t="str">
        <f>IFERROR(VLOOKUP(BU17,TAT!$B$48:$R$82,16,FALSE),"")</f>
        <v/>
      </c>
      <c r="BV20" s="264"/>
      <c r="BW20" s="265"/>
      <c r="BX20" s="266" t="str">
        <f>IFERROR(VLOOKUP(BU17,TAT!$B$48:$R$82,17,FALSE),"")</f>
        <v/>
      </c>
      <c r="BY20" s="267"/>
      <c r="BZ20" s="124" t="str">
        <f>IFERROR(VLOOKUP(BU17,TAT!$B$48:$R$82,8,FALSE),"")</f>
        <v/>
      </c>
      <c r="CA20" s="33"/>
      <c r="CB20" s="301"/>
      <c r="CC20" s="301"/>
      <c r="CD20" s="301"/>
      <c r="CE20" s="301"/>
      <c r="CF20" s="33"/>
      <c r="CG20" s="263" t="str">
        <f>IFERROR(VLOOKUP(CG17,TAT!$B$48:$R$82,16,FALSE),"")</f>
        <v/>
      </c>
      <c r="CH20" s="264"/>
      <c r="CI20" s="265"/>
      <c r="CJ20" s="266" t="str">
        <f>IFERROR(VLOOKUP(CG17,TAT!$B$48:$R$82,17,FALSE),"")</f>
        <v/>
      </c>
      <c r="CK20" s="267"/>
      <c r="CL20" s="124" t="str">
        <f>IFERROR(VLOOKUP(CG17,TAT!$B$48:$R$82,8,FALSE),"")</f>
        <v/>
      </c>
      <c r="CM20" s="263" t="str">
        <f>IFERROR(VLOOKUP(CM17,OTR!$B$48:$R$82,16,FALSE),"")</f>
        <v>Bulldogs Brno</v>
      </c>
      <c r="CN20" s="264"/>
      <c r="CO20" s="265"/>
      <c r="CP20" s="266">
        <f>IFERROR(VLOOKUP(CM17,OTR!$B$48:$R$82,17,FALSE),"")</f>
        <v>2008</v>
      </c>
      <c r="CQ20" s="267"/>
      <c r="CR20" s="124">
        <f>IFERROR(VLOOKUP(CM17,OTR!$B$48:$R$82,8,FALSE),"")</f>
        <v>4</v>
      </c>
      <c r="CS20" s="33"/>
      <c r="CT20" s="301"/>
      <c r="CU20" s="301"/>
      <c r="CV20" s="301"/>
      <c r="CW20" s="301"/>
      <c r="CX20" s="33"/>
      <c r="CY20" s="263" t="str">
        <f>IFERROR(VLOOKUP(CY17,OTR!$B$48:$R$82,16,FALSE),"")</f>
        <v>Z.F.K. Petrovice</v>
      </c>
      <c r="CZ20" s="264"/>
      <c r="DA20" s="265"/>
      <c r="DB20" s="266">
        <f>IFERROR(VLOOKUP(CY17,OTR!$B$48:$R$82,17,FALSE),"")</f>
        <v>2007</v>
      </c>
      <c r="DC20" s="267"/>
      <c r="DD20" s="124">
        <f>IFERROR(VLOOKUP(CY17,OTR!$B$48:$R$82,8,FALSE),"")</f>
        <v>5</v>
      </c>
      <c r="DE20" s="263" t="str">
        <f>IFERROR(VLOOKUP(DE17,BOH!$B$48:$R$82,16,FALSE),"")</f>
        <v>1. SC Ostrava</v>
      </c>
      <c r="DF20" s="264"/>
      <c r="DG20" s="265"/>
      <c r="DH20" s="266" t="str">
        <f>IFERROR(VLOOKUP(DE17,BOH!$B$48:$R$82,17,FALSE),"")</f>
        <v>-</v>
      </c>
      <c r="DI20" s="267"/>
      <c r="DJ20" s="124">
        <f>IFERROR(VLOOKUP(DE17,BOH!$B$48:$R$82,8,FALSE),"")</f>
        <v>13</v>
      </c>
      <c r="DK20" s="33"/>
      <c r="DL20" s="301"/>
      <c r="DM20" s="301"/>
      <c r="DN20" s="301"/>
      <c r="DO20" s="301"/>
      <c r="DP20" s="33"/>
      <c r="DQ20" s="263" t="str">
        <f>IFERROR(VLOOKUP(DQ17,BOH!$B$48:$R$82,16,FALSE),"")</f>
        <v>FbŠ Bohemians</v>
      </c>
      <c r="DR20" s="264"/>
      <c r="DS20" s="265"/>
      <c r="DT20" s="266">
        <f>IFERROR(VLOOKUP(DQ17,BOH!$B$48:$R$82,17,FALSE),"")</f>
        <v>2006</v>
      </c>
      <c r="DU20" s="267"/>
      <c r="DV20" s="124">
        <f>IFERROR(VLOOKUP(DQ17,BOH!$B$48:$R$82,8,FALSE),"")</f>
        <v>6</v>
      </c>
      <c r="DW20" s="263" t="str">
        <f>IFERROR(VLOOKUP(DW17,SPA!$B$48:$R$82,16,FALSE),"")</f>
        <v/>
      </c>
      <c r="DX20" s="264"/>
      <c r="DY20" s="265"/>
      <c r="DZ20" s="266" t="str">
        <f>IFERROR(VLOOKUP(DW17,SPA!$B$48:$R$82,17,FALSE),"")</f>
        <v/>
      </c>
      <c r="EA20" s="267"/>
      <c r="EB20" s="124" t="str">
        <f>IFERROR(VLOOKUP(DW17,SPA!$B$48:$R$82,8,FALSE),"")</f>
        <v/>
      </c>
      <c r="EC20" s="33"/>
      <c r="ED20" s="301"/>
      <c r="EE20" s="301"/>
      <c r="EF20" s="301"/>
      <c r="EG20" s="301"/>
      <c r="EH20" s="33"/>
      <c r="EI20" s="263" t="str">
        <f>IFERROR(VLOOKUP(EI17,SPA!$B$48:$R$82,16,FALSE),"")</f>
        <v/>
      </c>
      <c r="EJ20" s="264"/>
      <c r="EK20" s="265"/>
      <c r="EL20" s="266" t="str">
        <f>IFERROR(VLOOKUP(EI17,SPA!$B$48:$R$82,17,FALSE),"")</f>
        <v/>
      </c>
      <c r="EM20" s="267"/>
      <c r="EN20" s="124" t="str">
        <f>IFERROR(VLOOKUP(EI17,SPA!$B$48:$R$82,8,FALSE),"")</f>
        <v/>
      </c>
      <c r="EO20" s="263" t="str">
        <f>IFERROR(VLOOKUP(EO17,CLP!$B$48:$R$82,16,FALSE),"")</f>
        <v/>
      </c>
      <c r="EP20" s="264"/>
      <c r="EQ20" s="265"/>
      <c r="ER20" s="266" t="str">
        <f>IFERROR(VLOOKUP(EO17,CLP!$B$48:$R$82,17,FALSE),"")</f>
        <v/>
      </c>
      <c r="ES20" s="267"/>
      <c r="ET20" s="124" t="str">
        <f>IFERROR(VLOOKUP(EO17,CLP!$B$48:$R$82,8,FALSE),"")</f>
        <v/>
      </c>
      <c r="EU20" s="33"/>
      <c r="EV20" s="301"/>
      <c r="EW20" s="301"/>
      <c r="EX20" s="301"/>
      <c r="EY20" s="301"/>
      <c r="EZ20" s="33"/>
      <c r="FA20" s="263" t="str">
        <f>IFERROR(VLOOKUP(FA17,CLP!$B$48:$R$82,16,FALSE),"")</f>
        <v/>
      </c>
      <c r="FB20" s="264"/>
      <c r="FC20" s="265"/>
      <c r="FD20" s="266" t="str">
        <f>IFERROR(VLOOKUP(FA17,CLP!$B$48:$R$82,17,FALSE),"")</f>
        <v/>
      </c>
      <c r="FE20" s="267"/>
      <c r="FF20" s="124" t="str">
        <f>IFERROR(VLOOKUP(FA17,CLP!$B$48:$R$82,8,FALSE),"")</f>
        <v/>
      </c>
      <c r="FG20" s="263" t="str">
        <f>IFERROR(VLOOKUP(FG17,LIB!$B$48:$R$82,16,FALSE),"")</f>
        <v>FBC Mustang</v>
      </c>
      <c r="FH20" s="264"/>
      <c r="FI20" s="265"/>
      <c r="FJ20" s="266">
        <f>IFERROR(VLOOKUP(FG17,LIB!$B$48:$R$82,17,FALSE),"")</f>
        <v>1996</v>
      </c>
      <c r="FK20" s="267"/>
      <c r="FL20" s="124">
        <f>IFERROR(VLOOKUP(FG17,LIB!$B$48:$R$82,8,FALSE),"")</f>
        <v>17</v>
      </c>
      <c r="FM20" s="33"/>
      <c r="FN20" s="301"/>
      <c r="FO20" s="301"/>
      <c r="FP20" s="301"/>
      <c r="FQ20" s="301"/>
      <c r="FR20" s="33"/>
      <c r="FS20" s="263" t="str">
        <f>IFERROR(VLOOKUP(FS17,LIB!$B$48:$R$82,16,FALSE),"")</f>
        <v>FBC Liberec</v>
      </c>
      <c r="FT20" s="264"/>
      <c r="FU20" s="265"/>
      <c r="FV20" s="266">
        <f>IFERROR(VLOOKUP(FS17,LIB!$B$48:$R$82,17,FALSE),"")</f>
        <v>2010</v>
      </c>
      <c r="FW20" s="267"/>
      <c r="FX20" s="124">
        <f>IFERROR(VLOOKUP(FS17,LIB!$B$48:$R$82,8,FALSE),"")</f>
        <v>1</v>
      </c>
      <c r="FY20" s="263" t="str">
        <f>IFERROR(VLOOKUP(FY17,HAT!$B$48:$R$82,16,FALSE),"")</f>
        <v/>
      </c>
      <c r="FZ20" s="264"/>
      <c r="GA20" s="265"/>
      <c r="GB20" s="266" t="str">
        <f>IFERROR(VLOOKUP(FY17,HAT!$B$48:$R$82,17,FALSE),"")</f>
        <v/>
      </c>
      <c r="GC20" s="267"/>
      <c r="GD20" s="124" t="str">
        <f>IFERROR(VLOOKUP(FY17,HAT!$B$48:$R$82,8,FALSE),"")</f>
        <v/>
      </c>
      <c r="GE20" s="33"/>
      <c r="GF20" s="301"/>
      <c r="GG20" s="301"/>
      <c r="GH20" s="301"/>
      <c r="GI20" s="301"/>
      <c r="GJ20" s="33"/>
      <c r="GK20" s="263" t="str">
        <f>IFERROR(VLOOKUP(GK17,HAT!$B$48:$R$82,16,FALSE),"")</f>
        <v/>
      </c>
      <c r="GL20" s="264"/>
      <c r="GM20" s="265"/>
      <c r="GN20" s="266" t="str">
        <f>IFERROR(VLOOKUP(GK17,HAT!$B$48:$R$82,17,FALSE),"")</f>
        <v/>
      </c>
      <c r="GO20" s="267"/>
      <c r="GP20" s="124" t="str">
        <f>IFERROR(VLOOKUP(GK17,HAT!$B$48:$R$82,8,FALSE),"")</f>
        <v/>
      </c>
    </row>
    <row r="21" spans="1:198" ht="15.6" customHeight="1" thickTop="1" thickBot="1" x14ac:dyDescent="0.3">
      <c r="A21" s="37"/>
      <c r="B21" s="37"/>
      <c r="C21" s="37"/>
      <c r="D21" s="37"/>
      <c r="E21" s="38"/>
      <c r="F21" s="38"/>
      <c r="G21" s="39"/>
      <c r="H21" s="39"/>
      <c r="I21" s="39"/>
      <c r="J21" s="39"/>
      <c r="K21" s="39"/>
      <c r="L21" s="39"/>
      <c r="M21" s="37"/>
      <c r="N21" s="37"/>
      <c r="O21" s="37"/>
      <c r="P21" s="37"/>
      <c r="Q21" s="38"/>
      <c r="R21" s="38"/>
      <c r="S21" s="37"/>
      <c r="T21" s="37"/>
      <c r="U21" s="37"/>
      <c r="V21" s="37"/>
      <c r="W21" s="38"/>
      <c r="X21" s="38"/>
      <c r="Y21" s="39"/>
      <c r="Z21" s="39"/>
      <c r="AA21" s="39"/>
      <c r="AB21" s="39"/>
      <c r="AC21" s="39"/>
      <c r="AD21" s="39"/>
      <c r="AE21" s="37"/>
      <c r="AF21" s="37"/>
      <c r="AG21" s="37"/>
      <c r="AH21" s="37"/>
      <c r="AI21" s="38"/>
      <c r="AJ21" s="38"/>
      <c r="AK21" s="37"/>
      <c r="AL21" s="37"/>
      <c r="AM21" s="37"/>
      <c r="AN21" s="37"/>
      <c r="AO21" s="38"/>
      <c r="AP21" s="38"/>
      <c r="AQ21" s="39"/>
      <c r="AR21" s="39"/>
      <c r="AS21" s="39"/>
      <c r="AT21" s="39"/>
      <c r="AU21" s="39"/>
      <c r="AV21" s="39"/>
      <c r="AW21" s="37"/>
      <c r="AX21" s="37"/>
      <c r="AY21" s="37"/>
      <c r="AZ21" s="37"/>
      <c r="BA21" s="38"/>
      <c r="BB21" s="38"/>
      <c r="BC21" s="37"/>
      <c r="BD21" s="37"/>
      <c r="BE21" s="37"/>
      <c r="BF21" s="37"/>
      <c r="BG21" s="38"/>
      <c r="BH21" s="38"/>
      <c r="BI21" s="39"/>
      <c r="BJ21" s="39"/>
      <c r="BK21" s="39"/>
      <c r="BL21" s="39"/>
      <c r="BM21" s="39"/>
      <c r="BN21" s="39"/>
      <c r="BO21" s="37"/>
      <c r="BP21" s="37"/>
      <c r="BQ21" s="37"/>
      <c r="BR21" s="37"/>
      <c r="BS21" s="38"/>
      <c r="BT21" s="38"/>
      <c r="BU21" s="37"/>
      <c r="BV21" s="37"/>
      <c r="BW21" s="37"/>
      <c r="BX21" s="37"/>
      <c r="BY21" s="38"/>
      <c r="BZ21" s="38"/>
      <c r="CA21" s="39"/>
      <c r="CB21" s="39"/>
      <c r="CC21" s="39"/>
      <c r="CD21" s="39"/>
      <c r="CE21" s="39"/>
      <c r="CF21" s="39"/>
      <c r="CG21" s="37"/>
      <c r="CH21" s="37"/>
      <c r="CI21" s="37"/>
      <c r="CJ21" s="37"/>
      <c r="CK21" s="38"/>
      <c r="CL21" s="38"/>
      <c r="CM21" s="37"/>
      <c r="CN21" s="37"/>
      <c r="CO21" s="37"/>
      <c r="CP21" s="37"/>
      <c r="CQ21" s="38"/>
      <c r="CR21" s="38"/>
      <c r="CS21" s="39"/>
      <c r="CT21" s="39"/>
      <c r="CU21" s="39"/>
      <c r="CV21" s="39"/>
      <c r="CW21" s="39"/>
      <c r="CX21" s="39"/>
      <c r="CY21" s="37"/>
      <c r="CZ21" s="37"/>
      <c r="DA21" s="37"/>
      <c r="DB21" s="37"/>
      <c r="DC21" s="38"/>
      <c r="DD21" s="38"/>
      <c r="DE21" s="37"/>
      <c r="DF21" s="37"/>
      <c r="DG21" s="37"/>
      <c r="DH21" s="37"/>
      <c r="DI21" s="38"/>
      <c r="DJ21" s="38"/>
      <c r="DK21" s="39"/>
      <c r="DL21" s="39"/>
      <c r="DM21" s="39"/>
      <c r="DN21" s="39"/>
      <c r="DO21" s="39"/>
      <c r="DP21" s="39"/>
      <c r="DQ21" s="37"/>
      <c r="DR21" s="37"/>
      <c r="DS21" s="37"/>
      <c r="DT21" s="37"/>
      <c r="DU21" s="38"/>
      <c r="DV21" s="38"/>
      <c r="DW21" s="37"/>
      <c r="DX21" s="37"/>
      <c r="DY21" s="37"/>
      <c r="DZ21" s="37"/>
      <c r="EA21" s="38"/>
      <c r="EB21" s="38"/>
      <c r="EC21" s="39"/>
      <c r="ED21" s="39"/>
      <c r="EE21" s="39"/>
      <c r="EF21" s="39"/>
      <c r="EG21" s="39"/>
      <c r="EH21" s="39"/>
      <c r="EI21" s="37"/>
      <c r="EJ21" s="37"/>
      <c r="EK21" s="37"/>
      <c r="EL21" s="37"/>
      <c r="EM21" s="38"/>
      <c r="EN21" s="38"/>
      <c r="EO21" s="37"/>
      <c r="EP21" s="37"/>
      <c r="EQ21" s="37"/>
      <c r="ER21" s="37"/>
      <c r="ES21" s="38"/>
      <c r="ET21" s="38"/>
      <c r="EU21" s="39"/>
      <c r="EV21" s="39"/>
      <c r="EW21" s="39"/>
      <c r="EX21" s="39"/>
      <c r="EY21" s="39"/>
      <c r="EZ21" s="39"/>
      <c r="FA21" s="37"/>
      <c r="FB21" s="37"/>
      <c r="FC21" s="37"/>
      <c r="FD21" s="37"/>
      <c r="FE21" s="38"/>
      <c r="FF21" s="38"/>
      <c r="FG21" s="37"/>
      <c r="FH21" s="37"/>
      <c r="FI21" s="37"/>
      <c r="FJ21" s="37"/>
      <c r="FK21" s="38"/>
      <c r="FL21" s="38"/>
      <c r="FM21" s="39"/>
      <c r="FN21" s="39"/>
      <c r="FO21" s="39"/>
      <c r="FP21" s="39"/>
      <c r="FQ21" s="39"/>
      <c r="FR21" s="39"/>
      <c r="FS21" s="37"/>
      <c r="FT21" s="37"/>
      <c r="FU21" s="37"/>
      <c r="FV21" s="37"/>
      <c r="FW21" s="38"/>
      <c r="FX21" s="38"/>
      <c r="FY21" s="37"/>
      <c r="FZ21" s="37"/>
      <c r="GA21" s="37"/>
      <c r="GB21" s="37"/>
      <c r="GC21" s="38"/>
      <c r="GD21" s="38"/>
      <c r="GE21" s="39"/>
      <c r="GF21" s="39"/>
      <c r="GG21" s="39"/>
      <c r="GH21" s="39"/>
      <c r="GI21" s="39"/>
      <c r="GJ21" s="39"/>
      <c r="GK21" s="37"/>
      <c r="GL21" s="37"/>
      <c r="GM21" s="37"/>
      <c r="GN21" s="37"/>
      <c r="GO21" s="38"/>
      <c r="GP21" s="38"/>
    </row>
    <row r="22" spans="1:198" ht="15.6" customHeight="1" thickTop="1" thickBot="1" x14ac:dyDescent="0.3">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c r="EO22" s="33"/>
      <c r="EP22" s="33"/>
      <c r="EQ22" s="33"/>
      <c r="ER22" s="33"/>
      <c r="ES22" s="33"/>
      <c r="ET22" s="33"/>
      <c r="EU22" s="33"/>
      <c r="EV22" s="33"/>
      <c r="EW22" s="33"/>
      <c r="EX22" s="33"/>
      <c r="EY22" s="33"/>
      <c r="EZ22" s="33"/>
      <c r="FA22" s="33"/>
      <c r="FB22" s="33"/>
      <c r="FC22" s="33"/>
      <c r="FD22" s="33"/>
      <c r="FE22" s="33"/>
      <c r="FF22" s="33"/>
      <c r="FG22" s="33"/>
      <c r="FH22" s="33"/>
      <c r="FI22" s="33"/>
      <c r="FJ22" s="33"/>
      <c r="FK22" s="33"/>
      <c r="FL22" s="33"/>
      <c r="FM22" s="33"/>
      <c r="FN22" s="33"/>
      <c r="FO22" s="33"/>
      <c r="FP22" s="33"/>
      <c r="FQ22" s="33"/>
      <c r="FR22" s="33"/>
      <c r="FS22" s="33"/>
      <c r="FT22" s="33"/>
      <c r="FU22" s="33"/>
      <c r="FV22" s="33"/>
      <c r="FW22" s="33"/>
      <c r="FX22" s="33"/>
      <c r="FY22" s="33"/>
      <c r="FZ22" s="33"/>
      <c r="GA22" s="33"/>
      <c r="GB22" s="33"/>
      <c r="GC22" s="33"/>
      <c r="GD22" s="33"/>
      <c r="GE22" s="33"/>
      <c r="GF22" s="33"/>
      <c r="GG22" s="33"/>
      <c r="GH22" s="33"/>
      <c r="GI22" s="33"/>
      <c r="GJ22" s="33"/>
      <c r="GK22" s="33"/>
      <c r="GL22" s="33"/>
      <c r="GM22" s="33"/>
      <c r="GN22" s="33"/>
      <c r="GO22" s="33"/>
      <c r="GP22" s="33"/>
    </row>
    <row r="23" spans="1:198" ht="15.6" customHeight="1" thickTop="1" thickBot="1" x14ac:dyDescent="0.3">
      <c r="A23" s="286" t="s">
        <v>181</v>
      </c>
      <c r="B23" s="287"/>
      <c r="C23" s="287"/>
      <c r="D23" s="287"/>
      <c r="E23" s="32" t="str">
        <f>IFERROR(IF(VLOOKUP(A23,SKV!$B$48:$AA$82,10,FALSE)=0,"",VLOOKUP(A23,SKV!$B$48:$AA$82,10,FALSE)),"")</f>
        <v/>
      </c>
      <c r="F23" s="52">
        <f>IFERROR(VLOOKUP(A23,SKV!$B$48:$AA$82,9,FALSE),"")</f>
        <v>8</v>
      </c>
      <c r="G23" s="33"/>
      <c r="H23" s="302" t="s">
        <v>156</v>
      </c>
      <c r="I23" s="302"/>
      <c r="J23" s="302"/>
      <c r="K23" s="302"/>
      <c r="L23" s="33"/>
      <c r="M23" s="286" t="s">
        <v>3</v>
      </c>
      <c r="N23" s="287"/>
      <c r="O23" s="287"/>
      <c r="P23" s="287"/>
      <c r="Q23" s="32" t="str">
        <f>IFERROR(IF(VLOOKUP(M23,SKV!$B$48:$AA$82,10,FALSE)=0,"",VLOOKUP(M23,SKV!$B$48:$AA$82,10,FALSE)),"")</f>
        <v/>
      </c>
      <c r="R23" s="52">
        <f>IFERROR(VLOOKUP(M23,SKV!$B$48:$AA$82,9,FALSE),"")</f>
        <v>24</v>
      </c>
      <c r="S23" s="286" t="s">
        <v>171</v>
      </c>
      <c r="T23" s="287"/>
      <c r="U23" s="287"/>
      <c r="V23" s="287"/>
      <c r="W23" s="32" t="str">
        <f>IFERROR(IF(VLOOKUP(S23,CHO!$B$48:$AA$82,10,FALSE)=0,"",VLOOKUP(S23,CHO!$B$48:$AA$82,10,FALSE)),"")</f>
        <v/>
      </c>
      <c r="X23" s="52">
        <f>IFERROR(VLOOKUP(S23,CHO!$B$48:$AA$82,9,FALSE),"")</f>
        <v>27</v>
      </c>
      <c r="Y23" s="33"/>
      <c r="Z23" s="302" t="s">
        <v>156</v>
      </c>
      <c r="AA23" s="302"/>
      <c r="AB23" s="302"/>
      <c r="AC23" s="302"/>
      <c r="AD23" s="33"/>
      <c r="AE23" s="286" t="s">
        <v>169</v>
      </c>
      <c r="AF23" s="287"/>
      <c r="AG23" s="287"/>
      <c r="AH23" s="287"/>
      <c r="AI23" s="32" t="str">
        <f>IFERROR(IF(VLOOKUP(AE23,CHO!$B$48:$AA$82,10,FALSE)=0,"",VLOOKUP(AE23,CHO!$B$48:$AA$82,10,FALSE)),"")</f>
        <v/>
      </c>
      <c r="AJ23" s="52">
        <f>IFERROR(VLOOKUP(AE23,CHO!$B$48:$AA$82,9,FALSE),"")</f>
        <v>77</v>
      </c>
      <c r="AK23" s="286" t="s">
        <v>260</v>
      </c>
      <c r="AL23" s="287"/>
      <c r="AM23" s="287"/>
      <c r="AN23" s="287"/>
      <c r="AO23" s="32" t="str">
        <f>IFERROR(IF(VLOOKUP(AK23,VIT!$B$48:$R$82,10,FALSE)=0,"",VLOOKUP(AK23,VIT!$B$48:$R$82,10,FALSE)),"")</f>
        <v>C</v>
      </c>
      <c r="AP23" s="52">
        <f>IFERROR(VLOOKUP(AK23,VIT!$B$48:$R$82,9,FALSE),"")</f>
        <v>11</v>
      </c>
      <c r="AQ23" s="33"/>
      <c r="AR23" s="302" t="s">
        <v>156</v>
      </c>
      <c r="AS23" s="302"/>
      <c r="AT23" s="302"/>
      <c r="AU23" s="302"/>
      <c r="AV23" s="33"/>
      <c r="AW23" s="286" t="s">
        <v>627</v>
      </c>
      <c r="AX23" s="287"/>
      <c r="AY23" s="287"/>
      <c r="AZ23" s="287"/>
      <c r="BA23" s="32" t="str">
        <f>IFERROR(IF(VLOOKUP(AW23,VIT!$B$48:$R$82,10,FALSE)=0,"",VLOOKUP(AW23,VIT!$B$48:$R$82,10,FALSE)),"")</f>
        <v/>
      </c>
      <c r="BB23" s="52">
        <f>IFERROR(VLOOKUP(AW23,VIT!$B$48:$R$82,9,FALSE),"")</f>
        <v>89</v>
      </c>
      <c r="BC23" s="286" t="s">
        <v>298</v>
      </c>
      <c r="BD23" s="287"/>
      <c r="BE23" s="287"/>
      <c r="BF23" s="287"/>
      <c r="BG23" s="32" t="str">
        <f>IFERROR(IF(VLOOKUP(BC23,MB!$B$48:$R$82,10,FALSE)=0,"",VLOOKUP(BC23,MB!$B$48:$R$82,10,FALSE)),"")</f>
        <v/>
      </c>
      <c r="BH23" s="52">
        <f>IFERROR(VLOOKUP(BC23,MB!$B$48:$R$82,9,FALSE),"")</f>
        <v>16</v>
      </c>
      <c r="BI23" s="33"/>
      <c r="BJ23" s="302" t="s">
        <v>156</v>
      </c>
      <c r="BK23" s="302"/>
      <c r="BL23" s="302"/>
      <c r="BM23" s="302"/>
      <c r="BN23" s="33"/>
      <c r="BO23" s="286" t="s">
        <v>295</v>
      </c>
      <c r="BP23" s="287"/>
      <c r="BQ23" s="287"/>
      <c r="BR23" s="287"/>
      <c r="BS23" s="32" t="str">
        <f>IFERROR(IF(VLOOKUP(BO23,MB!$B$48:$R$82,10,FALSE)=0,"",VLOOKUP(BO23,MB!$B$48:$R$82,10,FALSE)),"")</f>
        <v/>
      </c>
      <c r="BT23" s="52">
        <f>IFERROR(VLOOKUP(BO23,MB!$B$48:$R$82,9,FALSE),"")</f>
        <v>14</v>
      </c>
      <c r="BU23" s="286"/>
      <c r="BV23" s="287"/>
      <c r="BW23" s="287"/>
      <c r="BX23" s="287"/>
      <c r="BY23" s="32" t="str">
        <f>IFERROR(IF(VLOOKUP(BU23,TAT!$B$48:$R$82,10,FALSE)=0,"",VLOOKUP(BU23,TAT!$B$48:$R$82,10,FALSE)),"")</f>
        <v/>
      </c>
      <c r="BZ23" s="52" t="str">
        <f>IFERROR(VLOOKUP(BU23,TAT!$B$48:$R$82,9,FALSE),"")</f>
        <v/>
      </c>
      <c r="CA23" s="33"/>
      <c r="CB23" s="302" t="s">
        <v>156</v>
      </c>
      <c r="CC23" s="302"/>
      <c r="CD23" s="302"/>
      <c r="CE23" s="302"/>
      <c r="CF23" s="33"/>
      <c r="CG23" s="286"/>
      <c r="CH23" s="287"/>
      <c r="CI23" s="287"/>
      <c r="CJ23" s="287"/>
      <c r="CK23" s="32" t="str">
        <f>IFERROR(IF(VLOOKUP(CG23,TAT!$B$48:$R$82,10,FALSE)=0,"",VLOOKUP(CG23,TAT!$B$48:$R$82,10,FALSE)),"")</f>
        <v/>
      </c>
      <c r="CL23" s="52" t="str">
        <f>IFERROR(VLOOKUP(CG23,TAT!$B$48:$R$82,9,FALSE),"")</f>
        <v/>
      </c>
      <c r="CM23" s="286" t="s">
        <v>419</v>
      </c>
      <c r="CN23" s="287"/>
      <c r="CO23" s="287"/>
      <c r="CP23" s="287"/>
      <c r="CQ23" s="32" t="str">
        <f>IFERROR(IF(VLOOKUP(CM23,OTR!$B$48:$R$82,10,FALSE)=0,"",VLOOKUP(CM23,OTR!$B$48:$R$82,10,FALSE)),"")</f>
        <v/>
      </c>
      <c r="CR23" s="52">
        <f>IFERROR(VLOOKUP(CM23,OTR!$B$48:$R$82,9,FALSE),"")</f>
        <v>55</v>
      </c>
      <c r="CS23" s="33"/>
      <c r="CT23" s="302" t="s">
        <v>156</v>
      </c>
      <c r="CU23" s="302"/>
      <c r="CV23" s="302"/>
      <c r="CW23" s="302"/>
      <c r="CX23" s="33"/>
      <c r="CY23" s="286" t="s">
        <v>426</v>
      </c>
      <c r="CZ23" s="287"/>
      <c r="DA23" s="287"/>
      <c r="DB23" s="287"/>
      <c r="DC23" s="32" t="str">
        <f>IFERROR(IF(VLOOKUP(CY23,OTR!$B$48:$R$82,10,FALSE)=0,"",VLOOKUP(CY23,OTR!$B$48:$R$82,10,FALSE)),"")</f>
        <v/>
      </c>
      <c r="DD23" s="52">
        <f>IFERROR(VLOOKUP(CY23,OTR!$B$48:$R$82,9,FALSE),"")</f>
        <v>7</v>
      </c>
      <c r="DE23" s="286" t="s">
        <v>496</v>
      </c>
      <c r="DF23" s="287"/>
      <c r="DG23" s="287"/>
      <c r="DH23" s="287"/>
      <c r="DI23" s="32" t="str">
        <f>IFERROR(IF(VLOOKUP(DE23,BOH!$B$48:$R$82,10,FALSE)=0,"",VLOOKUP(DE23,BOH!$B$48:$R$82,10,FALSE)),"")</f>
        <v/>
      </c>
      <c r="DJ23" s="52">
        <f>IFERROR(VLOOKUP(DE23,BOH!$B$48:$R$82,9,FALSE),"")</f>
        <v>88</v>
      </c>
      <c r="DK23" s="33"/>
      <c r="DL23" s="302" t="s">
        <v>156</v>
      </c>
      <c r="DM23" s="302"/>
      <c r="DN23" s="302"/>
      <c r="DO23" s="302"/>
      <c r="DP23" s="33"/>
      <c r="DQ23" s="286" t="s">
        <v>483</v>
      </c>
      <c r="DR23" s="287"/>
      <c r="DS23" s="287"/>
      <c r="DT23" s="287"/>
      <c r="DU23" s="32" t="str">
        <f>IFERROR(IF(VLOOKUP(DQ23,BOH!$B$48:$R$82,10,FALSE)=0,"",VLOOKUP(DQ23,BOH!$B$48:$R$82,10,FALSE)),"")</f>
        <v/>
      </c>
      <c r="DV23" s="52">
        <f>IFERROR(VLOOKUP(DQ23,BOH!$B$48:$R$82,9,FALSE),"")</f>
        <v>99</v>
      </c>
      <c r="DW23" s="286"/>
      <c r="DX23" s="287"/>
      <c r="DY23" s="287"/>
      <c r="DZ23" s="287"/>
      <c r="EA23" s="32" t="str">
        <f>IFERROR(IF(VLOOKUP(DW23,SPA!$B$48:$R$82,10,FALSE)=0,"",VLOOKUP(DW23,SPA!$B$48:$R$82,10,FALSE)),"")</f>
        <v/>
      </c>
      <c r="EB23" s="52" t="str">
        <f>IFERROR(VLOOKUP(DW23,SPA!$B$48:$R$82,9,FALSE),"")</f>
        <v/>
      </c>
      <c r="EC23" s="33"/>
      <c r="ED23" s="302" t="s">
        <v>156</v>
      </c>
      <c r="EE23" s="302"/>
      <c r="EF23" s="302"/>
      <c r="EG23" s="302"/>
      <c r="EH23" s="33"/>
      <c r="EI23" s="286"/>
      <c r="EJ23" s="287"/>
      <c r="EK23" s="287"/>
      <c r="EL23" s="287"/>
      <c r="EM23" s="32" t="str">
        <f>IFERROR(IF(VLOOKUP(EI23,SPA!$B$48:$R$82,10,FALSE)=0,"",VLOOKUP(EI23,SPA!$B$48:$R$82,10,FALSE)),"")</f>
        <v/>
      </c>
      <c r="EN23" s="52" t="str">
        <f>IFERROR(VLOOKUP(EI23,SPA!$B$48:$R$82,9,FALSE),"")</f>
        <v/>
      </c>
      <c r="EO23" s="286"/>
      <c r="EP23" s="287"/>
      <c r="EQ23" s="287"/>
      <c r="ER23" s="287"/>
      <c r="ES23" s="32" t="str">
        <f>IFERROR(IF(VLOOKUP(EO23,CLP!$B$48:$R$82,10,FALSE)=0,"",VLOOKUP(EO23,CLP!$B$48:$R$82,10,FALSE)),"")</f>
        <v/>
      </c>
      <c r="ET23" s="52" t="str">
        <f>IFERROR(VLOOKUP(EO23,CLP!$B$48:$R$82,9,FALSE),"")</f>
        <v/>
      </c>
      <c r="EU23" s="33"/>
      <c r="EV23" s="302" t="s">
        <v>156</v>
      </c>
      <c r="EW23" s="302"/>
      <c r="EX23" s="302"/>
      <c r="EY23" s="302"/>
      <c r="EZ23" s="33"/>
      <c r="FA23" s="286"/>
      <c r="FB23" s="287"/>
      <c r="FC23" s="287"/>
      <c r="FD23" s="287"/>
      <c r="FE23" s="32" t="str">
        <f>IFERROR(IF(VLOOKUP(FA23,CLP!$B$48:$R$82,10,FALSE)=0,"",VLOOKUP(FA23,CLP!$B$48:$R$82,10,FALSE)),"")</f>
        <v/>
      </c>
      <c r="FF23" s="52" t="str">
        <f>IFERROR(VLOOKUP(FA23,CLP!$B$48:$R$82,9,FALSE),"")</f>
        <v/>
      </c>
      <c r="FG23" s="286" t="s">
        <v>767</v>
      </c>
      <c r="FH23" s="287"/>
      <c r="FI23" s="287"/>
      <c r="FJ23" s="287"/>
      <c r="FK23" s="32" t="str">
        <f>IFERROR(IF(VLOOKUP(FG23,LIB!$B$48:$R$82,10,FALSE)=0,"",VLOOKUP(FG23,LIB!$B$48:$R$82,10,FALSE)),"")</f>
        <v/>
      </c>
      <c r="FL23" s="52">
        <f>IFERROR(VLOOKUP(FG23,LIB!$B$48:$R$82,9,FALSE),"")</f>
        <v>7</v>
      </c>
      <c r="FM23" s="33"/>
      <c r="FN23" s="302" t="s">
        <v>156</v>
      </c>
      <c r="FO23" s="302"/>
      <c r="FP23" s="302"/>
      <c r="FQ23" s="302"/>
      <c r="FR23" s="33"/>
      <c r="FS23" s="286" t="s">
        <v>750</v>
      </c>
      <c r="FT23" s="287"/>
      <c r="FU23" s="287"/>
      <c r="FV23" s="287"/>
      <c r="FW23" s="32" t="str">
        <f>IFERROR(IF(VLOOKUP(FS23,LIB!$B$48:$R$82,10,FALSE)=0,"",VLOOKUP(FS23,LIB!$B$48:$R$82,10,FALSE)),"")</f>
        <v/>
      </c>
      <c r="FX23" s="52">
        <f>IFERROR(VLOOKUP(FS23,LIB!$B$48:$R$82,9,FALSE),"")</f>
        <v>55</v>
      </c>
      <c r="FY23" s="286"/>
      <c r="FZ23" s="287"/>
      <c r="GA23" s="287"/>
      <c r="GB23" s="287"/>
      <c r="GC23" s="32" t="str">
        <f>IFERROR(IF(VLOOKUP(FY23,HAT!$B$48:$R$82,10,FALSE)=0,"",VLOOKUP(FY23,HAT!$B$48:$R$82,10,FALSE)),"")</f>
        <v/>
      </c>
      <c r="GD23" s="52" t="str">
        <f>IFERROR(VLOOKUP(FY23,HAT!$B$48:$R$82,9,FALSE),"")</f>
        <v/>
      </c>
      <c r="GE23" s="33"/>
      <c r="GF23" s="302" t="s">
        <v>156</v>
      </c>
      <c r="GG23" s="302"/>
      <c r="GH23" s="302"/>
      <c r="GI23" s="302"/>
      <c r="GJ23" s="33"/>
      <c r="GK23" s="286"/>
      <c r="GL23" s="287"/>
      <c r="GM23" s="287"/>
      <c r="GN23" s="287"/>
      <c r="GO23" s="32" t="str">
        <f>IFERROR(IF(VLOOKUP(GK23,HAT!$B$48:$R$82,10,FALSE)=0,"",VLOOKUP(GK23,HAT!$B$48:$R$82,10,FALSE)),"")</f>
        <v/>
      </c>
      <c r="GP23" s="52" t="str">
        <f>IFERROR(VLOOKUP(GK23,HAT!$B$48:$R$82,9,FALSE),"")</f>
        <v/>
      </c>
    </row>
    <row r="24" spans="1:198" ht="15.6" customHeight="1" thickBot="1" x14ac:dyDescent="0.3">
      <c r="A24" s="34" t="str">
        <f>IFERROR(VLOOKUP(A23,SKV!$B$48:$AA$82,11,FALSE),"")</f>
        <v>L</v>
      </c>
      <c r="B24" s="289">
        <f>IFERROR(YEAR(VLOOKUP(A23,SKV!$B$48:$AA$82,2,FALSE)),"")</f>
        <v>2000</v>
      </c>
      <c r="C24" s="260"/>
      <c r="D24" s="35">
        <f ca="1">IFERROR(VLOOKUP(A23,SKV!$B$48:$AA$82,3,FALSE),"")</f>
        <v>20</v>
      </c>
      <c r="E24" s="290" t="str">
        <f>IFERROR(VLOOKUP(A23,SKV!$B$48:$AA$82,15,FALSE),"")</f>
        <v/>
      </c>
      <c r="F24" s="291"/>
      <c r="G24" s="33"/>
      <c r="H24" s="33"/>
      <c r="I24" s="33"/>
      <c r="J24" s="33"/>
      <c r="K24" s="33"/>
      <c r="L24" s="33"/>
      <c r="M24" s="34" t="str">
        <f>IFERROR(VLOOKUP(M23,SKV!$B$48:$AA$82,11,FALSE),"")</f>
        <v>L</v>
      </c>
      <c r="N24" s="289">
        <f>IFERROR(YEAR(VLOOKUP(M23,SKV!$B$48:$AA$82,2,FALSE)),"")</f>
        <v>1991</v>
      </c>
      <c r="O24" s="260"/>
      <c r="P24" s="35">
        <f ca="1">IFERROR(VLOOKUP(M23,SKV!$B$48:$AA$82,3,FALSE),"")</f>
        <v>29</v>
      </c>
      <c r="Q24" s="290" t="str">
        <f>IFERROR(VLOOKUP(M23,SKV!$B$48:$AA$82,15,FALSE),"")</f>
        <v>180/78</v>
      </c>
      <c r="R24" s="291"/>
      <c r="S24" s="34" t="str">
        <f>IFERROR(VLOOKUP(S23,CHO!$B$48:$AA$82,11,FALSE),"")</f>
        <v>P</v>
      </c>
      <c r="T24" s="289">
        <f>IFERROR(YEAR(VLOOKUP(S23,CHO!$B$48:$AA$82,2,FALSE)),"")</f>
        <v>2000</v>
      </c>
      <c r="U24" s="260"/>
      <c r="V24" s="35">
        <f ca="1">IFERROR(VLOOKUP(S23,CHO!$B$48:$AA$82,3,FALSE),"")</f>
        <v>21</v>
      </c>
      <c r="W24" s="290" t="str">
        <f>IFERROR(VLOOKUP(S23,CHO!$B$48:$AA$82,15,FALSE),"")</f>
        <v>186/90</v>
      </c>
      <c r="X24" s="291"/>
      <c r="Y24" s="33"/>
      <c r="Z24" s="33"/>
      <c r="AA24" s="33"/>
      <c r="AB24" s="33"/>
      <c r="AC24" s="33"/>
      <c r="AD24" s="33"/>
      <c r="AE24" s="34" t="str">
        <f>IFERROR(VLOOKUP(AE23,CHO!$B$48:$AA$82,11,FALSE),"")</f>
        <v>L</v>
      </c>
      <c r="AF24" s="289">
        <f>IFERROR(YEAR(VLOOKUP(AE23,CHO!$B$48:$AA$82,2,FALSE)),"")</f>
        <v>2000</v>
      </c>
      <c r="AG24" s="260"/>
      <c r="AH24" s="35">
        <f ca="1">IFERROR(VLOOKUP(AE23,CHO!$B$48:$AA$82,3,FALSE),"")</f>
        <v>20</v>
      </c>
      <c r="AI24" s="290" t="str">
        <f>IFERROR(VLOOKUP(AE23,CHO!$B$48:$AA$82,15,FALSE),"")</f>
        <v>183/92</v>
      </c>
      <c r="AJ24" s="291"/>
      <c r="AK24" s="34" t="str">
        <f>IFERROR(VLOOKUP(AK23,VIT!$B$48:$R$82,11,FALSE),"")</f>
        <v>L</v>
      </c>
      <c r="AL24" s="289">
        <f>IFERROR(YEAR(VLOOKUP(AK23,VIT!$B$48:$R$82,2,FALSE)),"")</f>
        <v>1986</v>
      </c>
      <c r="AM24" s="260"/>
      <c r="AN24" s="106">
        <f ca="1">IFERROR(VLOOKUP(AK23,VIT!$B$48:$R$82,3,FALSE),"")</f>
        <v>34</v>
      </c>
      <c r="AO24" s="290" t="str">
        <f>IFERROR(VLOOKUP(AK23,VIT!$B$48:$R$82,15,FALSE),"")</f>
        <v>186/80</v>
      </c>
      <c r="AP24" s="291"/>
      <c r="AQ24" s="33"/>
      <c r="AR24" s="33"/>
      <c r="AS24" s="33"/>
      <c r="AT24" s="33"/>
      <c r="AU24" s="33"/>
      <c r="AV24" s="33"/>
      <c r="AW24" s="34">
        <f>IFERROR(VLOOKUP(AW23,VIT!$B$48:$R$82,11,FALSE),"")</f>
        <v>0</v>
      </c>
      <c r="AX24" s="289">
        <f>IFERROR(YEAR(VLOOKUP(AW23,VIT!$B$48:$R$82,2,FALSE)),"")</f>
        <v>1900</v>
      </c>
      <c r="AY24" s="260"/>
      <c r="AZ24" s="106" t="str">
        <f>IFERROR(VLOOKUP(AW23,VIT!$B$48:$R$82,3,FALSE),"")</f>
        <v/>
      </c>
      <c r="BA24" s="290" t="str">
        <f>IFERROR(VLOOKUP(AW23,VIT!$B$48:$R$82,15,FALSE),"")</f>
        <v/>
      </c>
      <c r="BB24" s="291"/>
      <c r="BC24" s="34" t="str">
        <f>IFERROR(VLOOKUP(BC23,MB!$B$48:$R$82,11,FALSE),"")</f>
        <v>P</v>
      </c>
      <c r="BD24" s="289">
        <f>IFERROR(YEAR(VLOOKUP(BC23,MB!$B$48:$R$82,2,FALSE)),"")</f>
        <v>1994</v>
      </c>
      <c r="BE24" s="260"/>
      <c r="BF24" s="108">
        <f ca="1">IFERROR(VLOOKUP(BC23,MB!$B$48:$R$82,3,FALSE),"")</f>
        <v>26</v>
      </c>
      <c r="BG24" s="290" t="str">
        <f>IFERROR(VLOOKUP(BC23,MB!$B$48:$R$82,15,FALSE),"")</f>
        <v>177/82</v>
      </c>
      <c r="BH24" s="291"/>
      <c r="BI24" s="33"/>
      <c r="BJ24" s="33"/>
      <c r="BK24" s="33"/>
      <c r="BL24" s="33"/>
      <c r="BM24" s="33"/>
      <c r="BN24" s="33"/>
      <c r="BO24" s="34" t="str">
        <f>IFERROR(VLOOKUP(BO23,MB!$B$48:$R$82,11,FALSE),"")</f>
        <v>L</v>
      </c>
      <c r="BP24" s="289">
        <f>IFERROR(YEAR(VLOOKUP(BO23,MB!$B$48:$R$82,2,FALSE)),"")</f>
        <v>1992</v>
      </c>
      <c r="BQ24" s="260"/>
      <c r="BR24" s="108">
        <f ca="1">IFERROR(VLOOKUP(BO23,MB!$B$48:$R$82,3,FALSE),"")</f>
        <v>28</v>
      </c>
      <c r="BS24" s="290" t="str">
        <f>IFERROR(VLOOKUP(BO23,MB!$B$48:$R$82,15,FALSE),"")</f>
        <v>183/73</v>
      </c>
      <c r="BT24" s="291"/>
      <c r="BU24" s="34" t="str">
        <f>IFERROR(VLOOKUP(BU23,TAT!$B$48:$R$82,11,FALSE),"")</f>
        <v/>
      </c>
      <c r="BV24" s="289" t="str">
        <f>IFERROR(YEAR(VLOOKUP(BU23,TAT!$B$48:$R$82,2,FALSE)),"")</f>
        <v/>
      </c>
      <c r="BW24" s="260"/>
      <c r="BX24" s="150" t="str">
        <f>IFERROR(VLOOKUP(BU23,TAT!$B$48:$R$82,3,FALSE),"")</f>
        <v/>
      </c>
      <c r="BY24" s="290" t="str">
        <f>IFERROR(VLOOKUP(BU23,TAT!$B$48:$R$82,15,FALSE),"")</f>
        <v/>
      </c>
      <c r="BZ24" s="291"/>
      <c r="CA24" s="33"/>
      <c r="CB24" s="33"/>
      <c r="CC24" s="33"/>
      <c r="CD24" s="33"/>
      <c r="CE24" s="33"/>
      <c r="CF24" s="33"/>
      <c r="CG24" s="34" t="str">
        <f>IFERROR(VLOOKUP(CG23,TAT!$B$48:$R$82,11,FALSE),"")</f>
        <v/>
      </c>
      <c r="CH24" s="289" t="str">
        <f>IFERROR(YEAR(VLOOKUP(CG23,TAT!$B$48:$R$82,2,FALSE)),"")</f>
        <v/>
      </c>
      <c r="CI24" s="260"/>
      <c r="CJ24" s="150" t="str">
        <f>IFERROR(VLOOKUP(CG23,TAT!$B$48:$R$82,3,FALSE),"")</f>
        <v/>
      </c>
      <c r="CK24" s="290" t="str">
        <f>IFERROR(VLOOKUP(CG23,TAT!$B$48:$R$82,15,FALSE),"")</f>
        <v/>
      </c>
      <c r="CL24" s="291"/>
      <c r="CM24" s="34" t="str">
        <f>IFERROR(VLOOKUP(CM23,OTR!$B$48:$R$82,11,FALSE),"")</f>
        <v>L</v>
      </c>
      <c r="CN24" s="289">
        <f>IFERROR(YEAR(VLOOKUP(CM23,OTR!$B$48:$R$82,2,FALSE)),"")</f>
        <v>2002</v>
      </c>
      <c r="CO24" s="260"/>
      <c r="CP24" s="150">
        <f ca="1">IFERROR(VLOOKUP(CM23,OTR!$B$48:$R$82,3,FALSE),"")</f>
        <v>19</v>
      </c>
      <c r="CQ24" s="290" t="str">
        <f>IFERROR(VLOOKUP(CM23,OTR!$B$48:$R$82,15,FALSE),"")</f>
        <v>193/90</v>
      </c>
      <c r="CR24" s="291"/>
      <c r="CS24" s="33"/>
      <c r="CT24" s="33"/>
      <c r="CU24" s="33"/>
      <c r="CV24" s="33"/>
      <c r="CW24" s="33"/>
      <c r="CX24" s="33"/>
      <c r="CY24" s="34" t="str">
        <f>IFERROR(VLOOKUP(CY23,OTR!$B$48:$R$82,11,FALSE),"")</f>
        <v>L</v>
      </c>
      <c r="CZ24" s="289">
        <f>IFERROR(YEAR(VLOOKUP(CY23,OTR!$B$48:$R$82,2,FALSE)),"")</f>
        <v>1990</v>
      </c>
      <c r="DA24" s="260"/>
      <c r="DB24" s="150">
        <f ca="1">IFERROR(VLOOKUP(CY23,OTR!$B$48:$R$82,3,FALSE),"")</f>
        <v>30</v>
      </c>
      <c r="DC24" s="290" t="str">
        <f>IFERROR(VLOOKUP(CY23,OTR!$B$48:$R$82,15,FALSE),"")</f>
        <v>190/82</v>
      </c>
      <c r="DD24" s="291"/>
      <c r="DE24" s="34" t="str">
        <f>IFERROR(VLOOKUP(DE23,BOH!$B$48:$R$82,11,FALSE),"")</f>
        <v>P</v>
      </c>
      <c r="DF24" s="289">
        <f>IFERROR(YEAR(VLOOKUP(DE23,BOH!$B$48:$R$82,2,FALSE)),"")</f>
        <v>1991</v>
      </c>
      <c r="DG24" s="260"/>
      <c r="DH24" s="165">
        <f ca="1">IFERROR(VLOOKUP(DE23,BOH!$B$48:$R$82,3,FALSE),"")</f>
        <v>29</v>
      </c>
      <c r="DI24" s="290" t="str">
        <f>IFERROR(VLOOKUP(DE23,BOH!$B$48:$R$82,15,FALSE),"")</f>
        <v>175/85</v>
      </c>
      <c r="DJ24" s="291"/>
      <c r="DK24" s="33"/>
      <c r="DL24" s="33"/>
      <c r="DM24" s="33"/>
      <c r="DN24" s="33"/>
      <c r="DO24" s="33"/>
      <c r="DP24" s="33"/>
      <c r="DQ24" s="34" t="str">
        <f>IFERROR(VLOOKUP(DQ23,BOH!$B$48:$R$82,11,FALSE),"")</f>
        <v>L</v>
      </c>
      <c r="DR24" s="289">
        <f>IFERROR(YEAR(VLOOKUP(DQ23,BOH!$B$48:$R$82,2,FALSE)),"")</f>
        <v>2002</v>
      </c>
      <c r="DS24" s="260"/>
      <c r="DT24" s="165">
        <f ca="1">IFERROR(VLOOKUP(DQ23,BOH!$B$48:$R$82,3,FALSE),"")</f>
        <v>18</v>
      </c>
      <c r="DU24" s="290" t="str">
        <f>IFERROR(VLOOKUP(DQ23,BOH!$B$48:$R$82,15,FALSE),"")</f>
        <v>180/71</v>
      </c>
      <c r="DV24" s="291"/>
      <c r="DW24" s="34" t="str">
        <f>IFERROR(VLOOKUP(DW23,SPA!$B$48:$R$82,11,FALSE),"")</f>
        <v/>
      </c>
      <c r="DX24" s="289" t="str">
        <f>IFERROR(YEAR(VLOOKUP(DW23,SPA!$B$48:$R$82,2,FALSE)),"")</f>
        <v/>
      </c>
      <c r="DY24" s="260"/>
      <c r="DZ24" s="165" t="str">
        <f>IFERROR(VLOOKUP(DW23,SPA!$B$48:$R$82,3,FALSE),"")</f>
        <v/>
      </c>
      <c r="EA24" s="290" t="str">
        <f>IFERROR(VLOOKUP(DW23,SPA!$B$48:$R$82,15,FALSE),"")</f>
        <v/>
      </c>
      <c r="EB24" s="291"/>
      <c r="EC24" s="33"/>
      <c r="ED24" s="33"/>
      <c r="EE24" s="33"/>
      <c r="EF24" s="33"/>
      <c r="EG24" s="33"/>
      <c r="EH24" s="33"/>
      <c r="EI24" s="34" t="str">
        <f>IFERROR(VLOOKUP(EI23,SPA!$B$48:$R$82,11,FALSE),"")</f>
        <v/>
      </c>
      <c r="EJ24" s="289" t="str">
        <f>IFERROR(YEAR(VLOOKUP(EI23,SPA!$B$48:$R$82,2,FALSE)),"")</f>
        <v/>
      </c>
      <c r="EK24" s="260"/>
      <c r="EL24" s="165" t="str">
        <f>IFERROR(VLOOKUP(EI23,SPA!$B$48:$R$82,3,FALSE),"")</f>
        <v/>
      </c>
      <c r="EM24" s="290" t="str">
        <f>IFERROR(VLOOKUP(EI23,SPA!$B$48:$R$82,15,FALSE),"")</f>
        <v/>
      </c>
      <c r="EN24" s="291"/>
      <c r="EO24" s="34" t="str">
        <f>IFERROR(VLOOKUP(EO23,CLP!$B$48:$R$82,11,FALSE),"")</f>
        <v/>
      </c>
      <c r="EP24" s="289" t="str">
        <f>IFERROR(YEAR(VLOOKUP(EO23,CLP!$B$48:$R$82,2,FALSE)),"")</f>
        <v/>
      </c>
      <c r="EQ24" s="260"/>
      <c r="ER24" s="204" t="str">
        <f>IFERROR(VLOOKUP(EO23,CLP!$B$48:$R$82,3,FALSE),"")</f>
        <v/>
      </c>
      <c r="ES24" s="290" t="str">
        <f>IFERROR(VLOOKUP(EO23,CLP!$B$48:$R$82,15,FALSE),"")</f>
        <v/>
      </c>
      <c r="ET24" s="291"/>
      <c r="EU24" s="33"/>
      <c r="EV24" s="33"/>
      <c r="EW24" s="33"/>
      <c r="EX24" s="33"/>
      <c r="EY24" s="33"/>
      <c r="EZ24" s="33"/>
      <c r="FA24" s="34" t="str">
        <f>IFERROR(VLOOKUP(FA23,CLP!$B$48:$R$82,11,FALSE),"")</f>
        <v/>
      </c>
      <c r="FB24" s="289" t="str">
        <f>IFERROR(YEAR(VLOOKUP(FA23,CLP!$B$48:$R$82,2,FALSE)),"")</f>
        <v/>
      </c>
      <c r="FC24" s="260"/>
      <c r="FD24" s="204" t="str">
        <f>IFERROR(VLOOKUP(FA23,CLP!$B$48:$R$82,3,FALSE),"")</f>
        <v/>
      </c>
      <c r="FE24" s="290" t="str">
        <f>IFERROR(VLOOKUP(FA23,CLP!$B$48:$R$82,15,FALSE),"")</f>
        <v/>
      </c>
      <c r="FF24" s="291"/>
      <c r="FG24" s="34" t="str">
        <f>IFERROR(VLOOKUP(FG23,LIB!$B$48:$R$82,11,FALSE),"")</f>
        <v>P</v>
      </c>
      <c r="FH24" s="289">
        <f>IFERROR(YEAR(VLOOKUP(FG23,LIB!$B$48:$R$82,2,FALSE)),"")</f>
        <v>2000</v>
      </c>
      <c r="FI24" s="260"/>
      <c r="FJ24" s="204">
        <f ca="1">IFERROR(VLOOKUP(FG23,LIB!$B$48:$R$82,3,FALSE),"")</f>
        <v>20</v>
      </c>
      <c r="FK24" s="290" t="str">
        <f>IFERROR(VLOOKUP(FG23,LIB!$B$48:$R$82,15,FALSE),"")</f>
        <v>180/72</v>
      </c>
      <c r="FL24" s="291"/>
      <c r="FM24" s="33"/>
      <c r="FN24" s="33"/>
      <c r="FO24" s="33"/>
      <c r="FP24" s="33"/>
      <c r="FQ24" s="33"/>
      <c r="FR24" s="33"/>
      <c r="FS24" s="34" t="str">
        <f>IFERROR(VLOOKUP(FS23,LIB!$B$48:$R$82,11,FALSE),"")</f>
        <v>P</v>
      </c>
      <c r="FT24" s="289">
        <f>IFERROR(YEAR(VLOOKUP(FS23,LIB!$B$48:$R$82,2,FALSE)),"")</f>
        <v>1992</v>
      </c>
      <c r="FU24" s="260"/>
      <c r="FV24" s="204">
        <f ca="1">IFERROR(VLOOKUP(FS23,LIB!$B$48:$R$82,3,FALSE),"")</f>
        <v>28</v>
      </c>
      <c r="FW24" s="290" t="str">
        <f>IFERROR(VLOOKUP(FS23,LIB!$B$48:$R$82,15,FALSE),"")</f>
        <v>176/74</v>
      </c>
      <c r="FX24" s="291"/>
      <c r="FY24" s="34" t="str">
        <f>IFERROR(VLOOKUP(FY23,HAT!$B$48:$R$82,11,FALSE),"")</f>
        <v/>
      </c>
      <c r="FZ24" s="289" t="str">
        <f>IFERROR(YEAR(VLOOKUP(FY23,HAT!$B$48:$R$82,2,FALSE)),"")</f>
        <v/>
      </c>
      <c r="GA24" s="260"/>
      <c r="GB24" s="211" t="str">
        <f>IFERROR(VLOOKUP(FY23,HAT!$B$48:$R$82,3,FALSE),"")</f>
        <v/>
      </c>
      <c r="GC24" s="290" t="str">
        <f>IFERROR(VLOOKUP(FY23,HAT!$B$48:$R$82,15,FALSE),"")</f>
        <v/>
      </c>
      <c r="GD24" s="291"/>
      <c r="GE24" s="33"/>
      <c r="GF24" s="33"/>
      <c r="GG24" s="33"/>
      <c r="GH24" s="33"/>
      <c r="GI24" s="33"/>
      <c r="GJ24" s="33"/>
      <c r="GK24" s="34" t="str">
        <f>IFERROR(VLOOKUP(GK23,HAT!$B$48:$R$82,11,FALSE),"")</f>
        <v/>
      </c>
      <c r="GL24" s="289" t="str">
        <f>IFERROR(YEAR(VLOOKUP(GK23,HAT!$B$48:$R$82,2,FALSE)),"")</f>
        <v/>
      </c>
      <c r="GM24" s="260"/>
      <c r="GN24" s="211" t="str">
        <f>IFERROR(VLOOKUP(GK23,HAT!$B$48:$R$82,3,FALSE),"")</f>
        <v/>
      </c>
      <c r="GO24" s="290" t="str">
        <f>IFERROR(VLOOKUP(GK23,HAT!$B$48:$R$82,15,FALSE),"")</f>
        <v/>
      </c>
      <c r="GP24" s="291"/>
    </row>
    <row r="25" spans="1:198" ht="15.6" customHeight="1" thickTop="1" thickBot="1" x14ac:dyDescent="0.3">
      <c r="A25" s="297" t="str">
        <f>IFERROR(VLOOKUP(A23,SKV!$B$2:$O$36,14,FALSE),"")</f>
        <v>5 OZ , 3 (3+0), 0 ±</v>
      </c>
      <c r="B25" s="298"/>
      <c r="C25" s="298"/>
      <c r="D25" s="299" t="str">
        <f>IFERROR(VLOOKUP(A23,SKV!$B$48:$AA$82,14,FALSE),"")</f>
        <v>12 OZ, 3 (3+0)</v>
      </c>
      <c r="E25" s="299"/>
      <c r="F25" s="300"/>
      <c r="G25" s="286" t="s">
        <v>2</v>
      </c>
      <c r="H25" s="287"/>
      <c r="I25" s="287"/>
      <c r="J25" s="287"/>
      <c r="K25" s="32" t="str">
        <f>IFERROR(IF(VLOOKUP(G25,SKV!$B$48:$AA$82,10,FALSE)=0,"",VLOOKUP(G25,SKV!$B$48:$AA$82,10,FALSE)),"")</f>
        <v/>
      </c>
      <c r="L25" s="52">
        <f>IFERROR(VLOOKUP(G25,SKV!$B$48:$AA$82,9,FALSE),"")</f>
        <v>29</v>
      </c>
      <c r="M25" s="297" t="str">
        <f>IFERROR(VLOOKUP(M23,SKV!$B$2:$O$36,14,FALSE),"")</f>
        <v>26 OZ , 15 (10+5), -9 ±</v>
      </c>
      <c r="N25" s="298"/>
      <c r="O25" s="298"/>
      <c r="P25" s="299" t="str">
        <f>IFERROR(VLOOKUP(M23,SKV!$B$48:$AA$82,14,FALSE),"")</f>
        <v>82 OZ, 67 (45+22)</v>
      </c>
      <c r="Q25" s="299"/>
      <c r="R25" s="300"/>
      <c r="S25" s="297" t="str">
        <f>IFERROR(VLOOKUP(S23,CHO!$B$2:$O$36,14,FALSE),"")</f>
        <v>25 OZ , 10 (3+7), -1 ±</v>
      </c>
      <c r="T25" s="298"/>
      <c r="U25" s="298"/>
      <c r="V25" s="299" t="str">
        <f>IFERROR(VLOOKUP(S23,CHO!$B$48:$AA$82,14,FALSE),"")</f>
        <v>94 OZ, 53 (26+27)</v>
      </c>
      <c r="W25" s="299"/>
      <c r="X25" s="300"/>
      <c r="Y25" s="286" t="s">
        <v>168</v>
      </c>
      <c r="Z25" s="287"/>
      <c r="AA25" s="287"/>
      <c r="AB25" s="287"/>
      <c r="AC25" s="32" t="str">
        <f>IFERROR(IF(VLOOKUP(Y25,CHO!$B$48:$AA$82,10,FALSE)=0,"",VLOOKUP(Y25,CHO!$B$48:$AA$82,10,FALSE)),"")</f>
        <v/>
      </c>
      <c r="AD25" s="52">
        <f>IFERROR(VLOOKUP(Y25,CHO!$B$48:$AA$82,9,FALSE),"")</f>
        <v>14</v>
      </c>
      <c r="AE25" s="297" t="str">
        <f>IFERROR(VLOOKUP(AE23,CHO!$B$2:$O$36,14,FALSE),"")</f>
        <v>26 OZ , 18 (14+4), +18 ±</v>
      </c>
      <c r="AF25" s="298"/>
      <c r="AG25" s="298"/>
      <c r="AH25" s="299" t="str">
        <f>IFERROR(VLOOKUP(AE23,CHO!$B$48:$AA$82,14,FALSE),"")</f>
        <v>46 OZ, 25 (17+8)</v>
      </c>
      <c r="AI25" s="299"/>
      <c r="AJ25" s="300"/>
      <c r="AK25" s="297" t="str">
        <f>IFERROR(VLOOKUP(AK23,VIT!$B$2:$O$36,14,FALSE),"")</f>
        <v>24 OZ , 10 (3+7), -1 ±</v>
      </c>
      <c r="AL25" s="298"/>
      <c r="AM25" s="298"/>
      <c r="AN25" s="299" t="str">
        <f>IFERROR(VLOOKUP(AK23,VIT!$B$48:$R$82,14,FALSE),"")</f>
        <v>165 OZ, 155 (90+65)</v>
      </c>
      <c r="AO25" s="299"/>
      <c r="AP25" s="300"/>
      <c r="AQ25" s="286" t="s">
        <v>255</v>
      </c>
      <c r="AR25" s="287"/>
      <c r="AS25" s="287"/>
      <c r="AT25" s="287"/>
      <c r="AU25" s="32" t="str">
        <f>IFERROR(IF(VLOOKUP(AQ25,VIT!$B$48:$R$82,10,FALSE)=0,"",VLOOKUP(AQ25,VIT!$B$48:$R$82,10,FALSE)),"")</f>
        <v/>
      </c>
      <c r="AV25" s="52">
        <f>IFERROR(VLOOKUP(AQ25,VIT!$B$48:$R$82,9,FALSE),"")</f>
        <v>53</v>
      </c>
      <c r="AW25" s="297" t="str">
        <f>IFERROR(VLOOKUP(AW23,VIT!$B$2:$O$36,14,FALSE),"")</f>
        <v>5 OZ , 2 (2+0), -1 ±</v>
      </c>
      <c r="AX25" s="298"/>
      <c r="AY25" s="298"/>
      <c r="AZ25" s="299" t="str">
        <f>IFERROR(VLOOKUP(AW23,VIT!$B$48:$R$82,14,FALSE),"")</f>
        <v>5 OZ, 2 (2+0)</v>
      </c>
      <c r="BA25" s="299"/>
      <c r="BB25" s="300"/>
      <c r="BC25" s="297" t="str">
        <f>IFERROR(VLOOKUP(BC23,MB!$B$2:$O$36,14,FALSE),"")</f>
        <v>25 OZ , 21 (14+7), +19 ±</v>
      </c>
      <c r="BD25" s="298"/>
      <c r="BE25" s="298"/>
      <c r="BF25" s="299" t="str">
        <f>IFERROR(VLOOKUP(BC23,MB!$B$48:$R$82,14,FALSE),"")</f>
        <v>210 OZ, 184 (111+73)</v>
      </c>
      <c r="BG25" s="299"/>
      <c r="BH25" s="300"/>
      <c r="BI25" s="286" t="s">
        <v>302</v>
      </c>
      <c r="BJ25" s="287"/>
      <c r="BK25" s="287"/>
      <c r="BL25" s="287"/>
      <c r="BM25" s="32" t="str">
        <f>IFERROR(IF(VLOOKUP(BI25,MB!$B$48:$R$82,10,FALSE)=0,"",VLOOKUP(BI25,MB!$B$48:$R$82,10,FALSE)),"")</f>
        <v/>
      </c>
      <c r="BN25" s="52">
        <f>IFERROR(VLOOKUP(BI25,MB!$B$48:$R$82,9,FALSE),"")</f>
        <v>39</v>
      </c>
      <c r="BO25" s="297" t="str">
        <f>IFERROR(VLOOKUP(BO23,MB!$B$2:$O$36,14,FALSE),"")</f>
        <v>26 OZ , 17 (9+8), +20 ±</v>
      </c>
      <c r="BP25" s="298"/>
      <c r="BQ25" s="298"/>
      <c r="BR25" s="299" t="str">
        <f>IFERROR(VLOOKUP(BO23,MB!$B$48:$R$82,14,FALSE),"")</f>
        <v>209 OZ, 213 (137+76)</v>
      </c>
      <c r="BS25" s="299"/>
      <c r="BT25" s="300"/>
      <c r="BU25" s="297" t="str">
        <f>IFERROR(VLOOKUP(BU23,TAT!$B$2:$O$36,14,FALSE),"")</f>
        <v/>
      </c>
      <c r="BV25" s="298"/>
      <c r="BW25" s="298"/>
      <c r="BX25" s="299" t="str">
        <f>IFERROR(VLOOKUP(BU23,TAT!$B$48:$R$82,14,FALSE),"")</f>
        <v/>
      </c>
      <c r="BY25" s="299"/>
      <c r="BZ25" s="300"/>
      <c r="CA25" s="286"/>
      <c r="CB25" s="287"/>
      <c r="CC25" s="287"/>
      <c r="CD25" s="287"/>
      <c r="CE25" s="32" t="str">
        <f>IFERROR(IF(VLOOKUP(CA25,TAT!$B$48:$R$82,10,FALSE)=0,"",VLOOKUP(CA25,TAT!$B$48:$R$82,10,FALSE)),"")</f>
        <v/>
      </c>
      <c r="CF25" s="52" t="str">
        <f>IFERROR(VLOOKUP(CA25,TAT!$B$48:$R$82,9,FALSE),"")</f>
        <v/>
      </c>
      <c r="CG25" s="297" t="str">
        <f>IFERROR(VLOOKUP(CG23,TAT!$B$2:$O$36,14,FALSE),"")</f>
        <v/>
      </c>
      <c r="CH25" s="298"/>
      <c r="CI25" s="298"/>
      <c r="CJ25" s="299" t="str">
        <f>IFERROR(VLOOKUP(CG23,TAT!$B$48:$R$82,14,FALSE),"")</f>
        <v/>
      </c>
      <c r="CK25" s="299"/>
      <c r="CL25" s="300"/>
      <c r="CM25" s="297" t="str">
        <f>IFERROR(VLOOKUP(CM23,OTR!$B$2:$O$36,14,FALSE),"")</f>
        <v>24 OZ , 3 (3+0), -2 ±</v>
      </c>
      <c r="CN25" s="298"/>
      <c r="CO25" s="298"/>
      <c r="CP25" s="299" t="str">
        <f>IFERROR(VLOOKUP(CM23,OTR!$B$48:$R$82,14,FALSE),"")</f>
        <v>25 OZ, 3 (3+0)</v>
      </c>
      <c r="CQ25" s="299"/>
      <c r="CR25" s="300"/>
      <c r="CS25" s="286" t="s">
        <v>417</v>
      </c>
      <c r="CT25" s="287"/>
      <c r="CU25" s="287"/>
      <c r="CV25" s="287"/>
      <c r="CW25" s="32" t="str">
        <f>IFERROR(IF(VLOOKUP(CS25,OTR!$B$48:$R$82,10,FALSE)=0,"",VLOOKUP(CS25,OTR!$B$48:$R$82,10,FALSE)),"")</f>
        <v/>
      </c>
      <c r="CX25" s="52">
        <f>IFERROR(VLOOKUP(CS25,OTR!$B$48:$R$82,9,FALSE),"")</f>
        <v>22</v>
      </c>
      <c r="CY25" s="297" t="str">
        <f>IFERROR(VLOOKUP(CY23,OTR!$B$2:$O$36,14,FALSE),"")</f>
        <v>12 OZ , 3 (1+2), -16 ±</v>
      </c>
      <c r="CZ25" s="298"/>
      <c r="DA25" s="298"/>
      <c r="DB25" s="299" t="str">
        <f>IFERROR(VLOOKUP(CY23,OTR!$B$48:$R$82,14,FALSE),"")</f>
        <v>209 OZ, 170 (107+63)</v>
      </c>
      <c r="DC25" s="299"/>
      <c r="DD25" s="300"/>
      <c r="DE25" s="297" t="str">
        <f>IFERROR(VLOOKUP(DE23,BOH!$B$2:$O$36,14,FALSE),"")</f>
        <v>22 OZ , 3 (2+1), +3 ±</v>
      </c>
      <c r="DF25" s="298"/>
      <c r="DG25" s="298"/>
      <c r="DH25" s="299" t="str">
        <f>IFERROR(VLOOKUP(DE23,BOH!$B$48:$R$82,14,FALSE),"")</f>
        <v>210 OZ, 100 (44+56)</v>
      </c>
      <c r="DI25" s="299"/>
      <c r="DJ25" s="300"/>
      <c r="DK25" s="286" t="s">
        <v>491</v>
      </c>
      <c r="DL25" s="287"/>
      <c r="DM25" s="287"/>
      <c r="DN25" s="287"/>
      <c r="DO25" s="32" t="str">
        <f>IFERROR(IF(VLOOKUP(DK25,BOH!$B$48:$R$82,10,FALSE)=0,"",VLOOKUP(DK25,BOH!$B$48:$R$82,10,FALSE)),"")</f>
        <v/>
      </c>
      <c r="DP25" s="52">
        <f>IFERROR(VLOOKUP(DK25,BOH!$B$48:$R$82,9,FALSE),"")</f>
        <v>80</v>
      </c>
      <c r="DQ25" s="297" t="str">
        <f>IFERROR(VLOOKUP(DQ23,BOH!$B$2:$O$36,14,FALSE),"")</f>
        <v>24 OZ , 23 (15+8), +12 ±</v>
      </c>
      <c r="DR25" s="298"/>
      <c r="DS25" s="298"/>
      <c r="DT25" s="299" t="str">
        <f>IFERROR(VLOOKUP(DQ23,BOH!$B$48:$R$82,14,FALSE),"")</f>
        <v>37 OZ, 25 (16+9)</v>
      </c>
      <c r="DU25" s="299"/>
      <c r="DV25" s="300"/>
      <c r="DW25" s="297" t="str">
        <f>IFERROR(VLOOKUP(DW23,SPA!$B$2:$O$36,14,FALSE),"")</f>
        <v/>
      </c>
      <c r="DX25" s="298"/>
      <c r="DY25" s="298"/>
      <c r="DZ25" s="299" t="str">
        <f>IFERROR(VLOOKUP(DW23,SPA!$B$48:$R$82,14,FALSE),"")</f>
        <v/>
      </c>
      <c r="EA25" s="299"/>
      <c r="EB25" s="300"/>
      <c r="EC25" s="286"/>
      <c r="ED25" s="287"/>
      <c r="EE25" s="287"/>
      <c r="EF25" s="287"/>
      <c r="EG25" s="32" t="str">
        <f>IFERROR(IF(VLOOKUP(EC25,SPA!$B$48:$R$82,10,FALSE)=0,"",VLOOKUP(EC25,SPA!$B$48:$R$82,10,FALSE)),"")</f>
        <v/>
      </c>
      <c r="EH25" s="52" t="str">
        <f>IFERROR(VLOOKUP(EC25,SPA!$B$48:$R$82,9,FALSE),"")</f>
        <v/>
      </c>
      <c r="EI25" s="297" t="str">
        <f>IFERROR(VLOOKUP(EI23,SPA!$B$2:$O$36,14,FALSE),"")</f>
        <v/>
      </c>
      <c r="EJ25" s="298"/>
      <c r="EK25" s="298"/>
      <c r="EL25" s="299" t="str">
        <f>IFERROR(VLOOKUP(EI23,SPA!$B$48:$R$82,14,FALSE),"")</f>
        <v/>
      </c>
      <c r="EM25" s="299"/>
      <c r="EN25" s="300"/>
      <c r="EO25" s="297" t="str">
        <f>IFERROR(VLOOKUP(EO23,CLP!$B$2:$O$36,14,FALSE),"")</f>
        <v/>
      </c>
      <c r="EP25" s="298"/>
      <c r="EQ25" s="298"/>
      <c r="ER25" s="299" t="str">
        <f>IFERROR(VLOOKUP(EO23,CLP!$B$48:$R$82,14,FALSE),"")</f>
        <v/>
      </c>
      <c r="ES25" s="299"/>
      <c r="ET25" s="300"/>
      <c r="EU25" s="286"/>
      <c r="EV25" s="287"/>
      <c r="EW25" s="287"/>
      <c r="EX25" s="287"/>
      <c r="EY25" s="32" t="str">
        <f>IFERROR(IF(VLOOKUP(EU25,CLP!$B$48:$R$82,10,FALSE)=0,"",VLOOKUP(EU25,CLP!$B$48:$R$82,10,FALSE)),"")</f>
        <v/>
      </c>
      <c r="EZ25" s="52" t="str">
        <f>IFERROR(VLOOKUP(EU25,CLP!$B$48:$R$82,9,FALSE),"")</f>
        <v/>
      </c>
      <c r="FA25" s="297" t="str">
        <f>IFERROR(VLOOKUP(FA23,CLP!$B$2:$O$36,14,FALSE),"")</f>
        <v/>
      </c>
      <c r="FB25" s="298"/>
      <c r="FC25" s="298"/>
      <c r="FD25" s="299" t="str">
        <f>IFERROR(VLOOKUP(FA23,CLP!$B$48:$R$82,14,FALSE),"")</f>
        <v/>
      </c>
      <c r="FE25" s="299"/>
      <c r="FF25" s="300"/>
      <c r="FG25" s="297" t="str">
        <f>IFERROR(VLOOKUP(FG23,LIB!$B$2:$O$36,14,FALSE),"")</f>
        <v>24 OZ , 4 (1+3), -14 ±</v>
      </c>
      <c r="FH25" s="298"/>
      <c r="FI25" s="298"/>
      <c r="FJ25" s="299" t="str">
        <f>IFERROR(VLOOKUP(FG23,LIB!$B$48:$R$82,14,FALSE),"")</f>
        <v>50 OZ, 13 (5+8)</v>
      </c>
      <c r="FK25" s="299"/>
      <c r="FL25" s="300"/>
      <c r="FM25" s="286" t="s">
        <v>753</v>
      </c>
      <c r="FN25" s="287"/>
      <c r="FO25" s="287"/>
      <c r="FP25" s="287"/>
      <c r="FQ25" s="32" t="str">
        <f>IFERROR(IF(VLOOKUP(FM25,LIB!$B$48:$R$82,10,FALSE)=0,"",VLOOKUP(FM25,LIB!$B$48:$R$82,10,FALSE)),"")</f>
        <v/>
      </c>
      <c r="FR25" s="52">
        <f>IFERROR(VLOOKUP(FM25,LIB!$B$48:$R$82,9,FALSE),"")</f>
        <v>73</v>
      </c>
      <c r="FS25" s="297" t="str">
        <f>IFERROR(VLOOKUP(FS23,LIB!$B$2:$O$36,14,FALSE),"")</f>
        <v>19 OZ , 27 (16+11), -2 ±</v>
      </c>
      <c r="FT25" s="298"/>
      <c r="FU25" s="298"/>
      <c r="FV25" s="299" t="str">
        <f>IFERROR(VLOOKUP(FS23,LIB!$B$48:$R$82,14,FALSE),"")</f>
        <v>185 OZ, 224 (126+98)</v>
      </c>
      <c r="FW25" s="299"/>
      <c r="FX25" s="300"/>
      <c r="FY25" s="297" t="str">
        <f>IFERROR(VLOOKUP(FY23,HAT!$B$2:$O$36,14,FALSE),"")</f>
        <v/>
      </c>
      <c r="FZ25" s="298"/>
      <c r="GA25" s="298"/>
      <c r="GB25" s="299" t="str">
        <f>IFERROR(VLOOKUP(FY23,HAT!$B$48:$R$82,14,FALSE),"")</f>
        <v/>
      </c>
      <c r="GC25" s="299"/>
      <c r="GD25" s="300"/>
      <c r="GE25" s="286"/>
      <c r="GF25" s="287"/>
      <c r="GG25" s="287"/>
      <c r="GH25" s="287"/>
      <c r="GI25" s="32" t="str">
        <f>IFERROR(IF(VLOOKUP(GE25,HAT!$B$48:$R$82,10,FALSE)=0,"",VLOOKUP(GE25,HAT!$B$48:$R$82,10,FALSE)),"")</f>
        <v/>
      </c>
      <c r="GJ25" s="52" t="str">
        <f>IFERROR(VLOOKUP(GE25,HAT!$B$48:$R$82,9,FALSE),"")</f>
        <v/>
      </c>
      <c r="GK25" s="297" t="str">
        <f>IFERROR(VLOOKUP(GK23,HAT!$B$2:$O$36,14,FALSE),"")</f>
        <v/>
      </c>
      <c r="GL25" s="298"/>
      <c r="GM25" s="298"/>
      <c r="GN25" s="299" t="str">
        <f>IFERROR(VLOOKUP(GK23,HAT!$B$48:$R$82,14,FALSE),"")</f>
        <v/>
      </c>
      <c r="GO25" s="299"/>
      <c r="GP25" s="300"/>
    </row>
    <row r="26" spans="1:198" ht="15.6" customHeight="1" thickBot="1" x14ac:dyDescent="0.3">
      <c r="A26" s="263">
        <f>IFERROR(VLOOKUP(A23,SKV!$B$48:$AA$82,16,FALSE),"")</f>
        <v>0</v>
      </c>
      <c r="B26" s="264"/>
      <c r="C26" s="265"/>
      <c r="D26" s="266">
        <f>IFERROR(VLOOKUP(A23,SKV!$B$48:$AA$82,17,FALSE),"")</f>
        <v>0</v>
      </c>
      <c r="E26" s="267"/>
      <c r="F26" s="124">
        <f>IFERROR(VLOOKUP(A23,SKV!$B$48:$AA$82,8,FALSE),"")</f>
        <v>3</v>
      </c>
      <c r="G26" s="34" t="str">
        <f>IFERROR(VLOOKUP(G25,SKV!$B$48:$AA$82,11,FALSE),"")</f>
        <v>L</v>
      </c>
      <c r="H26" s="289">
        <f>IFERROR(YEAR(VLOOKUP(G25,SKV!$B$48:$AA$82,2,FALSE)),"")</f>
        <v>1996</v>
      </c>
      <c r="I26" s="260"/>
      <c r="J26" s="35">
        <f ca="1">IFERROR(VLOOKUP(G25,SKV!$B$48:$AA$82,3,FALSE),"")</f>
        <v>24</v>
      </c>
      <c r="K26" s="290" t="str">
        <f>IFERROR(VLOOKUP(G25,SKV!$B$48:$AA$82,15,FALSE),"")</f>
        <v>192/94</v>
      </c>
      <c r="L26" s="291"/>
      <c r="M26" s="263" t="str">
        <f>IFERROR(VLOOKUP(M23,SKV!$B$48:$AA$82,16,FALSE),"")</f>
        <v>FBK Kunovští Orli</v>
      </c>
      <c r="N26" s="264"/>
      <c r="O26" s="265"/>
      <c r="P26" s="266">
        <f>IFERROR(VLOOKUP(M23,SKV!$B$48:$AA$82,17,FALSE),"")</f>
        <v>2008</v>
      </c>
      <c r="Q26" s="267"/>
      <c r="R26" s="124">
        <f>IFERROR(VLOOKUP(M23,SKV!$B$48:$AA$82,8,FALSE),"")</f>
        <v>4</v>
      </c>
      <c r="S26" s="263" t="str">
        <f>IFERROR(VLOOKUP(S23,CHO!$B$48:$AA$82,16,FALSE),"")</f>
        <v>FBK Vosy Praha</v>
      </c>
      <c r="T26" s="264"/>
      <c r="U26" s="265"/>
      <c r="V26" s="266">
        <f>IFERROR(VLOOKUP(S23,CHO!$B$48:$AA$82,17,FALSE),"")</f>
        <v>2007</v>
      </c>
      <c r="W26" s="267"/>
      <c r="X26" s="124">
        <f>IFERROR(VLOOKUP(S23,CHO!$B$48:$AA$82,8,FALSE),"")</f>
        <v>4</v>
      </c>
      <c r="Y26" s="34" t="str">
        <f>IFERROR(VLOOKUP(Y25,CHO!$B$48:$AA$82,11,FALSE),"")</f>
        <v>L</v>
      </c>
      <c r="Z26" s="289">
        <f>IFERROR(YEAR(VLOOKUP(Y25,CHO!$B$48:$AA$82,2,FALSE)),"")</f>
        <v>1997</v>
      </c>
      <c r="AA26" s="260"/>
      <c r="AB26" s="35">
        <f ca="1">IFERROR(VLOOKUP(Y25,CHO!$B$48:$AA$82,3,FALSE),"")</f>
        <v>24</v>
      </c>
      <c r="AC26" s="290" t="str">
        <f>IFERROR(VLOOKUP(Y25,CHO!$B$48:$AA$82,15,FALSE),"")</f>
        <v>184/78</v>
      </c>
      <c r="AD26" s="291"/>
      <c r="AE26" s="263" t="str">
        <f>IFERROR(VLOOKUP(AE23,CHO!$B$48:$AA$82,16,FALSE),"")</f>
        <v>FC Bučis Team</v>
      </c>
      <c r="AF26" s="264"/>
      <c r="AG26" s="265"/>
      <c r="AH26" s="266">
        <f>IFERROR(VLOOKUP(AE23,CHO!$B$48:$AA$82,17,FALSE),"")</f>
        <v>2007</v>
      </c>
      <c r="AI26" s="267"/>
      <c r="AJ26" s="124">
        <f>IFERROR(VLOOKUP(AE23,CHO!$B$48:$AA$82,8,FALSE),"")</f>
        <v>3</v>
      </c>
      <c r="AK26" s="263" t="str">
        <f>IFERROR(VLOOKUP(AK23,VIT!$B$48:$R$82,16,FALSE),"")</f>
        <v>1. SC Vítkovice</v>
      </c>
      <c r="AL26" s="264"/>
      <c r="AM26" s="265"/>
      <c r="AN26" s="266">
        <f>IFERROR(VLOOKUP(AK23,VIT!$B$48:$R$82,17,FALSE),"")</f>
        <v>1994</v>
      </c>
      <c r="AO26" s="267"/>
      <c r="AP26" s="124">
        <f>IFERROR(VLOOKUP(AK23,VIT!$B$48:$R$82,8,FALSE),"")</f>
        <v>11</v>
      </c>
      <c r="AQ26" s="34" t="str">
        <f>IFERROR(VLOOKUP(AQ25,VIT!$B$48:$R$82,11,FALSE),"")</f>
        <v>L</v>
      </c>
      <c r="AR26" s="289">
        <f>IFERROR(YEAR(VLOOKUP(AQ25,VIT!$B$48:$R$82,2,FALSE)),"")</f>
        <v>1995</v>
      </c>
      <c r="AS26" s="260"/>
      <c r="AT26" s="106">
        <f ca="1">IFERROR(VLOOKUP(AQ25,VIT!$B$48:$R$82,3,FALSE),"")</f>
        <v>25</v>
      </c>
      <c r="AU26" s="290" t="str">
        <f>IFERROR(VLOOKUP(AQ25,VIT!$B$48:$R$82,15,FALSE),"")</f>
        <v>183/72</v>
      </c>
      <c r="AV26" s="291"/>
      <c r="AW26" s="263" t="str">
        <f>IFERROR(VLOOKUP(AW23,VIT!$B$48:$R$82,16,FALSE),"")</f>
        <v>-</v>
      </c>
      <c r="AX26" s="264"/>
      <c r="AY26" s="265"/>
      <c r="AZ26" s="266" t="str">
        <f>IFERROR(VLOOKUP(AW23,VIT!$B$48:$R$82,17,FALSE),"")</f>
        <v>-</v>
      </c>
      <c r="BA26" s="267"/>
      <c r="BB26" s="124">
        <f>IFERROR(VLOOKUP(AW23,VIT!$B$48:$R$82,8,FALSE),"")</f>
        <v>0</v>
      </c>
      <c r="BC26" s="263" t="str">
        <f>IFERROR(VLOOKUP(BC23,MB!$B$48:$R$82,16,FALSE),"")</f>
        <v>Vosy Praha</v>
      </c>
      <c r="BD26" s="264"/>
      <c r="BE26" s="265"/>
      <c r="BF26" s="266">
        <f>IFERROR(VLOOKUP(BC23,MB!$B$48:$R$82,17,FALSE),"")</f>
        <v>2005</v>
      </c>
      <c r="BG26" s="267"/>
      <c r="BH26" s="124">
        <f>IFERROR(VLOOKUP(BC23,MB!$B$48:$R$82,8,FALSE),"")</f>
        <v>10</v>
      </c>
      <c r="BI26" s="34" t="str">
        <f>IFERROR(VLOOKUP(BI25,MB!$B$48:$R$82,11,FALSE),"")</f>
        <v>L</v>
      </c>
      <c r="BJ26" s="289">
        <f>IFERROR(YEAR(VLOOKUP(BI25,MB!$B$48:$R$82,2,FALSE)),"")</f>
        <v>2003</v>
      </c>
      <c r="BK26" s="260"/>
      <c r="BL26" s="108">
        <f ca="1">IFERROR(VLOOKUP(BI25,MB!$B$48:$R$82,3,FALSE),"")</f>
        <v>17</v>
      </c>
      <c r="BM26" s="290" t="str">
        <f>IFERROR(VLOOKUP(BI25,MB!$B$48:$R$82,15,FALSE),"")</f>
        <v>185/71</v>
      </c>
      <c r="BN26" s="291"/>
      <c r="BO26" s="263" t="str">
        <f>IFERROR(VLOOKUP(BO23,MB!$B$48:$R$82,16,FALSE),"")</f>
        <v>Vosy Praha</v>
      </c>
      <c r="BP26" s="264"/>
      <c r="BQ26" s="265"/>
      <c r="BR26" s="266">
        <f>IFERROR(VLOOKUP(BO23,MB!$B$48:$R$82,17,FALSE),"")</f>
        <v>2005</v>
      </c>
      <c r="BS26" s="267"/>
      <c r="BT26" s="124">
        <f>IFERROR(VLOOKUP(BO23,MB!$B$48:$R$82,8,FALSE),"")</f>
        <v>9</v>
      </c>
      <c r="BU26" s="263" t="str">
        <f>IFERROR(VLOOKUP(BU23,TAT!$B$48:$R$82,16,FALSE),"")</f>
        <v/>
      </c>
      <c r="BV26" s="264"/>
      <c r="BW26" s="265"/>
      <c r="BX26" s="266" t="str">
        <f>IFERROR(VLOOKUP(BU23,TAT!$B$48:$R$82,17,FALSE),"")</f>
        <v/>
      </c>
      <c r="BY26" s="267"/>
      <c r="BZ26" s="124" t="str">
        <f>IFERROR(VLOOKUP(BU23,TAT!$B$48:$R$82,8,FALSE),"")</f>
        <v/>
      </c>
      <c r="CA26" s="34" t="str">
        <f>IFERROR(VLOOKUP(CA25,TAT!$B$48:$R$82,11,FALSE),"")</f>
        <v/>
      </c>
      <c r="CB26" s="289" t="str">
        <f>IFERROR(YEAR(VLOOKUP(CA25,TAT!$B$48:$R$82,2,FALSE)),"")</f>
        <v/>
      </c>
      <c r="CC26" s="260"/>
      <c r="CD26" s="150" t="str">
        <f>IFERROR(VLOOKUP(CA25,TAT!$B$48:$R$82,3,FALSE),"")</f>
        <v/>
      </c>
      <c r="CE26" s="290" t="str">
        <f>IFERROR(VLOOKUP(CA25,TAT!$B$48:$R$82,15,FALSE),"")</f>
        <v/>
      </c>
      <c r="CF26" s="291"/>
      <c r="CG26" s="263" t="str">
        <f>IFERROR(VLOOKUP(CG23,TAT!$B$48:$R$82,16,FALSE),"")</f>
        <v/>
      </c>
      <c r="CH26" s="264"/>
      <c r="CI26" s="265"/>
      <c r="CJ26" s="266" t="str">
        <f>IFERROR(VLOOKUP(CG23,TAT!$B$48:$R$82,17,FALSE),"")</f>
        <v/>
      </c>
      <c r="CK26" s="267"/>
      <c r="CL26" s="124" t="str">
        <f>IFERROR(VLOOKUP(CG23,TAT!$B$48:$R$82,8,FALSE),"")</f>
        <v/>
      </c>
      <c r="CM26" s="263" t="str">
        <f>IFERROR(VLOOKUP(CM23,OTR!$B$48:$R$82,16,FALSE),"")</f>
        <v>Panthers Otrokovice</v>
      </c>
      <c r="CN26" s="264"/>
      <c r="CO26" s="265"/>
      <c r="CP26" s="266">
        <f>IFERROR(VLOOKUP(CM23,OTR!$B$48:$R$82,17,FALSE),"")</f>
        <v>2016</v>
      </c>
      <c r="CQ26" s="267"/>
      <c r="CR26" s="124">
        <f>IFERROR(VLOOKUP(CM23,OTR!$B$48:$R$82,8,FALSE),"")</f>
        <v>2</v>
      </c>
      <c r="CS26" s="34" t="str">
        <f>IFERROR(VLOOKUP(CS25,OTR!$B$48:$R$82,11,FALSE),"")</f>
        <v>P</v>
      </c>
      <c r="CT26" s="289">
        <f>IFERROR(YEAR(VLOOKUP(CS25,OTR!$B$48:$R$82,2,FALSE)),"")</f>
        <v>1983</v>
      </c>
      <c r="CU26" s="260"/>
      <c r="CV26" s="150">
        <f ca="1">IFERROR(VLOOKUP(CS25,OTR!$B$48:$R$82,3,FALSE),"")</f>
        <v>37</v>
      </c>
      <c r="CW26" s="290" t="str">
        <f>IFERROR(VLOOKUP(CS25,OTR!$B$48:$R$82,15,FALSE),"")</f>
        <v>180/80</v>
      </c>
      <c r="CX26" s="291"/>
      <c r="CY26" s="263" t="str">
        <f>IFERROR(VLOOKUP(CY23,OTR!$B$48:$R$82,16,FALSE),"")</f>
        <v>Panthers Otrokovice</v>
      </c>
      <c r="CZ26" s="264"/>
      <c r="DA26" s="265"/>
      <c r="DB26" s="266">
        <f>IFERROR(VLOOKUP(CY23,OTR!$B$48:$R$82,17,FALSE),"")</f>
        <v>2004</v>
      </c>
      <c r="DC26" s="267"/>
      <c r="DD26" s="124">
        <f>IFERROR(VLOOKUP(CY23,OTR!$B$48:$R$82,8,FALSE),"")</f>
        <v>10</v>
      </c>
      <c r="DE26" s="263" t="str">
        <f>IFERROR(VLOOKUP(DE23,BOH!$B$48:$R$82,16,FALSE),"")</f>
        <v>Děkanka</v>
      </c>
      <c r="DF26" s="264"/>
      <c r="DG26" s="265"/>
      <c r="DH26" s="266" t="str">
        <f>IFERROR(VLOOKUP(DE23,BOH!$B$48:$R$82,17,FALSE),"")</f>
        <v>-</v>
      </c>
      <c r="DI26" s="267"/>
      <c r="DJ26" s="124">
        <f>IFERROR(VLOOKUP(DE23,BOH!$B$48:$R$82,8,FALSE),"")</f>
        <v>13</v>
      </c>
      <c r="DK26" s="34" t="str">
        <f>IFERROR(VLOOKUP(DK25,BOH!$B$48:$R$82,11,FALSE),"")</f>
        <v>L</v>
      </c>
      <c r="DL26" s="289">
        <f>IFERROR(YEAR(VLOOKUP(DK25,BOH!$B$48:$R$82,2,FALSE)),"")</f>
        <v>2002</v>
      </c>
      <c r="DM26" s="260"/>
      <c r="DN26" s="165">
        <f ca="1">IFERROR(VLOOKUP(DK25,BOH!$B$48:$R$82,3,FALSE),"")</f>
        <v>18</v>
      </c>
      <c r="DO26" s="290" t="str">
        <f>IFERROR(VLOOKUP(DK25,BOH!$B$48:$R$82,15,FALSE),"")</f>
        <v>187/73</v>
      </c>
      <c r="DP26" s="291"/>
      <c r="DQ26" s="263" t="str">
        <f>IFERROR(VLOOKUP(DQ23,BOH!$B$48:$R$82,16,FALSE),"")</f>
        <v>Florko Košice</v>
      </c>
      <c r="DR26" s="264"/>
      <c r="DS26" s="265"/>
      <c r="DT26" s="266" t="str">
        <f>IFERROR(VLOOKUP(DQ23,BOH!$B$48:$R$82,17,FALSE),"")</f>
        <v>-</v>
      </c>
      <c r="DU26" s="267"/>
      <c r="DV26" s="124">
        <f>IFERROR(VLOOKUP(DQ23,BOH!$B$48:$R$82,8,FALSE),"")</f>
        <v>2</v>
      </c>
      <c r="DW26" s="263" t="str">
        <f>IFERROR(VLOOKUP(DW23,SPA!$B$48:$R$82,16,FALSE),"")</f>
        <v/>
      </c>
      <c r="DX26" s="264"/>
      <c r="DY26" s="265"/>
      <c r="DZ26" s="266" t="str">
        <f>IFERROR(VLOOKUP(DW23,SPA!$B$48:$R$82,17,FALSE),"")</f>
        <v/>
      </c>
      <c r="EA26" s="267"/>
      <c r="EB26" s="124" t="str">
        <f>IFERROR(VLOOKUP(DW23,SPA!$B$48:$R$82,8,FALSE),"")</f>
        <v/>
      </c>
      <c r="EC26" s="34" t="str">
        <f>IFERROR(VLOOKUP(EC25,SPA!$B$48:$R$82,11,FALSE),"")</f>
        <v/>
      </c>
      <c r="ED26" s="289" t="str">
        <f>IFERROR(YEAR(VLOOKUP(EC25,SPA!$B$48:$R$82,2,FALSE)),"")</f>
        <v/>
      </c>
      <c r="EE26" s="260"/>
      <c r="EF26" s="165" t="str">
        <f>IFERROR(VLOOKUP(EC25,SPA!$B$48:$R$82,3,FALSE),"")</f>
        <v/>
      </c>
      <c r="EG26" s="290" t="str">
        <f>IFERROR(VLOOKUP(EC25,SPA!$B$48:$R$82,15,FALSE),"")</f>
        <v/>
      </c>
      <c r="EH26" s="291"/>
      <c r="EI26" s="263" t="str">
        <f>IFERROR(VLOOKUP(EI23,SPA!$B$48:$R$82,16,FALSE),"")</f>
        <v/>
      </c>
      <c r="EJ26" s="264"/>
      <c r="EK26" s="265"/>
      <c r="EL26" s="266" t="str">
        <f>IFERROR(VLOOKUP(EI23,SPA!$B$48:$R$82,17,FALSE),"")</f>
        <v/>
      </c>
      <c r="EM26" s="267"/>
      <c r="EN26" s="124" t="str">
        <f>IFERROR(VLOOKUP(EI23,SPA!$B$48:$R$82,8,FALSE),"")</f>
        <v/>
      </c>
      <c r="EO26" s="263" t="str">
        <f>IFERROR(VLOOKUP(EO23,CLP!$B$48:$R$82,16,FALSE),"")</f>
        <v/>
      </c>
      <c r="EP26" s="264"/>
      <c r="EQ26" s="265"/>
      <c r="ER26" s="266" t="str">
        <f>IFERROR(VLOOKUP(EO23,CLP!$B$48:$R$82,17,FALSE),"")</f>
        <v/>
      </c>
      <c r="ES26" s="267"/>
      <c r="ET26" s="124" t="str">
        <f>IFERROR(VLOOKUP(EO23,CLP!$B$48:$R$82,8,FALSE),"")</f>
        <v/>
      </c>
      <c r="EU26" s="34" t="str">
        <f>IFERROR(VLOOKUP(EU25,CLP!$B$48:$R$82,11,FALSE),"")</f>
        <v/>
      </c>
      <c r="EV26" s="289" t="str">
        <f>IFERROR(YEAR(VLOOKUP(EU25,CLP!$B$48:$R$82,2,FALSE)),"")</f>
        <v/>
      </c>
      <c r="EW26" s="260"/>
      <c r="EX26" s="204" t="str">
        <f>IFERROR(VLOOKUP(EU25,CLP!$B$48:$R$82,3,FALSE),"")</f>
        <v/>
      </c>
      <c r="EY26" s="290" t="str">
        <f>IFERROR(VLOOKUP(EU25,CLP!$B$48:$R$82,15,FALSE),"")</f>
        <v/>
      </c>
      <c r="EZ26" s="291"/>
      <c r="FA26" s="263" t="str">
        <f>IFERROR(VLOOKUP(FA23,CLP!$B$48:$R$82,16,FALSE),"")</f>
        <v/>
      </c>
      <c r="FB26" s="264"/>
      <c r="FC26" s="265"/>
      <c r="FD26" s="266" t="str">
        <f>IFERROR(VLOOKUP(FA23,CLP!$B$48:$R$82,17,FALSE),"")</f>
        <v/>
      </c>
      <c r="FE26" s="267"/>
      <c r="FF26" s="124" t="str">
        <f>IFERROR(VLOOKUP(FA23,CLP!$B$48:$R$82,8,FALSE),"")</f>
        <v/>
      </c>
      <c r="FG26" s="263" t="str">
        <f>IFERROR(VLOOKUP(FG23,LIB!$B$48:$R$82,16,FALSE),"")</f>
        <v>FA Mladá Boleslav</v>
      </c>
      <c r="FH26" s="264"/>
      <c r="FI26" s="265"/>
      <c r="FJ26" s="266">
        <f>IFERROR(VLOOKUP(FG23,LIB!$B$48:$R$82,17,FALSE),"")</f>
        <v>2006</v>
      </c>
      <c r="FK26" s="267"/>
      <c r="FL26" s="124">
        <f>IFERROR(VLOOKUP(FG23,LIB!$B$48:$R$82,8,FALSE),"")</f>
        <v>2</v>
      </c>
      <c r="FM26" s="34" t="str">
        <f>IFERROR(VLOOKUP(FM25,LIB!$B$48:$R$82,11,FALSE),"")</f>
        <v>L</v>
      </c>
      <c r="FN26" s="289">
        <f>IFERROR(YEAR(VLOOKUP(FM25,LIB!$B$48:$R$82,2,FALSE)),"")</f>
        <v>2003</v>
      </c>
      <c r="FO26" s="260"/>
      <c r="FP26" s="204">
        <f ca="1">IFERROR(VLOOKUP(FM25,LIB!$B$48:$R$82,3,FALSE),"")</f>
        <v>17</v>
      </c>
      <c r="FQ26" s="290" t="str">
        <f>IFERROR(VLOOKUP(FM25,LIB!$B$48:$R$82,15,FALSE),"")</f>
        <v>178/70</v>
      </c>
      <c r="FR26" s="291"/>
      <c r="FS26" s="263" t="str">
        <f>IFERROR(VLOOKUP(FS23,LIB!$B$48:$R$82,16,FALSE),"")</f>
        <v>TJ Centropen Dačice</v>
      </c>
      <c r="FT26" s="264"/>
      <c r="FU26" s="265"/>
      <c r="FV26" s="266">
        <f>IFERROR(VLOOKUP(FS23,LIB!$B$48:$R$82,17,FALSE),"")</f>
        <v>2006</v>
      </c>
      <c r="FW26" s="267"/>
      <c r="FX26" s="124">
        <f>IFERROR(VLOOKUP(FS23,LIB!$B$48:$R$82,8,FALSE),"")</f>
        <v>9</v>
      </c>
      <c r="FY26" s="263" t="str">
        <f>IFERROR(VLOOKUP(FY23,HAT!$B$48:$R$82,16,FALSE),"")</f>
        <v/>
      </c>
      <c r="FZ26" s="264"/>
      <c r="GA26" s="265"/>
      <c r="GB26" s="266" t="str">
        <f>IFERROR(VLOOKUP(FY23,HAT!$B$48:$R$82,17,FALSE),"")</f>
        <v/>
      </c>
      <c r="GC26" s="267"/>
      <c r="GD26" s="124" t="str">
        <f>IFERROR(VLOOKUP(FY23,HAT!$B$48:$R$82,8,FALSE),"")</f>
        <v/>
      </c>
      <c r="GE26" s="34" t="str">
        <f>IFERROR(VLOOKUP(GE25,HAT!$B$48:$R$82,11,FALSE),"")</f>
        <v/>
      </c>
      <c r="GF26" s="289" t="str">
        <f>IFERROR(YEAR(VLOOKUP(GE25,HAT!$B$48:$R$82,2,FALSE)),"")</f>
        <v/>
      </c>
      <c r="GG26" s="260"/>
      <c r="GH26" s="211" t="str">
        <f>IFERROR(VLOOKUP(GE25,HAT!$B$48:$R$82,3,FALSE),"")</f>
        <v/>
      </c>
      <c r="GI26" s="290" t="str">
        <f>IFERROR(VLOOKUP(GE25,HAT!$B$48:$R$82,15,FALSE),"")</f>
        <v/>
      </c>
      <c r="GJ26" s="291"/>
      <c r="GK26" s="263" t="str">
        <f>IFERROR(VLOOKUP(GK23,HAT!$B$48:$R$82,16,FALSE),"")</f>
        <v/>
      </c>
      <c r="GL26" s="264"/>
      <c r="GM26" s="265"/>
      <c r="GN26" s="266" t="str">
        <f>IFERROR(VLOOKUP(GK23,HAT!$B$48:$R$82,17,FALSE),"")</f>
        <v/>
      </c>
      <c r="GO26" s="267"/>
      <c r="GP26" s="124" t="str">
        <f>IFERROR(VLOOKUP(GK23,HAT!$B$48:$R$82,8,FALSE),"")</f>
        <v/>
      </c>
    </row>
    <row r="27" spans="1:198" ht="15.6" customHeight="1" thickTop="1" thickBot="1" x14ac:dyDescent="0.3">
      <c r="A27" s="16"/>
      <c r="B27" s="16"/>
      <c r="C27" s="16"/>
      <c r="D27" s="16"/>
      <c r="E27" s="33"/>
      <c r="F27" s="33"/>
      <c r="G27" s="297" t="str">
        <f>IFERROR(VLOOKUP(G25,SKV!$B$2:$O$36,14,FALSE),"")</f>
        <v>13 OZ , 16 (6+10), -17 ±</v>
      </c>
      <c r="H27" s="298"/>
      <c r="I27" s="298"/>
      <c r="J27" s="299" t="str">
        <f>IFERROR(VLOOKUP(G25,SKV!$B$48:$AA$82,14,FALSE),"")</f>
        <v>78 OZ, 87 (43+44)</v>
      </c>
      <c r="K27" s="299"/>
      <c r="L27" s="300"/>
      <c r="M27" s="33"/>
      <c r="N27" s="33"/>
      <c r="O27" s="33"/>
      <c r="P27" s="33"/>
      <c r="Q27" s="33"/>
      <c r="R27" s="33"/>
      <c r="S27" s="16"/>
      <c r="T27" s="16"/>
      <c r="U27" s="16"/>
      <c r="V27" s="16"/>
      <c r="W27" s="33"/>
      <c r="X27" s="33"/>
      <c r="Y27" s="297" t="str">
        <f>IFERROR(VLOOKUP(Y25,CHO!$B$2:$O$36,14,FALSE),"")</f>
        <v>26 OZ , 12 (8+4), +11 ±</v>
      </c>
      <c r="Z27" s="298"/>
      <c r="AA27" s="298"/>
      <c r="AB27" s="299" t="str">
        <f>IFERROR(VLOOKUP(Y25,CHO!$B$48:$AA$82,14,FALSE),"")</f>
        <v>106 OZ, 59 (34+25)</v>
      </c>
      <c r="AC27" s="299"/>
      <c r="AD27" s="300"/>
      <c r="AE27" s="33"/>
      <c r="AF27" s="33"/>
      <c r="AG27" s="33"/>
      <c r="AH27" s="33"/>
      <c r="AI27" s="33"/>
      <c r="AJ27" s="33"/>
      <c r="AK27" s="16"/>
      <c r="AL27" s="16"/>
      <c r="AM27" s="16"/>
      <c r="AN27" s="16"/>
      <c r="AO27" s="33"/>
      <c r="AP27" s="33"/>
      <c r="AQ27" s="297" t="str">
        <f>IFERROR(VLOOKUP(AQ25,VIT!$B$2:$O$36,14,FALSE),"")</f>
        <v>23 OZ , 17 (14+3), -1 ±</v>
      </c>
      <c r="AR27" s="298"/>
      <c r="AS27" s="298"/>
      <c r="AT27" s="299" t="str">
        <f>IFERROR(VLOOKUP(AQ25,VIT!$B$48:$R$82,14,FALSE),"")</f>
        <v>170 OZ, 155 (122+33)</v>
      </c>
      <c r="AU27" s="299"/>
      <c r="AV27" s="300"/>
      <c r="AW27" s="33"/>
      <c r="AX27" s="33"/>
      <c r="AY27" s="33"/>
      <c r="AZ27" s="33"/>
      <c r="BA27" s="33"/>
      <c r="BB27" s="33"/>
      <c r="BC27" s="16"/>
      <c r="BD27" s="16"/>
      <c r="BE27" s="16"/>
      <c r="BF27" s="16"/>
      <c r="BG27" s="33"/>
      <c r="BH27" s="33"/>
      <c r="BI27" s="297" t="str">
        <f>IFERROR(VLOOKUP(BI25,MB!$B$2:$O$36,14,FALSE),"")</f>
        <v>25 OZ , 11 (6+5), +16 ±</v>
      </c>
      <c r="BJ27" s="298"/>
      <c r="BK27" s="298"/>
      <c r="BL27" s="299" t="str">
        <f>IFERROR(VLOOKUP(BI25,MB!$B$48:$R$82,14,FALSE),"")</f>
        <v>25 OZ, 11 (6+5)</v>
      </c>
      <c r="BM27" s="299"/>
      <c r="BN27" s="300"/>
      <c r="BO27" s="33"/>
      <c r="BP27" s="33"/>
      <c r="BQ27" s="33"/>
      <c r="BR27" s="33"/>
      <c r="BS27" s="33"/>
      <c r="BT27" s="33"/>
      <c r="BU27" s="16"/>
      <c r="BV27" s="16"/>
      <c r="BW27" s="16"/>
      <c r="BX27" s="16"/>
      <c r="BY27" s="33"/>
      <c r="BZ27" s="33"/>
      <c r="CA27" s="297" t="str">
        <f>IFERROR(VLOOKUP(CA25,TAT!$B$2:$O$36,14,FALSE),"")</f>
        <v/>
      </c>
      <c r="CB27" s="298"/>
      <c r="CC27" s="298"/>
      <c r="CD27" s="299" t="str">
        <f>IFERROR(VLOOKUP(CA25,TAT!$B$48:$R$82,14,FALSE),"")</f>
        <v/>
      </c>
      <c r="CE27" s="299"/>
      <c r="CF27" s="300"/>
      <c r="CG27" s="33"/>
      <c r="CH27" s="33"/>
      <c r="CI27" s="33"/>
      <c r="CJ27" s="33"/>
      <c r="CK27" s="33"/>
      <c r="CL27" s="33"/>
      <c r="CM27" s="16"/>
      <c r="CN27" s="16"/>
      <c r="CO27" s="16"/>
      <c r="CP27" s="16"/>
      <c r="CQ27" s="33"/>
      <c r="CR27" s="33"/>
      <c r="CS27" s="297" t="str">
        <f>IFERROR(VLOOKUP(CS25,OTR!$B$2:$O$36,14,FALSE),"")</f>
        <v>17 OZ , 7 (4+3), -24 ±</v>
      </c>
      <c r="CT27" s="298"/>
      <c r="CU27" s="298"/>
      <c r="CV27" s="299" t="str">
        <f>IFERROR(VLOOKUP(CS25,OTR!$B$48:$R$82,14,FALSE),"")</f>
        <v>201 OZ, 119 (76+43)</v>
      </c>
      <c r="CW27" s="299"/>
      <c r="CX27" s="300"/>
      <c r="CY27" s="33"/>
      <c r="CZ27" s="33"/>
      <c r="DA27" s="33"/>
      <c r="DB27" s="33"/>
      <c r="DC27" s="33"/>
      <c r="DD27" s="33"/>
      <c r="DE27" s="16"/>
      <c r="DF27" s="16"/>
      <c r="DG27" s="16"/>
      <c r="DH27" s="16"/>
      <c r="DI27" s="33"/>
      <c r="DJ27" s="33"/>
      <c r="DK27" s="297" t="str">
        <f>IFERROR(VLOOKUP(DK25,BOH!$B$2:$O$36,14,FALSE),"")</f>
        <v>15 OZ , 7 (4+3), +13 ±</v>
      </c>
      <c r="DL27" s="298"/>
      <c r="DM27" s="298"/>
      <c r="DN27" s="299" t="str">
        <f>IFERROR(VLOOKUP(DK25,BOH!$B$48:$R$82,14,FALSE),"")</f>
        <v>15 OZ, 7 (4+3)</v>
      </c>
      <c r="DO27" s="299"/>
      <c r="DP27" s="300"/>
      <c r="DQ27" s="33"/>
      <c r="DR27" s="33"/>
      <c r="DS27" s="33"/>
      <c r="DT27" s="33"/>
      <c r="DU27" s="33"/>
      <c r="DV27" s="33"/>
      <c r="DW27" s="16"/>
      <c r="DX27" s="16"/>
      <c r="DY27" s="16"/>
      <c r="DZ27" s="16"/>
      <c r="EA27" s="33"/>
      <c r="EB27" s="33"/>
      <c r="EC27" s="297" t="str">
        <f>IFERROR(VLOOKUP(EC25,SPA!$B$2:$O$36,14,FALSE),"")</f>
        <v/>
      </c>
      <c r="ED27" s="298"/>
      <c r="EE27" s="298"/>
      <c r="EF27" s="299" t="str">
        <f>IFERROR(VLOOKUP(EC25,SPA!$B$48:$R$82,14,FALSE),"")</f>
        <v/>
      </c>
      <c r="EG27" s="299"/>
      <c r="EH27" s="300"/>
      <c r="EI27" s="33"/>
      <c r="EJ27" s="33"/>
      <c r="EK27" s="33"/>
      <c r="EL27" s="33"/>
      <c r="EM27" s="33"/>
      <c r="EN27" s="33"/>
      <c r="EO27" s="16"/>
      <c r="EP27" s="16"/>
      <c r="EQ27" s="16"/>
      <c r="ER27" s="16"/>
      <c r="ES27" s="33"/>
      <c r="ET27" s="33"/>
      <c r="EU27" s="297" t="str">
        <f>IFERROR(VLOOKUP(EU25,CLP!$B$2:$O$36,14,FALSE),"")</f>
        <v/>
      </c>
      <c r="EV27" s="298"/>
      <c r="EW27" s="298"/>
      <c r="EX27" s="299" t="str">
        <f>IFERROR(VLOOKUP(EU25,CLP!$B$48:$R$82,14,FALSE),"")</f>
        <v/>
      </c>
      <c r="EY27" s="299"/>
      <c r="EZ27" s="300"/>
      <c r="FA27" s="33"/>
      <c r="FB27" s="33"/>
      <c r="FC27" s="33"/>
      <c r="FD27" s="33"/>
      <c r="FE27" s="33"/>
      <c r="FF27" s="33"/>
      <c r="FG27" s="16"/>
      <c r="FH27" s="16"/>
      <c r="FI27" s="16"/>
      <c r="FJ27" s="16"/>
      <c r="FK27" s="33"/>
      <c r="FL27" s="33"/>
      <c r="FM27" s="297" t="str">
        <f>IFERROR(VLOOKUP(FM25,LIB!$B$2:$O$36,14,FALSE),"")</f>
        <v>22 OZ , 26 (9+17), +6 ±</v>
      </c>
      <c r="FN27" s="298"/>
      <c r="FO27" s="298"/>
      <c r="FP27" s="299" t="str">
        <f>IFERROR(VLOOKUP(FM25,LIB!$B$48:$R$82,14,FALSE),"")</f>
        <v>22 OZ, 26 (9+17)</v>
      </c>
      <c r="FQ27" s="299"/>
      <c r="FR27" s="300"/>
      <c r="FS27" s="33"/>
      <c r="FT27" s="33"/>
      <c r="FU27" s="33"/>
      <c r="FV27" s="33"/>
      <c r="FW27" s="33"/>
      <c r="FX27" s="33"/>
      <c r="FY27" s="16"/>
      <c r="FZ27" s="16"/>
      <c r="GA27" s="16"/>
      <c r="GB27" s="16"/>
      <c r="GC27" s="33"/>
      <c r="GD27" s="33"/>
      <c r="GE27" s="297" t="str">
        <f>IFERROR(VLOOKUP(GE25,HAT!$B$2:$O$36,14,FALSE),"")</f>
        <v/>
      </c>
      <c r="GF27" s="298"/>
      <c r="GG27" s="298"/>
      <c r="GH27" s="299" t="str">
        <f>IFERROR(VLOOKUP(GE25,HAT!$B$48:$R$82,14,FALSE),"")</f>
        <v/>
      </c>
      <c r="GI27" s="299"/>
      <c r="GJ27" s="300"/>
      <c r="GK27" s="33"/>
      <c r="GL27" s="33"/>
      <c r="GM27" s="33"/>
      <c r="GN27" s="33"/>
      <c r="GO27" s="33"/>
      <c r="GP27" s="33"/>
    </row>
    <row r="28" spans="1:198" ht="15.6" customHeight="1" thickTop="1" thickBot="1" x14ac:dyDescent="0.3">
      <c r="A28" s="286" t="s">
        <v>23</v>
      </c>
      <c r="B28" s="287"/>
      <c r="C28" s="287"/>
      <c r="D28" s="287"/>
      <c r="E28" s="32" t="str">
        <f>IFERROR(IF(VLOOKUP(A28,SKV!$B$48:$AA$82,10,FALSE)=0,"",VLOOKUP(A28,SKV!$B$48:$AA$82,10,FALSE)),"")</f>
        <v/>
      </c>
      <c r="F28" s="52">
        <f>IFERROR(VLOOKUP(A28,SKV!$B$48:$AA$82,9,FALSE),"")</f>
        <v>2</v>
      </c>
      <c r="G28" s="263" t="str">
        <f>IFERROR(VLOOKUP(G25,SKV!$B$48:$AA$82,16,FALSE),"")</f>
        <v>Future</v>
      </c>
      <c r="H28" s="264"/>
      <c r="I28" s="265"/>
      <c r="J28" s="266">
        <f>IFERROR(VLOOKUP(G25,SKV!$B$48:$AA$82,17,FALSE),"")</f>
        <v>2005</v>
      </c>
      <c r="K28" s="267"/>
      <c r="L28" s="124">
        <f>IFERROR(VLOOKUP(G25,SKV!$B$48:$AA$82,8,FALSE),"")</f>
        <v>5</v>
      </c>
      <c r="M28" s="286" t="s">
        <v>17</v>
      </c>
      <c r="N28" s="287"/>
      <c r="O28" s="287"/>
      <c r="P28" s="287"/>
      <c r="Q28" s="32" t="str">
        <f>IFERROR(IF(VLOOKUP(M28,SKV!$B$48:$AA$82,10,FALSE)=0,"",VLOOKUP(M28,SKV!$B$48:$AA$82,10,FALSE)),"")</f>
        <v/>
      </c>
      <c r="R28" s="52">
        <f>IFERROR(VLOOKUP(M28,SKV!$B$48:$AA$82,9,FALSE),"")</f>
        <v>4</v>
      </c>
      <c r="S28" s="286" t="s">
        <v>170</v>
      </c>
      <c r="T28" s="287"/>
      <c r="U28" s="287"/>
      <c r="V28" s="287"/>
      <c r="W28" s="32" t="str">
        <f>IFERROR(IF(VLOOKUP(S28,CHO!$B$48:$AA$82,10,FALSE)=0,"",VLOOKUP(S28,CHO!$B$48:$AA$82,10,FALSE)),"")</f>
        <v/>
      </c>
      <c r="X28" s="52">
        <f>IFERROR(VLOOKUP(S28,CHO!$B$48:$AA$82,9,FALSE),"")</f>
        <v>4</v>
      </c>
      <c r="Y28" s="263" t="str">
        <f>IFERROR(VLOOKUP(Y25,CHO!$B$48:$AA$82,16,FALSE),"")</f>
        <v>FBC Plzeň</v>
      </c>
      <c r="Z28" s="264"/>
      <c r="AA28" s="265"/>
      <c r="AB28" s="266">
        <f>IFERROR(VLOOKUP(Y25,CHO!$B$48:$AA$82,17,FALSE),"")</f>
        <v>2009</v>
      </c>
      <c r="AC28" s="267"/>
      <c r="AD28" s="124">
        <f>IFERROR(VLOOKUP(Y25,CHO!$B$48:$AA$82,8,FALSE),"")</f>
        <v>6</v>
      </c>
      <c r="AE28" s="286" t="s">
        <v>185</v>
      </c>
      <c r="AF28" s="287"/>
      <c r="AG28" s="287"/>
      <c r="AH28" s="287"/>
      <c r="AI28" s="32" t="str">
        <f>IFERROR(IF(VLOOKUP(AE28,CHO!$B$48:$AA$82,10,FALSE)=0,"",VLOOKUP(AE28,CHO!$B$48:$AA$82,10,FALSE)),"")</f>
        <v/>
      </c>
      <c r="AJ28" s="52">
        <f>IFERROR(VLOOKUP(AE28,CHO!$B$48:$AA$82,9,FALSE),"")</f>
        <v>15</v>
      </c>
      <c r="AK28" s="286" t="s">
        <v>265</v>
      </c>
      <c r="AL28" s="287"/>
      <c r="AM28" s="287"/>
      <c r="AN28" s="287"/>
      <c r="AO28" s="32" t="str">
        <f>IFERROR(IF(VLOOKUP(AK28,VIT!$B$48:$R$82,10,FALSE)=0,"",VLOOKUP(AK28,VIT!$B$48:$R$82,10,FALSE)),"")</f>
        <v/>
      </c>
      <c r="AP28" s="52">
        <f>IFERROR(VLOOKUP(AK28,VIT!$B$48:$R$82,9,FALSE),"")</f>
        <v>43</v>
      </c>
      <c r="AQ28" s="263" t="str">
        <f>IFERROR(VLOOKUP(AQ25,VIT!$B$48:$R$82,16,FALSE),"")</f>
        <v>1. SC Vítkovice</v>
      </c>
      <c r="AR28" s="264"/>
      <c r="AS28" s="265"/>
      <c r="AT28" s="266">
        <f>IFERROR(VLOOKUP(AQ25,VIT!$B$48:$R$82,17,FALSE),"")</f>
        <v>2001</v>
      </c>
      <c r="AU28" s="267"/>
      <c r="AV28" s="36">
        <f>IFERROR(VLOOKUP(AQ25,VIT!$B$48:$R$82,8,FALSE),"")</f>
        <v>8</v>
      </c>
      <c r="AW28" s="286" t="s">
        <v>266</v>
      </c>
      <c r="AX28" s="287"/>
      <c r="AY28" s="287"/>
      <c r="AZ28" s="287"/>
      <c r="BA28" s="32" t="str">
        <f>IFERROR(IF(VLOOKUP(AW28,VIT!$B$48:$R$82,10,FALSE)=0,"",VLOOKUP(AW28,VIT!$B$48:$R$82,10,FALSE)),"")</f>
        <v/>
      </c>
      <c r="BB28" s="52">
        <f>IFERROR(VLOOKUP(AW28,VIT!$B$48:$R$82,9,FALSE),"")</f>
        <v>47</v>
      </c>
      <c r="BC28" s="286" t="s">
        <v>305</v>
      </c>
      <c r="BD28" s="287"/>
      <c r="BE28" s="287"/>
      <c r="BF28" s="287"/>
      <c r="BG28" s="32" t="str">
        <f>IFERROR(IF(VLOOKUP(BC28,MB!$B$48:$R$82,10,FALSE)=0,"",VLOOKUP(BC28,MB!$B$48:$R$82,10,FALSE)),"")</f>
        <v/>
      </c>
      <c r="BH28" s="52">
        <f>IFERROR(VLOOKUP(BC28,MB!$B$48:$R$82,9,FALSE),"")</f>
        <v>28</v>
      </c>
      <c r="BI28" s="263" t="str">
        <f>IFERROR(VLOOKUP(BI25,MB!$B$48:$R$82,16,FALSE),"")</f>
        <v>Mladá Boleslav</v>
      </c>
      <c r="BJ28" s="264"/>
      <c r="BK28" s="265"/>
      <c r="BL28" s="266">
        <f>IFERROR(VLOOKUP(BI25,MB!$B$48:$R$82,17,FALSE),"")</f>
        <v>2011</v>
      </c>
      <c r="BM28" s="267"/>
      <c r="BN28" s="124">
        <f>IFERROR(VLOOKUP(BI25,MB!$B$48:$R$82,8,FALSE),"")</f>
        <v>1</v>
      </c>
      <c r="BO28" s="286" t="s">
        <v>299</v>
      </c>
      <c r="BP28" s="287"/>
      <c r="BQ28" s="287"/>
      <c r="BR28" s="287"/>
      <c r="BS28" s="32" t="str">
        <f>IFERROR(IF(VLOOKUP(BO28,MB!$B$48:$R$82,10,FALSE)=0,"",VLOOKUP(BO28,MB!$B$48:$R$82,10,FALSE)),"")</f>
        <v/>
      </c>
      <c r="BT28" s="52">
        <f>IFERROR(VLOOKUP(BO28,MB!$B$48:$R$82,9,FALSE),"")</f>
        <v>18</v>
      </c>
      <c r="BU28" s="286"/>
      <c r="BV28" s="287"/>
      <c r="BW28" s="287"/>
      <c r="BX28" s="287"/>
      <c r="BY28" s="32" t="str">
        <f>IFERROR(IF(VLOOKUP(BU28,TAT!$B$48:$R$82,10,FALSE)=0,"",VLOOKUP(BU28,TAT!$B$48:$R$82,10,FALSE)),"")</f>
        <v/>
      </c>
      <c r="BZ28" s="52" t="str">
        <f>IFERROR(VLOOKUP(BU28,TAT!$B$48:$R$82,9,FALSE),"")</f>
        <v/>
      </c>
      <c r="CA28" s="263" t="str">
        <f>IFERROR(VLOOKUP(CA25,TAT!$B$48:$R$82,16,FALSE),"")</f>
        <v/>
      </c>
      <c r="CB28" s="264"/>
      <c r="CC28" s="265"/>
      <c r="CD28" s="266" t="str">
        <f>IFERROR(VLOOKUP(CA25,TAT!$B$48:$R$82,17,FALSE),"")</f>
        <v/>
      </c>
      <c r="CE28" s="267"/>
      <c r="CF28" s="124" t="str">
        <f>IFERROR(VLOOKUP(CA25,TAT!$B$48:$R$82,8,FALSE),"")</f>
        <v/>
      </c>
      <c r="CG28" s="286"/>
      <c r="CH28" s="287"/>
      <c r="CI28" s="287"/>
      <c r="CJ28" s="287"/>
      <c r="CK28" s="32" t="str">
        <f>IFERROR(IF(VLOOKUP(CG28,TAT!$B$48:$R$82,10,FALSE)=0,"",VLOOKUP(CG28,TAT!$B$48:$R$82,10,FALSE)),"")</f>
        <v/>
      </c>
      <c r="CL28" s="52" t="str">
        <f>IFERROR(VLOOKUP(CG28,TAT!$B$48:$R$82,9,FALSE),"")</f>
        <v/>
      </c>
      <c r="CM28" s="286" t="s">
        <v>421</v>
      </c>
      <c r="CN28" s="287"/>
      <c r="CO28" s="287"/>
      <c r="CP28" s="287"/>
      <c r="CQ28" s="32" t="str">
        <f>IFERROR(IF(VLOOKUP(CM28,OTR!$B$48:$R$82,10,FALSE)=0,"",VLOOKUP(CM28,OTR!$B$48:$R$82,10,FALSE)),"")</f>
        <v/>
      </c>
      <c r="CR28" s="52">
        <f>IFERROR(VLOOKUP(CM28,OTR!$B$48:$R$82,9,FALSE),"")</f>
        <v>82</v>
      </c>
      <c r="CS28" s="263" t="str">
        <f>IFERROR(VLOOKUP(CS25,OTR!$B$48:$R$82,16,FALSE),"")</f>
        <v>Bedea Kroměříž</v>
      </c>
      <c r="CT28" s="264"/>
      <c r="CU28" s="265"/>
      <c r="CV28" s="266">
        <f>IFERROR(VLOOKUP(CS25,OTR!$B$48:$R$82,17,FALSE),"")</f>
        <v>1998</v>
      </c>
      <c r="CW28" s="267"/>
      <c r="CX28" s="124">
        <f>IFERROR(VLOOKUP(CS25,OTR!$B$48:$R$82,8,FALSE),"")</f>
        <v>10</v>
      </c>
      <c r="CY28" s="286"/>
      <c r="CZ28" s="287"/>
      <c r="DA28" s="287"/>
      <c r="DB28" s="287"/>
      <c r="DC28" s="32" t="str">
        <f>IFERROR(IF(VLOOKUP(CY28,OTR!$B$48:$R$82,10,FALSE)=0,"",VLOOKUP(CY28,OTR!$B$48:$R$82,10,FALSE)),"")</f>
        <v/>
      </c>
      <c r="DD28" s="52" t="str">
        <f>IFERROR(VLOOKUP(CY28,OTR!$B$48:$R$82,9,FALSE),"")</f>
        <v/>
      </c>
      <c r="DE28" s="286" t="s">
        <v>488</v>
      </c>
      <c r="DF28" s="287"/>
      <c r="DG28" s="287"/>
      <c r="DH28" s="287"/>
      <c r="DI28" s="32" t="str">
        <f>IFERROR(IF(VLOOKUP(DE28,BOH!$B$48:$R$82,10,FALSE)=0,"",VLOOKUP(DE28,BOH!$B$48:$R$82,10,FALSE)),"")</f>
        <v/>
      </c>
      <c r="DJ28" s="52">
        <f>IFERROR(VLOOKUP(DE28,BOH!$B$48:$R$82,9,FALSE),"")</f>
        <v>44</v>
      </c>
      <c r="DK28" s="263" t="str">
        <f>IFERROR(VLOOKUP(DK25,BOH!$B$48:$R$82,16,FALSE),"")</f>
        <v>Bulldogs Brno</v>
      </c>
      <c r="DL28" s="264"/>
      <c r="DM28" s="265"/>
      <c r="DN28" s="266">
        <f>IFERROR(VLOOKUP(DK25,BOH!$B$48:$R$82,17,FALSE),"")</f>
        <v>2014</v>
      </c>
      <c r="DO28" s="267"/>
      <c r="DP28" s="124">
        <f>IFERROR(VLOOKUP(DK25,BOH!$B$48:$R$82,8,FALSE),"")</f>
        <v>1</v>
      </c>
      <c r="DQ28" s="286" t="s">
        <v>493</v>
      </c>
      <c r="DR28" s="287"/>
      <c r="DS28" s="287"/>
      <c r="DT28" s="287"/>
      <c r="DU28" s="32" t="str">
        <f>IFERROR(IF(VLOOKUP(DQ28,BOH!$B$48:$R$82,10,FALSE)=0,"",VLOOKUP(DQ28,BOH!$B$48:$R$82,10,FALSE)),"")</f>
        <v/>
      </c>
      <c r="DV28" s="52">
        <f>IFERROR(VLOOKUP(DQ28,BOH!$B$48:$R$82,9,FALSE),"")</f>
        <v>50</v>
      </c>
      <c r="DW28" s="286"/>
      <c r="DX28" s="287"/>
      <c r="DY28" s="287"/>
      <c r="DZ28" s="287"/>
      <c r="EA28" s="32" t="str">
        <f>IFERROR(IF(VLOOKUP(DW28,SPA!$B$48:$R$82,10,FALSE)=0,"",VLOOKUP(DW28,SPA!$B$48:$R$82,10,FALSE)),"")</f>
        <v/>
      </c>
      <c r="EB28" s="52" t="str">
        <f>IFERROR(VLOOKUP(DW28,SPA!$B$48:$R$82,9,FALSE),"")</f>
        <v/>
      </c>
      <c r="EC28" s="263" t="str">
        <f>IFERROR(VLOOKUP(EC25,SPA!$B$48:$R$82,16,FALSE),"")</f>
        <v/>
      </c>
      <c r="ED28" s="264"/>
      <c r="EE28" s="265"/>
      <c r="EF28" s="266" t="str">
        <f>IFERROR(VLOOKUP(EC25,SPA!$B$48:$R$82,17,FALSE),"")</f>
        <v/>
      </c>
      <c r="EG28" s="267"/>
      <c r="EH28" s="124" t="str">
        <f>IFERROR(VLOOKUP(EC25,SPA!$B$48:$R$82,8,FALSE),"")</f>
        <v/>
      </c>
      <c r="EI28" s="286"/>
      <c r="EJ28" s="287"/>
      <c r="EK28" s="287"/>
      <c r="EL28" s="287"/>
      <c r="EM28" s="32" t="str">
        <f>IFERROR(IF(VLOOKUP(EI28,SPA!$B$48:$R$82,10,FALSE)=0,"",VLOOKUP(EI28,SPA!$B$48:$R$82,10,FALSE)),"")</f>
        <v/>
      </c>
      <c r="EN28" s="52" t="str">
        <f>IFERROR(VLOOKUP(EI28,SPA!$B$48:$R$82,9,FALSE),"")</f>
        <v/>
      </c>
      <c r="EO28" s="286"/>
      <c r="EP28" s="287"/>
      <c r="EQ28" s="287"/>
      <c r="ER28" s="287"/>
      <c r="ES28" s="32" t="str">
        <f>IFERROR(IF(VLOOKUP(EO28,CLP!$B$48:$R$82,10,FALSE)=0,"",VLOOKUP(EO28,CLP!$B$48:$R$82,10,FALSE)),"")</f>
        <v/>
      </c>
      <c r="ET28" s="52" t="str">
        <f>IFERROR(VLOOKUP(EO28,CLP!$B$48:$R$82,9,FALSE),"")</f>
        <v/>
      </c>
      <c r="EU28" s="263" t="str">
        <f>IFERROR(VLOOKUP(EU25,CLP!$B$48:$R$82,16,FALSE),"")</f>
        <v/>
      </c>
      <c r="EV28" s="264"/>
      <c r="EW28" s="265"/>
      <c r="EX28" s="266" t="str">
        <f>IFERROR(VLOOKUP(EU25,CLP!$B$48:$R$82,17,FALSE),"")</f>
        <v/>
      </c>
      <c r="EY28" s="267"/>
      <c r="EZ28" s="124" t="str">
        <f>IFERROR(VLOOKUP(EU25,CLP!$B$48:$R$82,8,FALSE),"")</f>
        <v/>
      </c>
      <c r="FA28" s="286"/>
      <c r="FB28" s="287"/>
      <c r="FC28" s="287"/>
      <c r="FD28" s="287"/>
      <c r="FE28" s="32" t="str">
        <f>IFERROR(IF(VLOOKUP(FA28,CLP!$B$48:$R$82,10,FALSE)=0,"",VLOOKUP(FA28,CLP!$B$48:$R$82,10,FALSE)),"")</f>
        <v/>
      </c>
      <c r="FF28" s="52" t="str">
        <f>IFERROR(VLOOKUP(FA28,CLP!$B$48:$R$82,9,FALSE),"")</f>
        <v/>
      </c>
      <c r="FG28" s="286" t="s">
        <v>768</v>
      </c>
      <c r="FH28" s="287"/>
      <c r="FI28" s="287"/>
      <c r="FJ28" s="287"/>
      <c r="FK28" s="32" t="str">
        <f>IFERROR(IF(VLOOKUP(FG28,LIB!$B$48:$R$82,10,FALSE)=0,"",VLOOKUP(FG28,LIB!$B$48:$R$82,10,FALSE)),"")</f>
        <v/>
      </c>
      <c r="FL28" s="52">
        <f>IFERROR(VLOOKUP(FG28,LIB!$B$48:$R$82,9,FALSE),"")</f>
        <v>8</v>
      </c>
      <c r="FM28" s="263" t="str">
        <f>IFERROR(VLOOKUP(FM25,LIB!$B$48:$R$82,16,FALSE),"")</f>
        <v>FBC Liberec</v>
      </c>
      <c r="FN28" s="264"/>
      <c r="FO28" s="265"/>
      <c r="FP28" s="266">
        <f>IFERROR(VLOOKUP(FM25,LIB!$B$48:$R$82,17,FALSE),"")</f>
        <v>2010</v>
      </c>
      <c r="FQ28" s="267"/>
      <c r="FR28" s="124">
        <f>IFERROR(VLOOKUP(FM25,LIB!$B$48:$R$82,8,FALSE),"")</f>
        <v>1</v>
      </c>
      <c r="FS28" s="286" t="s">
        <v>764</v>
      </c>
      <c r="FT28" s="287"/>
      <c r="FU28" s="287"/>
      <c r="FV28" s="287"/>
      <c r="FW28" s="32" t="str">
        <f>IFERROR(IF(VLOOKUP(FS28,LIB!$B$48:$R$82,10,FALSE)=0,"",VLOOKUP(FS28,LIB!$B$48:$R$82,10,FALSE)),"")</f>
        <v/>
      </c>
      <c r="FX28" s="52">
        <f>IFERROR(VLOOKUP(FS28,LIB!$B$48:$R$82,9,FALSE),"")</f>
        <v>67</v>
      </c>
      <c r="FY28" s="286"/>
      <c r="FZ28" s="287"/>
      <c r="GA28" s="287"/>
      <c r="GB28" s="287"/>
      <c r="GC28" s="32" t="str">
        <f>IFERROR(IF(VLOOKUP(FY28,HAT!$B$48:$R$82,10,FALSE)=0,"",VLOOKUP(FY28,HAT!$B$48:$R$82,10,FALSE)),"")</f>
        <v/>
      </c>
      <c r="GD28" s="52" t="str">
        <f>IFERROR(VLOOKUP(FY28,HAT!$B$48:$R$82,9,FALSE),"")</f>
        <v/>
      </c>
      <c r="GE28" s="263" t="str">
        <f>IFERROR(VLOOKUP(GE25,HAT!$B$48:$R$82,16,FALSE),"")</f>
        <v/>
      </c>
      <c r="GF28" s="264"/>
      <c r="GG28" s="265"/>
      <c r="GH28" s="266" t="str">
        <f>IFERROR(VLOOKUP(GE25,HAT!$B$48:$R$82,17,FALSE),"")</f>
        <v/>
      </c>
      <c r="GI28" s="267"/>
      <c r="GJ28" s="124" t="str">
        <f>IFERROR(VLOOKUP(GE25,HAT!$B$48:$R$82,8,FALSE),"")</f>
        <v/>
      </c>
      <c r="GK28" s="286"/>
      <c r="GL28" s="287"/>
      <c r="GM28" s="287"/>
      <c r="GN28" s="287"/>
      <c r="GO28" s="32" t="str">
        <f>IFERROR(IF(VLOOKUP(GK28,HAT!$B$48:$R$82,10,FALSE)=0,"",VLOOKUP(GK28,HAT!$B$48:$R$82,10,FALSE)),"")</f>
        <v/>
      </c>
      <c r="GP28" s="52" t="str">
        <f>IFERROR(VLOOKUP(GK28,HAT!$B$48:$R$82,9,FALSE),"")</f>
        <v/>
      </c>
    </row>
    <row r="29" spans="1:198" ht="15.6" customHeight="1" thickBot="1" x14ac:dyDescent="0.3">
      <c r="A29" s="34" t="str">
        <f>IFERROR(VLOOKUP(A28,SKV!$B$48:$AA$82,11,FALSE),"")</f>
        <v>P</v>
      </c>
      <c r="B29" s="289">
        <f>IFERROR(YEAR(VLOOKUP(A28,SKV!$B$48:$AA$82,2,FALSE)),"")</f>
        <v>1994</v>
      </c>
      <c r="C29" s="260"/>
      <c r="D29" s="35">
        <f ca="1">IFERROR(VLOOKUP(A28,SKV!$B$48:$AA$82,3,FALSE),"")</f>
        <v>27</v>
      </c>
      <c r="E29" s="290" t="str">
        <f>IFERROR(VLOOKUP(A28,SKV!$B$48:$AA$82,15,FALSE),"")</f>
        <v>187/93</v>
      </c>
      <c r="F29" s="291"/>
      <c r="G29" s="33"/>
      <c r="H29" s="33"/>
      <c r="I29" s="33"/>
      <c r="J29" s="33"/>
      <c r="K29" s="33"/>
      <c r="L29" s="33"/>
      <c r="M29" s="34" t="str">
        <f>IFERROR(VLOOKUP(M28,SKV!$B$48:$AA$82,11,FALSE),"")</f>
        <v>L</v>
      </c>
      <c r="N29" s="289">
        <f>IFERROR(YEAR(VLOOKUP(M28,SKV!$B$48:$AA$82,2,FALSE)),"")</f>
        <v>1992</v>
      </c>
      <c r="O29" s="260"/>
      <c r="P29" s="35">
        <f ca="1">IFERROR(VLOOKUP(M28,SKV!$B$48:$AA$82,3,FALSE),"")</f>
        <v>29</v>
      </c>
      <c r="Q29" s="290" t="str">
        <f>IFERROR(VLOOKUP(M28,SKV!$B$48:$AA$82,15,FALSE),"")</f>
        <v>197/92</v>
      </c>
      <c r="R29" s="291"/>
      <c r="S29" s="34" t="str">
        <f>IFERROR(VLOOKUP(S28,CHO!$B$48:$AA$82,11,FALSE),"")</f>
        <v>L</v>
      </c>
      <c r="T29" s="289">
        <f>IFERROR(YEAR(VLOOKUP(S28,CHO!$B$48:$AA$82,2,FALSE)),"")</f>
        <v>1999</v>
      </c>
      <c r="U29" s="260"/>
      <c r="V29" s="35">
        <f ca="1">IFERROR(VLOOKUP(S28,CHO!$B$48:$AA$82,3,FALSE),"")</f>
        <v>22</v>
      </c>
      <c r="W29" s="290" t="str">
        <f>IFERROR(VLOOKUP(S28,CHO!$B$48:$AA$82,15,FALSE),"")</f>
        <v>184/78</v>
      </c>
      <c r="X29" s="291"/>
      <c r="Y29" s="33"/>
      <c r="Z29" s="33"/>
      <c r="AA29" s="33"/>
      <c r="AB29" s="33"/>
      <c r="AC29" s="33"/>
      <c r="AD29" s="33"/>
      <c r="AE29" s="34" t="str">
        <f>IFERROR(VLOOKUP(AE28,CHO!$B$48:$AA$82,11,FALSE),"")</f>
        <v>L</v>
      </c>
      <c r="AF29" s="289">
        <f>IFERROR(YEAR(VLOOKUP(AE28,CHO!$B$48:$AA$82,2,FALSE)),"")</f>
        <v>1987</v>
      </c>
      <c r="AG29" s="260"/>
      <c r="AH29" s="35">
        <f ca="1">IFERROR(VLOOKUP(AE28,CHO!$B$48:$AA$82,3,FALSE),"")</f>
        <v>33</v>
      </c>
      <c r="AI29" s="290" t="str">
        <f>IFERROR(VLOOKUP(AE28,CHO!$B$48:$AA$82,15,FALSE),"")</f>
        <v>178/80</v>
      </c>
      <c r="AJ29" s="291"/>
      <c r="AK29" s="34" t="str">
        <f>IFERROR(VLOOKUP(AK28,VIT!$B$48:$R$82,11,FALSE),"")</f>
        <v>L</v>
      </c>
      <c r="AL29" s="289">
        <f>IFERROR(YEAR(VLOOKUP(AK28,VIT!$B$48:$R$82,2,FALSE)),"")</f>
        <v>1991</v>
      </c>
      <c r="AM29" s="260"/>
      <c r="AN29" s="106">
        <f ca="1">IFERROR(VLOOKUP(AK28,VIT!$B$48:$R$82,3,FALSE),"")</f>
        <v>30</v>
      </c>
      <c r="AO29" s="290" t="str">
        <f>IFERROR(VLOOKUP(AK28,VIT!$B$48:$R$82,15,FALSE),"")</f>
        <v>179/76</v>
      </c>
      <c r="AP29" s="291"/>
      <c r="AQ29" s="33"/>
      <c r="AR29" s="33"/>
      <c r="AS29" s="33"/>
      <c r="AT29" s="33"/>
      <c r="AU29" s="33"/>
      <c r="AV29" s="33"/>
      <c r="AW29" s="34" t="str">
        <f>IFERROR(VLOOKUP(AW28,VIT!$B$48:$R$82,11,FALSE),"")</f>
        <v>L</v>
      </c>
      <c r="AX29" s="289">
        <f>IFERROR(YEAR(VLOOKUP(AW28,VIT!$B$48:$R$82,2,FALSE)),"")</f>
        <v>2000</v>
      </c>
      <c r="AY29" s="260"/>
      <c r="AZ29" s="106">
        <f ca="1">IFERROR(VLOOKUP(AW28,VIT!$B$48:$R$82,3,FALSE),"")</f>
        <v>20</v>
      </c>
      <c r="BA29" s="290" t="str">
        <f>IFERROR(VLOOKUP(AW28,VIT!$B$48:$R$82,15,FALSE),"")</f>
        <v>189/80</v>
      </c>
      <c r="BB29" s="291"/>
      <c r="BC29" s="34" t="str">
        <f>IFERROR(VLOOKUP(BC28,MB!$B$48:$R$82,11,FALSE),"")</f>
        <v>P</v>
      </c>
      <c r="BD29" s="289">
        <f>IFERROR(YEAR(VLOOKUP(BC28,MB!$B$48:$R$82,2,FALSE)),"")</f>
        <v>1996</v>
      </c>
      <c r="BE29" s="260"/>
      <c r="BF29" s="108">
        <f ca="1">IFERROR(VLOOKUP(BC28,MB!$B$48:$R$82,3,FALSE),"")</f>
        <v>24</v>
      </c>
      <c r="BG29" s="290" t="str">
        <f>IFERROR(VLOOKUP(BC28,MB!$B$48:$R$82,15,FALSE),"")</f>
        <v>183/85</v>
      </c>
      <c r="BH29" s="291"/>
      <c r="BI29" s="33"/>
      <c r="BJ29" s="33"/>
      <c r="BK29" s="33"/>
      <c r="BL29" s="33"/>
      <c r="BM29" s="33"/>
      <c r="BN29" s="33"/>
      <c r="BO29" s="34" t="str">
        <f>IFERROR(VLOOKUP(BO28,MB!$B$48:$R$82,11,FALSE),"")</f>
        <v>L</v>
      </c>
      <c r="BP29" s="289">
        <f>IFERROR(YEAR(VLOOKUP(BO28,MB!$B$48:$R$82,2,FALSE)),"")</f>
        <v>1994</v>
      </c>
      <c r="BQ29" s="260"/>
      <c r="BR29" s="108">
        <f ca="1">IFERROR(VLOOKUP(BO28,MB!$B$48:$R$82,3,FALSE),"")</f>
        <v>26</v>
      </c>
      <c r="BS29" s="290" t="str">
        <f>IFERROR(VLOOKUP(BO28,MB!$B$48:$R$82,15,FALSE),"")</f>
        <v>182/71</v>
      </c>
      <c r="BT29" s="291"/>
      <c r="BU29" s="34" t="str">
        <f>IFERROR(VLOOKUP(BU28,TAT!$B$48:$R$82,11,FALSE),"")</f>
        <v/>
      </c>
      <c r="BV29" s="289" t="str">
        <f>IFERROR(YEAR(VLOOKUP(BU28,TAT!$B$48:$R$82,2,FALSE)),"")</f>
        <v/>
      </c>
      <c r="BW29" s="260"/>
      <c r="BX29" s="150" t="str">
        <f>IFERROR(VLOOKUP(BU28,TAT!$B$48:$R$82,3,FALSE),"")</f>
        <v/>
      </c>
      <c r="BY29" s="290" t="str">
        <f>IFERROR(VLOOKUP(BU28,TAT!$B$48:$R$82,15,FALSE),"")</f>
        <v/>
      </c>
      <c r="BZ29" s="291"/>
      <c r="CA29" s="33"/>
      <c r="CB29" s="33"/>
      <c r="CC29" s="33"/>
      <c r="CD29" s="33"/>
      <c r="CE29" s="33"/>
      <c r="CF29" s="33"/>
      <c r="CG29" s="34" t="str">
        <f>IFERROR(VLOOKUP(CG28,TAT!$B$48:$R$82,11,FALSE),"")</f>
        <v/>
      </c>
      <c r="CH29" s="289" t="str">
        <f>IFERROR(YEAR(VLOOKUP(CG28,TAT!$B$48:$R$82,2,FALSE)),"")</f>
        <v/>
      </c>
      <c r="CI29" s="260"/>
      <c r="CJ29" s="150" t="str">
        <f>IFERROR(VLOOKUP(CG28,TAT!$B$48:$R$82,3,FALSE),"")</f>
        <v/>
      </c>
      <c r="CK29" s="290" t="str">
        <f>IFERROR(VLOOKUP(CG28,TAT!$B$48:$R$82,15,FALSE),"")</f>
        <v/>
      </c>
      <c r="CL29" s="291"/>
      <c r="CM29" s="34" t="str">
        <f>IFERROR(VLOOKUP(CM28,OTR!$B$48:$R$82,11,FALSE),"")</f>
        <v>L</v>
      </c>
      <c r="CN29" s="289">
        <f>IFERROR(YEAR(VLOOKUP(CM28,OTR!$B$48:$R$82,2,FALSE)),"")</f>
        <v>2002</v>
      </c>
      <c r="CO29" s="260"/>
      <c r="CP29" s="150">
        <f ca="1">IFERROR(VLOOKUP(CM28,OTR!$B$48:$R$82,3,FALSE),"")</f>
        <v>18</v>
      </c>
      <c r="CQ29" s="290" t="str">
        <f>IFERROR(VLOOKUP(CM28,OTR!$B$48:$R$82,15,FALSE),"")</f>
        <v>187/78</v>
      </c>
      <c r="CR29" s="291"/>
      <c r="CS29" s="33"/>
      <c r="CT29" s="33"/>
      <c r="CU29" s="33"/>
      <c r="CV29" s="33"/>
      <c r="CW29" s="33"/>
      <c r="CX29" s="33"/>
      <c r="CY29" s="34" t="str">
        <f>IFERROR(VLOOKUP(CY28,OTR!$B$48:$R$82,11,FALSE),"")</f>
        <v/>
      </c>
      <c r="CZ29" s="289" t="str">
        <f>IFERROR(YEAR(VLOOKUP(CY28,OTR!$B$48:$R$82,2,FALSE)),"")</f>
        <v/>
      </c>
      <c r="DA29" s="260"/>
      <c r="DB29" s="150" t="str">
        <f>IFERROR(VLOOKUP(CY28,OTR!$B$48:$R$82,3,FALSE),"")</f>
        <v/>
      </c>
      <c r="DC29" s="290" t="str">
        <f>IFERROR(VLOOKUP(CY28,OTR!$B$48:$R$82,15,FALSE),"")</f>
        <v/>
      </c>
      <c r="DD29" s="291"/>
      <c r="DE29" s="34" t="str">
        <f>IFERROR(VLOOKUP(DE28,BOH!$B$48:$R$82,11,FALSE),"")</f>
        <v>P</v>
      </c>
      <c r="DF29" s="289">
        <f>IFERROR(YEAR(VLOOKUP(DE28,BOH!$B$48:$R$82,2,FALSE)),"")</f>
        <v>1992</v>
      </c>
      <c r="DG29" s="260"/>
      <c r="DH29" s="165">
        <f ca="1">IFERROR(VLOOKUP(DE28,BOH!$B$48:$R$82,3,FALSE),"")</f>
        <v>28</v>
      </c>
      <c r="DI29" s="290" t="str">
        <f>IFERROR(VLOOKUP(DE28,BOH!$B$48:$R$82,15,FALSE),"")</f>
        <v>184/84</v>
      </c>
      <c r="DJ29" s="291"/>
      <c r="DK29" s="33"/>
      <c r="DL29" s="33"/>
      <c r="DM29" s="33"/>
      <c r="DN29" s="33"/>
      <c r="DO29" s="33"/>
      <c r="DP29" s="33"/>
      <c r="DQ29" s="34" t="str">
        <f>IFERROR(VLOOKUP(DQ28,BOH!$B$48:$R$82,11,FALSE),"")</f>
        <v>P</v>
      </c>
      <c r="DR29" s="289">
        <f>IFERROR(YEAR(VLOOKUP(DQ28,BOH!$B$48:$R$82,2,FALSE)),"")</f>
        <v>2002</v>
      </c>
      <c r="DS29" s="260"/>
      <c r="DT29" s="165">
        <f ca="1">IFERROR(VLOOKUP(DQ28,BOH!$B$48:$R$82,3,FALSE),"")</f>
        <v>18</v>
      </c>
      <c r="DU29" s="290" t="str">
        <f>IFERROR(VLOOKUP(DQ28,BOH!$B$48:$R$82,15,FALSE),"")</f>
        <v>180/65</v>
      </c>
      <c r="DV29" s="291"/>
      <c r="DW29" s="34" t="str">
        <f>IFERROR(VLOOKUP(DW28,SPA!$B$48:$R$82,11,FALSE),"")</f>
        <v/>
      </c>
      <c r="DX29" s="289" t="str">
        <f>IFERROR(YEAR(VLOOKUP(DW28,SPA!$B$48:$R$82,2,FALSE)),"")</f>
        <v/>
      </c>
      <c r="DY29" s="260"/>
      <c r="DZ29" s="165" t="str">
        <f>IFERROR(VLOOKUP(DW28,SPA!$B$48:$R$82,3,FALSE),"")</f>
        <v/>
      </c>
      <c r="EA29" s="290" t="str">
        <f>IFERROR(VLOOKUP(DW28,SPA!$B$48:$R$82,15,FALSE),"")</f>
        <v/>
      </c>
      <c r="EB29" s="291"/>
      <c r="EC29" s="33"/>
      <c r="ED29" s="33"/>
      <c r="EE29" s="33"/>
      <c r="EF29" s="33"/>
      <c r="EG29" s="33"/>
      <c r="EH29" s="33"/>
      <c r="EI29" s="34" t="str">
        <f>IFERROR(VLOOKUP(EI28,SPA!$B$48:$R$82,11,FALSE),"")</f>
        <v/>
      </c>
      <c r="EJ29" s="289" t="str">
        <f>IFERROR(YEAR(VLOOKUP(EI28,SPA!$B$48:$R$82,2,FALSE)),"")</f>
        <v/>
      </c>
      <c r="EK29" s="260"/>
      <c r="EL29" s="165" t="str">
        <f>IFERROR(VLOOKUP(EI28,SPA!$B$48:$R$82,3,FALSE),"")</f>
        <v/>
      </c>
      <c r="EM29" s="290" t="str">
        <f>IFERROR(VLOOKUP(EI28,SPA!$B$48:$R$82,15,FALSE),"")</f>
        <v/>
      </c>
      <c r="EN29" s="291"/>
      <c r="EO29" s="34" t="str">
        <f>IFERROR(VLOOKUP(EO28,CLP!$B$48:$R$82,11,FALSE),"")</f>
        <v/>
      </c>
      <c r="EP29" s="289" t="str">
        <f>IFERROR(YEAR(VLOOKUP(EO28,CLP!$B$48:$R$82,2,FALSE)),"")</f>
        <v/>
      </c>
      <c r="EQ29" s="260"/>
      <c r="ER29" s="204" t="str">
        <f>IFERROR(VLOOKUP(EO28,CLP!$B$48:$R$82,3,FALSE),"")</f>
        <v/>
      </c>
      <c r="ES29" s="290" t="str">
        <f>IFERROR(VLOOKUP(EO28,CLP!$B$48:$R$82,15,FALSE),"")</f>
        <v/>
      </c>
      <c r="ET29" s="291"/>
      <c r="EU29" s="33"/>
      <c r="EV29" s="33"/>
      <c r="EW29" s="33"/>
      <c r="EX29" s="33"/>
      <c r="EY29" s="33"/>
      <c r="EZ29" s="33"/>
      <c r="FA29" s="34" t="str">
        <f>IFERROR(VLOOKUP(FA28,CLP!$B$48:$R$82,11,FALSE),"")</f>
        <v/>
      </c>
      <c r="FB29" s="289" t="str">
        <f>IFERROR(YEAR(VLOOKUP(FA28,CLP!$B$48:$R$82,2,FALSE)),"")</f>
        <v/>
      </c>
      <c r="FC29" s="260"/>
      <c r="FD29" s="204" t="str">
        <f>IFERROR(VLOOKUP(FA28,CLP!$B$48:$R$82,3,FALSE),"")</f>
        <v/>
      </c>
      <c r="FE29" s="290" t="str">
        <f>IFERROR(VLOOKUP(FA28,CLP!$B$48:$R$82,15,FALSE),"")</f>
        <v/>
      </c>
      <c r="FF29" s="291"/>
      <c r="FG29" s="34" t="str">
        <f>IFERROR(VLOOKUP(FG28,LIB!$B$48:$R$82,11,FALSE),"")</f>
        <v>L</v>
      </c>
      <c r="FH29" s="289">
        <f>IFERROR(YEAR(VLOOKUP(FG28,LIB!$B$48:$R$82,2,FALSE)),"")</f>
        <v>1996</v>
      </c>
      <c r="FI29" s="260"/>
      <c r="FJ29" s="204">
        <f ca="1">IFERROR(VLOOKUP(FG28,LIB!$B$48:$R$82,3,FALSE),"")</f>
        <v>25</v>
      </c>
      <c r="FK29" s="290" t="str">
        <f>IFERROR(VLOOKUP(FG28,LIB!$B$48:$R$82,15,FALSE),"")</f>
        <v>180/73</v>
      </c>
      <c r="FL29" s="291"/>
      <c r="FM29" s="33"/>
      <c r="FN29" s="33"/>
      <c r="FO29" s="33"/>
      <c r="FP29" s="33"/>
      <c r="FQ29" s="33"/>
      <c r="FR29" s="33"/>
      <c r="FS29" s="34" t="str">
        <f>IFERROR(VLOOKUP(FS28,LIB!$B$48:$R$82,11,FALSE),"")</f>
        <v>L</v>
      </c>
      <c r="FT29" s="289">
        <f>IFERROR(YEAR(VLOOKUP(FS28,LIB!$B$48:$R$82,2,FALSE)),"")</f>
        <v>1998</v>
      </c>
      <c r="FU29" s="260"/>
      <c r="FV29" s="204">
        <f ca="1">IFERROR(VLOOKUP(FS28,LIB!$B$48:$R$82,3,FALSE),"")</f>
        <v>22</v>
      </c>
      <c r="FW29" s="290" t="str">
        <f>IFERROR(VLOOKUP(FS28,LIB!$B$48:$R$82,15,FALSE),"")</f>
        <v>188/72</v>
      </c>
      <c r="FX29" s="291"/>
      <c r="FY29" s="34" t="str">
        <f>IFERROR(VLOOKUP(FY28,HAT!$B$48:$R$82,11,FALSE),"")</f>
        <v/>
      </c>
      <c r="FZ29" s="289" t="str">
        <f>IFERROR(YEAR(VLOOKUP(FY28,HAT!$B$48:$R$82,2,FALSE)),"")</f>
        <v/>
      </c>
      <c r="GA29" s="260"/>
      <c r="GB29" s="211" t="str">
        <f>IFERROR(VLOOKUP(FY28,HAT!$B$48:$R$82,3,FALSE),"")</f>
        <v/>
      </c>
      <c r="GC29" s="290" t="str">
        <f>IFERROR(VLOOKUP(FY28,HAT!$B$48:$R$82,15,FALSE),"")</f>
        <v/>
      </c>
      <c r="GD29" s="291"/>
      <c r="GE29" s="33"/>
      <c r="GF29" s="33"/>
      <c r="GG29" s="33"/>
      <c r="GH29" s="33"/>
      <c r="GI29" s="33"/>
      <c r="GJ29" s="33"/>
      <c r="GK29" s="34" t="str">
        <f>IFERROR(VLOOKUP(GK28,HAT!$B$48:$R$82,11,FALSE),"")</f>
        <v/>
      </c>
      <c r="GL29" s="289" t="str">
        <f>IFERROR(YEAR(VLOOKUP(GK28,HAT!$B$48:$R$82,2,FALSE)),"")</f>
        <v/>
      </c>
      <c r="GM29" s="260"/>
      <c r="GN29" s="211" t="str">
        <f>IFERROR(VLOOKUP(GK28,HAT!$B$48:$R$82,3,FALSE),"")</f>
        <v/>
      </c>
      <c r="GO29" s="290" t="str">
        <f>IFERROR(VLOOKUP(GK28,HAT!$B$48:$R$82,15,FALSE),"")</f>
        <v/>
      </c>
      <c r="GP29" s="291"/>
    </row>
    <row r="30" spans="1:198" ht="15.6" customHeight="1" x14ac:dyDescent="0.25">
      <c r="A30" s="297" t="str">
        <f>IFERROR(VLOOKUP(A28,SKV!$B$2:$O$36,14,FALSE),"")</f>
        <v>23 OZ , 2 (1+1), -15 ±</v>
      </c>
      <c r="B30" s="298"/>
      <c r="C30" s="298"/>
      <c r="D30" s="299" t="str">
        <f>IFERROR(VLOOKUP(A28,SKV!$B$48:$AA$82,14,FALSE),"")</f>
        <v>138 OZ, 29 (14+15)</v>
      </c>
      <c r="E30" s="299"/>
      <c r="F30" s="300"/>
      <c r="G30" s="33"/>
      <c r="H30" s="301" t="str">
        <f>H$8</f>
        <v>SKV</v>
      </c>
      <c r="I30" s="301"/>
      <c r="J30" s="301"/>
      <c r="K30" s="301"/>
      <c r="L30" s="33"/>
      <c r="M30" s="297" t="str">
        <f>IFERROR(VLOOKUP(M28,SKV!$B$2:$O$36,14,FALSE),"")</f>
        <v>24 OZ , 7 (4+3), -18 ±</v>
      </c>
      <c r="N30" s="298"/>
      <c r="O30" s="298"/>
      <c r="P30" s="299" t="str">
        <f>IFERROR(VLOOKUP(M28,SKV!$B$48:$AA$82,14,FALSE),"")</f>
        <v>103 OZ, 26 (8+18)</v>
      </c>
      <c r="Q30" s="299"/>
      <c r="R30" s="300"/>
      <c r="S30" s="297" t="str">
        <f>IFERROR(VLOOKUP(S28,CHO!$B$2:$O$36,14,FALSE),"")</f>
        <v>16 OZ , 11 (5+6), +6 ±</v>
      </c>
      <c r="T30" s="298"/>
      <c r="U30" s="298"/>
      <c r="V30" s="299" t="str">
        <f>IFERROR(VLOOKUP(S28,CHO!$B$48:$AA$82,14,FALSE),"")</f>
        <v>94 OZ, 53 (36+17)</v>
      </c>
      <c r="W30" s="299"/>
      <c r="X30" s="300"/>
      <c r="Y30" s="33"/>
      <c r="Z30" s="301" t="str">
        <f>$Z$8</f>
        <v>CHO</v>
      </c>
      <c r="AA30" s="301"/>
      <c r="AB30" s="301"/>
      <c r="AC30" s="301"/>
      <c r="AD30" s="33"/>
      <c r="AE30" s="297" t="str">
        <f>IFERROR(VLOOKUP(AE28,CHO!$B$2:$O$36,14,FALSE),"")</f>
        <v>24 OZ , 1 (1+0), +15 ±</v>
      </c>
      <c r="AF30" s="298"/>
      <c r="AG30" s="298"/>
      <c r="AH30" s="299" t="str">
        <f>IFERROR(VLOOKUP(AE28,CHO!$B$48:$AA$82,14,FALSE),"")</f>
        <v>317 OZ, 191 (96+95)</v>
      </c>
      <c r="AI30" s="299"/>
      <c r="AJ30" s="300"/>
      <c r="AK30" s="297" t="str">
        <f>IFERROR(VLOOKUP(AK28,VIT!$B$2:$O$36,14,FALSE),"")</f>
        <v>17 OZ , 6 (2+4), +1 ±</v>
      </c>
      <c r="AL30" s="298"/>
      <c r="AM30" s="298"/>
      <c r="AN30" s="299" t="str">
        <f>IFERROR(VLOOKUP(AK28,VIT!$B$48:$R$82,14,FALSE),"")</f>
        <v>179 OZ, 118 (36+82)</v>
      </c>
      <c r="AO30" s="299"/>
      <c r="AP30" s="300"/>
      <c r="AQ30" s="33"/>
      <c r="AR30" s="301" t="str">
        <f>AR$8</f>
        <v>VIT</v>
      </c>
      <c r="AS30" s="301"/>
      <c r="AT30" s="301"/>
      <c r="AU30" s="301"/>
      <c r="AV30" s="33"/>
      <c r="AW30" s="297" t="str">
        <f>IFERROR(VLOOKUP(AW28,VIT!$B$2:$O$36,14,FALSE),"")</f>
        <v>25 OZ , 3 (1+2), -3 ±</v>
      </c>
      <c r="AX30" s="298"/>
      <c r="AY30" s="298"/>
      <c r="AZ30" s="299" t="str">
        <f>IFERROR(VLOOKUP(AW28,VIT!$B$48:$R$82,14,FALSE),"")</f>
        <v>51 OZ, 14 (5+9)</v>
      </c>
      <c r="BA30" s="299"/>
      <c r="BB30" s="300"/>
      <c r="BC30" s="297" t="str">
        <f>IFERROR(VLOOKUP(BC28,MB!$B$2:$O$36,14,FALSE),"")</f>
        <v>22 OZ , 5 (2+3), +6 ±</v>
      </c>
      <c r="BD30" s="298"/>
      <c r="BE30" s="298"/>
      <c r="BF30" s="299" t="str">
        <f>IFERROR(VLOOKUP(BC28,MB!$B$48:$R$82,14,FALSE),"")</f>
        <v>152 OZ, 70 (37+33)</v>
      </c>
      <c r="BG30" s="299"/>
      <c r="BH30" s="300"/>
      <c r="BI30" s="33"/>
      <c r="BJ30" s="301" t="str">
        <f>BJ$8</f>
        <v>MB</v>
      </c>
      <c r="BK30" s="301"/>
      <c r="BL30" s="301"/>
      <c r="BM30" s="301"/>
      <c r="BN30" s="33"/>
      <c r="BO30" s="297" t="str">
        <f>IFERROR(VLOOKUP(BO28,MB!$B$2:$O$36,14,FALSE),"")</f>
        <v>26 OZ , 16 (6+10), +21 ±</v>
      </c>
      <c r="BP30" s="298"/>
      <c r="BQ30" s="298"/>
      <c r="BR30" s="299" t="str">
        <f>IFERROR(VLOOKUP(BO28,MB!$B$48:$R$82,14,FALSE),"")</f>
        <v>184 OZ, 120 (60+60)</v>
      </c>
      <c r="BS30" s="299"/>
      <c r="BT30" s="300"/>
      <c r="BU30" s="297" t="str">
        <f>IFERROR(VLOOKUP(BU28,TAT!$B$2:$O$36,14,FALSE),"")</f>
        <v/>
      </c>
      <c r="BV30" s="298"/>
      <c r="BW30" s="298"/>
      <c r="BX30" s="299" t="str">
        <f>IFERROR(VLOOKUP(BU28,TAT!$B$48:$R$82,14,FALSE),"")</f>
        <v/>
      </c>
      <c r="BY30" s="299"/>
      <c r="BZ30" s="300"/>
      <c r="CA30" s="33"/>
      <c r="CB30" s="301" t="str">
        <f>CB$8</f>
        <v>TAT</v>
      </c>
      <c r="CC30" s="301"/>
      <c r="CD30" s="301"/>
      <c r="CE30" s="301"/>
      <c r="CF30" s="33"/>
      <c r="CG30" s="297" t="str">
        <f>IFERROR(VLOOKUP(CG28,TAT!$B$2:$O$36,14,FALSE),"")</f>
        <v/>
      </c>
      <c r="CH30" s="298"/>
      <c r="CI30" s="298"/>
      <c r="CJ30" s="299" t="str">
        <f>IFERROR(VLOOKUP(CG28,TAT!$B$48:$R$82,14,FALSE),"")</f>
        <v/>
      </c>
      <c r="CK30" s="299"/>
      <c r="CL30" s="300"/>
      <c r="CM30" s="297" t="str">
        <f>IFERROR(VLOOKUP(CM28,OTR!$B$2:$O$36,14,FALSE),"")</f>
        <v>21 OZ , 2 (0+2), -21 ±</v>
      </c>
      <c r="CN30" s="298"/>
      <c r="CO30" s="298"/>
      <c r="CP30" s="299" t="str">
        <f>IFERROR(VLOOKUP(CM28,OTR!$B$48:$R$82,14,FALSE),"")</f>
        <v>33 OZ, 3 (0+3)</v>
      </c>
      <c r="CQ30" s="299"/>
      <c r="CR30" s="300"/>
      <c r="CS30" s="33"/>
      <c r="CT30" s="301" t="str">
        <f>CT$8</f>
        <v>OTR</v>
      </c>
      <c r="CU30" s="301"/>
      <c r="CV30" s="301"/>
      <c r="CW30" s="301"/>
      <c r="CX30" s="33"/>
      <c r="CY30" s="297" t="str">
        <f>IFERROR(VLOOKUP(CY28,OTR!$B$2:$O$36,14,FALSE),"")</f>
        <v/>
      </c>
      <c r="CZ30" s="298"/>
      <c r="DA30" s="298"/>
      <c r="DB30" s="299" t="str">
        <f>IFERROR(VLOOKUP(CY28,OTR!$B$48:$R$82,14,FALSE),"")</f>
        <v/>
      </c>
      <c r="DC30" s="299"/>
      <c r="DD30" s="300"/>
      <c r="DE30" s="297" t="str">
        <f>IFERROR(VLOOKUP(DE28,BOH!$B$2:$O$36,14,FALSE),"")</f>
        <v>23 OZ , 13 (3+10), -6 ±</v>
      </c>
      <c r="DF30" s="298"/>
      <c r="DG30" s="298"/>
      <c r="DH30" s="299" t="str">
        <f>IFERROR(VLOOKUP(DE28,BOH!$B$48:$R$82,14,FALSE),"")</f>
        <v>243 OZ, 135 (69+66)</v>
      </c>
      <c r="DI30" s="299"/>
      <c r="DJ30" s="300"/>
      <c r="DK30" s="33"/>
      <c r="DL30" s="301" t="str">
        <f>DL$8</f>
        <v>BOH</v>
      </c>
      <c r="DM30" s="301"/>
      <c r="DN30" s="301"/>
      <c r="DO30" s="301"/>
      <c r="DP30" s="33"/>
      <c r="DQ30" s="297" t="str">
        <f>IFERROR(VLOOKUP(DQ28,BOH!$B$2:$O$36,14,FALSE),"")</f>
        <v>14 OZ , 4 (2+2), +4 ±</v>
      </c>
      <c r="DR30" s="298"/>
      <c r="DS30" s="298"/>
      <c r="DT30" s="299" t="str">
        <f>IFERROR(VLOOKUP(DQ28,BOH!$B$48:$R$82,14,FALSE),"")</f>
        <v>14 OZ, 4 (2+2)</v>
      </c>
      <c r="DU30" s="299"/>
      <c r="DV30" s="300"/>
      <c r="DW30" s="297" t="str">
        <f>IFERROR(VLOOKUP(DW28,SPA!$B$2:$O$36,14,FALSE),"")</f>
        <v/>
      </c>
      <c r="DX30" s="298"/>
      <c r="DY30" s="298"/>
      <c r="DZ30" s="299" t="str">
        <f>IFERROR(VLOOKUP(DW28,SPA!$B$48:$R$82,14,FALSE),"")</f>
        <v/>
      </c>
      <c r="EA30" s="299"/>
      <c r="EB30" s="300"/>
      <c r="EC30" s="33"/>
      <c r="ED30" s="301" t="str">
        <f>ED$8</f>
        <v>SPA</v>
      </c>
      <c r="EE30" s="301"/>
      <c r="EF30" s="301"/>
      <c r="EG30" s="301"/>
      <c r="EH30" s="33"/>
      <c r="EI30" s="297" t="str">
        <f>IFERROR(VLOOKUP(EI28,SPA!$B$2:$O$36,14,FALSE),"")</f>
        <v/>
      </c>
      <c r="EJ30" s="298"/>
      <c r="EK30" s="298"/>
      <c r="EL30" s="299" t="str">
        <f>IFERROR(VLOOKUP(EI28,SPA!$B$48:$R$82,14,FALSE),"")</f>
        <v/>
      </c>
      <c r="EM30" s="299"/>
      <c r="EN30" s="300"/>
      <c r="EO30" s="297" t="str">
        <f>IFERROR(VLOOKUP(EO28,CLP!$B$2:$O$36,14,FALSE),"")</f>
        <v/>
      </c>
      <c r="EP30" s="298"/>
      <c r="EQ30" s="298"/>
      <c r="ER30" s="299" t="str">
        <f>IFERROR(VLOOKUP(EO28,CLP!$B$48:$R$82,14,FALSE),"")</f>
        <v/>
      </c>
      <c r="ES30" s="299"/>
      <c r="ET30" s="300"/>
      <c r="EU30" s="33"/>
      <c r="EV30" s="301" t="str">
        <f>EV$8</f>
        <v>CLP</v>
      </c>
      <c r="EW30" s="301"/>
      <c r="EX30" s="301"/>
      <c r="EY30" s="301"/>
      <c r="EZ30" s="33"/>
      <c r="FA30" s="297" t="str">
        <f>IFERROR(VLOOKUP(FA28,CLP!$B$2:$O$36,14,FALSE),"")</f>
        <v/>
      </c>
      <c r="FB30" s="298"/>
      <c r="FC30" s="298"/>
      <c r="FD30" s="299" t="str">
        <f>IFERROR(VLOOKUP(FA28,CLP!$B$48:$R$82,14,FALSE),"")</f>
        <v/>
      </c>
      <c r="FE30" s="299"/>
      <c r="FF30" s="300"/>
      <c r="FG30" s="297" t="str">
        <f>IFERROR(VLOOKUP(FG28,LIB!$B$2:$O$36,14,FALSE),"")</f>
        <v>26 OZ , 2 (1+1), -11 ±</v>
      </c>
      <c r="FH30" s="298"/>
      <c r="FI30" s="298"/>
      <c r="FJ30" s="299" t="str">
        <f>IFERROR(VLOOKUP(FG28,LIB!$B$48:$R$82,14,FALSE),"")</f>
        <v>121 OZ, 16 (4+12)</v>
      </c>
      <c r="FK30" s="299"/>
      <c r="FL30" s="300"/>
      <c r="FM30" s="33"/>
      <c r="FN30" s="301" t="str">
        <f>FN$8</f>
        <v>LIB</v>
      </c>
      <c r="FO30" s="301"/>
      <c r="FP30" s="301"/>
      <c r="FQ30" s="301"/>
      <c r="FR30" s="33"/>
      <c r="FS30" s="297" t="str">
        <f>IFERROR(VLOOKUP(FS28,LIB!$B$2:$O$36,14,FALSE),"")</f>
        <v>20 OZ , 3 (2+1), -1 ±</v>
      </c>
      <c r="FT30" s="298"/>
      <c r="FU30" s="298"/>
      <c r="FV30" s="299" t="str">
        <f>IFERROR(VLOOKUP(FS28,LIB!$B$48:$R$82,14,FALSE),"")</f>
        <v>105 OZ, 33 (22+11)</v>
      </c>
      <c r="FW30" s="299"/>
      <c r="FX30" s="300"/>
      <c r="FY30" s="297" t="str">
        <f>IFERROR(VLOOKUP(FY28,HAT!$B$2:$O$36,14,FALSE),"")</f>
        <v/>
      </c>
      <c r="FZ30" s="298"/>
      <c r="GA30" s="298"/>
      <c r="GB30" s="299" t="str">
        <f>IFERROR(VLOOKUP(FY28,HAT!$B$48:$R$82,14,FALSE),"")</f>
        <v/>
      </c>
      <c r="GC30" s="299"/>
      <c r="GD30" s="300"/>
      <c r="GE30" s="33"/>
      <c r="GF30" s="301" t="str">
        <f>GF$8</f>
        <v>HAT</v>
      </c>
      <c r="GG30" s="301"/>
      <c r="GH30" s="301"/>
      <c r="GI30" s="301"/>
      <c r="GJ30" s="33"/>
      <c r="GK30" s="297" t="str">
        <f>IFERROR(VLOOKUP(GK28,HAT!$B$2:$O$36,14,FALSE),"")</f>
        <v/>
      </c>
      <c r="GL30" s="298"/>
      <c r="GM30" s="298"/>
      <c r="GN30" s="299" t="str">
        <f>IFERROR(VLOOKUP(GK28,HAT!$B$48:$R$82,14,FALSE),"")</f>
        <v/>
      </c>
      <c r="GO30" s="299"/>
      <c r="GP30" s="300"/>
    </row>
    <row r="31" spans="1:198" ht="15.6" customHeight="1" thickBot="1" x14ac:dyDescent="0.3">
      <c r="A31" s="263" t="str">
        <f>IFERROR(VLOOKUP(A28,SKV!$B$48:$AA$82,16,FALSE),"")</f>
        <v>Florbal Chodov</v>
      </c>
      <c r="B31" s="264"/>
      <c r="C31" s="265"/>
      <c r="D31" s="266">
        <f>IFERROR(VLOOKUP(A28,SKV!$B$48:$AA$82,17,FALSE),"")</f>
        <v>2001</v>
      </c>
      <c r="E31" s="267"/>
      <c r="F31" s="124">
        <f>IFERROR(VLOOKUP(A28,SKV!$B$48:$AA$82,8,FALSE),"")</f>
        <v>8</v>
      </c>
      <c r="G31" s="33"/>
      <c r="H31" s="301"/>
      <c r="I31" s="301"/>
      <c r="J31" s="301"/>
      <c r="K31" s="301"/>
      <c r="L31" s="33"/>
      <c r="M31" s="263" t="str">
        <f>IFERROR(VLOOKUP(M28,SKV!$B$48:$AA$82,16,FALSE),"")</f>
        <v>Česká Lípa</v>
      </c>
      <c r="N31" s="264"/>
      <c r="O31" s="265"/>
      <c r="P31" s="266">
        <f>IFERROR(VLOOKUP(M28,SKV!$B$48:$AA$82,17,FALSE),"")</f>
        <v>2007</v>
      </c>
      <c r="Q31" s="267"/>
      <c r="R31" s="124">
        <f>IFERROR(VLOOKUP(M28,SKV!$B$48:$AA$82,8,FALSE),"")</f>
        <v>5</v>
      </c>
      <c r="S31" s="263" t="str">
        <f>IFERROR(VLOOKUP(S28,CHO!$B$48:$AA$82,16,FALSE),"")</f>
        <v>Wizards DDM</v>
      </c>
      <c r="T31" s="264"/>
      <c r="U31" s="265"/>
      <c r="V31" s="266">
        <f>IFERROR(VLOOKUP(S28,CHO!$B$48:$AA$82,17,FALSE),"")</f>
        <v>2008</v>
      </c>
      <c r="W31" s="267"/>
      <c r="X31" s="124">
        <f>IFERROR(VLOOKUP(S28,CHO!$B$48:$AA$82,8,FALSE),"")</f>
        <v>5</v>
      </c>
      <c r="Y31" s="33"/>
      <c r="Z31" s="301"/>
      <c r="AA31" s="301"/>
      <c r="AB31" s="301"/>
      <c r="AC31" s="301"/>
      <c r="AD31" s="33"/>
      <c r="AE31" s="263" t="str">
        <f>IFERROR(VLOOKUP(AE28,CHO!$B$48:$AA$82,16,FALSE),"")</f>
        <v>Tatran Střešovice</v>
      </c>
      <c r="AF31" s="264"/>
      <c r="AG31" s="265"/>
      <c r="AH31" s="266">
        <f>IFERROR(VLOOKUP(AE28,CHO!$B$48:$AA$82,17,FALSE),"")</f>
        <v>2002</v>
      </c>
      <c r="AI31" s="267"/>
      <c r="AJ31" s="124">
        <f>IFERROR(VLOOKUP(AE28,CHO!$B$48:$AA$82,8,FALSE),"")</f>
        <v>17</v>
      </c>
      <c r="AK31" s="263" t="str">
        <f>IFERROR(VLOOKUP(AK28,VIT!$B$48:$R$82,16,FALSE),"")</f>
        <v>FBC Ostrava</v>
      </c>
      <c r="AL31" s="264"/>
      <c r="AM31" s="265"/>
      <c r="AN31" s="266">
        <f>IFERROR(VLOOKUP(AK28,VIT!$B$48:$R$82,17,FALSE),"")</f>
        <v>1999</v>
      </c>
      <c r="AO31" s="267"/>
      <c r="AP31" s="124">
        <f>IFERROR(VLOOKUP(AK28,VIT!$B$48:$R$82,8,FALSE),"")</f>
        <v>9</v>
      </c>
      <c r="AQ31" s="33"/>
      <c r="AR31" s="301"/>
      <c r="AS31" s="301"/>
      <c r="AT31" s="301"/>
      <c r="AU31" s="301"/>
      <c r="AV31" s="33"/>
      <c r="AW31" s="263" t="str">
        <f>IFERROR(VLOOKUP(AW28,VIT!$B$48:$R$82,16,FALSE),"")</f>
        <v>ŠK 1. FBC Trenčín</v>
      </c>
      <c r="AX31" s="264"/>
      <c r="AY31" s="265"/>
      <c r="AZ31" s="266">
        <f>IFERROR(VLOOKUP(AW28,VIT!$B$48:$R$82,17,FALSE),"")</f>
        <v>2009</v>
      </c>
      <c r="BA31" s="267"/>
      <c r="BB31" s="124">
        <f>IFERROR(VLOOKUP(AW28,VIT!$B$48:$R$82,8,FALSE),"")</f>
        <v>2</v>
      </c>
      <c r="BC31" s="263" t="str">
        <f>IFERROR(VLOOKUP(BC28,MB!$B$48:$R$82,16,FALSE),"")</f>
        <v>FbŠ Bohemians</v>
      </c>
      <c r="BD31" s="264"/>
      <c r="BE31" s="265"/>
      <c r="BF31" s="266">
        <f>IFERROR(VLOOKUP(BC28,MB!$B$48:$R$82,17,FALSE),"")</f>
        <v>2006</v>
      </c>
      <c r="BG31" s="267"/>
      <c r="BH31" s="124">
        <f>IFERROR(VLOOKUP(BC28,MB!$B$48:$R$82,8,FALSE),"")</f>
        <v>8</v>
      </c>
      <c r="BI31" s="33"/>
      <c r="BJ31" s="301"/>
      <c r="BK31" s="301"/>
      <c r="BL31" s="301"/>
      <c r="BM31" s="301"/>
      <c r="BN31" s="33"/>
      <c r="BO31" s="263" t="str">
        <f>IFERROR(VLOOKUP(BO28,MB!$B$48:$R$82,16,FALSE),"")</f>
        <v>SSK Future</v>
      </c>
      <c r="BP31" s="264"/>
      <c r="BQ31" s="265"/>
      <c r="BR31" s="266">
        <f>IFERROR(VLOOKUP(BO28,MB!$B$48:$R$82,17,FALSE),"")</f>
        <v>2004</v>
      </c>
      <c r="BS31" s="267"/>
      <c r="BT31" s="124">
        <f>IFERROR(VLOOKUP(BO28,MB!$B$48:$R$82,8,FALSE),"")</f>
        <v>9</v>
      </c>
      <c r="BU31" s="263" t="str">
        <f>IFERROR(VLOOKUP(BU28,TAT!$B$48:$R$82,16,FALSE),"")</f>
        <v/>
      </c>
      <c r="BV31" s="264"/>
      <c r="BW31" s="265"/>
      <c r="BX31" s="266" t="str">
        <f>IFERROR(VLOOKUP(BU28,TAT!$B$48:$R$82,17,FALSE),"")</f>
        <v/>
      </c>
      <c r="BY31" s="267"/>
      <c r="BZ31" s="124" t="str">
        <f>IFERROR(VLOOKUP(BU28,TAT!$B$48:$R$82,8,FALSE),"")</f>
        <v/>
      </c>
      <c r="CA31" s="33"/>
      <c r="CB31" s="301"/>
      <c r="CC31" s="301"/>
      <c r="CD31" s="301"/>
      <c r="CE31" s="301"/>
      <c r="CF31" s="33"/>
      <c r="CG31" s="263" t="str">
        <f>IFERROR(VLOOKUP(CG28,TAT!$B$48:$R$82,16,FALSE),"")</f>
        <v/>
      </c>
      <c r="CH31" s="264"/>
      <c r="CI31" s="265"/>
      <c r="CJ31" s="266" t="str">
        <f>IFERROR(VLOOKUP(CG28,TAT!$B$48:$R$82,17,FALSE),"")</f>
        <v/>
      </c>
      <c r="CK31" s="267"/>
      <c r="CL31" s="124" t="str">
        <f>IFERROR(VLOOKUP(CG28,TAT!$B$48:$R$82,8,FALSE),"")</f>
        <v/>
      </c>
      <c r="CM31" s="263" t="str">
        <f>IFERROR(VLOOKUP(CM28,OTR!$B$48:$R$82,16,FALSE),"")</f>
        <v>Panthers Otrokovice</v>
      </c>
      <c r="CN31" s="264"/>
      <c r="CO31" s="265"/>
      <c r="CP31" s="266">
        <f>IFERROR(VLOOKUP(CM28,OTR!$B$48:$R$82,17,FALSE),"")</f>
        <v>2012</v>
      </c>
      <c r="CQ31" s="267"/>
      <c r="CR31" s="124">
        <f>IFERROR(VLOOKUP(CM28,OTR!$B$48:$R$82,8,FALSE),"")</f>
        <v>2</v>
      </c>
      <c r="CS31" s="33"/>
      <c r="CT31" s="301"/>
      <c r="CU31" s="301"/>
      <c r="CV31" s="301"/>
      <c r="CW31" s="301"/>
      <c r="CX31" s="33"/>
      <c r="CY31" s="263" t="str">
        <f>IFERROR(VLOOKUP(CY28,OTR!$B$48:$R$82,16,FALSE),"")</f>
        <v/>
      </c>
      <c r="CZ31" s="264"/>
      <c r="DA31" s="265"/>
      <c r="DB31" s="266" t="str">
        <f>IFERROR(VLOOKUP(CY28,OTR!$B$48:$R$82,17,FALSE),"")</f>
        <v/>
      </c>
      <c r="DC31" s="267"/>
      <c r="DD31" s="124" t="str">
        <f>IFERROR(VLOOKUP(CY28,OTR!$B$48:$R$82,8,FALSE),"")</f>
        <v/>
      </c>
      <c r="DE31" s="263" t="str">
        <f>IFERROR(VLOOKUP(DE28,BOH!$B$48:$R$82,16,FALSE),"")</f>
        <v>Faraos</v>
      </c>
      <c r="DF31" s="264"/>
      <c r="DG31" s="265"/>
      <c r="DH31" s="266">
        <f>IFERROR(VLOOKUP(DE28,BOH!$B$48:$R$82,17,FALSE),"")</f>
        <v>2002</v>
      </c>
      <c r="DI31" s="267"/>
      <c r="DJ31" s="124">
        <f>IFERROR(VLOOKUP(DE28,BOH!$B$48:$R$82,8,FALSE),"")</f>
        <v>11</v>
      </c>
      <c r="DK31" s="33"/>
      <c r="DL31" s="301"/>
      <c r="DM31" s="301"/>
      <c r="DN31" s="301"/>
      <c r="DO31" s="301"/>
      <c r="DP31" s="33"/>
      <c r="DQ31" s="263" t="str">
        <f>IFERROR(VLOOKUP(DQ28,BOH!$B$48:$R$82,16,FALSE),"")</f>
        <v>Florbal Ústí</v>
      </c>
      <c r="DR31" s="264"/>
      <c r="DS31" s="265"/>
      <c r="DT31" s="266">
        <f>IFERROR(VLOOKUP(DQ28,BOH!$B$48:$R$82,17,FALSE),"")</f>
        <v>2011</v>
      </c>
      <c r="DU31" s="267"/>
      <c r="DV31" s="124">
        <f>IFERROR(VLOOKUP(DQ28,BOH!$B$48:$R$82,8,FALSE),"")</f>
        <v>1</v>
      </c>
      <c r="DW31" s="263" t="str">
        <f>IFERROR(VLOOKUP(DW28,SPA!$B$48:$R$82,16,FALSE),"")</f>
        <v/>
      </c>
      <c r="DX31" s="264"/>
      <c r="DY31" s="265"/>
      <c r="DZ31" s="266" t="str">
        <f>IFERROR(VLOOKUP(DW28,SPA!$B$48:$R$82,17,FALSE),"")</f>
        <v/>
      </c>
      <c r="EA31" s="267"/>
      <c r="EB31" s="124" t="str">
        <f>IFERROR(VLOOKUP(DW28,SPA!$B$48:$R$82,8,FALSE),"")</f>
        <v/>
      </c>
      <c r="EC31" s="33"/>
      <c r="ED31" s="301"/>
      <c r="EE31" s="301"/>
      <c r="EF31" s="301"/>
      <c r="EG31" s="301"/>
      <c r="EH31" s="33"/>
      <c r="EI31" s="263" t="str">
        <f>IFERROR(VLOOKUP(EI28,SPA!$B$48:$R$82,16,FALSE),"")</f>
        <v/>
      </c>
      <c r="EJ31" s="264"/>
      <c r="EK31" s="265"/>
      <c r="EL31" s="266" t="str">
        <f>IFERROR(VLOOKUP(EI28,SPA!$B$48:$R$82,17,FALSE),"")</f>
        <v/>
      </c>
      <c r="EM31" s="267"/>
      <c r="EN31" s="124" t="str">
        <f>IFERROR(VLOOKUP(EI28,SPA!$B$48:$R$82,8,FALSE),"")</f>
        <v/>
      </c>
      <c r="EO31" s="263" t="str">
        <f>IFERROR(VLOOKUP(EO28,CLP!$B$48:$R$82,16,FALSE),"")</f>
        <v/>
      </c>
      <c r="EP31" s="264"/>
      <c r="EQ31" s="265"/>
      <c r="ER31" s="266" t="str">
        <f>IFERROR(VLOOKUP(EO28,CLP!$B$48:$R$82,17,FALSE),"")</f>
        <v/>
      </c>
      <c r="ES31" s="267"/>
      <c r="ET31" s="124" t="str">
        <f>IFERROR(VLOOKUP(EO28,CLP!$B$48:$R$82,8,FALSE),"")</f>
        <v/>
      </c>
      <c r="EU31" s="33"/>
      <c r="EV31" s="301"/>
      <c r="EW31" s="301"/>
      <c r="EX31" s="301"/>
      <c r="EY31" s="301"/>
      <c r="EZ31" s="33"/>
      <c r="FA31" s="263" t="str">
        <f>IFERROR(VLOOKUP(FA28,CLP!$B$48:$R$82,16,FALSE),"")</f>
        <v/>
      </c>
      <c r="FB31" s="264"/>
      <c r="FC31" s="265"/>
      <c r="FD31" s="266" t="str">
        <f>IFERROR(VLOOKUP(FA28,CLP!$B$48:$R$82,17,FALSE),"")</f>
        <v/>
      </c>
      <c r="FE31" s="267"/>
      <c r="FF31" s="124" t="str">
        <f>IFERROR(VLOOKUP(FA28,CLP!$B$48:$R$82,8,FALSE),"")</f>
        <v/>
      </c>
      <c r="FG31" s="263" t="str">
        <f>IFERROR(VLOOKUP(FG28,LIB!$B$48:$R$82,16,FALSE),"")</f>
        <v>FBC Liberec</v>
      </c>
      <c r="FH31" s="264"/>
      <c r="FI31" s="265"/>
      <c r="FJ31" s="266">
        <f>IFERROR(VLOOKUP(FG28,LIB!$B$48:$R$82,17,FALSE),"")</f>
        <v>2011</v>
      </c>
      <c r="FK31" s="267"/>
      <c r="FL31" s="124">
        <f>IFERROR(VLOOKUP(FG28,LIB!$B$48:$R$82,8,FALSE),"")</f>
        <v>5</v>
      </c>
      <c r="FM31" s="33"/>
      <c r="FN31" s="301"/>
      <c r="FO31" s="301"/>
      <c r="FP31" s="301"/>
      <c r="FQ31" s="301"/>
      <c r="FR31" s="33"/>
      <c r="FS31" s="263" t="str">
        <f>IFERROR(VLOOKUP(FS28,LIB!$B$48:$R$82,16,FALSE),"")</f>
        <v>FBC Liberec</v>
      </c>
      <c r="FT31" s="264"/>
      <c r="FU31" s="265"/>
      <c r="FV31" s="266">
        <f>IFERROR(VLOOKUP(FS28,LIB!$B$48:$R$82,17,FALSE),"")</f>
        <v>2006</v>
      </c>
      <c r="FW31" s="267"/>
      <c r="FX31" s="124">
        <f>IFERROR(VLOOKUP(FS28,LIB!$B$48:$R$82,8,FALSE),"")</f>
        <v>5</v>
      </c>
      <c r="FY31" s="263" t="str">
        <f>IFERROR(VLOOKUP(FY28,HAT!$B$48:$R$82,16,FALSE),"")</f>
        <v/>
      </c>
      <c r="FZ31" s="264"/>
      <c r="GA31" s="265"/>
      <c r="GB31" s="266" t="str">
        <f>IFERROR(VLOOKUP(FY28,HAT!$B$48:$R$82,17,FALSE),"")</f>
        <v/>
      </c>
      <c r="GC31" s="267"/>
      <c r="GD31" s="124" t="str">
        <f>IFERROR(VLOOKUP(FY28,HAT!$B$48:$R$82,8,FALSE),"")</f>
        <v/>
      </c>
      <c r="GE31" s="33"/>
      <c r="GF31" s="301"/>
      <c r="GG31" s="301"/>
      <c r="GH31" s="301"/>
      <c r="GI31" s="301"/>
      <c r="GJ31" s="33"/>
      <c r="GK31" s="263" t="str">
        <f>IFERROR(VLOOKUP(GK28,HAT!$B$48:$R$82,16,FALSE),"")</f>
        <v/>
      </c>
      <c r="GL31" s="264"/>
      <c r="GM31" s="265"/>
      <c r="GN31" s="266" t="str">
        <f>IFERROR(VLOOKUP(GK28,HAT!$B$48:$R$82,17,FALSE),"")</f>
        <v/>
      </c>
      <c r="GO31" s="267"/>
      <c r="GP31" s="124" t="str">
        <f>IFERROR(VLOOKUP(GK28,HAT!$B$48:$R$82,8,FALSE),"")</f>
        <v/>
      </c>
    </row>
    <row r="32" spans="1:198" ht="7.35" customHeight="1" thickTop="1" thickBot="1" x14ac:dyDescent="0.3">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R32" s="33"/>
      <c r="AS32" s="33"/>
      <c r="AT32" s="33"/>
      <c r="AU32" s="33"/>
      <c r="AV32" s="33"/>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33"/>
      <c r="CG32" s="33"/>
      <c r="CH32" s="33"/>
      <c r="CI32" s="33"/>
      <c r="CJ32" s="33"/>
      <c r="CK32" s="33"/>
      <c r="CL32" s="33"/>
      <c r="CM32" s="33"/>
      <c r="CN32" s="33"/>
      <c r="CO32" s="33"/>
      <c r="CP32" s="33"/>
      <c r="CQ32" s="33"/>
      <c r="CR32" s="33"/>
      <c r="CS32" s="33"/>
      <c r="CT32" s="33"/>
      <c r="CU32" s="33"/>
      <c r="CV32" s="33"/>
      <c r="CW32" s="33"/>
      <c r="CX32" s="33"/>
      <c r="CY32" s="33"/>
      <c r="CZ32" s="33"/>
      <c r="DA32" s="33"/>
      <c r="DB32" s="33"/>
      <c r="DC32" s="33"/>
      <c r="DD32" s="33"/>
      <c r="DE32" s="33"/>
      <c r="DF32" s="33"/>
      <c r="DG32" s="33"/>
      <c r="DH32" s="33"/>
      <c r="DI32" s="33"/>
      <c r="DJ32" s="33"/>
      <c r="DK32" s="33"/>
      <c r="DL32" s="33"/>
      <c r="DM32" s="33"/>
      <c r="DN32" s="33"/>
      <c r="DO32" s="33"/>
      <c r="DP32" s="33"/>
      <c r="DQ32" s="33"/>
      <c r="DR32" s="33"/>
      <c r="DS32" s="33"/>
      <c r="DT32" s="33"/>
      <c r="DU32" s="33"/>
      <c r="DV32" s="33"/>
      <c r="DW32" s="33"/>
      <c r="DX32" s="33"/>
      <c r="DY32" s="33"/>
      <c r="DZ32" s="33"/>
      <c r="EA32" s="33"/>
      <c r="EB32" s="33"/>
      <c r="EC32" s="33"/>
      <c r="ED32" s="33"/>
      <c r="EE32" s="33"/>
      <c r="EF32" s="33"/>
      <c r="EG32" s="33"/>
      <c r="EH32" s="33"/>
      <c r="EI32" s="33"/>
      <c r="EJ32" s="33"/>
      <c r="EK32" s="33"/>
      <c r="EL32" s="33"/>
      <c r="EM32" s="33"/>
      <c r="EN32" s="33"/>
      <c r="EO32" s="33"/>
      <c r="EP32" s="33"/>
      <c r="EQ32" s="33"/>
      <c r="ER32" s="33"/>
      <c r="ES32" s="33"/>
      <c r="ET32" s="33"/>
      <c r="EU32" s="33"/>
      <c r="EV32" s="33"/>
      <c r="EW32" s="33"/>
      <c r="EX32" s="33"/>
      <c r="EY32" s="33"/>
      <c r="EZ32" s="33"/>
      <c r="FA32" s="33"/>
      <c r="FB32" s="33"/>
      <c r="FC32" s="33"/>
      <c r="FD32" s="33"/>
      <c r="FE32" s="33"/>
      <c r="FF32" s="33"/>
      <c r="FG32" s="33"/>
      <c r="FH32" s="33"/>
      <c r="FI32" s="33"/>
      <c r="FJ32" s="33"/>
      <c r="FK32" s="33"/>
      <c r="FL32" s="33"/>
      <c r="FM32" s="33"/>
      <c r="FN32" s="33"/>
      <c r="FO32" s="33"/>
      <c r="FP32" s="33"/>
      <c r="FQ32" s="33"/>
      <c r="FR32" s="33"/>
      <c r="FS32" s="33"/>
      <c r="FT32" s="33"/>
      <c r="FU32" s="33"/>
      <c r="FV32" s="33"/>
      <c r="FW32" s="33"/>
      <c r="FX32" s="33"/>
      <c r="FY32" s="33"/>
      <c r="FZ32" s="33"/>
      <c r="GA32" s="33"/>
      <c r="GB32" s="33"/>
      <c r="GC32" s="33"/>
      <c r="GD32" s="33"/>
      <c r="GE32" s="33"/>
      <c r="GF32" s="33"/>
      <c r="GG32" s="33"/>
      <c r="GH32" s="33"/>
      <c r="GI32" s="33"/>
      <c r="GJ32" s="33"/>
      <c r="GK32" s="33"/>
      <c r="GL32" s="33"/>
      <c r="GM32" s="33"/>
      <c r="GN32" s="33"/>
      <c r="GO32" s="33"/>
      <c r="GP32" s="33"/>
    </row>
    <row r="33" spans="1:198" ht="7.35" customHeight="1" thickTop="1" thickBot="1" x14ac:dyDescent="0.3">
      <c r="A33" s="40"/>
      <c r="B33" s="40"/>
      <c r="C33" s="40"/>
      <c r="D33" s="40"/>
      <c r="E33" s="40"/>
      <c r="F33" s="40"/>
      <c r="G33" s="40"/>
      <c r="H33" s="40"/>
      <c r="I33" s="40"/>
      <c r="J33" s="40"/>
      <c r="K33" s="40"/>
      <c r="L33" s="40"/>
      <c r="M33" s="40"/>
      <c r="N33" s="40"/>
      <c r="O33" s="40"/>
      <c r="P33" s="40"/>
      <c r="Q33" s="40"/>
      <c r="R33" s="41"/>
      <c r="S33" s="40"/>
      <c r="T33" s="40"/>
      <c r="U33" s="40"/>
      <c r="V33" s="40"/>
      <c r="W33" s="40"/>
      <c r="X33" s="40"/>
      <c r="Y33" s="40"/>
      <c r="Z33" s="40"/>
      <c r="AA33" s="40"/>
      <c r="AB33" s="40"/>
      <c r="AC33" s="40"/>
      <c r="AD33" s="40"/>
      <c r="AE33" s="40"/>
      <c r="AF33" s="40"/>
      <c r="AG33" s="40"/>
      <c r="AH33" s="40"/>
      <c r="AI33" s="40"/>
      <c r="AJ33" s="41"/>
      <c r="AK33" s="40"/>
      <c r="AL33" s="40"/>
      <c r="AM33" s="40"/>
      <c r="AN33" s="40"/>
      <c r="AO33" s="40"/>
      <c r="AP33" s="40"/>
      <c r="AQ33" s="40"/>
      <c r="AR33" s="40"/>
      <c r="AS33" s="40"/>
      <c r="AT33" s="40"/>
      <c r="AU33" s="40"/>
      <c r="AV33" s="40"/>
      <c r="AW33" s="40"/>
      <c r="AX33" s="40"/>
      <c r="AY33" s="40"/>
      <c r="AZ33" s="40"/>
      <c r="BA33" s="40"/>
      <c r="BB33" s="41"/>
      <c r="BC33" s="40"/>
      <c r="BD33" s="40"/>
      <c r="BE33" s="40"/>
      <c r="BF33" s="40"/>
      <c r="BG33" s="40"/>
      <c r="BH33" s="40"/>
      <c r="BI33" s="40"/>
      <c r="BJ33" s="40"/>
      <c r="BK33" s="40"/>
      <c r="BL33" s="40"/>
      <c r="BM33" s="40"/>
      <c r="BN33" s="40"/>
      <c r="BO33" s="40"/>
      <c r="BP33" s="40"/>
      <c r="BQ33" s="40"/>
      <c r="BR33" s="40"/>
      <c r="BS33" s="40"/>
      <c r="BT33" s="41"/>
      <c r="BU33" s="40"/>
      <c r="BV33" s="40"/>
      <c r="BW33" s="40"/>
      <c r="BX33" s="40"/>
      <c r="BY33" s="40"/>
      <c r="BZ33" s="40"/>
      <c r="CA33" s="40"/>
      <c r="CB33" s="40"/>
      <c r="CC33" s="40"/>
      <c r="CD33" s="40"/>
      <c r="CE33" s="40"/>
      <c r="CF33" s="40"/>
      <c r="CG33" s="40"/>
      <c r="CH33" s="40"/>
      <c r="CI33" s="40"/>
      <c r="CJ33" s="40"/>
      <c r="CK33" s="40"/>
      <c r="CL33" s="41"/>
      <c r="CM33" s="40"/>
      <c r="CN33" s="40"/>
      <c r="CO33" s="40"/>
      <c r="CP33" s="40"/>
      <c r="CQ33" s="40"/>
      <c r="CR33" s="40"/>
      <c r="CS33" s="40"/>
      <c r="CT33" s="40"/>
      <c r="CU33" s="40"/>
      <c r="CV33" s="40"/>
      <c r="CW33" s="40"/>
      <c r="CX33" s="40"/>
      <c r="CY33" s="40"/>
      <c r="CZ33" s="40"/>
      <c r="DA33" s="40"/>
      <c r="DB33" s="40"/>
      <c r="DC33" s="40"/>
      <c r="DD33" s="41"/>
      <c r="DE33" s="40"/>
      <c r="DF33" s="40"/>
      <c r="DG33" s="40"/>
      <c r="DH33" s="40"/>
      <c r="DI33" s="40"/>
      <c r="DJ33" s="40"/>
      <c r="DK33" s="40"/>
      <c r="DL33" s="40"/>
      <c r="DM33" s="40"/>
      <c r="DN33" s="40"/>
      <c r="DO33" s="40"/>
      <c r="DP33" s="40"/>
      <c r="DQ33" s="40"/>
      <c r="DR33" s="40"/>
      <c r="DS33" s="40"/>
      <c r="DT33" s="40"/>
      <c r="DU33" s="40"/>
      <c r="DV33" s="41"/>
      <c r="DW33" s="40"/>
      <c r="DX33" s="40"/>
      <c r="DY33" s="40"/>
      <c r="DZ33" s="40"/>
      <c r="EA33" s="40"/>
      <c r="EB33" s="40"/>
      <c r="EC33" s="40"/>
      <c r="ED33" s="40"/>
      <c r="EE33" s="40"/>
      <c r="EF33" s="40"/>
      <c r="EG33" s="40"/>
      <c r="EH33" s="40"/>
      <c r="EI33" s="40"/>
      <c r="EJ33" s="40"/>
      <c r="EK33" s="40"/>
      <c r="EL33" s="40"/>
      <c r="EM33" s="40"/>
      <c r="EN33" s="41"/>
      <c r="EO33" s="40"/>
      <c r="EP33" s="40"/>
      <c r="EQ33" s="40"/>
      <c r="ER33" s="40"/>
      <c r="ES33" s="40"/>
      <c r="ET33" s="40"/>
      <c r="EU33" s="40"/>
      <c r="EV33" s="40"/>
      <c r="EW33" s="40"/>
      <c r="EX33" s="40"/>
      <c r="EY33" s="40"/>
      <c r="EZ33" s="40"/>
      <c r="FA33" s="40"/>
      <c r="FB33" s="40"/>
      <c r="FC33" s="40"/>
      <c r="FD33" s="40"/>
      <c r="FE33" s="40"/>
      <c r="FF33" s="41"/>
      <c r="FG33" s="40"/>
      <c r="FH33" s="40"/>
      <c r="FI33" s="40"/>
      <c r="FJ33" s="40"/>
      <c r="FK33" s="40"/>
      <c r="FL33" s="40"/>
      <c r="FM33" s="40"/>
      <c r="FN33" s="40"/>
      <c r="FO33" s="40"/>
      <c r="FP33" s="40"/>
      <c r="FQ33" s="40"/>
      <c r="FR33" s="40"/>
      <c r="FS33" s="40"/>
      <c r="FT33" s="40"/>
      <c r="FU33" s="40"/>
      <c r="FV33" s="40"/>
      <c r="FW33" s="40"/>
      <c r="FX33" s="41"/>
      <c r="FY33" s="40"/>
      <c r="FZ33" s="40"/>
      <c r="GA33" s="40"/>
      <c r="GB33" s="40"/>
      <c r="GC33" s="40"/>
      <c r="GD33" s="40"/>
      <c r="GE33" s="40"/>
      <c r="GF33" s="40"/>
      <c r="GG33" s="40"/>
      <c r="GH33" s="40"/>
      <c r="GI33" s="40"/>
      <c r="GJ33" s="40"/>
      <c r="GK33" s="40"/>
      <c r="GL33" s="40"/>
      <c r="GM33" s="40"/>
      <c r="GN33" s="40"/>
      <c r="GO33" s="40"/>
      <c r="GP33" s="41"/>
    </row>
    <row r="34" spans="1:198" ht="15.6" customHeight="1" thickTop="1" thickBot="1" x14ac:dyDescent="0.3">
      <c r="A34" s="286" t="s">
        <v>32</v>
      </c>
      <c r="B34" s="287"/>
      <c r="C34" s="287"/>
      <c r="D34" s="287"/>
      <c r="E34" s="32" t="str">
        <f>IFERROR(IF(VLOOKUP(A34,SKV!$B$48:$AA$82,10,FALSE)=0,"",VLOOKUP(A34,SKV!$B$48:$AA$82,10,FALSE)),"")</f>
        <v/>
      </c>
      <c r="F34" s="52">
        <f>IFERROR(VLOOKUP(A34,SKV!$B$48:$AA$82,9,FALSE),"")</f>
        <v>42</v>
      </c>
      <c r="G34" s="33"/>
      <c r="H34" s="288" t="s">
        <v>157</v>
      </c>
      <c r="I34" s="33"/>
      <c r="J34" s="286" t="s">
        <v>28</v>
      </c>
      <c r="K34" s="287"/>
      <c r="L34" s="287"/>
      <c r="M34" s="287"/>
      <c r="N34" s="287"/>
      <c r="O34" s="287"/>
      <c r="P34" s="287"/>
      <c r="Q34" s="32" t="str">
        <f>IFERROR(IF(VLOOKUP(J34,SKV!$B$48:$AA$82,10,FALSE)=0,"",VLOOKUP(M34,SKV!$B$48:$AA$82,10,FALSE)),"")</f>
        <v/>
      </c>
      <c r="R34" s="52">
        <f>IFERROR(VLOOKUP(J34,SKV!$B$48:$AA$82,9,FALSE),"")</f>
        <v>26</v>
      </c>
      <c r="S34" s="286" t="s">
        <v>186</v>
      </c>
      <c r="T34" s="287"/>
      <c r="U34" s="287"/>
      <c r="V34" s="287"/>
      <c r="W34" s="32" t="str">
        <f>IFERROR(IF(VLOOKUP(S34,CHO!$B$48:$AA$82,10,FALSE)=0,"",VLOOKUP(S34,CHO!$B$48:$AA$82,10,FALSE)),"")</f>
        <v/>
      </c>
      <c r="X34" s="52">
        <f>IFERROR(VLOOKUP(S34,CHO!$B$48:$AA$82,9,FALSE),"")</f>
        <v>31</v>
      </c>
      <c r="Y34" s="33"/>
      <c r="Z34" s="288" t="s">
        <v>157</v>
      </c>
      <c r="AA34" s="33"/>
      <c r="AB34" s="286" t="s">
        <v>182</v>
      </c>
      <c r="AC34" s="287"/>
      <c r="AD34" s="287"/>
      <c r="AE34" s="287"/>
      <c r="AF34" s="287"/>
      <c r="AG34" s="287"/>
      <c r="AH34" s="287"/>
      <c r="AI34" s="32" t="str">
        <f>IFERROR(IF(VLOOKUP(AB34,CHO!$B$48:$AA$82,10,FALSE)=0,"",VLOOKUP(AB34,CHO!$B$48:$AA$82,10,FALSE)),"")</f>
        <v/>
      </c>
      <c r="AJ34" s="52">
        <f>IFERROR(VLOOKUP(AB34,CHO!$B$48:$AA$82,9,FALSE),"")</f>
        <v>91</v>
      </c>
      <c r="AK34" s="286" t="s">
        <v>268</v>
      </c>
      <c r="AL34" s="287"/>
      <c r="AM34" s="287"/>
      <c r="AN34" s="287"/>
      <c r="AO34" s="32" t="str">
        <f>IFERROR(IF(VLOOKUP(AK34,VIT!$B$48:$R$82,10,FALSE)=0,"",VLOOKUP(AK34,VIT!$B$48:$R$82,10,FALSE)),"")</f>
        <v/>
      </c>
      <c r="AP34" s="52">
        <f>IFERROR(VLOOKUP(AK34,VIT!$B$48:$R$82,9,FALSE),"")</f>
        <v>29</v>
      </c>
      <c r="AQ34" s="33"/>
      <c r="AR34" s="288" t="s">
        <v>157</v>
      </c>
      <c r="AS34" s="33"/>
      <c r="AT34" s="286" t="s">
        <v>264</v>
      </c>
      <c r="AU34" s="287"/>
      <c r="AV34" s="287"/>
      <c r="AW34" s="287"/>
      <c r="AX34" s="287"/>
      <c r="AY34" s="287"/>
      <c r="AZ34" s="287"/>
      <c r="BA34" s="32" t="str">
        <f>IFERROR(IF(VLOOKUP(AT34,VIT!$B$48:$R$82,10,FALSE)=0,"",VLOOKUP(AT34,VIT!$B$48:$R$82,10,FALSE)),"")</f>
        <v/>
      </c>
      <c r="BB34" s="52">
        <f>IFERROR(VLOOKUP(AT34,VIT!$B$48:$R$82,9,FALSE),"")</f>
        <v>8</v>
      </c>
      <c r="BC34" s="286" t="s">
        <v>316</v>
      </c>
      <c r="BD34" s="287"/>
      <c r="BE34" s="287"/>
      <c r="BF34" s="287"/>
      <c r="BG34" s="32" t="str">
        <f>IFERROR(IF(VLOOKUP(BC34,MB!$B$48:$R$82,10,FALSE)=0,"",VLOOKUP(BC34,MB!$B$48:$R$82,10,FALSE)),"")</f>
        <v/>
      </c>
      <c r="BH34" s="52">
        <f>IFERROR(VLOOKUP(BC34,MB!$B$48:$R$82,9,FALSE),"")</f>
        <v>74</v>
      </c>
      <c r="BI34" s="33"/>
      <c r="BJ34" s="288" t="s">
        <v>157</v>
      </c>
      <c r="BK34" s="33"/>
      <c r="BL34" s="286" t="s">
        <v>297</v>
      </c>
      <c r="BM34" s="287"/>
      <c r="BN34" s="287"/>
      <c r="BO34" s="287"/>
      <c r="BP34" s="287"/>
      <c r="BQ34" s="287"/>
      <c r="BR34" s="287"/>
      <c r="BS34" s="32" t="str">
        <f>IFERROR(IF(VLOOKUP(BL34,MB!$B$48:$R$82,10,FALSE)=0,"",VLOOKUP(BL34,MB!$B$48:$R$82,10,FALSE)),"")</f>
        <v/>
      </c>
      <c r="BT34" s="52">
        <f>IFERROR(VLOOKUP(BL34,MB!$B$48:$R$82,9,FALSE),"")</f>
        <v>10</v>
      </c>
      <c r="BU34" s="286"/>
      <c r="BV34" s="287"/>
      <c r="BW34" s="287"/>
      <c r="BX34" s="287"/>
      <c r="BY34" s="32" t="str">
        <f>IFERROR(IF(VLOOKUP(BU34,TAT!$B$48:$R$82,10,FALSE)=0,"",VLOOKUP(BU34,TAT!$B$48:$R$82,10,FALSE)),"")</f>
        <v/>
      </c>
      <c r="BZ34" s="52" t="str">
        <f>IFERROR(VLOOKUP(BU34,TAT!$B$48:$R$82,9,FALSE),"")</f>
        <v/>
      </c>
      <c r="CA34" s="33"/>
      <c r="CB34" s="288" t="s">
        <v>157</v>
      </c>
      <c r="CC34" s="33"/>
      <c r="CD34" s="286"/>
      <c r="CE34" s="287"/>
      <c r="CF34" s="287"/>
      <c r="CG34" s="287"/>
      <c r="CH34" s="287"/>
      <c r="CI34" s="287"/>
      <c r="CJ34" s="287"/>
      <c r="CK34" s="32" t="str">
        <f>IFERROR(IF(VLOOKUP(CD34,TAT!$B$48:$R$82,10,FALSE)=0,"",VLOOKUP(CD34,TAT!$B$48:$R$82,10,FALSE)),"")</f>
        <v/>
      </c>
      <c r="CL34" s="52" t="str">
        <f>IFERROR(VLOOKUP(CD34,TAT!$B$48:$R$82,9,FALSE),"")</f>
        <v/>
      </c>
      <c r="CM34" s="286" t="s">
        <v>432</v>
      </c>
      <c r="CN34" s="287"/>
      <c r="CO34" s="287"/>
      <c r="CP34" s="287"/>
      <c r="CQ34" s="32" t="str">
        <f>IFERROR(IF(VLOOKUP(CM34,OTR!$B$48:$R$82,10,FALSE)=0,"",VLOOKUP(CM34,OTR!$B$48:$R$82,10,FALSE)),"")</f>
        <v/>
      </c>
      <c r="CR34" s="52">
        <f>IFERROR(VLOOKUP(CM34,OTR!$B$48:$R$82,9,FALSE),"")</f>
        <v>29</v>
      </c>
      <c r="CS34" s="33"/>
      <c r="CT34" s="288" t="s">
        <v>157</v>
      </c>
      <c r="CU34" s="33"/>
      <c r="CV34" s="286" t="s">
        <v>407</v>
      </c>
      <c r="CW34" s="287"/>
      <c r="CX34" s="287"/>
      <c r="CY34" s="287"/>
      <c r="CZ34" s="287"/>
      <c r="DA34" s="287"/>
      <c r="DB34" s="287"/>
      <c r="DC34" s="32" t="str">
        <f>IFERROR(IF(VLOOKUP(CV34,OTR!$B$48:$R$82,10,FALSE)=0,"",VLOOKUP(CV34,OTR!$B$48:$R$82,10,FALSE)),"")</f>
        <v/>
      </c>
      <c r="DD34" s="52">
        <f>IFERROR(VLOOKUP(CV34,OTR!$B$48:$R$82,9,FALSE),"")</f>
        <v>33</v>
      </c>
      <c r="DE34" s="286" t="s">
        <v>501</v>
      </c>
      <c r="DF34" s="287"/>
      <c r="DG34" s="287"/>
      <c r="DH34" s="287"/>
      <c r="DI34" s="32" t="str">
        <f>IFERROR(IF(VLOOKUP(DE34,BOH!$B$48:$R$82,10,FALSE)=0,"",VLOOKUP(DE34,BOH!$B$48:$R$82,10,FALSE)),"")</f>
        <v/>
      </c>
      <c r="DJ34" s="52">
        <f>IFERROR(VLOOKUP(DE34,BOH!$B$48:$R$82,9,FALSE),"")</f>
        <v>1</v>
      </c>
      <c r="DK34" s="33"/>
      <c r="DL34" s="288" t="s">
        <v>157</v>
      </c>
      <c r="DM34" s="33"/>
      <c r="DN34" s="286" t="s">
        <v>484</v>
      </c>
      <c r="DO34" s="287"/>
      <c r="DP34" s="287"/>
      <c r="DQ34" s="287"/>
      <c r="DR34" s="287"/>
      <c r="DS34" s="287"/>
      <c r="DT34" s="287"/>
      <c r="DU34" s="32" t="str">
        <f>IFERROR(IF(VLOOKUP(DN34,BOH!$B$48:$R$82,10,FALSE)=0,"",VLOOKUP(DN34,BOH!$B$48:$R$82,10,FALSE)),"")</f>
        <v/>
      </c>
      <c r="DV34" s="52">
        <f>IFERROR(VLOOKUP(DN34,BOH!$B$48:$R$82,9,FALSE),"")</f>
        <v>12</v>
      </c>
      <c r="DW34" s="286"/>
      <c r="DX34" s="287"/>
      <c r="DY34" s="287"/>
      <c r="DZ34" s="287"/>
      <c r="EA34" s="32" t="str">
        <f>IFERROR(IF(VLOOKUP(DW34,SPA!$B$48:$R$82,10,FALSE)=0,"",VLOOKUP(DW34,SPA!$B$48:$R$82,10,FALSE)),"")</f>
        <v/>
      </c>
      <c r="EB34" s="52" t="str">
        <f>IFERROR(VLOOKUP(DW34,SPA!$B$48:$R$82,9,FALSE),"")</f>
        <v/>
      </c>
      <c r="EC34" s="33"/>
      <c r="ED34" s="288" t="s">
        <v>157</v>
      </c>
      <c r="EE34" s="33"/>
      <c r="EF34" s="286"/>
      <c r="EG34" s="287"/>
      <c r="EH34" s="287"/>
      <c r="EI34" s="287"/>
      <c r="EJ34" s="287"/>
      <c r="EK34" s="287"/>
      <c r="EL34" s="287"/>
      <c r="EM34" s="32" t="str">
        <f>IFERROR(IF(VLOOKUP(EF34,SPA!$B$48:$R$82,10,FALSE)=0,"",VLOOKUP(EF34,SPA!$B$48:$R$82,10,FALSE)),"")</f>
        <v/>
      </c>
      <c r="EN34" s="52" t="str">
        <f>IFERROR(VLOOKUP(EF34,SPA!$B$48:$R$82,9,FALSE),"")</f>
        <v/>
      </c>
      <c r="EO34" s="286"/>
      <c r="EP34" s="287"/>
      <c r="EQ34" s="287"/>
      <c r="ER34" s="287"/>
      <c r="ES34" s="32" t="str">
        <f>IFERROR(IF(VLOOKUP(EO34,CLP!$B$48:$R$82,10,FALSE)=0,"",VLOOKUP(EO34,CLP!$B$48:$R$82,10,FALSE)),"")</f>
        <v/>
      </c>
      <c r="ET34" s="52" t="str">
        <f>IFERROR(VLOOKUP(EO34,CLP!$B$48:$R$82,9,FALSE),"")</f>
        <v/>
      </c>
      <c r="EU34" s="33"/>
      <c r="EV34" s="288" t="s">
        <v>157</v>
      </c>
      <c r="EW34" s="33"/>
      <c r="EX34" s="286"/>
      <c r="EY34" s="287"/>
      <c r="EZ34" s="287"/>
      <c r="FA34" s="287"/>
      <c r="FB34" s="287"/>
      <c r="FC34" s="287"/>
      <c r="FD34" s="287"/>
      <c r="FE34" s="32" t="str">
        <f>IFERROR(IF(VLOOKUP(EX34,CLP!$B$48:$R$82,10,FALSE)=0,"",VLOOKUP(EX34,CLP!$B$48:$R$82,10,FALSE)),"")</f>
        <v/>
      </c>
      <c r="FF34" s="52" t="str">
        <f>IFERROR(VLOOKUP(EX34,CLP!$B$48:$R$82,9,FALSE),"")</f>
        <v/>
      </c>
      <c r="FG34" s="286" t="s">
        <v>775</v>
      </c>
      <c r="FH34" s="287"/>
      <c r="FI34" s="287"/>
      <c r="FJ34" s="287"/>
      <c r="FK34" s="32" t="str">
        <f>IFERROR(IF(VLOOKUP(FG34,LIB!$B$48:$R$82,10,FALSE)=0,"",VLOOKUP(FG34,LIB!$B$48:$R$82,10,FALSE)),"")</f>
        <v/>
      </c>
      <c r="FL34" s="52">
        <f>IFERROR(VLOOKUP(FG34,LIB!$B$48:$R$82,9,FALSE),"")</f>
        <v>30</v>
      </c>
      <c r="FM34" s="33"/>
      <c r="FN34" s="288" t="s">
        <v>157</v>
      </c>
      <c r="FO34" s="33"/>
      <c r="FP34" s="286" t="s">
        <v>751</v>
      </c>
      <c r="FQ34" s="287"/>
      <c r="FR34" s="287"/>
      <c r="FS34" s="287"/>
      <c r="FT34" s="287"/>
      <c r="FU34" s="287"/>
      <c r="FV34" s="287"/>
      <c r="FW34" s="32" t="str">
        <f>IFERROR(IF(VLOOKUP(FP34,LIB!$B$48:$R$82,10,FALSE)=0,"",VLOOKUP(FP34,LIB!$B$48:$R$82,10,FALSE)),"")</f>
        <v/>
      </c>
      <c r="FX34" s="52">
        <f>IFERROR(VLOOKUP(FP34,LIB!$B$48:$R$82,9,FALSE),"")</f>
        <v>23</v>
      </c>
      <c r="FY34" s="286"/>
      <c r="FZ34" s="287"/>
      <c r="GA34" s="287"/>
      <c r="GB34" s="287"/>
      <c r="GC34" s="32" t="str">
        <f>IFERROR(IF(VLOOKUP(FY34,HAT!$B$48:$R$82,10,FALSE)=0,"",VLOOKUP(FY34,HAT!$B$48:$R$82,10,FALSE)),"")</f>
        <v/>
      </c>
      <c r="GD34" s="52" t="str">
        <f>IFERROR(VLOOKUP(FY34,HAT!$B$48:$R$82,9,FALSE),"")</f>
        <v/>
      </c>
      <c r="GE34" s="33"/>
      <c r="GF34" s="288" t="s">
        <v>157</v>
      </c>
      <c r="GG34" s="33"/>
      <c r="GH34" s="286"/>
      <c r="GI34" s="287"/>
      <c r="GJ34" s="287"/>
      <c r="GK34" s="287"/>
      <c r="GL34" s="287"/>
      <c r="GM34" s="287"/>
      <c r="GN34" s="287"/>
      <c r="GO34" s="32" t="str">
        <f>IFERROR(IF(VLOOKUP(GH34,HAT!$B$48:$R$82,10,FALSE)=0,"",VLOOKUP(GH34,HAT!$B$48:$R$82,10,FALSE)),"")</f>
        <v/>
      </c>
      <c r="GP34" s="52" t="str">
        <f>IFERROR(VLOOKUP(GH34,HAT!$B$48:$R$82,9,FALSE),"")</f>
        <v/>
      </c>
    </row>
    <row r="35" spans="1:198" ht="15.6" customHeight="1" thickBot="1" x14ac:dyDescent="0.3">
      <c r="A35" s="42">
        <f>IFERROR(VLOOKUP(A34,SKV!$B$48:$AA$82,8,FALSE),"")</f>
        <v>6</v>
      </c>
      <c r="B35" s="289">
        <f>IFERROR(YEAR(VLOOKUP(A34,SKV!$B$48:$AA$82,2,FALSE)),"")</f>
        <v>1996</v>
      </c>
      <c r="C35" s="260"/>
      <c r="D35" s="35">
        <f ca="1">IFERROR(VLOOKUP(A34,SKV!$B$48:$AA$82,3,FALSE),"")</f>
        <v>24</v>
      </c>
      <c r="E35" s="290" t="str">
        <f>IFERROR(VLOOKUP(A34,SKV!$B$48:$AA$82,15,FALSE),"")</f>
        <v>187/88</v>
      </c>
      <c r="F35" s="291"/>
      <c r="G35" s="33"/>
      <c r="H35" s="288"/>
      <c r="I35" s="33"/>
      <c r="J35" s="34" t="str">
        <f>IFERROR(VLOOKUP(J34,SKV!$B$48:$AA$82,11,FALSE),"")</f>
        <v>L</v>
      </c>
      <c r="K35" s="260">
        <f>IFERROR(YEAR(VLOOKUP(J34,SKV!$B$48:$AA$82,2,FALSE)),"")</f>
        <v>2002</v>
      </c>
      <c r="L35" s="261"/>
      <c r="M35" s="43">
        <f ca="1">IFERROR(VLOOKUP(J34,SKV!$B$48:$AA$82,3,FALSE),"")</f>
        <v>18</v>
      </c>
      <c r="N35" s="261" t="str">
        <f>IFERROR(VLOOKUP(J34,SKV!$B$48:$AA$82,15,FALSE),"")</f>
        <v>181/66</v>
      </c>
      <c r="O35" s="261"/>
      <c r="P35" s="261" t="str">
        <f>IFERROR(VLOOKUP(J34,SKV!$B$2:$O$36,14,FALSE),"")</f>
        <v>23 OZ , 0 (0+0), -9 ±</v>
      </c>
      <c r="Q35" s="261"/>
      <c r="R35" s="262"/>
      <c r="S35" s="42">
        <f>IFERROR(VLOOKUP(S34,CHO!$B$48:$S$82,8,FALSE),"")</f>
        <v>4</v>
      </c>
      <c r="T35" s="289">
        <f>IFERROR(YEAR(VLOOKUP(S34,CHO!$B$48:$S$82,2,FALSE)),"")</f>
        <v>2000</v>
      </c>
      <c r="U35" s="260"/>
      <c r="V35" s="35">
        <f ca="1">IFERROR(VLOOKUP(S34,CHO!$B$48:$S$82,3,FALSE),"")</f>
        <v>20</v>
      </c>
      <c r="W35" s="290" t="str">
        <f>IFERROR(VLOOKUP(S34,CHO!$B$48:$S$82,15,FALSE),"")</f>
        <v>175/76</v>
      </c>
      <c r="X35" s="291"/>
      <c r="Y35" s="33"/>
      <c r="Z35" s="288"/>
      <c r="AA35" s="33"/>
      <c r="AB35" s="34" t="str">
        <f>IFERROR(VLOOKUP(AB34,CHO!$B$48:$AA$82,11,FALSE),"")</f>
        <v>L</v>
      </c>
      <c r="AC35" s="260">
        <f>IFERROR(YEAR(VLOOKUP(AB34,CHO!$B$48:$AA$82,2,FALSE)),"")</f>
        <v>1900</v>
      </c>
      <c r="AD35" s="261"/>
      <c r="AE35" s="43" t="str">
        <f>IFERROR(VLOOKUP(AB34,CHO!$B$48:$AA$82,3,FALSE),"")</f>
        <v/>
      </c>
      <c r="AF35" s="261" t="str">
        <f>IFERROR(VLOOKUP(AB34,CHO!$B$48:$AA$82,15,FALSE),"")</f>
        <v>183/78</v>
      </c>
      <c r="AG35" s="261"/>
      <c r="AH35" s="261" t="str">
        <f>IFERROR(VLOOKUP(AB34,CHO!$B$2:$O$36,14,FALSE),"")</f>
        <v>9 OZ , 0 (0+0), 0 ±</v>
      </c>
      <c r="AI35" s="261"/>
      <c r="AJ35" s="262"/>
      <c r="AK35" s="42">
        <f>IFERROR(VLOOKUP(AK34,VIT!$B$48:$S$82,8,FALSE),"")</f>
        <v>11</v>
      </c>
      <c r="AL35" s="289">
        <f>IFERROR(YEAR(VLOOKUP(AK34,VIT!$B$48:$S$82,2,FALSE)),"")</f>
        <v>1990</v>
      </c>
      <c r="AM35" s="260"/>
      <c r="AN35" s="106">
        <f ca="1">IFERROR(VLOOKUP(AK34,VIT!$B$48:$S$82,3,FALSE),"")</f>
        <v>30</v>
      </c>
      <c r="AO35" s="290" t="str">
        <f>IFERROR(VLOOKUP(AK34,VIT!$B$48:$S$82,15,FALSE),"")</f>
        <v>186/95</v>
      </c>
      <c r="AP35" s="291"/>
      <c r="AQ35" s="33"/>
      <c r="AR35" s="288"/>
      <c r="AS35" s="33"/>
      <c r="AT35" s="34" t="str">
        <f>IFERROR(VLOOKUP(AT34,VIT!$B$48:$R$82,11,FALSE),"")</f>
        <v>L</v>
      </c>
      <c r="AU35" s="260">
        <f>IFERROR(YEAR(VLOOKUP(AT34,VIT!$B$48:$R$82,2,FALSE)),"")</f>
        <v>1997</v>
      </c>
      <c r="AV35" s="261"/>
      <c r="AW35" s="105">
        <f ca="1">IFERROR(VLOOKUP(AT34,VIT!$B$48:$R$82,3,FALSE),"")</f>
        <v>23</v>
      </c>
      <c r="AX35" s="261" t="str">
        <f>IFERROR(VLOOKUP(AT34,VIT!$B$48:$R$82,15,FALSE),"")</f>
        <v>179/76</v>
      </c>
      <c r="AY35" s="261"/>
      <c r="AZ35" s="261" t="str">
        <f>IFERROR(VLOOKUP(AT34,VIT!$B$2:$O$36,14,FALSE),"")</f>
        <v>14 OZ , 7 (3+4), +1 ±</v>
      </c>
      <c r="BA35" s="261"/>
      <c r="BB35" s="262"/>
      <c r="BC35" s="42">
        <f>IFERROR(VLOOKUP(BC34,MB!$B$48:$S$82,8,FALSE),"")</f>
        <v>11</v>
      </c>
      <c r="BD35" s="289">
        <f>IFERROR(YEAR(VLOOKUP(BC34,MB!$B$48:$S$82,2,FALSE)),"")</f>
        <v>1991</v>
      </c>
      <c r="BE35" s="260"/>
      <c r="BF35" s="108">
        <f ca="1">IFERROR(VLOOKUP(BC34,MB!$B$48:$S$82,3,FALSE),"")</f>
        <v>29</v>
      </c>
      <c r="BG35" s="290" t="str">
        <f>IFERROR(VLOOKUP(BC34,MB!$B$48:$S$82,15,FALSE),"")</f>
        <v>192/98</v>
      </c>
      <c r="BH35" s="291"/>
      <c r="BI35" s="33"/>
      <c r="BJ35" s="288"/>
      <c r="BK35" s="33"/>
      <c r="BL35" s="34" t="str">
        <f>IFERROR(VLOOKUP(BL34,MB!$B$48:$R$82,11,FALSE),"")</f>
        <v>L</v>
      </c>
      <c r="BM35" s="260">
        <f>IFERROR(YEAR(VLOOKUP(BL34,MB!$B$48:$R$82,2,FALSE)),"")</f>
        <v>1996</v>
      </c>
      <c r="BN35" s="261"/>
      <c r="BO35" s="107">
        <f ca="1">IFERROR(VLOOKUP(BL34,MB!$B$48:$R$82,3,FALSE),"")</f>
        <v>24</v>
      </c>
      <c r="BP35" s="261" t="str">
        <f>IFERROR(VLOOKUP(BL34,MB!$B$48:$R$82,15,FALSE),"")</f>
        <v>185/85</v>
      </c>
      <c r="BQ35" s="261"/>
      <c r="BR35" s="261" t="str">
        <f>IFERROR(VLOOKUP(BL34,MB!$B$2:$O$36,14,FALSE),"")</f>
        <v>25 OZ , 23 (10+13), +22 ±</v>
      </c>
      <c r="BS35" s="261"/>
      <c r="BT35" s="262"/>
      <c r="BU35" s="42" t="str">
        <f>IFERROR(VLOOKUP(BU34,TAT!$B$48:$S$82,8,FALSE),"")</f>
        <v/>
      </c>
      <c r="BV35" s="289" t="str">
        <f>IFERROR(YEAR(VLOOKUP(BU34,TAT!$B$48:$S$82,2,FALSE)),"")</f>
        <v/>
      </c>
      <c r="BW35" s="260"/>
      <c r="BX35" s="150" t="str">
        <f>IFERROR(VLOOKUP(BU34,TAT!$B$48:$S$82,3,FALSE),"")</f>
        <v/>
      </c>
      <c r="BY35" s="290" t="str">
        <f>IFERROR(VLOOKUP(BU34,TAT!$B$48:$S$82,15,FALSE),"")</f>
        <v/>
      </c>
      <c r="BZ35" s="291"/>
      <c r="CA35" s="33"/>
      <c r="CB35" s="288"/>
      <c r="CC35" s="33"/>
      <c r="CD35" s="34" t="str">
        <f>IFERROR(VLOOKUP(CD34,TAT!$B$48:$R$82,11,FALSE),"")</f>
        <v/>
      </c>
      <c r="CE35" s="260" t="str">
        <f>IFERROR(YEAR(VLOOKUP(CD34,TAT!$B$48:$R$82,2,FALSE)),"")</f>
        <v/>
      </c>
      <c r="CF35" s="261"/>
      <c r="CG35" s="149" t="str">
        <f>IFERROR(VLOOKUP(CD34,TAT!$B$48:$R$82,3,FALSE),"")</f>
        <v/>
      </c>
      <c r="CH35" s="261" t="str">
        <f>IFERROR(VLOOKUP(CD34,TAT!$B$48:$R$82,15,FALSE),"")</f>
        <v/>
      </c>
      <c r="CI35" s="261"/>
      <c r="CJ35" s="261" t="str">
        <f>IFERROR(VLOOKUP(CD34,TAT!$B$2:$O$36,14,FALSE),"")</f>
        <v/>
      </c>
      <c r="CK35" s="261"/>
      <c r="CL35" s="262"/>
      <c r="CM35" s="42">
        <f>IFERROR(VLOOKUP(CM34,OTR!$B$48:$S$82,8,FALSE),"")</f>
        <v>5</v>
      </c>
      <c r="CN35" s="289">
        <f>IFERROR(YEAR(VLOOKUP(CM34,OTR!$B$48:$S$82,2,FALSE)),"")</f>
        <v>1998</v>
      </c>
      <c r="CO35" s="260"/>
      <c r="CP35" s="150">
        <f ca="1">IFERROR(VLOOKUP(CM34,OTR!$B$48:$S$82,3,FALSE),"")</f>
        <v>23</v>
      </c>
      <c r="CQ35" s="290" t="str">
        <f>IFERROR(VLOOKUP(CM34,OTR!$B$48:$S$82,15,FALSE),"")</f>
        <v>181/76</v>
      </c>
      <c r="CR35" s="291"/>
      <c r="CS35" s="33"/>
      <c r="CT35" s="288"/>
      <c r="CU35" s="33"/>
      <c r="CV35" s="34" t="str">
        <f>IFERROR(VLOOKUP(CV34,OTR!$B$48:$R$82,11,FALSE),"")</f>
        <v>L</v>
      </c>
      <c r="CW35" s="260">
        <f>IFERROR(YEAR(VLOOKUP(CV34,OTR!$B$48:$R$82,2,FALSE)),"")</f>
        <v>1993</v>
      </c>
      <c r="CX35" s="261"/>
      <c r="CY35" s="149">
        <f ca="1">IFERROR(VLOOKUP(CV34,OTR!$B$48:$R$82,3,FALSE),"")</f>
        <v>27</v>
      </c>
      <c r="CZ35" s="261" t="str">
        <f>IFERROR(VLOOKUP(CV34,OTR!$B$48:$R$82,15,FALSE),"")</f>
        <v>177/77</v>
      </c>
      <c r="DA35" s="261"/>
      <c r="DB35" s="261" t="str">
        <f>IFERROR(VLOOKUP(CV34,OTR!$B$2:$O$36,14,FALSE),"")</f>
        <v>21 OZ , 11 (7+4), -26 ±</v>
      </c>
      <c r="DC35" s="261"/>
      <c r="DD35" s="262"/>
      <c r="DE35" s="42">
        <f>IFERROR(VLOOKUP(DE34,BOH!$B$48:$S$82,8,FALSE),"")</f>
        <v>10</v>
      </c>
      <c r="DF35" s="289">
        <f>IFERROR(YEAR(VLOOKUP(DE34,BOH!$B$48:$S$82,2,FALSE)),"")</f>
        <v>1986</v>
      </c>
      <c r="DG35" s="260"/>
      <c r="DH35" s="165">
        <f ca="1">IFERROR(VLOOKUP(DE34,BOH!$B$48:$S$82,3,FALSE),"")</f>
        <v>34</v>
      </c>
      <c r="DI35" s="290" t="str">
        <f>IFERROR(VLOOKUP(DE34,BOH!$B$48:$S$82,15,FALSE),"")</f>
        <v>175/75</v>
      </c>
      <c r="DJ35" s="291"/>
      <c r="DK35" s="33"/>
      <c r="DL35" s="288"/>
      <c r="DM35" s="33"/>
      <c r="DN35" s="34" t="str">
        <f>IFERROR(VLOOKUP(DN34,BOH!$B$48:$R$82,11,FALSE),"")</f>
        <v>P</v>
      </c>
      <c r="DO35" s="260">
        <f>IFERROR(YEAR(VLOOKUP(DN34,BOH!$B$48:$R$82,2,FALSE)),"")</f>
        <v>1995</v>
      </c>
      <c r="DP35" s="261"/>
      <c r="DQ35" s="164">
        <f ca="1">IFERROR(VLOOKUP(DN34,BOH!$B$48:$R$82,3,FALSE),"")</f>
        <v>25</v>
      </c>
      <c r="DR35" s="261" t="str">
        <f>IFERROR(VLOOKUP(DN34,BOH!$B$48:$R$82,15,FALSE),"")</f>
        <v>175/72</v>
      </c>
      <c r="DS35" s="261"/>
      <c r="DT35" s="261" t="str">
        <f>IFERROR(VLOOKUP(DN34,BOH!$B$2:$O$36,14,FALSE),"")</f>
        <v>23 OZ , 12 (9+3), +5 ±</v>
      </c>
      <c r="DU35" s="261"/>
      <c r="DV35" s="262"/>
      <c r="DW35" s="42" t="str">
        <f>IFERROR(VLOOKUP(DW34,SPA!$B$48:$S$82,8,FALSE),"")</f>
        <v/>
      </c>
      <c r="DX35" s="289" t="str">
        <f>IFERROR(YEAR(VLOOKUP(DW34,SPA!$B$48:$S$82,2,FALSE)),"")</f>
        <v/>
      </c>
      <c r="DY35" s="260"/>
      <c r="DZ35" s="165" t="str">
        <f>IFERROR(VLOOKUP(DW34,SPA!$B$48:$S$82,3,FALSE),"")</f>
        <v/>
      </c>
      <c r="EA35" s="290" t="str">
        <f>IFERROR(VLOOKUP(DW34,SPA!$B$48:$S$82,15,FALSE),"")</f>
        <v/>
      </c>
      <c r="EB35" s="291"/>
      <c r="EC35" s="33"/>
      <c r="ED35" s="288"/>
      <c r="EE35" s="33"/>
      <c r="EF35" s="34" t="str">
        <f>IFERROR(VLOOKUP(EF34,SPA!$B$48:$R$82,11,FALSE),"")</f>
        <v/>
      </c>
      <c r="EG35" s="260" t="str">
        <f>IFERROR(YEAR(VLOOKUP(EF34,SPA!$B$48:$R$82,2,FALSE)),"")</f>
        <v/>
      </c>
      <c r="EH35" s="261"/>
      <c r="EI35" s="164" t="str">
        <f>IFERROR(VLOOKUP(EF34,SPA!$B$48:$R$82,3,FALSE),"")</f>
        <v/>
      </c>
      <c r="EJ35" s="261" t="str">
        <f>IFERROR(VLOOKUP(EF34,SPA!$B$48:$R$82,15,FALSE),"")</f>
        <v/>
      </c>
      <c r="EK35" s="261"/>
      <c r="EL35" s="261" t="str">
        <f>IFERROR(VLOOKUP(EF34,SPA!$B$2:$O$36,14,FALSE),"")</f>
        <v/>
      </c>
      <c r="EM35" s="261"/>
      <c r="EN35" s="262"/>
      <c r="EO35" s="42" t="str">
        <f>IFERROR(VLOOKUP(EO34,CLP!$B$48:$S$82,8,FALSE),"")</f>
        <v/>
      </c>
      <c r="EP35" s="289" t="str">
        <f>IFERROR(YEAR(VLOOKUP(EO34,CLP!$B$48:$S$82,2,FALSE)),"")</f>
        <v/>
      </c>
      <c r="EQ35" s="260"/>
      <c r="ER35" s="204" t="str">
        <f>IFERROR(VLOOKUP(EO34,CLP!$B$48:$S$82,3,FALSE),"")</f>
        <v/>
      </c>
      <c r="ES35" s="290" t="str">
        <f>IFERROR(VLOOKUP(EO34,CLP!$B$48:$S$82,15,FALSE),"")</f>
        <v/>
      </c>
      <c r="ET35" s="291"/>
      <c r="EU35" s="33"/>
      <c r="EV35" s="288"/>
      <c r="EW35" s="33"/>
      <c r="EX35" s="34" t="str">
        <f>IFERROR(VLOOKUP(EX34,CLP!$B$48:$R$82,11,FALSE),"")</f>
        <v/>
      </c>
      <c r="EY35" s="260" t="str">
        <f>IFERROR(YEAR(VLOOKUP(EX34,CLP!$B$48:$R$82,2,FALSE)),"")</f>
        <v/>
      </c>
      <c r="EZ35" s="261"/>
      <c r="FA35" s="203" t="str">
        <f>IFERROR(VLOOKUP(EX34,CLP!$B$48:$R$82,3,FALSE),"")</f>
        <v/>
      </c>
      <c r="FB35" s="261" t="str">
        <f>IFERROR(VLOOKUP(EX34,CLP!$B$48:$R$82,15,FALSE),"")</f>
        <v/>
      </c>
      <c r="FC35" s="261"/>
      <c r="FD35" s="261" t="str">
        <f>IFERROR(VLOOKUP(EX34,CLP!$B$2:$O$36,14,FALSE),"")</f>
        <v/>
      </c>
      <c r="FE35" s="261"/>
      <c r="FF35" s="262"/>
      <c r="FG35" s="42">
        <f>IFERROR(VLOOKUP(FG34,LIB!$B$48:$S$82,8,FALSE),"")</f>
        <v>3</v>
      </c>
      <c r="FH35" s="289">
        <f>IFERROR(YEAR(VLOOKUP(FG34,LIB!$B$48:$S$82,2,FALSE)),"")</f>
        <v>1998</v>
      </c>
      <c r="FI35" s="260"/>
      <c r="FJ35" s="204">
        <f ca="1">IFERROR(VLOOKUP(FG34,LIB!$B$48:$S$82,3,FALSE),"")</f>
        <v>22</v>
      </c>
      <c r="FK35" s="290" t="str">
        <f>IFERROR(VLOOKUP(FG34,LIB!$B$48:$S$82,15,FALSE),"")</f>
        <v>185/94</v>
      </c>
      <c r="FL35" s="291"/>
      <c r="FM35" s="33"/>
      <c r="FN35" s="288"/>
      <c r="FO35" s="33"/>
      <c r="FP35" s="34" t="str">
        <f>IFERROR(VLOOKUP(FP34,LIB!$B$48:$R$82,11,FALSE),"")</f>
        <v>P</v>
      </c>
      <c r="FQ35" s="260">
        <f>IFERROR(YEAR(VLOOKUP(FP34,LIB!$B$48:$R$82,2,FALSE)),"")</f>
        <v>2002</v>
      </c>
      <c r="FR35" s="261"/>
      <c r="FS35" s="203">
        <f ca="1">IFERROR(VLOOKUP(FP34,LIB!$B$48:$R$82,3,FALSE),"")</f>
        <v>18</v>
      </c>
      <c r="FT35" s="261" t="str">
        <f>IFERROR(VLOOKUP(FP34,LIB!$B$48:$R$82,15,FALSE),"")</f>
        <v>183/74</v>
      </c>
      <c r="FU35" s="261"/>
      <c r="FV35" s="261" t="str">
        <f>IFERROR(VLOOKUP(FP34,LIB!$B$2:$O$36,14,FALSE),"")</f>
        <v>23 OZ , 29 (17+12), +1 ±</v>
      </c>
      <c r="FW35" s="261"/>
      <c r="FX35" s="262"/>
      <c r="FY35" s="42" t="str">
        <f>IFERROR(VLOOKUP(FY34,HAT!$B$48:$S$82,8,FALSE),"")</f>
        <v/>
      </c>
      <c r="FZ35" s="289" t="str">
        <f>IFERROR(YEAR(VLOOKUP(FY34,HAT!$B$48:$S$82,2,FALSE)),"")</f>
        <v/>
      </c>
      <c r="GA35" s="260"/>
      <c r="GB35" s="211" t="str">
        <f>IFERROR(VLOOKUP(FY34,HAT!$B$48:$S$82,3,FALSE),"")</f>
        <v/>
      </c>
      <c r="GC35" s="290" t="str">
        <f>IFERROR(VLOOKUP(FY34,HAT!$B$48:$S$82,15,FALSE),"")</f>
        <v/>
      </c>
      <c r="GD35" s="291"/>
      <c r="GE35" s="33"/>
      <c r="GF35" s="288"/>
      <c r="GG35" s="33"/>
      <c r="GH35" s="34" t="str">
        <f>IFERROR(VLOOKUP(GH34,HAT!$B$48:$R$82,11,FALSE),"")</f>
        <v/>
      </c>
      <c r="GI35" s="260" t="str">
        <f>IFERROR(YEAR(VLOOKUP(GH34,HAT!$B$48:$R$82,2,FALSE)),"")</f>
        <v/>
      </c>
      <c r="GJ35" s="261"/>
      <c r="GK35" s="209" t="str">
        <f>IFERROR(VLOOKUP(GH34,HAT!$B$48:$R$82,3,FALSE),"")</f>
        <v/>
      </c>
      <c r="GL35" s="261" t="str">
        <f>IFERROR(VLOOKUP(GH34,HAT!$B$48:$R$82,15,FALSE),"")</f>
        <v/>
      </c>
      <c r="GM35" s="261"/>
      <c r="GN35" s="261" t="str">
        <f>IFERROR(VLOOKUP(GH34,HAT!$B$2:$O$36,14,FALSE),"")</f>
        <v/>
      </c>
      <c r="GO35" s="261"/>
      <c r="GP35" s="262"/>
    </row>
    <row r="36" spans="1:198" ht="15.6" customHeight="1" thickBot="1" x14ac:dyDescent="0.3">
      <c r="A36" s="44">
        <f>IFERROR(VLOOKUP(A34,SKV!$B$39:$R$42,4,FALSE),"")</f>
        <v>20</v>
      </c>
      <c r="B36" s="292" t="str">
        <f>IFERROR(VLOOKUP(A34,SKV!$B$39:$S$45,17,FALSE),"")</f>
        <v>4 V, 16 P</v>
      </c>
      <c r="C36" s="292"/>
      <c r="D36" s="293">
        <f>IFERROR(VLOOKUP(A34,SKV!$B$39:$R$42,7,FALSE),"")</f>
        <v>134</v>
      </c>
      <c r="E36" s="294"/>
      <c r="F36" s="45">
        <f>IFERROR(ROUND(VLOOKUP(A34,SKV!$B$39:$R$42,16,FALSE),2),"")</f>
        <v>74.33</v>
      </c>
      <c r="G36" s="33"/>
      <c r="H36" s="288"/>
      <c r="I36" s="33"/>
      <c r="J36" s="125">
        <f>IFERROR(VLOOKUP(J34,SKV!$B$48:$AA$82,8,FALSE),"")</f>
        <v>1</v>
      </c>
      <c r="K36" s="268" t="str">
        <f>IFERROR(VLOOKUP(J34,SKV!$B$48:$AA$82,14,FALSE),"")</f>
        <v>23 OZ, 0 (0+0)</v>
      </c>
      <c r="L36" s="268"/>
      <c r="M36" s="268"/>
      <c r="N36" s="269" t="str">
        <f>IFERROR(VLOOKUP(J34,SKV!$B$48:$AA$82,16,FALSE),"")</f>
        <v>SKV</v>
      </c>
      <c r="O36" s="269"/>
      <c r="P36" s="269"/>
      <c r="Q36" s="268" t="str">
        <f>IFERROR(VLOOKUP(J34,SKV!$B$48:$AA$82,17,FALSE),"")</f>
        <v>-</v>
      </c>
      <c r="R36" s="270"/>
      <c r="S36" s="44">
        <f>IFERROR(VLOOKUP(S34,CHO!$B$39:$R$42,4,FALSE),"")</f>
        <v>9</v>
      </c>
      <c r="T36" s="292" t="str">
        <f>IFERROR(VLOOKUP(S34,CHO!$B$39:$S$45,17,FALSE),"")</f>
        <v>5 V, 4 P</v>
      </c>
      <c r="U36" s="292"/>
      <c r="V36" s="293">
        <f>IFERROR(VLOOKUP(S34,CHO!$B$39:$R$42,7,FALSE),"")</f>
        <v>54</v>
      </c>
      <c r="W36" s="294"/>
      <c r="X36" s="45">
        <f>IFERROR(ROUND(VLOOKUP(S34,CHO!$B$39:$R$42,16,FALSE),2),"")</f>
        <v>74.040000000000006</v>
      </c>
      <c r="Y36" s="33"/>
      <c r="Z36" s="288"/>
      <c r="AA36" s="33"/>
      <c r="AB36" s="125">
        <f>IFERROR(VLOOKUP(AB34,CHO!$B$48:$AA$82,8,FALSE),"")</f>
        <v>1</v>
      </c>
      <c r="AC36" s="268" t="str">
        <f>IFERROR(VLOOKUP(AB34,CHO!$B$48:$AA$82,14,FALSE),"")</f>
        <v>9 OZ, 0 (0+0)</v>
      </c>
      <c r="AD36" s="268"/>
      <c r="AE36" s="268"/>
      <c r="AF36" s="269">
        <f>IFERROR(VLOOKUP(AB34,CHO!$B$48:$AA$82,16,FALSE),"")</f>
        <v>0</v>
      </c>
      <c r="AG36" s="269"/>
      <c r="AH36" s="269"/>
      <c r="AI36" s="268">
        <f>IFERROR(VLOOKUP(AB34,CHO!$B$48:$AA$82,17,FALSE),"")</f>
        <v>0</v>
      </c>
      <c r="AJ36" s="270"/>
      <c r="AK36" s="44">
        <f>IFERROR(VLOOKUP(AK34,VIT!$B$39:$R$44,4,FALSE),"")</f>
        <v>19</v>
      </c>
      <c r="AL36" s="292" t="str">
        <f>IFERROR(VLOOKUP(AK34,VIT!$B$39:$S$45,17,FALSE),"")</f>
        <v>17 V, 2 P</v>
      </c>
      <c r="AM36" s="292"/>
      <c r="AN36" s="293">
        <f>IFERROR(VLOOKUP(AK34,VIT!$B$39:$R$44,7,FALSE),"")</f>
        <v>78</v>
      </c>
      <c r="AO36" s="294"/>
      <c r="AP36" s="45">
        <f>IFERROR(ROUND(VLOOKUP(AK34,VIT!$B$39:$R$44,16,FALSE),2),"")</f>
        <v>81.56</v>
      </c>
      <c r="AQ36" s="33"/>
      <c r="AR36" s="288"/>
      <c r="AS36" s="33"/>
      <c r="AT36" s="125">
        <f>IFERROR(VLOOKUP(AT34,VIT!$B$48:$R$82,8,FALSE),"")</f>
        <v>4</v>
      </c>
      <c r="AU36" s="268" t="str">
        <f>IFERROR(VLOOKUP(AT34,VIT!$B$48:$R$82,14,FALSE),"")</f>
        <v>64 OZ, 40 (18+22)</v>
      </c>
      <c r="AV36" s="268"/>
      <c r="AW36" s="268"/>
      <c r="AX36" s="269" t="str">
        <f>IFERROR(VLOOKUP(AT34,VIT!$B$48:$R$82,16,FALSE),"")</f>
        <v>-</v>
      </c>
      <c r="AY36" s="269"/>
      <c r="AZ36" s="269"/>
      <c r="BA36" s="268" t="str">
        <f>IFERROR(VLOOKUP(AT34,VIT!$B$48:$R$82,17,FALSE),"")</f>
        <v>-</v>
      </c>
      <c r="BB36" s="270"/>
      <c r="BC36" s="44">
        <f>IFERROR(VLOOKUP(BC34,MB!$B$39:$R$44,4,FALSE),"")</f>
        <v>23</v>
      </c>
      <c r="BD36" s="292" t="str">
        <f>IFERROR(VLOOKUP(BC34,MB!$B$39:$S$45,17,FALSE),"")</f>
        <v>22 V, 1 P</v>
      </c>
      <c r="BE36" s="292"/>
      <c r="BF36" s="293">
        <f>IFERROR(VLOOKUP(BC34,MB!$B$39:$R$44,7,FALSE),"")</f>
        <v>70</v>
      </c>
      <c r="BG36" s="294"/>
      <c r="BH36" s="45">
        <f>IFERROR(ROUND(VLOOKUP(BC34,MB!$B$39:$R$44,16,FALSE),2),"")</f>
        <v>82.14</v>
      </c>
      <c r="BI36" s="33"/>
      <c r="BJ36" s="288"/>
      <c r="BK36" s="33"/>
      <c r="BL36" s="125">
        <f>IFERROR(VLOOKUP(BL34,MB!$B$48:$R$82,8,FALSE),"")</f>
        <v>7</v>
      </c>
      <c r="BM36" s="268" t="str">
        <f>IFERROR(VLOOKUP(BL34,MB!$B$48:$R$82,14,FALSE),"")</f>
        <v>115 OZ, 100 (59+41)</v>
      </c>
      <c r="BN36" s="268"/>
      <c r="BO36" s="268"/>
      <c r="BP36" s="269" t="str">
        <f>IFERROR(VLOOKUP(BL34,MB!$B$48:$R$82,16,FALSE),"")</f>
        <v>Tatran Střešovice</v>
      </c>
      <c r="BQ36" s="269"/>
      <c r="BR36" s="269"/>
      <c r="BS36" s="268">
        <f>IFERROR(VLOOKUP(BL34,MB!$B$48:$R$82,17,FALSE),"")</f>
        <v>2006</v>
      </c>
      <c r="BT36" s="270"/>
      <c r="BU36" s="44" t="str">
        <f>IFERROR(VLOOKUP(BU34,TAT!$B$39:$R$44,4,FALSE),"")</f>
        <v/>
      </c>
      <c r="BV36" s="292" t="str">
        <f>IFERROR(VLOOKUP(BU34,TAT!$B$39:$S$45,17,FALSE),"")</f>
        <v/>
      </c>
      <c r="BW36" s="292"/>
      <c r="BX36" s="293" t="str">
        <f>IFERROR(VLOOKUP(BU34,TAT!$B$39:$R$44,7,FALSE),"")</f>
        <v/>
      </c>
      <c r="BY36" s="294"/>
      <c r="BZ36" s="45" t="str">
        <f>IFERROR(ROUND(VLOOKUP(BU34,TAT!$B$39:$R$44,16,FALSE),2),"")</f>
        <v/>
      </c>
      <c r="CA36" s="33"/>
      <c r="CB36" s="288"/>
      <c r="CC36" s="33"/>
      <c r="CD36" s="125" t="str">
        <f>IFERROR(VLOOKUP(CD34,TAT!$B$48:$R$82,8,FALSE),"")</f>
        <v/>
      </c>
      <c r="CE36" s="268" t="str">
        <f>IFERROR(VLOOKUP(CD34,TAT!$B$48:$R$82,14,FALSE),"")</f>
        <v/>
      </c>
      <c r="CF36" s="268"/>
      <c r="CG36" s="268"/>
      <c r="CH36" s="269" t="str">
        <f>IFERROR(VLOOKUP(CD34,TAT!$B$48:$R$82,16,FALSE),"")</f>
        <v/>
      </c>
      <c r="CI36" s="269"/>
      <c r="CJ36" s="269"/>
      <c r="CK36" s="268" t="str">
        <f>IFERROR(VLOOKUP(CD34,TAT!$B$48:$R$82,17,FALSE),"")</f>
        <v/>
      </c>
      <c r="CL36" s="270"/>
      <c r="CM36" s="44">
        <f>IFERROR(VLOOKUP(CM34,OTR!$B$39:$R$44,4,FALSE),"")</f>
        <v>24</v>
      </c>
      <c r="CN36" s="292" t="str">
        <f>IFERROR(VLOOKUP(CM34,OTR!$B$39:$S$45,17,FALSE),"")</f>
        <v>2 V, 22 P</v>
      </c>
      <c r="CO36" s="292"/>
      <c r="CP36" s="293">
        <f>IFERROR(VLOOKUP(CM34,OTR!$B$39:$R$44,7,FALSE),"")</f>
        <v>151</v>
      </c>
      <c r="CQ36" s="294"/>
      <c r="CR36" s="45">
        <f>IFERROR(ROUND(VLOOKUP(CM34,OTR!$B$39:$R$44,16,FALSE),2),"")</f>
        <v>70.22</v>
      </c>
      <c r="CS36" s="33"/>
      <c r="CT36" s="288"/>
      <c r="CU36" s="33"/>
      <c r="CV36" s="125">
        <f>IFERROR(VLOOKUP(CV34,OTR!$B$48:$R$82,8,FALSE),"")</f>
        <v>8</v>
      </c>
      <c r="CW36" s="268" t="str">
        <f>IFERROR(VLOOKUP(CV34,OTR!$B$48:$R$82,14,FALSE),"")</f>
        <v>156 OZ, 99 (57+42)</v>
      </c>
      <c r="CX36" s="268"/>
      <c r="CY36" s="268"/>
      <c r="CZ36" s="269" t="str">
        <f>IFERROR(VLOOKUP(CV34,OTR!$B$48:$R$82,16,FALSE),"")</f>
        <v>ATU Košice (SVK)</v>
      </c>
      <c r="DA36" s="269"/>
      <c r="DB36" s="269"/>
      <c r="DC36" s="268">
        <f>IFERROR(VLOOKUP(CV34,OTR!$B$48:$R$82,17,FALSE),"")</f>
        <v>2005</v>
      </c>
      <c r="DD36" s="270"/>
      <c r="DE36" s="44">
        <f>IFERROR(VLOOKUP(DE34,BOH!$B$39:$R$44,4,FALSE),"")</f>
        <v>23</v>
      </c>
      <c r="DF36" s="292" t="str">
        <f>IFERROR(VLOOKUP(DE34,BOH!$B$39:$S$45,17,FALSE),"")</f>
        <v>15 V, 8 P</v>
      </c>
      <c r="DG36" s="292"/>
      <c r="DH36" s="293">
        <f>IFERROR(VLOOKUP(DE34,BOH!$B$39:$R$44,7,FALSE),"")</f>
        <v>117</v>
      </c>
      <c r="DI36" s="294"/>
      <c r="DJ36" s="45">
        <f>IFERROR(ROUND(VLOOKUP(DE34,BOH!$B$39:$R$44,16,FALSE),2),"")</f>
        <v>78.84</v>
      </c>
      <c r="DK36" s="33"/>
      <c r="DL36" s="288"/>
      <c r="DM36" s="33"/>
      <c r="DN36" s="125">
        <f>IFERROR(VLOOKUP(DN34,BOH!$B$48:$R$82,8,FALSE),"")</f>
        <v>8</v>
      </c>
      <c r="DO36" s="268" t="str">
        <f>IFERROR(VLOOKUP(DN34,BOH!$B$48:$R$82,14,FALSE),"")</f>
        <v>139 OZ, 37 (26+11)</v>
      </c>
      <c r="DP36" s="268"/>
      <c r="DQ36" s="268"/>
      <c r="DR36" s="269" t="str">
        <f>IFERROR(VLOOKUP(DN34,BOH!$B$48:$R$82,16,FALSE),"")</f>
        <v>FbŠ Bohemians</v>
      </c>
      <c r="DS36" s="269"/>
      <c r="DT36" s="269"/>
      <c r="DU36" s="268" t="str">
        <f>IFERROR(VLOOKUP(DN34,BOH!$B$48:$R$82,17,FALSE),"")</f>
        <v>-</v>
      </c>
      <c r="DV36" s="270"/>
      <c r="DW36" s="44" t="str">
        <f>IFERROR(VLOOKUP(DW34,SPA!$B$39:$R$44,4,FALSE),"")</f>
        <v/>
      </c>
      <c r="DX36" s="292" t="str">
        <f>IFERROR(VLOOKUP(DW34,SPA!$B$39:$S$45,17,FALSE),"")</f>
        <v/>
      </c>
      <c r="DY36" s="292"/>
      <c r="DZ36" s="293" t="str">
        <f>IFERROR(VLOOKUP(DW34,SPA!$B$39:$R$44,7,FALSE),"")</f>
        <v/>
      </c>
      <c r="EA36" s="294"/>
      <c r="EB36" s="45" t="str">
        <f>IFERROR(ROUND(VLOOKUP(DW34,SPA!$B$39:$R$44,16,FALSE),2),"")</f>
        <v/>
      </c>
      <c r="EC36" s="33"/>
      <c r="ED36" s="288"/>
      <c r="EE36" s="33"/>
      <c r="EF36" s="125" t="str">
        <f>IFERROR(VLOOKUP(EF34,SPA!$B$48:$R$82,8,FALSE),"")</f>
        <v/>
      </c>
      <c r="EG36" s="268" t="str">
        <f>IFERROR(VLOOKUP(EF34,SPA!$B$48:$R$82,14,FALSE),"")</f>
        <v/>
      </c>
      <c r="EH36" s="268"/>
      <c r="EI36" s="268"/>
      <c r="EJ36" s="269" t="str">
        <f>IFERROR(VLOOKUP(EF34,SPA!$B$48:$R$82,16,FALSE),"")</f>
        <v/>
      </c>
      <c r="EK36" s="269"/>
      <c r="EL36" s="269"/>
      <c r="EM36" s="268" t="str">
        <f>IFERROR(VLOOKUP(EF34,SPA!$B$48:$R$82,17,FALSE),"")</f>
        <v/>
      </c>
      <c r="EN36" s="270"/>
      <c r="EO36" s="44" t="str">
        <f>IFERROR(VLOOKUP(EO34,CLP!$B$39:$R$44,4,FALSE),"")</f>
        <v/>
      </c>
      <c r="EP36" s="292" t="str">
        <f>IFERROR(VLOOKUP(EO34,CLP!$B$39:$S$45,17,FALSE),"")</f>
        <v/>
      </c>
      <c r="EQ36" s="292"/>
      <c r="ER36" s="293" t="str">
        <f>IFERROR(VLOOKUP(EO34,CLP!$B$39:$R$44,7,FALSE),"")</f>
        <v/>
      </c>
      <c r="ES36" s="294"/>
      <c r="ET36" s="45" t="str">
        <f>IFERROR(ROUND(VLOOKUP(EO34,CLP!$B$39:$R$44,16,FALSE),2),"")</f>
        <v/>
      </c>
      <c r="EU36" s="33"/>
      <c r="EV36" s="288"/>
      <c r="EW36" s="33"/>
      <c r="EX36" s="125" t="str">
        <f>IFERROR(VLOOKUP(EX34,CLP!$B$48:$R$82,8,FALSE),"")</f>
        <v/>
      </c>
      <c r="EY36" s="268" t="str">
        <f>IFERROR(VLOOKUP(EX34,CLP!$B$48:$R$82,14,FALSE),"")</f>
        <v/>
      </c>
      <c r="EZ36" s="268"/>
      <c r="FA36" s="268"/>
      <c r="FB36" s="269" t="str">
        <f>IFERROR(VLOOKUP(EX34,CLP!$B$48:$R$82,16,FALSE),"")</f>
        <v/>
      </c>
      <c r="FC36" s="269"/>
      <c r="FD36" s="269"/>
      <c r="FE36" s="268" t="str">
        <f>IFERROR(VLOOKUP(EX34,CLP!$B$48:$R$82,17,FALSE),"")</f>
        <v/>
      </c>
      <c r="FF36" s="270"/>
      <c r="FG36" s="44">
        <f>IFERROR(VLOOKUP(FG34,LIB!$B$39:$R$44,4,FALSE),"")</f>
        <v>23</v>
      </c>
      <c r="FH36" s="292" t="str">
        <f>IFERROR(VLOOKUP(FG34,LIB!$B$39:$S$45,17,FALSE),"")</f>
        <v>11 V, 12 P</v>
      </c>
      <c r="FI36" s="292"/>
      <c r="FJ36" s="293">
        <f>IFERROR(VLOOKUP(FG34,LIB!$B$39:$R$44,7,FALSE),"")</f>
        <v>115</v>
      </c>
      <c r="FK36" s="294"/>
      <c r="FL36" s="45">
        <f>IFERROR(ROUND(VLOOKUP(FG34,LIB!$B$39:$R$44,16,FALSE),2),"")</f>
        <v>77.319999999999993</v>
      </c>
      <c r="FM36" s="33"/>
      <c r="FN36" s="288"/>
      <c r="FO36" s="33"/>
      <c r="FP36" s="125">
        <f>IFERROR(VLOOKUP(FP34,LIB!$B$48:$R$82,8,FALSE),"")</f>
        <v>2</v>
      </c>
      <c r="FQ36" s="268" t="str">
        <f>IFERROR(VLOOKUP(FP34,LIB!$B$48:$R$82,14,FALSE),"")</f>
        <v>44 OZ, 35 (20+15)</v>
      </c>
      <c r="FR36" s="268"/>
      <c r="FS36" s="268"/>
      <c r="FT36" s="269" t="str">
        <f>IFERROR(VLOOKUP(FP34,LIB!$B$48:$R$82,16,FALSE),"")</f>
        <v>FBC Liberec</v>
      </c>
      <c r="FU36" s="269"/>
      <c r="FV36" s="269"/>
      <c r="FW36" s="268">
        <f>IFERROR(VLOOKUP(FP34,LIB!$B$48:$R$82,17,FALSE),"")</f>
        <v>2010</v>
      </c>
      <c r="FX36" s="270"/>
      <c r="FY36" s="44" t="str">
        <f>IFERROR(VLOOKUP(FY34,HAT!$B$39:$R$44,4,FALSE),"")</f>
        <v/>
      </c>
      <c r="FZ36" s="292" t="str">
        <f>IFERROR(VLOOKUP(FY34,HAT!$B$39:$S$45,17,FALSE),"")</f>
        <v/>
      </c>
      <c r="GA36" s="292"/>
      <c r="GB36" s="293" t="str">
        <f>IFERROR(VLOOKUP(FY34,HAT!$B$39:$R$44,7,FALSE),"")</f>
        <v/>
      </c>
      <c r="GC36" s="294"/>
      <c r="GD36" s="45" t="str">
        <f>IFERROR(ROUND(VLOOKUP(FY34,HAT!$B$39:$R$44,16,FALSE),2),"")</f>
        <v/>
      </c>
      <c r="GE36" s="33"/>
      <c r="GF36" s="288"/>
      <c r="GG36" s="33"/>
      <c r="GH36" s="125" t="str">
        <f>IFERROR(VLOOKUP(GH34,HAT!$B$48:$R$82,8,FALSE),"")</f>
        <v/>
      </c>
      <c r="GI36" s="268" t="str">
        <f>IFERROR(VLOOKUP(GH34,HAT!$B$48:$R$82,14,FALSE),"")</f>
        <v/>
      </c>
      <c r="GJ36" s="268"/>
      <c r="GK36" s="268"/>
      <c r="GL36" s="269" t="str">
        <f>IFERROR(VLOOKUP(GH34,HAT!$B$48:$R$82,16,FALSE),"")</f>
        <v/>
      </c>
      <c r="GM36" s="269"/>
      <c r="GN36" s="269"/>
      <c r="GO36" s="268" t="str">
        <f>IFERROR(VLOOKUP(GH34,HAT!$B$48:$R$82,17,FALSE),"")</f>
        <v/>
      </c>
      <c r="GP36" s="270"/>
    </row>
    <row r="37" spans="1:198" ht="15.6" customHeight="1" thickTop="1" thickBot="1" x14ac:dyDescent="0.3">
      <c r="A37" s="295">
        <f>IFERROR(ROUND(VLOOKUP(A34,SKV!$B$39:$R$42,5,FALSE),2),"")</f>
        <v>1126.54</v>
      </c>
      <c r="B37" s="296"/>
      <c r="C37" s="256">
        <f>IFERROR(VLOOKUP(A34,SKV!$B$39:$R$42,15,FALSE),"")</f>
        <v>7.136897047597067</v>
      </c>
      <c r="D37" s="257"/>
      <c r="E37" s="258" t="str">
        <f>IFERROR(VLOOKUP(A34,SKV!$B$48:$AA$82,18,FALSE),"")</f>
        <v>40 OZ, 2 A</v>
      </c>
      <c r="F37" s="259"/>
      <c r="G37" s="33"/>
      <c r="H37" s="288"/>
      <c r="I37" s="33"/>
      <c r="J37" s="33"/>
      <c r="K37" s="33"/>
      <c r="L37" s="33"/>
      <c r="M37" s="33"/>
      <c r="N37" s="33"/>
      <c r="O37" s="33"/>
      <c r="P37" s="33"/>
      <c r="Q37" s="33"/>
      <c r="R37" s="33"/>
      <c r="S37" s="295">
        <f>IFERROR(ROUND(VLOOKUP(S34,CHO!$B$39:$R$42,5,FALSE),2),"")</f>
        <v>537.77</v>
      </c>
      <c r="T37" s="296"/>
      <c r="U37" s="256">
        <f>IFERROR(VLOOKUP(S34,CHO!$B$39:$R$42,15,FALSE),"")</f>
        <v>6.0248805251315627</v>
      </c>
      <c r="V37" s="257"/>
      <c r="W37" s="258" t="str">
        <f>IFERROR(VLOOKUP(S34,CHO!$B$48:$S$82,18,FALSE),"")</f>
        <v>14 OZ, 1 A</v>
      </c>
      <c r="X37" s="259"/>
      <c r="Y37" s="33"/>
      <c r="Z37" s="288"/>
      <c r="AA37" s="33"/>
      <c r="AB37" s="33"/>
      <c r="AC37" s="33"/>
      <c r="AD37" s="33"/>
      <c r="AE37" s="33"/>
      <c r="AF37" s="33"/>
      <c r="AG37" s="33"/>
      <c r="AH37" s="33"/>
      <c r="AI37" s="33"/>
      <c r="AJ37" s="33"/>
      <c r="AK37" s="295">
        <f>IFERROR(ROUND(VLOOKUP(AK34,VIT!$B$39:$R$44,5,FALSE),2),"")</f>
        <v>1136.7</v>
      </c>
      <c r="AL37" s="296"/>
      <c r="AM37" s="256">
        <f>IFERROR(VLOOKUP(AK34,VIT!$B$39:$R$44,15,FALSE),"")</f>
        <v>4.1171813143309581</v>
      </c>
      <c r="AN37" s="257"/>
      <c r="AO37" s="258" t="str">
        <f>IFERROR(VLOOKUP(AK34,VIT!$B$48:$S$82,18,FALSE),"")</f>
        <v>145 OZ, 8 A</v>
      </c>
      <c r="AP37" s="259"/>
      <c r="AQ37" s="33"/>
      <c r="AR37" s="288"/>
      <c r="AS37" s="33"/>
      <c r="AT37" s="33"/>
      <c r="AU37" s="33"/>
      <c r="AV37" s="33"/>
      <c r="AW37" s="33"/>
      <c r="AX37" s="33"/>
      <c r="AY37" s="33"/>
      <c r="AZ37" s="33"/>
      <c r="BA37" s="33"/>
      <c r="BB37" s="33"/>
      <c r="BC37" s="295">
        <f>IFERROR(ROUND(VLOOKUP(BC34,MB!$B$39:$R$44,5,FALSE),2),"")</f>
        <v>1345.3</v>
      </c>
      <c r="BD37" s="296"/>
      <c r="BE37" s="256">
        <f>IFERROR(VLOOKUP(BC34,MB!$B$39:$R$44,15,FALSE),"")</f>
        <v>3.1219802274585593</v>
      </c>
      <c r="BF37" s="257"/>
      <c r="BG37" s="258" t="str">
        <f>IFERROR(VLOOKUP(BC34,MB!$B$48:$S$82,18,FALSE),"")</f>
        <v>160 OZ, 9 A</v>
      </c>
      <c r="BH37" s="259"/>
      <c r="BI37" s="33"/>
      <c r="BJ37" s="288"/>
      <c r="BK37" s="33"/>
      <c r="BL37" s="33"/>
      <c r="BM37" s="33"/>
      <c r="BN37" s="33"/>
      <c r="BO37" s="33"/>
      <c r="BP37" s="33"/>
      <c r="BQ37" s="33"/>
      <c r="BR37" s="33"/>
      <c r="BS37" s="33"/>
      <c r="BT37" s="33"/>
      <c r="BU37" s="295" t="str">
        <f>IFERROR(ROUND(VLOOKUP(BU34,TAT!$B$39:$R$44,5,FALSE),2),"")</f>
        <v/>
      </c>
      <c r="BV37" s="296"/>
      <c r="BW37" s="256" t="str">
        <f>IFERROR(VLOOKUP(BU34,TAT!$B$39:$R$44,15,FALSE),"")</f>
        <v/>
      </c>
      <c r="BX37" s="257"/>
      <c r="BY37" s="258" t="str">
        <f>IFERROR(VLOOKUP(BU34,TAT!$B$48:$S$82,18,FALSE),"")</f>
        <v/>
      </c>
      <c r="BZ37" s="259"/>
      <c r="CA37" s="33"/>
      <c r="CB37" s="288"/>
      <c r="CC37" s="33"/>
      <c r="CD37" s="33"/>
      <c r="CE37" s="33"/>
      <c r="CF37" s="33"/>
      <c r="CG37" s="33"/>
      <c r="CH37" s="33"/>
      <c r="CI37" s="33"/>
      <c r="CJ37" s="33"/>
      <c r="CK37" s="33"/>
      <c r="CL37" s="33"/>
      <c r="CM37" s="295">
        <f>IFERROR(ROUND(VLOOKUP(CM34,OTR!$B$39:$R$44,5,FALSE),2),"")</f>
        <v>1342.12</v>
      </c>
      <c r="CN37" s="296"/>
      <c r="CO37" s="256">
        <f>IFERROR(VLOOKUP(CM34,OTR!$B$39:$R$44,15,FALSE),"")</f>
        <v>6.7505141120019072</v>
      </c>
      <c r="CP37" s="257"/>
      <c r="CQ37" s="258" t="str">
        <f>IFERROR(VLOOKUP(CM34,OTR!$B$48:$S$82,18,FALSE),"")</f>
        <v>34 OZ, 1 A</v>
      </c>
      <c r="CR37" s="259"/>
      <c r="CS37" s="33"/>
      <c r="CT37" s="288"/>
      <c r="CU37" s="33"/>
      <c r="CV37" s="33"/>
      <c r="CW37" s="33"/>
      <c r="CX37" s="33"/>
      <c r="CY37" s="33"/>
      <c r="CZ37" s="33"/>
      <c r="DA37" s="33"/>
      <c r="DB37" s="33"/>
      <c r="DC37" s="33"/>
      <c r="DD37" s="33"/>
      <c r="DE37" s="295">
        <f>IFERROR(ROUND(VLOOKUP(DE34,BOH!$B$39:$R$44,5,FALSE),2),"")</f>
        <v>1366.54</v>
      </c>
      <c r="DF37" s="296"/>
      <c r="DG37" s="256">
        <f>IFERROR(VLOOKUP(DE34,BOH!$B$39:$R$44,15,FALSE),"")</f>
        <v>5.1370614837472743</v>
      </c>
      <c r="DH37" s="257"/>
      <c r="DI37" s="258" t="str">
        <f>IFERROR(VLOOKUP(DE34,BOH!$B$48:$S$82,18,FALSE),"")</f>
        <v>195 OZ, 4 A</v>
      </c>
      <c r="DJ37" s="259"/>
      <c r="DK37" s="33"/>
      <c r="DL37" s="288"/>
      <c r="DM37" s="33"/>
      <c r="DN37" s="33"/>
      <c r="DO37" s="33"/>
      <c r="DP37" s="33"/>
      <c r="DQ37" s="33"/>
      <c r="DR37" s="33"/>
      <c r="DS37" s="33"/>
      <c r="DT37" s="33"/>
      <c r="DU37" s="33"/>
      <c r="DV37" s="33"/>
      <c r="DW37" s="295" t="str">
        <f>IFERROR(ROUND(VLOOKUP(DW34,SPA!$B$39:$R$44,5,FALSE),2),"")</f>
        <v/>
      </c>
      <c r="DX37" s="296"/>
      <c r="DY37" s="256" t="str">
        <f>IFERROR(VLOOKUP(DW34,SPA!$B$39:$R$44,15,FALSE),"")</f>
        <v/>
      </c>
      <c r="DZ37" s="257"/>
      <c r="EA37" s="258" t="str">
        <f>IFERROR(VLOOKUP(DW34,SPA!$B$48:$S$82,18,FALSE),"")</f>
        <v/>
      </c>
      <c r="EB37" s="259"/>
      <c r="EC37" s="33"/>
      <c r="ED37" s="288"/>
      <c r="EE37" s="33"/>
      <c r="EF37" s="33"/>
      <c r="EG37" s="33"/>
      <c r="EH37" s="33"/>
      <c r="EI37" s="33"/>
      <c r="EJ37" s="33"/>
      <c r="EK37" s="33"/>
      <c r="EL37" s="33"/>
      <c r="EM37" s="33"/>
      <c r="EN37" s="33"/>
      <c r="EO37" s="295" t="str">
        <f>IFERROR(ROUND(VLOOKUP(EO34,CLP!$B$39:$R$44,5,FALSE),2),"")</f>
        <v/>
      </c>
      <c r="EP37" s="296"/>
      <c r="EQ37" s="256" t="str">
        <f>IFERROR(VLOOKUP(EO34,CLP!$B$39:$R$44,15,FALSE),"")</f>
        <v/>
      </c>
      <c r="ER37" s="257"/>
      <c r="ES37" s="258" t="str">
        <f>IFERROR(VLOOKUP(EO34,CLP!$B$48:$S$82,18,FALSE),"")</f>
        <v/>
      </c>
      <c r="ET37" s="259"/>
      <c r="EU37" s="33"/>
      <c r="EV37" s="288"/>
      <c r="EW37" s="33"/>
      <c r="EX37" s="33"/>
      <c r="EY37" s="33"/>
      <c r="EZ37" s="33"/>
      <c r="FA37" s="33"/>
      <c r="FB37" s="33"/>
      <c r="FC37" s="33"/>
      <c r="FD37" s="33"/>
      <c r="FE37" s="33"/>
      <c r="FF37" s="33"/>
      <c r="FG37" s="295">
        <f>IFERROR(ROUND(VLOOKUP(FG34,LIB!$B$39:$R$44,5,FALSE),2),"")</f>
        <v>1206.03</v>
      </c>
      <c r="FH37" s="296"/>
      <c r="FI37" s="256">
        <f>IFERROR(VLOOKUP(FG34,LIB!$B$39:$R$44,15,FALSE),"")</f>
        <v>5.721250715156339</v>
      </c>
      <c r="FJ37" s="257"/>
      <c r="FK37" s="258" t="str">
        <f>IFERROR(VLOOKUP(FG34,LIB!$B$48:$S$82,18,FALSE),"")</f>
        <v>48 OZ, 0 A</v>
      </c>
      <c r="FL37" s="259"/>
      <c r="FM37" s="33"/>
      <c r="FN37" s="288"/>
      <c r="FO37" s="33"/>
      <c r="FP37" s="33"/>
      <c r="FQ37" s="33"/>
      <c r="FR37" s="33"/>
      <c r="FS37" s="33"/>
      <c r="FT37" s="33"/>
      <c r="FU37" s="33"/>
      <c r="FV37" s="33"/>
      <c r="FW37" s="33"/>
      <c r="FX37" s="33"/>
      <c r="FY37" s="295" t="str">
        <f>IFERROR(ROUND(VLOOKUP(FY34,HAT!$B$39:$R$44,5,FALSE),2),"")</f>
        <v/>
      </c>
      <c r="FZ37" s="296"/>
      <c r="GA37" s="256" t="str">
        <f>IFERROR(VLOOKUP(FY34,HAT!$B$39:$R$44,15,FALSE),"")</f>
        <v/>
      </c>
      <c r="GB37" s="257"/>
      <c r="GC37" s="258" t="str">
        <f>IFERROR(VLOOKUP(FY34,HAT!$B$48:$S$82,18,FALSE),"")</f>
        <v/>
      </c>
      <c r="GD37" s="259"/>
      <c r="GE37" s="33"/>
      <c r="GF37" s="288"/>
      <c r="GG37" s="33"/>
      <c r="GH37" s="33"/>
      <c r="GI37" s="33"/>
      <c r="GJ37" s="33"/>
      <c r="GK37" s="33"/>
      <c r="GL37" s="33"/>
      <c r="GM37" s="33"/>
      <c r="GN37" s="33"/>
      <c r="GO37" s="33"/>
      <c r="GP37" s="33"/>
    </row>
    <row r="38" spans="1:198" ht="15.6" customHeight="1" thickTop="1" thickBot="1" x14ac:dyDescent="0.3">
      <c r="A38" s="263" t="str">
        <f>IFERROR(VLOOKUP(A34,SKV!$B$48:$AA$82,16,FALSE),"")</f>
        <v>Chodov</v>
      </c>
      <c r="B38" s="264"/>
      <c r="C38" s="265"/>
      <c r="D38" s="266">
        <f>IFERROR(VLOOKUP(A34,SKV!$B$48:$AA$82,17,FALSE),"")</f>
        <v>2008</v>
      </c>
      <c r="E38" s="267"/>
      <c r="F38" s="46">
        <f>IFERROR(VLOOKUP(A34,SKV!$B$39:$R$42,8,FALSE),"")</f>
        <v>1</v>
      </c>
      <c r="G38" s="33"/>
      <c r="H38" s="288"/>
      <c r="I38" s="33"/>
      <c r="J38" s="286" t="s">
        <v>28</v>
      </c>
      <c r="K38" s="287"/>
      <c r="L38" s="287"/>
      <c r="M38" s="287"/>
      <c r="N38" s="287"/>
      <c r="O38" s="287"/>
      <c r="P38" s="287"/>
      <c r="Q38" s="32" t="str">
        <f>IFERROR(IF(VLOOKUP(J38,SKV!$B$48:$AA$82,10,FALSE)=0,"",VLOOKUP(M38,SKV!$B$48:$AA$82,10,FALSE)),"")</f>
        <v/>
      </c>
      <c r="R38" s="52">
        <f>IFERROR(VLOOKUP(J38,SKV!$B$48:$AA$82,9,FALSE),"")</f>
        <v>26</v>
      </c>
      <c r="S38" s="263" t="str">
        <f>IFERROR(VLOOKUP(S34,CHO!$B$48:$AA$82,16,FALSE),"")</f>
        <v>TJ Sokol Rokycany</v>
      </c>
      <c r="T38" s="264"/>
      <c r="U38" s="265"/>
      <c r="V38" s="266">
        <f>IFERROR(VLOOKUP(S34,CHO!$B$48:$AA$82,17,FALSE),"")</f>
        <v>2010</v>
      </c>
      <c r="W38" s="267"/>
      <c r="X38" s="46">
        <f>IFERROR(VLOOKUP(S34,CHO!$B$39:$R$42,8,FALSE),"")</f>
        <v>0</v>
      </c>
      <c r="Y38" s="33"/>
      <c r="Z38" s="288"/>
      <c r="AA38" s="33"/>
      <c r="AB38" s="286" t="s">
        <v>176</v>
      </c>
      <c r="AC38" s="287"/>
      <c r="AD38" s="287"/>
      <c r="AE38" s="287"/>
      <c r="AF38" s="287"/>
      <c r="AG38" s="287"/>
      <c r="AH38" s="287"/>
      <c r="AI38" s="32" t="str">
        <f>IFERROR(IF(VLOOKUP(AB38,CHO!$B$48:$AA$82,10,FALSE)=0,"",VLOOKUP(AB38,CHO!$B$48:$AA$82,10,FALSE)),"")</f>
        <v/>
      </c>
      <c r="AJ38" s="52">
        <f>IFERROR(VLOOKUP(AB38,CHO!$B$48:$AA$82,9,FALSE),"")</f>
        <v>10</v>
      </c>
      <c r="AK38" s="263" t="str">
        <f>IFERROR(VLOOKUP(AK34,VIT!$B$48:$R$82,16,FALSE),"")</f>
        <v>Sokol Ostrava Poruba</v>
      </c>
      <c r="AL38" s="264"/>
      <c r="AM38" s="265"/>
      <c r="AN38" s="266">
        <f>IFERROR(VLOOKUP(AK34,VIT!$B$48:$R$82,17,FALSE),"")</f>
        <v>2004</v>
      </c>
      <c r="AO38" s="267"/>
      <c r="AP38" s="46">
        <f>IFERROR(VLOOKUP(AK34,VIT!$B$39:$R$44,8,FALSE),"")</f>
        <v>0</v>
      </c>
      <c r="AQ38" s="33"/>
      <c r="AR38" s="288"/>
      <c r="AS38" s="33"/>
      <c r="AT38" s="286" t="s">
        <v>259</v>
      </c>
      <c r="AU38" s="287"/>
      <c r="AV38" s="287"/>
      <c r="AW38" s="287"/>
      <c r="AX38" s="287"/>
      <c r="AY38" s="287"/>
      <c r="AZ38" s="287"/>
      <c r="BA38" s="32" t="str">
        <f>IFERROR(IF(VLOOKUP(AT38,VIT!$B$48:$R$82,10,FALSE)=0,"",VLOOKUP(AT38,VIT!$B$48:$R$82,10,FALSE)),"")</f>
        <v/>
      </c>
      <c r="BB38" s="52">
        <f>IFERROR(VLOOKUP(AT38,VIT!$B$48:$R$82,9,FALSE),"")</f>
        <v>7</v>
      </c>
      <c r="BC38" s="263" t="str">
        <f>IFERROR(VLOOKUP(BC34,MB!$B$48:$R$82,16,FALSE),"")</f>
        <v>TJ SKV</v>
      </c>
      <c r="BD38" s="264"/>
      <c r="BE38" s="265"/>
      <c r="BF38" s="266">
        <f>IFERROR(VLOOKUP(BC34,MB!$B$48:$R$82,17,FALSE),"")</f>
        <v>0</v>
      </c>
      <c r="BG38" s="267"/>
      <c r="BH38" s="46">
        <f>IFERROR(VLOOKUP(BC34,MB!$B$39:$R$44,8,FALSE),"")</f>
        <v>0</v>
      </c>
      <c r="BI38" s="33"/>
      <c r="BJ38" s="288"/>
      <c r="BK38" s="33"/>
      <c r="BL38" s="286" t="s">
        <v>300</v>
      </c>
      <c r="BM38" s="287"/>
      <c r="BN38" s="287"/>
      <c r="BO38" s="287"/>
      <c r="BP38" s="287"/>
      <c r="BQ38" s="287"/>
      <c r="BR38" s="287"/>
      <c r="BS38" s="32" t="str">
        <f>IFERROR(IF(VLOOKUP(BL38,MB!$B$48:$R$82,10,FALSE)=0,"",VLOOKUP(BL38,MB!$B$48:$R$82,10,FALSE)),"")</f>
        <v/>
      </c>
      <c r="BT38" s="52">
        <f>IFERROR(VLOOKUP(BL38,MB!$B$48:$R$82,9,FALSE),"")</f>
        <v>24</v>
      </c>
      <c r="BU38" s="263" t="str">
        <f>IFERROR(VLOOKUP(BU34,TAT!$B$48:$R$82,16,FALSE),"")</f>
        <v/>
      </c>
      <c r="BV38" s="264"/>
      <c r="BW38" s="265"/>
      <c r="BX38" s="266" t="str">
        <f>IFERROR(VLOOKUP(BU34,TAT!$B$48:$R$82,17,FALSE),"")</f>
        <v/>
      </c>
      <c r="BY38" s="267"/>
      <c r="BZ38" s="46" t="str">
        <f>IFERROR(VLOOKUP(BU34,TAT!$B$39:$R$44,8,FALSE),"")</f>
        <v/>
      </c>
      <c r="CA38" s="33"/>
      <c r="CB38" s="288"/>
      <c r="CC38" s="33"/>
      <c r="CD38" s="286"/>
      <c r="CE38" s="287"/>
      <c r="CF38" s="287"/>
      <c r="CG38" s="287"/>
      <c r="CH38" s="287"/>
      <c r="CI38" s="287"/>
      <c r="CJ38" s="287"/>
      <c r="CK38" s="32" t="str">
        <f>IFERROR(IF(VLOOKUP(CD38,TAT!$B$48:$R$82,10,FALSE)=0,"",VLOOKUP(CD38,TAT!$B$48:$R$82,10,FALSE)),"")</f>
        <v/>
      </c>
      <c r="CL38" s="52" t="str">
        <f>IFERROR(VLOOKUP(CD38,TAT!$B$48:$R$82,9,FALSE),"")</f>
        <v/>
      </c>
      <c r="CM38" s="263" t="str">
        <f>IFERROR(VLOOKUP(CM34,OTR!$B$48:$R$82,16,FALSE),"")</f>
        <v>Sokol Zlín</v>
      </c>
      <c r="CN38" s="264"/>
      <c r="CO38" s="265"/>
      <c r="CP38" s="266">
        <f>IFERROR(VLOOKUP(CM34,OTR!$B$48:$R$82,17,FALSE),"")</f>
        <v>2012</v>
      </c>
      <c r="CQ38" s="267"/>
      <c r="CR38" s="46">
        <f>IFERROR(VLOOKUP(CM34,OTR!$B$39:$R$44,8,FALSE),"")</f>
        <v>0</v>
      </c>
      <c r="CS38" s="33"/>
      <c r="CT38" s="288"/>
      <c r="CU38" s="33"/>
      <c r="CV38" s="286" t="s">
        <v>420</v>
      </c>
      <c r="CW38" s="287"/>
      <c r="CX38" s="287"/>
      <c r="CY38" s="287"/>
      <c r="CZ38" s="287"/>
      <c r="DA38" s="287"/>
      <c r="DB38" s="287"/>
      <c r="DC38" s="32" t="str">
        <f>IFERROR(IF(VLOOKUP(CV38,OTR!$B$48:$R$82,10,FALSE)=0,"",VLOOKUP(CV38,OTR!$B$48:$R$82,10,FALSE)),"")</f>
        <v/>
      </c>
      <c r="DD38" s="52">
        <f>IFERROR(VLOOKUP(CV38,OTR!$B$48:$R$82,9,FALSE),"")</f>
        <v>61</v>
      </c>
      <c r="DE38" s="263" t="str">
        <f>IFERROR(VLOOKUP(DE34,BOH!$B$48:$R$82,16,FALSE),"")</f>
        <v>SK Florbal Kroměříž</v>
      </c>
      <c r="DF38" s="264"/>
      <c r="DG38" s="265"/>
      <c r="DH38" s="266">
        <f>IFERROR(VLOOKUP(DE34,BOH!$B$48:$R$82,17,FALSE),"")</f>
        <v>2000</v>
      </c>
      <c r="DI38" s="267"/>
      <c r="DJ38" s="46">
        <f>IFERROR(VLOOKUP(DE34,BOH!$B$39:$R$44,8,FALSE),"")</f>
        <v>0</v>
      </c>
      <c r="DK38" s="33"/>
      <c r="DL38" s="288"/>
      <c r="DM38" s="33"/>
      <c r="DN38" s="286" t="s">
        <v>499</v>
      </c>
      <c r="DO38" s="287"/>
      <c r="DP38" s="287"/>
      <c r="DQ38" s="287"/>
      <c r="DR38" s="287"/>
      <c r="DS38" s="287"/>
      <c r="DT38" s="287"/>
      <c r="DU38" s="32" t="str">
        <f>IFERROR(IF(VLOOKUP(DN38,BOH!$B$48:$R$82,10,FALSE)=0,"",VLOOKUP(DN38,BOH!$B$48:$R$82,10,FALSE)),"")</f>
        <v/>
      </c>
      <c r="DV38" s="52">
        <f>IFERROR(VLOOKUP(DN38,BOH!$B$48:$R$82,9,FALSE),"")</f>
        <v>39</v>
      </c>
      <c r="DW38" s="263" t="str">
        <f>IFERROR(VLOOKUP(DW34,SPA!$B$48:$R$82,16,FALSE),"")</f>
        <v/>
      </c>
      <c r="DX38" s="264"/>
      <c r="DY38" s="265"/>
      <c r="DZ38" s="266" t="str">
        <f>IFERROR(VLOOKUP(DW34,SPA!$B$48:$R$82,17,FALSE),"")</f>
        <v/>
      </c>
      <c r="EA38" s="267"/>
      <c r="EB38" s="46" t="str">
        <f>IFERROR(VLOOKUP(DW34,SPA!$B$39:$R$44,8,FALSE),"")</f>
        <v/>
      </c>
      <c r="EC38" s="33"/>
      <c r="ED38" s="288"/>
      <c r="EE38" s="33"/>
      <c r="EF38" s="286"/>
      <c r="EG38" s="287"/>
      <c r="EH38" s="287"/>
      <c r="EI38" s="287"/>
      <c r="EJ38" s="287"/>
      <c r="EK38" s="287"/>
      <c r="EL38" s="287"/>
      <c r="EM38" s="32" t="str">
        <f>IFERROR(IF(VLOOKUP(EF38,SPA!$B$48:$R$82,10,FALSE)=0,"",VLOOKUP(EF38,SPA!$B$48:$R$82,10,FALSE)),"")</f>
        <v/>
      </c>
      <c r="EN38" s="52" t="str">
        <f>IFERROR(VLOOKUP(EF38,SPA!$B$48:$R$82,9,FALSE),"")</f>
        <v/>
      </c>
      <c r="EO38" s="263" t="str">
        <f>IFERROR(VLOOKUP(EO34,CLP!$B$48:$R$82,16,FALSE),"")</f>
        <v/>
      </c>
      <c r="EP38" s="264"/>
      <c r="EQ38" s="265"/>
      <c r="ER38" s="266" t="str">
        <f>IFERROR(VLOOKUP(EO34,CLP!$B$48:$R$82,17,FALSE),"")</f>
        <v/>
      </c>
      <c r="ES38" s="267"/>
      <c r="ET38" s="46" t="str">
        <f>IFERROR(VLOOKUP(EO34,CLP!$B$39:$R$44,8,FALSE),"")</f>
        <v/>
      </c>
      <c r="EU38" s="33"/>
      <c r="EV38" s="288"/>
      <c r="EW38" s="33"/>
      <c r="EX38" s="286"/>
      <c r="EY38" s="287"/>
      <c r="EZ38" s="287"/>
      <c r="FA38" s="287"/>
      <c r="FB38" s="287"/>
      <c r="FC38" s="287"/>
      <c r="FD38" s="287"/>
      <c r="FE38" s="32" t="str">
        <f>IFERROR(IF(VLOOKUP(EX38,CLP!$B$48:$R$82,10,FALSE)=0,"",VLOOKUP(EX38,CLP!$B$48:$R$82,10,FALSE)),"")</f>
        <v/>
      </c>
      <c r="FF38" s="52" t="str">
        <f>IFERROR(VLOOKUP(EX38,CLP!$B$48:$R$82,9,FALSE),"")</f>
        <v/>
      </c>
      <c r="FG38" s="263" t="str">
        <f>IFERROR(VLOOKUP(FG34,LIB!$B$48:$R$82,16,FALSE),"")</f>
        <v>AC Sparta Praha</v>
      </c>
      <c r="FH38" s="264"/>
      <c r="FI38" s="265"/>
      <c r="FJ38" s="266">
        <f>IFERROR(VLOOKUP(FG34,LIB!$B$48:$R$82,17,FALSE),"")</f>
        <v>2007</v>
      </c>
      <c r="FK38" s="267"/>
      <c r="FL38" s="46">
        <f>IFERROR(VLOOKUP(FG34,LIB!$B$39:$R$44,8,FALSE),"")</f>
        <v>1</v>
      </c>
      <c r="FM38" s="33"/>
      <c r="FN38" s="288"/>
      <c r="FO38" s="33"/>
      <c r="FP38" s="286" t="s">
        <v>757</v>
      </c>
      <c r="FQ38" s="287"/>
      <c r="FR38" s="287"/>
      <c r="FS38" s="287"/>
      <c r="FT38" s="287"/>
      <c r="FU38" s="287"/>
      <c r="FV38" s="287"/>
      <c r="FW38" s="32" t="str">
        <f>IFERROR(IF(VLOOKUP(FP38,LIB!$B$48:$R$82,10,FALSE)=0,"",VLOOKUP(FP38,LIB!$B$48:$R$82,10,FALSE)),"")</f>
        <v/>
      </c>
      <c r="FX38" s="52">
        <f>IFERROR(VLOOKUP(FP38,LIB!$B$48:$R$82,9,FALSE),"")</f>
        <v>28</v>
      </c>
      <c r="FY38" s="263" t="str">
        <f>IFERROR(VLOOKUP(FY34,HAT!$B$48:$R$82,16,FALSE),"")</f>
        <v/>
      </c>
      <c r="FZ38" s="264"/>
      <c r="GA38" s="265"/>
      <c r="GB38" s="266" t="str">
        <f>IFERROR(VLOOKUP(FY34,HAT!$B$48:$R$82,17,FALSE),"")</f>
        <v/>
      </c>
      <c r="GC38" s="267"/>
      <c r="GD38" s="46" t="str">
        <f>IFERROR(VLOOKUP(FY34,HAT!$B$39:$R$44,8,FALSE),"")</f>
        <v/>
      </c>
      <c r="GE38" s="33"/>
      <c r="GF38" s="288"/>
      <c r="GG38" s="33"/>
      <c r="GH38" s="286"/>
      <c r="GI38" s="287"/>
      <c r="GJ38" s="287"/>
      <c r="GK38" s="287"/>
      <c r="GL38" s="287"/>
      <c r="GM38" s="287"/>
      <c r="GN38" s="287"/>
      <c r="GO38" s="32" t="str">
        <f>IFERROR(IF(VLOOKUP(GH38,HAT!$B$48:$R$82,10,FALSE)=0,"",VLOOKUP(GH38,HAT!$B$48:$R$82,10,FALSE)),"")</f>
        <v/>
      </c>
      <c r="GP38" s="52" t="str">
        <f>IFERROR(VLOOKUP(GH38,HAT!$B$48:$R$82,9,FALSE),"")</f>
        <v/>
      </c>
    </row>
    <row r="39" spans="1:198" ht="15.6" customHeight="1" thickTop="1" thickBot="1" x14ac:dyDescent="0.3">
      <c r="A39" s="33"/>
      <c r="B39" s="33"/>
      <c r="C39" s="33"/>
      <c r="D39" s="33"/>
      <c r="E39" s="33"/>
      <c r="F39" s="33"/>
      <c r="G39" s="33"/>
      <c r="H39" s="288"/>
      <c r="I39" s="33"/>
      <c r="J39" s="34" t="str">
        <f>IFERROR(VLOOKUP(J38,SKV!$B$48:$AA$82,11,FALSE),"")</f>
        <v>L</v>
      </c>
      <c r="K39" s="260">
        <f>IFERROR(YEAR(VLOOKUP(J38,SKV!$B$48:$AA$82,2,FALSE)),"")</f>
        <v>2002</v>
      </c>
      <c r="L39" s="261"/>
      <c r="M39" s="43">
        <f ca="1">IFERROR(VLOOKUP(J38,SKV!$B$48:$AA$82,3,FALSE),"")</f>
        <v>18</v>
      </c>
      <c r="N39" s="261" t="str">
        <f>IFERROR(VLOOKUP(J38,SKV!$B$48:$AA$82,15,FALSE),"")</f>
        <v>181/66</v>
      </c>
      <c r="O39" s="261"/>
      <c r="P39" s="261" t="str">
        <f>IFERROR(VLOOKUP(J38,SKV!$B$2:$O$36,14,FALSE),"")</f>
        <v>23 OZ , 0 (0+0), -9 ±</v>
      </c>
      <c r="Q39" s="261"/>
      <c r="R39" s="262"/>
      <c r="S39" s="33"/>
      <c r="T39" s="33"/>
      <c r="U39" s="33"/>
      <c r="V39" s="33"/>
      <c r="W39" s="33"/>
      <c r="X39" s="33"/>
      <c r="Y39" s="33"/>
      <c r="Z39" s="288"/>
      <c r="AA39" s="33"/>
      <c r="AB39" s="34" t="str">
        <f>IFERROR(VLOOKUP(AB38,CHO!$B$48:$AA$82,11,FALSE),"")</f>
        <v>L</v>
      </c>
      <c r="AC39" s="260">
        <f>IFERROR(YEAR(VLOOKUP(AB38,CHO!$B$48:$AA$82,2,FALSE)),"")</f>
        <v>1997</v>
      </c>
      <c r="AD39" s="261"/>
      <c r="AE39" s="43">
        <f ca="1">IFERROR(VLOOKUP(AB38,CHO!$B$48:$AA$82,3,FALSE),"")</f>
        <v>24</v>
      </c>
      <c r="AF39" s="261" t="str">
        <f>IFERROR(VLOOKUP(AB38,CHO!$B$48:$AA$82,15,FALSE),"")</f>
        <v>172/73</v>
      </c>
      <c r="AG39" s="261"/>
      <c r="AH39" s="261" t="str">
        <f>IFERROR(VLOOKUP(AB38,CHO!$B$2:$O$36,14,FALSE),"")</f>
        <v>25 OZ , 2 (1+1), -3 ±</v>
      </c>
      <c r="AI39" s="261"/>
      <c r="AJ39" s="262"/>
      <c r="AK39" s="33"/>
      <c r="AL39" s="33"/>
      <c r="AM39" s="33"/>
      <c r="AN39" s="33"/>
      <c r="AO39" s="33"/>
      <c r="AP39" s="33"/>
      <c r="AQ39" s="33"/>
      <c r="AR39" s="288"/>
      <c r="AS39" s="33"/>
      <c r="AT39" s="34" t="str">
        <f>IFERROR(VLOOKUP(AT38,VIT!$B$48:$R$82,11,FALSE),"")</f>
        <v>P</v>
      </c>
      <c r="AU39" s="260">
        <f>IFERROR(YEAR(VLOOKUP(AT38,VIT!$B$48:$R$82,2,FALSE)),"")</f>
        <v>1999</v>
      </c>
      <c r="AV39" s="261"/>
      <c r="AW39" s="105">
        <f ca="1">IFERROR(VLOOKUP(AT38,VIT!$B$48:$R$82,3,FALSE),"")</f>
        <v>21</v>
      </c>
      <c r="AX39" s="261" t="str">
        <f>IFERROR(VLOOKUP(AT38,VIT!$B$48:$R$82,15,FALSE),"")</f>
        <v>175/65</v>
      </c>
      <c r="AY39" s="261"/>
      <c r="AZ39" s="261" t="str">
        <f>IFERROR(VLOOKUP(AT38,VIT!$B$2:$O$36,14,FALSE),"")</f>
        <v>22 OZ , 10 (4+6), +2 ±</v>
      </c>
      <c r="BA39" s="261"/>
      <c r="BB39" s="262"/>
      <c r="BC39" s="33"/>
      <c r="BD39" s="33"/>
      <c r="BE39" s="33"/>
      <c r="BF39" s="33"/>
      <c r="BG39" s="33"/>
      <c r="BH39" s="33"/>
      <c r="BI39" s="33"/>
      <c r="BJ39" s="288"/>
      <c r="BK39" s="33"/>
      <c r="BL39" s="34" t="str">
        <f>IFERROR(VLOOKUP(BL38,MB!$B$48:$R$82,11,FALSE),"")</f>
        <v>L</v>
      </c>
      <c r="BM39" s="260">
        <f>IFERROR(YEAR(VLOOKUP(BL38,MB!$B$48:$R$82,2,FALSE)),"")</f>
        <v>2002</v>
      </c>
      <c r="BN39" s="261"/>
      <c r="BO39" s="107">
        <f ca="1">IFERROR(VLOOKUP(BL38,MB!$B$48:$R$82,3,FALSE),"")</f>
        <v>18</v>
      </c>
      <c r="BP39" s="261" t="str">
        <f>IFERROR(VLOOKUP(BL38,MB!$B$48:$R$82,15,FALSE),"")</f>
        <v>187/71</v>
      </c>
      <c r="BQ39" s="261"/>
      <c r="BR39" s="261" t="str">
        <f>IFERROR(VLOOKUP(BL38,MB!$B$2:$O$36,14,FALSE),"")</f>
        <v>17 OZ , 11 (6+5), +10 ±</v>
      </c>
      <c r="BS39" s="261"/>
      <c r="BT39" s="262"/>
      <c r="BU39" s="33"/>
      <c r="BV39" s="33"/>
      <c r="BW39" s="33"/>
      <c r="BX39" s="33"/>
      <c r="BY39" s="33"/>
      <c r="BZ39" s="33"/>
      <c r="CA39" s="33"/>
      <c r="CB39" s="288"/>
      <c r="CC39" s="33"/>
      <c r="CD39" s="34" t="str">
        <f>IFERROR(VLOOKUP(CD38,TAT!$B$48:$R$82,11,FALSE),"")</f>
        <v/>
      </c>
      <c r="CE39" s="260" t="str">
        <f>IFERROR(YEAR(VLOOKUP(CD38,TAT!$B$48:$R$82,2,FALSE)),"")</f>
        <v/>
      </c>
      <c r="CF39" s="261"/>
      <c r="CG39" s="149" t="str">
        <f>IFERROR(VLOOKUP(CD38,TAT!$B$48:$R$82,3,FALSE),"")</f>
        <v/>
      </c>
      <c r="CH39" s="261" t="str">
        <f>IFERROR(VLOOKUP(CD38,TAT!$B$48:$R$82,15,FALSE),"")</f>
        <v/>
      </c>
      <c r="CI39" s="261"/>
      <c r="CJ39" s="261" t="str">
        <f>IFERROR(VLOOKUP(CD38,TAT!$B$2:$O$36,14,FALSE),"")</f>
        <v/>
      </c>
      <c r="CK39" s="261"/>
      <c r="CL39" s="262"/>
      <c r="CM39" s="33"/>
      <c r="CN39" s="33"/>
      <c r="CO39" s="33"/>
      <c r="CP39" s="33"/>
      <c r="CQ39" s="33"/>
      <c r="CR39" s="33"/>
      <c r="CS39" s="33"/>
      <c r="CT39" s="288"/>
      <c r="CU39" s="33"/>
      <c r="CV39" s="34" t="str">
        <f>IFERROR(VLOOKUP(CV38,OTR!$B$48:$R$82,11,FALSE),"")</f>
        <v>L</v>
      </c>
      <c r="CW39" s="260">
        <f>IFERROR(YEAR(VLOOKUP(CV38,OTR!$B$48:$R$82,2,FALSE)),"")</f>
        <v>2003</v>
      </c>
      <c r="CX39" s="261"/>
      <c r="CY39" s="149">
        <f ca="1">IFERROR(VLOOKUP(CV38,OTR!$B$48:$R$82,3,FALSE),"")</f>
        <v>18</v>
      </c>
      <c r="CZ39" s="261" t="str">
        <f>IFERROR(VLOOKUP(CV38,OTR!$B$48:$R$82,15,FALSE),"")</f>
        <v>184/72</v>
      </c>
      <c r="DA39" s="261"/>
      <c r="DB39" s="261" t="str">
        <f>IFERROR(VLOOKUP(CV38,OTR!$B$2:$O$36,14,FALSE),"")</f>
        <v>19 OZ , 1 (0+1), -22 ±</v>
      </c>
      <c r="DC39" s="261"/>
      <c r="DD39" s="262"/>
      <c r="DE39" s="33"/>
      <c r="DF39" s="33"/>
      <c r="DG39" s="33"/>
      <c r="DH39" s="33"/>
      <c r="DI39" s="33"/>
      <c r="DJ39" s="33"/>
      <c r="DK39" s="33"/>
      <c r="DL39" s="288"/>
      <c r="DM39" s="33"/>
      <c r="DN39" s="34" t="str">
        <f>IFERROR(VLOOKUP(DN38,BOH!$B$48:$R$82,11,FALSE),"")</f>
        <v>P</v>
      </c>
      <c r="DO39" s="260">
        <f>IFERROR(YEAR(VLOOKUP(DN38,BOH!$B$48:$R$82,2,FALSE)),"")</f>
        <v>1990</v>
      </c>
      <c r="DP39" s="261"/>
      <c r="DQ39" s="164">
        <f ca="1">IFERROR(VLOOKUP(DN38,BOH!$B$48:$R$82,3,FALSE),"")</f>
        <v>31</v>
      </c>
      <c r="DR39" s="261" t="str">
        <f>IFERROR(VLOOKUP(DN38,BOH!$B$48:$R$82,15,FALSE),"")</f>
        <v>184/90</v>
      </c>
      <c r="DS39" s="261"/>
      <c r="DT39" s="261" t="str">
        <f>IFERROR(VLOOKUP(DN38,BOH!$B$2:$O$36,14,FALSE),"")</f>
        <v>23 OZ , 0 (0+0), +4 ±</v>
      </c>
      <c r="DU39" s="261"/>
      <c r="DV39" s="262"/>
      <c r="DW39" s="33"/>
      <c r="DX39" s="33"/>
      <c r="DY39" s="33"/>
      <c r="DZ39" s="33"/>
      <c r="EA39" s="33"/>
      <c r="EB39" s="33"/>
      <c r="EC39" s="33"/>
      <c r="ED39" s="288"/>
      <c r="EE39" s="33"/>
      <c r="EF39" s="34" t="str">
        <f>IFERROR(VLOOKUP(EF38,SPA!$B$48:$R$82,11,FALSE),"")</f>
        <v/>
      </c>
      <c r="EG39" s="260" t="str">
        <f>IFERROR(YEAR(VLOOKUP(EF38,SPA!$B$48:$R$82,2,FALSE)),"")</f>
        <v/>
      </c>
      <c r="EH39" s="261"/>
      <c r="EI39" s="164" t="str">
        <f>IFERROR(VLOOKUP(EF38,SPA!$B$48:$R$82,3,FALSE),"")</f>
        <v/>
      </c>
      <c r="EJ39" s="261" t="str">
        <f>IFERROR(VLOOKUP(EF38,SPA!$B$48:$R$82,15,FALSE),"")</f>
        <v/>
      </c>
      <c r="EK39" s="261"/>
      <c r="EL39" s="261" t="str">
        <f>IFERROR(VLOOKUP(EF38,SPA!$B$2:$O$36,14,FALSE),"")</f>
        <v/>
      </c>
      <c r="EM39" s="261"/>
      <c r="EN39" s="262"/>
      <c r="EO39" s="33"/>
      <c r="EP39" s="33"/>
      <c r="EQ39" s="33"/>
      <c r="ER39" s="33"/>
      <c r="ES39" s="33"/>
      <c r="ET39" s="33"/>
      <c r="EU39" s="33"/>
      <c r="EV39" s="288"/>
      <c r="EW39" s="33"/>
      <c r="EX39" s="34" t="str">
        <f>IFERROR(VLOOKUP(EX38,CLP!$B$48:$R$82,11,FALSE),"")</f>
        <v/>
      </c>
      <c r="EY39" s="260" t="str">
        <f>IFERROR(YEAR(VLOOKUP(EX38,CLP!$B$48:$R$82,2,FALSE)),"")</f>
        <v/>
      </c>
      <c r="EZ39" s="261"/>
      <c r="FA39" s="203" t="str">
        <f>IFERROR(VLOOKUP(EX38,CLP!$B$48:$R$82,3,FALSE),"")</f>
        <v/>
      </c>
      <c r="FB39" s="261" t="str">
        <f>IFERROR(VLOOKUP(EX38,CLP!$B$48:$R$82,15,FALSE),"")</f>
        <v/>
      </c>
      <c r="FC39" s="261"/>
      <c r="FD39" s="261" t="str">
        <f>IFERROR(VLOOKUP(EX38,CLP!$B$2:$O$36,14,FALSE),"")</f>
        <v/>
      </c>
      <c r="FE39" s="261"/>
      <c r="FF39" s="262"/>
      <c r="FG39" s="33"/>
      <c r="FH39" s="33"/>
      <c r="FI39" s="33"/>
      <c r="FJ39" s="33"/>
      <c r="FK39" s="33"/>
      <c r="FL39" s="33"/>
      <c r="FM39" s="33"/>
      <c r="FN39" s="288"/>
      <c r="FO39" s="33"/>
      <c r="FP39" s="34" t="str">
        <f>IFERROR(VLOOKUP(FP38,LIB!$B$48:$R$82,11,FALSE),"")</f>
        <v>L</v>
      </c>
      <c r="FQ39" s="260">
        <f>IFERROR(YEAR(VLOOKUP(FP38,LIB!$B$48:$R$82,2,FALSE)),"")</f>
        <v>2003</v>
      </c>
      <c r="FR39" s="261"/>
      <c r="FS39" s="203">
        <f ca="1">IFERROR(VLOOKUP(FP38,LIB!$B$48:$R$82,3,FALSE),"")</f>
        <v>17</v>
      </c>
      <c r="FT39" s="261" t="str">
        <f>IFERROR(VLOOKUP(FP38,LIB!$B$48:$R$82,15,FALSE),"")</f>
        <v>187/83</v>
      </c>
      <c r="FU39" s="261"/>
      <c r="FV39" s="261" t="str">
        <f>IFERROR(VLOOKUP(FP38,LIB!$B$2:$O$36,14,FALSE),"")</f>
        <v>18 OZ , 14 (9+5), 0 ±</v>
      </c>
      <c r="FW39" s="261"/>
      <c r="FX39" s="262"/>
      <c r="FY39" s="33"/>
      <c r="FZ39" s="33"/>
      <c r="GA39" s="33"/>
      <c r="GB39" s="33"/>
      <c r="GC39" s="33"/>
      <c r="GD39" s="33"/>
      <c r="GE39" s="33"/>
      <c r="GF39" s="288"/>
      <c r="GG39" s="33"/>
      <c r="GH39" s="34" t="str">
        <f>IFERROR(VLOOKUP(GH38,HAT!$B$48:$R$82,11,FALSE),"")</f>
        <v/>
      </c>
      <c r="GI39" s="260" t="str">
        <f>IFERROR(YEAR(VLOOKUP(GH38,HAT!$B$48:$R$82,2,FALSE)),"")</f>
        <v/>
      </c>
      <c r="GJ39" s="261"/>
      <c r="GK39" s="209" t="str">
        <f>IFERROR(VLOOKUP(GH38,HAT!$B$48:$R$82,3,FALSE),"")</f>
        <v/>
      </c>
      <c r="GL39" s="261" t="str">
        <f>IFERROR(VLOOKUP(GH38,HAT!$B$48:$R$82,15,FALSE),"")</f>
        <v/>
      </c>
      <c r="GM39" s="261"/>
      <c r="GN39" s="261" t="str">
        <f>IFERROR(VLOOKUP(GH38,HAT!$B$2:$O$36,14,FALSE),"")</f>
        <v/>
      </c>
      <c r="GO39" s="261"/>
      <c r="GP39" s="262"/>
    </row>
    <row r="40" spans="1:198" ht="15.6" customHeight="1" thickTop="1" thickBot="1" x14ac:dyDescent="0.3">
      <c r="A40" s="286" t="s">
        <v>54</v>
      </c>
      <c r="B40" s="287"/>
      <c r="C40" s="287"/>
      <c r="D40" s="287"/>
      <c r="E40" s="32" t="str">
        <f>IFERROR(IF(VLOOKUP(A40,SKV!$B$48:$AA$82,10,FALSE)=0,"",VLOOKUP(A40,SKV!$B$48:$AA$82,10,FALSE)),"")</f>
        <v/>
      </c>
      <c r="F40" s="52">
        <f>IFERROR(VLOOKUP(A40,SKV!$B$48:$AA$82,9,FALSE),"")</f>
        <v>88</v>
      </c>
      <c r="G40" s="33"/>
      <c r="H40" s="288"/>
      <c r="I40" s="33"/>
      <c r="J40" s="125">
        <f>IFERROR(VLOOKUP(J38,SKV!$B$48:$AA$82,8,FALSE),"")</f>
        <v>1</v>
      </c>
      <c r="K40" s="268" t="str">
        <f>IFERROR(VLOOKUP(J38,SKV!$B$48:$AA$82,14,FALSE),"")</f>
        <v>23 OZ, 0 (0+0)</v>
      </c>
      <c r="L40" s="268"/>
      <c r="M40" s="268"/>
      <c r="N40" s="269" t="str">
        <f>IFERROR(VLOOKUP(J38,SKV!$B$48:$AA$82,16,FALSE),"")</f>
        <v>SKV</v>
      </c>
      <c r="O40" s="269"/>
      <c r="P40" s="269"/>
      <c r="Q40" s="268" t="str">
        <f>IFERROR(VLOOKUP(J38,SKV!$B$48:$AA$82,17,FALSE),"")</f>
        <v>-</v>
      </c>
      <c r="R40" s="270"/>
      <c r="S40" s="286" t="s">
        <v>183</v>
      </c>
      <c r="T40" s="287"/>
      <c r="U40" s="287"/>
      <c r="V40" s="287"/>
      <c r="W40" s="32" t="str">
        <f>IFERROR(IF(VLOOKUP(S40,CHO!$B$48:$AA$82,10,FALSE)=0,"",VLOOKUP(S40,CHO!$B$48:$AA$82,10,FALSE)),"")</f>
        <v/>
      </c>
      <c r="X40" s="52">
        <f>IFERROR(VLOOKUP(S40,CHO!$B$48:$AA$82,9,FALSE),"")</f>
        <v>30</v>
      </c>
      <c r="Y40" s="33"/>
      <c r="Z40" s="288"/>
      <c r="AA40" s="33"/>
      <c r="AB40" s="125">
        <f>IFERROR(VLOOKUP(AB38,CHO!$B$48:$AA$82,8,FALSE),"")</f>
        <v>7</v>
      </c>
      <c r="AC40" s="268" t="str">
        <f>IFERROR(VLOOKUP(AB38,CHO!$B$48:$AA$82,14,FALSE),"")</f>
        <v>117 OZ, 48 (30+18)</v>
      </c>
      <c r="AD40" s="268"/>
      <c r="AE40" s="268"/>
      <c r="AF40" s="269" t="str">
        <f>IFERROR(VLOOKUP(AB38,CHO!$B$48:$AA$82,16,FALSE),"")</f>
        <v>Florbal Chodov</v>
      </c>
      <c r="AG40" s="269"/>
      <c r="AH40" s="269"/>
      <c r="AI40" s="268">
        <f>IFERROR(VLOOKUP(AB38,CHO!$B$48:$AA$82,17,FALSE),"")</f>
        <v>2006</v>
      </c>
      <c r="AJ40" s="270"/>
      <c r="AK40" s="286" t="s">
        <v>272</v>
      </c>
      <c r="AL40" s="287"/>
      <c r="AM40" s="287"/>
      <c r="AN40" s="287"/>
      <c r="AO40" s="32" t="str">
        <f>IFERROR(IF(VLOOKUP(AK40,VIT!$B$48:$R$82,10,FALSE)=0,"",VLOOKUP(AK40,VIT!$B$48:$R$82,10,FALSE)),"")</f>
        <v/>
      </c>
      <c r="AP40" s="52">
        <f>IFERROR(VLOOKUP(AK40,VIT!$B$48:$R$82,9,FALSE),"")</f>
        <v>24</v>
      </c>
      <c r="AQ40" s="33"/>
      <c r="AR40" s="288"/>
      <c r="AS40" s="33"/>
      <c r="AT40" s="125">
        <f>IFERROR(VLOOKUP(AT38,VIT!$B$48:$R$82,8,FALSE),"")</f>
        <v>5</v>
      </c>
      <c r="AU40" s="268" t="str">
        <f>IFERROR(VLOOKUP(AT38,VIT!$B$48:$R$82,14,FALSE),"")</f>
        <v>100 OZ, 70 (28+42)</v>
      </c>
      <c r="AV40" s="268"/>
      <c r="AW40" s="268"/>
      <c r="AX40" s="269" t="str">
        <f>IFERROR(VLOOKUP(AT38,VIT!$B$48:$R$82,16,FALSE),"")</f>
        <v>FbC Ossiko Třinec</v>
      </c>
      <c r="AY40" s="269"/>
      <c r="AZ40" s="269"/>
      <c r="BA40" s="268">
        <f>IFERROR(VLOOKUP(AT38,VIT!$B$48:$R$82,17,FALSE),"")</f>
        <v>2011</v>
      </c>
      <c r="BB40" s="270"/>
      <c r="BC40" s="286" t="s">
        <v>315</v>
      </c>
      <c r="BD40" s="287"/>
      <c r="BE40" s="287"/>
      <c r="BF40" s="287"/>
      <c r="BG40" s="32" t="str">
        <f>IFERROR(IF(VLOOKUP(BC40,MB!$B$48:$R$82,10,FALSE)=0,"",VLOOKUP(BC40,MB!$B$48:$R$82,10,FALSE)),"")</f>
        <v/>
      </c>
      <c r="BH40" s="52">
        <f>IFERROR(VLOOKUP(BC40,MB!$B$48:$R$82,9,FALSE),"")</f>
        <v>80</v>
      </c>
      <c r="BI40" s="33"/>
      <c r="BJ40" s="288"/>
      <c r="BK40" s="33"/>
      <c r="BL40" s="125">
        <f>IFERROR(VLOOKUP(BL38,MB!$B$48:$R$82,8,FALSE),"")</f>
        <v>2</v>
      </c>
      <c r="BM40" s="268" t="str">
        <f>IFERROR(VLOOKUP(BL38,MB!$B$48:$R$82,14,FALSE),"")</f>
        <v>30 OZ, 14 (8+6)</v>
      </c>
      <c r="BN40" s="268"/>
      <c r="BO40" s="268"/>
      <c r="BP40" s="269" t="str">
        <f>IFERROR(VLOOKUP(BL38,MB!$B$48:$R$82,16,FALSE),"")</f>
        <v>Mladá Boleslav</v>
      </c>
      <c r="BQ40" s="269"/>
      <c r="BR40" s="269"/>
      <c r="BS40" s="268">
        <f>IFERROR(VLOOKUP(BL38,MB!$B$48:$R$82,17,FALSE),"")</f>
        <v>2010</v>
      </c>
      <c r="BT40" s="270"/>
      <c r="BU40" s="286"/>
      <c r="BV40" s="287"/>
      <c r="BW40" s="287"/>
      <c r="BX40" s="287"/>
      <c r="BY40" s="32" t="str">
        <f>IFERROR(IF(VLOOKUP(BU40,TAT!$B$48:$R$82,10,FALSE)=0,"",VLOOKUP(BU40,TAT!$B$48:$R$82,10,FALSE)),"")</f>
        <v/>
      </c>
      <c r="BZ40" s="52" t="str">
        <f>IFERROR(VLOOKUP(BU40,TAT!$B$48:$R$82,9,FALSE),"")</f>
        <v/>
      </c>
      <c r="CA40" s="33"/>
      <c r="CB40" s="288"/>
      <c r="CC40" s="33"/>
      <c r="CD40" s="125" t="str">
        <f>IFERROR(VLOOKUP(CD38,TAT!$B$48:$R$82,8,FALSE),"")</f>
        <v/>
      </c>
      <c r="CE40" s="268" t="str">
        <f>IFERROR(VLOOKUP(CD38,TAT!$B$48:$R$82,14,FALSE),"")</f>
        <v/>
      </c>
      <c r="CF40" s="268"/>
      <c r="CG40" s="268"/>
      <c r="CH40" s="269" t="str">
        <f>IFERROR(VLOOKUP(CD38,TAT!$B$48:$R$82,16,FALSE),"")</f>
        <v/>
      </c>
      <c r="CI40" s="269"/>
      <c r="CJ40" s="269"/>
      <c r="CK40" s="268" t="str">
        <f>IFERROR(VLOOKUP(CD38,TAT!$B$48:$R$82,17,FALSE),"")</f>
        <v/>
      </c>
      <c r="CL40" s="270"/>
      <c r="CM40" s="286" t="s">
        <v>430</v>
      </c>
      <c r="CN40" s="287"/>
      <c r="CO40" s="287"/>
      <c r="CP40" s="287"/>
      <c r="CQ40" s="32" t="str">
        <f>IFERROR(IF(VLOOKUP(CM40,OTR!$B$48:$R$82,10,FALSE)=0,"",VLOOKUP(CM40,OTR!$B$48:$R$82,10,FALSE)),"")</f>
        <v/>
      </c>
      <c r="CR40" s="52">
        <f>IFERROR(VLOOKUP(CM40,OTR!$B$48:$R$82,9,FALSE),"")</f>
        <v>30</v>
      </c>
      <c r="CS40" s="33"/>
      <c r="CT40" s="288"/>
      <c r="CU40" s="33"/>
      <c r="CV40" s="125">
        <f>IFERROR(VLOOKUP(CV38,OTR!$B$48:$R$82,8,FALSE),"")</f>
        <v>1</v>
      </c>
      <c r="CW40" s="268" t="str">
        <f>IFERROR(VLOOKUP(CV38,OTR!$B$48:$R$82,14,FALSE),"")</f>
        <v>19 OZ, 1 (0+1)</v>
      </c>
      <c r="CX40" s="268"/>
      <c r="CY40" s="268"/>
      <c r="CZ40" s="269" t="str">
        <f>IFERROR(VLOOKUP(CV38,OTR!$B$48:$R$82,16,FALSE),"")</f>
        <v>Panthers Otrokovice</v>
      </c>
      <c r="DA40" s="269"/>
      <c r="DB40" s="269"/>
      <c r="DC40" s="268">
        <f>IFERROR(VLOOKUP(CV38,OTR!$B$48:$R$82,17,FALSE),"")</f>
        <v>2013</v>
      </c>
      <c r="DD40" s="270"/>
      <c r="DE40" s="286" t="s">
        <v>500</v>
      </c>
      <c r="DF40" s="287"/>
      <c r="DG40" s="287"/>
      <c r="DH40" s="287"/>
      <c r="DI40" s="32" t="str">
        <f>IFERROR(IF(VLOOKUP(DE40,BOH!$B$48:$R$82,10,FALSE)=0,"",VLOOKUP(DE40,BOH!$B$48:$R$82,10,FALSE)),"")</f>
        <v/>
      </c>
      <c r="DJ40" s="52">
        <f>IFERROR(VLOOKUP(DE40,BOH!$B$48:$R$82,9,FALSE),"")</f>
        <v>30</v>
      </c>
      <c r="DK40" s="33"/>
      <c r="DL40" s="288"/>
      <c r="DM40" s="33"/>
      <c r="DN40" s="125">
        <f>IFERROR(VLOOKUP(DN38,BOH!$B$48:$R$82,8,FALSE),"")</f>
        <v>10</v>
      </c>
      <c r="DO40" s="268" t="str">
        <f>IFERROR(VLOOKUP(DN38,BOH!$B$48:$R$82,14,FALSE),"")</f>
        <v>178 OZ, 68 (32+36)</v>
      </c>
      <c r="DP40" s="268"/>
      <c r="DQ40" s="268"/>
      <c r="DR40" s="269" t="str">
        <f>IFERROR(VLOOKUP(DN38,BOH!$B$48:$R$82,16,FALSE),"")</f>
        <v>FbŠ Bohemians</v>
      </c>
      <c r="DS40" s="269"/>
      <c r="DT40" s="269"/>
      <c r="DU40" s="268" t="str">
        <f>IFERROR(VLOOKUP(DN38,BOH!$B$48:$R$82,17,FALSE),"")</f>
        <v>-</v>
      </c>
      <c r="DV40" s="270"/>
      <c r="DW40" s="286"/>
      <c r="DX40" s="287"/>
      <c r="DY40" s="287"/>
      <c r="DZ40" s="287"/>
      <c r="EA40" s="32" t="str">
        <f>IFERROR(IF(VLOOKUP(DW40,SPA!$B$48:$R$82,10,FALSE)=0,"",VLOOKUP(DW40,SPA!$B$48:$R$82,10,FALSE)),"")</f>
        <v/>
      </c>
      <c r="EB40" s="52" t="str">
        <f>IFERROR(VLOOKUP(DW40,SPA!$B$48:$R$82,9,FALSE),"")</f>
        <v/>
      </c>
      <c r="EC40" s="33"/>
      <c r="ED40" s="288"/>
      <c r="EE40" s="33"/>
      <c r="EF40" s="125" t="str">
        <f>IFERROR(VLOOKUP(EF38,SPA!$B$48:$R$82,8,FALSE),"")</f>
        <v/>
      </c>
      <c r="EG40" s="268" t="str">
        <f>IFERROR(VLOOKUP(EF38,SPA!$B$48:$R$82,14,FALSE),"")</f>
        <v/>
      </c>
      <c r="EH40" s="268"/>
      <c r="EI40" s="268"/>
      <c r="EJ40" s="269" t="str">
        <f>IFERROR(VLOOKUP(EF38,SPA!$B$48:$R$82,16,FALSE),"")</f>
        <v/>
      </c>
      <c r="EK40" s="269"/>
      <c r="EL40" s="269"/>
      <c r="EM40" s="268" t="str">
        <f>IFERROR(VLOOKUP(EF38,SPA!$B$48:$R$82,17,FALSE),"")</f>
        <v/>
      </c>
      <c r="EN40" s="270"/>
      <c r="EO40" s="286"/>
      <c r="EP40" s="287"/>
      <c r="EQ40" s="287"/>
      <c r="ER40" s="287"/>
      <c r="ES40" s="32" t="str">
        <f>IFERROR(IF(VLOOKUP(EO40,CLP!$B$48:$R$82,10,FALSE)=0,"",VLOOKUP(EO40,CLP!$B$48:$R$82,10,FALSE)),"")</f>
        <v/>
      </c>
      <c r="ET40" s="52" t="str">
        <f>IFERROR(VLOOKUP(EO40,CLP!$B$48:$R$82,9,FALSE),"")</f>
        <v/>
      </c>
      <c r="EU40" s="33"/>
      <c r="EV40" s="288"/>
      <c r="EW40" s="33"/>
      <c r="EX40" s="125" t="str">
        <f>IFERROR(VLOOKUP(EX38,CLP!$B$48:$R$82,8,FALSE),"")</f>
        <v/>
      </c>
      <c r="EY40" s="268" t="str">
        <f>IFERROR(VLOOKUP(EX38,CLP!$B$48:$R$82,14,FALSE),"")</f>
        <v/>
      </c>
      <c r="EZ40" s="268"/>
      <c r="FA40" s="268"/>
      <c r="FB40" s="269" t="str">
        <f>IFERROR(VLOOKUP(EX38,CLP!$B$48:$R$82,16,FALSE),"")</f>
        <v/>
      </c>
      <c r="FC40" s="269"/>
      <c r="FD40" s="269"/>
      <c r="FE40" s="268" t="str">
        <f>IFERROR(VLOOKUP(EX38,CLP!$B$48:$R$82,17,FALSE),"")</f>
        <v/>
      </c>
      <c r="FF40" s="270"/>
      <c r="FG40" s="286" t="s">
        <v>957</v>
      </c>
      <c r="FH40" s="287"/>
      <c r="FI40" s="287"/>
      <c r="FJ40" s="287"/>
      <c r="FK40" s="32" t="str">
        <f>IFERROR(IF(VLOOKUP(FG40,LIB!$B$48:$R$82,10,FALSE)=0,"",VLOOKUP(FG40,LIB!$B$48:$R$82,10,FALSE)),"")</f>
        <v/>
      </c>
      <c r="FL40" s="52">
        <f>IFERROR(VLOOKUP(FG40,LIB!$B$48:$R$82,9,FALSE),"")</f>
        <v>35</v>
      </c>
      <c r="FM40" s="33"/>
      <c r="FN40" s="288"/>
      <c r="FO40" s="33"/>
      <c r="FP40" s="125">
        <f>IFERROR(VLOOKUP(FP38,LIB!$B$48:$R$82,8,FALSE),"")</f>
        <v>1</v>
      </c>
      <c r="FQ40" s="268" t="str">
        <f>IFERROR(VLOOKUP(FP38,LIB!$B$48:$R$82,14,FALSE),"")</f>
        <v>18 OZ, 14 (9+5)</v>
      </c>
      <c r="FR40" s="268"/>
      <c r="FS40" s="268"/>
      <c r="FT40" s="269" t="str">
        <f>IFERROR(VLOOKUP(FP38,LIB!$B$48:$R$82,16,FALSE),"")</f>
        <v>FBC Lomnice</v>
      </c>
      <c r="FU40" s="269"/>
      <c r="FV40" s="269"/>
      <c r="FW40" s="268">
        <f>IFERROR(VLOOKUP(FP38,LIB!$B$48:$R$82,17,FALSE),"")</f>
        <v>2010</v>
      </c>
      <c r="FX40" s="270"/>
      <c r="FY40" s="286"/>
      <c r="FZ40" s="287"/>
      <c r="GA40" s="287"/>
      <c r="GB40" s="287"/>
      <c r="GC40" s="32" t="str">
        <f>IFERROR(IF(VLOOKUP(FY40,HAT!$B$48:$R$82,10,FALSE)=0,"",VLOOKUP(FY40,HAT!$B$48:$R$82,10,FALSE)),"")</f>
        <v/>
      </c>
      <c r="GD40" s="52" t="str">
        <f>IFERROR(VLOOKUP(FY40,HAT!$B$48:$R$82,9,FALSE),"")</f>
        <v/>
      </c>
      <c r="GE40" s="33"/>
      <c r="GF40" s="288"/>
      <c r="GG40" s="33"/>
      <c r="GH40" s="125" t="str">
        <f>IFERROR(VLOOKUP(GH38,HAT!$B$48:$R$82,8,FALSE),"")</f>
        <v/>
      </c>
      <c r="GI40" s="268" t="str">
        <f>IFERROR(VLOOKUP(GH38,HAT!$B$48:$R$82,14,FALSE),"")</f>
        <v/>
      </c>
      <c r="GJ40" s="268"/>
      <c r="GK40" s="268"/>
      <c r="GL40" s="269" t="str">
        <f>IFERROR(VLOOKUP(GH38,HAT!$B$48:$R$82,16,FALSE),"")</f>
        <v/>
      </c>
      <c r="GM40" s="269"/>
      <c r="GN40" s="269"/>
      <c r="GO40" s="268" t="str">
        <f>IFERROR(VLOOKUP(GH38,HAT!$B$48:$R$82,17,FALSE),"")</f>
        <v/>
      </c>
      <c r="GP40" s="270"/>
    </row>
    <row r="41" spans="1:198" ht="15.6" customHeight="1" thickBot="1" x14ac:dyDescent="0.3">
      <c r="A41" s="42">
        <f>IFERROR(VLOOKUP(A40,SKV!$B$48:$AA$82,8,FALSE),"")</f>
        <v>1</v>
      </c>
      <c r="B41" s="289">
        <f>IFERROR(YEAR(VLOOKUP(A40,SKV!$B$48:$AA$82,2,FALSE)),"")</f>
        <v>2002</v>
      </c>
      <c r="C41" s="260"/>
      <c r="D41" s="35">
        <f ca="1">IFERROR(VLOOKUP(A40,SKV!$B$48:$AA$82,3,FALSE),"")</f>
        <v>18</v>
      </c>
      <c r="E41" s="290" t="str">
        <f>IFERROR(VLOOKUP(A40,SKV!$B$48:$AA$82,15,FALSE),"")</f>
        <v>180/83</v>
      </c>
      <c r="F41" s="291"/>
      <c r="G41" s="33"/>
      <c r="H41" s="288"/>
      <c r="I41" s="33"/>
      <c r="J41" s="33"/>
      <c r="K41" s="33"/>
      <c r="L41" s="33"/>
      <c r="M41" s="16"/>
      <c r="N41" s="16"/>
      <c r="O41" s="16"/>
      <c r="P41" s="16"/>
      <c r="Q41" s="16"/>
      <c r="R41" s="16"/>
      <c r="S41" s="42">
        <f>IFERROR(VLOOKUP(S40,CHO!$B$48:$S$82,8,FALSE),"")</f>
        <v>1</v>
      </c>
      <c r="T41" s="289">
        <f>IFERROR(YEAR(VLOOKUP(S40,CHO!$B$48:$S$82,2,FALSE)),"")</f>
        <v>2003</v>
      </c>
      <c r="U41" s="260"/>
      <c r="V41" s="35">
        <f ca="1">IFERROR(VLOOKUP(S40,CHO!$B$48:$S$82,3,FALSE),"")</f>
        <v>17</v>
      </c>
      <c r="W41" s="290" t="str">
        <f>IFERROR(VLOOKUP(S40,CHO!$B$48:$S$82,15,FALSE),"")</f>
        <v>198/98</v>
      </c>
      <c r="X41" s="291"/>
      <c r="Y41" s="33"/>
      <c r="Z41" s="288"/>
      <c r="AA41" s="33"/>
      <c r="AB41" s="33"/>
      <c r="AC41" s="33"/>
      <c r="AD41" s="33"/>
      <c r="AE41" s="16"/>
      <c r="AF41" s="16"/>
      <c r="AG41" s="16"/>
      <c r="AH41" s="16"/>
      <c r="AI41" s="16"/>
      <c r="AJ41" s="16"/>
      <c r="AK41" s="42">
        <f>IFERROR(VLOOKUP(AK40,VIT!$B$48:$S$82,8,FALSE),"")</f>
        <v>1</v>
      </c>
      <c r="AL41" s="289">
        <f>IFERROR(YEAR(VLOOKUP(AK40,VIT!$B$48:$S$82,2,FALSE)),"")</f>
        <v>1999</v>
      </c>
      <c r="AM41" s="260"/>
      <c r="AN41" s="106">
        <f ca="1">IFERROR(VLOOKUP(AK40,VIT!$B$48:$S$82,3,FALSE),"")</f>
        <v>21</v>
      </c>
      <c r="AO41" s="290" t="str">
        <f>IFERROR(VLOOKUP(AK40,VIT!$B$48:$S$82,15,FALSE),"")</f>
        <v>186/89</v>
      </c>
      <c r="AP41" s="291"/>
      <c r="AQ41" s="33"/>
      <c r="AR41" s="288"/>
      <c r="AS41" s="33"/>
      <c r="AT41" s="33"/>
      <c r="AU41" s="33"/>
      <c r="AV41" s="33"/>
      <c r="AW41" s="16"/>
      <c r="AX41" s="16"/>
      <c r="AY41" s="16"/>
      <c r="AZ41" s="16"/>
      <c r="BA41" s="16"/>
      <c r="BB41" s="16"/>
      <c r="BC41" s="42">
        <f>IFERROR(VLOOKUP(BC40,MB!$B$48:$S$82,8,FALSE),"")</f>
        <v>6</v>
      </c>
      <c r="BD41" s="289">
        <f>IFERROR(YEAR(VLOOKUP(BC40,MB!$B$48:$S$82,2,FALSE)),"")</f>
        <v>1998</v>
      </c>
      <c r="BE41" s="260"/>
      <c r="BF41" s="108">
        <f ca="1">IFERROR(VLOOKUP(BC40,MB!$B$48:$S$82,3,FALSE),"")</f>
        <v>22</v>
      </c>
      <c r="BG41" s="290" t="str">
        <f>IFERROR(VLOOKUP(BC40,MB!$B$48:$S$82,15,FALSE),"")</f>
        <v>175/69</v>
      </c>
      <c r="BH41" s="291"/>
      <c r="BI41" s="33"/>
      <c r="BJ41" s="288"/>
      <c r="BK41" s="33"/>
      <c r="BL41" s="33"/>
      <c r="BM41" s="33"/>
      <c r="BN41" s="33"/>
      <c r="BO41" s="16"/>
      <c r="BP41" s="16"/>
      <c r="BQ41" s="16"/>
      <c r="BR41" s="16"/>
      <c r="BS41" s="16"/>
      <c r="BT41" s="16"/>
      <c r="BU41" s="42" t="str">
        <f>IFERROR(VLOOKUP(BU40,TAT!$B$48:$S$82,8,FALSE),"")</f>
        <v/>
      </c>
      <c r="BV41" s="289" t="str">
        <f>IFERROR(YEAR(VLOOKUP(BU40,TAT!$B$48:$S$82,2,FALSE)),"")</f>
        <v/>
      </c>
      <c r="BW41" s="260"/>
      <c r="BX41" s="150" t="str">
        <f>IFERROR(VLOOKUP(BU40,TAT!$B$48:$S$82,3,FALSE),"")</f>
        <v/>
      </c>
      <c r="BY41" s="290" t="str">
        <f>IFERROR(VLOOKUP(BU40,TAT!$B$48:$S$82,15,FALSE),"")</f>
        <v/>
      </c>
      <c r="BZ41" s="291"/>
      <c r="CA41" s="33"/>
      <c r="CB41" s="288"/>
      <c r="CC41" s="33"/>
      <c r="CD41" s="33"/>
      <c r="CE41" s="33"/>
      <c r="CF41" s="33"/>
      <c r="CG41" s="16"/>
      <c r="CH41" s="16"/>
      <c r="CI41" s="16"/>
      <c r="CJ41" s="16"/>
      <c r="CK41" s="16"/>
      <c r="CL41" s="16"/>
      <c r="CM41" s="42">
        <f>IFERROR(VLOOKUP(CM40,OTR!$B$48:$S$82,8,FALSE),"")</f>
        <v>1</v>
      </c>
      <c r="CN41" s="289">
        <f>IFERROR(YEAR(VLOOKUP(CM40,OTR!$B$48:$S$82,2,FALSE)),"")</f>
        <v>1998</v>
      </c>
      <c r="CO41" s="260"/>
      <c r="CP41" s="150">
        <f ca="1">IFERROR(VLOOKUP(CM40,OTR!$B$48:$S$82,3,FALSE),"")</f>
        <v>22</v>
      </c>
      <c r="CQ41" s="290" t="str">
        <f>IFERROR(VLOOKUP(CM40,OTR!$B$48:$S$82,15,FALSE),"")</f>
        <v>183/93</v>
      </c>
      <c r="CR41" s="291"/>
      <c r="CS41" s="33"/>
      <c r="CT41" s="288"/>
      <c r="CU41" s="33"/>
      <c r="CV41" s="33"/>
      <c r="CW41" s="33"/>
      <c r="CX41" s="33"/>
      <c r="CY41" s="16"/>
      <c r="CZ41" s="16"/>
      <c r="DA41" s="16"/>
      <c r="DB41" s="16"/>
      <c r="DC41" s="16"/>
      <c r="DD41" s="16"/>
      <c r="DE41" s="42">
        <f>IFERROR(VLOOKUP(DE40,BOH!$B$48:$S$82,8,FALSE),"")</f>
        <v>6</v>
      </c>
      <c r="DF41" s="289">
        <f>IFERROR(YEAR(VLOOKUP(DE40,BOH!$B$48:$S$82,2,FALSE)),"")</f>
        <v>1994</v>
      </c>
      <c r="DG41" s="260"/>
      <c r="DH41" s="165">
        <f ca="1">IFERROR(VLOOKUP(DE40,BOH!$B$48:$S$82,3,FALSE),"")</f>
        <v>26</v>
      </c>
      <c r="DI41" s="290" t="str">
        <f>IFERROR(VLOOKUP(DE40,BOH!$B$48:$S$82,15,FALSE),"")</f>
        <v>185/75</v>
      </c>
      <c r="DJ41" s="291"/>
      <c r="DK41" s="33"/>
      <c r="DL41" s="288"/>
      <c r="DM41" s="33"/>
      <c r="DN41" s="33"/>
      <c r="DO41" s="33"/>
      <c r="DP41" s="33"/>
      <c r="DQ41" s="16"/>
      <c r="DR41" s="16"/>
      <c r="DS41" s="16"/>
      <c r="DT41" s="16"/>
      <c r="DU41" s="16"/>
      <c r="DV41" s="16"/>
      <c r="DW41" s="42" t="str">
        <f>IFERROR(VLOOKUP(DW40,SPA!$B$48:$S$82,8,FALSE),"")</f>
        <v/>
      </c>
      <c r="DX41" s="289" t="str">
        <f>IFERROR(YEAR(VLOOKUP(DW40,SPA!$B$48:$S$82,2,FALSE)),"")</f>
        <v/>
      </c>
      <c r="DY41" s="260"/>
      <c r="DZ41" s="165" t="str">
        <f>IFERROR(VLOOKUP(DW40,SPA!$B$48:$S$82,3,FALSE),"")</f>
        <v/>
      </c>
      <c r="EA41" s="290" t="str">
        <f>IFERROR(VLOOKUP(DW40,SPA!$B$48:$S$82,15,FALSE),"")</f>
        <v/>
      </c>
      <c r="EB41" s="291"/>
      <c r="EC41" s="33"/>
      <c r="ED41" s="288"/>
      <c r="EE41" s="33"/>
      <c r="EF41" s="33"/>
      <c r="EG41" s="33"/>
      <c r="EH41" s="33"/>
      <c r="EI41" s="16"/>
      <c r="EJ41" s="16"/>
      <c r="EK41" s="16"/>
      <c r="EL41" s="16"/>
      <c r="EM41" s="16"/>
      <c r="EN41" s="16"/>
      <c r="EO41" s="42" t="str">
        <f>IFERROR(VLOOKUP(EO40,CLP!$B$48:$S$82,8,FALSE),"")</f>
        <v/>
      </c>
      <c r="EP41" s="289" t="str">
        <f>IFERROR(YEAR(VLOOKUP(EO40,CLP!$B$48:$S$82,2,FALSE)),"")</f>
        <v/>
      </c>
      <c r="EQ41" s="260"/>
      <c r="ER41" s="204" t="str">
        <f>IFERROR(VLOOKUP(EO40,CLP!$B$48:$S$82,3,FALSE),"")</f>
        <v/>
      </c>
      <c r="ES41" s="290" t="str">
        <f>IFERROR(VLOOKUP(EO40,CLP!$B$48:$S$82,15,FALSE),"")</f>
        <v/>
      </c>
      <c r="ET41" s="291"/>
      <c r="EU41" s="33"/>
      <c r="EV41" s="288"/>
      <c r="EW41" s="33"/>
      <c r="EX41" s="33"/>
      <c r="EY41" s="33"/>
      <c r="EZ41" s="33"/>
      <c r="FA41" s="16"/>
      <c r="FB41" s="16"/>
      <c r="FC41" s="16"/>
      <c r="FD41" s="16"/>
      <c r="FE41" s="16"/>
      <c r="FF41" s="16"/>
      <c r="FG41" s="42">
        <f>IFERROR(VLOOKUP(FG40,LIB!$B$48:$S$82,8,FALSE),"")</f>
        <v>1</v>
      </c>
      <c r="FH41" s="289">
        <f>IFERROR(YEAR(VLOOKUP(FG40,LIB!$B$48:$S$82,2,FALSE)),"")</f>
        <v>2001</v>
      </c>
      <c r="FI41" s="260"/>
      <c r="FJ41" s="204">
        <f ca="1">IFERROR(VLOOKUP(FG40,LIB!$B$48:$S$82,3,FALSE),"")</f>
        <v>19</v>
      </c>
      <c r="FK41" s="290" t="str">
        <f>IFERROR(VLOOKUP(FG40,LIB!$B$48:$S$82,15,FALSE),"")</f>
        <v/>
      </c>
      <c r="FL41" s="291"/>
      <c r="FM41" s="33"/>
      <c r="FN41" s="288"/>
      <c r="FO41" s="33"/>
      <c r="FP41" s="33"/>
      <c r="FQ41" s="33"/>
      <c r="FR41" s="33"/>
      <c r="FS41" s="16"/>
      <c r="FT41" s="16"/>
      <c r="FU41" s="16"/>
      <c r="FV41" s="16"/>
      <c r="FW41" s="16"/>
      <c r="FX41" s="16"/>
      <c r="FY41" s="42" t="str">
        <f>IFERROR(VLOOKUP(FY40,HAT!$B$48:$S$82,8,FALSE),"")</f>
        <v/>
      </c>
      <c r="FZ41" s="289" t="str">
        <f>IFERROR(YEAR(VLOOKUP(FY40,HAT!$B$48:$S$82,2,FALSE)),"")</f>
        <v/>
      </c>
      <c r="GA41" s="260"/>
      <c r="GB41" s="211" t="str">
        <f>IFERROR(VLOOKUP(FY40,HAT!$B$48:$S$82,3,FALSE),"")</f>
        <v/>
      </c>
      <c r="GC41" s="290" t="str">
        <f>IFERROR(VLOOKUP(FY40,HAT!$B$48:$S$82,15,FALSE),"")</f>
        <v/>
      </c>
      <c r="GD41" s="291"/>
      <c r="GE41" s="33"/>
      <c r="GF41" s="288"/>
      <c r="GG41" s="33"/>
      <c r="GH41" s="33"/>
      <c r="GI41" s="33"/>
      <c r="GJ41" s="33"/>
      <c r="GK41" s="16"/>
      <c r="GL41" s="16"/>
      <c r="GM41" s="16"/>
      <c r="GN41" s="16"/>
      <c r="GO41" s="16"/>
      <c r="GP41" s="16"/>
    </row>
    <row r="42" spans="1:198" ht="15.6" customHeight="1" thickTop="1" thickBot="1" x14ac:dyDescent="0.3">
      <c r="A42" s="44">
        <f>IFERROR(VLOOKUP(A40,SKV!$B$39:$R$42,4,FALSE),"")</f>
        <v>1</v>
      </c>
      <c r="B42" s="292" t="str">
        <f>IFERROR(VLOOKUP(A40,SKV!$B$39:$S$45,17,FALSE),"")</f>
        <v>0 V, 1 P</v>
      </c>
      <c r="C42" s="292"/>
      <c r="D42" s="293">
        <f>IFERROR(VLOOKUP(A40,SKV!$B$39:$R$42,7,FALSE),"")</f>
        <v>8</v>
      </c>
      <c r="E42" s="294"/>
      <c r="F42" s="45">
        <f>IFERROR(ROUND(VLOOKUP(A40,SKV!$B$39:$R$42,16,FALSE),2),"")</f>
        <v>61.9</v>
      </c>
      <c r="G42" s="33"/>
      <c r="H42" s="288"/>
      <c r="I42" s="33"/>
      <c r="J42" s="286" t="s">
        <v>52</v>
      </c>
      <c r="K42" s="287"/>
      <c r="L42" s="287"/>
      <c r="M42" s="287"/>
      <c r="N42" s="287"/>
      <c r="O42" s="287"/>
      <c r="P42" s="287"/>
      <c r="Q42" s="32" t="str">
        <f>IFERROR(IF(VLOOKUP(J42,SKV!$B$48:$AA$82,10,FALSE)=0,"",VLOOKUP(M42,SKV!$B$48:$AA$82,10,FALSE)),"")</f>
        <v/>
      </c>
      <c r="R42" s="52">
        <f>IFERROR(VLOOKUP(J42,SKV!$B$48:$AA$82,9,FALSE),"")</f>
        <v>81</v>
      </c>
      <c r="S42" s="44">
        <f>IFERROR(VLOOKUP(S40,CHO!$B$39:$R$42,4,FALSE),"")</f>
        <v>11</v>
      </c>
      <c r="T42" s="292" t="str">
        <f>IFERROR(VLOOKUP(S40,CHO!$B$39:$S$45,17,FALSE),"")</f>
        <v>8 V, 3 P</v>
      </c>
      <c r="U42" s="292"/>
      <c r="V42" s="293">
        <f>IFERROR(VLOOKUP(S40,CHO!$B$39:$R$42,7,FALSE),"")</f>
        <v>58</v>
      </c>
      <c r="W42" s="294"/>
      <c r="X42" s="45">
        <f>IFERROR(ROUND(VLOOKUP(S40,CHO!$B$39:$R$42,16,FALSE),2),"")</f>
        <v>77.86</v>
      </c>
      <c r="Y42" s="33"/>
      <c r="Z42" s="288"/>
      <c r="AA42" s="33"/>
      <c r="AB42" s="286" t="s">
        <v>173</v>
      </c>
      <c r="AC42" s="287"/>
      <c r="AD42" s="287"/>
      <c r="AE42" s="287"/>
      <c r="AF42" s="287"/>
      <c r="AG42" s="287"/>
      <c r="AH42" s="287"/>
      <c r="AI42" s="32" t="str">
        <f>IFERROR(IF(VLOOKUP(AB42,CHO!$B$48:$AA$82,10,FALSE)=0,"",VLOOKUP(AB42,CHO!$B$48:$AA$82,10,FALSE)),"")</f>
        <v/>
      </c>
      <c r="AJ42" s="52">
        <f>IFERROR(VLOOKUP(AB42,CHO!$B$48:$AA$82,9,FALSE),"")</f>
        <v>99</v>
      </c>
      <c r="AK42" s="44">
        <f>IFERROR(VLOOKUP(AK40,VIT!$B$39:$R$44,4,FALSE),"")</f>
        <v>6</v>
      </c>
      <c r="AL42" s="292" t="str">
        <f>IFERROR(VLOOKUP(AK40,VIT!$B$39:$S$45,17,FALSE),"")</f>
        <v>4 V, 2 P</v>
      </c>
      <c r="AM42" s="292"/>
      <c r="AN42" s="293">
        <f>IFERROR(VLOOKUP(AK40,VIT!$B$39:$R$44,7,FALSE),"")</f>
        <v>33</v>
      </c>
      <c r="AO42" s="294"/>
      <c r="AP42" s="45">
        <f>IFERROR(ROUND(VLOOKUP(AK40,VIT!$B$39:$R$44,16,FALSE),2),"")</f>
        <v>74.02</v>
      </c>
      <c r="AQ42" s="33"/>
      <c r="AR42" s="288"/>
      <c r="AS42" s="33"/>
      <c r="AT42" s="286" t="s">
        <v>261</v>
      </c>
      <c r="AU42" s="287"/>
      <c r="AV42" s="287"/>
      <c r="AW42" s="287"/>
      <c r="AX42" s="287"/>
      <c r="AY42" s="287"/>
      <c r="AZ42" s="287"/>
      <c r="BA42" s="32" t="str">
        <f>IFERROR(IF(VLOOKUP(AT42,VIT!$B$48:$R$82,10,FALSE)=0,"",VLOOKUP(AT42,VIT!$B$48:$R$82,10,FALSE)),"")</f>
        <v/>
      </c>
      <c r="BB42" s="52">
        <f>IFERROR(VLOOKUP(AT42,VIT!$B$48:$R$82,9,FALSE),"")</f>
        <v>10</v>
      </c>
      <c r="BC42" s="44">
        <f>IFERROR(VLOOKUP(BC40,MB!$B$39:$R$44,4,FALSE),"")</f>
        <v>3</v>
      </c>
      <c r="BD42" s="292" t="str">
        <f>IFERROR(VLOOKUP(BC40,MB!$B$39:$S$45,17,FALSE),"")</f>
        <v>3 V, 0 P</v>
      </c>
      <c r="BE42" s="292"/>
      <c r="BF42" s="293">
        <f>IFERROR(VLOOKUP(BC40,MB!$B$39:$R$44,7,FALSE),"")</f>
        <v>14</v>
      </c>
      <c r="BG42" s="294"/>
      <c r="BH42" s="45">
        <f>IFERROR(ROUND(VLOOKUP(BC40,MB!$B$39:$R$44,16,FALSE),2),"")</f>
        <v>77.42</v>
      </c>
      <c r="BI42" s="33"/>
      <c r="BJ42" s="288"/>
      <c r="BK42" s="33"/>
      <c r="BL42" s="286" t="s">
        <v>311</v>
      </c>
      <c r="BM42" s="287"/>
      <c r="BN42" s="287"/>
      <c r="BO42" s="287"/>
      <c r="BP42" s="287"/>
      <c r="BQ42" s="287"/>
      <c r="BR42" s="287"/>
      <c r="BS42" s="32" t="str">
        <f>IFERROR(IF(VLOOKUP(BL42,MB!$B$48:$R$82,10,FALSE)=0,"",VLOOKUP(BL42,MB!$B$48:$R$82,10,FALSE)),"")</f>
        <v/>
      </c>
      <c r="BT42" s="52">
        <f>IFERROR(VLOOKUP(BL42,MB!$B$48:$R$82,9,FALSE),"")</f>
        <v>95</v>
      </c>
      <c r="BU42" s="44" t="str">
        <f>IFERROR(VLOOKUP(BU40,TAT!$B$39:$R$44,4,FALSE),"")</f>
        <v/>
      </c>
      <c r="BV42" s="292" t="str">
        <f>IFERROR(VLOOKUP(BU40,TAT!$B$39:$S$45,17,FALSE),"")</f>
        <v/>
      </c>
      <c r="BW42" s="292"/>
      <c r="BX42" s="293" t="str">
        <f>IFERROR(VLOOKUP(BU40,TAT!$B$39:$R$44,7,FALSE),"")</f>
        <v/>
      </c>
      <c r="BY42" s="294"/>
      <c r="BZ42" s="45" t="str">
        <f>IFERROR(ROUND(VLOOKUP(BU40,TAT!$B$39:$R$44,16,FALSE),2),"")</f>
        <v/>
      </c>
      <c r="CA42" s="33"/>
      <c r="CB42" s="288"/>
      <c r="CC42" s="33"/>
      <c r="CD42" s="286"/>
      <c r="CE42" s="287"/>
      <c r="CF42" s="287"/>
      <c r="CG42" s="287"/>
      <c r="CH42" s="287"/>
      <c r="CI42" s="287"/>
      <c r="CJ42" s="287"/>
      <c r="CK42" s="32" t="str">
        <f>IFERROR(IF(VLOOKUP(CD42,TAT!$B$48:$R$82,10,FALSE)=0,"",VLOOKUP(CD42,TAT!$B$48:$R$82,10,FALSE)),"")</f>
        <v/>
      </c>
      <c r="CL42" s="52" t="str">
        <f>IFERROR(VLOOKUP(CD42,TAT!$B$48:$R$82,9,FALSE),"")</f>
        <v/>
      </c>
      <c r="CM42" s="44">
        <f>IFERROR(VLOOKUP(CM40,OTR!$B$39:$R$44,4,FALSE),"")</f>
        <v>2</v>
      </c>
      <c r="CN42" s="292" t="str">
        <f>IFERROR(VLOOKUP(CM40,OTR!$B$39:$S$45,17,FALSE),"")</f>
        <v>0 V, 2 P</v>
      </c>
      <c r="CO42" s="292"/>
      <c r="CP42" s="293">
        <f>IFERROR(VLOOKUP(CM40,OTR!$B$39:$R$44,7,FALSE),"")</f>
        <v>13</v>
      </c>
      <c r="CQ42" s="294"/>
      <c r="CR42" s="45">
        <f>IFERROR(ROUND(VLOOKUP(CM40,OTR!$B$39:$R$44,16,FALSE),2),"")</f>
        <v>63.89</v>
      </c>
      <c r="CS42" s="33"/>
      <c r="CT42" s="288"/>
      <c r="CU42" s="33"/>
      <c r="CV42" s="286" t="s">
        <v>409</v>
      </c>
      <c r="CW42" s="287"/>
      <c r="CX42" s="287"/>
      <c r="CY42" s="287"/>
      <c r="CZ42" s="287"/>
      <c r="DA42" s="287"/>
      <c r="DB42" s="287"/>
      <c r="DC42" s="32" t="str">
        <f>IFERROR(IF(VLOOKUP(CV42,OTR!$B$48:$R$82,10,FALSE)=0,"",VLOOKUP(CV42,OTR!$B$48:$R$82,10,FALSE)),"")</f>
        <v/>
      </c>
      <c r="DD42" s="52">
        <f>IFERROR(VLOOKUP(CV42,OTR!$B$48:$R$82,9,FALSE),"")</f>
        <v>99</v>
      </c>
      <c r="DE42" s="44">
        <f>IFERROR(VLOOKUP(DE40,BOH!$B$39:$R$44,4,FALSE),"")</f>
        <v>3</v>
      </c>
      <c r="DF42" s="292" t="str">
        <f>IFERROR(VLOOKUP(DE40,BOH!$B$39:$S$45,17,FALSE),"")</f>
        <v>2 V, 1 P</v>
      </c>
      <c r="DG42" s="292"/>
      <c r="DH42" s="293">
        <f>IFERROR(VLOOKUP(DE40,BOH!$B$39:$R$44,7,FALSE),"")</f>
        <v>9</v>
      </c>
      <c r="DI42" s="294"/>
      <c r="DJ42" s="45">
        <f>IFERROR(ROUND(VLOOKUP(DE40,BOH!$B$39:$R$44,16,FALSE),2),"")</f>
        <v>52.63</v>
      </c>
      <c r="DK42" s="33"/>
      <c r="DL42" s="288"/>
      <c r="DM42" s="33"/>
      <c r="DN42" s="286" t="s">
        <v>494</v>
      </c>
      <c r="DO42" s="287"/>
      <c r="DP42" s="287"/>
      <c r="DQ42" s="287"/>
      <c r="DR42" s="287"/>
      <c r="DS42" s="287"/>
      <c r="DT42" s="287"/>
      <c r="DU42" s="32" t="str">
        <f>IFERROR(IF(VLOOKUP(DN42,BOH!$B$48:$R$82,10,FALSE)=0,"",VLOOKUP(DN42,BOH!$B$48:$R$82,10,FALSE)),"")</f>
        <v/>
      </c>
      <c r="DV42" s="52">
        <f>IFERROR(VLOOKUP(DN42,BOH!$B$48:$R$82,9,FALSE),"")</f>
        <v>74</v>
      </c>
      <c r="DW42" s="44" t="str">
        <f>IFERROR(VLOOKUP(DW40,SPA!$B$39:$R$44,4,FALSE),"")</f>
        <v/>
      </c>
      <c r="DX42" s="292" t="str">
        <f>IFERROR(VLOOKUP(DW40,SPA!$B$39:$S$45,17,FALSE),"")</f>
        <v/>
      </c>
      <c r="DY42" s="292"/>
      <c r="DZ42" s="293" t="str">
        <f>IFERROR(VLOOKUP(DW40,SPA!$B$39:$R$44,7,FALSE),"")</f>
        <v/>
      </c>
      <c r="EA42" s="294"/>
      <c r="EB42" s="45" t="str">
        <f>IFERROR(ROUND(VLOOKUP(DW40,SPA!$B$39:$R$44,16,FALSE),2),"")</f>
        <v/>
      </c>
      <c r="EC42" s="33"/>
      <c r="ED42" s="288"/>
      <c r="EE42" s="33"/>
      <c r="EF42" s="286"/>
      <c r="EG42" s="287"/>
      <c r="EH42" s="287"/>
      <c r="EI42" s="287"/>
      <c r="EJ42" s="287"/>
      <c r="EK42" s="287"/>
      <c r="EL42" s="287"/>
      <c r="EM42" s="32" t="str">
        <f>IFERROR(IF(VLOOKUP(EF42,SPA!$B$48:$R$82,10,FALSE)=0,"",VLOOKUP(EF42,SPA!$B$48:$R$82,10,FALSE)),"")</f>
        <v/>
      </c>
      <c r="EN42" s="52" t="str">
        <f>IFERROR(VLOOKUP(EF42,SPA!$B$48:$R$82,9,FALSE),"")</f>
        <v/>
      </c>
      <c r="EO42" s="44" t="str">
        <f>IFERROR(VLOOKUP(EO40,CLP!$B$39:$R$44,4,FALSE),"")</f>
        <v/>
      </c>
      <c r="EP42" s="292" t="str">
        <f>IFERROR(VLOOKUP(EO40,CLP!$B$39:$S$45,17,FALSE),"")</f>
        <v/>
      </c>
      <c r="EQ42" s="292"/>
      <c r="ER42" s="293" t="str">
        <f>IFERROR(VLOOKUP(EO40,CLP!$B$39:$R$44,7,FALSE),"")</f>
        <v/>
      </c>
      <c r="ES42" s="294"/>
      <c r="ET42" s="45" t="str">
        <f>IFERROR(ROUND(VLOOKUP(EO40,CLP!$B$39:$R$44,16,FALSE),2),"")</f>
        <v/>
      </c>
      <c r="EU42" s="33"/>
      <c r="EV42" s="288"/>
      <c r="EW42" s="33"/>
      <c r="EX42" s="286"/>
      <c r="EY42" s="287"/>
      <c r="EZ42" s="287"/>
      <c r="FA42" s="287"/>
      <c r="FB42" s="287"/>
      <c r="FC42" s="287"/>
      <c r="FD42" s="287"/>
      <c r="FE42" s="32" t="str">
        <f>IFERROR(IF(VLOOKUP(EX42,CLP!$B$48:$R$82,10,FALSE)=0,"",VLOOKUP(EX42,CLP!$B$48:$R$82,10,FALSE)),"")</f>
        <v/>
      </c>
      <c r="FF42" s="52" t="str">
        <f>IFERROR(VLOOKUP(EX42,CLP!$B$48:$R$82,9,FALSE),"")</f>
        <v/>
      </c>
      <c r="FG42" s="44">
        <f>IFERROR(VLOOKUP(FG40,LIB!$B$39:$R$44,4,FALSE),"")</f>
        <v>0</v>
      </c>
      <c r="FH42" s="292" t="str">
        <f>IFERROR(VLOOKUP(FG40,LIB!$B$39:$S$45,17,FALSE),"")</f>
        <v>0 V, 0 P</v>
      </c>
      <c r="FI42" s="292"/>
      <c r="FJ42" s="293">
        <f>IFERROR(VLOOKUP(FG40,LIB!$B$39:$R$44,7,FALSE),"")</f>
        <v>0</v>
      </c>
      <c r="FK42" s="294"/>
      <c r="FL42" s="45">
        <f>IFERROR(ROUND(VLOOKUP(FG40,LIB!$B$39:$R$44,16,FALSE),2),"")</f>
        <v>0</v>
      </c>
      <c r="FM42" s="33"/>
      <c r="FN42" s="288"/>
      <c r="FO42" s="33"/>
      <c r="FP42" s="286" t="s">
        <v>755</v>
      </c>
      <c r="FQ42" s="287"/>
      <c r="FR42" s="287"/>
      <c r="FS42" s="287"/>
      <c r="FT42" s="287"/>
      <c r="FU42" s="287"/>
      <c r="FV42" s="287"/>
      <c r="FW42" s="32" t="str">
        <f>IFERROR(IF(VLOOKUP(FP42,LIB!$B$48:$R$82,10,FALSE)=0,"",VLOOKUP(FP42,LIB!$B$48:$R$82,10,FALSE)),"")</f>
        <v/>
      </c>
      <c r="FX42" s="52">
        <f>IFERROR(VLOOKUP(FP42,LIB!$B$48:$R$82,9,FALSE),"")</f>
        <v>90</v>
      </c>
      <c r="FY42" s="44" t="str">
        <f>IFERROR(VLOOKUP(FY40,HAT!$B$39:$R$44,4,FALSE),"")</f>
        <v/>
      </c>
      <c r="FZ42" s="292" t="str">
        <f>IFERROR(VLOOKUP(FY40,HAT!$B$39:$S$45,17,FALSE),"")</f>
        <v/>
      </c>
      <c r="GA42" s="292"/>
      <c r="GB42" s="293" t="str">
        <f>IFERROR(VLOOKUP(FY40,HAT!$B$39:$R$44,7,FALSE),"")</f>
        <v/>
      </c>
      <c r="GC42" s="294"/>
      <c r="GD42" s="45" t="str">
        <f>IFERROR(ROUND(VLOOKUP(FY40,HAT!$B$39:$R$44,16,FALSE),2),"")</f>
        <v/>
      </c>
      <c r="GE42" s="33"/>
      <c r="GF42" s="288"/>
      <c r="GG42" s="33"/>
      <c r="GH42" s="286"/>
      <c r="GI42" s="287"/>
      <c r="GJ42" s="287"/>
      <c r="GK42" s="287"/>
      <c r="GL42" s="287"/>
      <c r="GM42" s="287"/>
      <c r="GN42" s="287"/>
      <c r="GO42" s="32" t="str">
        <f>IFERROR(IF(VLOOKUP(GH42,HAT!$B$48:$R$82,10,FALSE)=0,"",VLOOKUP(GH42,HAT!$B$48:$R$82,10,FALSE)),"")</f>
        <v/>
      </c>
      <c r="GP42" s="52" t="str">
        <f>IFERROR(VLOOKUP(GH42,HAT!$B$48:$R$82,9,FALSE),"")</f>
        <v/>
      </c>
    </row>
    <row r="43" spans="1:198" ht="15.6" customHeight="1" thickBot="1" x14ac:dyDescent="0.3">
      <c r="A43" s="295">
        <f>IFERROR(ROUND(VLOOKUP(A40,SKV!$B$39:$R$42,5,FALSE),2),"")</f>
        <v>40</v>
      </c>
      <c r="B43" s="296"/>
      <c r="C43" s="256">
        <f>IFERROR(VLOOKUP(A40,SKV!$B$39:$R$42,15,FALSE),"")</f>
        <v>12</v>
      </c>
      <c r="D43" s="257"/>
      <c r="E43" s="258" t="str">
        <f>IFERROR(VLOOKUP(A40,SKV!$B$48:$AA$82,18,FALSE),"")</f>
        <v>1 OZ, 0 A</v>
      </c>
      <c r="F43" s="259"/>
      <c r="G43" s="33"/>
      <c r="H43" s="288"/>
      <c r="I43" s="33"/>
      <c r="J43" s="34" t="str">
        <f>IFERROR(VLOOKUP(J42,SKV!$B$48:$AA$82,11,FALSE),"")</f>
        <v>L</v>
      </c>
      <c r="K43" s="260">
        <f>IFERROR(YEAR(VLOOKUP(J42,SKV!$B$48:$AA$82,2,FALSE)),"")</f>
        <v>2002</v>
      </c>
      <c r="L43" s="261"/>
      <c r="M43" s="43">
        <f ca="1">IFERROR(VLOOKUP(J42,SKV!$B$48:$AA$82,3,FALSE),"")</f>
        <v>18</v>
      </c>
      <c r="N43" s="261" t="str">
        <f>IFERROR(VLOOKUP(J42,SKV!$B$48:$AA$82,15,FALSE),"")</f>
        <v>187/61</v>
      </c>
      <c r="O43" s="261"/>
      <c r="P43" s="261" t="str">
        <f>IFERROR(VLOOKUP(J42,SKV!$B$2:$O$36,14,FALSE),"")</f>
        <v>18 OZ , 3 (2+1), -9 ±</v>
      </c>
      <c r="Q43" s="261"/>
      <c r="R43" s="262"/>
      <c r="S43" s="295">
        <f>IFERROR(ROUND(VLOOKUP(S40,CHO!$B$39:$R$42,5,FALSE),2),"")</f>
        <v>628.1</v>
      </c>
      <c r="T43" s="296"/>
      <c r="U43" s="256">
        <f>IFERROR(VLOOKUP(S40,CHO!$B$39:$R$42,15,FALSE),"")</f>
        <v>5.5405190256328609</v>
      </c>
      <c r="V43" s="257"/>
      <c r="W43" s="258" t="str">
        <f>IFERROR(VLOOKUP(S40,CHO!$B$48:$S$82,18,FALSE),"")</f>
        <v>11 OZ, 1 A</v>
      </c>
      <c r="X43" s="259"/>
      <c r="Y43" s="33"/>
      <c r="Z43" s="288"/>
      <c r="AA43" s="33"/>
      <c r="AB43" s="34" t="str">
        <f>IFERROR(VLOOKUP(AB42,CHO!$B$48:$AA$82,11,FALSE),"")</f>
        <v>L</v>
      </c>
      <c r="AC43" s="260">
        <f>IFERROR(YEAR(VLOOKUP(AB42,CHO!$B$48:$AA$82,2,FALSE)),"")</f>
        <v>2000</v>
      </c>
      <c r="AD43" s="261"/>
      <c r="AE43" s="43">
        <f ca="1">IFERROR(VLOOKUP(AB42,CHO!$B$48:$AA$82,3,FALSE),"")</f>
        <v>21</v>
      </c>
      <c r="AF43" s="261" t="str">
        <f>IFERROR(VLOOKUP(AB42,CHO!$B$48:$AA$82,15,FALSE),"")</f>
        <v>182/75</v>
      </c>
      <c r="AG43" s="261"/>
      <c r="AH43" s="261" t="str">
        <f>IFERROR(VLOOKUP(AB42,CHO!$B$2:$O$36,14,FALSE),"")</f>
        <v>26 OZ , 5 (3+2), -3 ±</v>
      </c>
      <c r="AI43" s="261"/>
      <c r="AJ43" s="262"/>
      <c r="AK43" s="295">
        <f>IFERROR(ROUND(VLOOKUP(AK40,VIT!$B$39:$R$44,5,FALSE),2),"")</f>
        <v>356.95</v>
      </c>
      <c r="AL43" s="296"/>
      <c r="AM43" s="256">
        <f>IFERROR(VLOOKUP(AK40,VIT!$B$39:$R$44,15,FALSE),"")</f>
        <v>5.5469953775038521</v>
      </c>
      <c r="AN43" s="257"/>
      <c r="AO43" s="258" t="str">
        <f>IFERROR(VLOOKUP(AK40,VIT!$B$48:$S$82,18,FALSE),"")</f>
        <v>6 OZ, 1 A</v>
      </c>
      <c r="AP43" s="259"/>
      <c r="AQ43" s="33"/>
      <c r="AR43" s="288"/>
      <c r="AS43" s="33"/>
      <c r="AT43" s="34" t="str">
        <f>IFERROR(VLOOKUP(AT42,VIT!$B$48:$R$82,11,FALSE),"")</f>
        <v>L</v>
      </c>
      <c r="AU43" s="260">
        <f>IFERROR(YEAR(VLOOKUP(AT42,VIT!$B$48:$R$82,2,FALSE)),"")</f>
        <v>2002</v>
      </c>
      <c r="AV43" s="261"/>
      <c r="AW43" s="105">
        <f ca="1">IFERROR(VLOOKUP(AT42,VIT!$B$48:$R$82,3,FALSE),"")</f>
        <v>18</v>
      </c>
      <c r="AX43" s="261" t="str">
        <f>IFERROR(VLOOKUP(AT42,VIT!$B$48:$R$82,15,FALSE),"")</f>
        <v>178/70</v>
      </c>
      <c r="AY43" s="261"/>
      <c r="AZ43" s="261" t="str">
        <f>IFERROR(VLOOKUP(AT42,VIT!$B$2:$O$36,14,FALSE),"")</f>
        <v>14 OZ , 7 (4+3), +3 ±</v>
      </c>
      <c r="BA43" s="261"/>
      <c r="BB43" s="262"/>
      <c r="BC43" s="295">
        <f>IFERROR(ROUND(VLOOKUP(BC40,MB!$B$39:$R$44,5,FALSE),2),"")</f>
        <v>177.18</v>
      </c>
      <c r="BD43" s="296"/>
      <c r="BE43" s="256">
        <f>IFERROR(VLOOKUP(BC40,MB!$B$39:$R$44,15,FALSE),"")</f>
        <v>4.740941415509651</v>
      </c>
      <c r="BF43" s="257"/>
      <c r="BG43" s="258" t="str">
        <f>IFERROR(VLOOKUP(BC40,MB!$B$48:$S$82,18,FALSE),"")</f>
        <v>32 OZ, 0 A</v>
      </c>
      <c r="BH43" s="259"/>
      <c r="BI43" s="33"/>
      <c r="BJ43" s="288"/>
      <c r="BK43" s="33"/>
      <c r="BL43" s="34" t="str">
        <f>IFERROR(VLOOKUP(BL42,MB!$B$48:$R$82,11,FALSE),"")</f>
        <v>L</v>
      </c>
      <c r="BM43" s="260">
        <f>IFERROR(YEAR(VLOOKUP(BL42,MB!$B$48:$R$82,2,FALSE)),"")</f>
        <v>2001</v>
      </c>
      <c r="BN43" s="261"/>
      <c r="BO43" s="107">
        <f ca="1">IFERROR(VLOOKUP(BL42,MB!$B$48:$R$82,3,FALSE),"")</f>
        <v>19</v>
      </c>
      <c r="BP43" s="261" t="str">
        <f>IFERROR(VLOOKUP(BL42,MB!$B$48:$R$82,15,FALSE),"")</f>
        <v>174/64</v>
      </c>
      <c r="BQ43" s="261"/>
      <c r="BR43" s="261" t="str">
        <f>IFERROR(VLOOKUP(BL42,MB!$B$2:$O$36,14,FALSE),"")</f>
        <v>7 OZ , 0 (0+0), 0 ±</v>
      </c>
      <c r="BS43" s="261"/>
      <c r="BT43" s="262"/>
      <c r="BU43" s="295" t="str">
        <f>IFERROR(ROUND(VLOOKUP(BU40,TAT!$B$39:$R$44,5,FALSE),2),"")</f>
        <v/>
      </c>
      <c r="BV43" s="296"/>
      <c r="BW43" s="256" t="str">
        <f>IFERROR(VLOOKUP(BU40,TAT!$B$39:$R$44,15,FALSE),"")</f>
        <v/>
      </c>
      <c r="BX43" s="257"/>
      <c r="BY43" s="258" t="str">
        <f>IFERROR(VLOOKUP(BU40,TAT!$B$48:$S$82,18,FALSE),"")</f>
        <v/>
      </c>
      <c r="BZ43" s="259"/>
      <c r="CA43" s="33"/>
      <c r="CB43" s="288"/>
      <c r="CC43" s="33"/>
      <c r="CD43" s="34" t="str">
        <f>IFERROR(VLOOKUP(CD42,TAT!$B$48:$R$82,11,FALSE),"")</f>
        <v/>
      </c>
      <c r="CE43" s="260" t="str">
        <f>IFERROR(YEAR(VLOOKUP(CD42,TAT!$B$48:$R$82,2,FALSE)),"")</f>
        <v/>
      </c>
      <c r="CF43" s="261"/>
      <c r="CG43" s="149" t="str">
        <f>IFERROR(VLOOKUP(CD42,TAT!$B$48:$R$82,3,FALSE),"")</f>
        <v/>
      </c>
      <c r="CH43" s="261" t="str">
        <f>IFERROR(VLOOKUP(CD42,TAT!$B$48:$R$82,15,FALSE),"")</f>
        <v/>
      </c>
      <c r="CI43" s="261"/>
      <c r="CJ43" s="261" t="str">
        <f>IFERROR(VLOOKUP(CD42,TAT!$B$2:$O$36,14,FALSE),"")</f>
        <v/>
      </c>
      <c r="CK43" s="261"/>
      <c r="CL43" s="262"/>
      <c r="CM43" s="295">
        <f>IFERROR(ROUND(VLOOKUP(CM40,OTR!$B$39:$R$44,5,FALSE),2),"")</f>
        <v>80</v>
      </c>
      <c r="CN43" s="296"/>
      <c r="CO43" s="256">
        <f>IFERROR(VLOOKUP(CM40,OTR!$B$39:$R$44,15,FALSE),"")</f>
        <v>9.75</v>
      </c>
      <c r="CP43" s="257"/>
      <c r="CQ43" s="258" t="str">
        <f>IFERROR(VLOOKUP(CM40,OTR!$B$48:$S$82,18,FALSE),"")</f>
        <v>2 OZ, 0 A</v>
      </c>
      <c r="CR43" s="259"/>
      <c r="CS43" s="33"/>
      <c r="CT43" s="288"/>
      <c r="CU43" s="33"/>
      <c r="CV43" s="34" t="str">
        <f>IFERROR(VLOOKUP(CV42,OTR!$B$48:$R$82,11,FALSE),"")</f>
        <v>L</v>
      </c>
      <c r="CW43" s="260">
        <f>IFERROR(YEAR(VLOOKUP(CV42,OTR!$B$48:$R$82,2,FALSE)),"")</f>
        <v>1995</v>
      </c>
      <c r="CX43" s="261"/>
      <c r="CY43" s="149">
        <f ca="1">IFERROR(VLOOKUP(CV42,OTR!$B$48:$R$82,3,FALSE),"")</f>
        <v>25</v>
      </c>
      <c r="CZ43" s="261" t="str">
        <f>IFERROR(VLOOKUP(CV42,OTR!$B$48:$R$82,15,FALSE),"")</f>
        <v>179/77</v>
      </c>
      <c r="DA43" s="261"/>
      <c r="DB43" s="261" t="str">
        <f>IFERROR(VLOOKUP(CV42,OTR!$B$2:$O$36,14,FALSE),"")</f>
        <v>23 OZ , 14 (10+4), -20 ±</v>
      </c>
      <c r="DC43" s="261"/>
      <c r="DD43" s="262"/>
      <c r="DE43" s="295">
        <f>IFERROR(ROUND(VLOOKUP(DE40,BOH!$B$39:$R$44,5,FALSE),2),"")</f>
        <v>39.32</v>
      </c>
      <c r="DF43" s="296"/>
      <c r="DG43" s="256">
        <f>IFERROR(VLOOKUP(DE40,BOH!$B$39:$R$44,15,FALSE),"")</f>
        <v>13.733468972533062</v>
      </c>
      <c r="DH43" s="257"/>
      <c r="DI43" s="258" t="str">
        <f>IFERROR(VLOOKUP(DE40,BOH!$B$48:$S$82,18,FALSE),"")</f>
        <v>26 OZ, 0 A</v>
      </c>
      <c r="DJ43" s="259"/>
      <c r="DK43" s="33"/>
      <c r="DL43" s="288"/>
      <c r="DM43" s="33"/>
      <c r="DN43" s="34" t="str">
        <f>IFERROR(VLOOKUP(DN42,BOH!$B$48:$R$82,11,FALSE),"")</f>
        <v>-</v>
      </c>
      <c r="DO43" s="260">
        <f>IFERROR(YEAR(VLOOKUP(DN42,BOH!$B$48:$R$82,2,FALSE)),"")</f>
        <v>2001</v>
      </c>
      <c r="DP43" s="261"/>
      <c r="DQ43" s="164">
        <f ca="1">IFERROR(VLOOKUP(DN42,BOH!$B$48:$R$82,3,FALSE),"")</f>
        <v>19</v>
      </c>
      <c r="DR43" s="261" t="str">
        <f>IFERROR(VLOOKUP(DN42,BOH!$B$48:$R$82,15,FALSE),"")</f>
        <v>-/-</v>
      </c>
      <c r="DS43" s="261"/>
      <c r="DT43" s="261" t="str">
        <f>IFERROR(VLOOKUP(DN42,BOH!$B$2:$O$36,14,FALSE),"")</f>
        <v>20 OZ , 2 (2+0), 0 ±</v>
      </c>
      <c r="DU43" s="261"/>
      <c r="DV43" s="262"/>
      <c r="DW43" s="295" t="str">
        <f>IFERROR(ROUND(VLOOKUP(DW40,SPA!$B$39:$R$44,5,FALSE),2),"")</f>
        <v/>
      </c>
      <c r="DX43" s="296"/>
      <c r="DY43" s="256" t="str">
        <f>IFERROR(VLOOKUP(DW40,SPA!$B$39:$R$44,15,FALSE),"")</f>
        <v/>
      </c>
      <c r="DZ43" s="257"/>
      <c r="EA43" s="258" t="str">
        <f>IFERROR(VLOOKUP(DW40,SPA!$B$48:$S$82,18,FALSE),"")</f>
        <v/>
      </c>
      <c r="EB43" s="259"/>
      <c r="EC43" s="33"/>
      <c r="ED43" s="288"/>
      <c r="EE43" s="33"/>
      <c r="EF43" s="34" t="str">
        <f>IFERROR(VLOOKUP(EF42,SPA!$B$48:$R$82,11,FALSE),"")</f>
        <v/>
      </c>
      <c r="EG43" s="260" t="str">
        <f>IFERROR(YEAR(VLOOKUP(EF42,SPA!$B$48:$R$82,2,FALSE)),"")</f>
        <v/>
      </c>
      <c r="EH43" s="261"/>
      <c r="EI43" s="164" t="str">
        <f>IFERROR(VLOOKUP(EF42,SPA!$B$48:$R$82,3,FALSE),"")</f>
        <v/>
      </c>
      <c r="EJ43" s="261" t="str">
        <f>IFERROR(VLOOKUP(EF42,SPA!$B$48:$R$82,15,FALSE),"")</f>
        <v/>
      </c>
      <c r="EK43" s="261"/>
      <c r="EL43" s="261" t="str">
        <f>IFERROR(VLOOKUP(EF42,SPA!$B$2:$O$36,14,FALSE),"")</f>
        <v/>
      </c>
      <c r="EM43" s="261"/>
      <c r="EN43" s="262"/>
      <c r="EO43" s="295" t="str">
        <f>IFERROR(ROUND(VLOOKUP(EO40,CLP!$B$39:$R$44,5,FALSE),2),"")</f>
        <v/>
      </c>
      <c r="EP43" s="296"/>
      <c r="EQ43" s="256" t="str">
        <f>IFERROR(VLOOKUP(EO40,CLP!$B$39:$R$44,15,FALSE),"")</f>
        <v/>
      </c>
      <c r="ER43" s="257"/>
      <c r="ES43" s="258" t="str">
        <f>IFERROR(VLOOKUP(EO40,CLP!$B$48:$S$82,18,FALSE),"")</f>
        <v/>
      </c>
      <c r="ET43" s="259"/>
      <c r="EU43" s="33"/>
      <c r="EV43" s="288"/>
      <c r="EW43" s="33"/>
      <c r="EX43" s="34" t="str">
        <f>IFERROR(VLOOKUP(EX42,CLP!$B$48:$R$82,11,FALSE),"")</f>
        <v/>
      </c>
      <c r="EY43" s="260" t="str">
        <f>IFERROR(YEAR(VLOOKUP(EX42,CLP!$B$48:$R$82,2,FALSE)),"")</f>
        <v/>
      </c>
      <c r="EZ43" s="261"/>
      <c r="FA43" s="203" t="str">
        <f>IFERROR(VLOOKUP(EX42,CLP!$B$48:$R$82,3,FALSE),"")</f>
        <v/>
      </c>
      <c r="FB43" s="261" t="str">
        <f>IFERROR(VLOOKUP(EX42,CLP!$B$48:$R$82,15,FALSE),"")</f>
        <v/>
      </c>
      <c r="FC43" s="261"/>
      <c r="FD43" s="261" t="str">
        <f>IFERROR(VLOOKUP(EX42,CLP!$B$2:$O$36,14,FALSE),"")</f>
        <v/>
      </c>
      <c r="FE43" s="261"/>
      <c r="FF43" s="262"/>
      <c r="FG43" s="295">
        <f>IFERROR(ROUND(VLOOKUP(FG40,LIB!$B$39:$R$44,5,FALSE),2),"")</f>
        <v>0</v>
      </c>
      <c r="FH43" s="296"/>
      <c r="FI43" s="256">
        <f>IFERROR(VLOOKUP(FG40,LIB!$B$39:$R$44,15,FALSE),"")</f>
        <v>0</v>
      </c>
      <c r="FJ43" s="257"/>
      <c r="FK43" s="258" t="str">
        <f>IFERROR(VLOOKUP(FG40,LIB!$B$48:$S$82,18,FALSE),"")</f>
        <v>0 OZ, 0 A</v>
      </c>
      <c r="FL43" s="259"/>
      <c r="FM43" s="33"/>
      <c r="FN43" s="288"/>
      <c r="FO43" s="33"/>
      <c r="FP43" s="34" t="str">
        <f>IFERROR(VLOOKUP(FP42,LIB!$B$48:$R$82,11,FALSE),"")</f>
        <v>L</v>
      </c>
      <c r="FQ43" s="260">
        <f>IFERROR(YEAR(VLOOKUP(FP42,LIB!$B$48:$R$82,2,FALSE)),"")</f>
        <v>1998</v>
      </c>
      <c r="FR43" s="261"/>
      <c r="FS43" s="203">
        <f ca="1">IFERROR(VLOOKUP(FP42,LIB!$B$48:$R$82,3,FALSE),"")</f>
        <v>22</v>
      </c>
      <c r="FT43" s="261" t="str">
        <f>IFERROR(VLOOKUP(FP42,LIB!$B$48:$R$82,15,FALSE),"")</f>
        <v>187/82</v>
      </c>
      <c r="FU43" s="261"/>
      <c r="FV43" s="261" t="str">
        <f>IFERROR(VLOOKUP(FP42,LIB!$B$2:$O$36,14,FALSE),"")</f>
        <v>25 OZ , 14 (10+4), -13 ±</v>
      </c>
      <c r="FW43" s="261"/>
      <c r="FX43" s="262"/>
      <c r="FY43" s="295" t="str">
        <f>IFERROR(ROUND(VLOOKUP(FY40,HAT!$B$39:$R$44,5,FALSE),2),"")</f>
        <v/>
      </c>
      <c r="FZ43" s="296"/>
      <c r="GA43" s="256" t="str">
        <f>IFERROR(VLOOKUP(FY40,HAT!$B$39:$R$44,15,FALSE),"")</f>
        <v/>
      </c>
      <c r="GB43" s="257"/>
      <c r="GC43" s="258" t="str">
        <f>IFERROR(VLOOKUP(FY40,HAT!$B$48:$S$82,18,FALSE),"")</f>
        <v/>
      </c>
      <c r="GD43" s="259"/>
      <c r="GE43" s="33"/>
      <c r="GF43" s="288"/>
      <c r="GG43" s="33"/>
      <c r="GH43" s="34" t="str">
        <f>IFERROR(VLOOKUP(GH42,HAT!$B$48:$R$82,11,FALSE),"")</f>
        <v/>
      </c>
      <c r="GI43" s="260" t="str">
        <f>IFERROR(YEAR(VLOOKUP(GH42,HAT!$B$48:$R$82,2,FALSE)),"")</f>
        <v/>
      </c>
      <c r="GJ43" s="261"/>
      <c r="GK43" s="209" t="str">
        <f>IFERROR(VLOOKUP(GH42,HAT!$B$48:$R$82,3,FALSE),"")</f>
        <v/>
      </c>
      <c r="GL43" s="261" t="str">
        <f>IFERROR(VLOOKUP(GH42,HAT!$B$48:$R$82,15,FALSE),"")</f>
        <v/>
      </c>
      <c r="GM43" s="261"/>
      <c r="GN43" s="261" t="str">
        <f>IFERROR(VLOOKUP(GH42,HAT!$B$2:$O$36,14,FALSE),"")</f>
        <v/>
      </c>
      <c r="GO43" s="261"/>
      <c r="GP43" s="262"/>
    </row>
    <row r="44" spans="1:198" ht="15.6" customHeight="1" thickBot="1" x14ac:dyDescent="0.3">
      <c r="A44" s="263">
        <f>IFERROR(VLOOKUP(A40,SKV!$B$48:$AA$82,16,FALSE),"")</f>
        <v>0</v>
      </c>
      <c r="B44" s="264"/>
      <c r="C44" s="265"/>
      <c r="D44" s="266">
        <f>IFERROR(VLOOKUP(A40,SKV!$B$48:$AA$82,17,FALSE),"")</f>
        <v>0</v>
      </c>
      <c r="E44" s="267"/>
      <c r="F44" s="46">
        <f>IFERROR(VLOOKUP(A40,SKV!$B$39:$R$42,8,FALSE),"")</f>
        <v>0</v>
      </c>
      <c r="G44" s="33"/>
      <c r="H44" s="288"/>
      <c r="I44" s="33"/>
      <c r="J44" s="125">
        <f>IFERROR(VLOOKUP(J42,SKV!$B$48:$AA$82,8,FALSE),"")</f>
        <v>1</v>
      </c>
      <c r="K44" s="268" t="str">
        <f>IFERROR(VLOOKUP(J42,SKV!$B$48:$AA$82,14,FALSE),"")</f>
        <v>18 OZ, 3 (2+1)</v>
      </c>
      <c r="L44" s="268"/>
      <c r="M44" s="268"/>
      <c r="N44" s="269" t="str">
        <f>IFERROR(VLOOKUP(J42,SKV!$B$48:$AA$82,16,FALSE),"")</f>
        <v>SKV</v>
      </c>
      <c r="O44" s="269"/>
      <c r="P44" s="269"/>
      <c r="Q44" s="268">
        <f>IFERROR(VLOOKUP(J42,SKV!$B$48:$AA$82,17,FALSE),"")</f>
        <v>2013</v>
      </c>
      <c r="R44" s="270"/>
      <c r="S44" s="263" t="str">
        <f>IFERROR(VLOOKUP(S40,CHO!$B$48:$AA$82,16,FALSE),"")</f>
        <v>Florbal Benešov</v>
      </c>
      <c r="T44" s="264"/>
      <c r="U44" s="265"/>
      <c r="V44" s="266">
        <f>IFERROR(VLOOKUP(S40,CHO!$B$48:$AA$82,17,FALSE),"")</f>
        <v>2009</v>
      </c>
      <c r="W44" s="267"/>
      <c r="X44" s="46">
        <f>IFERROR(VLOOKUP(S40,CHO!$B$39:$R$42,8,FALSE),"")</f>
        <v>0</v>
      </c>
      <c r="Y44" s="33"/>
      <c r="Z44" s="288"/>
      <c r="AA44" s="33"/>
      <c r="AB44" s="125">
        <f>IFERROR(VLOOKUP(AB42,CHO!$B$48:$AA$82,8,FALSE),"")</f>
        <v>4</v>
      </c>
      <c r="AC44" s="268" t="str">
        <f>IFERROR(VLOOKUP(AB42,CHO!$B$48:$AA$82,14,FALSE),"")</f>
        <v>92 OZ, 7 (5+2)</v>
      </c>
      <c r="AD44" s="268"/>
      <c r="AE44" s="268"/>
      <c r="AF44" s="269" t="str">
        <f>IFERROR(VLOOKUP(AB42,CHO!$B$48:$AA$82,16,FALSE),"")</f>
        <v>FBK Vosy Praha</v>
      </c>
      <c r="AG44" s="269"/>
      <c r="AH44" s="269"/>
      <c r="AI44" s="268">
        <f>IFERROR(VLOOKUP(AB42,CHO!$B$48:$AA$82,17,FALSE),"")</f>
        <v>2007</v>
      </c>
      <c r="AJ44" s="270"/>
      <c r="AK44" s="263" t="str">
        <f>IFERROR(VLOOKUP(AK40,VIT!$B$48:$R$82,16,FALSE),"")</f>
        <v>Paskov Saurians</v>
      </c>
      <c r="AL44" s="264"/>
      <c r="AM44" s="265"/>
      <c r="AN44" s="266">
        <f>IFERROR(VLOOKUP(AK40,VIT!$B$48:$R$82,17,FALSE),"")</f>
        <v>2011</v>
      </c>
      <c r="AO44" s="267"/>
      <c r="AP44" s="46">
        <f>IFERROR(VLOOKUP(AK40,VIT!$B$39:$R$44,8,FALSE),"")</f>
        <v>0</v>
      </c>
      <c r="AQ44" s="33"/>
      <c r="AR44" s="288"/>
      <c r="AS44" s="33"/>
      <c r="AT44" s="125">
        <f>IFERROR(VLOOKUP(AT42,VIT!$B$48:$R$82,8,FALSE),"")</f>
        <v>2</v>
      </c>
      <c r="AU44" s="268" t="str">
        <f>IFERROR(VLOOKUP(AT42,VIT!$B$48:$R$82,14,FALSE),"")</f>
        <v>17 OZ, 7 (4+3)</v>
      </c>
      <c r="AV44" s="268"/>
      <c r="AW44" s="268"/>
      <c r="AX44" s="269" t="str">
        <f>IFERROR(VLOOKUP(AT42,VIT!$B$48:$R$82,16,FALSE),"")</f>
        <v>FBC Ostrava</v>
      </c>
      <c r="AY44" s="269"/>
      <c r="AZ44" s="269"/>
      <c r="BA44" s="268">
        <f>IFERROR(VLOOKUP(AT42,VIT!$B$48:$R$82,17,FALSE),"")</f>
        <v>2008</v>
      </c>
      <c r="BB44" s="270"/>
      <c r="BC44" s="263" t="str">
        <f>IFERROR(VLOOKUP(BC40,MB!$B$48:$R$82,16,FALSE),"")</f>
        <v>FTC Vysoké Mýto</v>
      </c>
      <c r="BD44" s="264"/>
      <c r="BE44" s="265"/>
      <c r="BF44" s="266">
        <f>IFERROR(VLOOKUP(BC40,MB!$B$48:$R$82,17,FALSE),"")</f>
        <v>2012</v>
      </c>
      <c r="BG44" s="267"/>
      <c r="BH44" s="46">
        <f>IFERROR(VLOOKUP(BC40,MB!$B$39:$R$44,8,FALSE),"")</f>
        <v>0</v>
      </c>
      <c r="BI44" s="33"/>
      <c r="BJ44" s="288"/>
      <c r="BK44" s="33"/>
      <c r="BL44" s="125">
        <f>IFERROR(VLOOKUP(BL42,MB!$B$48:$R$82,8,FALSE),"")</f>
        <v>2</v>
      </c>
      <c r="BM44" s="268" t="str">
        <f>IFERROR(VLOOKUP(BL42,MB!$B$48:$R$82,14,FALSE),"")</f>
        <v>9 OZ, 0 (0+0)</v>
      </c>
      <c r="BN44" s="268"/>
      <c r="BO44" s="268"/>
      <c r="BP44" s="269" t="str">
        <f>IFERROR(VLOOKUP(BL42,MB!$B$48:$R$82,16,FALSE),"")</f>
        <v>FBC Liberec</v>
      </c>
      <c r="BQ44" s="269"/>
      <c r="BR44" s="269"/>
      <c r="BS44" s="268">
        <f>IFERROR(VLOOKUP(BL42,MB!$B$48:$R$82,17,FALSE),"")</f>
        <v>2010</v>
      </c>
      <c r="BT44" s="270"/>
      <c r="BU44" s="263" t="str">
        <f>IFERROR(VLOOKUP(BU40,TAT!$B$48:$R$82,16,FALSE),"")</f>
        <v/>
      </c>
      <c r="BV44" s="264"/>
      <c r="BW44" s="265"/>
      <c r="BX44" s="266" t="str">
        <f>IFERROR(VLOOKUP(BU40,TAT!$B$48:$R$82,17,FALSE),"")</f>
        <v/>
      </c>
      <c r="BY44" s="267"/>
      <c r="BZ44" s="46" t="str">
        <f>IFERROR(VLOOKUP(BU40,TAT!$B$39:$R$44,8,FALSE),"")</f>
        <v/>
      </c>
      <c r="CA44" s="33"/>
      <c r="CB44" s="288"/>
      <c r="CC44" s="33"/>
      <c r="CD44" s="125" t="str">
        <f>IFERROR(VLOOKUP(CD42,TAT!$B$48:$R$82,8,FALSE),"")</f>
        <v/>
      </c>
      <c r="CE44" s="268" t="str">
        <f>IFERROR(VLOOKUP(CD42,TAT!$B$48:$R$82,14,FALSE),"")</f>
        <v/>
      </c>
      <c r="CF44" s="268"/>
      <c r="CG44" s="268"/>
      <c r="CH44" s="269" t="str">
        <f>IFERROR(VLOOKUP(CD42,TAT!$B$48:$R$82,16,FALSE),"")</f>
        <v/>
      </c>
      <c r="CI44" s="269"/>
      <c r="CJ44" s="269"/>
      <c r="CK44" s="268" t="str">
        <f>IFERROR(VLOOKUP(CD42,TAT!$B$48:$R$82,17,FALSE),"")</f>
        <v/>
      </c>
      <c r="CL44" s="270"/>
      <c r="CM44" s="263" t="str">
        <f>IFERROR(VLOOKUP(CM40,OTR!$B$48:$R$82,16,FALSE),"")</f>
        <v>Přerov</v>
      </c>
      <c r="CN44" s="264"/>
      <c r="CO44" s="265"/>
      <c r="CP44" s="266">
        <f>IFERROR(VLOOKUP(CM40,OTR!$B$48:$R$82,17,FALSE),"")</f>
        <v>2002</v>
      </c>
      <c r="CQ44" s="267"/>
      <c r="CR44" s="46">
        <f>IFERROR(VLOOKUP(CM40,OTR!$B$39:$R$44,8,FALSE),"")</f>
        <v>0</v>
      </c>
      <c r="CS44" s="33"/>
      <c r="CT44" s="288"/>
      <c r="CU44" s="33"/>
      <c r="CV44" s="125">
        <f>IFERROR(VLOOKUP(CV42,OTR!$B$48:$R$82,8,FALSE),"")</f>
        <v>4</v>
      </c>
      <c r="CW44" s="268" t="str">
        <f>IFERROR(VLOOKUP(CV42,OTR!$B$48:$R$82,14,FALSE),"")</f>
        <v>62 OZ, 33 (19+14)</v>
      </c>
      <c r="CX44" s="268"/>
      <c r="CY44" s="268"/>
      <c r="CZ44" s="269" t="str">
        <f>IFERROR(VLOOKUP(CV42,OTR!$B$48:$R$82,16,FALSE),"")</f>
        <v>FBC Predátor Sabinov</v>
      </c>
      <c r="DA44" s="269"/>
      <c r="DB44" s="269"/>
      <c r="DC44" s="268">
        <f>IFERROR(VLOOKUP(CV42,OTR!$B$48:$R$82,17,FALSE),"")</f>
        <v>2007</v>
      </c>
      <c r="DD44" s="270"/>
      <c r="DE44" s="263" t="str">
        <f>IFERROR(VLOOKUP(DE40,BOH!$B$48:$R$82,16,FALSE),"")</f>
        <v>FbŠ Bohemians</v>
      </c>
      <c r="DF44" s="264"/>
      <c r="DG44" s="265"/>
      <c r="DH44" s="266" t="str">
        <f>IFERROR(VLOOKUP(DE40,BOH!$B$48:$R$82,17,FALSE),"")</f>
        <v>-</v>
      </c>
      <c r="DI44" s="267"/>
      <c r="DJ44" s="46">
        <f>IFERROR(VLOOKUP(DE40,BOH!$B$39:$R$44,8,FALSE),"")</f>
        <v>0</v>
      </c>
      <c r="DK44" s="33"/>
      <c r="DL44" s="288"/>
      <c r="DM44" s="33"/>
      <c r="DN44" s="125">
        <f>IFERROR(VLOOKUP(DN42,BOH!$B$48:$R$82,8,FALSE),"")</f>
        <v>1</v>
      </c>
      <c r="DO44" s="268" t="str">
        <f>IFERROR(VLOOKUP(DN42,BOH!$B$48:$R$82,14,FALSE),"")</f>
        <v>20 OZ, 2 (2+0)</v>
      </c>
      <c r="DP44" s="268"/>
      <c r="DQ44" s="268"/>
      <c r="DR44" s="269" t="str">
        <f>IFERROR(VLOOKUP(DN42,BOH!$B$48:$R$82,16,FALSE),"")</f>
        <v>FbŠ Bohemians</v>
      </c>
      <c r="DS44" s="269"/>
      <c r="DT44" s="269"/>
      <c r="DU44" s="268">
        <f>IFERROR(VLOOKUP(DN42,BOH!$B$48:$R$82,17,FALSE),"")</f>
        <v>2009</v>
      </c>
      <c r="DV44" s="270"/>
      <c r="DW44" s="263" t="str">
        <f>IFERROR(VLOOKUP(DW40,SPA!$B$48:$R$82,16,FALSE),"")</f>
        <v/>
      </c>
      <c r="DX44" s="264"/>
      <c r="DY44" s="265"/>
      <c r="DZ44" s="266" t="str">
        <f>IFERROR(VLOOKUP(DW40,SPA!$B$48:$R$82,17,FALSE),"")</f>
        <v/>
      </c>
      <c r="EA44" s="267"/>
      <c r="EB44" s="46" t="str">
        <f>IFERROR(VLOOKUP(DW40,SPA!$B$39:$R$44,8,FALSE),"")</f>
        <v/>
      </c>
      <c r="EC44" s="33"/>
      <c r="ED44" s="288"/>
      <c r="EE44" s="33"/>
      <c r="EF44" s="125" t="str">
        <f>IFERROR(VLOOKUP(EF42,SPA!$B$48:$R$82,8,FALSE),"")</f>
        <v/>
      </c>
      <c r="EG44" s="268" t="str">
        <f>IFERROR(VLOOKUP(EF42,SPA!$B$48:$R$82,14,FALSE),"")</f>
        <v/>
      </c>
      <c r="EH44" s="268"/>
      <c r="EI44" s="268"/>
      <c r="EJ44" s="269" t="str">
        <f>IFERROR(VLOOKUP(EF42,SPA!$B$48:$R$82,16,FALSE),"")</f>
        <v/>
      </c>
      <c r="EK44" s="269"/>
      <c r="EL44" s="269"/>
      <c r="EM44" s="268" t="str">
        <f>IFERROR(VLOOKUP(EF42,SPA!$B$48:$R$82,17,FALSE),"")</f>
        <v/>
      </c>
      <c r="EN44" s="270"/>
      <c r="EO44" s="263" t="str">
        <f>IFERROR(VLOOKUP(EO40,CLP!$B$48:$R$82,16,FALSE),"")</f>
        <v/>
      </c>
      <c r="EP44" s="264"/>
      <c r="EQ44" s="265"/>
      <c r="ER44" s="266" t="str">
        <f>IFERROR(VLOOKUP(EO40,CLP!$B$48:$R$82,17,FALSE),"")</f>
        <v/>
      </c>
      <c r="ES44" s="267"/>
      <c r="ET44" s="46" t="str">
        <f>IFERROR(VLOOKUP(EO40,CLP!$B$39:$R$44,8,FALSE),"")</f>
        <v/>
      </c>
      <c r="EU44" s="33"/>
      <c r="EV44" s="288"/>
      <c r="EW44" s="33"/>
      <c r="EX44" s="125" t="str">
        <f>IFERROR(VLOOKUP(EX42,CLP!$B$48:$R$82,8,FALSE),"")</f>
        <v/>
      </c>
      <c r="EY44" s="268" t="str">
        <f>IFERROR(VLOOKUP(EX42,CLP!$B$48:$R$82,14,FALSE),"")</f>
        <v/>
      </c>
      <c r="EZ44" s="268"/>
      <c r="FA44" s="268"/>
      <c r="FB44" s="269" t="str">
        <f>IFERROR(VLOOKUP(EX42,CLP!$B$48:$R$82,16,FALSE),"")</f>
        <v/>
      </c>
      <c r="FC44" s="269"/>
      <c r="FD44" s="269"/>
      <c r="FE44" s="268" t="str">
        <f>IFERROR(VLOOKUP(EX42,CLP!$B$48:$R$82,17,FALSE),"")</f>
        <v/>
      </c>
      <c r="FF44" s="270"/>
      <c r="FG44" s="263">
        <f>IFERROR(VLOOKUP(FG40,LIB!$B$48:$R$82,16,FALSE),"")</f>
        <v>0</v>
      </c>
      <c r="FH44" s="264"/>
      <c r="FI44" s="265"/>
      <c r="FJ44" s="266">
        <f>IFERROR(VLOOKUP(FG40,LIB!$B$48:$R$82,17,FALSE),"")</f>
        <v>0</v>
      </c>
      <c r="FK44" s="267"/>
      <c r="FL44" s="46">
        <f>IFERROR(VLOOKUP(FG40,LIB!$B$39:$R$44,8,FALSE),"")</f>
        <v>0</v>
      </c>
      <c r="FM44" s="33"/>
      <c r="FN44" s="288"/>
      <c r="FO44" s="33"/>
      <c r="FP44" s="125">
        <f>IFERROR(VLOOKUP(FP42,LIB!$B$48:$R$82,8,FALSE),"")</f>
        <v>2</v>
      </c>
      <c r="FQ44" s="268" t="str">
        <f>IFERROR(VLOOKUP(FP42,LIB!$B$48:$R$82,14,FALSE),"")</f>
        <v>41 OZ, 25 (15+10)</v>
      </c>
      <c r="FR44" s="268"/>
      <c r="FS44" s="268"/>
      <c r="FT44" s="269" t="str">
        <f>IFERROR(VLOOKUP(FP42,LIB!$B$48:$R$82,16,FALSE),"")</f>
        <v>DTJ Trutnov</v>
      </c>
      <c r="FU44" s="269"/>
      <c r="FV44" s="269"/>
      <c r="FW44" s="268">
        <f>IFERROR(VLOOKUP(FP42,LIB!$B$48:$R$82,17,FALSE),"")</f>
        <v>2014</v>
      </c>
      <c r="FX44" s="270"/>
      <c r="FY44" s="263" t="str">
        <f>IFERROR(VLOOKUP(FY40,HAT!$B$48:$R$82,16,FALSE),"")</f>
        <v/>
      </c>
      <c r="FZ44" s="264"/>
      <c r="GA44" s="265"/>
      <c r="GB44" s="266" t="str">
        <f>IFERROR(VLOOKUP(FY40,HAT!$B$48:$R$82,17,FALSE),"")</f>
        <v/>
      </c>
      <c r="GC44" s="267"/>
      <c r="GD44" s="46" t="str">
        <f>IFERROR(VLOOKUP(FY40,HAT!$B$39:$R$44,8,FALSE),"")</f>
        <v/>
      </c>
      <c r="GE44" s="33"/>
      <c r="GF44" s="288"/>
      <c r="GG44" s="33"/>
      <c r="GH44" s="125" t="str">
        <f>IFERROR(VLOOKUP(GH42,HAT!$B$48:$R$82,8,FALSE),"")</f>
        <v/>
      </c>
      <c r="GI44" s="268" t="str">
        <f>IFERROR(VLOOKUP(GH42,HAT!$B$48:$R$82,14,FALSE),"")</f>
        <v/>
      </c>
      <c r="GJ44" s="268"/>
      <c r="GK44" s="268"/>
      <c r="GL44" s="269" t="str">
        <f>IFERROR(VLOOKUP(GH42,HAT!$B$48:$R$82,16,FALSE),"")</f>
        <v/>
      </c>
      <c r="GM44" s="269"/>
      <c r="GN44" s="269"/>
      <c r="GO44" s="268" t="str">
        <f>IFERROR(VLOOKUP(GH42,HAT!$B$48:$R$82,17,FALSE),"")</f>
        <v/>
      </c>
      <c r="GP44" s="270"/>
    </row>
    <row r="45" spans="1:198" ht="7.35" customHeight="1" thickTop="1" thickBot="1" x14ac:dyDescent="0.3">
      <c r="A45" s="33"/>
      <c r="B45" s="33"/>
      <c r="C45" s="33"/>
      <c r="D45" s="33"/>
      <c r="E45" s="33"/>
      <c r="F45" s="33"/>
      <c r="G45" s="16"/>
      <c r="H45" s="16"/>
      <c r="I45" s="16"/>
      <c r="J45" s="16"/>
      <c r="K45" s="16"/>
      <c r="L45" s="16"/>
      <c r="M45" s="47"/>
      <c r="N45" s="47"/>
      <c r="O45" s="47"/>
      <c r="P45" s="47"/>
      <c r="Q45" s="47"/>
      <c r="R45" s="48"/>
      <c r="S45" s="33"/>
      <c r="T45" s="33"/>
      <c r="U45" s="33"/>
      <c r="V45" s="33"/>
      <c r="W45" s="33"/>
      <c r="X45" s="33"/>
      <c r="Y45" s="16"/>
      <c r="Z45" s="16"/>
      <c r="AA45" s="16"/>
      <c r="AB45" s="16"/>
      <c r="AC45" s="16"/>
      <c r="AD45" s="16"/>
      <c r="AE45" s="47"/>
      <c r="AF45" s="47"/>
      <c r="AG45" s="47"/>
      <c r="AH45" s="47"/>
      <c r="AI45" s="47"/>
      <c r="AJ45" s="48"/>
      <c r="AK45" s="33"/>
      <c r="AL45" s="33"/>
      <c r="AM45" s="33"/>
      <c r="AN45" s="33"/>
      <c r="AO45" s="33"/>
      <c r="AP45" s="33"/>
      <c r="AQ45" s="16"/>
      <c r="AR45" s="16"/>
      <c r="AS45" s="16"/>
      <c r="AT45" s="16"/>
      <c r="AU45" s="16"/>
      <c r="AV45" s="16"/>
      <c r="AW45" s="47"/>
      <c r="AX45" s="47"/>
      <c r="AY45" s="47"/>
      <c r="AZ45" s="47"/>
      <c r="BA45" s="47"/>
      <c r="BB45" s="48"/>
      <c r="BC45" s="33"/>
      <c r="BD45" s="33"/>
      <c r="BE45" s="33"/>
      <c r="BF45" s="33"/>
      <c r="BG45" s="33"/>
      <c r="BH45" s="33"/>
      <c r="BI45" s="16"/>
      <c r="BJ45" s="16"/>
      <c r="BK45" s="16"/>
      <c r="BL45" s="16"/>
      <c r="BM45" s="16"/>
      <c r="BN45" s="16"/>
      <c r="BO45" s="47"/>
      <c r="BP45" s="47"/>
      <c r="BQ45" s="47"/>
      <c r="BR45" s="47"/>
      <c r="BS45" s="47"/>
      <c r="BT45" s="48"/>
      <c r="BU45" s="33"/>
      <c r="BV45" s="33"/>
      <c r="BW45" s="33"/>
      <c r="BX45" s="33"/>
      <c r="BY45" s="33"/>
      <c r="BZ45" s="33"/>
      <c r="CA45" s="16"/>
      <c r="CB45" s="16"/>
      <c r="CC45" s="16"/>
      <c r="CD45" s="16"/>
      <c r="CE45" s="16"/>
      <c r="CF45" s="16"/>
      <c r="CG45" s="47"/>
      <c r="CH45" s="47"/>
      <c r="CI45" s="47"/>
      <c r="CJ45" s="47"/>
      <c r="CK45" s="47"/>
      <c r="CL45" s="48"/>
      <c r="CM45" s="33"/>
      <c r="CN45" s="33"/>
      <c r="CO45" s="33"/>
      <c r="CP45" s="33"/>
      <c r="CQ45" s="33"/>
      <c r="CR45" s="33"/>
      <c r="CS45" s="16"/>
      <c r="CT45" s="16"/>
      <c r="CU45" s="16"/>
      <c r="CV45" s="16"/>
      <c r="CW45" s="16"/>
      <c r="CX45" s="16"/>
      <c r="CY45" s="47"/>
      <c r="CZ45" s="47"/>
      <c r="DA45" s="47"/>
      <c r="DB45" s="47"/>
      <c r="DC45" s="47"/>
      <c r="DD45" s="48"/>
      <c r="DE45" s="33"/>
      <c r="DF45" s="33"/>
      <c r="DG45" s="33"/>
      <c r="DH45" s="33"/>
      <c r="DI45" s="33"/>
      <c r="DJ45" s="33"/>
      <c r="DK45" s="16"/>
      <c r="DL45" s="16"/>
      <c r="DM45" s="16"/>
      <c r="DN45" s="16"/>
      <c r="DO45" s="16"/>
      <c r="DP45" s="16"/>
      <c r="DQ45" s="47"/>
      <c r="DR45" s="47"/>
      <c r="DS45" s="47"/>
      <c r="DT45" s="47"/>
      <c r="DU45" s="47"/>
      <c r="DV45" s="48"/>
      <c r="DW45" s="33"/>
      <c r="DX45" s="33"/>
      <c r="DY45" s="33"/>
      <c r="DZ45" s="33"/>
      <c r="EA45" s="33"/>
      <c r="EB45" s="33"/>
      <c r="EC45" s="16"/>
      <c r="ED45" s="16"/>
      <c r="EE45" s="16"/>
      <c r="EF45" s="16"/>
      <c r="EG45" s="16"/>
      <c r="EH45" s="16"/>
      <c r="EI45" s="47"/>
      <c r="EJ45" s="47"/>
      <c r="EK45" s="47"/>
      <c r="EL45" s="47"/>
      <c r="EM45" s="47"/>
      <c r="EN45" s="48"/>
      <c r="EO45" s="33"/>
      <c r="EP45" s="33"/>
      <c r="EQ45" s="33"/>
      <c r="ER45" s="33"/>
      <c r="ES45" s="33"/>
      <c r="ET45" s="33"/>
      <c r="EU45" s="16"/>
      <c r="EV45" s="16"/>
      <c r="EW45" s="16"/>
      <c r="EX45" s="16"/>
      <c r="EY45" s="16"/>
      <c r="EZ45" s="16"/>
      <c r="FA45" s="47"/>
      <c r="FB45" s="47"/>
      <c r="FC45" s="47"/>
      <c r="FD45" s="47"/>
      <c r="FE45" s="47"/>
      <c r="FF45" s="48"/>
      <c r="FG45" s="33"/>
      <c r="FH45" s="33"/>
      <c r="FI45" s="33"/>
      <c r="FJ45" s="33"/>
      <c r="FK45" s="33"/>
      <c r="FL45" s="33"/>
      <c r="FM45" s="16"/>
      <c r="FN45" s="16"/>
      <c r="FO45" s="16"/>
      <c r="FP45" s="16"/>
      <c r="FQ45" s="16"/>
      <c r="FR45" s="16"/>
      <c r="FS45" s="47"/>
      <c r="FT45" s="47"/>
      <c r="FU45" s="47"/>
      <c r="FV45" s="47"/>
      <c r="FW45" s="47"/>
      <c r="FX45" s="48"/>
      <c r="FY45" s="33"/>
      <c r="FZ45" s="33"/>
      <c r="GA45" s="33"/>
      <c r="GB45" s="33"/>
      <c r="GC45" s="33"/>
      <c r="GD45" s="33"/>
      <c r="GE45" s="16"/>
      <c r="GF45" s="16"/>
      <c r="GG45" s="16"/>
      <c r="GH45" s="16"/>
      <c r="GI45" s="16"/>
      <c r="GJ45" s="16"/>
      <c r="GK45" s="47"/>
      <c r="GL45" s="47"/>
      <c r="GM45" s="47"/>
      <c r="GN45" s="47"/>
      <c r="GO45" s="47"/>
      <c r="GP45" s="48"/>
    </row>
    <row r="46" spans="1:198" ht="7.35" customHeight="1" thickTop="1" thickBot="1" x14ac:dyDescent="0.3">
      <c r="A46" s="41"/>
      <c r="B46" s="41"/>
      <c r="C46" s="41"/>
      <c r="D46" s="41"/>
      <c r="E46" s="41"/>
      <c r="F46" s="41"/>
      <c r="G46" s="41"/>
      <c r="H46" s="41"/>
      <c r="I46" s="41"/>
      <c r="J46" s="41"/>
      <c r="K46" s="41"/>
      <c r="L46" s="41"/>
      <c r="M46" s="49"/>
      <c r="N46" s="49"/>
      <c r="O46" s="49"/>
      <c r="P46" s="49"/>
      <c r="Q46" s="49"/>
      <c r="R46" s="50"/>
      <c r="S46" s="41"/>
      <c r="T46" s="41"/>
      <c r="U46" s="41"/>
      <c r="V46" s="41"/>
      <c r="W46" s="41"/>
      <c r="X46" s="41"/>
      <c r="Y46" s="41"/>
      <c r="Z46" s="41"/>
      <c r="AA46" s="41"/>
      <c r="AB46" s="41"/>
      <c r="AC46" s="41"/>
      <c r="AD46" s="41"/>
      <c r="AE46" s="49"/>
      <c r="AF46" s="49"/>
      <c r="AG46" s="49"/>
      <c r="AH46" s="49"/>
      <c r="AI46" s="49"/>
      <c r="AJ46" s="50"/>
      <c r="AK46" s="41"/>
      <c r="AL46" s="41"/>
      <c r="AM46" s="41"/>
      <c r="AN46" s="41"/>
      <c r="AO46" s="41"/>
      <c r="AP46" s="41"/>
      <c r="AQ46" s="41"/>
      <c r="AR46" s="41"/>
      <c r="AS46" s="41"/>
      <c r="AT46" s="41"/>
      <c r="AU46" s="41"/>
      <c r="AV46" s="41"/>
      <c r="AW46" s="49"/>
      <c r="AX46" s="49"/>
      <c r="AY46" s="49"/>
      <c r="AZ46" s="49"/>
      <c r="BA46" s="49"/>
      <c r="BB46" s="50"/>
      <c r="BC46" s="41"/>
      <c r="BD46" s="41"/>
      <c r="BE46" s="41"/>
      <c r="BF46" s="41"/>
      <c r="BG46" s="41"/>
      <c r="BH46" s="41"/>
      <c r="BI46" s="41"/>
      <c r="BJ46" s="41"/>
      <c r="BK46" s="41"/>
      <c r="BL46" s="41"/>
      <c r="BM46" s="41"/>
      <c r="BN46" s="41"/>
      <c r="BO46" s="49"/>
      <c r="BP46" s="49"/>
      <c r="BQ46" s="49"/>
      <c r="BR46" s="49"/>
      <c r="BS46" s="49"/>
      <c r="BT46" s="50"/>
      <c r="BU46" s="41"/>
      <c r="BV46" s="41"/>
      <c r="BW46" s="41"/>
      <c r="BX46" s="41"/>
      <c r="BY46" s="41"/>
      <c r="BZ46" s="41"/>
      <c r="CA46" s="41"/>
      <c r="CB46" s="41"/>
      <c r="CC46" s="41"/>
      <c r="CD46" s="41"/>
      <c r="CE46" s="41"/>
      <c r="CF46" s="41"/>
      <c r="CG46" s="49"/>
      <c r="CH46" s="49"/>
      <c r="CI46" s="49"/>
      <c r="CJ46" s="49"/>
      <c r="CK46" s="49"/>
      <c r="CL46" s="50"/>
      <c r="CM46" s="41"/>
      <c r="CN46" s="41"/>
      <c r="CO46" s="41"/>
      <c r="CP46" s="41"/>
      <c r="CQ46" s="41"/>
      <c r="CR46" s="41"/>
      <c r="CS46" s="41"/>
      <c r="CT46" s="41"/>
      <c r="CU46" s="41"/>
      <c r="CV46" s="41"/>
      <c r="CW46" s="41"/>
      <c r="CX46" s="41"/>
      <c r="CY46" s="49"/>
      <c r="CZ46" s="49"/>
      <c r="DA46" s="49"/>
      <c r="DB46" s="49"/>
      <c r="DC46" s="49"/>
      <c r="DD46" s="50"/>
      <c r="DE46" s="41"/>
      <c r="DF46" s="41"/>
      <c r="DG46" s="41"/>
      <c r="DH46" s="41"/>
      <c r="DI46" s="41"/>
      <c r="DJ46" s="41"/>
      <c r="DK46" s="41"/>
      <c r="DL46" s="41"/>
      <c r="DM46" s="41"/>
      <c r="DN46" s="41"/>
      <c r="DO46" s="41"/>
      <c r="DP46" s="41"/>
      <c r="DQ46" s="49"/>
      <c r="DR46" s="49"/>
      <c r="DS46" s="49"/>
      <c r="DT46" s="49"/>
      <c r="DU46" s="49"/>
      <c r="DV46" s="50"/>
      <c r="DW46" s="41"/>
      <c r="DX46" s="41"/>
      <c r="DY46" s="41"/>
      <c r="DZ46" s="41"/>
      <c r="EA46" s="41"/>
      <c r="EB46" s="41"/>
      <c r="EC46" s="41"/>
      <c r="ED46" s="41"/>
      <c r="EE46" s="41"/>
      <c r="EF46" s="41"/>
      <c r="EG46" s="41"/>
      <c r="EH46" s="41"/>
      <c r="EI46" s="49"/>
      <c r="EJ46" s="49"/>
      <c r="EK46" s="49"/>
      <c r="EL46" s="49"/>
      <c r="EM46" s="49"/>
      <c r="EN46" s="50"/>
      <c r="EO46" s="41"/>
      <c r="EP46" s="41"/>
      <c r="EQ46" s="41"/>
      <c r="ER46" s="41"/>
      <c r="ES46" s="41"/>
      <c r="ET46" s="41"/>
      <c r="EU46" s="41"/>
      <c r="EV46" s="41"/>
      <c r="EW46" s="41"/>
      <c r="EX46" s="41"/>
      <c r="EY46" s="41"/>
      <c r="EZ46" s="41"/>
      <c r="FA46" s="49"/>
      <c r="FB46" s="49"/>
      <c r="FC46" s="49"/>
      <c r="FD46" s="49"/>
      <c r="FE46" s="49"/>
      <c r="FF46" s="50"/>
      <c r="FG46" s="41"/>
      <c r="FH46" s="41"/>
      <c r="FI46" s="41"/>
      <c r="FJ46" s="41"/>
      <c r="FK46" s="41"/>
      <c r="FL46" s="41"/>
      <c r="FM46" s="41"/>
      <c r="FN46" s="41"/>
      <c r="FO46" s="41"/>
      <c r="FP46" s="41"/>
      <c r="FQ46" s="41"/>
      <c r="FR46" s="41"/>
      <c r="FS46" s="49"/>
      <c r="FT46" s="49"/>
      <c r="FU46" s="49"/>
      <c r="FV46" s="49"/>
      <c r="FW46" s="49"/>
      <c r="FX46" s="50"/>
      <c r="FY46" s="41"/>
      <c r="FZ46" s="41"/>
      <c r="GA46" s="41"/>
      <c r="GB46" s="41"/>
      <c r="GC46" s="41"/>
      <c r="GD46" s="41"/>
      <c r="GE46" s="41"/>
      <c r="GF46" s="41"/>
      <c r="GG46" s="41"/>
      <c r="GH46" s="41"/>
      <c r="GI46" s="41"/>
      <c r="GJ46" s="41"/>
      <c r="GK46" s="49"/>
      <c r="GL46" s="49"/>
      <c r="GM46" s="49"/>
      <c r="GN46" s="49"/>
      <c r="GO46" s="49"/>
      <c r="GP46" s="50"/>
    </row>
    <row r="47" spans="1:198" ht="15.6" customHeight="1" thickTop="1" x14ac:dyDescent="0.25">
      <c r="A47" s="271" t="s">
        <v>95</v>
      </c>
      <c r="B47" s="272"/>
      <c r="C47" s="272"/>
      <c r="D47" s="272"/>
      <c r="E47" s="273" t="str">
        <f>IFERROR(VLOOKUP(A47,SKV!$B$85:$K$92,4,FALSE),"")</f>
        <v>trenér</v>
      </c>
      <c r="F47" s="273"/>
      <c r="G47" s="273"/>
      <c r="H47" s="273"/>
      <c r="I47" s="274"/>
      <c r="J47" s="275" t="s">
        <v>96</v>
      </c>
      <c r="K47" s="272"/>
      <c r="L47" s="272"/>
      <c r="M47" s="272"/>
      <c r="N47" s="273" t="str">
        <f>IFERROR(VLOOKUP(J47,SKV!$B$85:$K$92,4,FALSE),"")</f>
        <v>trenér</v>
      </c>
      <c r="O47" s="273"/>
      <c r="P47" s="273"/>
      <c r="Q47" s="273"/>
      <c r="R47" s="274"/>
      <c r="S47" s="271" t="s">
        <v>187</v>
      </c>
      <c r="T47" s="272"/>
      <c r="U47" s="272"/>
      <c r="V47" s="272"/>
      <c r="W47" s="273" t="str">
        <f>IFERROR(VLOOKUP(S47,CHO!$B$85:$K$92,4,FALSE),"")</f>
        <v>hlavní trenér</v>
      </c>
      <c r="X47" s="273"/>
      <c r="Y47" s="273"/>
      <c r="Z47" s="273"/>
      <c r="AA47" s="274"/>
      <c r="AB47" s="275" t="s">
        <v>193</v>
      </c>
      <c r="AC47" s="272"/>
      <c r="AD47" s="272"/>
      <c r="AE47" s="272"/>
      <c r="AF47" s="273" t="str">
        <f>IFERROR(VLOOKUP(AB47,CHO!$B$85:$K$92,4,FALSE),"")</f>
        <v>asistent trenéra</v>
      </c>
      <c r="AG47" s="273"/>
      <c r="AH47" s="273"/>
      <c r="AI47" s="273"/>
      <c r="AJ47" s="274"/>
      <c r="AK47" s="271" t="s">
        <v>273</v>
      </c>
      <c r="AL47" s="272"/>
      <c r="AM47" s="272"/>
      <c r="AN47" s="272"/>
      <c r="AO47" s="273" t="str">
        <f>IFERROR(VLOOKUP(AK47,VIT!$B$85:$K$92,4,FALSE),"")</f>
        <v>hlavní trenér</v>
      </c>
      <c r="AP47" s="273"/>
      <c r="AQ47" s="273"/>
      <c r="AR47" s="273"/>
      <c r="AS47" s="274"/>
      <c r="AT47" s="275" t="s">
        <v>275</v>
      </c>
      <c r="AU47" s="272"/>
      <c r="AV47" s="272"/>
      <c r="AW47" s="272"/>
      <c r="AX47" s="273" t="str">
        <f>IFERROR(VLOOKUP(AT47,VIT!$B$85:$K$92,4,FALSE),"")</f>
        <v>asistent trenéra</v>
      </c>
      <c r="AY47" s="273"/>
      <c r="AZ47" s="273"/>
      <c r="BA47" s="273"/>
      <c r="BB47" s="274"/>
      <c r="BC47" s="271" t="s">
        <v>317</v>
      </c>
      <c r="BD47" s="272"/>
      <c r="BE47" s="272"/>
      <c r="BF47" s="272"/>
      <c r="BG47" s="273" t="str">
        <f>IFERROR(VLOOKUP(BC47,MB!$B$85:$K$92,4,FALSE),"")</f>
        <v>hlavní trenér</v>
      </c>
      <c r="BH47" s="273"/>
      <c r="BI47" s="273"/>
      <c r="BJ47" s="273"/>
      <c r="BK47" s="274"/>
      <c r="BL47" s="275" t="s">
        <v>321</v>
      </c>
      <c r="BM47" s="272"/>
      <c r="BN47" s="272"/>
      <c r="BO47" s="272"/>
      <c r="BP47" s="273" t="str">
        <f>IFERROR(VLOOKUP(BL47,MB!$B$85:$K$92,4,FALSE),"")</f>
        <v>asistent trenéra</v>
      </c>
      <c r="BQ47" s="273"/>
      <c r="BR47" s="273"/>
      <c r="BS47" s="273"/>
      <c r="BT47" s="274"/>
      <c r="BU47" s="271"/>
      <c r="BV47" s="272"/>
      <c r="BW47" s="272"/>
      <c r="BX47" s="272"/>
      <c r="BY47" s="273" t="str">
        <f>IFERROR(VLOOKUP(BU47,TAT!$B$85:$K$92,4,FALSE),"")</f>
        <v/>
      </c>
      <c r="BZ47" s="273"/>
      <c r="CA47" s="273"/>
      <c r="CB47" s="273"/>
      <c r="CC47" s="274"/>
      <c r="CD47" s="275"/>
      <c r="CE47" s="272"/>
      <c r="CF47" s="272"/>
      <c r="CG47" s="272"/>
      <c r="CH47" s="273" t="str">
        <f>IFERROR(VLOOKUP(CD47,TAT!$B$85:$K$92,4,FALSE),"")</f>
        <v/>
      </c>
      <c r="CI47" s="273"/>
      <c r="CJ47" s="273"/>
      <c r="CK47" s="273"/>
      <c r="CL47" s="274"/>
      <c r="CM47" s="271" t="s">
        <v>459</v>
      </c>
      <c r="CN47" s="272"/>
      <c r="CO47" s="272"/>
      <c r="CP47" s="272"/>
      <c r="CQ47" s="273" t="str">
        <f>IFERROR(VLOOKUP(CM47,OTR!$B$85:$K$92,4,FALSE),"")</f>
        <v>hlavní trenér</v>
      </c>
      <c r="CR47" s="273"/>
      <c r="CS47" s="273"/>
      <c r="CT47" s="273"/>
      <c r="CU47" s="274"/>
      <c r="CV47" s="275" t="s">
        <v>460</v>
      </c>
      <c r="CW47" s="272"/>
      <c r="CX47" s="272"/>
      <c r="CY47" s="272"/>
      <c r="CZ47" s="273" t="str">
        <f>IFERROR(VLOOKUP(CV47,OTR!$B$85:$K$92,4,FALSE),"")</f>
        <v>asistent trenéra</v>
      </c>
      <c r="DA47" s="273"/>
      <c r="DB47" s="273"/>
      <c r="DC47" s="273"/>
      <c r="DD47" s="274"/>
      <c r="DE47" s="271" t="s">
        <v>580</v>
      </c>
      <c r="DF47" s="272"/>
      <c r="DG47" s="272"/>
      <c r="DH47" s="272"/>
      <c r="DI47" s="273" t="str">
        <f>IFERROR(VLOOKUP(DE47,BOH!$B$85:$K$92,4,FALSE),"")</f>
        <v>hlavní trenér</v>
      </c>
      <c r="DJ47" s="273"/>
      <c r="DK47" s="273"/>
      <c r="DL47" s="273"/>
      <c r="DM47" s="274"/>
      <c r="DN47" s="275" t="s">
        <v>582</v>
      </c>
      <c r="DO47" s="272"/>
      <c r="DP47" s="272"/>
      <c r="DQ47" s="272"/>
      <c r="DR47" s="273" t="str">
        <f>IFERROR(VLOOKUP(DN47,BOH!$B$85:$K$92,4,FALSE),"")</f>
        <v>asistent trenéra</v>
      </c>
      <c r="DS47" s="273"/>
      <c r="DT47" s="273"/>
      <c r="DU47" s="273"/>
      <c r="DV47" s="274"/>
      <c r="DW47" s="271"/>
      <c r="DX47" s="272"/>
      <c r="DY47" s="272"/>
      <c r="DZ47" s="272"/>
      <c r="EA47" s="273" t="str">
        <f>IFERROR(VLOOKUP(DW47,SPA!$B$85:$K$92,4,FALSE),"")</f>
        <v/>
      </c>
      <c r="EB47" s="273"/>
      <c r="EC47" s="273"/>
      <c r="ED47" s="273"/>
      <c r="EE47" s="274"/>
      <c r="EF47" s="275"/>
      <c r="EG47" s="272"/>
      <c r="EH47" s="272"/>
      <c r="EI47" s="272"/>
      <c r="EJ47" s="273" t="str">
        <f>IFERROR(VLOOKUP(EF47,SPA!$B$85:$K$92,4,FALSE),"")</f>
        <v/>
      </c>
      <c r="EK47" s="273"/>
      <c r="EL47" s="273"/>
      <c r="EM47" s="273"/>
      <c r="EN47" s="274"/>
      <c r="EO47" s="271"/>
      <c r="EP47" s="272"/>
      <c r="EQ47" s="272"/>
      <c r="ER47" s="272"/>
      <c r="ES47" s="273" t="str">
        <f>IFERROR(VLOOKUP(EO47,CLP!$B$85:$K$92,4,FALSE),"")</f>
        <v/>
      </c>
      <c r="ET47" s="273"/>
      <c r="EU47" s="273"/>
      <c r="EV47" s="273"/>
      <c r="EW47" s="274"/>
      <c r="EX47" s="275"/>
      <c r="EY47" s="272"/>
      <c r="EZ47" s="272"/>
      <c r="FA47" s="272"/>
      <c r="FB47" s="273" t="str">
        <f>IFERROR(VLOOKUP(EX47,CLP!$B$85:$K$92,4,FALSE),"")</f>
        <v/>
      </c>
      <c r="FC47" s="273"/>
      <c r="FD47" s="273"/>
      <c r="FE47" s="273"/>
      <c r="FF47" s="274"/>
      <c r="FG47" s="271" t="s">
        <v>822</v>
      </c>
      <c r="FH47" s="272"/>
      <c r="FI47" s="272"/>
      <c r="FJ47" s="272"/>
      <c r="FK47" s="273" t="str">
        <f>IFERROR(VLOOKUP(FG47,LIB!$B$85:$K$92,4,FALSE),"")</f>
        <v>hlavní trenér</v>
      </c>
      <c r="FL47" s="273"/>
      <c r="FM47" s="273"/>
      <c r="FN47" s="273"/>
      <c r="FO47" s="274"/>
      <c r="FP47" s="275" t="s">
        <v>823</v>
      </c>
      <c r="FQ47" s="272"/>
      <c r="FR47" s="272"/>
      <c r="FS47" s="272"/>
      <c r="FT47" s="273" t="str">
        <f>IFERROR(VLOOKUP(FP47,LIB!$B$85:$K$92,4,FALSE),"")</f>
        <v>asistent trenéra</v>
      </c>
      <c r="FU47" s="273"/>
      <c r="FV47" s="273"/>
      <c r="FW47" s="273"/>
      <c r="FX47" s="274"/>
      <c r="FY47" s="271"/>
      <c r="FZ47" s="272"/>
      <c r="GA47" s="272"/>
      <c r="GB47" s="272"/>
      <c r="GC47" s="273" t="str">
        <f>IFERROR(VLOOKUP(FY47,HAT!$B$85:$K$92,4,FALSE),"")</f>
        <v/>
      </c>
      <c r="GD47" s="273"/>
      <c r="GE47" s="273"/>
      <c r="GF47" s="273"/>
      <c r="GG47" s="274"/>
      <c r="GH47" s="275"/>
      <c r="GI47" s="272"/>
      <c r="GJ47" s="272"/>
      <c r="GK47" s="272"/>
      <c r="GL47" s="273" t="str">
        <f>IFERROR(VLOOKUP(GH47,HAT!$B$85:$K$92,4,FALSE),"")</f>
        <v/>
      </c>
      <c r="GM47" s="273"/>
      <c r="GN47" s="273"/>
      <c r="GO47" s="273"/>
      <c r="GP47" s="274"/>
    </row>
    <row r="48" spans="1:198" ht="15.6" customHeight="1" thickBot="1" x14ac:dyDescent="0.3">
      <c r="A48" s="276">
        <f ca="1">IFERROR(VLOOKUP(A47,SKV!$B$85:$K$92,3,FALSE),"")</f>
        <v>37</v>
      </c>
      <c r="B48" s="278" t="str">
        <f>IFERROR(VLOOKUP(A47,SKV!$B$85:$K$92,6,FALSE),"")</f>
        <v>vicemistr světa (2004), all-star tým juniorského MS, 2x mistr české ligy (Chodov)</v>
      </c>
      <c r="C48" s="278"/>
      <c r="D48" s="278"/>
      <c r="E48" s="278"/>
      <c r="F48" s="278"/>
      <c r="G48" s="278"/>
      <c r="H48" s="278"/>
      <c r="I48" s="279"/>
      <c r="J48" s="51">
        <f ca="1">IFERROR(VLOOKUP(J47,SKV!$B$85:$K$92,3,FALSE),"")</f>
        <v>35</v>
      </c>
      <c r="K48" s="282" t="str">
        <f>IFERROR(VLOOKUP(J47,SKV!$B$85:$K$92,6,FALSE),"")</f>
        <v>2x mistr české ligy (Chodov)</v>
      </c>
      <c r="L48" s="282"/>
      <c r="M48" s="282"/>
      <c r="N48" s="282"/>
      <c r="O48" s="282"/>
      <c r="P48" s="282"/>
      <c r="Q48" s="282"/>
      <c r="R48" s="283"/>
      <c r="S48" s="276">
        <f ca="1">IFERROR(VLOOKUP(S47,CHO!$B$85:$K$92,3,FALSE),"")</f>
        <v>34</v>
      </c>
      <c r="T48" s="278" t="str">
        <f>IFERROR(VLOOKUP(S47,CHO!$B$85:$K$92,6,FALSE),"")</f>
        <v>mistr české ligy (Tatran), 2x vítěz Poháru (Tatran, Chodov), 2x mistr ligy (trenér)</v>
      </c>
      <c r="U48" s="278"/>
      <c r="V48" s="278"/>
      <c r="W48" s="278"/>
      <c r="X48" s="278"/>
      <c r="Y48" s="278"/>
      <c r="Z48" s="278"/>
      <c r="AA48" s="279"/>
      <c r="AB48" s="133">
        <f ca="1">IFERROR(VLOOKUP(AB47,CHO!$B$85:$K$92,3,FALSE),"")</f>
        <v>42</v>
      </c>
      <c r="AC48" s="282" t="str">
        <f>IFERROR(VLOOKUP(AB47,CHO!$B$85:$K$92,6,FALSE),"")</f>
        <v>mistr české ligy, stříbro z MS juniorů</v>
      </c>
      <c r="AD48" s="282"/>
      <c r="AE48" s="282"/>
      <c r="AF48" s="282"/>
      <c r="AG48" s="282"/>
      <c r="AH48" s="282"/>
      <c r="AI48" s="282"/>
      <c r="AJ48" s="283"/>
      <c r="AK48" s="276">
        <f ca="1">IFERROR(VLOOKUP(AK47,VIT!$B$85:$K$92,3,FALSE),"")</f>
        <v>34</v>
      </c>
      <c r="AL48" s="278" t="str">
        <f>IFERROR(VLOOKUP(AK47,VIT!$B$85:$K$92,6,FALSE),"")</f>
        <v>3x mistr české ligy, 2x vítěz Poháru ČP</v>
      </c>
      <c r="AM48" s="278"/>
      <c r="AN48" s="278"/>
      <c r="AO48" s="278"/>
      <c r="AP48" s="278"/>
      <c r="AQ48" s="278"/>
      <c r="AR48" s="278"/>
      <c r="AS48" s="279"/>
      <c r="AT48" s="104">
        <f ca="1">IFERROR(VLOOKUP(AT47,VIT!$B$85:$K$92,3,FALSE),"")</f>
        <v>28</v>
      </c>
      <c r="AU48" s="282" t="str">
        <f>IFERROR(VLOOKUP(AT47,VIT!$B$85:$K$92,6,FALSE),"")</f>
        <v>-</v>
      </c>
      <c r="AV48" s="282"/>
      <c r="AW48" s="282"/>
      <c r="AX48" s="282"/>
      <c r="AY48" s="282"/>
      <c r="AZ48" s="282"/>
      <c r="BA48" s="282"/>
      <c r="BB48" s="283"/>
      <c r="BC48" s="276">
        <f ca="1">IFERROR(VLOOKUP(BC47,MB!$B$85:$K$92,3,FALSE),"")</f>
        <v>38</v>
      </c>
      <c r="BD48" s="278" t="str">
        <f>IFERROR(VLOOKUP(BC47,MB!$B$85:$K$92,6,FALSE),"")</f>
        <v>mistr české ligy, 3x vítěz Poháru, 2x 4. místo na MS</v>
      </c>
      <c r="BE48" s="278"/>
      <c r="BF48" s="278"/>
      <c r="BG48" s="278"/>
      <c r="BH48" s="278"/>
      <c r="BI48" s="278"/>
      <c r="BJ48" s="278"/>
      <c r="BK48" s="279"/>
      <c r="BL48" s="109">
        <f ca="1">IFERROR(VLOOKUP(BL47,MB!$B$85:$K$92,3,FALSE),"")</f>
        <v>37</v>
      </c>
      <c r="BM48" s="282" t="str">
        <f>IFERROR(VLOOKUP(BL47,MB!$B$85:$K$92,6,FALSE),"")</f>
        <v>5. místo v ZČ KB ligy juniorů (trenér)</v>
      </c>
      <c r="BN48" s="282"/>
      <c r="BO48" s="282"/>
      <c r="BP48" s="282"/>
      <c r="BQ48" s="282"/>
      <c r="BR48" s="282"/>
      <c r="BS48" s="282"/>
      <c r="BT48" s="283"/>
      <c r="BU48" s="276" t="str">
        <f>IFERROR(VLOOKUP(BU47,TAT!$B$85:$K$92,3,FALSE),"")</f>
        <v/>
      </c>
      <c r="BV48" s="278" t="str">
        <f>IFERROR(VLOOKUP(BU47,TAT!$B$85:$K$92,6,FALSE),"")</f>
        <v/>
      </c>
      <c r="BW48" s="278"/>
      <c r="BX48" s="278"/>
      <c r="BY48" s="278"/>
      <c r="BZ48" s="278"/>
      <c r="CA48" s="278"/>
      <c r="CB48" s="278"/>
      <c r="CC48" s="279"/>
      <c r="CD48" s="148" t="str">
        <f>IFERROR(VLOOKUP(CD47,TAT!$B$85:$K$92,3,FALSE),"")</f>
        <v/>
      </c>
      <c r="CE48" s="282" t="str">
        <f>IFERROR(VLOOKUP(CD47,TAT!$B$85:$K$92,6,FALSE),"")</f>
        <v/>
      </c>
      <c r="CF48" s="282"/>
      <c r="CG48" s="282"/>
      <c r="CH48" s="282"/>
      <c r="CI48" s="282"/>
      <c r="CJ48" s="282"/>
      <c r="CK48" s="282"/>
      <c r="CL48" s="283"/>
      <c r="CM48" s="276">
        <f ca="1">IFERROR(VLOOKUP(CM47,OTR!$B$85:$K$92,3,FALSE),"")</f>
        <v>46</v>
      </c>
      <c r="CN48" s="278" t="str">
        <f>IFERROR(VLOOKUP(CM47,OTR!$B$85:$K$92,6,FALSE),"")</f>
        <v>-</v>
      </c>
      <c r="CO48" s="278"/>
      <c r="CP48" s="278"/>
      <c r="CQ48" s="278"/>
      <c r="CR48" s="278"/>
      <c r="CS48" s="278"/>
      <c r="CT48" s="278"/>
      <c r="CU48" s="279"/>
      <c r="CV48" s="148">
        <f ca="1">IFERROR(VLOOKUP(CV47,OTR!$B$85:$K$92,3,FALSE),"")</f>
        <v>28</v>
      </c>
      <c r="CW48" s="282" t="str">
        <f>IFERROR(VLOOKUP(CV47,OTR!$B$85:$K$92,6,FALSE),"")</f>
        <v>-</v>
      </c>
      <c r="CX48" s="282"/>
      <c r="CY48" s="282"/>
      <c r="CZ48" s="282"/>
      <c r="DA48" s="282"/>
      <c r="DB48" s="282"/>
      <c r="DC48" s="282"/>
      <c r="DD48" s="283"/>
      <c r="DE48" s="276">
        <f ca="1">IFERROR(VLOOKUP(DE47,BOH!$B$85:$K$92,3,FALSE),"")</f>
        <v>40</v>
      </c>
      <c r="DF48" s="278" t="str">
        <f>IFERROR(VLOOKUP(DE47,BOH!$B$85:$K$92,6,FALSE),"")</f>
        <v>několikanásobný mistr ČR jako hráč</v>
      </c>
      <c r="DG48" s="278"/>
      <c r="DH48" s="278"/>
      <c r="DI48" s="278"/>
      <c r="DJ48" s="278"/>
      <c r="DK48" s="278"/>
      <c r="DL48" s="278"/>
      <c r="DM48" s="279"/>
      <c r="DN48" s="163">
        <f ca="1">IFERROR(VLOOKUP(DN47,BOH!$B$85:$K$92,3,FALSE),"")</f>
        <v>28</v>
      </c>
      <c r="DO48" s="282" t="str">
        <f>IFERROR(VLOOKUP(DN47,BOH!$B$85:$K$92,6,FALSE),"")</f>
        <v>trenér juniorských mistrů ČR</v>
      </c>
      <c r="DP48" s="282"/>
      <c r="DQ48" s="282"/>
      <c r="DR48" s="282"/>
      <c r="DS48" s="282"/>
      <c r="DT48" s="282"/>
      <c r="DU48" s="282"/>
      <c r="DV48" s="283"/>
      <c r="DW48" s="276" t="str">
        <f>IFERROR(VLOOKUP(DW47,SPA!$B$85:$K$92,3,FALSE),"")</f>
        <v/>
      </c>
      <c r="DX48" s="278" t="str">
        <f>IFERROR(VLOOKUP(DW47,SPA!$B$85:$K$92,6,FALSE),"")</f>
        <v/>
      </c>
      <c r="DY48" s="278"/>
      <c r="DZ48" s="278"/>
      <c r="EA48" s="278"/>
      <c r="EB48" s="278"/>
      <c r="EC48" s="278"/>
      <c r="ED48" s="278"/>
      <c r="EE48" s="279"/>
      <c r="EF48" s="163" t="str">
        <f>IFERROR(VLOOKUP(EF47,SPA!$B$85:$K$92,3,FALSE),"")</f>
        <v/>
      </c>
      <c r="EG48" s="282" t="str">
        <f>IFERROR(VLOOKUP(EF47,SPA!$B$85:$K$92,6,FALSE),"")</f>
        <v/>
      </c>
      <c r="EH48" s="282"/>
      <c r="EI48" s="282"/>
      <c r="EJ48" s="282"/>
      <c r="EK48" s="282"/>
      <c r="EL48" s="282"/>
      <c r="EM48" s="282"/>
      <c r="EN48" s="283"/>
      <c r="EO48" s="276" t="str">
        <f>IFERROR(VLOOKUP(EO47,CLP!$B$85:$K$92,3,FALSE),"")</f>
        <v/>
      </c>
      <c r="EP48" s="278" t="str">
        <f>IFERROR(VLOOKUP(EO47,CLP!$B$85:$K$92,6,FALSE),"")</f>
        <v/>
      </c>
      <c r="EQ48" s="278"/>
      <c r="ER48" s="278"/>
      <c r="ES48" s="278"/>
      <c r="ET48" s="278"/>
      <c r="EU48" s="278"/>
      <c r="EV48" s="278"/>
      <c r="EW48" s="279"/>
      <c r="EX48" s="202" t="str">
        <f>IFERROR(VLOOKUP(EX47,CLP!$B$85:$K$92,3,FALSE),"")</f>
        <v/>
      </c>
      <c r="EY48" s="282" t="str">
        <f>IFERROR(VLOOKUP(EX47,CLP!$B$85:$K$92,6,FALSE),"")</f>
        <v/>
      </c>
      <c r="EZ48" s="282"/>
      <c r="FA48" s="282"/>
      <c r="FB48" s="282"/>
      <c r="FC48" s="282"/>
      <c r="FD48" s="282"/>
      <c r="FE48" s="282"/>
      <c r="FF48" s="283"/>
      <c r="FG48" s="276">
        <f ca="1">IFERROR(VLOOKUP(FG47,LIB!$B$85:$K$92,3,FALSE),"")</f>
        <v>53</v>
      </c>
      <c r="FH48" s="278" t="str">
        <f>IFERROR(VLOOKUP(FG47,LIB!$B$85:$K$92,6,FALSE),"")</f>
        <v>stříbro a bronz z MS</v>
      </c>
      <c r="FI48" s="278"/>
      <c r="FJ48" s="278"/>
      <c r="FK48" s="278"/>
      <c r="FL48" s="278"/>
      <c r="FM48" s="278"/>
      <c r="FN48" s="278"/>
      <c r="FO48" s="279"/>
      <c r="FP48" s="202">
        <f ca="1">IFERROR(VLOOKUP(FP47,LIB!$B$85:$K$92,3,FALSE),"")</f>
        <v>26</v>
      </c>
      <c r="FQ48" s="282" t="str">
        <f>IFERROR(VLOOKUP(FP47,LIB!$B$85:$K$92,6,FALSE),"")</f>
        <v>-</v>
      </c>
      <c r="FR48" s="282"/>
      <c r="FS48" s="282"/>
      <c r="FT48" s="282"/>
      <c r="FU48" s="282"/>
      <c r="FV48" s="282"/>
      <c r="FW48" s="282"/>
      <c r="FX48" s="283"/>
      <c r="FY48" s="276" t="str">
        <f>IFERROR(VLOOKUP(FY47,HAT!$B$85:$K$92,3,FALSE),"")</f>
        <v/>
      </c>
      <c r="FZ48" s="278" t="str">
        <f>IFERROR(VLOOKUP(FY47,HAT!$B$85:$K$92,6,FALSE),"")</f>
        <v/>
      </c>
      <c r="GA48" s="278"/>
      <c r="GB48" s="278"/>
      <c r="GC48" s="278"/>
      <c r="GD48" s="278"/>
      <c r="GE48" s="278"/>
      <c r="GF48" s="278"/>
      <c r="GG48" s="279"/>
      <c r="GH48" s="210" t="str">
        <f>IFERROR(VLOOKUP(GH47,HAT!$B$85:$K$92,3,FALSE),"")</f>
        <v/>
      </c>
      <c r="GI48" s="282" t="str">
        <f>IFERROR(VLOOKUP(GH47,HAT!$B$85:$K$92,6,FALSE),"")</f>
        <v/>
      </c>
      <c r="GJ48" s="282"/>
      <c r="GK48" s="282"/>
      <c r="GL48" s="282"/>
      <c r="GM48" s="282"/>
      <c r="GN48" s="282"/>
      <c r="GO48" s="282"/>
      <c r="GP48" s="283"/>
    </row>
    <row r="49" spans="1:198" ht="15.6" customHeight="1" thickTop="1" x14ac:dyDescent="0.25">
      <c r="A49" s="276"/>
      <c r="B49" s="278"/>
      <c r="C49" s="278"/>
      <c r="D49" s="278"/>
      <c r="E49" s="278"/>
      <c r="F49" s="278"/>
      <c r="G49" s="278"/>
      <c r="H49" s="278"/>
      <c r="I49" s="279"/>
      <c r="J49" s="284" t="s">
        <v>587</v>
      </c>
      <c r="K49" s="285"/>
      <c r="L49" s="285"/>
      <c r="M49" s="285"/>
      <c r="N49" s="273" t="str">
        <f>IFERROR(VLOOKUP(J49,SKV!$B$85:$K$92,4,FALSE),"")</f>
        <v>sportovní ředitel</v>
      </c>
      <c r="O49" s="273"/>
      <c r="P49" s="273"/>
      <c r="Q49" s="273"/>
      <c r="R49" s="274"/>
      <c r="S49" s="276"/>
      <c r="T49" s="278"/>
      <c r="U49" s="278"/>
      <c r="V49" s="278"/>
      <c r="W49" s="278"/>
      <c r="X49" s="278"/>
      <c r="Y49" s="278"/>
      <c r="Z49" s="278"/>
      <c r="AA49" s="279"/>
      <c r="AB49" s="284" t="s">
        <v>196</v>
      </c>
      <c r="AC49" s="285"/>
      <c r="AD49" s="285"/>
      <c r="AE49" s="285"/>
      <c r="AF49" s="273" t="str">
        <f>IFERROR(VLOOKUP(AB49,CHO!$B$85:$K$92,4,FALSE),"")</f>
        <v>vedoucí týmu</v>
      </c>
      <c r="AG49" s="273"/>
      <c r="AH49" s="273"/>
      <c r="AI49" s="273"/>
      <c r="AJ49" s="274"/>
      <c r="AK49" s="276"/>
      <c r="AL49" s="278"/>
      <c r="AM49" s="278"/>
      <c r="AN49" s="278"/>
      <c r="AO49" s="278"/>
      <c r="AP49" s="278"/>
      <c r="AQ49" s="278"/>
      <c r="AR49" s="278"/>
      <c r="AS49" s="279"/>
      <c r="AT49" s="284" t="s">
        <v>278</v>
      </c>
      <c r="AU49" s="285"/>
      <c r="AV49" s="285"/>
      <c r="AW49" s="285"/>
      <c r="AX49" s="273" t="str">
        <f>IFERROR(VLOOKUP(AT49,VIT!$B$85:$K$92,4,FALSE),"")</f>
        <v>vedoucí družstva</v>
      </c>
      <c r="AY49" s="273"/>
      <c r="AZ49" s="273"/>
      <c r="BA49" s="273"/>
      <c r="BB49" s="274"/>
      <c r="BC49" s="276"/>
      <c r="BD49" s="278"/>
      <c r="BE49" s="278"/>
      <c r="BF49" s="278"/>
      <c r="BG49" s="278"/>
      <c r="BH49" s="278"/>
      <c r="BI49" s="278"/>
      <c r="BJ49" s="278"/>
      <c r="BK49" s="279"/>
      <c r="BL49" s="284" t="s">
        <v>319</v>
      </c>
      <c r="BM49" s="285"/>
      <c r="BN49" s="285"/>
      <c r="BO49" s="285"/>
      <c r="BP49" s="273" t="str">
        <f>IFERROR(VLOOKUP(BL49,MB!$B$85:$K$92,4,FALSE),"")</f>
        <v>kondiční trenér</v>
      </c>
      <c r="BQ49" s="273"/>
      <c r="BR49" s="273"/>
      <c r="BS49" s="273"/>
      <c r="BT49" s="274"/>
      <c r="BU49" s="276"/>
      <c r="BV49" s="278"/>
      <c r="BW49" s="278"/>
      <c r="BX49" s="278"/>
      <c r="BY49" s="278"/>
      <c r="BZ49" s="278"/>
      <c r="CA49" s="278"/>
      <c r="CB49" s="278"/>
      <c r="CC49" s="279"/>
      <c r="CD49" s="284"/>
      <c r="CE49" s="285"/>
      <c r="CF49" s="285"/>
      <c r="CG49" s="285"/>
      <c r="CH49" s="273" t="str">
        <f>IFERROR(VLOOKUP(CD49,TAT!$B$85:$K$92,4,FALSE),"")</f>
        <v/>
      </c>
      <c r="CI49" s="273"/>
      <c r="CJ49" s="273"/>
      <c r="CK49" s="273"/>
      <c r="CL49" s="274"/>
      <c r="CM49" s="276"/>
      <c r="CN49" s="278"/>
      <c r="CO49" s="278"/>
      <c r="CP49" s="278"/>
      <c r="CQ49" s="278"/>
      <c r="CR49" s="278"/>
      <c r="CS49" s="278"/>
      <c r="CT49" s="278"/>
      <c r="CU49" s="279"/>
      <c r="CV49" s="284" t="s">
        <v>461</v>
      </c>
      <c r="CW49" s="285"/>
      <c r="CX49" s="285"/>
      <c r="CY49" s="285"/>
      <c r="CZ49" s="273" t="str">
        <f>IFERROR(VLOOKUP(CV49,OTR!$B$85:$K$92,4,FALSE),"")</f>
        <v>kondiční trenér</v>
      </c>
      <c r="DA49" s="273"/>
      <c r="DB49" s="273"/>
      <c r="DC49" s="273"/>
      <c r="DD49" s="274"/>
      <c r="DE49" s="276"/>
      <c r="DF49" s="278"/>
      <c r="DG49" s="278"/>
      <c r="DH49" s="278"/>
      <c r="DI49" s="278"/>
      <c r="DJ49" s="278"/>
      <c r="DK49" s="278"/>
      <c r="DL49" s="278"/>
      <c r="DM49" s="279"/>
      <c r="DN49" s="284" t="s">
        <v>584</v>
      </c>
      <c r="DO49" s="285"/>
      <c r="DP49" s="285"/>
      <c r="DQ49" s="285"/>
      <c r="DR49" s="273" t="str">
        <f>IFERROR(VLOOKUP(DN49,BOH!$B$85:$K$92,4,FALSE),"")</f>
        <v>asistent trenéra</v>
      </c>
      <c r="DS49" s="273"/>
      <c r="DT49" s="273"/>
      <c r="DU49" s="273"/>
      <c r="DV49" s="274"/>
      <c r="DW49" s="276"/>
      <c r="DX49" s="278"/>
      <c r="DY49" s="278"/>
      <c r="DZ49" s="278"/>
      <c r="EA49" s="278"/>
      <c r="EB49" s="278"/>
      <c r="EC49" s="278"/>
      <c r="ED49" s="278"/>
      <c r="EE49" s="279"/>
      <c r="EF49" s="284"/>
      <c r="EG49" s="285"/>
      <c r="EH49" s="285"/>
      <c r="EI49" s="285"/>
      <c r="EJ49" s="273" t="str">
        <f>IFERROR(VLOOKUP(EF49,SPA!$B$85:$K$92,4,FALSE),"")</f>
        <v/>
      </c>
      <c r="EK49" s="273"/>
      <c r="EL49" s="273"/>
      <c r="EM49" s="273"/>
      <c r="EN49" s="274"/>
      <c r="EO49" s="276"/>
      <c r="EP49" s="278"/>
      <c r="EQ49" s="278"/>
      <c r="ER49" s="278"/>
      <c r="ES49" s="278"/>
      <c r="ET49" s="278"/>
      <c r="EU49" s="278"/>
      <c r="EV49" s="278"/>
      <c r="EW49" s="279"/>
      <c r="EX49" s="284"/>
      <c r="EY49" s="285"/>
      <c r="EZ49" s="285"/>
      <c r="FA49" s="285"/>
      <c r="FB49" s="273" t="str">
        <f>IFERROR(VLOOKUP(EX49,CLP!$B$85:$K$92,4,FALSE),"")</f>
        <v/>
      </c>
      <c r="FC49" s="273"/>
      <c r="FD49" s="273"/>
      <c r="FE49" s="273"/>
      <c r="FF49" s="274"/>
      <c r="FG49" s="276"/>
      <c r="FH49" s="278"/>
      <c r="FI49" s="278"/>
      <c r="FJ49" s="278"/>
      <c r="FK49" s="278"/>
      <c r="FL49" s="278"/>
      <c r="FM49" s="278"/>
      <c r="FN49" s="278"/>
      <c r="FO49" s="279"/>
      <c r="FP49" s="284" t="s">
        <v>824</v>
      </c>
      <c r="FQ49" s="285"/>
      <c r="FR49" s="285"/>
      <c r="FS49" s="285"/>
      <c r="FT49" s="273" t="str">
        <f>IFERROR(VLOOKUP(FP49,LIB!$B$85:$K$92,4,FALSE),"")</f>
        <v>kondiční trenér</v>
      </c>
      <c r="FU49" s="273"/>
      <c r="FV49" s="273"/>
      <c r="FW49" s="273"/>
      <c r="FX49" s="274"/>
      <c r="FY49" s="276"/>
      <c r="FZ49" s="278"/>
      <c r="GA49" s="278"/>
      <c r="GB49" s="278"/>
      <c r="GC49" s="278"/>
      <c r="GD49" s="278"/>
      <c r="GE49" s="278"/>
      <c r="GF49" s="278"/>
      <c r="GG49" s="279"/>
      <c r="GH49" s="284"/>
      <c r="GI49" s="285"/>
      <c r="GJ49" s="285"/>
      <c r="GK49" s="285"/>
      <c r="GL49" s="273" t="str">
        <f>IFERROR(VLOOKUP(GH49,HAT!$B$85:$K$92,4,FALSE),"")</f>
        <v/>
      </c>
      <c r="GM49" s="273"/>
      <c r="GN49" s="273"/>
      <c r="GO49" s="273"/>
      <c r="GP49" s="274"/>
    </row>
    <row r="50" spans="1:198" ht="15.6" customHeight="1" thickBot="1" x14ac:dyDescent="0.3">
      <c r="A50" s="277"/>
      <c r="B50" s="280"/>
      <c r="C50" s="280"/>
      <c r="D50" s="280"/>
      <c r="E50" s="280"/>
      <c r="F50" s="280"/>
      <c r="G50" s="280"/>
      <c r="H50" s="280"/>
      <c r="I50" s="281"/>
      <c r="J50" s="51">
        <f ca="1">IFERROR(VLOOKUP(J49,SKV!$B$85:$K$92,3,FALSE),"")</f>
        <v>30</v>
      </c>
      <c r="K50" s="282" t="str">
        <f>IFERROR(VLOOKUP(J49,SKV!$B$85:$K$92,6,FALSE),"")</f>
        <v>postup do Tipsport superligy (hráč)</v>
      </c>
      <c r="L50" s="282"/>
      <c r="M50" s="282"/>
      <c r="N50" s="282"/>
      <c r="O50" s="282"/>
      <c r="P50" s="282"/>
      <c r="Q50" s="282"/>
      <c r="R50" s="283"/>
      <c r="S50" s="277"/>
      <c r="T50" s="280"/>
      <c r="U50" s="280"/>
      <c r="V50" s="280"/>
      <c r="W50" s="280"/>
      <c r="X50" s="280"/>
      <c r="Y50" s="280"/>
      <c r="Z50" s="280"/>
      <c r="AA50" s="281"/>
      <c r="AB50" s="133">
        <f ca="1">IFERROR(VLOOKUP(AB49,CHO!$B$85:$K$92,3,FALSE),"")</f>
        <v>35</v>
      </c>
      <c r="AC50" s="282" t="str">
        <f>IFERROR(VLOOKUP(AB49,CHO!$B$85:$K$92,6,FALSE),"")</f>
        <v>2x mistr české ligy</v>
      </c>
      <c r="AD50" s="282"/>
      <c r="AE50" s="282"/>
      <c r="AF50" s="282"/>
      <c r="AG50" s="282"/>
      <c r="AH50" s="282"/>
      <c r="AI50" s="282"/>
      <c r="AJ50" s="283"/>
      <c r="AK50" s="277"/>
      <c r="AL50" s="280"/>
      <c r="AM50" s="280"/>
      <c r="AN50" s="280"/>
      <c r="AO50" s="280"/>
      <c r="AP50" s="280"/>
      <c r="AQ50" s="280"/>
      <c r="AR50" s="280"/>
      <c r="AS50" s="281"/>
      <c r="AT50" s="104">
        <f ca="1">IFERROR(VLOOKUP(AT49,VIT!$B$85:$K$92,3,FALSE),"")</f>
        <v>54</v>
      </c>
      <c r="AU50" s="282" t="str">
        <f>IFERROR(VLOOKUP(AT49,VIT!$B$85:$K$92,6,FALSE),"")</f>
        <v>-</v>
      </c>
      <c r="AV50" s="282"/>
      <c r="AW50" s="282"/>
      <c r="AX50" s="282"/>
      <c r="AY50" s="282"/>
      <c r="AZ50" s="282"/>
      <c r="BA50" s="282"/>
      <c r="BB50" s="283"/>
      <c r="BC50" s="277"/>
      <c r="BD50" s="280"/>
      <c r="BE50" s="280"/>
      <c r="BF50" s="280"/>
      <c r="BG50" s="280"/>
      <c r="BH50" s="280"/>
      <c r="BI50" s="280"/>
      <c r="BJ50" s="280"/>
      <c r="BK50" s="281"/>
      <c r="BL50" s="109">
        <f ca="1">IFERROR(VLOOKUP(BL49,MB!$B$85:$K$92,3,FALSE),"")</f>
        <v>30</v>
      </c>
      <c r="BM50" s="282" t="str">
        <f>IFERROR(VLOOKUP(BL49,MB!$B$85:$K$92,6,FALSE),"")</f>
        <v>3x vítěz Poháru (hráč), mistr české ligy (kondiční trenér)</v>
      </c>
      <c r="BN50" s="282"/>
      <c r="BO50" s="282"/>
      <c r="BP50" s="282"/>
      <c r="BQ50" s="282"/>
      <c r="BR50" s="282"/>
      <c r="BS50" s="282"/>
      <c r="BT50" s="283"/>
      <c r="BU50" s="277"/>
      <c r="BV50" s="280"/>
      <c r="BW50" s="280"/>
      <c r="BX50" s="280"/>
      <c r="BY50" s="280"/>
      <c r="BZ50" s="280"/>
      <c r="CA50" s="280"/>
      <c r="CB50" s="280"/>
      <c r="CC50" s="281"/>
      <c r="CD50" s="148" t="str">
        <f>IFERROR(VLOOKUP(CD49,TAT!$B$85:$K$92,3,FALSE),"")</f>
        <v/>
      </c>
      <c r="CE50" s="282" t="str">
        <f>IFERROR(VLOOKUP(CD49,TAT!$B$85:$K$92,6,FALSE),"")</f>
        <v/>
      </c>
      <c r="CF50" s="282"/>
      <c r="CG50" s="282"/>
      <c r="CH50" s="282"/>
      <c r="CI50" s="282"/>
      <c r="CJ50" s="282"/>
      <c r="CK50" s="282"/>
      <c r="CL50" s="283"/>
      <c r="CM50" s="277"/>
      <c r="CN50" s="280"/>
      <c r="CO50" s="280"/>
      <c r="CP50" s="280"/>
      <c r="CQ50" s="280"/>
      <c r="CR50" s="280"/>
      <c r="CS50" s="280"/>
      <c r="CT50" s="280"/>
      <c r="CU50" s="281"/>
      <c r="CV50" s="148">
        <f ca="1">IFERROR(VLOOKUP(CV49,OTR!$B$85:$K$92,3,FALSE),"")</f>
        <v>50</v>
      </c>
      <c r="CW50" s="282" t="str">
        <f>IFERROR(VLOOKUP(CV49,OTR!$B$85:$K$92,6,FALSE),"")</f>
        <v>-</v>
      </c>
      <c r="CX50" s="282"/>
      <c r="CY50" s="282"/>
      <c r="CZ50" s="282"/>
      <c r="DA50" s="282"/>
      <c r="DB50" s="282"/>
      <c r="DC50" s="282"/>
      <c r="DD50" s="283"/>
      <c r="DE50" s="277"/>
      <c r="DF50" s="280"/>
      <c r="DG50" s="280"/>
      <c r="DH50" s="280"/>
      <c r="DI50" s="280"/>
      <c r="DJ50" s="280"/>
      <c r="DK50" s="280"/>
      <c r="DL50" s="280"/>
      <c r="DM50" s="281"/>
      <c r="DN50" s="163">
        <f ca="1">IFERROR(VLOOKUP(DN49,BOH!$B$85:$K$92,3,FALSE),"")</f>
        <v>43</v>
      </c>
      <c r="DO50" s="282" t="str">
        <f>IFERROR(VLOOKUP(DN49,BOH!$B$85:$K$92,6,FALSE),"")</f>
        <v>-</v>
      </c>
      <c r="DP50" s="282"/>
      <c r="DQ50" s="282"/>
      <c r="DR50" s="282"/>
      <c r="DS50" s="282"/>
      <c r="DT50" s="282"/>
      <c r="DU50" s="282"/>
      <c r="DV50" s="283"/>
      <c r="DW50" s="277"/>
      <c r="DX50" s="280"/>
      <c r="DY50" s="280"/>
      <c r="DZ50" s="280"/>
      <c r="EA50" s="280"/>
      <c r="EB50" s="280"/>
      <c r="EC50" s="280"/>
      <c r="ED50" s="280"/>
      <c r="EE50" s="281"/>
      <c r="EF50" s="163" t="str">
        <f>IFERROR(VLOOKUP(EF49,SPA!$B$85:$K$92,3,FALSE),"")</f>
        <v/>
      </c>
      <c r="EG50" s="282" t="str">
        <f>IFERROR(VLOOKUP(EF49,SPA!$B$85:$K$92,6,FALSE),"")</f>
        <v/>
      </c>
      <c r="EH50" s="282"/>
      <c r="EI50" s="282"/>
      <c r="EJ50" s="282"/>
      <c r="EK50" s="282"/>
      <c r="EL50" s="282"/>
      <c r="EM50" s="282"/>
      <c r="EN50" s="283"/>
      <c r="EO50" s="277"/>
      <c r="EP50" s="280"/>
      <c r="EQ50" s="280"/>
      <c r="ER50" s="280"/>
      <c r="ES50" s="280"/>
      <c r="ET50" s="280"/>
      <c r="EU50" s="280"/>
      <c r="EV50" s="280"/>
      <c r="EW50" s="281"/>
      <c r="EX50" s="202" t="str">
        <f>IFERROR(VLOOKUP(EX49,CLP!$B$85:$K$92,3,FALSE),"")</f>
        <v/>
      </c>
      <c r="EY50" s="282" t="str">
        <f>IFERROR(VLOOKUP(EX49,CLP!$B$85:$K$92,6,FALSE),"")</f>
        <v/>
      </c>
      <c r="EZ50" s="282"/>
      <c r="FA50" s="282"/>
      <c r="FB50" s="282"/>
      <c r="FC50" s="282"/>
      <c r="FD50" s="282"/>
      <c r="FE50" s="282"/>
      <c r="FF50" s="283"/>
      <c r="FG50" s="277"/>
      <c r="FH50" s="280"/>
      <c r="FI50" s="280"/>
      <c r="FJ50" s="280"/>
      <c r="FK50" s="280"/>
      <c r="FL50" s="280"/>
      <c r="FM50" s="280"/>
      <c r="FN50" s="280"/>
      <c r="FO50" s="281"/>
      <c r="FP50" s="202">
        <f ca="1">IFERROR(VLOOKUP(FP49,LIB!$B$85:$K$92,3,FALSE),"")</f>
        <v>41</v>
      </c>
      <c r="FQ50" s="282" t="str">
        <f>IFERROR(VLOOKUP(FP49,LIB!$B$85:$K$92,6,FALSE),"")</f>
        <v>-</v>
      </c>
      <c r="FR50" s="282"/>
      <c r="FS50" s="282"/>
      <c r="FT50" s="282"/>
      <c r="FU50" s="282"/>
      <c r="FV50" s="282"/>
      <c r="FW50" s="282"/>
      <c r="FX50" s="283"/>
      <c r="FY50" s="277"/>
      <c r="FZ50" s="280"/>
      <c r="GA50" s="280"/>
      <c r="GB50" s="280"/>
      <c r="GC50" s="280"/>
      <c r="GD50" s="280"/>
      <c r="GE50" s="280"/>
      <c r="GF50" s="280"/>
      <c r="GG50" s="281"/>
      <c r="GH50" s="210" t="str">
        <f>IFERROR(VLOOKUP(GH49,HAT!$B$85:$K$92,3,FALSE),"")</f>
        <v/>
      </c>
      <c r="GI50" s="282" t="str">
        <f>IFERROR(VLOOKUP(GH49,HAT!$B$85:$K$92,6,FALSE),"")</f>
        <v/>
      </c>
      <c r="GJ50" s="282"/>
      <c r="GK50" s="282"/>
      <c r="GL50" s="282"/>
      <c r="GM50" s="282"/>
      <c r="GN50" s="282"/>
      <c r="GO50" s="282"/>
      <c r="GP50" s="283"/>
    </row>
    <row r="51" spans="1:198" ht="15.6" customHeight="1" thickTop="1" x14ac:dyDescent="0.25">
      <c r="A51" s="305" t="s">
        <v>29</v>
      </c>
      <c r="B51" s="305"/>
      <c r="C51" s="305"/>
      <c r="D51" s="305"/>
      <c r="E51" s="305"/>
      <c r="F51" s="305"/>
      <c r="G51" s="305"/>
      <c r="H51" s="305"/>
      <c r="I51" s="305"/>
      <c r="J51" s="305" t="s">
        <v>151</v>
      </c>
      <c r="K51" s="305"/>
      <c r="L51" s="305"/>
      <c r="M51" s="305"/>
      <c r="N51" s="305"/>
      <c r="O51" s="305"/>
      <c r="P51" s="305"/>
      <c r="Q51" s="305"/>
      <c r="R51" s="305"/>
    </row>
    <row r="52" spans="1:198" ht="15.6" customHeight="1" thickBot="1" x14ac:dyDescent="0.3">
      <c r="A52" s="306"/>
      <c r="B52" s="306"/>
      <c r="C52" s="306"/>
      <c r="D52" s="306"/>
      <c r="E52" s="306"/>
      <c r="F52" s="306"/>
      <c r="G52" s="306"/>
      <c r="H52" s="306"/>
      <c r="I52" s="306"/>
      <c r="J52" s="306"/>
      <c r="K52" s="306"/>
      <c r="L52" s="306"/>
      <c r="M52" s="306"/>
      <c r="N52" s="306"/>
      <c r="O52" s="306"/>
      <c r="P52" s="306"/>
      <c r="Q52" s="306"/>
      <c r="R52" s="306"/>
    </row>
    <row r="53" spans="1:198" ht="15" customHeight="1" thickTop="1" thickBot="1" x14ac:dyDescent="0.3">
      <c r="A53" s="60"/>
      <c r="B53" s="60"/>
      <c r="C53" s="60"/>
      <c r="D53" s="60"/>
      <c r="E53" s="60"/>
      <c r="F53" s="60"/>
      <c r="G53" s="57"/>
      <c r="H53" s="57"/>
      <c r="I53" s="57"/>
      <c r="J53" s="57"/>
      <c r="K53" s="58"/>
      <c r="L53" s="59"/>
      <c r="M53" s="60"/>
      <c r="N53" s="60"/>
      <c r="O53" s="60"/>
      <c r="P53" s="60"/>
      <c r="Q53" s="60"/>
      <c r="R53" s="60"/>
      <c r="S53" s="394" t="s">
        <v>366</v>
      </c>
      <c r="T53" s="394"/>
      <c r="U53" s="394"/>
      <c r="V53" s="394"/>
      <c r="W53" s="394"/>
      <c r="X53" s="394"/>
      <c r="Y53" s="394"/>
      <c r="Z53" s="394"/>
      <c r="AA53" s="394"/>
      <c r="AB53" s="394"/>
      <c r="AC53" s="394"/>
      <c r="AD53" s="394"/>
      <c r="AE53" s="394"/>
      <c r="AF53" s="394"/>
      <c r="AG53" s="394"/>
      <c r="AH53" s="394"/>
      <c r="AI53" s="394"/>
      <c r="AJ53" s="394"/>
    </row>
    <row r="54" spans="1:198" ht="15" customHeight="1" thickTop="1" thickBot="1" x14ac:dyDescent="0.3">
      <c r="A54" s="215" t="s">
        <v>221</v>
      </c>
      <c r="B54" s="216"/>
      <c r="C54" s="74" t="s">
        <v>40</v>
      </c>
      <c r="D54" s="74" t="s">
        <v>41</v>
      </c>
      <c r="E54" s="216" t="s">
        <v>42</v>
      </c>
      <c r="F54" s="216"/>
      <c r="G54" s="74" t="s">
        <v>43</v>
      </c>
      <c r="H54" s="74" t="s">
        <v>44</v>
      </c>
      <c r="I54" s="75" t="s">
        <v>38</v>
      </c>
      <c r="J54" s="303" t="s">
        <v>221</v>
      </c>
      <c r="K54" s="304"/>
      <c r="L54" s="89" t="s">
        <v>40</v>
      </c>
      <c r="M54" s="89" t="s">
        <v>41</v>
      </c>
      <c r="N54" s="304" t="s">
        <v>42</v>
      </c>
      <c r="O54" s="304"/>
      <c r="P54" s="89" t="s">
        <v>43</v>
      </c>
      <c r="Q54" s="89" t="s">
        <v>44</v>
      </c>
      <c r="R54" s="90" t="s">
        <v>38</v>
      </c>
      <c r="S54" s="391" t="s">
        <v>232</v>
      </c>
      <c r="T54" s="392"/>
      <c r="U54" s="392"/>
      <c r="V54" s="392"/>
      <c r="W54" s="392"/>
      <c r="X54" s="392"/>
      <c r="Y54" s="392"/>
      <c r="Z54" s="393"/>
      <c r="AA54" s="144"/>
      <c r="AB54" s="144"/>
      <c r="AC54" s="215" t="s">
        <v>557</v>
      </c>
      <c r="AD54" s="216"/>
      <c r="AE54" s="216"/>
      <c r="AF54" s="216"/>
      <c r="AG54" s="216"/>
      <c r="AH54" s="216"/>
      <c r="AI54" s="216"/>
      <c r="AJ54" s="217"/>
    </row>
    <row r="55" spans="1:198" ht="15" customHeight="1" thickBot="1" x14ac:dyDescent="0.3">
      <c r="A55" s="368" t="str">
        <f>CONCATENATE(IFERROR(VLOOKUP(VLOOKUP($A$51,Tabulka!$A$42:$B$55,2,FALSE),Tabulka!$B$26:$AK$39,36,FALSE),""), ". místo")</f>
        <v>13. místo</v>
      </c>
      <c r="B55" s="369"/>
      <c r="C55" s="76">
        <f>IFERROR(VLOOKUP(VLOOKUP($A$51,Tabulka!$A$42:$B$55,2,FALSE),Tabulka!$B$26:$AK$39,3,FALSE),"") +IFERROR(VLOOKUP(VLOOKUP($A$51,Tabulka!$A$42:$B$55,2,FALSE),Tabulka!$B$26:$AK$39,4,FALSE),"")</f>
        <v>4</v>
      </c>
      <c r="D55" s="78">
        <f>IFERROR(VLOOKUP(VLOOKUP($A$51,Tabulka!$A$42:$B$55,2,FALSE),Tabulka!$B$26:$AK$39,5,FALSE),"") +IFERROR(VLOOKUP(VLOOKUP($A$51,Tabulka!$A$42:$B$55,2,FALSE),Tabulka!$B$26:$AK$39,6,FALSE),"")</f>
        <v>22</v>
      </c>
      <c r="E55" s="369" t="str">
        <f>CONCATENATE(IFERROR(VLOOKUP(VLOOKUP($A$51,Tabulka!$A$42:$B$55,2,FALSE),Tabulka!$B$26:$AK$39,8,FALSE),""), ":",IFERROR(VLOOKUP(VLOOKUP($A$51,Tabulka!$A$42:$B$55,2,FALSE),Tabulka!$B$26:$AK$39,9,FALSE),""))</f>
        <v>119:197</v>
      </c>
      <c r="F55" s="369"/>
      <c r="G55" s="78">
        <f>ROUND(IFERROR(VLOOKUP(VLOOKUP($A$51,Tabulka!$A$42:$B$55,2,FALSE),Tabulka!$B$26:$AK$39,14,FALSE),""),1)</f>
        <v>42.9</v>
      </c>
      <c r="H55" s="78">
        <f>ROUND(IFERROR(VLOOKUP(VLOOKUP($A$51,Tabulka!$A$42:$B$55,2,FALSE),Tabulka!$B$26:$AK$39,18,FALSE),""),1)</f>
        <v>41.9</v>
      </c>
      <c r="I55" s="77">
        <f>IFERROR(VLOOKUP(VLOOKUP($A$51,Tabulka!$A$42:$B$55,2,FALSE),Tabulka!$B$26:$AK$39,25,FALSE),"")</f>
        <v>69</v>
      </c>
      <c r="J55" s="370" t="str">
        <f>CONCATENATE(IFERROR(VLOOKUP(VLOOKUP($J$51,Tabulka!$A$42:$B$55,2,FALSE),Tabulka!$B$26:$AK$39,36,FALSE),""), ". místo")</f>
        <v>12. místo</v>
      </c>
      <c r="K55" s="355"/>
      <c r="L55" s="91">
        <f>IFERROR(VLOOKUP(VLOOKUP($J$51,Tabulka!$A$42:$B$55,2,FALSE),Tabulka!$B$26:$AK$39,3,FALSE),"") +IFERROR(VLOOKUP(VLOOKUP($J$51,Tabulka!$A$42:$B$55,2,FALSE),Tabulka!$B$26:$AK$39,4,FALSE),"")</f>
        <v>4</v>
      </c>
      <c r="M55" s="92">
        <f>IFERROR(VLOOKUP(VLOOKUP($J$51,Tabulka!$A$42:$B$55,2,FALSE),Tabulka!$B$26:$AK$39,5,FALSE),"") +IFERROR(VLOOKUP(VLOOKUP($J$51,Tabulka!$A$42:$B$55,2,FALSE),Tabulka!$B$26:$AK$39,6,FALSE),"")</f>
        <v>22</v>
      </c>
      <c r="N55" s="355" t="str">
        <f>CONCATENATE(IFERROR(VLOOKUP(VLOOKUP($J$51,Tabulka!$A$42:$B$55,2,FALSE),Tabulka!$B$26:$AK$39,8,FALSE),""), ":",IFERROR(VLOOKUP(VLOOKUP($J$51,Tabulka!$A$42:$B$55,2,FALSE),Tabulka!$B$26:$AK$39,9,FALSE),""))</f>
        <v>104:158</v>
      </c>
      <c r="O55" s="355"/>
      <c r="P55" s="92">
        <f>ROUND(IFERROR(VLOOKUP(VLOOKUP($J$51,Tabulka!$A$42:$B$55,2,FALSE),Tabulka!$B$26:$AK$39,14,FALSE),""),1)</f>
        <v>46.3</v>
      </c>
      <c r="Q55" s="92">
        <f>ROUND(IFERROR(VLOOKUP(VLOOKUP($J$51,Tabulka!$A$42:$B$55,2,FALSE),Tabulka!$B$26:$AK$39,18,FALSE),""),1)</f>
        <v>59.2</v>
      </c>
      <c r="R55" s="93">
        <f>IFERROR(VLOOKUP(VLOOKUP($J$51,Tabulka!$A$42:$B$55,2,FALSE),Tabulka!$B$26:$AK$39,25,FALSE),"")</f>
        <v>140</v>
      </c>
      <c r="S55" s="376" t="s">
        <v>232</v>
      </c>
      <c r="T55" s="377"/>
      <c r="U55" s="377"/>
      <c r="V55" s="377"/>
      <c r="W55" s="154" t="s">
        <v>403</v>
      </c>
      <c r="X55" s="378">
        <v>44209</v>
      </c>
      <c r="Y55" s="379"/>
      <c r="Z55" s="380"/>
      <c r="AA55" s="144"/>
      <c r="AB55" s="144"/>
      <c r="AC55" s="251" t="s">
        <v>557</v>
      </c>
      <c r="AD55" s="252"/>
      <c r="AE55" s="252"/>
      <c r="AF55" s="252"/>
      <c r="AG55" s="145" t="s">
        <v>597</v>
      </c>
      <c r="AH55" s="253">
        <v>44213</v>
      </c>
      <c r="AI55" s="254"/>
      <c r="AJ55" s="255"/>
    </row>
    <row r="56" spans="1:198" ht="15" customHeight="1" thickTop="1" x14ac:dyDescent="0.25">
      <c r="A56" s="57"/>
      <c r="B56" s="57"/>
      <c r="C56" s="57"/>
      <c r="D56" s="57"/>
      <c r="E56" s="58"/>
      <c r="F56" s="59"/>
      <c r="G56" s="79">
        <f>IFERROR(VLOOKUP(VLOOKUP($A$51,Tabulka!$A$42:$B$55,2,FALSE),Tabulka!$B$26:$AK$39,33,FALSE),"")</f>
        <v>4</v>
      </c>
      <c r="H56" s="79">
        <f>IFERROR(VLOOKUP(VLOOKUP($A$51,Tabulka!$A$42:$B$55,2,FALSE),Tabulka!$B$26:$AK$39,34,FALSE),"")</f>
        <v>14</v>
      </c>
      <c r="I56" s="79">
        <f>IFERROR(VLOOKUP(VLOOKUP($A$51,Tabulka!$A$42:$B$55,2,FALSE),Tabulka!$B$26:$AK$39,35,FALSE),"")</f>
        <v>13</v>
      </c>
      <c r="J56" s="57"/>
      <c r="K56" s="57"/>
      <c r="L56" s="57"/>
      <c r="M56" s="57"/>
      <c r="N56" s="58"/>
      <c r="O56" s="59"/>
      <c r="P56" s="79">
        <f>IFERROR(VLOOKUP(VLOOKUP($J$51,Tabulka!$A$42:$B$55,2,FALSE),Tabulka!$B$26:$AK$39,33,FALSE),"")</f>
        <v>3</v>
      </c>
      <c r="Q56" s="79">
        <f>IFERROR(VLOOKUP(VLOOKUP($J$51,Tabulka!$A$42:$B$55,2,FALSE),Tabulka!$B$26:$AK$39,34,FALSE),"")</f>
        <v>9</v>
      </c>
      <c r="R56" s="79">
        <f>IFERROR(VLOOKUP(VLOOKUP($J$51,Tabulka!$A$42:$B$55,2,FALSE),Tabulka!$B$26:$AK$39,35,FALSE),"")</f>
        <v>2</v>
      </c>
      <c r="S56" s="229" t="s">
        <v>46</v>
      </c>
      <c r="T56" s="230"/>
      <c r="U56" s="230"/>
      <c r="V56" s="230"/>
      <c r="W56" s="146" t="s">
        <v>334</v>
      </c>
      <c r="X56" s="231">
        <v>44205</v>
      </c>
      <c r="Y56" s="232"/>
      <c r="Z56" s="233"/>
      <c r="AA56" s="144"/>
      <c r="AB56" s="144"/>
      <c r="AC56" s="371" t="s">
        <v>554</v>
      </c>
      <c r="AD56" s="372"/>
      <c r="AE56" s="372"/>
      <c r="AF56" s="372"/>
      <c r="AG56" s="179" t="s">
        <v>555</v>
      </c>
      <c r="AH56" s="373">
        <v>44184</v>
      </c>
      <c r="AI56" s="374"/>
      <c r="AJ56" s="375"/>
    </row>
    <row r="57" spans="1:198" ht="15" customHeight="1" x14ac:dyDescent="0.25">
      <c r="A57" s="61"/>
      <c r="B57" s="60"/>
      <c r="C57" s="60"/>
      <c r="D57" s="62"/>
      <c r="E57" s="60"/>
      <c r="F57" s="60"/>
      <c r="G57" s="60"/>
      <c r="H57" s="60"/>
      <c r="I57" s="60"/>
      <c r="J57" s="60"/>
      <c r="K57" s="60"/>
      <c r="L57" s="60"/>
      <c r="M57" s="61"/>
      <c r="N57" s="60"/>
      <c r="O57" s="60"/>
      <c r="P57" s="62"/>
      <c r="Q57" s="60"/>
      <c r="R57" s="60"/>
      <c r="S57" s="229" t="s">
        <v>46</v>
      </c>
      <c r="T57" s="230"/>
      <c r="U57" s="230"/>
      <c r="V57" s="230"/>
      <c r="W57" s="146" t="s">
        <v>231</v>
      </c>
      <c r="X57" s="231">
        <v>43877</v>
      </c>
      <c r="Y57" s="232"/>
      <c r="Z57" s="233"/>
      <c r="AA57" s="144"/>
      <c r="AB57" s="144"/>
      <c r="AC57" s="229" t="s">
        <v>554</v>
      </c>
      <c r="AD57" s="230"/>
      <c r="AE57" s="230"/>
      <c r="AF57" s="230"/>
      <c r="AG57" s="146" t="s">
        <v>556</v>
      </c>
      <c r="AH57" s="231">
        <v>43805</v>
      </c>
      <c r="AI57" s="232"/>
      <c r="AJ57" s="233"/>
    </row>
    <row r="58" spans="1:198" ht="15" customHeight="1" thickBot="1" x14ac:dyDescent="0.3">
      <c r="A58" s="61"/>
      <c r="B58" s="60"/>
      <c r="C58" s="60"/>
      <c r="D58" s="62"/>
      <c r="E58" s="60"/>
      <c r="F58" s="60"/>
      <c r="G58" s="60"/>
      <c r="H58" s="60"/>
      <c r="I58" s="60"/>
      <c r="J58" s="60"/>
      <c r="K58" s="60"/>
      <c r="L58" s="60"/>
      <c r="M58" s="61"/>
      <c r="N58" s="60"/>
      <c r="O58" s="60"/>
      <c r="P58" s="62"/>
      <c r="Q58" s="60"/>
      <c r="R58" s="60"/>
      <c r="S58" s="229" t="s">
        <v>232</v>
      </c>
      <c r="T58" s="230"/>
      <c r="U58" s="230"/>
      <c r="V58" s="230"/>
      <c r="W58" s="146" t="s">
        <v>233</v>
      </c>
      <c r="X58" s="231">
        <v>43798</v>
      </c>
      <c r="Y58" s="232"/>
      <c r="Z58" s="233"/>
      <c r="AA58" s="144"/>
      <c r="AB58" s="144"/>
      <c r="AC58" s="229" t="s">
        <v>557</v>
      </c>
      <c r="AD58" s="230"/>
      <c r="AE58" s="230"/>
      <c r="AF58" s="230"/>
      <c r="AG58" s="146" t="s">
        <v>558</v>
      </c>
      <c r="AH58" s="231">
        <v>43729</v>
      </c>
      <c r="AI58" s="232"/>
      <c r="AJ58" s="233"/>
    </row>
    <row r="59" spans="1:198" ht="15" customHeight="1" thickTop="1" thickBot="1" x14ac:dyDescent="0.3">
      <c r="A59" s="315" t="s">
        <v>39</v>
      </c>
      <c r="B59" s="316"/>
      <c r="C59" s="317" t="str">
        <f ca="1">IFERROR(INDIRECT(A$51 &amp; "_nej!B41"),"")</f>
        <v>V - P - P - P - VP - P - P - P - PP - P</v>
      </c>
      <c r="D59" s="317"/>
      <c r="E59" s="317"/>
      <c r="F59" s="317"/>
      <c r="G59" s="317"/>
      <c r="H59" s="318"/>
      <c r="I59" s="60"/>
      <c r="J59" s="319" t="s">
        <v>39</v>
      </c>
      <c r="K59" s="320"/>
      <c r="L59" s="351" t="str">
        <f ca="1">IFERROR(INDIRECT(J$51 &amp; "_nej!B41"),"")</f>
        <v>PP - V - P - P - PP - PP - P - PP - P - P</v>
      </c>
      <c r="M59" s="351"/>
      <c r="N59" s="351"/>
      <c r="O59" s="351"/>
      <c r="P59" s="351"/>
      <c r="Q59" s="352"/>
      <c r="R59" s="60"/>
      <c r="S59" s="229" t="s">
        <v>46</v>
      </c>
      <c r="T59" s="230"/>
      <c r="U59" s="230"/>
      <c r="V59" s="230"/>
      <c r="W59" s="146" t="s">
        <v>234</v>
      </c>
      <c r="X59" s="231">
        <v>43454</v>
      </c>
      <c r="Y59" s="232"/>
      <c r="Z59" s="233"/>
      <c r="AA59" s="144"/>
      <c r="AB59" s="144"/>
      <c r="AC59" s="229" t="s">
        <v>554</v>
      </c>
      <c r="AD59" s="230"/>
      <c r="AE59" s="230"/>
      <c r="AF59" s="230"/>
      <c r="AG59" s="146" t="s">
        <v>559</v>
      </c>
      <c r="AH59" s="231">
        <v>43492</v>
      </c>
      <c r="AI59" s="232"/>
      <c r="AJ59" s="233"/>
    </row>
    <row r="60" spans="1:198" ht="15" customHeight="1" thickTop="1" thickBot="1" x14ac:dyDescent="0.3">
      <c r="A60" s="60"/>
      <c r="B60" s="60"/>
      <c r="C60" s="60"/>
      <c r="D60" s="60"/>
      <c r="E60" s="60"/>
      <c r="F60" s="61"/>
      <c r="G60" s="60"/>
      <c r="H60" s="60"/>
      <c r="I60" s="60"/>
      <c r="J60" s="60"/>
      <c r="K60" s="60"/>
      <c r="L60" s="60"/>
      <c r="M60" s="60"/>
      <c r="N60" s="60"/>
      <c r="O60" s="60"/>
      <c r="P60" s="60"/>
      <c r="Q60" s="60"/>
      <c r="R60" s="61"/>
      <c r="S60" s="229" t="s">
        <v>232</v>
      </c>
      <c r="T60" s="230"/>
      <c r="U60" s="230"/>
      <c r="V60" s="230"/>
      <c r="W60" s="146" t="s">
        <v>235</v>
      </c>
      <c r="X60" s="231">
        <v>43384</v>
      </c>
      <c r="Y60" s="232"/>
      <c r="Z60" s="233"/>
      <c r="AA60" s="144"/>
      <c r="AB60" s="144"/>
      <c r="AC60" s="229" t="s">
        <v>557</v>
      </c>
      <c r="AD60" s="230"/>
      <c r="AE60" s="230"/>
      <c r="AF60" s="230"/>
      <c r="AG60" s="146" t="s">
        <v>560</v>
      </c>
      <c r="AH60" s="231">
        <v>43406</v>
      </c>
      <c r="AI60" s="232"/>
      <c r="AJ60" s="233"/>
    </row>
    <row r="61" spans="1:198" ht="15" customHeight="1" thickTop="1" thickBot="1" x14ac:dyDescent="0.3">
      <c r="A61" s="215" t="s">
        <v>224</v>
      </c>
      <c r="B61" s="216"/>
      <c r="C61" s="216"/>
      <c r="D61" s="217"/>
      <c r="E61" s="307" t="s">
        <v>223</v>
      </c>
      <c r="F61" s="216"/>
      <c r="G61" s="216"/>
      <c r="H61" s="217"/>
      <c r="I61" s="60"/>
      <c r="J61" s="215" t="s">
        <v>224</v>
      </c>
      <c r="K61" s="216"/>
      <c r="L61" s="216"/>
      <c r="M61" s="217"/>
      <c r="N61" s="307" t="s">
        <v>223</v>
      </c>
      <c r="O61" s="216"/>
      <c r="P61" s="216"/>
      <c r="Q61" s="217"/>
      <c r="R61" s="62"/>
      <c r="S61" s="229" t="s">
        <v>232</v>
      </c>
      <c r="T61" s="230"/>
      <c r="U61" s="230"/>
      <c r="V61" s="230"/>
      <c r="W61" s="146" t="s">
        <v>236</v>
      </c>
      <c r="X61" s="231">
        <v>42428</v>
      </c>
      <c r="Y61" s="232"/>
      <c r="Z61" s="233"/>
      <c r="AA61" s="144"/>
      <c r="AB61" s="144"/>
      <c r="AC61" s="229" t="s">
        <v>557</v>
      </c>
      <c r="AD61" s="230"/>
      <c r="AE61" s="230"/>
      <c r="AF61" s="230"/>
      <c r="AG61" s="146" t="s">
        <v>561</v>
      </c>
      <c r="AH61" s="231">
        <v>42351</v>
      </c>
      <c r="AI61" s="232"/>
      <c r="AJ61" s="233"/>
    </row>
    <row r="62" spans="1:198" ht="15" customHeight="1" thickBot="1" x14ac:dyDescent="0.3">
      <c r="A62" s="353" t="str">
        <f ca="1">IFERROR(INDIRECT(A$51 &amp; "_nej!C31"),"")</f>
        <v>LIB</v>
      </c>
      <c r="B62" s="354"/>
      <c r="C62" s="349" t="str">
        <f ca="1">IFERROR(INDIRECT(A$51 &amp; "_nej!E31"),"")</f>
        <v>4:11</v>
      </c>
      <c r="D62" s="350"/>
      <c r="E62" s="364" t="str">
        <f ca="1">IFERROR(IF(INDIRECT(A$51 &amp; "_nej!C36")&lt;&gt;0,INDIRECT(A$51 &amp; "_nej!C36"),""),"")</f>
        <v>HAT</v>
      </c>
      <c r="F62" s="354"/>
      <c r="G62" s="349" t="str">
        <f ca="1">IFERROR(IF(INDIRECT(A$51 &amp; "_nej!B36")&lt;&gt;0,INDIRECT(A$51 &amp; "_nej!B36"),""),"")</f>
        <v>27. 3.</v>
      </c>
      <c r="H62" s="350"/>
      <c r="I62" s="60"/>
      <c r="J62" s="353" t="str">
        <f ca="1">IFERROR(INDIRECT(J$51 &amp; "_nej!C31"),"")</f>
        <v>CLP</v>
      </c>
      <c r="K62" s="354"/>
      <c r="L62" s="349" t="str">
        <f ca="1">IFERROR(INDIRECT(J$51 &amp; "_nej!E31"),"")</f>
        <v>5:9</v>
      </c>
      <c r="M62" s="350"/>
      <c r="N62" s="364" t="str">
        <f ca="1">IFERROR(IF(INDIRECT(J$51 &amp; "_nej!C36")&lt;&gt;0,INDIRECT(J$51 &amp; "_nej!C36"),""),"")</f>
        <v>SKV</v>
      </c>
      <c r="O62" s="354"/>
      <c r="P62" s="349" t="str">
        <f ca="1">IFERROR(IF(INDIRECT(J$51 &amp; "_nej!B36")&lt;&gt;0,INDIRECT(J$51 &amp; "_nej!B36"),""),"")</f>
        <v>27. 3.</v>
      </c>
      <c r="Q62" s="350"/>
      <c r="R62" s="60"/>
      <c r="S62" s="224" t="s">
        <v>46</v>
      </c>
      <c r="T62" s="225"/>
      <c r="U62" s="225"/>
      <c r="V62" s="225"/>
      <c r="W62" s="155" t="s">
        <v>237</v>
      </c>
      <c r="X62" s="226">
        <v>42295</v>
      </c>
      <c r="Y62" s="227"/>
      <c r="Z62" s="228"/>
      <c r="AA62" s="144"/>
      <c r="AB62" s="144"/>
      <c r="AC62" s="234" t="s">
        <v>554</v>
      </c>
      <c r="AD62" s="235"/>
      <c r="AE62" s="235"/>
      <c r="AF62" s="235"/>
      <c r="AG62" s="147" t="s">
        <v>562</v>
      </c>
      <c r="AH62" s="236">
        <v>42323</v>
      </c>
      <c r="AI62" s="237"/>
      <c r="AJ62" s="238"/>
    </row>
    <row r="63" spans="1:198" ht="15" customHeight="1" thickTop="1" thickBot="1" x14ac:dyDescent="0.3">
      <c r="A63" s="337" t="str">
        <f ca="1">IFERROR(INDIRECT(A$51 &amp; "_nej!C32"),"")</f>
        <v>SPA</v>
      </c>
      <c r="B63" s="338"/>
      <c r="C63" s="339" t="str">
        <f ca="1">IFERROR(INDIRECT(A$51 &amp; "_nej!E32"),"")</f>
        <v>5:6p</v>
      </c>
      <c r="D63" s="340"/>
      <c r="E63" s="342" t="str">
        <f ca="1">IFERROR(IF(INDIRECT(A$51 &amp; "_nej!C37")&lt;&gt;0,INDIRECT(A$51 &amp; "_nej!C37"),""),"")</f>
        <v>HAT</v>
      </c>
      <c r="F63" s="338"/>
      <c r="G63" s="339" t="str">
        <f ca="1">IFERROR(IF(INDIRECT(A$51 &amp; "_nej!B37")&lt;&gt;0,INDIRECT(A$51 &amp; "_nej!B37"),""),"")</f>
        <v>28. 3.</v>
      </c>
      <c r="H63" s="340"/>
      <c r="I63" s="57"/>
      <c r="J63" s="337" t="str">
        <f ca="1">IFERROR(INDIRECT(J$51 &amp; "_nej!C32"),"")</f>
        <v>BOH</v>
      </c>
      <c r="K63" s="338"/>
      <c r="L63" s="339" t="str">
        <f ca="1">IFERROR(INDIRECT(J$51 &amp; "_nej!E32"),"")</f>
        <v>5:6</v>
      </c>
      <c r="M63" s="340"/>
      <c r="N63" s="342" t="str">
        <f ca="1">IFERROR(IF(INDIRECT(J$51 &amp; "_nej!C37")&lt;&gt;0,INDIRECT(J$51 &amp; "_nej!C37"),""),"")</f>
        <v>SKV</v>
      </c>
      <c r="O63" s="338"/>
      <c r="P63" s="339" t="str">
        <f ca="1">IFERROR(IF(INDIRECT(J$51 &amp; "_nej!B37")&lt;&gt;0,INDIRECT(J$51 &amp; "_nej!B37"),""),"")</f>
        <v>28. 3.</v>
      </c>
      <c r="Q63" s="340"/>
      <c r="R63" s="59"/>
      <c r="S63" s="157"/>
      <c r="T63" s="157"/>
      <c r="U63" s="157"/>
      <c r="V63" s="157"/>
      <c r="W63" s="156"/>
      <c r="X63" s="158"/>
      <c r="Y63" s="159"/>
      <c r="Z63" s="159"/>
      <c r="AA63" s="138"/>
      <c r="AB63" s="138"/>
      <c r="AC63" s="138"/>
      <c r="AD63" s="138"/>
      <c r="AE63" s="138"/>
      <c r="AF63" s="138"/>
      <c r="AG63" s="138"/>
      <c r="AH63" s="138"/>
      <c r="AI63" s="138"/>
      <c r="AJ63" s="138"/>
    </row>
    <row r="64" spans="1:198" ht="15" customHeight="1" thickTop="1" thickBot="1" x14ac:dyDescent="0.3">
      <c r="A64" s="357" t="str">
        <f ca="1">IFERROR(INDIRECT(A$51 &amp; "_nej!C33"),"")</f>
        <v>VIT</v>
      </c>
      <c r="B64" s="334"/>
      <c r="C64" s="323" t="str">
        <f ca="1">IFERROR(INDIRECT(A$51 &amp; "_nej!E33"),"")</f>
        <v>6:9</v>
      </c>
      <c r="D64" s="324"/>
      <c r="E64" s="333" t="str">
        <f ca="1">IFERROR(IF(INDIRECT(A$51 &amp; "_nej!C38")&lt;&gt;0,INDIRECT(A$51 &amp; "_nej!C38"),""),"")</f>
        <v>HAT</v>
      </c>
      <c r="F64" s="334"/>
      <c r="G64" s="323" t="str">
        <f ca="1">IFERROR(IF(INDIRECT(A$51 &amp; "_nej!B38")&lt;&gt;0,INDIRECT(A$51 &amp; "_nej!B38"),""),"")</f>
        <v>31. 3.</v>
      </c>
      <c r="H64" s="324"/>
      <c r="I64" s="60"/>
      <c r="J64" s="357" t="str">
        <f ca="1">IFERROR(INDIRECT(J$51 &amp; "_nej!C33"),"")</f>
        <v>PAR</v>
      </c>
      <c r="K64" s="334"/>
      <c r="L64" s="323" t="str">
        <f ca="1">IFERROR(INDIRECT(J$51 &amp; "_nej!E33"),"")</f>
        <v>5:6p</v>
      </c>
      <c r="M64" s="324"/>
      <c r="N64" s="333" t="str">
        <f ca="1">IFERROR(IF(INDIRECT(J$51 &amp; "_nej!C38")&lt;&gt;0,INDIRECT(J$51 &amp; "_nej!C38"),""),"")</f>
        <v>SKV</v>
      </c>
      <c r="O64" s="334"/>
      <c r="P64" s="323" t="str">
        <f ca="1">IFERROR(IF(INDIRECT(J$51 &amp; "_nej!B38")&lt;&gt;0,INDIRECT(J$51 &amp; "_nej!B38"),""),"")</f>
        <v>31. 3.</v>
      </c>
      <c r="Q64" s="324"/>
      <c r="R64" s="60"/>
      <c r="S64" s="215" t="s">
        <v>600</v>
      </c>
      <c r="T64" s="216"/>
      <c r="U64" s="216"/>
      <c r="V64" s="216"/>
      <c r="W64" s="216"/>
      <c r="X64" s="216"/>
      <c r="Y64" s="216"/>
      <c r="Z64" s="217"/>
      <c r="AA64" s="138"/>
      <c r="AB64" s="138"/>
      <c r="AC64" s="215" t="s">
        <v>686</v>
      </c>
      <c r="AD64" s="216"/>
      <c r="AE64" s="216"/>
      <c r="AF64" s="216"/>
      <c r="AG64" s="216"/>
      <c r="AH64" s="216"/>
      <c r="AI64" s="216"/>
      <c r="AJ64" s="217"/>
    </row>
    <row r="65" spans="1:36" ht="15" customHeight="1" x14ac:dyDescent="0.25">
      <c r="A65" s="337" t="str">
        <f ca="1">IFERROR(INDIRECT(A$51 &amp; "_nej!C34"),"")</f>
        <v>MB</v>
      </c>
      <c r="B65" s="338"/>
      <c r="C65" s="339" t="str">
        <f ca="1">IFERROR(INDIRECT(A$51 &amp; "_nej!E34"),"")</f>
        <v>3:7</v>
      </c>
      <c r="D65" s="340"/>
      <c r="E65" s="342" t="str">
        <f ca="1">IFERROR(IF(INDIRECT(A$51 &amp; "_nej!C39")&lt;&gt;0,INDIRECT(A$51 &amp; "_nej!C39"),""),"")</f>
        <v>HAT</v>
      </c>
      <c r="F65" s="338"/>
      <c r="G65" s="339" t="str">
        <f ca="1">IFERROR(IF(INDIRECT(A$51 &amp; "_nej!B39")&lt;&gt;0,INDIRECT(A$51 &amp; "_nej!B39"),""),"")</f>
        <v>2. 4.</v>
      </c>
      <c r="H65" s="340"/>
      <c r="I65" s="57"/>
      <c r="J65" s="337" t="str">
        <f ca="1">IFERROR(INDIRECT(J$51 &amp; "_nej!C34"),"")</f>
        <v>CHO</v>
      </c>
      <c r="K65" s="338"/>
      <c r="L65" s="339" t="str">
        <f ca="1">IFERROR(INDIRECT(J$51 &amp; "_nej!E34"),"")</f>
        <v>7:10</v>
      </c>
      <c r="M65" s="340"/>
      <c r="N65" s="342" t="str">
        <f ca="1">IFERROR(IF(INDIRECT(J$51 &amp; "_nej!C39")&lt;&gt;0,INDIRECT(J$51 &amp; "_nej!C39"),""),"")</f>
        <v>SKV</v>
      </c>
      <c r="O65" s="338"/>
      <c r="P65" s="339" t="str">
        <f ca="1">IFERROR(IF(INDIRECT(J$51 &amp; "_nej!B39")&lt;&gt;0,INDIRECT(J$51 &amp; "_nej!B39"),""),"")</f>
        <v>2. 4.</v>
      </c>
      <c r="Q65" s="340"/>
      <c r="R65" s="60"/>
      <c r="S65" s="376" t="s">
        <v>600</v>
      </c>
      <c r="T65" s="377"/>
      <c r="U65" s="377"/>
      <c r="V65" s="377"/>
      <c r="W65" s="154" t="s">
        <v>614</v>
      </c>
      <c r="X65" s="378">
        <v>44218</v>
      </c>
      <c r="Y65" s="379"/>
      <c r="Z65" s="380"/>
      <c r="AA65" s="138"/>
      <c r="AB65" s="138"/>
      <c r="AC65" s="239" t="s">
        <v>686</v>
      </c>
      <c r="AD65" s="240"/>
      <c r="AE65" s="240"/>
      <c r="AF65" s="241"/>
      <c r="AG65" s="195" t="s">
        <v>787</v>
      </c>
      <c r="AH65" s="242">
        <v>44239</v>
      </c>
      <c r="AI65" s="243"/>
      <c r="AJ65" s="244"/>
    </row>
    <row r="66" spans="1:36" ht="15" customHeight="1" thickBot="1" x14ac:dyDescent="0.3">
      <c r="A66" s="341" t="str">
        <f ca="1">IFERROR(INDIRECT(A$51 &amp; "_nej!C35"),"")</f>
        <v>PAR</v>
      </c>
      <c r="B66" s="326"/>
      <c r="C66" s="330" t="str">
        <f ca="1">IFERROR(INDIRECT(A$51 &amp; "_nej!E35"),"")</f>
        <v>3:10</v>
      </c>
      <c r="D66" s="331"/>
      <c r="E66" s="325" t="str">
        <f ca="1">IFERROR(IF(INDIRECT(A$51 &amp; "_nej!C40")&lt;&gt;0,INDIRECT(A$51 &amp; "_nej!C40"),""),"")</f>
        <v>HAT</v>
      </c>
      <c r="F66" s="326"/>
      <c r="G66" s="330" t="str">
        <f ca="1">IFERROR(IF(INDIRECT(A$51 &amp; "_nej!B40")&lt;&gt;0,INDIRECT(A$51 &amp; "_nej!B40"),""),"")</f>
        <v>3. 4.</v>
      </c>
      <c r="H66" s="331"/>
      <c r="I66" s="60"/>
      <c r="J66" s="341" t="str">
        <f ca="1">IFERROR(INDIRECT(J$51 &amp; "_nej!C35"),"")</f>
        <v>SKV</v>
      </c>
      <c r="K66" s="326"/>
      <c r="L66" s="330" t="str">
        <f ca="1">IFERROR(INDIRECT(J$51 &amp; "_nej!E35"),"")</f>
        <v>4:5p</v>
      </c>
      <c r="M66" s="331"/>
      <c r="N66" s="325" t="str">
        <f ca="1">IFERROR(IF(INDIRECT(J$51 &amp; "_nej!C40")&lt;&gt;0,INDIRECT(J$51 &amp; "_nej!C40"),""),"")</f>
        <v>SKV</v>
      </c>
      <c r="O66" s="326"/>
      <c r="P66" s="330" t="str">
        <f ca="1">IFERROR(IF(INDIRECT(J$51 &amp; "_nej!B40")&lt;&gt;0,INDIRECT(J$51 &amp; "_nej!B40"),""),"")</f>
        <v>3. 4.</v>
      </c>
      <c r="Q66" s="331"/>
      <c r="R66" s="61"/>
      <c r="S66" s="229" t="s">
        <v>598</v>
      </c>
      <c r="T66" s="230"/>
      <c r="U66" s="230"/>
      <c r="V66" s="230"/>
      <c r="W66" s="146" t="s">
        <v>599</v>
      </c>
      <c r="X66" s="231">
        <v>44216</v>
      </c>
      <c r="Y66" s="232"/>
      <c r="Z66" s="233"/>
      <c r="AA66" s="138"/>
      <c r="AB66" s="138"/>
      <c r="AC66" s="245" t="s">
        <v>687</v>
      </c>
      <c r="AD66" s="246"/>
      <c r="AE66" s="246"/>
      <c r="AF66" s="247"/>
      <c r="AG66" s="193" t="s">
        <v>559</v>
      </c>
      <c r="AH66" s="248">
        <v>44199</v>
      </c>
      <c r="AI66" s="249"/>
      <c r="AJ66" s="250"/>
    </row>
    <row r="67" spans="1:36" ht="15" customHeight="1" thickTop="1" x14ac:dyDescent="0.25">
      <c r="A67" s="60"/>
      <c r="B67" s="60"/>
      <c r="C67" s="60"/>
      <c r="D67" s="60"/>
      <c r="E67" s="60"/>
      <c r="F67" s="60"/>
      <c r="G67" s="60"/>
      <c r="H67" s="60"/>
      <c r="I67" s="60"/>
      <c r="J67" s="60"/>
      <c r="K67" s="60"/>
      <c r="L67" s="60"/>
      <c r="M67" s="60"/>
      <c r="N67" s="60"/>
      <c r="O67" s="60"/>
      <c r="P67" s="60"/>
      <c r="Q67" s="60"/>
      <c r="R67" s="60"/>
      <c r="S67" s="229" t="s">
        <v>600</v>
      </c>
      <c r="T67" s="230"/>
      <c r="U67" s="230"/>
      <c r="V67" s="230"/>
      <c r="W67" s="146" t="s">
        <v>601</v>
      </c>
      <c r="X67" s="231">
        <v>43821</v>
      </c>
      <c r="Y67" s="232"/>
      <c r="Z67" s="233"/>
      <c r="AA67" s="138"/>
      <c r="AB67" s="138"/>
      <c r="AC67" s="245" t="s">
        <v>687</v>
      </c>
      <c r="AD67" s="246"/>
      <c r="AE67" s="246"/>
      <c r="AF67" s="247"/>
      <c r="AG67" s="193" t="s">
        <v>688</v>
      </c>
      <c r="AH67" s="248">
        <v>43898</v>
      </c>
      <c r="AI67" s="249"/>
      <c r="AJ67" s="250"/>
    </row>
    <row r="68" spans="1:36" ht="15" customHeight="1" x14ac:dyDescent="0.25">
      <c r="A68" s="60"/>
      <c r="B68" s="60"/>
      <c r="C68" s="60"/>
      <c r="D68" s="60"/>
      <c r="E68" s="60"/>
      <c r="F68" s="60"/>
      <c r="G68" s="60"/>
      <c r="H68" s="60"/>
      <c r="I68" s="60"/>
      <c r="J68" s="60"/>
      <c r="K68" s="60"/>
      <c r="L68" s="60"/>
      <c r="M68" s="60"/>
      <c r="N68" s="60"/>
      <c r="O68" s="60"/>
      <c r="P68" s="60"/>
      <c r="Q68" s="60"/>
      <c r="R68" s="60"/>
      <c r="S68" s="229" t="s">
        <v>598</v>
      </c>
      <c r="T68" s="230"/>
      <c r="U68" s="230"/>
      <c r="V68" s="230"/>
      <c r="W68" s="146" t="s">
        <v>602</v>
      </c>
      <c r="X68" s="231">
        <v>43751</v>
      </c>
      <c r="Y68" s="232"/>
      <c r="Z68" s="233"/>
      <c r="AA68" s="138"/>
      <c r="AB68" s="138"/>
      <c r="AC68" s="245" t="s">
        <v>687</v>
      </c>
      <c r="AD68" s="246"/>
      <c r="AE68" s="246"/>
      <c r="AF68" s="247"/>
      <c r="AG68" s="193" t="s">
        <v>688</v>
      </c>
      <c r="AH68" s="248">
        <v>43897</v>
      </c>
      <c r="AI68" s="249"/>
      <c r="AJ68" s="250"/>
    </row>
    <row r="69" spans="1:36" ht="15" customHeight="1" thickBot="1" x14ac:dyDescent="0.3">
      <c r="A69" s="332" t="s">
        <v>225</v>
      </c>
      <c r="B69" s="332"/>
      <c r="C69" s="332"/>
      <c r="D69" s="332"/>
      <c r="E69" s="332"/>
      <c r="F69" s="332"/>
      <c r="G69" s="332"/>
      <c r="H69" s="332"/>
      <c r="I69" s="332"/>
      <c r="J69" s="332"/>
      <c r="K69" s="332"/>
      <c r="L69" s="332"/>
      <c r="M69" s="332"/>
      <c r="N69" s="332"/>
      <c r="O69" s="332"/>
      <c r="P69" s="332"/>
      <c r="Q69" s="332"/>
      <c r="R69" s="332"/>
      <c r="S69" s="229" t="s">
        <v>600</v>
      </c>
      <c r="T69" s="230"/>
      <c r="U69" s="230"/>
      <c r="V69" s="230"/>
      <c r="W69" s="146" t="s">
        <v>603</v>
      </c>
      <c r="X69" s="231">
        <v>43520</v>
      </c>
      <c r="Y69" s="232"/>
      <c r="Z69" s="233"/>
      <c r="AA69" s="138"/>
      <c r="AB69" s="138"/>
      <c r="AC69" s="245" t="s">
        <v>686</v>
      </c>
      <c r="AD69" s="246"/>
      <c r="AE69" s="246"/>
      <c r="AF69" s="247"/>
      <c r="AG69" s="193" t="s">
        <v>690</v>
      </c>
      <c r="AH69" s="248">
        <v>43793</v>
      </c>
      <c r="AI69" s="249"/>
      <c r="AJ69" s="250"/>
    </row>
    <row r="70" spans="1:36" ht="15" customHeight="1" thickTop="1" thickBot="1" x14ac:dyDescent="0.3">
      <c r="A70" s="215" t="s">
        <v>226</v>
      </c>
      <c r="B70" s="216"/>
      <c r="C70" s="356"/>
      <c r="D70" s="365" t="s">
        <v>227</v>
      </c>
      <c r="E70" s="216"/>
      <c r="F70" s="366"/>
      <c r="G70" s="307" t="s">
        <v>228</v>
      </c>
      <c r="H70" s="216"/>
      <c r="I70" s="217"/>
      <c r="J70" s="303" t="s">
        <v>226</v>
      </c>
      <c r="K70" s="304"/>
      <c r="L70" s="367"/>
      <c r="M70" s="344" t="s">
        <v>227</v>
      </c>
      <c r="N70" s="304"/>
      <c r="O70" s="345"/>
      <c r="P70" s="327" t="s">
        <v>228</v>
      </c>
      <c r="Q70" s="304"/>
      <c r="R70" s="328"/>
      <c r="S70" s="229" t="s">
        <v>598</v>
      </c>
      <c r="T70" s="230"/>
      <c r="U70" s="230"/>
      <c r="V70" s="230"/>
      <c r="W70" s="146" t="s">
        <v>604</v>
      </c>
      <c r="X70" s="231">
        <v>43409</v>
      </c>
      <c r="Y70" s="232"/>
      <c r="Z70" s="233"/>
      <c r="AA70" s="138"/>
      <c r="AB70" s="138"/>
      <c r="AC70" s="245" t="s">
        <v>687</v>
      </c>
      <c r="AD70" s="246"/>
      <c r="AE70" s="246"/>
      <c r="AF70" s="247"/>
      <c r="AG70" s="193" t="s">
        <v>689</v>
      </c>
      <c r="AH70" s="248">
        <v>43727</v>
      </c>
      <c r="AI70" s="249"/>
      <c r="AJ70" s="250"/>
    </row>
    <row r="71" spans="1:36" ht="15" customHeight="1" x14ac:dyDescent="0.25">
      <c r="A71" s="362" t="str">
        <f ca="1">IFERROR(VLOOKUP(INDIRECT(A$51 &amp; "_nej!D1"), INDIRECT(A$51 &amp; "!B48:AA82"),19,FALSE),"")</f>
        <v>Strachota</v>
      </c>
      <c r="B71" s="336"/>
      <c r="C71" s="101">
        <f ca="1">IFERROR(INDIRECT(A$51 &amp; "_nej!C1"),"")</f>
        <v>31</v>
      </c>
      <c r="D71" s="335" t="str">
        <f ca="1">IFERROR(VLOOKUP(INDIRECT(A$51 &amp; "_nej!D11"), INDIRECT(A$51 &amp; "!B48:AA82"),19,FALSE),"")</f>
        <v>Gregor</v>
      </c>
      <c r="E71" s="336"/>
      <c r="F71" s="101">
        <f ca="1">IFERROR(INDIRECT(A$51 &amp; "_nej!C11"),"")</f>
        <v>19</v>
      </c>
      <c r="G71" s="335" t="str">
        <f ca="1">IFERROR(VLOOKUP(INDIRECT(A$51 &amp; "_nej!D21"), INDIRECT(A$51 &amp; "!B48:AA82"),19,FALSE),"")</f>
        <v>Strachota</v>
      </c>
      <c r="H71" s="336"/>
      <c r="I71" s="101">
        <f ca="1">IFERROR(INDIRECT(A$51 &amp; "_nej!C21"),"")</f>
        <v>13</v>
      </c>
      <c r="J71" s="363" t="str">
        <f ca="1">IFERROR(VLOOKUP(INDIRECT(J$51 &amp; "_nej!D1"), INDIRECT(J$51 &amp; "!B48:AA82"),19,FALSE),"")</f>
        <v>Ondráček</v>
      </c>
      <c r="K71" s="309"/>
      <c r="L71" s="103">
        <f ca="1">IFERROR(INDIRECT(J$51 &amp; "_nej!C1"),"")</f>
        <v>31</v>
      </c>
      <c r="M71" s="308" t="str">
        <f ca="1">IFERROR(VLOOKUP(INDIRECT(J$51 &amp; "_nej!D11"), INDIRECT(J$51 &amp; "!B48:AA82"),19,FALSE),"")</f>
        <v>Ondráček</v>
      </c>
      <c r="N71" s="309"/>
      <c r="O71" s="103">
        <f ca="1">IFERROR(INDIRECT(J$51 &amp; "_nej!C11"),"")</f>
        <v>18</v>
      </c>
      <c r="P71" s="308" t="str">
        <f ca="1">IFERROR(VLOOKUP(INDIRECT(J$51 &amp; "_nej!D21"), INDIRECT(J$51 &amp; "!B48:AA82"),19,FALSE),"")</f>
        <v>Juhaňák</v>
      </c>
      <c r="Q71" s="309"/>
      <c r="R71" s="160">
        <f ca="1">IFERROR(INDIRECT(J$51 &amp; "_nej!C21"),"")</f>
        <v>19</v>
      </c>
      <c r="S71" s="229" t="s">
        <v>598</v>
      </c>
      <c r="T71" s="230"/>
      <c r="U71" s="230"/>
      <c r="V71" s="230"/>
      <c r="W71" s="146" t="s">
        <v>559</v>
      </c>
      <c r="X71" s="231">
        <v>42359</v>
      </c>
      <c r="Y71" s="232"/>
      <c r="Z71" s="233"/>
      <c r="AA71" s="138"/>
      <c r="AB71" s="138"/>
      <c r="AC71" s="245" t="s">
        <v>686</v>
      </c>
      <c r="AD71" s="246"/>
      <c r="AE71" s="246"/>
      <c r="AF71" s="247"/>
      <c r="AG71" s="193" t="s">
        <v>691</v>
      </c>
      <c r="AH71" s="248">
        <v>43484</v>
      </c>
      <c r="AI71" s="249"/>
      <c r="AJ71" s="250"/>
    </row>
    <row r="72" spans="1:36" ht="15" customHeight="1" thickBot="1" x14ac:dyDescent="0.3">
      <c r="A72" s="343" t="str">
        <f ca="1">IFERROR(VLOOKUP(INDIRECT(A$51 &amp; "_nej!D2"), INDIRECT(A$51 &amp; "!B48:AA82"),19,FALSE),"")</f>
        <v>Gregor</v>
      </c>
      <c r="B72" s="322"/>
      <c r="C72" s="80">
        <f ca="1">IFERROR(INDIRECT(A$51 &amp; "_nej!C2"),"")</f>
        <v>26</v>
      </c>
      <c r="D72" s="321" t="str">
        <f ca="1">IFERROR(VLOOKUP(INDIRECT(A$51 &amp; "_nej!D12"), INDIRECT(A$51 &amp; "!B48:AA82"),19,FALSE),"")</f>
        <v>Strachota</v>
      </c>
      <c r="E72" s="322"/>
      <c r="F72" s="82">
        <f ca="1">IFERROR(INDIRECT(A$51 &amp; "_nej!C12"),"")</f>
        <v>18</v>
      </c>
      <c r="G72" s="329" t="str">
        <f ca="1">IFERROR(VLOOKUP(INDIRECT(A$51 &amp; "_nej!D22"), INDIRECT(A$51 &amp; "!B48:AA82"),19,FALSE),"")</f>
        <v>Stuchlík Z.</v>
      </c>
      <c r="H72" s="322"/>
      <c r="I72" s="129">
        <f ca="1">IFERROR(INDIRECT(A$51 &amp; "_nej!C22"),"")</f>
        <v>13</v>
      </c>
      <c r="J72" s="310" t="str">
        <f ca="1">IFERROR(VLOOKUP(INDIRECT(J$51 &amp; "_nej!D2"), INDIRECT(J$51 &amp; "!B48:AA82"),19,FALSE),"")</f>
        <v>Juhaňák</v>
      </c>
      <c r="K72" s="311"/>
      <c r="L72" s="84">
        <f ca="1">IFERROR(INDIRECT(J$51 &amp; "_nej!C2"),"")</f>
        <v>24</v>
      </c>
      <c r="M72" s="312" t="str">
        <f ca="1">IFERROR(VLOOKUP(INDIRECT(J$51 &amp; "_nej!D12"), INDIRECT(J$51 &amp; "!B48:AA82"),19,FALSE),"")</f>
        <v>Brom</v>
      </c>
      <c r="N72" s="311"/>
      <c r="O72" s="85">
        <f ca="1">IFERROR(INDIRECT(J$51 &amp; "_nej!C12"),"")</f>
        <v>13</v>
      </c>
      <c r="P72" s="358" t="str">
        <f ca="1">IFERROR(VLOOKUP(INDIRECT(J$51 &amp; "_nej!D22"), INDIRECT(J$51 &amp; "!B48:AA82"),19,FALSE),"")</f>
        <v>Ondráček</v>
      </c>
      <c r="Q72" s="311"/>
      <c r="R72" s="86">
        <f ca="1">IFERROR(INDIRECT(J$51 &amp; "_nej!C22"),"")</f>
        <v>13</v>
      </c>
      <c r="S72" s="234" t="s">
        <v>600</v>
      </c>
      <c r="T72" s="235"/>
      <c r="U72" s="235"/>
      <c r="V72" s="235"/>
      <c r="W72" s="147" t="s">
        <v>605</v>
      </c>
      <c r="X72" s="236">
        <v>42267</v>
      </c>
      <c r="Y72" s="237"/>
      <c r="Z72" s="238"/>
      <c r="AA72" s="138"/>
      <c r="AB72" s="138"/>
      <c r="AC72" s="234" t="s">
        <v>687</v>
      </c>
      <c r="AD72" s="235"/>
      <c r="AE72" s="235"/>
      <c r="AF72" s="235"/>
      <c r="AG72" s="194" t="s">
        <v>334</v>
      </c>
      <c r="AH72" s="236">
        <v>43368</v>
      </c>
      <c r="AI72" s="237"/>
      <c r="AJ72" s="238"/>
    </row>
    <row r="73" spans="1:36" ht="15" customHeight="1" thickTop="1" thickBot="1" x14ac:dyDescent="0.3">
      <c r="A73" s="343" t="str">
        <f ca="1">IFERROR(VLOOKUP(INDIRECT(A$51 &amp; "_nej!D3"), INDIRECT(A$51 &amp; "!B48:AA82"),19,FALSE),"")</f>
        <v>Stuchlík Z.</v>
      </c>
      <c r="B73" s="322"/>
      <c r="C73" s="80">
        <f ca="1">IFERROR(INDIRECT(A$51 &amp; "_nej!C3"),"")</f>
        <v>21</v>
      </c>
      <c r="D73" s="321" t="str">
        <f ca="1">IFERROR(VLOOKUP(INDIRECT(A$51 &amp; "_nej!D13"), INDIRECT(A$51 &amp; "!B48:AA82"),19,FALSE),"")</f>
        <v>Bína</v>
      </c>
      <c r="E73" s="322"/>
      <c r="F73" s="82">
        <f ca="1">IFERROR(INDIRECT(A$51 &amp; "_nej!C13"),"")</f>
        <v>11</v>
      </c>
      <c r="G73" s="329" t="str">
        <f ca="1">IFERROR(VLOOKUP(INDIRECT(A$51 &amp; "_nej!D23"), INDIRECT(A$51 &amp; "!B48:AA82"),19,FALSE),"")</f>
        <v>Skřivánek</v>
      </c>
      <c r="H73" s="322"/>
      <c r="I73" s="129">
        <f ca="1">IFERROR(INDIRECT(A$51 &amp; "_nej!C23"),"")</f>
        <v>10</v>
      </c>
      <c r="J73" s="310" t="str">
        <f ca="1">IFERROR(VLOOKUP(INDIRECT(J$51 &amp; "_nej!D3"), INDIRECT(J$51 &amp; "!B48:AA82"),19,FALSE),"")</f>
        <v>Brom</v>
      </c>
      <c r="K73" s="311"/>
      <c r="L73" s="84">
        <f ca="1">IFERROR(INDIRECT(J$51 &amp; "_nej!C3"),"")</f>
        <v>22</v>
      </c>
      <c r="M73" s="312" t="str">
        <f ca="1">IFERROR(VLOOKUP(INDIRECT(J$51 &amp; "_nej!D13"), INDIRECT(J$51 &amp; "!B48:AA82"),19,FALSE),"")</f>
        <v>Nagy</v>
      </c>
      <c r="N73" s="311"/>
      <c r="O73" s="85">
        <f ca="1">IFERROR(INDIRECT(J$51 &amp; "_nej!C13"),"")</f>
        <v>12</v>
      </c>
      <c r="P73" s="358" t="str">
        <f ca="1">IFERROR(VLOOKUP(INDIRECT(J$51 &amp; "_nej!D23"), INDIRECT(J$51 &amp; "!B48:AA82"),19,FALSE),"")</f>
        <v>Brom</v>
      </c>
      <c r="Q73" s="311"/>
      <c r="R73" s="86">
        <f ca="1">IFERROR(INDIRECT(J$51 &amp; "_nej!C23"),"")</f>
        <v>9</v>
      </c>
      <c r="AA73" s="138"/>
      <c r="AB73" s="138"/>
      <c r="AC73" s="181"/>
      <c r="AD73" s="181"/>
      <c r="AE73" s="181"/>
      <c r="AF73" s="181"/>
      <c r="AG73" s="182"/>
      <c r="AH73" s="183"/>
      <c r="AI73" s="184"/>
      <c r="AJ73" s="184"/>
    </row>
    <row r="74" spans="1:36" ht="15" customHeight="1" thickTop="1" thickBot="1" x14ac:dyDescent="0.3">
      <c r="A74" s="343" t="str">
        <f ca="1">IFERROR(VLOOKUP(INDIRECT(A$51 &amp; "_nej!D4"), INDIRECT(A$51 &amp; "!B48:AA82"),19,FALSE),"")</f>
        <v>Bína</v>
      </c>
      <c r="B74" s="322"/>
      <c r="C74" s="80">
        <f ca="1">IFERROR(INDIRECT(A$51 &amp; "_nej!C4"),"")</f>
        <v>20</v>
      </c>
      <c r="D74" s="321" t="str">
        <f ca="1">IFERROR(VLOOKUP(INDIRECT(A$51 &amp; "_nej!D14"), INDIRECT(A$51 &amp; "!B48:AA82"),19,FALSE),"")</f>
        <v>Hartman</v>
      </c>
      <c r="E74" s="322"/>
      <c r="F74" s="82">
        <f ca="1">IFERROR(INDIRECT(A$51 &amp; "_nej!C14"),"")</f>
        <v>10</v>
      </c>
      <c r="G74" s="329" t="str">
        <f ca="1">IFERROR(VLOOKUP(INDIRECT(A$51 &amp; "_nej!D24"), INDIRECT(A$51 &amp; "!B48:AA82"),19,FALSE),"")</f>
        <v>Procházka</v>
      </c>
      <c r="H74" s="322"/>
      <c r="I74" s="129">
        <f ca="1">IFERROR(INDIRECT(A$51 &amp; "_nej!C24"),"")</f>
        <v>9</v>
      </c>
      <c r="J74" s="310" t="str">
        <f ca="1">IFERROR(VLOOKUP(INDIRECT(J$51 &amp; "_nej!D4"), INDIRECT(J$51 &amp; "!B48:AA82"),19,FALSE),"")</f>
        <v>Nagy</v>
      </c>
      <c r="K74" s="311"/>
      <c r="L74" s="84">
        <f ca="1">IFERROR(INDIRECT(J$51 &amp; "_nej!C4"),"")</f>
        <v>17</v>
      </c>
      <c r="M74" s="312" t="str">
        <f ca="1">IFERROR(VLOOKUP(INDIRECT(J$51 &amp; "_nej!D14"), INDIRECT(J$51 &amp; "!B48:AA82"),19,FALSE),"")</f>
        <v>Slezák</v>
      </c>
      <c r="N74" s="311"/>
      <c r="O74" s="85">
        <f ca="1">IFERROR(INDIRECT(J$51 &amp; "_nej!C14"),"")</f>
        <v>8</v>
      </c>
      <c r="P74" s="358" t="str">
        <f ca="1">IFERROR(VLOOKUP(INDIRECT(J$51 &amp; "_nej!D24"), INDIRECT(J$51 &amp; "!B48:AA82"),19,FALSE),"")</f>
        <v>Kostka</v>
      </c>
      <c r="Q74" s="311"/>
      <c r="R74" s="86">
        <f ca="1">IFERROR(INDIRECT(J$51 &amp; "_nej!C24"),"")</f>
        <v>8</v>
      </c>
      <c r="S74" s="215" t="s">
        <v>886</v>
      </c>
      <c r="T74" s="216"/>
      <c r="U74" s="216"/>
      <c r="V74" s="216"/>
      <c r="W74" s="216"/>
      <c r="X74" s="216"/>
      <c r="Y74" s="216"/>
      <c r="Z74" s="217"/>
      <c r="AA74" s="138"/>
      <c r="AB74" s="138"/>
      <c r="AC74" s="215" t="s">
        <v>886</v>
      </c>
      <c r="AD74" s="216"/>
      <c r="AE74" s="216"/>
      <c r="AF74" s="216"/>
      <c r="AG74" s="216"/>
      <c r="AH74" s="216"/>
      <c r="AI74" s="216"/>
      <c r="AJ74" s="217"/>
    </row>
    <row r="75" spans="1:36" ht="15" customHeight="1" thickBot="1" x14ac:dyDescent="0.3">
      <c r="A75" s="346" t="str">
        <f ca="1">IFERROR(VLOOKUP(INDIRECT(A$51 &amp; "_nej!D5"), INDIRECT(A$51 &amp; "!B48:AA82"),19,FALSE),"")</f>
        <v>Skřivánek</v>
      </c>
      <c r="B75" s="347"/>
      <c r="C75" s="81">
        <f ca="1">IFERROR(INDIRECT(A$51 &amp; "_nej!C5"),"")</f>
        <v>16</v>
      </c>
      <c r="D75" s="359" t="str">
        <f ca="1">IFERROR(VLOOKUP(INDIRECT(A$51 &amp; "_nej!D15"), INDIRECT(A$51 &amp; "!B48:AA82"),19,FALSE),"")</f>
        <v>Fiala</v>
      </c>
      <c r="E75" s="347"/>
      <c r="F75" s="83">
        <f ca="1">IFERROR(INDIRECT(A$51 &amp; "_nej!C15"),"")</f>
        <v>8</v>
      </c>
      <c r="G75" s="360" t="str">
        <f ca="1">IFERROR(VLOOKUP(INDIRECT(A$51 &amp; "_nej!D25"), INDIRECT(A$51 &amp; "!B48:AA82"),19,FALSE),"")</f>
        <v>Bína</v>
      </c>
      <c r="H75" s="347"/>
      <c r="I75" s="130">
        <f ca="1">IFERROR(INDIRECT(A$51 &amp; "_nej!C25"),"")</f>
        <v>9</v>
      </c>
      <c r="J75" s="361" t="str">
        <f ca="1">IFERROR(VLOOKUP(INDIRECT(J$51 &amp; "_nej!D5"), INDIRECT(J$51 &amp; "!B48:AA82"),19,FALSE),"")</f>
        <v>Slezák</v>
      </c>
      <c r="K75" s="314"/>
      <c r="L75" s="87">
        <f ca="1">IFERROR(INDIRECT(J$51 &amp; "_nej!C5"),"")</f>
        <v>11</v>
      </c>
      <c r="M75" s="348" t="str">
        <f ca="1">IFERROR(VLOOKUP(INDIRECT(J$51 &amp; "_nej!D15"), INDIRECT(J$51 &amp; "!B48:AA82"),19,FALSE),"")</f>
        <v>Hemerka</v>
      </c>
      <c r="N75" s="314"/>
      <c r="O75" s="88">
        <f ca="1">IFERROR(INDIRECT(J$51 &amp; "_nej!C15"),"")</f>
        <v>7</v>
      </c>
      <c r="P75" s="313" t="str">
        <f ca="1">IFERROR(VLOOKUP(INDIRECT(J$51 &amp; "_nej!D25"), INDIRECT(J$51 &amp; "!B48:AA82"),19,FALSE),"")</f>
        <v>Sládeček</v>
      </c>
      <c r="Q75" s="314"/>
      <c r="R75" s="98">
        <f ca="1">IFERROR(INDIRECT(J$51 &amp; "_nej!C25"),"")</f>
        <v>7</v>
      </c>
      <c r="S75" s="239" t="s">
        <v>886</v>
      </c>
      <c r="T75" s="240"/>
      <c r="U75" s="240"/>
      <c r="V75" s="241"/>
      <c r="W75" s="145" t="s">
        <v>949</v>
      </c>
      <c r="X75" s="242">
        <v>44248</v>
      </c>
      <c r="Y75" s="243"/>
      <c r="Z75" s="244"/>
      <c r="AA75" s="138"/>
      <c r="AB75" s="138"/>
      <c r="AC75" s="218" t="s">
        <v>953</v>
      </c>
      <c r="AD75" s="219"/>
      <c r="AE75" s="219"/>
      <c r="AF75" s="220"/>
      <c r="AG75" s="195" t="s">
        <v>1064</v>
      </c>
      <c r="AH75" s="221">
        <v>44262</v>
      </c>
      <c r="AI75" s="222"/>
      <c r="AJ75" s="223"/>
    </row>
    <row r="76" spans="1:36" ht="15" customHeight="1" thickTop="1" thickBot="1" x14ac:dyDescent="0.3">
      <c r="A76" s="61"/>
      <c r="B76" s="60"/>
      <c r="C76" s="60"/>
      <c r="D76" s="62"/>
      <c r="E76" s="60"/>
      <c r="F76" s="60"/>
      <c r="G76" s="60"/>
      <c r="H76" s="60"/>
      <c r="I76" s="60"/>
      <c r="J76" s="60"/>
      <c r="K76" s="60"/>
      <c r="L76" s="60"/>
      <c r="M76" s="61"/>
      <c r="N76" s="60"/>
      <c r="O76" s="60"/>
      <c r="P76" s="62"/>
      <c r="Q76" s="60"/>
      <c r="R76" s="60"/>
      <c r="S76" s="395" t="s">
        <v>884</v>
      </c>
      <c r="T76" s="396"/>
      <c r="U76" s="396"/>
      <c r="V76" s="396"/>
      <c r="W76" s="208" t="s">
        <v>885</v>
      </c>
      <c r="X76" s="397">
        <v>44178</v>
      </c>
      <c r="Y76" s="398"/>
      <c r="Z76" s="399"/>
      <c r="AA76" s="138"/>
      <c r="AB76" s="138"/>
      <c r="AC76" s="224" t="s">
        <v>950</v>
      </c>
      <c r="AD76" s="225"/>
      <c r="AE76" s="225"/>
      <c r="AF76" s="225"/>
      <c r="AG76" s="155" t="s">
        <v>952</v>
      </c>
      <c r="AH76" s="226">
        <v>44206</v>
      </c>
      <c r="AI76" s="227"/>
      <c r="AJ76" s="228"/>
    </row>
    <row r="77" spans="1:36" ht="15" customHeight="1" thickTop="1" thickBot="1" x14ac:dyDescent="0.3">
      <c r="A77" s="215" t="s">
        <v>229</v>
      </c>
      <c r="B77" s="216"/>
      <c r="C77" s="356"/>
      <c r="D77" s="365" t="s">
        <v>90</v>
      </c>
      <c r="E77" s="216"/>
      <c r="F77" s="366"/>
      <c r="G77" s="307" t="s">
        <v>230</v>
      </c>
      <c r="H77" s="216"/>
      <c r="I77" s="217"/>
      <c r="J77" s="303" t="s">
        <v>229</v>
      </c>
      <c r="K77" s="304"/>
      <c r="L77" s="367"/>
      <c r="M77" s="344" t="s">
        <v>90</v>
      </c>
      <c r="N77" s="304"/>
      <c r="O77" s="345"/>
      <c r="P77" s="327" t="s">
        <v>230</v>
      </c>
      <c r="Q77" s="304"/>
      <c r="R77" s="328"/>
      <c r="S77" s="229" t="s">
        <v>886</v>
      </c>
      <c r="T77" s="230"/>
      <c r="U77" s="230"/>
      <c r="V77" s="230"/>
      <c r="W77" s="193" t="s">
        <v>887</v>
      </c>
      <c r="X77" s="231">
        <v>43884</v>
      </c>
      <c r="Y77" s="232"/>
      <c r="Z77" s="233"/>
      <c r="AA77" s="144"/>
      <c r="AB77" s="144"/>
      <c r="AC77" s="229" t="s">
        <v>950</v>
      </c>
      <c r="AD77" s="230"/>
      <c r="AE77" s="230"/>
      <c r="AF77" s="230"/>
      <c r="AG77" s="193" t="s">
        <v>951</v>
      </c>
      <c r="AH77" s="231">
        <v>43869</v>
      </c>
      <c r="AI77" s="232"/>
      <c r="AJ77" s="233"/>
    </row>
    <row r="78" spans="1:36" ht="15" customHeight="1" x14ac:dyDescent="0.25">
      <c r="A78" s="362" t="str">
        <f ca="1">IFERROR(VLOOKUP(INDIRECT(A$51 &amp; "_nej!D26"), INDIRECT(A$51 &amp; "!B48:AA82"),19,FALSE),"")</f>
        <v>Stuchlík Z.</v>
      </c>
      <c r="B78" s="336"/>
      <c r="C78" s="101">
        <f ca="1">IFERROR(INDIRECT(A$51 &amp; "_nej!C26"),"")</f>
        <v>15</v>
      </c>
      <c r="D78" s="335" t="str">
        <f ca="1">IFERROR(VLOOKUP(INDIRECT(A$51 &amp; "_nej!D6"), INDIRECT(A$51 &amp; "!B48:AA82"),19,FALSE),"")</f>
        <v>Šantora</v>
      </c>
      <c r="E78" s="336"/>
      <c r="F78" s="116">
        <f ca="1">IFERROR(INDIRECT(A$51 &amp; "_nej!F6"),"")</f>
        <v>7.14</v>
      </c>
      <c r="G78" s="335" t="str">
        <f ca="1">IFERROR(VLOOKUP(INDIRECT(A$51 &amp; "_nej!D16"), INDIRECT(A$51 &amp; "!B48:AA82"),19,FALSE),"")</f>
        <v>Šantora</v>
      </c>
      <c r="H78" s="336"/>
      <c r="I78" s="101">
        <f ca="1">IFERROR(INDIRECT(A$51 &amp; "_nej!F16"),"")</f>
        <v>4</v>
      </c>
      <c r="J78" s="363" t="str">
        <f ca="1">IFERROR(VLOOKUP(INDIRECT(J$51 &amp; "_nej!D26"), INDIRECT(J$51 &amp; "!B48:AA82"),19,FALSE),"")</f>
        <v>Kuhn</v>
      </c>
      <c r="K78" s="309"/>
      <c r="L78" s="103">
        <f ca="1">IFERROR(INDIRECT(J$51 &amp; "_nej!C26"),"")</f>
        <v>25</v>
      </c>
      <c r="M78" s="308" t="str">
        <f ca="1">IFERROR(VLOOKUP(INDIRECT(J$51 &amp; "_nej!D6"), INDIRECT(J$51 &amp; "!B48:AA82"),19,FALSE),"")</f>
        <v>Kuhn</v>
      </c>
      <c r="N78" s="309"/>
      <c r="O78" s="114">
        <f ca="1">IFERROR(INDIRECT(J$51 &amp; "_nej!F6"),"")</f>
        <v>5.07</v>
      </c>
      <c r="P78" s="308" t="str">
        <f ca="1">IFERROR(VLOOKUP(INDIRECT(J$51 &amp; "_nej!D16"), INDIRECT(J$51 &amp; "!B48:AA82"),19,FALSE),"")</f>
        <v>Kuhn</v>
      </c>
      <c r="Q78" s="309"/>
      <c r="R78" s="160">
        <f ca="1">IFERROR(INDIRECT(J$51 &amp; "_nej!F16"),"")</f>
        <v>3</v>
      </c>
      <c r="S78" s="229" t="s">
        <v>884</v>
      </c>
      <c r="T78" s="230"/>
      <c r="U78" s="230"/>
      <c r="V78" s="230"/>
      <c r="W78" s="193" t="s">
        <v>888</v>
      </c>
      <c r="X78" s="231">
        <v>43771</v>
      </c>
      <c r="Y78" s="232"/>
      <c r="Z78" s="233"/>
      <c r="AA78" s="144"/>
      <c r="AB78" s="144"/>
      <c r="AC78" s="229" t="s">
        <v>953</v>
      </c>
      <c r="AD78" s="230"/>
      <c r="AE78" s="230"/>
      <c r="AF78" s="230"/>
      <c r="AG78" s="193" t="s">
        <v>889</v>
      </c>
      <c r="AH78" s="231">
        <v>43766</v>
      </c>
      <c r="AI78" s="232"/>
      <c r="AJ78" s="233"/>
    </row>
    <row r="79" spans="1:36" ht="15" customHeight="1" x14ac:dyDescent="0.25">
      <c r="A79" s="343" t="str">
        <f ca="1">IFERROR(VLOOKUP(INDIRECT(A$51 &amp; "_nej!D27"), INDIRECT(A$51 &amp; "!B48:AA82"),19,FALSE),"")</f>
        <v>Strachota</v>
      </c>
      <c r="B79" s="322"/>
      <c r="C79" s="80">
        <f ca="1">IFERROR(INDIRECT(A$51 &amp; "_nej!C27"),"")</f>
        <v>10</v>
      </c>
      <c r="D79" s="321" t="str">
        <f ca="1">IFERROR(VLOOKUP(INDIRECT(A$51 &amp; "_nej!D7"), INDIRECT(A$51 &amp; "!B48:AA82"),19,FALSE),"")</f>
        <v>Mazák</v>
      </c>
      <c r="E79" s="322"/>
      <c r="F79" s="96">
        <f ca="1">IFERROR(INDIRECT(A$51 &amp; "_nej!F7"),"")</f>
        <v>7.18</v>
      </c>
      <c r="G79" s="329" t="str">
        <f ca="1">IFERROR(VLOOKUP(INDIRECT(A$51 &amp; "_nej!D17"), INDIRECT(A$51 &amp; "!B48:AA82"),19,FALSE),"")</f>
        <v>Buchta</v>
      </c>
      <c r="H79" s="322"/>
      <c r="I79" s="129">
        <f ca="1">IFERROR(INDIRECT(A$51 &amp; "_nej!F17"),"")</f>
        <v>0</v>
      </c>
      <c r="J79" s="310" t="str">
        <f ca="1">IFERROR(VLOOKUP(INDIRECT(J$51 &amp; "_nej!D27"), INDIRECT(J$51 &amp; "!B48:AA82"),19,FALSE),"")</f>
        <v>Dvořák</v>
      </c>
      <c r="K79" s="311"/>
      <c r="L79" s="84">
        <f ca="1">IFERROR(INDIRECT(J$51 &amp; "_nej!C27"),"")</f>
        <v>13</v>
      </c>
      <c r="M79" s="312" t="str">
        <f ca="1">IFERROR(VLOOKUP(INDIRECT(J$51 &amp; "_nej!D7"), INDIRECT(J$51 &amp; "!B48:AA82"),19,FALSE),"")</f>
        <v>Kolajta</v>
      </c>
      <c r="N79" s="311"/>
      <c r="O79" s="94">
        <f ca="1">IFERROR(INDIRECT(J$51 &amp; "_nej!F7"),"")</f>
        <v>6.01</v>
      </c>
      <c r="P79" s="358" t="str">
        <f ca="1">IFERROR(VLOOKUP(INDIRECT(J$51 &amp; "_nej!D17"), INDIRECT(J$51 &amp; "!B48:AA82"),19,FALSE),"")</f>
        <v>Kolajta</v>
      </c>
      <c r="Q79" s="311"/>
      <c r="R79" s="86">
        <f ca="1">IFERROR(INDIRECT(J$51 &amp; "_nej!F17"),"")</f>
        <v>1</v>
      </c>
      <c r="S79" s="229" t="s">
        <v>886</v>
      </c>
      <c r="T79" s="230"/>
      <c r="U79" s="230"/>
      <c r="V79" s="230"/>
      <c r="W79" s="193" t="s">
        <v>889</v>
      </c>
      <c r="X79" s="231">
        <v>43476</v>
      </c>
      <c r="Y79" s="232"/>
      <c r="Z79" s="233"/>
      <c r="AA79" s="144"/>
      <c r="AB79" s="144"/>
      <c r="AC79" s="229" t="s">
        <v>950</v>
      </c>
      <c r="AD79" s="230"/>
      <c r="AE79" s="230"/>
      <c r="AF79" s="230"/>
      <c r="AG79" s="193" t="s">
        <v>954</v>
      </c>
      <c r="AH79" s="231">
        <v>43507</v>
      </c>
      <c r="AI79" s="232"/>
      <c r="AJ79" s="233"/>
    </row>
    <row r="80" spans="1:36" ht="15" customHeight="1" x14ac:dyDescent="0.25">
      <c r="A80" s="343" t="str">
        <f ca="1">IFERROR(VLOOKUP(INDIRECT(A$51 &amp; "_nej!D28"), INDIRECT(A$51 &amp; "!B48:AA82"),19,FALSE),"")</f>
        <v>Svoboda</v>
      </c>
      <c r="B80" s="322"/>
      <c r="C80" s="80">
        <f ca="1">IFERROR(INDIRECT(A$51 &amp; "_nej!C28"),"")</f>
        <v>8</v>
      </c>
      <c r="D80" s="321" t="str">
        <f ca="1">IFERROR(VLOOKUP(INDIRECT(A$51 &amp; "_nej!D8"), INDIRECT(A$51 &amp; "!B48:AA82"),19,FALSE),"")</f>
        <v>Buchta</v>
      </c>
      <c r="E80" s="322"/>
      <c r="F80" s="96">
        <f ca="1">IFERROR(INDIRECT(A$51 &amp; "_nej!F8"),"")</f>
        <v>8.1199999999999992</v>
      </c>
      <c r="G80" s="329" t="str">
        <f ca="1">IFERROR(VLOOKUP(INDIRECT(A$51 &amp; "_nej!D18"), INDIRECT(A$51 &amp; "!B48:AA82"),19,FALSE),"")</f>
        <v>Lorenc</v>
      </c>
      <c r="H80" s="322"/>
      <c r="I80" s="129">
        <f ca="1">IFERROR(INDIRECT(A$51 &amp; "_nej!F18"),"")</f>
        <v>0</v>
      </c>
      <c r="J80" s="310" t="str">
        <f ca="1">IFERROR(VLOOKUP(INDIRECT(J$51 &amp; "_nej!D28"), INDIRECT(J$51 &amp; "!B48:AA82"),19,FALSE),"")</f>
        <v>Sládeček</v>
      </c>
      <c r="K80" s="311"/>
      <c r="L80" s="84">
        <f ca="1">IFERROR(INDIRECT(J$51 &amp; "_nej!C28"),"")</f>
        <v>12</v>
      </c>
      <c r="M80" s="312" t="str">
        <f ca="1">IFERROR(VLOOKUP(INDIRECT(J$51 &amp; "_nej!D8"), INDIRECT(J$51 &amp; "!B48:AA82"),19,FALSE),"")</f>
        <v>Létal</v>
      </c>
      <c r="N80" s="311"/>
      <c r="O80" s="94">
        <f ca="1">IFERROR(INDIRECT(J$51 &amp; "_nej!F8"),"")</f>
        <v>7.17</v>
      </c>
      <c r="P80" s="358" t="str">
        <f ca="1">IFERROR(VLOOKUP(INDIRECT(J$51 &amp; "_nej!D18"), INDIRECT(J$51 &amp; "!B48:AA82"),19,FALSE),"")</f>
        <v>Létal</v>
      </c>
      <c r="Q80" s="311"/>
      <c r="R80" s="86">
        <f ca="1">IFERROR(INDIRECT(J$51 &amp; "_nej!F18"),"")</f>
        <v>0</v>
      </c>
      <c r="S80" s="229" t="s">
        <v>884</v>
      </c>
      <c r="T80" s="230"/>
      <c r="U80" s="230"/>
      <c r="V80" s="230"/>
      <c r="W80" s="193" t="s">
        <v>890</v>
      </c>
      <c r="X80" s="231">
        <v>43371</v>
      </c>
      <c r="Y80" s="232"/>
      <c r="Z80" s="233"/>
      <c r="AA80" s="144"/>
      <c r="AB80" s="144"/>
      <c r="AC80" s="229" t="s">
        <v>953</v>
      </c>
      <c r="AD80" s="230"/>
      <c r="AE80" s="230"/>
      <c r="AF80" s="230"/>
      <c r="AG80" s="193" t="s">
        <v>235</v>
      </c>
      <c r="AH80" s="231">
        <v>43357</v>
      </c>
      <c r="AI80" s="232"/>
      <c r="AJ80" s="233"/>
    </row>
    <row r="81" spans="1:36" ht="15" customHeight="1" x14ac:dyDescent="0.25">
      <c r="A81" s="343" t="str">
        <f ca="1">IFERROR(VLOOKUP(INDIRECT(A$51 &amp; "_nej!D29"), INDIRECT(A$51 &amp; "!B48:AA82"),19,FALSE),"")</f>
        <v>Stuchlík O.</v>
      </c>
      <c r="B81" s="322"/>
      <c r="C81" s="80">
        <f ca="1">IFERROR(INDIRECT(A$51 &amp; "_nej!C29"),"")</f>
        <v>6</v>
      </c>
      <c r="D81" s="321" t="str">
        <f ca="1">IFERROR(VLOOKUP(INDIRECT(A$51 &amp; "_nej!D9"), INDIRECT(A$51 &amp; "!B48:AA82"),19,FALSE),"")</f>
        <v>Lorenc</v>
      </c>
      <c r="E81" s="322"/>
      <c r="F81" s="96">
        <f ca="1">IFERROR(INDIRECT(A$51 &amp; "_nej!F9"),"")</f>
        <v>12</v>
      </c>
      <c r="G81" s="329" t="str">
        <f ca="1">IFERROR(VLOOKUP(INDIRECT(A$51 &amp; "_nej!D19"), INDIRECT(A$51 &amp; "!B48:AA82"),19,FALSE),"")</f>
        <v>Mazák</v>
      </c>
      <c r="H81" s="322"/>
      <c r="I81" s="129">
        <f ca="1">IFERROR(INDIRECT(A$51 &amp; "_nej!F19"),"")</f>
        <v>0</v>
      </c>
      <c r="J81" s="310" t="str">
        <f ca="1">IFERROR(VLOOKUP(INDIRECT(J$51 &amp; "_nej!D29"), INDIRECT(J$51 &amp; "!B48:AA82"),19,FALSE),"")</f>
        <v>Hemerka</v>
      </c>
      <c r="K81" s="311"/>
      <c r="L81" s="84">
        <f ca="1">IFERROR(INDIRECT(J$51 &amp; "_nej!C29"),"")</f>
        <v>10</v>
      </c>
      <c r="M81" s="312" t="str">
        <f ca="1">IFERROR(VLOOKUP(INDIRECT(J$51 &amp; "_nej!D9"), INDIRECT(J$51 &amp; "!B48:AA82"),19,FALSE),"")</f>
        <v/>
      </c>
      <c r="N81" s="311"/>
      <c r="O81" s="94" t="str">
        <f ca="1">IFERROR(INDIRECT(J$51 &amp; "_nej!F9"),"")</f>
        <v/>
      </c>
      <c r="P81" s="358" t="str">
        <f ca="1">IFERROR(VLOOKUP(INDIRECT(J$51 &amp; "_nej!D19"), INDIRECT(J$51 &amp; "!B48:AA82"),19,FALSE),"")</f>
        <v/>
      </c>
      <c r="Q81" s="311"/>
      <c r="R81" s="86" t="str">
        <f ca="1">IFERROR(INDIRECT(J$51 &amp; "_nej!F19"),"")</f>
        <v/>
      </c>
      <c r="S81" s="229" t="s">
        <v>884</v>
      </c>
      <c r="T81" s="230"/>
      <c r="U81" s="230"/>
      <c r="V81" s="230"/>
      <c r="W81" s="193" t="s">
        <v>891</v>
      </c>
      <c r="X81" s="231">
        <v>42344</v>
      </c>
      <c r="Y81" s="232"/>
      <c r="Z81" s="233"/>
      <c r="AA81" s="144"/>
      <c r="AB81" s="144"/>
      <c r="AC81" s="229" t="s">
        <v>950</v>
      </c>
      <c r="AD81" s="230"/>
      <c r="AE81" s="230"/>
      <c r="AF81" s="230"/>
      <c r="AG81" s="193" t="s">
        <v>955</v>
      </c>
      <c r="AH81" s="231">
        <v>42101</v>
      </c>
      <c r="AI81" s="232"/>
      <c r="AJ81" s="233"/>
    </row>
    <row r="82" spans="1:36" ht="15" customHeight="1" thickBot="1" x14ac:dyDescent="0.3">
      <c r="A82" s="346" t="str">
        <f ca="1">IFERROR(VLOOKUP(INDIRECT(A$51 &amp; "_nej!D30"), INDIRECT(A$51 &amp; "!B48:AA82"),19,FALSE),"")</f>
        <v>Vnuk</v>
      </c>
      <c r="B82" s="347"/>
      <c r="C82" s="81">
        <f ca="1">IFERROR(INDIRECT(A$51 &amp; "_nej!C30"),"")</f>
        <v>6</v>
      </c>
      <c r="D82" s="359" t="str">
        <f ca="1">IFERROR(VLOOKUP(INDIRECT(A$51 &amp; "_nej!D10"), INDIRECT(A$51 &amp; "!B48:AA82"),19,FALSE),"")</f>
        <v/>
      </c>
      <c r="E82" s="347"/>
      <c r="F82" s="97" t="str">
        <f ca="1">IFERROR(INDIRECT(A$51 &amp; "_nej!F10"),"")</f>
        <v/>
      </c>
      <c r="G82" s="360" t="str">
        <f ca="1">IFERROR(VLOOKUP(INDIRECT(A$51 &amp; "_nej!D20"), INDIRECT(A$51 &amp; "!B48:AA82"),19,FALSE),"")</f>
        <v/>
      </c>
      <c r="H82" s="347"/>
      <c r="I82" s="130" t="str">
        <f ca="1">IFERROR(INDIRECT(A$51 &amp; "_nej!F20"),"")</f>
        <v/>
      </c>
      <c r="J82" s="361" t="str">
        <f ca="1">IFERROR(VLOOKUP(INDIRECT(J$51 &amp; "_nej!D30"), INDIRECT(J$51 &amp; "!B48:AA82"),19,FALSE),"")</f>
        <v>Fuchs</v>
      </c>
      <c r="K82" s="314"/>
      <c r="L82" s="87">
        <f ca="1">IFERROR(INDIRECT(J$51 &amp; "_nej!C30"),"")</f>
        <v>10</v>
      </c>
      <c r="M82" s="348" t="str">
        <f ca="1">IFERROR(VLOOKUP(INDIRECT(J$51 &amp; "_nej!D10"), INDIRECT(J$51 &amp; "!B48:AA82"),19,FALSE),"")</f>
        <v/>
      </c>
      <c r="N82" s="314"/>
      <c r="O82" s="95" t="str">
        <f ca="1">IFERROR(INDIRECT(J$51 &amp; "_nej!F10"),"")</f>
        <v/>
      </c>
      <c r="P82" s="313" t="str">
        <f ca="1">IFERROR(VLOOKUP(INDIRECT(J$51 &amp; "_nej!D20"), INDIRECT(J$51 &amp; "!B48:AA82"),19,FALSE),"")</f>
        <v/>
      </c>
      <c r="Q82" s="314"/>
      <c r="R82" s="98" t="str">
        <f ca="1">IFERROR(INDIRECT(J$51 &amp; "_nej!F20"),"")</f>
        <v/>
      </c>
      <c r="S82" s="234" t="s">
        <v>886</v>
      </c>
      <c r="T82" s="235"/>
      <c r="U82" s="235"/>
      <c r="V82" s="235"/>
      <c r="W82" s="194" t="s">
        <v>892</v>
      </c>
      <c r="X82" s="236">
        <v>42301</v>
      </c>
      <c r="Y82" s="237"/>
      <c r="Z82" s="238"/>
      <c r="AA82" s="144"/>
      <c r="AB82" s="144"/>
      <c r="AC82" s="234" t="s">
        <v>953</v>
      </c>
      <c r="AD82" s="235"/>
      <c r="AE82" s="235"/>
      <c r="AF82" s="235"/>
      <c r="AG82" s="194" t="s">
        <v>956</v>
      </c>
      <c r="AH82" s="236">
        <v>42099</v>
      </c>
      <c r="AI82" s="237"/>
      <c r="AJ82" s="238"/>
    </row>
    <row r="83" spans="1:36" ht="15" customHeight="1" thickTop="1" x14ac:dyDescent="0.25">
      <c r="A83" s="60"/>
      <c r="B83" s="60"/>
      <c r="C83" s="60"/>
      <c r="D83" s="60"/>
      <c r="E83" s="60"/>
      <c r="F83" s="61"/>
      <c r="G83" s="60"/>
      <c r="H83" s="60"/>
      <c r="I83" s="60"/>
      <c r="J83" s="60"/>
      <c r="K83" s="60"/>
      <c r="L83" s="60"/>
      <c r="M83" s="60"/>
      <c r="N83" s="60"/>
      <c r="O83" s="60"/>
      <c r="P83" s="60"/>
      <c r="Q83" s="60"/>
      <c r="R83" s="61"/>
      <c r="S83" s="144"/>
      <c r="T83" s="144"/>
      <c r="U83" s="144"/>
      <c r="V83" s="144"/>
      <c r="W83" s="144"/>
      <c r="X83" s="144"/>
      <c r="Y83" s="144"/>
      <c r="Z83" s="144"/>
      <c r="AA83" s="144"/>
      <c r="AB83" s="144"/>
      <c r="AC83" s="144"/>
      <c r="AD83" s="144"/>
      <c r="AE83" s="144"/>
      <c r="AF83" s="144"/>
      <c r="AG83" s="144"/>
      <c r="AH83" s="144"/>
      <c r="AI83" s="144"/>
      <c r="AJ83" s="144"/>
    </row>
    <row r="84" spans="1:36" ht="15" customHeight="1" thickBot="1" x14ac:dyDescent="0.3">
      <c r="A84" s="60"/>
      <c r="B84" s="60"/>
      <c r="C84" s="60"/>
      <c r="D84" s="60"/>
      <c r="E84" s="60"/>
      <c r="F84" s="61"/>
      <c r="G84" s="60"/>
      <c r="H84" s="60"/>
      <c r="I84" s="60"/>
      <c r="J84" s="60"/>
      <c r="K84" s="60"/>
      <c r="L84" s="60"/>
      <c r="M84" s="60"/>
      <c r="N84" s="60"/>
      <c r="O84" s="60"/>
      <c r="P84" s="60"/>
      <c r="Q84" s="60"/>
      <c r="R84" s="61"/>
      <c r="S84" s="144"/>
      <c r="T84" s="144"/>
      <c r="U84" s="144"/>
      <c r="V84" s="144"/>
      <c r="W84" s="144"/>
      <c r="X84" s="144"/>
      <c r="Y84" s="144"/>
      <c r="Z84" s="144"/>
      <c r="AA84" s="144"/>
      <c r="AB84" s="144"/>
      <c r="AC84" s="144"/>
      <c r="AD84" s="144"/>
      <c r="AE84" s="144"/>
      <c r="AF84" s="144"/>
      <c r="AG84" s="144"/>
      <c r="AH84" s="144"/>
      <c r="AI84" s="144"/>
      <c r="AJ84" s="144"/>
    </row>
    <row r="85" spans="1:36" ht="15" customHeight="1" thickTop="1" thickBot="1" x14ac:dyDescent="0.3">
      <c r="A85" s="215" t="s">
        <v>47</v>
      </c>
      <c r="B85" s="216"/>
      <c r="C85" s="216"/>
      <c r="D85" s="216"/>
      <c r="E85" s="216"/>
      <c r="F85" s="216"/>
      <c r="G85" s="216"/>
      <c r="H85" s="217"/>
      <c r="I85" s="60"/>
      <c r="J85" s="303" t="s">
        <v>47</v>
      </c>
      <c r="K85" s="304"/>
      <c r="L85" s="304"/>
      <c r="M85" s="304"/>
      <c r="N85" s="304"/>
      <c r="O85" s="304"/>
      <c r="P85" s="304"/>
      <c r="Q85" s="328"/>
      <c r="R85" s="60"/>
      <c r="S85" s="144"/>
      <c r="T85" s="144"/>
      <c r="U85" s="144"/>
      <c r="V85" s="144"/>
      <c r="W85" s="144"/>
      <c r="X85" s="144"/>
      <c r="Y85" s="144"/>
      <c r="Z85" s="144"/>
      <c r="AA85" s="144"/>
      <c r="AB85" s="144"/>
      <c r="AC85" s="144"/>
      <c r="AD85" s="144"/>
      <c r="AE85" s="144"/>
      <c r="AF85" s="144"/>
      <c r="AG85" s="144"/>
      <c r="AH85" s="144"/>
      <c r="AI85" s="144"/>
      <c r="AJ85" s="144"/>
    </row>
    <row r="86" spans="1:36" ht="15" customHeight="1" x14ac:dyDescent="0.25">
      <c r="A86" s="353" t="str">
        <f ca="1">IFERROR(INDIRECT($A$51 &amp; "!Q2"),"")</f>
        <v>Gregor - 6 GP</v>
      </c>
      <c r="B86" s="354"/>
      <c r="C86" s="354"/>
      <c r="D86" s="354"/>
      <c r="E86" s="354" t="str">
        <f ca="1">IFERROR(INDIRECT($A$51 &amp; "!Q4"),"")</f>
        <v>-</v>
      </c>
      <c r="F86" s="354"/>
      <c r="G86" s="354"/>
      <c r="H86" s="383"/>
      <c r="I86" s="60"/>
      <c r="J86" s="385" t="str">
        <f ca="1">IFERROR(INDIRECT($J$51 &amp; "!Q2"),"")</f>
        <v>-</v>
      </c>
      <c r="K86" s="386"/>
      <c r="L86" s="386"/>
      <c r="M86" s="386"/>
      <c r="N86" s="386" t="str">
        <f ca="1">IFERROR(INDIRECT($J$51 &amp; "!Q4"),"")</f>
        <v>-</v>
      </c>
      <c r="O86" s="386"/>
      <c r="P86" s="386"/>
      <c r="Q86" s="387"/>
      <c r="R86" s="60"/>
      <c r="S86" s="144"/>
      <c r="T86" s="144"/>
      <c r="U86" s="144"/>
      <c r="V86" s="144"/>
      <c r="W86" s="144"/>
      <c r="X86" s="144"/>
      <c r="Y86" s="144"/>
      <c r="Z86" s="144"/>
      <c r="AA86" s="144"/>
      <c r="AB86" s="144"/>
      <c r="AC86" s="144"/>
      <c r="AD86" s="144"/>
      <c r="AE86" s="144"/>
      <c r="AF86" s="144"/>
      <c r="AG86" s="144"/>
      <c r="AH86" s="144"/>
      <c r="AI86" s="144"/>
      <c r="AJ86" s="144"/>
    </row>
    <row r="87" spans="1:36" ht="15" customHeight="1" thickBot="1" x14ac:dyDescent="0.3">
      <c r="A87" s="341" t="str">
        <f ca="1">IFERROR(INDIRECT($A$51 &amp; "!Q3"),"")</f>
        <v>Stuchlík O. - 4 GP</v>
      </c>
      <c r="B87" s="326"/>
      <c r="C87" s="326"/>
      <c r="D87" s="326"/>
      <c r="E87" s="326" t="str">
        <f ca="1">IFERROR(INDIRECT($A$51 &amp; "!Q5"),"")</f>
        <v>Lanc -    -30 ±</v>
      </c>
      <c r="F87" s="326"/>
      <c r="G87" s="326"/>
      <c r="H87" s="384"/>
      <c r="I87" s="60"/>
      <c r="J87" s="388" t="str">
        <f ca="1">IFERROR(INDIRECT($J$51 &amp; "!Q3"),"")</f>
        <v>-</v>
      </c>
      <c r="K87" s="389"/>
      <c r="L87" s="389"/>
      <c r="M87" s="389"/>
      <c r="N87" s="389" t="str">
        <f ca="1">IFERROR(INDIRECT($J$51 &amp; "!Q5"),"")</f>
        <v>-</v>
      </c>
      <c r="O87" s="389"/>
      <c r="P87" s="389"/>
      <c r="Q87" s="390"/>
      <c r="R87" s="59"/>
      <c r="S87" s="144"/>
      <c r="T87" s="144"/>
      <c r="U87" s="144"/>
      <c r="V87" s="144"/>
      <c r="W87" s="144"/>
      <c r="X87" s="144"/>
      <c r="Y87" s="144"/>
      <c r="Z87" s="144"/>
      <c r="AA87" s="144"/>
      <c r="AB87" s="144"/>
      <c r="AC87" s="144"/>
      <c r="AD87" s="144"/>
      <c r="AE87" s="144"/>
      <c r="AF87" s="144"/>
      <c r="AG87" s="144"/>
      <c r="AH87" s="144"/>
      <c r="AI87" s="144"/>
      <c r="AJ87" s="144"/>
    </row>
    <row r="88" spans="1:36" ht="15" customHeight="1" thickTop="1" x14ac:dyDescent="0.25">
      <c r="A88" s="64"/>
      <c r="B88" s="60"/>
      <c r="C88" s="60"/>
      <c r="D88" s="62"/>
      <c r="E88" s="60"/>
      <c r="F88" s="60"/>
      <c r="G88" s="60"/>
      <c r="H88" s="63"/>
      <c r="I88" s="60"/>
      <c r="J88" s="61"/>
      <c r="K88" s="60"/>
      <c r="L88" s="60"/>
      <c r="M88" s="62"/>
      <c r="N88" s="60"/>
      <c r="O88" s="60"/>
      <c r="P88" s="60"/>
      <c r="Q88" s="60"/>
      <c r="R88" s="60"/>
      <c r="S88" s="144"/>
      <c r="T88" s="144"/>
      <c r="U88" s="144"/>
      <c r="V88" s="144"/>
      <c r="W88" s="144"/>
      <c r="X88" s="144"/>
      <c r="Y88" s="144"/>
      <c r="Z88" s="144"/>
      <c r="AA88" s="144"/>
      <c r="AB88" s="144"/>
      <c r="AC88" s="144"/>
      <c r="AD88" s="144"/>
      <c r="AE88" s="144"/>
      <c r="AF88" s="144"/>
      <c r="AG88" s="144"/>
      <c r="AH88" s="144"/>
      <c r="AI88" s="144"/>
      <c r="AJ88" s="144"/>
    </row>
    <row r="89" spans="1:36" ht="15" customHeight="1" thickBot="1" x14ac:dyDescent="0.3">
      <c r="A89" s="65"/>
      <c r="B89" s="66"/>
      <c r="C89" s="66"/>
      <c r="D89" s="67"/>
      <c r="E89" s="67"/>
      <c r="F89" s="68"/>
      <c r="G89" s="60"/>
      <c r="H89" s="63"/>
      <c r="I89" s="60"/>
      <c r="J89" s="61"/>
      <c r="K89" s="60"/>
      <c r="L89" s="60"/>
      <c r="M89" s="60"/>
      <c r="N89" s="60"/>
      <c r="O89" s="60"/>
      <c r="P89" s="60"/>
      <c r="Q89" s="60"/>
      <c r="R89" s="60"/>
      <c r="S89" s="144"/>
      <c r="T89" s="144"/>
      <c r="U89" s="144"/>
      <c r="V89" s="144"/>
      <c r="W89" s="144"/>
      <c r="X89" s="144"/>
      <c r="Y89" s="144"/>
      <c r="Z89" s="144"/>
      <c r="AA89" s="144"/>
      <c r="AB89" s="144"/>
      <c r="AC89" s="144"/>
      <c r="AD89" s="144"/>
      <c r="AE89" s="144"/>
      <c r="AF89" s="144"/>
      <c r="AG89" s="144"/>
      <c r="AH89" s="144"/>
      <c r="AI89" s="144"/>
      <c r="AJ89" s="144"/>
    </row>
    <row r="90" spans="1:36" ht="15" customHeight="1" thickTop="1" thickBot="1" x14ac:dyDescent="0.3">
      <c r="A90" s="69"/>
      <c r="B90" s="69"/>
      <c r="C90" s="70"/>
      <c r="D90" s="70"/>
      <c r="E90" s="60"/>
      <c r="F90" s="215" t="s">
        <v>615</v>
      </c>
      <c r="G90" s="216"/>
      <c r="H90" s="216"/>
      <c r="I90" s="216"/>
      <c r="J90" s="216"/>
      <c r="K90" s="216"/>
      <c r="L90" s="216"/>
      <c r="M90" s="217"/>
      <c r="N90" s="60"/>
      <c r="O90" s="60"/>
      <c r="P90" s="60"/>
      <c r="Q90" s="60"/>
      <c r="R90" s="60"/>
      <c r="S90" s="144"/>
      <c r="T90" s="144"/>
      <c r="U90" s="144"/>
      <c r="V90" s="144"/>
      <c r="W90" s="144"/>
      <c r="X90" s="144"/>
      <c r="Y90" s="144"/>
      <c r="Z90" s="144"/>
      <c r="AA90" s="144"/>
      <c r="AB90" s="144"/>
      <c r="AC90" s="144"/>
      <c r="AD90" s="144"/>
      <c r="AE90" s="144"/>
      <c r="AF90" s="144"/>
      <c r="AG90" s="144"/>
      <c r="AH90" s="144"/>
      <c r="AI90" s="144"/>
      <c r="AJ90" s="144"/>
    </row>
    <row r="91" spans="1:36" ht="15" customHeight="1" x14ac:dyDescent="0.25">
      <c r="A91" s="60"/>
      <c r="B91" s="60"/>
      <c r="C91" s="60"/>
      <c r="D91" s="60"/>
      <c r="E91" s="60"/>
      <c r="F91" s="376"/>
      <c r="G91" s="377"/>
      <c r="H91" s="377"/>
      <c r="I91" s="377"/>
      <c r="J91" s="154"/>
      <c r="K91" s="378"/>
      <c r="L91" s="379"/>
      <c r="M91" s="380"/>
      <c r="N91" s="57"/>
      <c r="O91" s="57"/>
      <c r="P91" s="57"/>
      <c r="Q91" s="58"/>
      <c r="R91" s="59"/>
      <c r="S91" s="144"/>
      <c r="T91" s="144"/>
      <c r="U91" s="144"/>
      <c r="V91" s="144"/>
      <c r="W91" s="144"/>
      <c r="X91" s="144"/>
      <c r="Y91" s="144"/>
      <c r="Z91" s="144"/>
      <c r="AA91" s="144"/>
      <c r="AB91" s="144"/>
      <c r="AC91" s="144"/>
      <c r="AD91" s="144"/>
      <c r="AE91" s="144"/>
      <c r="AF91" s="144"/>
      <c r="AG91" s="144"/>
      <c r="AH91" s="144"/>
      <c r="AI91" s="144"/>
      <c r="AJ91" s="144"/>
    </row>
    <row r="92" spans="1:36" ht="15" customHeight="1" x14ac:dyDescent="0.25">
      <c r="A92" s="60"/>
      <c r="B92" s="60"/>
      <c r="C92" s="60"/>
      <c r="D92" s="60"/>
      <c r="E92" s="60"/>
      <c r="F92" s="229"/>
      <c r="G92" s="230"/>
      <c r="H92" s="230"/>
      <c r="I92" s="230"/>
      <c r="J92" s="146"/>
      <c r="K92" s="231"/>
      <c r="L92" s="232"/>
      <c r="M92" s="233"/>
      <c r="N92" s="60"/>
      <c r="O92" s="60"/>
      <c r="P92" s="60"/>
      <c r="Q92" s="60"/>
      <c r="R92" s="60"/>
      <c r="S92" s="144"/>
      <c r="T92" s="144"/>
      <c r="U92" s="144"/>
      <c r="V92" s="144"/>
      <c r="W92" s="144"/>
      <c r="X92" s="144"/>
      <c r="Y92" s="144"/>
      <c r="Z92" s="144"/>
      <c r="AA92" s="144"/>
      <c r="AB92" s="144"/>
      <c r="AC92" s="144"/>
      <c r="AD92" s="144"/>
      <c r="AE92" s="144"/>
      <c r="AF92" s="144"/>
      <c r="AG92" s="144"/>
      <c r="AH92" s="144"/>
      <c r="AI92" s="144"/>
      <c r="AJ92" s="144"/>
    </row>
    <row r="93" spans="1:36" ht="15" customHeight="1" x14ac:dyDescent="0.25">
      <c r="A93" s="57"/>
      <c r="B93" s="57"/>
      <c r="C93" s="57"/>
      <c r="D93" s="57"/>
      <c r="E93" s="58"/>
      <c r="F93" s="229"/>
      <c r="G93" s="230"/>
      <c r="H93" s="230"/>
      <c r="I93" s="230"/>
      <c r="J93" s="146"/>
      <c r="K93" s="231"/>
      <c r="L93" s="232"/>
      <c r="M93" s="233"/>
      <c r="N93" s="60"/>
      <c r="O93" s="60"/>
      <c r="P93" s="60"/>
      <c r="Q93" s="60"/>
      <c r="R93" s="60"/>
      <c r="S93" s="144"/>
      <c r="T93" s="144"/>
      <c r="U93" s="144"/>
      <c r="V93" s="144"/>
      <c r="W93" s="144"/>
      <c r="X93" s="144"/>
      <c r="Y93" s="144"/>
      <c r="Z93" s="144"/>
      <c r="AA93" s="144"/>
      <c r="AB93" s="144"/>
      <c r="AC93" s="144"/>
      <c r="AD93" s="144"/>
      <c r="AE93" s="144"/>
      <c r="AF93" s="144"/>
      <c r="AG93" s="144"/>
      <c r="AH93" s="144"/>
      <c r="AI93" s="144"/>
      <c r="AJ93" s="144"/>
    </row>
    <row r="94" spans="1:36" ht="15" customHeight="1" x14ac:dyDescent="0.25">
      <c r="A94" s="64"/>
      <c r="B94" s="60"/>
      <c r="C94" s="60"/>
      <c r="D94" s="62"/>
      <c r="E94" s="60"/>
      <c r="F94" s="229"/>
      <c r="G94" s="230"/>
      <c r="H94" s="230"/>
      <c r="I94" s="230"/>
      <c r="J94" s="146"/>
      <c r="K94" s="231"/>
      <c r="L94" s="232"/>
      <c r="M94" s="233"/>
      <c r="N94" s="60"/>
      <c r="O94" s="60"/>
      <c r="P94" s="60"/>
      <c r="Q94" s="60"/>
      <c r="R94" s="60"/>
      <c r="S94" s="144"/>
      <c r="T94" s="144"/>
      <c r="U94" s="144"/>
      <c r="V94" s="144"/>
      <c r="W94" s="144"/>
      <c r="X94" s="144"/>
      <c r="Y94" s="144"/>
      <c r="Z94" s="144"/>
      <c r="AA94" s="144"/>
      <c r="AB94" s="144"/>
      <c r="AC94" s="144"/>
      <c r="AD94" s="144"/>
      <c r="AE94" s="144"/>
      <c r="AF94" s="144"/>
      <c r="AG94" s="144"/>
      <c r="AH94" s="144"/>
      <c r="AI94" s="144"/>
      <c r="AJ94" s="144"/>
    </row>
    <row r="95" spans="1:36" ht="15" customHeight="1" x14ac:dyDescent="0.25">
      <c r="A95" s="65"/>
      <c r="B95" s="66"/>
      <c r="C95" s="66"/>
      <c r="D95" s="67"/>
      <c r="E95" s="67"/>
      <c r="F95" s="229"/>
      <c r="G95" s="230"/>
      <c r="H95" s="230"/>
      <c r="I95" s="230"/>
      <c r="J95" s="146"/>
      <c r="K95" s="231"/>
      <c r="L95" s="232"/>
      <c r="M95" s="233"/>
      <c r="N95" s="57"/>
      <c r="O95" s="57"/>
      <c r="P95" s="57"/>
      <c r="Q95" s="58"/>
      <c r="R95" s="59"/>
      <c r="S95" s="144"/>
      <c r="T95" s="144"/>
      <c r="U95" s="144"/>
      <c r="V95" s="144"/>
      <c r="W95" s="144"/>
      <c r="X95" s="144"/>
      <c r="Y95" s="144"/>
      <c r="Z95" s="144"/>
      <c r="AA95" s="144"/>
      <c r="AB95" s="144"/>
      <c r="AC95" s="144"/>
      <c r="AD95" s="144"/>
      <c r="AE95" s="144"/>
      <c r="AF95" s="144"/>
      <c r="AG95" s="144"/>
      <c r="AH95" s="144"/>
      <c r="AI95" s="144"/>
      <c r="AJ95" s="144"/>
    </row>
    <row r="96" spans="1:36" ht="15" customHeight="1" x14ac:dyDescent="0.25">
      <c r="A96" s="69"/>
      <c r="B96" s="69"/>
      <c r="C96" s="70"/>
      <c r="D96" s="70"/>
      <c r="E96" s="60"/>
      <c r="F96" s="229"/>
      <c r="G96" s="230"/>
      <c r="H96" s="230"/>
      <c r="I96" s="230"/>
      <c r="J96" s="146"/>
      <c r="K96" s="231"/>
      <c r="L96" s="232"/>
      <c r="M96" s="233"/>
      <c r="N96" s="60"/>
      <c r="O96" s="60"/>
      <c r="P96" s="60"/>
      <c r="Q96" s="60"/>
      <c r="R96" s="60"/>
      <c r="S96" s="144"/>
      <c r="T96" s="144"/>
      <c r="U96" s="144"/>
      <c r="V96" s="144"/>
      <c r="W96" s="144"/>
      <c r="X96" s="144"/>
      <c r="Y96" s="144"/>
      <c r="Z96" s="144"/>
      <c r="AA96" s="144"/>
      <c r="AB96" s="144"/>
      <c r="AC96" s="144"/>
      <c r="AD96" s="144"/>
      <c r="AE96" s="144"/>
      <c r="AF96" s="144"/>
      <c r="AG96" s="144"/>
      <c r="AH96" s="144"/>
      <c r="AI96" s="144"/>
      <c r="AJ96" s="144"/>
    </row>
    <row r="97" spans="1:36" ht="15" customHeight="1" x14ac:dyDescent="0.25">
      <c r="A97" s="60"/>
      <c r="B97" s="60"/>
      <c r="C97" s="60"/>
      <c r="D97" s="60"/>
      <c r="E97" s="60"/>
      <c r="F97" s="229"/>
      <c r="G97" s="230"/>
      <c r="H97" s="230"/>
      <c r="I97" s="230"/>
      <c r="J97" s="146"/>
      <c r="K97" s="231"/>
      <c r="L97" s="232"/>
      <c r="M97" s="233"/>
      <c r="N97" s="60"/>
      <c r="O97" s="60"/>
      <c r="P97" s="60"/>
      <c r="Q97" s="60"/>
      <c r="R97" s="60"/>
      <c r="S97" s="144"/>
      <c r="T97" s="144"/>
      <c r="U97" s="144"/>
      <c r="V97" s="144"/>
      <c r="W97" s="144"/>
      <c r="X97" s="144"/>
      <c r="Y97" s="144"/>
      <c r="Z97" s="144"/>
      <c r="AA97" s="144"/>
      <c r="AB97" s="144"/>
      <c r="AC97" s="144"/>
      <c r="AD97" s="144"/>
      <c r="AE97" s="144"/>
      <c r="AF97" s="144"/>
      <c r="AG97" s="144"/>
      <c r="AH97" s="144"/>
      <c r="AI97" s="144"/>
      <c r="AJ97" s="144"/>
    </row>
    <row r="98" spans="1:36" ht="15" customHeight="1" thickBot="1" x14ac:dyDescent="0.3">
      <c r="A98" s="60"/>
      <c r="B98" s="60"/>
      <c r="C98" s="60"/>
      <c r="D98" s="60"/>
      <c r="E98" s="60"/>
      <c r="F98" s="234"/>
      <c r="G98" s="235"/>
      <c r="H98" s="235"/>
      <c r="I98" s="235"/>
      <c r="J98" s="147"/>
      <c r="K98" s="236"/>
      <c r="L98" s="237"/>
      <c r="M98" s="238"/>
      <c r="N98" s="57"/>
      <c r="O98" s="57"/>
      <c r="P98" s="57"/>
      <c r="Q98" s="57"/>
      <c r="R98" s="71"/>
      <c r="S98" s="144"/>
      <c r="T98" s="144"/>
      <c r="U98" s="144"/>
      <c r="V98" s="144"/>
      <c r="W98" s="144"/>
      <c r="X98" s="144"/>
      <c r="Y98" s="144"/>
      <c r="Z98" s="144"/>
      <c r="AA98" s="144"/>
      <c r="AB98" s="144"/>
      <c r="AC98" s="144"/>
      <c r="AD98" s="144"/>
      <c r="AE98" s="144"/>
      <c r="AF98" s="144"/>
      <c r="AG98" s="144"/>
      <c r="AH98" s="144"/>
      <c r="AI98" s="144"/>
      <c r="AJ98" s="144"/>
    </row>
    <row r="99" spans="1:36" ht="15" customHeight="1" thickTop="1" x14ac:dyDescent="0.25">
      <c r="A99" s="60"/>
      <c r="B99" s="60"/>
      <c r="C99" s="60"/>
      <c r="D99" s="60"/>
      <c r="E99" s="60"/>
      <c r="F99" s="60"/>
      <c r="G99" s="60"/>
      <c r="H99" s="60"/>
      <c r="I99" s="60"/>
      <c r="J99" s="60"/>
      <c r="K99" s="60"/>
      <c r="L99" s="60"/>
      <c r="M99" s="57"/>
      <c r="N99" s="57"/>
      <c r="O99" s="57"/>
      <c r="P99" s="57"/>
      <c r="Q99" s="57"/>
      <c r="R99" s="71"/>
      <c r="S99" s="144"/>
      <c r="T99" s="144"/>
      <c r="U99" s="144"/>
      <c r="V99" s="144"/>
      <c r="W99" s="144"/>
      <c r="X99" s="144"/>
      <c r="Y99" s="144"/>
      <c r="Z99" s="144"/>
      <c r="AA99" s="144"/>
      <c r="AB99" s="144"/>
      <c r="AC99" s="144"/>
      <c r="AD99" s="144"/>
      <c r="AE99" s="144"/>
      <c r="AF99" s="144"/>
      <c r="AG99" s="144"/>
      <c r="AH99" s="144"/>
      <c r="AI99" s="144"/>
      <c r="AJ99" s="144"/>
    </row>
    <row r="100" spans="1:36" ht="15" customHeight="1" x14ac:dyDescent="0.25">
      <c r="A100" s="57"/>
      <c r="B100" s="57"/>
      <c r="C100" s="57"/>
      <c r="D100" s="57"/>
      <c r="E100" s="60"/>
      <c r="F100" s="60"/>
      <c r="G100" s="381">
        <f ca="1">TODAY()</f>
        <v>44263</v>
      </c>
      <c r="H100" s="382"/>
      <c r="I100" s="382"/>
      <c r="J100" s="382"/>
      <c r="K100" s="382"/>
      <c r="L100" s="382"/>
      <c r="M100" s="57"/>
      <c r="N100" s="60"/>
      <c r="O100" s="60"/>
      <c r="P100" s="60"/>
      <c r="Q100" s="60"/>
      <c r="R100" s="60"/>
      <c r="S100" s="144"/>
      <c r="T100" s="144"/>
      <c r="U100" s="144"/>
      <c r="V100" s="144"/>
      <c r="W100" s="144"/>
      <c r="X100" s="144"/>
      <c r="Y100" s="144"/>
      <c r="Z100" s="144"/>
      <c r="AA100" s="144"/>
      <c r="AB100" s="144"/>
      <c r="AC100" s="144"/>
      <c r="AD100" s="144"/>
      <c r="AE100" s="144"/>
      <c r="AF100" s="144"/>
      <c r="AG100" s="144"/>
      <c r="AH100" s="144"/>
      <c r="AI100" s="144"/>
      <c r="AJ100" s="144"/>
    </row>
    <row r="101" spans="1:36" ht="15" customHeight="1" x14ac:dyDescent="0.25">
      <c r="A101" s="60"/>
      <c r="B101" s="72"/>
      <c r="C101" s="72"/>
      <c r="D101" s="72"/>
      <c r="E101" s="72"/>
      <c r="F101" s="72"/>
      <c r="G101" s="72"/>
      <c r="H101" s="72"/>
      <c r="I101" s="72"/>
      <c r="J101" s="62"/>
      <c r="K101" s="73"/>
      <c r="L101" s="73"/>
      <c r="M101" s="73"/>
      <c r="N101" s="73"/>
      <c r="O101" s="73"/>
      <c r="P101" s="73"/>
      <c r="Q101" s="73"/>
      <c r="R101" s="73"/>
    </row>
    <row r="102" spans="1:36" ht="15" customHeight="1" x14ac:dyDescent="0.25">
      <c r="A102" s="16"/>
      <c r="B102" s="55"/>
      <c r="C102" s="55"/>
      <c r="D102" s="55"/>
      <c r="E102" s="55"/>
      <c r="F102" s="55"/>
      <c r="G102" s="55"/>
      <c r="H102" s="55"/>
      <c r="I102" s="55"/>
      <c r="J102" s="47"/>
      <c r="K102" s="47"/>
      <c r="L102" s="47"/>
      <c r="M102" s="47"/>
      <c r="N102" s="16"/>
      <c r="O102" s="16"/>
      <c r="P102" s="16"/>
      <c r="Q102" s="16"/>
      <c r="R102" s="16"/>
    </row>
    <row r="103" spans="1:36" ht="15" customHeight="1" x14ac:dyDescent="0.25">
      <c r="A103" s="16"/>
      <c r="B103" s="55"/>
      <c r="C103" s="55"/>
      <c r="D103" s="55"/>
      <c r="E103" s="55"/>
      <c r="F103" s="55"/>
      <c r="G103" s="55"/>
      <c r="H103" s="55"/>
      <c r="I103" s="55"/>
      <c r="J103" s="17"/>
      <c r="K103" s="56"/>
      <c r="L103" s="56"/>
      <c r="M103" s="56"/>
      <c r="N103" s="56"/>
      <c r="O103" s="56"/>
      <c r="P103" s="56"/>
      <c r="Q103" s="56"/>
      <c r="R103" s="56"/>
    </row>
  </sheetData>
  <sheetProtection algorithmName="SHA-512" hashValue="7U41ct3GZ+itUHPeHlmdTQirYph/j3SWfc+JWK3lO0K5wl7YMlnL6j/LtGorIcKmpctMvmzMbia+Uq6cU/9/3g==" saltValue="1KYGCjBatmva79kx4Akq4g==" spinCount="100000" sheet="1" objects="1" scenarios="1" selectLockedCells="1"/>
  <mergeCells count="2055">
    <mergeCell ref="GA43:GB43"/>
    <mergeCell ref="GC43:GD43"/>
    <mergeCell ref="GI43:GJ43"/>
    <mergeCell ref="GL43:GM43"/>
    <mergeCell ref="GN43:GP43"/>
    <mergeCell ref="FY44:GA44"/>
    <mergeCell ref="GB44:GC44"/>
    <mergeCell ref="GI44:GK44"/>
    <mergeCell ref="GL44:GN44"/>
    <mergeCell ref="GO44:GP44"/>
    <mergeCell ref="FY47:GB47"/>
    <mergeCell ref="GC47:GG47"/>
    <mergeCell ref="GH47:GK47"/>
    <mergeCell ref="GL47:GP47"/>
    <mergeCell ref="FY48:FY50"/>
    <mergeCell ref="FZ48:GG50"/>
    <mergeCell ref="GI48:GP48"/>
    <mergeCell ref="GH49:GK49"/>
    <mergeCell ref="GL49:GP49"/>
    <mergeCell ref="GI50:GP50"/>
    <mergeCell ref="FY34:GB34"/>
    <mergeCell ref="GF34:GF44"/>
    <mergeCell ref="GH34:GN34"/>
    <mergeCell ref="FZ35:GA35"/>
    <mergeCell ref="GC35:GD35"/>
    <mergeCell ref="GI35:GJ35"/>
    <mergeCell ref="GL35:GM35"/>
    <mergeCell ref="GN35:GP35"/>
    <mergeCell ref="FZ36:GA36"/>
    <mergeCell ref="GB36:GC36"/>
    <mergeCell ref="GI36:GK36"/>
    <mergeCell ref="GL36:GN36"/>
    <mergeCell ref="GO36:GP36"/>
    <mergeCell ref="FY37:FZ37"/>
    <mergeCell ref="GA37:GB37"/>
    <mergeCell ref="GC37:GD37"/>
    <mergeCell ref="FY38:GA38"/>
    <mergeCell ref="GB38:GC38"/>
    <mergeCell ref="GH38:GN38"/>
    <mergeCell ref="GI39:GJ39"/>
    <mergeCell ref="GL39:GM39"/>
    <mergeCell ref="GN39:GP39"/>
    <mergeCell ref="FY40:GB40"/>
    <mergeCell ref="GI40:GK40"/>
    <mergeCell ref="GL40:GN40"/>
    <mergeCell ref="GO40:GP40"/>
    <mergeCell ref="FZ41:GA41"/>
    <mergeCell ref="GC41:GD41"/>
    <mergeCell ref="FZ42:GA42"/>
    <mergeCell ref="GB42:GC42"/>
    <mergeCell ref="GH42:GN42"/>
    <mergeCell ref="FY43:FZ43"/>
    <mergeCell ref="GE27:GG27"/>
    <mergeCell ref="GH27:GJ27"/>
    <mergeCell ref="FY28:GB28"/>
    <mergeCell ref="GE28:GG28"/>
    <mergeCell ref="GH28:GI28"/>
    <mergeCell ref="GK28:GN28"/>
    <mergeCell ref="FZ29:GA29"/>
    <mergeCell ref="GC29:GD29"/>
    <mergeCell ref="GL29:GM29"/>
    <mergeCell ref="GO29:GP29"/>
    <mergeCell ref="FY30:GA30"/>
    <mergeCell ref="GB30:GD30"/>
    <mergeCell ref="GF30:GI31"/>
    <mergeCell ref="GK30:GM30"/>
    <mergeCell ref="GN30:GP30"/>
    <mergeCell ref="FY31:GA31"/>
    <mergeCell ref="GB31:GC31"/>
    <mergeCell ref="GK31:GM31"/>
    <mergeCell ref="GN31:GO31"/>
    <mergeCell ref="FY23:GB23"/>
    <mergeCell ref="GF23:GI23"/>
    <mergeCell ref="GK23:GN23"/>
    <mergeCell ref="FZ24:GA24"/>
    <mergeCell ref="GC24:GD24"/>
    <mergeCell ref="GL24:GM24"/>
    <mergeCell ref="GO24:GP24"/>
    <mergeCell ref="FY25:GA25"/>
    <mergeCell ref="GB25:GD25"/>
    <mergeCell ref="GE25:GH25"/>
    <mergeCell ref="GK25:GM25"/>
    <mergeCell ref="GN25:GP25"/>
    <mergeCell ref="FY26:GA26"/>
    <mergeCell ref="GB26:GC26"/>
    <mergeCell ref="GF26:GG26"/>
    <mergeCell ref="GI26:GJ26"/>
    <mergeCell ref="GK26:GM26"/>
    <mergeCell ref="GN26:GO26"/>
    <mergeCell ref="GE16:GG16"/>
    <mergeCell ref="GH16:GJ16"/>
    <mergeCell ref="FY17:GB17"/>
    <mergeCell ref="GE17:GG17"/>
    <mergeCell ref="GH17:GI17"/>
    <mergeCell ref="GK17:GN17"/>
    <mergeCell ref="FZ18:GA18"/>
    <mergeCell ref="GC18:GD18"/>
    <mergeCell ref="GL18:GM18"/>
    <mergeCell ref="GO18:GP18"/>
    <mergeCell ref="FY19:GA19"/>
    <mergeCell ref="GB19:GD19"/>
    <mergeCell ref="GF19:GI20"/>
    <mergeCell ref="GK19:GM19"/>
    <mergeCell ref="GN19:GP19"/>
    <mergeCell ref="FY20:GA20"/>
    <mergeCell ref="GB20:GC20"/>
    <mergeCell ref="GK20:GM20"/>
    <mergeCell ref="GN20:GO20"/>
    <mergeCell ref="FY12:GB12"/>
    <mergeCell ref="GF12:GI12"/>
    <mergeCell ref="GK12:GN12"/>
    <mergeCell ref="FZ13:GA13"/>
    <mergeCell ref="GC13:GD13"/>
    <mergeCell ref="GL13:GM13"/>
    <mergeCell ref="GO13:GP13"/>
    <mergeCell ref="FY14:GA14"/>
    <mergeCell ref="GB14:GD14"/>
    <mergeCell ref="GE14:GH14"/>
    <mergeCell ref="GK14:GM14"/>
    <mergeCell ref="GN14:GP14"/>
    <mergeCell ref="FY15:GA15"/>
    <mergeCell ref="GB15:GC15"/>
    <mergeCell ref="GF15:GG15"/>
    <mergeCell ref="GI15:GJ15"/>
    <mergeCell ref="GK15:GM15"/>
    <mergeCell ref="GN15:GO15"/>
    <mergeCell ref="GE5:GG5"/>
    <mergeCell ref="GH5:GJ5"/>
    <mergeCell ref="FY6:GB6"/>
    <mergeCell ref="GE6:GG6"/>
    <mergeCell ref="GH6:GI6"/>
    <mergeCell ref="GK6:GN6"/>
    <mergeCell ref="FZ7:GA7"/>
    <mergeCell ref="GC7:GD7"/>
    <mergeCell ref="GL7:GM7"/>
    <mergeCell ref="GO7:GP7"/>
    <mergeCell ref="FY8:GA8"/>
    <mergeCell ref="GB8:GD8"/>
    <mergeCell ref="GF8:GI9"/>
    <mergeCell ref="GK8:GM8"/>
    <mergeCell ref="GN8:GP8"/>
    <mergeCell ref="FY9:GA9"/>
    <mergeCell ref="GB9:GC9"/>
    <mergeCell ref="GK9:GM9"/>
    <mergeCell ref="GN9:GO9"/>
    <mergeCell ref="FY1:GB1"/>
    <mergeCell ref="GF1:GI1"/>
    <mergeCell ref="GK1:GN1"/>
    <mergeCell ref="FZ2:GA2"/>
    <mergeCell ref="GC2:GD2"/>
    <mergeCell ref="GL2:GM2"/>
    <mergeCell ref="GO2:GP2"/>
    <mergeCell ref="FY3:GA3"/>
    <mergeCell ref="GB3:GD3"/>
    <mergeCell ref="GE3:GH3"/>
    <mergeCell ref="GK3:GM3"/>
    <mergeCell ref="GN3:GP3"/>
    <mergeCell ref="FY4:GA4"/>
    <mergeCell ref="GB4:GC4"/>
    <mergeCell ref="GF4:GG4"/>
    <mergeCell ref="GI4:GJ4"/>
    <mergeCell ref="GK4:GM4"/>
    <mergeCell ref="GN4:GO4"/>
    <mergeCell ref="S74:Z74"/>
    <mergeCell ref="S75:V75"/>
    <mergeCell ref="X75:Z75"/>
    <mergeCell ref="S76:V76"/>
    <mergeCell ref="X76:Z76"/>
    <mergeCell ref="S77:V77"/>
    <mergeCell ref="X77:Z77"/>
    <mergeCell ref="S78:V78"/>
    <mergeCell ref="X78:Z78"/>
    <mergeCell ref="S79:V79"/>
    <mergeCell ref="X79:Z79"/>
    <mergeCell ref="S80:V80"/>
    <mergeCell ref="X80:Z80"/>
    <mergeCell ref="S81:V81"/>
    <mergeCell ref="X81:Z81"/>
    <mergeCell ref="S82:V82"/>
    <mergeCell ref="X82:Z82"/>
    <mergeCell ref="FI43:FJ43"/>
    <mergeCell ref="FK43:FL43"/>
    <mergeCell ref="FQ43:FR43"/>
    <mergeCell ref="FT43:FU43"/>
    <mergeCell ref="FV43:FX43"/>
    <mergeCell ref="FG44:FI44"/>
    <mergeCell ref="FJ44:FK44"/>
    <mergeCell ref="FQ44:FS44"/>
    <mergeCell ref="FT44:FV44"/>
    <mergeCell ref="FW44:FX44"/>
    <mergeCell ref="FG47:FJ47"/>
    <mergeCell ref="FK47:FO47"/>
    <mergeCell ref="FP47:FS47"/>
    <mergeCell ref="FT47:FX47"/>
    <mergeCell ref="FG48:FG50"/>
    <mergeCell ref="FH48:FO50"/>
    <mergeCell ref="FQ48:FX48"/>
    <mergeCell ref="FP49:FS49"/>
    <mergeCell ref="FT49:FX49"/>
    <mergeCell ref="FQ50:FX50"/>
    <mergeCell ref="FG34:FJ34"/>
    <mergeCell ref="FN34:FN44"/>
    <mergeCell ref="FP34:FV34"/>
    <mergeCell ref="FH35:FI35"/>
    <mergeCell ref="FK35:FL35"/>
    <mergeCell ref="FQ35:FR35"/>
    <mergeCell ref="FT35:FU35"/>
    <mergeCell ref="FV35:FX35"/>
    <mergeCell ref="FH36:FI36"/>
    <mergeCell ref="FJ36:FK36"/>
    <mergeCell ref="FQ36:FS36"/>
    <mergeCell ref="FT36:FV36"/>
    <mergeCell ref="FW36:FX36"/>
    <mergeCell ref="FG37:FH37"/>
    <mergeCell ref="FI37:FJ37"/>
    <mergeCell ref="FK37:FL37"/>
    <mergeCell ref="FG38:FI38"/>
    <mergeCell ref="FJ38:FK38"/>
    <mergeCell ref="FP38:FV38"/>
    <mergeCell ref="FQ39:FR39"/>
    <mergeCell ref="FT39:FU39"/>
    <mergeCell ref="FV39:FX39"/>
    <mergeCell ref="FG40:FJ40"/>
    <mergeCell ref="FQ40:FS40"/>
    <mergeCell ref="FT40:FV40"/>
    <mergeCell ref="FW40:FX40"/>
    <mergeCell ref="FH41:FI41"/>
    <mergeCell ref="FK41:FL41"/>
    <mergeCell ref="FH42:FI42"/>
    <mergeCell ref="FJ42:FK42"/>
    <mergeCell ref="FP42:FV42"/>
    <mergeCell ref="FG43:FH43"/>
    <mergeCell ref="FM27:FO27"/>
    <mergeCell ref="FP27:FR27"/>
    <mergeCell ref="FG28:FJ28"/>
    <mergeCell ref="FM28:FO28"/>
    <mergeCell ref="FP28:FQ28"/>
    <mergeCell ref="FS28:FV28"/>
    <mergeCell ref="FH29:FI29"/>
    <mergeCell ref="FK29:FL29"/>
    <mergeCell ref="FT29:FU29"/>
    <mergeCell ref="FW29:FX29"/>
    <mergeCell ref="FG30:FI30"/>
    <mergeCell ref="FJ30:FL30"/>
    <mergeCell ref="FN30:FQ31"/>
    <mergeCell ref="FS30:FU30"/>
    <mergeCell ref="FV30:FX30"/>
    <mergeCell ref="FG31:FI31"/>
    <mergeCell ref="FJ31:FK31"/>
    <mergeCell ref="FS31:FU31"/>
    <mergeCell ref="FV31:FW31"/>
    <mergeCell ref="FG23:FJ23"/>
    <mergeCell ref="FN23:FQ23"/>
    <mergeCell ref="FS23:FV23"/>
    <mergeCell ref="FH24:FI24"/>
    <mergeCell ref="FK24:FL24"/>
    <mergeCell ref="FT24:FU24"/>
    <mergeCell ref="FW24:FX24"/>
    <mergeCell ref="FG25:FI25"/>
    <mergeCell ref="FJ25:FL25"/>
    <mergeCell ref="FM25:FP25"/>
    <mergeCell ref="FS25:FU25"/>
    <mergeCell ref="FV25:FX25"/>
    <mergeCell ref="FG26:FI26"/>
    <mergeCell ref="FJ26:FK26"/>
    <mergeCell ref="FN26:FO26"/>
    <mergeCell ref="FQ26:FR26"/>
    <mergeCell ref="FS26:FU26"/>
    <mergeCell ref="FV26:FW26"/>
    <mergeCell ref="FM16:FO16"/>
    <mergeCell ref="FP16:FR16"/>
    <mergeCell ref="FG17:FJ17"/>
    <mergeCell ref="FM17:FO17"/>
    <mergeCell ref="FP17:FQ17"/>
    <mergeCell ref="FS17:FV17"/>
    <mergeCell ref="FH18:FI18"/>
    <mergeCell ref="FK18:FL18"/>
    <mergeCell ref="FT18:FU18"/>
    <mergeCell ref="FW18:FX18"/>
    <mergeCell ref="FG19:FI19"/>
    <mergeCell ref="FJ19:FL19"/>
    <mergeCell ref="FN19:FQ20"/>
    <mergeCell ref="FS19:FU19"/>
    <mergeCell ref="FV19:FX19"/>
    <mergeCell ref="FG20:FI20"/>
    <mergeCell ref="FJ20:FK20"/>
    <mergeCell ref="FS20:FU20"/>
    <mergeCell ref="FV20:FW20"/>
    <mergeCell ref="FG12:FJ12"/>
    <mergeCell ref="FN12:FQ12"/>
    <mergeCell ref="FS12:FV12"/>
    <mergeCell ref="FH13:FI13"/>
    <mergeCell ref="FK13:FL13"/>
    <mergeCell ref="FT13:FU13"/>
    <mergeCell ref="FW13:FX13"/>
    <mergeCell ref="FG14:FI14"/>
    <mergeCell ref="FJ14:FL14"/>
    <mergeCell ref="FM14:FP14"/>
    <mergeCell ref="FS14:FU14"/>
    <mergeCell ref="FV14:FX14"/>
    <mergeCell ref="FG15:FI15"/>
    <mergeCell ref="FJ15:FK15"/>
    <mergeCell ref="FN15:FO15"/>
    <mergeCell ref="FQ15:FR15"/>
    <mergeCell ref="FS15:FU15"/>
    <mergeCell ref="FV15:FW15"/>
    <mergeCell ref="FM5:FO5"/>
    <mergeCell ref="FP5:FR5"/>
    <mergeCell ref="FG6:FJ6"/>
    <mergeCell ref="FM6:FO6"/>
    <mergeCell ref="FP6:FQ6"/>
    <mergeCell ref="FS6:FV6"/>
    <mergeCell ref="FH7:FI7"/>
    <mergeCell ref="FK7:FL7"/>
    <mergeCell ref="FT7:FU7"/>
    <mergeCell ref="FW7:FX7"/>
    <mergeCell ref="FG8:FI8"/>
    <mergeCell ref="FJ8:FL8"/>
    <mergeCell ref="FN8:FQ9"/>
    <mergeCell ref="FS8:FU8"/>
    <mergeCell ref="FV8:FX8"/>
    <mergeCell ref="FG9:FI9"/>
    <mergeCell ref="FJ9:FK9"/>
    <mergeCell ref="FS9:FU9"/>
    <mergeCell ref="FV9:FW9"/>
    <mergeCell ref="FG1:FJ1"/>
    <mergeCell ref="FN1:FQ1"/>
    <mergeCell ref="FS1:FV1"/>
    <mergeCell ref="FH2:FI2"/>
    <mergeCell ref="FK2:FL2"/>
    <mergeCell ref="FT2:FU2"/>
    <mergeCell ref="FW2:FX2"/>
    <mergeCell ref="FG3:FI3"/>
    <mergeCell ref="FJ3:FL3"/>
    <mergeCell ref="FM3:FP3"/>
    <mergeCell ref="FS3:FU3"/>
    <mergeCell ref="FV3:FX3"/>
    <mergeCell ref="FG4:FI4"/>
    <mergeCell ref="FJ4:FK4"/>
    <mergeCell ref="FN4:FO4"/>
    <mergeCell ref="FQ4:FR4"/>
    <mergeCell ref="FS4:FU4"/>
    <mergeCell ref="FV4:FW4"/>
    <mergeCell ref="EQ43:ER43"/>
    <mergeCell ref="ES43:ET43"/>
    <mergeCell ref="EY43:EZ43"/>
    <mergeCell ref="FB43:FC43"/>
    <mergeCell ref="FD43:FF43"/>
    <mergeCell ref="EO44:EQ44"/>
    <mergeCell ref="ER44:ES44"/>
    <mergeCell ref="EY44:FA44"/>
    <mergeCell ref="FB44:FD44"/>
    <mergeCell ref="FE44:FF44"/>
    <mergeCell ref="EO47:ER47"/>
    <mergeCell ref="ES47:EW47"/>
    <mergeCell ref="EX47:FA47"/>
    <mergeCell ref="FB47:FF47"/>
    <mergeCell ref="EO48:EO50"/>
    <mergeCell ref="EP48:EW50"/>
    <mergeCell ref="EY48:FF48"/>
    <mergeCell ref="EX49:FA49"/>
    <mergeCell ref="FB49:FF49"/>
    <mergeCell ref="EY50:FF50"/>
    <mergeCell ref="EO34:ER34"/>
    <mergeCell ref="EV34:EV44"/>
    <mergeCell ref="EX34:FD34"/>
    <mergeCell ref="EP35:EQ35"/>
    <mergeCell ref="ES35:ET35"/>
    <mergeCell ref="EY35:EZ35"/>
    <mergeCell ref="FB35:FC35"/>
    <mergeCell ref="FD35:FF35"/>
    <mergeCell ref="EP36:EQ36"/>
    <mergeCell ref="ER36:ES36"/>
    <mergeCell ref="EY36:FA36"/>
    <mergeCell ref="FB36:FD36"/>
    <mergeCell ref="FE36:FF36"/>
    <mergeCell ref="EO37:EP37"/>
    <mergeCell ref="EQ37:ER37"/>
    <mergeCell ref="ES37:ET37"/>
    <mergeCell ref="EO38:EQ38"/>
    <mergeCell ref="ER38:ES38"/>
    <mergeCell ref="EX38:FD38"/>
    <mergeCell ref="EY39:EZ39"/>
    <mergeCell ref="FB39:FC39"/>
    <mergeCell ref="FD39:FF39"/>
    <mergeCell ref="EO40:ER40"/>
    <mergeCell ref="EY40:FA40"/>
    <mergeCell ref="FB40:FD40"/>
    <mergeCell ref="FE40:FF40"/>
    <mergeCell ref="EP41:EQ41"/>
    <mergeCell ref="ES41:ET41"/>
    <mergeCell ref="EP42:EQ42"/>
    <mergeCell ref="ER42:ES42"/>
    <mergeCell ref="EX42:FD42"/>
    <mergeCell ref="EO43:EP43"/>
    <mergeCell ref="EU27:EW27"/>
    <mergeCell ref="EX27:EZ27"/>
    <mergeCell ref="EO28:ER28"/>
    <mergeCell ref="EU28:EW28"/>
    <mergeCell ref="EX28:EY28"/>
    <mergeCell ref="FA28:FD28"/>
    <mergeCell ref="EP29:EQ29"/>
    <mergeCell ref="ES29:ET29"/>
    <mergeCell ref="FB29:FC29"/>
    <mergeCell ref="FE29:FF29"/>
    <mergeCell ref="EO30:EQ30"/>
    <mergeCell ref="ER30:ET30"/>
    <mergeCell ref="EV30:EY31"/>
    <mergeCell ref="FA30:FC30"/>
    <mergeCell ref="FD30:FF30"/>
    <mergeCell ref="EO31:EQ31"/>
    <mergeCell ref="ER31:ES31"/>
    <mergeCell ref="FA31:FC31"/>
    <mergeCell ref="FD31:FE31"/>
    <mergeCell ref="EO23:ER23"/>
    <mergeCell ref="EV23:EY23"/>
    <mergeCell ref="FA23:FD23"/>
    <mergeCell ref="EP24:EQ24"/>
    <mergeCell ref="ES24:ET24"/>
    <mergeCell ref="FB24:FC24"/>
    <mergeCell ref="FE24:FF24"/>
    <mergeCell ref="EO25:EQ25"/>
    <mergeCell ref="ER25:ET25"/>
    <mergeCell ref="EU25:EX25"/>
    <mergeCell ref="FA25:FC25"/>
    <mergeCell ref="FD25:FF25"/>
    <mergeCell ref="EO26:EQ26"/>
    <mergeCell ref="ER26:ES26"/>
    <mergeCell ref="EV26:EW26"/>
    <mergeCell ref="EY26:EZ26"/>
    <mergeCell ref="FA26:FC26"/>
    <mergeCell ref="FD26:FE26"/>
    <mergeCell ref="EO15:EQ15"/>
    <mergeCell ref="ER15:ES15"/>
    <mergeCell ref="EV15:EW15"/>
    <mergeCell ref="EY15:EZ15"/>
    <mergeCell ref="FA15:FC15"/>
    <mergeCell ref="FD15:FE15"/>
    <mergeCell ref="EU16:EW16"/>
    <mergeCell ref="EX16:EZ16"/>
    <mergeCell ref="EO17:ER17"/>
    <mergeCell ref="EU17:EW17"/>
    <mergeCell ref="EX17:EY17"/>
    <mergeCell ref="FA17:FD17"/>
    <mergeCell ref="EP18:EQ18"/>
    <mergeCell ref="ES18:ET18"/>
    <mergeCell ref="FB18:FC18"/>
    <mergeCell ref="FE18:FF18"/>
    <mergeCell ref="EO19:EQ19"/>
    <mergeCell ref="ER19:ET19"/>
    <mergeCell ref="EV19:EY20"/>
    <mergeCell ref="FA19:FC19"/>
    <mergeCell ref="FD19:FF19"/>
    <mergeCell ref="EO20:EQ20"/>
    <mergeCell ref="ER20:ES20"/>
    <mergeCell ref="FA20:FC20"/>
    <mergeCell ref="FD20:FE20"/>
    <mergeCell ref="FA8:FC8"/>
    <mergeCell ref="FD8:FF8"/>
    <mergeCell ref="EO9:EQ9"/>
    <mergeCell ref="ER9:ES9"/>
    <mergeCell ref="FA9:FC9"/>
    <mergeCell ref="FD9:FE9"/>
    <mergeCell ref="EO12:ER12"/>
    <mergeCell ref="EV12:EY12"/>
    <mergeCell ref="FA12:FD12"/>
    <mergeCell ref="EP13:EQ13"/>
    <mergeCell ref="ES13:ET13"/>
    <mergeCell ref="FB13:FC13"/>
    <mergeCell ref="FE13:FF13"/>
    <mergeCell ref="EO14:EQ14"/>
    <mergeCell ref="ER14:ET14"/>
    <mergeCell ref="EU14:EX14"/>
    <mergeCell ref="FA14:FC14"/>
    <mergeCell ref="FD14:FF14"/>
    <mergeCell ref="AF49:AJ49"/>
    <mergeCell ref="EO1:ER1"/>
    <mergeCell ref="EV1:EY1"/>
    <mergeCell ref="FA1:FD1"/>
    <mergeCell ref="EP2:EQ2"/>
    <mergeCell ref="ES2:ET2"/>
    <mergeCell ref="FB2:FC2"/>
    <mergeCell ref="FE2:FF2"/>
    <mergeCell ref="EO3:EQ3"/>
    <mergeCell ref="ER3:ET3"/>
    <mergeCell ref="EU3:EX3"/>
    <mergeCell ref="FA3:FC3"/>
    <mergeCell ref="FD3:FF3"/>
    <mergeCell ref="EO4:EQ4"/>
    <mergeCell ref="ER4:ES4"/>
    <mergeCell ref="EV4:EW4"/>
    <mergeCell ref="EY4:EZ4"/>
    <mergeCell ref="FA4:FC4"/>
    <mergeCell ref="FD4:FE4"/>
    <mergeCell ref="EU5:EW5"/>
    <mergeCell ref="EX5:EZ5"/>
    <mergeCell ref="EO6:ER6"/>
    <mergeCell ref="EU6:EW6"/>
    <mergeCell ref="EX6:EY6"/>
    <mergeCell ref="FA6:FD6"/>
    <mergeCell ref="EP7:EQ7"/>
    <mergeCell ref="ES7:ET7"/>
    <mergeCell ref="FB7:FC7"/>
    <mergeCell ref="FE7:FF7"/>
    <mergeCell ref="EO8:EQ8"/>
    <mergeCell ref="ER8:ET8"/>
    <mergeCell ref="EV8:EY9"/>
    <mergeCell ref="AT38:AZ38"/>
    <mergeCell ref="F97:I97"/>
    <mergeCell ref="K97:M97"/>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U43:AV43"/>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AK44:AM44"/>
    <mergeCell ref="AN44:AO44"/>
    <mergeCell ref="AU44:AW44"/>
    <mergeCell ref="AM37:AN37"/>
    <mergeCell ref="AO37:AP37"/>
    <mergeCell ref="AK38:AM38"/>
    <mergeCell ref="AN38:AO38"/>
    <mergeCell ref="AK37:AL37"/>
    <mergeCell ref="AX44:AZ44"/>
    <mergeCell ref="BA44:BB44"/>
    <mergeCell ref="AU40:AW40"/>
    <mergeCell ref="AX40:AZ40"/>
    <mergeCell ref="AW31:AY31"/>
    <mergeCell ref="AZ31:BA31"/>
    <mergeCell ref="AC50:AJ50"/>
    <mergeCell ref="AC54:AJ54"/>
    <mergeCell ref="S47:V47"/>
    <mergeCell ref="W47:AA47"/>
    <mergeCell ref="AB47:AE47"/>
    <mergeCell ref="AF47:AJ47"/>
    <mergeCell ref="S56:V56"/>
    <mergeCell ref="X56:Z56"/>
    <mergeCell ref="AN25:AP25"/>
    <mergeCell ref="AQ25:AT25"/>
    <mergeCell ref="AW25:AY25"/>
    <mergeCell ref="AZ25:BB25"/>
    <mergeCell ref="AR26:AS26"/>
    <mergeCell ref="AU26:AV26"/>
    <mergeCell ref="AW26:AY26"/>
    <mergeCell ref="AZ26:BA26"/>
    <mergeCell ref="AQ27:AS27"/>
    <mergeCell ref="AK30:AM30"/>
    <mergeCell ref="AN30:AP30"/>
    <mergeCell ref="AW28:AZ28"/>
    <mergeCell ref="AN42:AO42"/>
    <mergeCell ref="AT42:AZ42"/>
    <mergeCell ref="AK43:AL43"/>
    <mergeCell ref="AM43:AN43"/>
    <mergeCell ref="AO43:AP43"/>
    <mergeCell ref="AR15:AS15"/>
    <mergeCell ref="AU15:AV15"/>
    <mergeCell ref="AW15:AY15"/>
    <mergeCell ref="AZ15:BA15"/>
    <mergeCell ref="AQ16:AS16"/>
    <mergeCell ref="AQ17:AS17"/>
    <mergeCell ref="AW9:AY9"/>
    <mergeCell ref="AK8:AM8"/>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X18:AY18"/>
    <mergeCell ref="BA18:BB18"/>
    <mergeCell ref="AK19:AM19"/>
    <mergeCell ref="AN19:AP19"/>
    <mergeCell ref="AR19:AU20"/>
    <mergeCell ref="AW19:AY19"/>
    <mergeCell ref="AZ19:BB19"/>
    <mergeCell ref="AK20:AM20"/>
    <mergeCell ref="AN20:AO20"/>
    <mergeCell ref="AW20:AY20"/>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Z23:AC23"/>
    <mergeCell ref="AE23:AH23"/>
    <mergeCell ref="AF24:AG24"/>
    <mergeCell ref="AI24:AJ24"/>
    <mergeCell ref="Y25:AB25"/>
    <mergeCell ref="AE25:AG25"/>
    <mergeCell ref="AH25:AJ25"/>
    <mergeCell ref="Z26:AA26"/>
    <mergeCell ref="AR30:AU31"/>
    <mergeCell ref="AW30:AY30"/>
    <mergeCell ref="AZ30:BB30"/>
    <mergeCell ref="AK31:AM31"/>
    <mergeCell ref="AN31:AO31"/>
    <mergeCell ref="AX29:AY29"/>
    <mergeCell ref="BA29:BB29"/>
    <mergeCell ref="AT17:AU17"/>
    <mergeCell ref="AW17:AZ17"/>
    <mergeCell ref="AC26:AD26"/>
    <mergeCell ref="AE26:AG26"/>
    <mergeCell ref="AH26:AI26"/>
    <mergeCell ref="AK25:AM25"/>
    <mergeCell ref="AZ20:BA20"/>
    <mergeCell ref="AR23:AU23"/>
    <mergeCell ref="AW23:AZ23"/>
    <mergeCell ref="AL24:AM24"/>
    <mergeCell ref="AO24:AP24"/>
    <mergeCell ref="AX24:AY24"/>
    <mergeCell ref="BA24:BB24"/>
    <mergeCell ref="AH43:AJ43"/>
    <mergeCell ref="Z34:Z44"/>
    <mergeCell ref="S44:U44"/>
    <mergeCell ref="V44:W44"/>
    <mergeCell ref="AC44:AE44"/>
    <mergeCell ref="AF44:AH44"/>
    <mergeCell ref="AF35:AG35"/>
    <mergeCell ref="AH35:AJ35"/>
    <mergeCell ref="T36:U36"/>
    <mergeCell ref="V36:W36"/>
    <mergeCell ref="T29:U29"/>
    <mergeCell ref="W29:X29"/>
    <mergeCell ref="AB28:AC28"/>
    <mergeCell ref="AE28:AH28"/>
    <mergeCell ref="AB27:AD27"/>
    <mergeCell ref="W35:X35"/>
    <mergeCell ref="AC35:AD35"/>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K9:AM9"/>
    <mergeCell ref="AN9:AO9"/>
    <mergeCell ref="S66:V66"/>
    <mergeCell ref="X66:Z66"/>
    <mergeCell ref="AB34:AH34"/>
    <mergeCell ref="T35:U35"/>
    <mergeCell ref="G100:L100"/>
    <mergeCell ref="J77:L77"/>
    <mergeCell ref="J78:K78"/>
    <mergeCell ref="X69:Z69"/>
    <mergeCell ref="S69:V69"/>
    <mergeCell ref="D82:E82"/>
    <mergeCell ref="G82:H82"/>
    <mergeCell ref="A85:H85"/>
    <mergeCell ref="A86:D86"/>
    <mergeCell ref="E86:H86"/>
    <mergeCell ref="E87:H87"/>
    <mergeCell ref="J85:Q85"/>
    <mergeCell ref="J86:M86"/>
    <mergeCell ref="N86:Q86"/>
    <mergeCell ref="J87:M87"/>
    <mergeCell ref="N87:Q87"/>
    <mergeCell ref="M82:N82"/>
    <mergeCell ref="F98:I98"/>
    <mergeCell ref="K98:M98"/>
    <mergeCell ref="F90:M90"/>
    <mergeCell ref="F91:I91"/>
    <mergeCell ref="K91:M91"/>
    <mergeCell ref="F92:I92"/>
    <mergeCell ref="K92:M92"/>
    <mergeCell ref="F93:I93"/>
    <mergeCell ref="K93:M93"/>
    <mergeCell ref="F94:I94"/>
    <mergeCell ref="K94:M94"/>
    <mergeCell ref="F95:I95"/>
    <mergeCell ref="K95:M95"/>
    <mergeCell ref="F96:I96"/>
    <mergeCell ref="K96:M96"/>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65:H65"/>
    <mergeCell ref="E66:F66"/>
    <mergeCell ref="G66:H66"/>
    <mergeCell ref="J61:M61"/>
    <mergeCell ref="S67:V67"/>
    <mergeCell ref="X67:Z67"/>
    <mergeCell ref="J65:K65"/>
    <mergeCell ref="L65:M65"/>
    <mergeCell ref="N65:O65"/>
    <mergeCell ref="P65:Q65"/>
    <mergeCell ref="S43:T43"/>
    <mergeCell ref="U43:V43"/>
    <mergeCell ref="W43:X43"/>
    <mergeCell ref="AF43:AG43"/>
    <mergeCell ref="S71:V71"/>
    <mergeCell ref="X71:Z71"/>
    <mergeCell ref="AH15:AI15"/>
    <mergeCell ref="AE3:AG3"/>
    <mergeCell ref="AH3:AJ3"/>
    <mergeCell ref="A87:D87"/>
    <mergeCell ref="S72:V72"/>
    <mergeCell ref="X72:Z72"/>
    <mergeCell ref="A82:B82"/>
    <mergeCell ref="S68:V68"/>
    <mergeCell ref="X68:Z68"/>
    <mergeCell ref="S64:Z64"/>
    <mergeCell ref="S65:V65"/>
    <mergeCell ref="X65:Z65"/>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AC56:AF56"/>
    <mergeCell ref="AH56:AJ56"/>
    <mergeCell ref="T7:U7"/>
    <mergeCell ref="W7:X7"/>
    <mergeCell ref="T13:U13"/>
    <mergeCell ref="W13:X13"/>
    <mergeCell ref="S14:U14"/>
    <mergeCell ref="V14:X14"/>
    <mergeCell ref="S15:U15"/>
    <mergeCell ref="V15:W15"/>
    <mergeCell ref="S17:V17"/>
    <mergeCell ref="T18:U18"/>
    <mergeCell ref="S8:U8"/>
    <mergeCell ref="V8:X8"/>
    <mergeCell ref="Z8:AC9"/>
    <mergeCell ref="AE8:AG8"/>
    <mergeCell ref="AH8:AJ8"/>
    <mergeCell ref="S9:U9"/>
    <mergeCell ref="S26:U26"/>
    <mergeCell ref="V26:W26"/>
    <mergeCell ref="W18:X18"/>
    <mergeCell ref="S19:U19"/>
    <mergeCell ref="V19:X19"/>
    <mergeCell ref="S20:U20"/>
    <mergeCell ref="V20:W20"/>
    <mergeCell ref="S23:V23"/>
    <mergeCell ref="T24:U24"/>
    <mergeCell ref="W24:X24"/>
    <mergeCell ref="S25:U25"/>
    <mergeCell ref="V25:X25"/>
    <mergeCell ref="AB16:AD16"/>
    <mergeCell ref="AI7:AJ7"/>
    <mergeCell ref="E61:H61"/>
    <mergeCell ref="E62:F62"/>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S1:V1"/>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J73:K73"/>
    <mergeCell ref="P77:R77"/>
    <mergeCell ref="J71:K71"/>
    <mergeCell ref="M71:N71"/>
    <mergeCell ref="M70:O70"/>
    <mergeCell ref="S70:V70"/>
    <mergeCell ref="X70:Z70"/>
    <mergeCell ref="P73:Q73"/>
    <mergeCell ref="G80:H80"/>
    <mergeCell ref="N62:O62"/>
    <mergeCell ref="P62:Q62"/>
    <mergeCell ref="D70:F70"/>
    <mergeCell ref="G70:I70"/>
    <mergeCell ref="J70:L70"/>
    <mergeCell ref="M25:O25"/>
    <mergeCell ref="P25:R25"/>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G72:H72"/>
    <mergeCell ref="D72:E72"/>
    <mergeCell ref="G62:H62"/>
    <mergeCell ref="E63:F63"/>
    <mergeCell ref="G63:H63"/>
    <mergeCell ref="L59:Q59"/>
    <mergeCell ref="N61:Q61"/>
    <mergeCell ref="J62:K62"/>
    <mergeCell ref="L63:M63"/>
    <mergeCell ref="N63:O63"/>
    <mergeCell ref="P63:Q63"/>
    <mergeCell ref="N55:O55"/>
    <mergeCell ref="A70:C70"/>
    <mergeCell ref="A64:B64"/>
    <mergeCell ref="C64:D64"/>
    <mergeCell ref="M73:N73"/>
    <mergeCell ref="A79:B79"/>
    <mergeCell ref="D79:E79"/>
    <mergeCell ref="G79:H79"/>
    <mergeCell ref="P72:Q72"/>
    <mergeCell ref="D74:E74"/>
    <mergeCell ref="G74:H74"/>
    <mergeCell ref="D75:E75"/>
    <mergeCell ref="G75:H75"/>
    <mergeCell ref="P74:Q74"/>
    <mergeCell ref="J75:K75"/>
    <mergeCell ref="A78:B78"/>
    <mergeCell ref="G78:H78"/>
    <mergeCell ref="A71:B71"/>
    <mergeCell ref="D71:E71"/>
    <mergeCell ref="A72:B72"/>
    <mergeCell ref="A73:B73"/>
    <mergeCell ref="A37:B37"/>
    <mergeCell ref="D42:E42"/>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J49:M49"/>
    <mergeCell ref="N49:R49"/>
    <mergeCell ref="G77:I77"/>
    <mergeCell ref="M78:N78"/>
    <mergeCell ref="P71:Q71"/>
    <mergeCell ref="J72:K72"/>
    <mergeCell ref="M72:N72"/>
    <mergeCell ref="P78:Q78"/>
    <mergeCell ref="P75:Q75"/>
    <mergeCell ref="J74:K74"/>
    <mergeCell ref="M74:N74"/>
    <mergeCell ref="J79:K79"/>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G28:I28"/>
    <mergeCell ref="M26:O26"/>
    <mergeCell ref="P26:Q26"/>
    <mergeCell ref="K26:L26"/>
    <mergeCell ref="D36:E36"/>
    <mergeCell ref="K35:L35"/>
    <mergeCell ref="P35:R35"/>
    <mergeCell ref="K36:M36"/>
    <mergeCell ref="N36:P36"/>
    <mergeCell ref="E37:F37"/>
    <mergeCell ref="Q40:R40"/>
    <mergeCell ref="A54:B54"/>
    <mergeCell ref="E54:F54"/>
    <mergeCell ref="J54:K54"/>
    <mergeCell ref="N54:O54"/>
    <mergeCell ref="C43:D43"/>
    <mergeCell ref="E43:F43"/>
    <mergeCell ref="A44:C44"/>
    <mergeCell ref="D44:E44"/>
    <mergeCell ref="A47:D47"/>
    <mergeCell ref="J38:P38"/>
    <mergeCell ref="E47:I47"/>
    <mergeCell ref="A51:I52"/>
    <mergeCell ref="J51:R52"/>
    <mergeCell ref="N44:P44"/>
    <mergeCell ref="Q36:R36"/>
    <mergeCell ref="N39:O39"/>
    <mergeCell ref="K39:L39"/>
    <mergeCell ref="P39:R39"/>
    <mergeCell ref="J42:P42"/>
    <mergeCell ref="K43:L43"/>
    <mergeCell ref="P43:R43"/>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G25:J25"/>
    <mergeCell ref="N35:O35"/>
    <mergeCell ref="P30:R30"/>
    <mergeCell ref="M31:O31"/>
    <mergeCell ref="P31:Q31"/>
    <mergeCell ref="K40:M40"/>
    <mergeCell ref="N40:P40"/>
    <mergeCell ref="Q2:R2"/>
    <mergeCell ref="M3:O3"/>
    <mergeCell ref="P3:R3"/>
    <mergeCell ref="M4:O4"/>
    <mergeCell ref="P4:Q4"/>
    <mergeCell ref="M6:P6"/>
    <mergeCell ref="N7:O7"/>
    <mergeCell ref="Q7:R7"/>
    <mergeCell ref="Q13:R13"/>
    <mergeCell ref="M14:O14"/>
    <mergeCell ref="P14:R14"/>
    <mergeCell ref="M15:O15"/>
    <mergeCell ref="P15:Q15"/>
    <mergeCell ref="G14:J14"/>
    <mergeCell ref="H15:I15"/>
    <mergeCell ref="K15:L15"/>
    <mergeCell ref="A20:C20"/>
    <mergeCell ref="D20:E20"/>
    <mergeCell ref="G17:I17"/>
    <mergeCell ref="J17:K17"/>
    <mergeCell ref="A9:C9"/>
    <mergeCell ref="D9:E9"/>
    <mergeCell ref="A12:D12"/>
    <mergeCell ref="B13:C13"/>
    <mergeCell ref="E13:F13"/>
    <mergeCell ref="A14:C14"/>
    <mergeCell ref="D14:F14"/>
    <mergeCell ref="A15:C15"/>
    <mergeCell ref="D15:E15"/>
    <mergeCell ref="G16:I16"/>
    <mergeCell ref="M17:P17"/>
    <mergeCell ref="N18:O18"/>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Q18:R18"/>
    <mergeCell ref="M19:O19"/>
    <mergeCell ref="P19:R19"/>
    <mergeCell ref="M20:O20"/>
    <mergeCell ref="P20:Q20"/>
    <mergeCell ref="H12:K12"/>
    <mergeCell ref="H8:K9"/>
    <mergeCell ref="Q24:R24"/>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F13:AG13"/>
    <mergeCell ref="AI13:AJ13"/>
    <mergeCell ref="AE14:AG14"/>
    <mergeCell ref="AH14:AJ14"/>
    <mergeCell ref="AC15:AD15"/>
    <mergeCell ref="AE15:AG15"/>
    <mergeCell ref="BD7:BE7"/>
    <mergeCell ref="BG7:BH7"/>
    <mergeCell ref="BP7:BQ7"/>
    <mergeCell ref="BC12:BF12"/>
    <mergeCell ref="BJ12:BM12"/>
    <mergeCell ref="BO12:BR12"/>
    <mergeCell ref="BD13:BE13"/>
    <mergeCell ref="BC15:BE15"/>
    <mergeCell ref="BF15:BG15"/>
    <mergeCell ref="BJ15:BK15"/>
    <mergeCell ref="BM15:BN15"/>
    <mergeCell ref="BO15:BQ15"/>
    <mergeCell ref="BR15:BS15"/>
    <mergeCell ref="AX7:AY7"/>
    <mergeCell ref="BA7:BB7"/>
    <mergeCell ref="AR12:AU12"/>
    <mergeCell ref="AW12:AZ12"/>
    <mergeCell ref="AL13:AM13"/>
    <mergeCell ref="AO13:AP13"/>
    <mergeCell ref="AX13:AY13"/>
    <mergeCell ref="BA13:BB13"/>
    <mergeCell ref="AK14:AM14"/>
    <mergeCell ref="AN14:AP14"/>
    <mergeCell ref="AQ14:AT14"/>
    <mergeCell ref="AW14:AY14"/>
    <mergeCell ref="AZ14:BB14"/>
    <mergeCell ref="AN8:AP8"/>
    <mergeCell ref="AR8:AU9"/>
    <mergeCell ref="AW8:AY8"/>
    <mergeCell ref="AZ8:BB8"/>
    <mergeCell ref="AZ9:BA9"/>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AQ6:AS6"/>
    <mergeCell ref="AT6:AU6"/>
    <mergeCell ref="AW6:AZ6"/>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I16:BK16"/>
    <mergeCell ref="BL16:BN16"/>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I41:DJ41"/>
    <mergeCell ref="DF42:DG42"/>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 ref="DF48:DM50"/>
    <mergeCell ref="DO48:DV48"/>
    <mergeCell ref="AC64:AJ64"/>
    <mergeCell ref="AC65:AF65"/>
    <mergeCell ref="AH65:AJ65"/>
    <mergeCell ref="AC66:AF66"/>
    <mergeCell ref="AH66:AJ66"/>
    <mergeCell ref="AC67:AF67"/>
    <mergeCell ref="AH67:AJ67"/>
    <mergeCell ref="AC68:AF68"/>
    <mergeCell ref="AH68:AJ68"/>
    <mergeCell ref="AC69:AF69"/>
    <mergeCell ref="AH69:AJ69"/>
    <mergeCell ref="AC70:AF70"/>
    <mergeCell ref="AH70:AJ70"/>
    <mergeCell ref="AC71:AF71"/>
    <mergeCell ref="AH71:AJ71"/>
    <mergeCell ref="AC72:AF72"/>
    <mergeCell ref="AH72:AJ72"/>
    <mergeCell ref="AC74:AJ74"/>
    <mergeCell ref="AC75:AF75"/>
    <mergeCell ref="AH75:AJ75"/>
    <mergeCell ref="AC76:AF76"/>
    <mergeCell ref="AH76:AJ76"/>
    <mergeCell ref="AC77:AF77"/>
    <mergeCell ref="AH77:AJ77"/>
    <mergeCell ref="AC78:AF78"/>
    <mergeCell ref="AH78:AJ78"/>
    <mergeCell ref="AC79:AF79"/>
    <mergeCell ref="AH79:AJ79"/>
    <mergeCell ref="AC80:AF80"/>
    <mergeCell ref="AH80:AJ80"/>
    <mergeCell ref="AC81:AF81"/>
    <mergeCell ref="AH81:AJ81"/>
    <mergeCell ref="AC82:AF82"/>
    <mergeCell ref="AH82:AJ82"/>
  </mergeCells>
  <conditionalFormatting sqref="A51:R52">
    <cfRule type="cellIs" dxfId="497" priority="519" stopIfTrue="1" operator="equal">
      <formula>"OTR"</formula>
    </cfRule>
    <cfRule type="cellIs" dxfId="496" priority="520" stopIfTrue="1" operator="equal">
      <formula>"PAR"</formula>
    </cfRule>
    <cfRule type="cellIs" dxfId="495" priority="521" stopIfTrue="1" operator="equal">
      <formula>"CLP"</formula>
    </cfRule>
    <cfRule type="cellIs" dxfId="494" priority="522" stopIfTrue="1" operator="equal">
      <formula>"HAT"</formula>
    </cfRule>
    <cfRule type="cellIs" dxfId="493" priority="523" stopIfTrue="1" operator="equal">
      <formula>"LIB"</formula>
    </cfRule>
    <cfRule type="cellIs" dxfId="492" priority="524" stopIfTrue="1" operator="equal">
      <formula>"BA"</formula>
    </cfRule>
    <cfRule type="cellIs" dxfId="491" priority="525" stopIfTrue="1" operator="equal">
      <formula>"SPA"</formula>
    </cfRule>
    <cfRule type="cellIs" dxfId="490" priority="526" stopIfTrue="1" operator="equal">
      <formula>"OST"</formula>
    </cfRule>
    <cfRule type="cellIs" dxfId="489" priority="527" stopIfTrue="1" operator="equal">
      <formula>"BOH"</formula>
    </cfRule>
    <cfRule type="cellIs" dxfId="488" priority="528" stopIfTrue="1" operator="equal">
      <formula>"TAT"</formula>
    </cfRule>
    <cfRule type="cellIs" dxfId="487" priority="529" stopIfTrue="1" operator="equal">
      <formula>"MB"</formula>
    </cfRule>
    <cfRule type="cellIs" dxfId="486" priority="530" stopIfTrue="1" operator="equal">
      <formula>"VIT"</formula>
    </cfRule>
    <cfRule type="cellIs" dxfId="485" priority="531" stopIfTrue="1" operator="equal">
      <formula>"CHO"</formula>
    </cfRule>
    <cfRule type="cellIs" dxfId="484" priority="532" stopIfTrue="1" operator="equal">
      <formula>"SKV"</formula>
    </cfRule>
  </conditionalFormatting>
  <conditionalFormatting sqref="H19:K20">
    <cfRule type="cellIs" dxfId="483" priority="505" stopIfTrue="1" operator="equal">
      <formula>"OTR"</formula>
    </cfRule>
    <cfRule type="cellIs" dxfId="482" priority="506" stopIfTrue="1" operator="equal">
      <formula>"PAR"</formula>
    </cfRule>
    <cfRule type="cellIs" dxfId="481" priority="507" stopIfTrue="1" operator="equal">
      <formula>"CLP"</formula>
    </cfRule>
    <cfRule type="cellIs" dxfId="480" priority="508" stopIfTrue="1" operator="equal">
      <formula>"HAT"</formula>
    </cfRule>
    <cfRule type="cellIs" dxfId="479" priority="509" stopIfTrue="1" operator="equal">
      <formula>"LIB"</formula>
    </cfRule>
    <cfRule type="cellIs" dxfId="478" priority="510" stopIfTrue="1" operator="equal">
      <formula>"BA"</formula>
    </cfRule>
    <cfRule type="cellIs" dxfId="477" priority="511" stopIfTrue="1" operator="equal">
      <formula>"SPA"</formula>
    </cfRule>
    <cfRule type="cellIs" dxfId="476" priority="512" stopIfTrue="1" operator="equal">
      <formula>"OST"</formula>
    </cfRule>
    <cfRule type="cellIs" dxfId="475" priority="513" stopIfTrue="1" operator="equal">
      <formula>"BOH"</formula>
    </cfRule>
    <cfRule type="cellIs" dxfId="474" priority="514" stopIfTrue="1" operator="equal">
      <formula>"TAT"</formula>
    </cfRule>
    <cfRule type="cellIs" dxfId="473" priority="515" stopIfTrue="1" operator="equal">
      <formula>"MB"</formula>
    </cfRule>
    <cfRule type="cellIs" dxfId="472" priority="516" stopIfTrue="1" operator="equal">
      <formula>"VIT"</formula>
    </cfRule>
    <cfRule type="cellIs" dxfId="471" priority="517" stopIfTrue="1" operator="equal">
      <formula>"CHO"</formula>
    </cfRule>
    <cfRule type="cellIs" dxfId="470" priority="518" stopIfTrue="1" operator="equal">
      <formula>"SKV"</formula>
    </cfRule>
  </conditionalFormatting>
  <conditionalFormatting sqref="Z8:AC9">
    <cfRule type="cellIs" dxfId="469" priority="463" stopIfTrue="1" operator="equal">
      <formula>"OTR"</formula>
    </cfRule>
    <cfRule type="cellIs" dxfId="468" priority="464" stopIfTrue="1" operator="equal">
      <formula>"PAR"</formula>
    </cfRule>
    <cfRule type="cellIs" dxfId="467" priority="465" stopIfTrue="1" operator="equal">
      <formula>"CLP"</formula>
    </cfRule>
    <cfRule type="cellIs" dxfId="466" priority="466" stopIfTrue="1" operator="equal">
      <formula>"HAT"</formula>
    </cfRule>
    <cfRule type="cellIs" dxfId="465" priority="467" stopIfTrue="1" operator="equal">
      <formula>"LIB"</formula>
    </cfRule>
    <cfRule type="cellIs" dxfId="464" priority="468" stopIfTrue="1" operator="equal">
      <formula>"BA"</formula>
    </cfRule>
    <cfRule type="cellIs" dxfId="463" priority="469" stopIfTrue="1" operator="equal">
      <formula>"SPA"</formula>
    </cfRule>
    <cfRule type="cellIs" dxfId="462" priority="470" stopIfTrue="1" operator="equal">
      <formula>"OST"</formula>
    </cfRule>
    <cfRule type="cellIs" dxfId="461" priority="471" stopIfTrue="1" operator="equal">
      <formula>"BOH"</formula>
    </cfRule>
    <cfRule type="cellIs" dxfId="460" priority="472" stopIfTrue="1" operator="equal">
      <formula>"TAT"</formula>
    </cfRule>
    <cfRule type="cellIs" dxfId="459" priority="473" stopIfTrue="1" operator="equal">
      <formula>"MB"</formula>
    </cfRule>
    <cfRule type="cellIs" dxfId="458" priority="474" stopIfTrue="1" operator="equal">
      <formula>"VIT"</formula>
    </cfRule>
    <cfRule type="cellIs" dxfId="457" priority="475" stopIfTrue="1" operator="equal">
      <formula>"CHO"</formula>
    </cfRule>
    <cfRule type="cellIs" dxfId="456" priority="476" stopIfTrue="1" operator="equal">
      <formula>"SKV"</formula>
    </cfRule>
  </conditionalFormatting>
  <conditionalFormatting sqref="H8:K9">
    <cfRule type="cellIs" dxfId="455" priority="477" stopIfTrue="1" operator="equal">
      <formula>"OTR"</formula>
    </cfRule>
    <cfRule type="cellIs" dxfId="454" priority="478" stopIfTrue="1" operator="equal">
      <formula>"PAR"</formula>
    </cfRule>
    <cfRule type="cellIs" dxfId="453" priority="479" stopIfTrue="1" operator="equal">
      <formula>"CLP"</formula>
    </cfRule>
    <cfRule type="cellIs" dxfId="452" priority="480" stopIfTrue="1" operator="equal">
      <formula>"HAT"</formula>
    </cfRule>
    <cfRule type="cellIs" dxfId="451" priority="481" stopIfTrue="1" operator="equal">
      <formula>"LIB"</formula>
    </cfRule>
    <cfRule type="cellIs" dxfId="450" priority="482" stopIfTrue="1" operator="equal">
      <formula>"BA"</formula>
    </cfRule>
    <cfRule type="cellIs" dxfId="449" priority="483" stopIfTrue="1" operator="equal">
      <formula>"SPA"</formula>
    </cfRule>
    <cfRule type="cellIs" dxfId="448" priority="484" stopIfTrue="1" operator="equal">
      <formula>"OST"</formula>
    </cfRule>
    <cfRule type="cellIs" dxfId="447" priority="485" stopIfTrue="1" operator="equal">
      <formula>"BOH"</formula>
    </cfRule>
    <cfRule type="cellIs" dxfId="446" priority="486" stopIfTrue="1" operator="equal">
      <formula>"TAT"</formula>
    </cfRule>
    <cfRule type="cellIs" dxfId="445" priority="487" stopIfTrue="1" operator="equal">
      <formula>"MB"</formula>
    </cfRule>
    <cfRule type="cellIs" dxfId="444" priority="488" stopIfTrue="1" operator="equal">
      <formula>"VIT"</formula>
    </cfRule>
    <cfRule type="cellIs" dxfId="443" priority="489" stopIfTrue="1" operator="equal">
      <formula>"CHO"</formula>
    </cfRule>
    <cfRule type="cellIs" dxfId="442" priority="490" stopIfTrue="1" operator="equal">
      <formula>"SKV"</formula>
    </cfRule>
  </conditionalFormatting>
  <conditionalFormatting sqref="Z19:AC20">
    <cfRule type="cellIs" dxfId="441" priority="449" stopIfTrue="1" operator="equal">
      <formula>"OTR"</formula>
    </cfRule>
    <cfRule type="cellIs" dxfId="440" priority="450" stopIfTrue="1" operator="equal">
      <formula>"PAR"</formula>
    </cfRule>
    <cfRule type="cellIs" dxfId="439" priority="451" stopIfTrue="1" operator="equal">
      <formula>"CLP"</formula>
    </cfRule>
    <cfRule type="cellIs" dxfId="438" priority="452" stopIfTrue="1" operator="equal">
      <formula>"HAT"</formula>
    </cfRule>
    <cfRule type="cellIs" dxfId="437" priority="453" stopIfTrue="1" operator="equal">
      <formula>"LIB"</formula>
    </cfRule>
    <cfRule type="cellIs" dxfId="436" priority="454" stopIfTrue="1" operator="equal">
      <formula>"BA"</formula>
    </cfRule>
    <cfRule type="cellIs" dxfId="435" priority="455" stopIfTrue="1" operator="equal">
      <formula>"SPA"</formula>
    </cfRule>
    <cfRule type="cellIs" dxfId="434" priority="456" stopIfTrue="1" operator="equal">
      <formula>"OST"</formula>
    </cfRule>
    <cfRule type="cellIs" dxfId="433" priority="457" stopIfTrue="1" operator="equal">
      <formula>"BOH"</formula>
    </cfRule>
    <cfRule type="cellIs" dxfId="432" priority="458" stopIfTrue="1" operator="equal">
      <formula>"TAT"</formula>
    </cfRule>
    <cfRule type="cellIs" dxfId="431" priority="459" stopIfTrue="1" operator="equal">
      <formula>"MB"</formula>
    </cfRule>
    <cfRule type="cellIs" dxfId="430" priority="460" stopIfTrue="1" operator="equal">
      <formula>"VIT"</formula>
    </cfRule>
    <cfRule type="cellIs" dxfId="429" priority="461" stopIfTrue="1" operator="equal">
      <formula>"CHO"</formula>
    </cfRule>
    <cfRule type="cellIs" dxfId="428" priority="462" stopIfTrue="1" operator="equal">
      <formula>"SKV"</formula>
    </cfRule>
  </conditionalFormatting>
  <conditionalFormatting sqref="H30:K31">
    <cfRule type="cellIs" dxfId="427" priority="421" stopIfTrue="1" operator="equal">
      <formula>"OTR"</formula>
    </cfRule>
    <cfRule type="cellIs" dxfId="426" priority="422" stopIfTrue="1" operator="equal">
      <formula>"PAR"</formula>
    </cfRule>
    <cfRule type="cellIs" dxfId="425" priority="423" stopIfTrue="1" operator="equal">
      <formula>"CLP"</formula>
    </cfRule>
    <cfRule type="cellIs" dxfId="424" priority="424" stopIfTrue="1" operator="equal">
      <formula>"HAT"</formula>
    </cfRule>
    <cfRule type="cellIs" dxfId="423" priority="425" stopIfTrue="1" operator="equal">
      <formula>"LIB"</formula>
    </cfRule>
    <cfRule type="cellIs" dxfId="422" priority="426" stopIfTrue="1" operator="equal">
      <formula>"BA"</formula>
    </cfRule>
    <cfRule type="cellIs" dxfId="421" priority="427" stopIfTrue="1" operator="equal">
      <formula>"SPA"</formula>
    </cfRule>
    <cfRule type="cellIs" dxfId="420" priority="428" stopIfTrue="1" operator="equal">
      <formula>"OST"</formula>
    </cfRule>
    <cfRule type="cellIs" dxfId="419" priority="429" stopIfTrue="1" operator="equal">
      <formula>"BOH"</formula>
    </cfRule>
    <cfRule type="cellIs" dxfId="418" priority="430" stopIfTrue="1" operator="equal">
      <formula>"TAT"</formula>
    </cfRule>
    <cfRule type="cellIs" dxfId="417" priority="431" stopIfTrue="1" operator="equal">
      <formula>"MB"</formula>
    </cfRule>
    <cfRule type="cellIs" dxfId="416" priority="432" stopIfTrue="1" operator="equal">
      <formula>"VIT"</formula>
    </cfRule>
    <cfRule type="cellIs" dxfId="415" priority="433" stopIfTrue="1" operator="equal">
      <formula>"CHO"</formula>
    </cfRule>
    <cfRule type="cellIs" dxfId="414" priority="434" stopIfTrue="1" operator="equal">
      <formula>"SKV"</formula>
    </cfRule>
  </conditionalFormatting>
  <conditionalFormatting sqref="Z30:AC31">
    <cfRule type="cellIs" dxfId="413" priority="407" stopIfTrue="1" operator="equal">
      <formula>"OTR"</formula>
    </cfRule>
    <cfRule type="cellIs" dxfId="412" priority="408" stopIfTrue="1" operator="equal">
      <formula>"PAR"</formula>
    </cfRule>
    <cfRule type="cellIs" dxfId="411" priority="409" stopIfTrue="1" operator="equal">
      <formula>"CLP"</formula>
    </cfRule>
    <cfRule type="cellIs" dxfId="410" priority="410" stopIfTrue="1" operator="equal">
      <formula>"HAT"</formula>
    </cfRule>
    <cfRule type="cellIs" dxfId="409" priority="411" stopIfTrue="1" operator="equal">
      <formula>"LIB"</formula>
    </cfRule>
    <cfRule type="cellIs" dxfId="408" priority="412" stopIfTrue="1" operator="equal">
      <formula>"BA"</formula>
    </cfRule>
    <cfRule type="cellIs" dxfId="407" priority="413" stopIfTrue="1" operator="equal">
      <formula>"SPA"</formula>
    </cfRule>
    <cfRule type="cellIs" dxfId="406" priority="414" stopIfTrue="1" operator="equal">
      <formula>"OST"</formula>
    </cfRule>
    <cfRule type="cellIs" dxfId="405" priority="415" stopIfTrue="1" operator="equal">
      <formula>"BOH"</formula>
    </cfRule>
    <cfRule type="cellIs" dxfId="404" priority="416" stopIfTrue="1" operator="equal">
      <formula>"TAT"</formula>
    </cfRule>
    <cfRule type="cellIs" dxfId="403" priority="417" stopIfTrue="1" operator="equal">
      <formula>"MB"</formula>
    </cfRule>
    <cfRule type="cellIs" dxfId="402" priority="418" stopIfTrue="1" operator="equal">
      <formula>"VIT"</formula>
    </cfRule>
    <cfRule type="cellIs" dxfId="401" priority="419" stopIfTrue="1" operator="equal">
      <formula>"CHO"</formula>
    </cfRule>
    <cfRule type="cellIs" dxfId="400" priority="420" stopIfTrue="1" operator="equal">
      <formula>"SKV"</formula>
    </cfRule>
  </conditionalFormatting>
  <conditionalFormatting sqref="AR8:AU9">
    <cfRule type="cellIs" dxfId="399" priority="393" stopIfTrue="1" operator="equal">
      <formula>"OTR"</formula>
    </cfRule>
    <cfRule type="cellIs" dxfId="398" priority="394" stopIfTrue="1" operator="equal">
      <formula>"PAR"</formula>
    </cfRule>
    <cfRule type="cellIs" dxfId="397" priority="395" stopIfTrue="1" operator="equal">
      <formula>"CLP"</formula>
    </cfRule>
    <cfRule type="cellIs" dxfId="396" priority="396" stopIfTrue="1" operator="equal">
      <formula>"HAT"</formula>
    </cfRule>
    <cfRule type="cellIs" dxfId="395" priority="397" stopIfTrue="1" operator="equal">
      <formula>"LIB"</formula>
    </cfRule>
    <cfRule type="cellIs" dxfId="394" priority="398" stopIfTrue="1" operator="equal">
      <formula>"BA"</formula>
    </cfRule>
    <cfRule type="cellIs" dxfId="393" priority="399" stopIfTrue="1" operator="equal">
      <formula>"SPA"</formula>
    </cfRule>
    <cfRule type="cellIs" dxfId="392" priority="400" stopIfTrue="1" operator="equal">
      <formula>"OST"</formula>
    </cfRule>
    <cfRule type="cellIs" dxfId="391" priority="401" stopIfTrue="1" operator="equal">
      <formula>"BOH"</formula>
    </cfRule>
    <cfRule type="cellIs" dxfId="390" priority="402" stopIfTrue="1" operator="equal">
      <formula>"TAT"</formula>
    </cfRule>
    <cfRule type="cellIs" dxfId="389" priority="403" stopIfTrue="1" operator="equal">
      <formula>"MB"</formula>
    </cfRule>
    <cfRule type="cellIs" dxfId="388" priority="404" stopIfTrue="1" operator="equal">
      <formula>"VIT"</formula>
    </cfRule>
    <cfRule type="cellIs" dxfId="387" priority="405" stopIfTrue="1" operator="equal">
      <formula>"CHO"</formula>
    </cfRule>
    <cfRule type="cellIs" dxfId="386" priority="406" stopIfTrue="1" operator="equal">
      <formula>"SKV"</formula>
    </cfRule>
  </conditionalFormatting>
  <conditionalFormatting sqref="AR30:AU31">
    <cfRule type="cellIs" dxfId="385" priority="351" stopIfTrue="1" operator="equal">
      <formula>"OTR"</formula>
    </cfRule>
    <cfRule type="cellIs" dxfId="384" priority="352" stopIfTrue="1" operator="equal">
      <formula>"PAR"</formula>
    </cfRule>
    <cfRule type="cellIs" dxfId="383" priority="353" stopIfTrue="1" operator="equal">
      <formula>"CLP"</formula>
    </cfRule>
    <cfRule type="cellIs" dxfId="382" priority="354" stopIfTrue="1" operator="equal">
      <formula>"HAT"</formula>
    </cfRule>
    <cfRule type="cellIs" dxfId="381" priority="355" stopIfTrue="1" operator="equal">
      <formula>"LIB"</formula>
    </cfRule>
    <cfRule type="cellIs" dxfId="380" priority="356" stopIfTrue="1" operator="equal">
      <formula>"BA"</formula>
    </cfRule>
    <cfRule type="cellIs" dxfId="379" priority="357" stopIfTrue="1" operator="equal">
      <formula>"SPA"</formula>
    </cfRule>
    <cfRule type="cellIs" dxfId="378" priority="358" stopIfTrue="1" operator="equal">
      <formula>"OST"</formula>
    </cfRule>
    <cfRule type="cellIs" dxfId="377" priority="359" stopIfTrue="1" operator="equal">
      <formula>"BOH"</formula>
    </cfRule>
    <cfRule type="cellIs" dxfId="376" priority="360" stopIfTrue="1" operator="equal">
      <formula>"TAT"</formula>
    </cfRule>
    <cfRule type="cellIs" dxfId="375" priority="361" stopIfTrue="1" operator="equal">
      <formula>"MB"</formula>
    </cfRule>
    <cfRule type="cellIs" dxfId="374" priority="362" stopIfTrue="1" operator="equal">
      <formula>"VIT"</formula>
    </cfRule>
    <cfRule type="cellIs" dxfId="373" priority="363" stopIfTrue="1" operator="equal">
      <formula>"CHO"</formula>
    </cfRule>
    <cfRule type="cellIs" dxfId="372" priority="364" stopIfTrue="1" operator="equal">
      <formula>"SKV"</formula>
    </cfRule>
  </conditionalFormatting>
  <conditionalFormatting sqref="AR19:AU20">
    <cfRule type="cellIs" dxfId="371" priority="337" stopIfTrue="1" operator="equal">
      <formula>"OTR"</formula>
    </cfRule>
    <cfRule type="cellIs" dxfId="370" priority="338" stopIfTrue="1" operator="equal">
      <formula>"PAR"</formula>
    </cfRule>
    <cfRule type="cellIs" dxfId="369" priority="339" stopIfTrue="1" operator="equal">
      <formula>"CLP"</formula>
    </cfRule>
    <cfRule type="cellIs" dxfId="368" priority="340" stopIfTrue="1" operator="equal">
      <formula>"HAT"</formula>
    </cfRule>
    <cfRule type="cellIs" dxfId="367" priority="341" stopIfTrue="1" operator="equal">
      <formula>"LIB"</formula>
    </cfRule>
    <cfRule type="cellIs" dxfId="366" priority="342" stopIfTrue="1" operator="equal">
      <formula>"BA"</formula>
    </cfRule>
    <cfRule type="cellIs" dxfId="365" priority="343" stopIfTrue="1" operator="equal">
      <formula>"SPA"</formula>
    </cfRule>
    <cfRule type="cellIs" dxfId="364" priority="344" stopIfTrue="1" operator="equal">
      <formula>"OST"</formula>
    </cfRule>
    <cfRule type="cellIs" dxfId="363" priority="345" stopIfTrue="1" operator="equal">
      <formula>"BOH"</formula>
    </cfRule>
    <cfRule type="cellIs" dxfId="362" priority="346" stopIfTrue="1" operator="equal">
      <formula>"TAT"</formula>
    </cfRule>
    <cfRule type="cellIs" dxfId="361" priority="347" stopIfTrue="1" operator="equal">
      <formula>"MB"</formula>
    </cfRule>
    <cfRule type="cellIs" dxfId="360" priority="348" stopIfTrue="1" operator="equal">
      <formula>"VIT"</formula>
    </cfRule>
    <cfRule type="cellIs" dxfId="359" priority="349" stopIfTrue="1" operator="equal">
      <formula>"CHO"</formula>
    </cfRule>
    <cfRule type="cellIs" dxfId="358" priority="350" stopIfTrue="1" operator="equal">
      <formula>"SKV"</formula>
    </cfRule>
  </conditionalFormatting>
  <conditionalFormatting sqref="BJ8:BM9">
    <cfRule type="cellIs" dxfId="357" priority="323" stopIfTrue="1" operator="equal">
      <formula>"OTR"</formula>
    </cfRule>
    <cfRule type="cellIs" dxfId="356" priority="324" stopIfTrue="1" operator="equal">
      <formula>"PAR"</formula>
    </cfRule>
    <cfRule type="cellIs" dxfId="355" priority="325" stopIfTrue="1" operator="equal">
      <formula>"CLP"</formula>
    </cfRule>
    <cfRule type="cellIs" dxfId="354" priority="326" stopIfTrue="1" operator="equal">
      <formula>"HAT"</formula>
    </cfRule>
    <cfRule type="cellIs" dxfId="353" priority="327" stopIfTrue="1" operator="equal">
      <formula>"LIB"</formula>
    </cfRule>
    <cfRule type="cellIs" dxfId="352" priority="328" stopIfTrue="1" operator="equal">
      <formula>"BA"</formula>
    </cfRule>
    <cfRule type="cellIs" dxfId="351" priority="329" stopIfTrue="1" operator="equal">
      <formula>"SPA"</formula>
    </cfRule>
    <cfRule type="cellIs" dxfId="350" priority="330" stopIfTrue="1" operator="equal">
      <formula>"OST"</formula>
    </cfRule>
    <cfRule type="cellIs" dxfId="349" priority="331" stopIfTrue="1" operator="equal">
      <formula>"BOH"</formula>
    </cfRule>
    <cfRule type="cellIs" dxfId="348" priority="332" stopIfTrue="1" operator="equal">
      <formula>"TAT"</formula>
    </cfRule>
    <cfRule type="cellIs" dxfId="347" priority="333" stopIfTrue="1" operator="equal">
      <formula>"MB"</formula>
    </cfRule>
    <cfRule type="cellIs" dxfId="346" priority="334" stopIfTrue="1" operator="equal">
      <formula>"VIT"</formula>
    </cfRule>
    <cfRule type="cellIs" dxfId="345" priority="335" stopIfTrue="1" operator="equal">
      <formula>"CHO"</formula>
    </cfRule>
    <cfRule type="cellIs" dxfId="344" priority="336" stopIfTrue="1" operator="equal">
      <formula>"SKV"</formula>
    </cfRule>
  </conditionalFormatting>
  <conditionalFormatting sqref="BJ30:BM31">
    <cfRule type="cellIs" dxfId="343" priority="309" stopIfTrue="1" operator="equal">
      <formula>"OTR"</formula>
    </cfRule>
    <cfRule type="cellIs" dxfId="342" priority="310" stopIfTrue="1" operator="equal">
      <formula>"PAR"</formula>
    </cfRule>
    <cfRule type="cellIs" dxfId="341" priority="311" stopIfTrue="1" operator="equal">
      <formula>"CLP"</formula>
    </cfRule>
    <cfRule type="cellIs" dxfId="340" priority="312" stopIfTrue="1" operator="equal">
      <formula>"HAT"</formula>
    </cfRule>
    <cfRule type="cellIs" dxfId="339" priority="313" stopIfTrue="1" operator="equal">
      <formula>"LIB"</formula>
    </cfRule>
    <cfRule type="cellIs" dxfId="338" priority="314" stopIfTrue="1" operator="equal">
      <formula>"BA"</formula>
    </cfRule>
    <cfRule type="cellIs" dxfId="337" priority="315" stopIfTrue="1" operator="equal">
      <formula>"SPA"</formula>
    </cfRule>
    <cfRule type="cellIs" dxfId="336" priority="316" stopIfTrue="1" operator="equal">
      <formula>"OST"</formula>
    </cfRule>
    <cfRule type="cellIs" dxfId="335" priority="317" stopIfTrue="1" operator="equal">
      <formula>"BOH"</formula>
    </cfRule>
    <cfRule type="cellIs" dxfId="334" priority="318" stopIfTrue="1" operator="equal">
      <formula>"TAT"</formula>
    </cfRule>
    <cfRule type="cellIs" dxfId="333" priority="319" stopIfTrue="1" operator="equal">
      <formula>"MB"</formula>
    </cfRule>
    <cfRule type="cellIs" dxfId="332" priority="320" stopIfTrue="1" operator="equal">
      <formula>"VIT"</formula>
    </cfRule>
    <cfRule type="cellIs" dxfId="331" priority="321" stopIfTrue="1" operator="equal">
      <formula>"CHO"</formula>
    </cfRule>
    <cfRule type="cellIs" dxfId="330" priority="322" stopIfTrue="1" operator="equal">
      <formula>"SKV"</formula>
    </cfRule>
  </conditionalFormatting>
  <conditionalFormatting sqref="BJ19:BM20">
    <cfRule type="cellIs" dxfId="329" priority="295" stopIfTrue="1" operator="equal">
      <formula>"OTR"</formula>
    </cfRule>
    <cfRule type="cellIs" dxfId="328" priority="296" stopIfTrue="1" operator="equal">
      <formula>"PAR"</formula>
    </cfRule>
    <cfRule type="cellIs" dxfId="327" priority="297" stopIfTrue="1" operator="equal">
      <formula>"CLP"</formula>
    </cfRule>
    <cfRule type="cellIs" dxfId="326" priority="298" stopIfTrue="1" operator="equal">
      <formula>"HAT"</formula>
    </cfRule>
    <cfRule type="cellIs" dxfId="325" priority="299" stopIfTrue="1" operator="equal">
      <formula>"LIB"</formula>
    </cfRule>
    <cfRule type="cellIs" dxfId="324" priority="300" stopIfTrue="1" operator="equal">
      <formula>"BA"</formula>
    </cfRule>
    <cfRule type="cellIs" dxfId="323" priority="301" stopIfTrue="1" operator="equal">
      <formula>"SPA"</formula>
    </cfRule>
    <cfRule type="cellIs" dxfId="322" priority="302" stopIfTrue="1" operator="equal">
      <formula>"OST"</formula>
    </cfRule>
    <cfRule type="cellIs" dxfId="321" priority="303" stopIfTrue="1" operator="equal">
      <formula>"BOH"</formula>
    </cfRule>
    <cfRule type="cellIs" dxfId="320" priority="304" stopIfTrue="1" operator="equal">
      <formula>"TAT"</formula>
    </cfRule>
    <cfRule type="cellIs" dxfId="319" priority="305" stopIfTrue="1" operator="equal">
      <formula>"MB"</formula>
    </cfRule>
    <cfRule type="cellIs" dxfId="318" priority="306" stopIfTrue="1" operator="equal">
      <formula>"VIT"</formula>
    </cfRule>
    <cfRule type="cellIs" dxfId="317" priority="307" stopIfTrue="1" operator="equal">
      <formula>"CHO"</formula>
    </cfRule>
    <cfRule type="cellIs" dxfId="316" priority="308" stopIfTrue="1" operator="equal">
      <formula>"SKV"</formula>
    </cfRule>
  </conditionalFormatting>
  <conditionalFormatting sqref="CB8:CE9">
    <cfRule type="cellIs" dxfId="315" priority="281" stopIfTrue="1" operator="equal">
      <formula>"OTR"</formula>
    </cfRule>
    <cfRule type="cellIs" dxfId="314" priority="282" stopIfTrue="1" operator="equal">
      <formula>"PAR"</formula>
    </cfRule>
    <cfRule type="cellIs" dxfId="313" priority="283" stopIfTrue="1" operator="equal">
      <formula>"CLP"</formula>
    </cfRule>
    <cfRule type="cellIs" dxfId="312" priority="284" stopIfTrue="1" operator="equal">
      <formula>"HAT"</formula>
    </cfRule>
    <cfRule type="cellIs" dxfId="311" priority="285" stopIfTrue="1" operator="equal">
      <formula>"LIB"</formula>
    </cfRule>
    <cfRule type="cellIs" dxfId="310" priority="286" stopIfTrue="1" operator="equal">
      <formula>"BA"</formula>
    </cfRule>
    <cfRule type="cellIs" dxfId="309" priority="287" stopIfTrue="1" operator="equal">
      <formula>"SPA"</formula>
    </cfRule>
    <cfRule type="cellIs" dxfId="308" priority="288" stopIfTrue="1" operator="equal">
      <formula>"OST"</formula>
    </cfRule>
    <cfRule type="cellIs" dxfId="307" priority="289" stopIfTrue="1" operator="equal">
      <formula>"BOH"</formula>
    </cfRule>
    <cfRule type="cellIs" dxfId="306" priority="290" stopIfTrue="1" operator="equal">
      <formula>"TAT"</formula>
    </cfRule>
    <cfRule type="cellIs" dxfId="305" priority="291" stopIfTrue="1" operator="equal">
      <formula>"MB"</formula>
    </cfRule>
    <cfRule type="cellIs" dxfId="304" priority="292" stopIfTrue="1" operator="equal">
      <formula>"VIT"</formula>
    </cfRule>
    <cfRule type="cellIs" dxfId="303" priority="293" stopIfTrue="1" operator="equal">
      <formula>"CHO"</formula>
    </cfRule>
    <cfRule type="cellIs" dxfId="302" priority="294" stopIfTrue="1" operator="equal">
      <formula>"SKV"</formula>
    </cfRule>
  </conditionalFormatting>
  <conditionalFormatting sqref="CB30:CE31">
    <cfRule type="cellIs" dxfId="301" priority="267" stopIfTrue="1" operator="equal">
      <formula>"OTR"</formula>
    </cfRule>
    <cfRule type="cellIs" dxfId="300" priority="268" stopIfTrue="1" operator="equal">
      <formula>"PAR"</formula>
    </cfRule>
    <cfRule type="cellIs" dxfId="299" priority="269" stopIfTrue="1" operator="equal">
      <formula>"CLP"</formula>
    </cfRule>
    <cfRule type="cellIs" dxfId="298" priority="270" stopIfTrue="1" operator="equal">
      <formula>"HAT"</formula>
    </cfRule>
    <cfRule type="cellIs" dxfId="297" priority="271" stopIfTrue="1" operator="equal">
      <formula>"LIB"</formula>
    </cfRule>
    <cfRule type="cellIs" dxfId="296" priority="272" stopIfTrue="1" operator="equal">
      <formula>"BA"</formula>
    </cfRule>
    <cfRule type="cellIs" dxfId="295" priority="273" stopIfTrue="1" operator="equal">
      <formula>"SPA"</formula>
    </cfRule>
    <cfRule type="cellIs" dxfId="294" priority="274" stopIfTrue="1" operator="equal">
      <formula>"OST"</formula>
    </cfRule>
    <cfRule type="cellIs" dxfId="293" priority="275" stopIfTrue="1" operator="equal">
      <formula>"BOH"</formula>
    </cfRule>
    <cfRule type="cellIs" dxfId="292" priority="276" stopIfTrue="1" operator="equal">
      <formula>"TAT"</formula>
    </cfRule>
    <cfRule type="cellIs" dxfId="291" priority="277" stopIfTrue="1" operator="equal">
      <formula>"MB"</formula>
    </cfRule>
    <cfRule type="cellIs" dxfId="290" priority="278" stopIfTrue="1" operator="equal">
      <formula>"VIT"</formula>
    </cfRule>
    <cfRule type="cellIs" dxfId="289" priority="279" stopIfTrue="1" operator="equal">
      <formula>"CHO"</formula>
    </cfRule>
    <cfRule type="cellIs" dxfId="288" priority="280" stopIfTrue="1" operator="equal">
      <formula>"SKV"</formula>
    </cfRule>
  </conditionalFormatting>
  <conditionalFormatting sqref="CB19:CE20">
    <cfRule type="cellIs" dxfId="287" priority="253" stopIfTrue="1" operator="equal">
      <formula>"OTR"</formula>
    </cfRule>
    <cfRule type="cellIs" dxfId="286" priority="254" stopIfTrue="1" operator="equal">
      <formula>"PAR"</formula>
    </cfRule>
    <cfRule type="cellIs" dxfId="285" priority="255" stopIfTrue="1" operator="equal">
      <formula>"CLP"</formula>
    </cfRule>
    <cfRule type="cellIs" dxfId="284" priority="256" stopIfTrue="1" operator="equal">
      <formula>"HAT"</formula>
    </cfRule>
    <cfRule type="cellIs" dxfId="283" priority="257" stopIfTrue="1" operator="equal">
      <formula>"LIB"</formula>
    </cfRule>
    <cfRule type="cellIs" dxfId="282" priority="258" stopIfTrue="1" operator="equal">
      <formula>"BA"</formula>
    </cfRule>
    <cfRule type="cellIs" dxfId="281" priority="259" stopIfTrue="1" operator="equal">
      <formula>"SPA"</formula>
    </cfRule>
    <cfRule type="cellIs" dxfId="280" priority="260" stopIfTrue="1" operator="equal">
      <formula>"OST"</formula>
    </cfRule>
    <cfRule type="cellIs" dxfId="279" priority="261" stopIfTrue="1" operator="equal">
      <formula>"BOH"</formula>
    </cfRule>
    <cfRule type="cellIs" dxfId="278" priority="262" stopIfTrue="1" operator="equal">
      <formula>"TAT"</formula>
    </cfRule>
    <cfRule type="cellIs" dxfId="277" priority="263" stopIfTrue="1" operator="equal">
      <formula>"MB"</formula>
    </cfRule>
    <cfRule type="cellIs" dxfId="276" priority="264" stopIfTrue="1" operator="equal">
      <formula>"VIT"</formula>
    </cfRule>
    <cfRule type="cellIs" dxfId="275" priority="265" stopIfTrue="1" operator="equal">
      <formula>"CHO"</formula>
    </cfRule>
    <cfRule type="cellIs" dxfId="274" priority="266" stopIfTrue="1" operator="equal">
      <formula>"SKV"</formula>
    </cfRule>
  </conditionalFormatting>
  <conditionalFormatting sqref="CT8:CW9">
    <cfRule type="cellIs" dxfId="273" priority="239" stopIfTrue="1" operator="equal">
      <formula>"OTR"</formula>
    </cfRule>
    <cfRule type="cellIs" dxfId="272" priority="240" stopIfTrue="1" operator="equal">
      <formula>"PAR"</formula>
    </cfRule>
    <cfRule type="cellIs" dxfId="271" priority="241" stopIfTrue="1" operator="equal">
      <formula>"CLP"</formula>
    </cfRule>
    <cfRule type="cellIs" dxfId="270" priority="242" stopIfTrue="1" operator="equal">
      <formula>"HAT"</formula>
    </cfRule>
    <cfRule type="cellIs" dxfId="269" priority="243" stopIfTrue="1" operator="equal">
      <formula>"LIB"</formula>
    </cfRule>
    <cfRule type="cellIs" dxfId="268" priority="244" stopIfTrue="1" operator="equal">
      <formula>"BA"</formula>
    </cfRule>
    <cfRule type="cellIs" dxfId="267" priority="245" stopIfTrue="1" operator="equal">
      <formula>"SPA"</formula>
    </cfRule>
    <cfRule type="cellIs" dxfId="266" priority="246" stopIfTrue="1" operator="equal">
      <formula>"OST"</formula>
    </cfRule>
    <cfRule type="cellIs" dxfId="265" priority="247" stopIfTrue="1" operator="equal">
      <formula>"BOH"</formula>
    </cfRule>
    <cfRule type="cellIs" dxfId="264" priority="248" stopIfTrue="1" operator="equal">
      <formula>"TAT"</formula>
    </cfRule>
    <cfRule type="cellIs" dxfId="263" priority="249" stopIfTrue="1" operator="equal">
      <formula>"MB"</formula>
    </cfRule>
    <cfRule type="cellIs" dxfId="262" priority="250" stopIfTrue="1" operator="equal">
      <formula>"VIT"</formula>
    </cfRule>
    <cfRule type="cellIs" dxfId="261" priority="251" stopIfTrue="1" operator="equal">
      <formula>"CHO"</formula>
    </cfRule>
    <cfRule type="cellIs" dxfId="260" priority="252" stopIfTrue="1" operator="equal">
      <formula>"SKV"</formula>
    </cfRule>
  </conditionalFormatting>
  <conditionalFormatting sqref="CT30:CW31">
    <cfRule type="cellIs" dxfId="259" priority="225" stopIfTrue="1" operator="equal">
      <formula>"OTR"</formula>
    </cfRule>
    <cfRule type="cellIs" dxfId="258" priority="226" stopIfTrue="1" operator="equal">
      <formula>"PAR"</formula>
    </cfRule>
    <cfRule type="cellIs" dxfId="257" priority="227" stopIfTrue="1" operator="equal">
      <formula>"CLP"</formula>
    </cfRule>
    <cfRule type="cellIs" dxfId="256" priority="228" stopIfTrue="1" operator="equal">
      <formula>"HAT"</formula>
    </cfRule>
    <cfRule type="cellIs" dxfId="255" priority="229" stopIfTrue="1" operator="equal">
      <formula>"LIB"</formula>
    </cfRule>
    <cfRule type="cellIs" dxfId="254" priority="230" stopIfTrue="1" operator="equal">
      <formula>"BA"</formula>
    </cfRule>
    <cfRule type="cellIs" dxfId="253" priority="231" stopIfTrue="1" operator="equal">
      <formula>"SPA"</formula>
    </cfRule>
    <cfRule type="cellIs" dxfId="252" priority="232" stopIfTrue="1" operator="equal">
      <formula>"OST"</formula>
    </cfRule>
    <cfRule type="cellIs" dxfId="251" priority="233" stopIfTrue="1" operator="equal">
      <formula>"BOH"</formula>
    </cfRule>
    <cfRule type="cellIs" dxfId="250" priority="234" stopIfTrue="1" operator="equal">
      <formula>"TAT"</formula>
    </cfRule>
    <cfRule type="cellIs" dxfId="249" priority="235" stopIfTrue="1" operator="equal">
      <formula>"MB"</formula>
    </cfRule>
    <cfRule type="cellIs" dxfId="248" priority="236" stopIfTrue="1" operator="equal">
      <formula>"VIT"</formula>
    </cfRule>
    <cfRule type="cellIs" dxfId="247" priority="237" stopIfTrue="1" operator="equal">
      <formula>"CHO"</formula>
    </cfRule>
    <cfRule type="cellIs" dxfId="246" priority="238" stopIfTrue="1" operator="equal">
      <formula>"SKV"</formula>
    </cfRule>
  </conditionalFormatting>
  <conditionalFormatting sqref="CT19:CW20">
    <cfRule type="cellIs" dxfId="245" priority="211" stopIfTrue="1" operator="equal">
      <formula>"OTR"</formula>
    </cfRule>
    <cfRule type="cellIs" dxfId="244" priority="212" stopIfTrue="1" operator="equal">
      <formula>"PAR"</formula>
    </cfRule>
    <cfRule type="cellIs" dxfId="243" priority="213" stopIfTrue="1" operator="equal">
      <formula>"CLP"</formula>
    </cfRule>
    <cfRule type="cellIs" dxfId="242" priority="214" stopIfTrue="1" operator="equal">
      <formula>"HAT"</formula>
    </cfRule>
    <cfRule type="cellIs" dxfId="241" priority="215" stopIfTrue="1" operator="equal">
      <formula>"LIB"</formula>
    </cfRule>
    <cfRule type="cellIs" dxfId="240" priority="216" stopIfTrue="1" operator="equal">
      <formula>"BA"</formula>
    </cfRule>
    <cfRule type="cellIs" dxfId="239" priority="217" stopIfTrue="1" operator="equal">
      <formula>"SPA"</formula>
    </cfRule>
    <cfRule type="cellIs" dxfId="238" priority="218" stopIfTrue="1" operator="equal">
      <formula>"OST"</formula>
    </cfRule>
    <cfRule type="cellIs" dxfId="237" priority="219" stopIfTrue="1" operator="equal">
      <formula>"BOH"</formula>
    </cfRule>
    <cfRule type="cellIs" dxfId="236" priority="220" stopIfTrue="1" operator="equal">
      <formula>"TAT"</formula>
    </cfRule>
    <cfRule type="cellIs" dxfId="235" priority="221" stopIfTrue="1" operator="equal">
      <formula>"MB"</formula>
    </cfRule>
    <cfRule type="cellIs" dxfId="234" priority="222" stopIfTrue="1" operator="equal">
      <formula>"VIT"</formula>
    </cfRule>
    <cfRule type="cellIs" dxfId="233" priority="223" stopIfTrue="1" operator="equal">
      <formula>"CHO"</formula>
    </cfRule>
    <cfRule type="cellIs" dxfId="232" priority="224" stopIfTrue="1" operator="equal">
      <formula>"SKV"</formula>
    </cfRule>
  </conditionalFormatting>
  <conditionalFormatting sqref="DL8:DO9">
    <cfRule type="cellIs" dxfId="231" priority="197" stopIfTrue="1" operator="equal">
      <formula>"OTR"</formula>
    </cfRule>
    <cfRule type="cellIs" dxfId="230" priority="198" stopIfTrue="1" operator="equal">
      <formula>"PAR"</formula>
    </cfRule>
    <cfRule type="cellIs" dxfId="229" priority="199" stopIfTrue="1" operator="equal">
      <formula>"CLP"</formula>
    </cfRule>
    <cfRule type="cellIs" dxfId="228" priority="200" stopIfTrue="1" operator="equal">
      <formula>"HAT"</formula>
    </cfRule>
    <cfRule type="cellIs" dxfId="227" priority="201" stopIfTrue="1" operator="equal">
      <formula>"LIB"</formula>
    </cfRule>
    <cfRule type="cellIs" dxfId="226" priority="202" stopIfTrue="1" operator="equal">
      <formula>"BA"</formula>
    </cfRule>
    <cfRule type="cellIs" dxfId="225" priority="203" stopIfTrue="1" operator="equal">
      <formula>"SPA"</formula>
    </cfRule>
    <cfRule type="cellIs" dxfId="224" priority="204" stopIfTrue="1" operator="equal">
      <formula>"OST"</formula>
    </cfRule>
    <cfRule type="cellIs" dxfId="223" priority="205" stopIfTrue="1" operator="equal">
      <formula>"BOH"</formula>
    </cfRule>
    <cfRule type="cellIs" dxfId="222" priority="206" stopIfTrue="1" operator="equal">
      <formula>"TAT"</formula>
    </cfRule>
    <cfRule type="cellIs" dxfId="221" priority="207" stopIfTrue="1" operator="equal">
      <formula>"MB"</formula>
    </cfRule>
    <cfRule type="cellIs" dxfId="220" priority="208" stopIfTrue="1" operator="equal">
      <formula>"VIT"</formula>
    </cfRule>
    <cfRule type="cellIs" dxfId="219" priority="209" stopIfTrue="1" operator="equal">
      <formula>"CHO"</formula>
    </cfRule>
    <cfRule type="cellIs" dxfId="218" priority="210" stopIfTrue="1" operator="equal">
      <formula>"SKV"</formula>
    </cfRule>
  </conditionalFormatting>
  <conditionalFormatting sqref="DL30:DO31">
    <cfRule type="cellIs" dxfId="217" priority="183" stopIfTrue="1" operator="equal">
      <formula>"OTR"</formula>
    </cfRule>
    <cfRule type="cellIs" dxfId="216" priority="184" stopIfTrue="1" operator="equal">
      <formula>"PAR"</formula>
    </cfRule>
    <cfRule type="cellIs" dxfId="215" priority="185" stopIfTrue="1" operator="equal">
      <formula>"CLP"</formula>
    </cfRule>
    <cfRule type="cellIs" dxfId="214" priority="186" stopIfTrue="1" operator="equal">
      <formula>"HAT"</formula>
    </cfRule>
    <cfRule type="cellIs" dxfId="213" priority="187" stopIfTrue="1" operator="equal">
      <formula>"LIB"</formula>
    </cfRule>
    <cfRule type="cellIs" dxfId="212" priority="188" stopIfTrue="1" operator="equal">
      <formula>"BA"</formula>
    </cfRule>
    <cfRule type="cellIs" dxfId="211" priority="189" stopIfTrue="1" operator="equal">
      <formula>"SPA"</formula>
    </cfRule>
    <cfRule type="cellIs" dxfId="210" priority="190" stopIfTrue="1" operator="equal">
      <formula>"OST"</formula>
    </cfRule>
    <cfRule type="cellIs" dxfId="209" priority="191" stopIfTrue="1" operator="equal">
      <formula>"BOH"</formula>
    </cfRule>
    <cfRule type="cellIs" dxfId="208" priority="192" stopIfTrue="1" operator="equal">
      <formula>"TAT"</formula>
    </cfRule>
    <cfRule type="cellIs" dxfId="207" priority="193" stopIfTrue="1" operator="equal">
      <formula>"MB"</formula>
    </cfRule>
    <cfRule type="cellIs" dxfId="206" priority="194" stopIfTrue="1" operator="equal">
      <formula>"VIT"</formula>
    </cfRule>
    <cfRule type="cellIs" dxfId="205" priority="195" stopIfTrue="1" operator="equal">
      <formula>"CHO"</formula>
    </cfRule>
    <cfRule type="cellIs" dxfId="204" priority="196" stopIfTrue="1" operator="equal">
      <formula>"SKV"</formula>
    </cfRule>
  </conditionalFormatting>
  <conditionalFormatting sqref="DL19:DO20">
    <cfRule type="cellIs" dxfId="203" priority="169" stopIfTrue="1" operator="equal">
      <formula>"OTR"</formula>
    </cfRule>
    <cfRule type="cellIs" dxfId="202" priority="170" stopIfTrue="1" operator="equal">
      <formula>"PAR"</formula>
    </cfRule>
    <cfRule type="cellIs" dxfId="201" priority="171" stopIfTrue="1" operator="equal">
      <formula>"CLP"</formula>
    </cfRule>
    <cfRule type="cellIs" dxfId="200" priority="172" stopIfTrue="1" operator="equal">
      <formula>"HAT"</formula>
    </cfRule>
    <cfRule type="cellIs" dxfId="199" priority="173" stopIfTrue="1" operator="equal">
      <formula>"LIB"</formula>
    </cfRule>
    <cfRule type="cellIs" dxfId="198" priority="174" stopIfTrue="1" operator="equal">
      <formula>"BA"</formula>
    </cfRule>
    <cfRule type="cellIs" dxfId="197" priority="175" stopIfTrue="1" operator="equal">
      <formula>"SPA"</formula>
    </cfRule>
    <cfRule type="cellIs" dxfId="196" priority="176" stopIfTrue="1" operator="equal">
      <formula>"OST"</formula>
    </cfRule>
    <cfRule type="cellIs" dxfId="195" priority="177" stopIfTrue="1" operator="equal">
      <formula>"BOH"</formula>
    </cfRule>
    <cfRule type="cellIs" dxfId="194" priority="178" stopIfTrue="1" operator="equal">
      <formula>"TAT"</formula>
    </cfRule>
    <cfRule type="cellIs" dxfId="193" priority="179" stopIfTrue="1" operator="equal">
      <formula>"MB"</formula>
    </cfRule>
    <cfRule type="cellIs" dxfId="192" priority="180" stopIfTrue="1" operator="equal">
      <formula>"VIT"</formula>
    </cfRule>
    <cfRule type="cellIs" dxfId="191" priority="181" stopIfTrue="1" operator="equal">
      <formula>"CHO"</formula>
    </cfRule>
    <cfRule type="cellIs" dxfId="190" priority="182" stopIfTrue="1" operator="equal">
      <formula>"SKV"</formula>
    </cfRule>
  </conditionalFormatting>
  <conditionalFormatting sqref="ED8:EG9">
    <cfRule type="cellIs" dxfId="189" priority="155" stopIfTrue="1" operator="equal">
      <formula>"OTR"</formula>
    </cfRule>
    <cfRule type="cellIs" dxfId="188" priority="156" stopIfTrue="1" operator="equal">
      <formula>"PAR"</formula>
    </cfRule>
    <cfRule type="cellIs" dxfId="187" priority="157" stopIfTrue="1" operator="equal">
      <formula>"CLP"</formula>
    </cfRule>
    <cfRule type="cellIs" dxfId="186" priority="158" stopIfTrue="1" operator="equal">
      <formula>"HAT"</formula>
    </cfRule>
    <cfRule type="cellIs" dxfId="185" priority="159" stopIfTrue="1" operator="equal">
      <formula>"LIB"</formula>
    </cfRule>
    <cfRule type="cellIs" dxfId="184" priority="160" stopIfTrue="1" operator="equal">
      <formula>"BA"</formula>
    </cfRule>
    <cfRule type="cellIs" dxfId="183" priority="161" stopIfTrue="1" operator="equal">
      <formula>"SPA"</formula>
    </cfRule>
    <cfRule type="cellIs" dxfId="182" priority="162" stopIfTrue="1" operator="equal">
      <formula>"OST"</formula>
    </cfRule>
    <cfRule type="cellIs" dxfId="181" priority="163" stopIfTrue="1" operator="equal">
      <formula>"BOH"</formula>
    </cfRule>
    <cfRule type="cellIs" dxfId="180" priority="164" stopIfTrue="1" operator="equal">
      <formula>"TAT"</formula>
    </cfRule>
    <cfRule type="cellIs" dxfId="179" priority="165" stopIfTrue="1" operator="equal">
      <formula>"MB"</formula>
    </cfRule>
    <cfRule type="cellIs" dxfId="178" priority="166" stopIfTrue="1" operator="equal">
      <formula>"VIT"</formula>
    </cfRule>
    <cfRule type="cellIs" dxfId="177" priority="167" stopIfTrue="1" operator="equal">
      <formula>"CHO"</formula>
    </cfRule>
    <cfRule type="cellIs" dxfId="176" priority="168" stopIfTrue="1" operator="equal">
      <formula>"SKV"</formula>
    </cfRule>
  </conditionalFormatting>
  <conditionalFormatting sqref="ED30:EG31">
    <cfRule type="cellIs" dxfId="175" priority="141" stopIfTrue="1" operator="equal">
      <formula>"OTR"</formula>
    </cfRule>
    <cfRule type="cellIs" dxfId="174" priority="142" stopIfTrue="1" operator="equal">
      <formula>"PAR"</formula>
    </cfRule>
    <cfRule type="cellIs" dxfId="173" priority="143" stopIfTrue="1" operator="equal">
      <formula>"CLP"</formula>
    </cfRule>
    <cfRule type="cellIs" dxfId="172" priority="144" stopIfTrue="1" operator="equal">
      <formula>"HAT"</formula>
    </cfRule>
    <cfRule type="cellIs" dxfId="171" priority="145" stopIfTrue="1" operator="equal">
      <formula>"LIB"</formula>
    </cfRule>
    <cfRule type="cellIs" dxfId="170" priority="146" stopIfTrue="1" operator="equal">
      <formula>"BA"</formula>
    </cfRule>
    <cfRule type="cellIs" dxfId="169" priority="147" stopIfTrue="1" operator="equal">
      <formula>"SPA"</formula>
    </cfRule>
    <cfRule type="cellIs" dxfId="168" priority="148" stopIfTrue="1" operator="equal">
      <formula>"OST"</formula>
    </cfRule>
    <cfRule type="cellIs" dxfId="167" priority="149" stopIfTrue="1" operator="equal">
      <formula>"BOH"</formula>
    </cfRule>
    <cfRule type="cellIs" dxfId="166" priority="150" stopIfTrue="1" operator="equal">
      <formula>"TAT"</formula>
    </cfRule>
    <cfRule type="cellIs" dxfId="165" priority="151" stopIfTrue="1" operator="equal">
      <formula>"MB"</formula>
    </cfRule>
    <cfRule type="cellIs" dxfId="164" priority="152" stopIfTrue="1" operator="equal">
      <formula>"VIT"</formula>
    </cfRule>
    <cfRule type="cellIs" dxfId="163" priority="153" stopIfTrue="1" operator="equal">
      <formula>"CHO"</formula>
    </cfRule>
    <cfRule type="cellIs" dxfId="162" priority="154" stopIfTrue="1" operator="equal">
      <formula>"SKV"</formula>
    </cfRule>
  </conditionalFormatting>
  <conditionalFormatting sqref="ED19:EG20">
    <cfRule type="cellIs" dxfId="161" priority="127" stopIfTrue="1" operator="equal">
      <formula>"OTR"</formula>
    </cfRule>
    <cfRule type="cellIs" dxfId="160" priority="128" stopIfTrue="1" operator="equal">
      <formula>"PAR"</formula>
    </cfRule>
    <cfRule type="cellIs" dxfId="159" priority="129" stopIfTrue="1" operator="equal">
      <formula>"CLP"</formula>
    </cfRule>
    <cfRule type="cellIs" dxfId="158" priority="130" stopIfTrue="1" operator="equal">
      <formula>"HAT"</formula>
    </cfRule>
    <cfRule type="cellIs" dxfId="157" priority="131" stopIfTrue="1" operator="equal">
      <formula>"LIB"</formula>
    </cfRule>
    <cfRule type="cellIs" dxfId="156" priority="132" stopIfTrue="1" operator="equal">
      <formula>"BA"</formula>
    </cfRule>
    <cfRule type="cellIs" dxfId="155" priority="133" stopIfTrue="1" operator="equal">
      <formula>"SPA"</formula>
    </cfRule>
    <cfRule type="cellIs" dxfId="154" priority="134" stopIfTrue="1" operator="equal">
      <formula>"OST"</formula>
    </cfRule>
    <cfRule type="cellIs" dxfId="153" priority="135" stopIfTrue="1" operator="equal">
      <formula>"BOH"</formula>
    </cfRule>
    <cfRule type="cellIs" dxfId="152" priority="136" stopIfTrue="1" operator="equal">
      <formula>"TAT"</formula>
    </cfRule>
    <cfRule type="cellIs" dxfId="151" priority="137" stopIfTrue="1" operator="equal">
      <formula>"MB"</formula>
    </cfRule>
    <cfRule type="cellIs" dxfId="150" priority="138" stopIfTrue="1" operator="equal">
      <formula>"VIT"</formula>
    </cfRule>
    <cfRule type="cellIs" dxfId="149" priority="139" stopIfTrue="1" operator="equal">
      <formula>"CHO"</formula>
    </cfRule>
    <cfRule type="cellIs" dxfId="148" priority="140" stopIfTrue="1" operator="equal">
      <formula>"SKV"</formula>
    </cfRule>
  </conditionalFormatting>
  <conditionalFormatting sqref="EV8:EY9">
    <cfRule type="cellIs" dxfId="147" priority="113" stopIfTrue="1" operator="equal">
      <formula>"OTR"</formula>
    </cfRule>
    <cfRule type="cellIs" dxfId="146" priority="114" stopIfTrue="1" operator="equal">
      <formula>"PAR"</formula>
    </cfRule>
    <cfRule type="cellIs" dxfId="145" priority="115" stopIfTrue="1" operator="equal">
      <formula>"CLP"</formula>
    </cfRule>
    <cfRule type="cellIs" dxfId="144" priority="116" stopIfTrue="1" operator="equal">
      <formula>"HAT"</formula>
    </cfRule>
    <cfRule type="cellIs" dxfId="143" priority="117" stopIfTrue="1" operator="equal">
      <formula>"LIB"</formula>
    </cfRule>
    <cfRule type="cellIs" dxfId="142" priority="118" stopIfTrue="1" operator="equal">
      <formula>"BA"</formula>
    </cfRule>
    <cfRule type="cellIs" dxfId="141" priority="119" stopIfTrue="1" operator="equal">
      <formula>"SPA"</formula>
    </cfRule>
    <cfRule type="cellIs" dxfId="140" priority="120" stopIfTrue="1" operator="equal">
      <formula>"OST"</formula>
    </cfRule>
    <cfRule type="cellIs" dxfId="139" priority="121" stopIfTrue="1" operator="equal">
      <formula>"BOH"</formula>
    </cfRule>
    <cfRule type="cellIs" dxfId="138" priority="122" stopIfTrue="1" operator="equal">
      <formula>"TAT"</formula>
    </cfRule>
    <cfRule type="cellIs" dxfId="137" priority="123" stopIfTrue="1" operator="equal">
      <formula>"MB"</formula>
    </cfRule>
    <cfRule type="cellIs" dxfId="136" priority="124" stopIfTrue="1" operator="equal">
      <formula>"VIT"</formula>
    </cfRule>
    <cfRule type="cellIs" dxfId="135" priority="125" stopIfTrue="1" operator="equal">
      <formula>"CHO"</formula>
    </cfRule>
    <cfRule type="cellIs" dxfId="134" priority="126" stopIfTrue="1" operator="equal">
      <formula>"SKV"</formula>
    </cfRule>
  </conditionalFormatting>
  <conditionalFormatting sqref="EV30:EY31">
    <cfRule type="cellIs" dxfId="133" priority="99" stopIfTrue="1" operator="equal">
      <formula>"OTR"</formula>
    </cfRule>
    <cfRule type="cellIs" dxfId="132" priority="100" stopIfTrue="1" operator="equal">
      <formula>"PAR"</formula>
    </cfRule>
    <cfRule type="cellIs" dxfId="131" priority="101" stopIfTrue="1" operator="equal">
      <formula>"CLP"</formula>
    </cfRule>
    <cfRule type="cellIs" dxfId="130" priority="102" stopIfTrue="1" operator="equal">
      <formula>"HAT"</formula>
    </cfRule>
    <cfRule type="cellIs" dxfId="129" priority="103" stopIfTrue="1" operator="equal">
      <formula>"LIB"</formula>
    </cfRule>
    <cfRule type="cellIs" dxfId="128" priority="104" stopIfTrue="1" operator="equal">
      <formula>"BA"</formula>
    </cfRule>
    <cfRule type="cellIs" dxfId="127" priority="105" stopIfTrue="1" operator="equal">
      <formula>"SPA"</formula>
    </cfRule>
    <cfRule type="cellIs" dxfId="126" priority="106" stopIfTrue="1" operator="equal">
      <formula>"OST"</formula>
    </cfRule>
    <cfRule type="cellIs" dxfId="125" priority="107" stopIfTrue="1" operator="equal">
      <formula>"BOH"</formula>
    </cfRule>
    <cfRule type="cellIs" dxfId="124" priority="108" stopIfTrue="1" operator="equal">
      <formula>"TAT"</formula>
    </cfRule>
    <cfRule type="cellIs" dxfId="123" priority="109" stopIfTrue="1" operator="equal">
      <formula>"MB"</formula>
    </cfRule>
    <cfRule type="cellIs" dxfId="122" priority="110" stopIfTrue="1" operator="equal">
      <formula>"VIT"</formula>
    </cfRule>
    <cfRule type="cellIs" dxfId="121" priority="111" stopIfTrue="1" operator="equal">
      <formula>"CHO"</formula>
    </cfRule>
    <cfRule type="cellIs" dxfId="120" priority="112" stopIfTrue="1" operator="equal">
      <formula>"SKV"</formula>
    </cfRule>
  </conditionalFormatting>
  <conditionalFormatting sqref="EV19:EY20">
    <cfRule type="cellIs" dxfId="119" priority="85" stopIfTrue="1" operator="equal">
      <formula>"OTR"</formula>
    </cfRule>
    <cfRule type="cellIs" dxfId="118" priority="86" stopIfTrue="1" operator="equal">
      <formula>"PAR"</formula>
    </cfRule>
    <cfRule type="cellIs" dxfId="117" priority="87" stopIfTrue="1" operator="equal">
      <formula>"CLP"</formula>
    </cfRule>
    <cfRule type="cellIs" dxfId="116" priority="88" stopIfTrue="1" operator="equal">
      <formula>"HAT"</formula>
    </cfRule>
    <cfRule type="cellIs" dxfId="115" priority="89" stopIfTrue="1" operator="equal">
      <formula>"LIB"</formula>
    </cfRule>
    <cfRule type="cellIs" dxfId="114" priority="90" stopIfTrue="1" operator="equal">
      <formula>"BA"</formula>
    </cfRule>
    <cfRule type="cellIs" dxfId="113" priority="91" stopIfTrue="1" operator="equal">
      <formula>"SPA"</formula>
    </cfRule>
    <cfRule type="cellIs" dxfId="112" priority="92" stopIfTrue="1" operator="equal">
      <formula>"OST"</formula>
    </cfRule>
    <cfRule type="cellIs" dxfId="111" priority="93" stopIfTrue="1" operator="equal">
      <formula>"BOH"</formula>
    </cfRule>
    <cfRule type="cellIs" dxfId="110" priority="94" stopIfTrue="1" operator="equal">
      <formula>"TAT"</formula>
    </cfRule>
    <cfRule type="cellIs" dxfId="109" priority="95" stopIfTrue="1" operator="equal">
      <formula>"MB"</formula>
    </cfRule>
    <cfRule type="cellIs" dxfId="108" priority="96" stopIfTrue="1" operator="equal">
      <formula>"VIT"</formula>
    </cfRule>
    <cfRule type="cellIs" dxfId="107" priority="97" stopIfTrue="1" operator="equal">
      <formula>"CHO"</formula>
    </cfRule>
    <cfRule type="cellIs" dxfId="106" priority="98" stopIfTrue="1" operator="equal">
      <formula>"SKV"</formula>
    </cfRule>
  </conditionalFormatting>
  <conditionalFormatting sqref="FN8:FQ9">
    <cfRule type="cellIs" dxfId="105" priority="71" stopIfTrue="1" operator="equal">
      <formula>"OTR"</formula>
    </cfRule>
    <cfRule type="cellIs" dxfId="104" priority="72" stopIfTrue="1" operator="equal">
      <formula>"PAR"</formula>
    </cfRule>
    <cfRule type="cellIs" dxfId="103" priority="73" stopIfTrue="1" operator="equal">
      <formula>"CLP"</formula>
    </cfRule>
    <cfRule type="cellIs" dxfId="102" priority="74" stopIfTrue="1" operator="equal">
      <formula>"HAT"</formula>
    </cfRule>
    <cfRule type="cellIs" dxfId="101" priority="75" stopIfTrue="1" operator="equal">
      <formula>"LIB"</formula>
    </cfRule>
    <cfRule type="cellIs" dxfId="100" priority="76" stopIfTrue="1" operator="equal">
      <formula>"BA"</formula>
    </cfRule>
    <cfRule type="cellIs" dxfId="99" priority="77" stopIfTrue="1" operator="equal">
      <formula>"SPA"</formula>
    </cfRule>
    <cfRule type="cellIs" dxfId="98" priority="78" stopIfTrue="1" operator="equal">
      <formula>"OST"</formula>
    </cfRule>
    <cfRule type="cellIs" dxfId="97" priority="79" stopIfTrue="1" operator="equal">
      <formula>"BOH"</formula>
    </cfRule>
    <cfRule type="cellIs" dxfId="96" priority="80" stopIfTrue="1" operator="equal">
      <formula>"TAT"</formula>
    </cfRule>
    <cfRule type="cellIs" dxfId="95" priority="81" stopIfTrue="1" operator="equal">
      <formula>"MB"</formula>
    </cfRule>
    <cfRule type="cellIs" dxfId="94" priority="82" stopIfTrue="1" operator="equal">
      <formula>"VIT"</formula>
    </cfRule>
    <cfRule type="cellIs" dxfId="93" priority="83" stopIfTrue="1" operator="equal">
      <formula>"CHO"</formula>
    </cfRule>
    <cfRule type="cellIs" dxfId="92" priority="84" stopIfTrue="1" operator="equal">
      <formula>"SKV"</formula>
    </cfRule>
  </conditionalFormatting>
  <conditionalFormatting sqref="FN30:FQ31">
    <cfRule type="cellIs" dxfId="91" priority="57" stopIfTrue="1" operator="equal">
      <formula>"OTR"</formula>
    </cfRule>
    <cfRule type="cellIs" dxfId="90" priority="58" stopIfTrue="1" operator="equal">
      <formula>"PAR"</formula>
    </cfRule>
    <cfRule type="cellIs" dxfId="89" priority="59" stopIfTrue="1" operator="equal">
      <formula>"CLP"</formula>
    </cfRule>
    <cfRule type="cellIs" dxfId="88" priority="60" stopIfTrue="1" operator="equal">
      <formula>"HAT"</formula>
    </cfRule>
    <cfRule type="cellIs" dxfId="87" priority="61" stopIfTrue="1" operator="equal">
      <formula>"LIB"</formula>
    </cfRule>
    <cfRule type="cellIs" dxfId="86" priority="62" stopIfTrue="1" operator="equal">
      <formula>"BA"</formula>
    </cfRule>
    <cfRule type="cellIs" dxfId="85" priority="63" stopIfTrue="1" operator="equal">
      <formula>"SPA"</formula>
    </cfRule>
    <cfRule type="cellIs" dxfId="84" priority="64" stopIfTrue="1" operator="equal">
      <formula>"OST"</formula>
    </cfRule>
    <cfRule type="cellIs" dxfId="83" priority="65" stopIfTrue="1" operator="equal">
      <formula>"BOH"</formula>
    </cfRule>
    <cfRule type="cellIs" dxfId="82" priority="66" stopIfTrue="1" operator="equal">
      <formula>"TAT"</formula>
    </cfRule>
    <cfRule type="cellIs" dxfId="81" priority="67" stopIfTrue="1" operator="equal">
      <formula>"MB"</formula>
    </cfRule>
    <cfRule type="cellIs" dxfId="80" priority="68" stopIfTrue="1" operator="equal">
      <formula>"VIT"</formula>
    </cfRule>
    <cfRule type="cellIs" dxfId="79" priority="69" stopIfTrue="1" operator="equal">
      <formula>"CHO"</formula>
    </cfRule>
    <cfRule type="cellIs" dxfId="78" priority="70" stopIfTrue="1" operator="equal">
      <formula>"SKV"</formula>
    </cfRule>
  </conditionalFormatting>
  <conditionalFormatting sqref="FN19:FQ20">
    <cfRule type="cellIs" dxfId="77" priority="43" stopIfTrue="1" operator="equal">
      <formula>"OTR"</formula>
    </cfRule>
    <cfRule type="cellIs" dxfId="76" priority="44" stopIfTrue="1" operator="equal">
      <formula>"PAR"</formula>
    </cfRule>
    <cfRule type="cellIs" dxfId="75" priority="45" stopIfTrue="1" operator="equal">
      <formula>"CLP"</formula>
    </cfRule>
    <cfRule type="cellIs" dxfId="74" priority="46" stopIfTrue="1" operator="equal">
      <formula>"HAT"</formula>
    </cfRule>
    <cfRule type="cellIs" dxfId="73" priority="47" stopIfTrue="1" operator="equal">
      <formula>"LIB"</formula>
    </cfRule>
    <cfRule type="cellIs" dxfId="72" priority="48" stopIfTrue="1" operator="equal">
      <formula>"BA"</formula>
    </cfRule>
    <cfRule type="cellIs" dxfId="71" priority="49" stopIfTrue="1" operator="equal">
      <formula>"SPA"</formula>
    </cfRule>
    <cfRule type="cellIs" dxfId="70" priority="50" stopIfTrue="1" operator="equal">
      <formula>"OST"</formula>
    </cfRule>
    <cfRule type="cellIs" dxfId="69" priority="51" stopIfTrue="1" operator="equal">
      <formula>"BOH"</formula>
    </cfRule>
    <cfRule type="cellIs" dxfId="68" priority="52" stopIfTrue="1" operator="equal">
      <formula>"TAT"</formula>
    </cfRule>
    <cfRule type="cellIs" dxfId="67" priority="53" stopIfTrue="1" operator="equal">
      <formula>"MB"</formula>
    </cfRule>
    <cfRule type="cellIs" dxfId="66" priority="54" stopIfTrue="1" operator="equal">
      <formula>"VIT"</formula>
    </cfRule>
    <cfRule type="cellIs" dxfId="65" priority="55" stopIfTrue="1" operator="equal">
      <formula>"CHO"</formula>
    </cfRule>
    <cfRule type="cellIs" dxfId="64" priority="56" stopIfTrue="1" operator="equal">
      <formula>"SKV"</formula>
    </cfRule>
  </conditionalFormatting>
  <conditionalFormatting sqref="GF8:GI9">
    <cfRule type="cellIs" dxfId="41" priority="29" stopIfTrue="1" operator="equal">
      <formula>"OTR"</formula>
    </cfRule>
    <cfRule type="cellIs" dxfId="40" priority="30" stopIfTrue="1" operator="equal">
      <formula>"PAR"</formula>
    </cfRule>
    <cfRule type="cellIs" dxfId="39" priority="31" stopIfTrue="1" operator="equal">
      <formula>"CLP"</formula>
    </cfRule>
    <cfRule type="cellIs" dxfId="38" priority="32" stopIfTrue="1" operator="equal">
      <formula>"HAT"</formula>
    </cfRule>
    <cfRule type="cellIs" dxfId="37" priority="33" stopIfTrue="1" operator="equal">
      <formula>"LIB"</formula>
    </cfRule>
    <cfRule type="cellIs" dxfId="36" priority="34" stopIfTrue="1" operator="equal">
      <formula>"BA"</formula>
    </cfRule>
    <cfRule type="cellIs" dxfId="35" priority="35" stopIfTrue="1" operator="equal">
      <formula>"SPA"</formula>
    </cfRule>
    <cfRule type="cellIs" dxfId="34" priority="36" stopIfTrue="1" operator="equal">
      <formula>"OST"</formula>
    </cfRule>
    <cfRule type="cellIs" dxfId="33" priority="37" stopIfTrue="1" operator="equal">
      <formula>"BOH"</formula>
    </cfRule>
    <cfRule type="cellIs" dxfId="32" priority="38" stopIfTrue="1" operator="equal">
      <formula>"TAT"</formula>
    </cfRule>
    <cfRule type="cellIs" dxfId="31" priority="39" stopIfTrue="1" operator="equal">
      <formula>"MB"</formula>
    </cfRule>
    <cfRule type="cellIs" dxfId="30" priority="40" stopIfTrue="1" operator="equal">
      <formula>"VIT"</formula>
    </cfRule>
    <cfRule type="cellIs" dxfId="29" priority="41" stopIfTrue="1" operator="equal">
      <formula>"CHO"</formula>
    </cfRule>
    <cfRule type="cellIs" dxfId="28" priority="42" stopIfTrue="1" operator="equal">
      <formula>"SKV"</formula>
    </cfRule>
  </conditionalFormatting>
  <conditionalFormatting sqref="GF30:GI31">
    <cfRule type="cellIs" dxfId="27" priority="15" stopIfTrue="1" operator="equal">
      <formula>"OTR"</formula>
    </cfRule>
    <cfRule type="cellIs" dxfId="26" priority="16" stopIfTrue="1" operator="equal">
      <formula>"PAR"</formula>
    </cfRule>
    <cfRule type="cellIs" dxfId="25" priority="17" stopIfTrue="1" operator="equal">
      <formula>"CLP"</formula>
    </cfRule>
    <cfRule type="cellIs" dxfId="24" priority="18" stopIfTrue="1" operator="equal">
      <formula>"HAT"</formula>
    </cfRule>
    <cfRule type="cellIs" dxfId="23" priority="19" stopIfTrue="1" operator="equal">
      <formula>"LIB"</formula>
    </cfRule>
    <cfRule type="cellIs" dxfId="22" priority="20" stopIfTrue="1" operator="equal">
      <formula>"BA"</formula>
    </cfRule>
    <cfRule type="cellIs" dxfId="21" priority="21" stopIfTrue="1" operator="equal">
      <formula>"SPA"</formula>
    </cfRule>
    <cfRule type="cellIs" dxfId="20" priority="22" stopIfTrue="1" operator="equal">
      <formula>"OST"</formula>
    </cfRule>
    <cfRule type="cellIs" dxfId="19" priority="23" stopIfTrue="1" operator="equal">
      <formula>"BOH"</formula>
    </cfRule>
    <cfRule type="cellIs" dxfId="18" priority="24" stopIfTrue="1" operator="equal">
      <formula>"TAT"</formula>
    </cfRule>
    <cfRule type="cellIs" dxfId="17" priority="25" stopIfTrue="1" operator="equal">
      <formula>"MB"</formula>
    </cfRule>
    <cfRule type="cellIs" dxfId="16" priority="26" stopIfTrue="1" operator="equal">
      <formula>"VIT"</formula>
    </cfRule>
    <cfRule type="cellIs" dxfId="15" priority="27" stopIfTrue="1" operator="equal">
      <formula>"CHO"</formula>
    </cfRule>
    <cfRule type="cellIs" dxfId="14" priority="28" stopIfTrue="1" operator="equal">
      <formula>"SKV"</formula>
    </cfRule>
  </conditionalFormatting>
  <conditionalFormatting sqref="GF19:GI20">
    <cfRule type="cellIs" dxfId="13" priority="1" stopIfTrue="1" operator="equal">
      <formula>"OTR"</formula>
    </cfRule>
    <cfRule type="cellIs" dxfId="12" priority="2" stopIfTrue="1" operator="equal">
      <formula>"PAR"</formula>
    </cfRule>
    <cfRule type="cellIs" dxfId="11" priority="3" stopIfTrue="1" operator="equal">
      <formula>"CLP"</formula>
    </cfRule>
    <cfRule type="cellIs" dxfId="10" priority="4" stopIfTrue="1" operator="equal">
      <formula>"HAT"</formula>
    </cfRule>
    <cfRule type="cellIs" dxfId="9" priority="5" stopIfTrue="1" operator="equal">
      <formula>"LIB"</formula>
    </cfRule>
    <cfRule type="cellIs" dxfId="8" priority="6" stopIfTrue="1" operator="equal">
      <formula>"BA"</formula>
    </cfRule>
    <cfRule type="cellIs" dxfId="7" priority="7" stopIfTrue="1" operator="equal">
      <formula>"SPA"</formula>
    </cfRule>
    <cfRule type="cellIs" dxfId="6" priority="8" stopIfTrue="1" operator="equal">
      <formula>"OST"</formula>
    </cfRule>
    <cfRule type="cellIs" dxfId="5" priority="9" stopIfTrue="1" operator="equal">
      <formula>"BOH"</formula>
    </cfRule>
    <cfRule type="cellIs" dxfId="4" priority="10" stopIfTrue="1" operator="equal">
      <formula>"TAT"</formula>
    </cfRule>
    <cfRule type="cellIs" dxfId="3" priority="11" stopIfTrue="1" operator="equal">
      <formula>"MB"</formula>
    </cfRule>
    <cfRule type="cellIs" dxfId="2" priority="12" stopIfTrue="1" operator="equal">
      <formula>"VIT"</formula>
    </cfRule>
    <cfRule type="cellIs" dxfId="1" priority="13" stopIfTrue="1" operator="equal">
      <formula>"CHO"</formula>
    </cfRule>
    <cfRule type="cellIs" dxfId="0"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36">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CG1:CJ1 CA3:CD3 BU6:BX6 CG6:CJ6 CG12:CJ12 BU12:BX12 CA14:CD14 CG17:CJ17 BU17:BX17 BU23:BX23 CA25:CD25 CG23:CJ23 CG28:CJ28 BU28:BX28 CD34:CJ34 CD38:CJ38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CD47:CG47 CD49:CG49</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EC3:EF3 DW6:DZ6 EI1:EL1 EI6:EL6 EI12:EL12 DW12:DZ12 EC14:EF14 EI17:EL17 DW17:DZ17 DW23:DZ23 EC25:EF25 EI23:EL23 EI28:EL28 DW28:DZ28 EF34:EL34 EF38:EL38 EF42:EL42</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 type="list" errorStyle="warning" allowBlank="1" showErrorMessage="1" errorTitle="Chybějící brankář" error="Vámi zadaný brankář není na soupisce týmu.">
          <x14:formula1>
            <xm:f>OFFSET(BOH!$B$39,,,COUNTIF(BOH!$B$39:$B$45, "?*"))</xm:f>
          </x14:formula1>
          <xm:sqref>DE34:DH34 DE40:DH40</xm:sqref>
        </x14:dataValidation>
        <x14:dataValidation type="list" errorStyle="warning" allowBlank="1" showErrorMessage="1" errorTitle="Chybějící hráč" error="Vámi zadaný hráč není na soupisce týmu.">
          <x14:formula1>
            <xm:f>OFFSET(CLP!$B$48,,,COUNTIF(CLP!$B$48:$B$82, "?*"))</xm:f>
          </x14:formula1>
          <xm:sqref>EO1:ER1 FA1:FD1 EU3:EX3 EO6:ER6 FA6:FD6 FA12:FD12 EO12:ER12 EO17:ER17 EU14:EX14 FA17:FD17 FA23:FD23 EO23:ER23 EU25:EX25 EO28:ER28 FA28:FD28 EX34:FD34 EX38:FD38 EX42:FD42</xm:sqref>
        </x14:dataValidation>
        <x14:dataValidation type="list" errorStyle="warning" allowBlank="1" showErrorMessage="1" errorTitle="Chybějící brankář" error="Vámi zadaný brankář není na soupisce týmu.">
          <x14:formula1>
            <xm:f>OFFSET(CLP!$B$39,,,COUNTIF(CLP!$B$39:$B$45,"?*"))</xm:f>
          </x14:formula1>
          <xm:sqref>EO34:ER34 EO40:ER40</xm:sqref>
        </x14:dataValidation>
        <x14:dataValidation type="list" errorStyle="warning" allowBlank="1" showErrorMessage="1" errorTitle="Chybějící člen realizačního týmu" error="Vámi zadaný člen realizačního týmu není na soupisce týmu.">
          <x14:formula1>
            <xm:f>OFFSET(CLP!$B$85,,,COUNTIF(CLP!$B$85:$B$92,"?*"))</xm:f>
          </x14:formula1>
          <xm:sqref>EO47:ER47 EX47:FA47 EX49:FA49</xm:sqref>
        </x14:dataValidation>
        <x14:dataValidation type="list" errorStyle="warning" allowBlank="1" showErrorMessage="1" errorTitle="Chybějící hráč" error="Vámi zadaný hráč není na soupisce týmu.">
          <x14:formula1>
            <xm:f>OFFSET(LIB!$B$48,,,COUNTIF(LIB!$B$48:$B$82, "?*"))</xm:f>
          </x14:formula1>
          <xm:sqref>FG1:FJ1 FS1:FV1 FM3:FP3 FG6:FJ6 FS6:FV6 FS12:FV12 FG12:FJ12 FM14:FP14 FG17:FJ17 FS17:FV17 FS23:FV23 FG23:FJ23 FM25:FP25 FG28:FJ28 FS28:FV28 FP34:FV34 FP38:FV38 FP42:FV42</xm:sqref>
        </x14:dataValidation>
        <x14:dataValidation type="list" errorStyle="warning" allowBlank="1" showErrorMessage="1" errorTitle="Chybějící brankář" error="Vámi zadaný brankář není na soupisce týmu.">
          <x14:formula1>
            <xm:f>OFFSET(LIB!$B$39,,,COUNTIF(LIB!$B$39:$B$45,"?*"))</xm:f>
          </x14:formula1>
          <xm:sqref>FG34:FJ34 FG40:FJ40</xm:sqref>
        </x14:dataValidation>
        <x14:dataValidation type="list" errorStyle="warning" allowBlank="1" showErrorMessage="1" errorTitle="Chybějící člen realizačního týmu" error="Vámi zadaný člen realizačního týmu není na soupisce týmu.">
          <x14:formula1>
            <xm:f>OFFSET(LIB!$B$85,,,COUNTIF(LIB!$B$85:$B$92,"?*"))</xm:f>
          </x14:formula1>
          <xm:sqref>FG47:FJ47 FP47:FS47 FP49:FS49</xm:sqref>
        </x14:dataValidation>
        <x14:dataValidation type="list" errorStyle="warning" allowBlank="1" showErrorMessage="1" errorTitle="Chybějící hráč" error="Vámi zadaný hráč není na soupisce týmu.">
          <x14:formula1>
            <xm:f>OFFSET(HAT!$B$48,,,COUNTIF(HAT!$B$48:$B$82, "?*"))</xm:f>
          </x14:formula1>
          <xm:sqref>FY1:GB1 GK1:GN1 GE3:GH3 FY6:GB6 GK6:GN6 GK12:GN12 FY12:GB12 GE14:GH14 FY17:GB17 GK17:GN17 GK23:GN23 FY23:GB23 GE25:GH25 GK28:GN28 FY28:GB28 GH34:GN34 GH38:GN38 GH42:GN42</xm:sqref>
        </x14:dataValidation>
        <x14:dataValidation type="list" errorStyle="warning" allowBlank="1" showErrorMessage="1" errorTitle="Chybějící brankář" error="Vámi zadaný brankář není na soupisce týmu.">
          <x14:formula1>
            <xm:f>OFFSET(HAT!$B$39,,,COUNTIF(HAT!$B$39:$B$45,"?*"))</xm:f>
          </x14:formula1>
          <xm:sqref>FY34:GB34 FY40:GB40</xm:sqref>
        </x14:dataValidation>
        <x14:dataValidation type="list" errorStyle="warning" allowBlank="1" showErrorMessage="1" errorTitle="Chybějící člen realizačního týmu" error="Vámi zadaný člen realizačního týmu není na soupisce týmu.">
          <x14:formula1>
            <xm:f>OFFSET(HAT!$B$85,,,COUNTIF(HAT!$B$85:$B$92,"?*"))</xm:f>
          </x14:formula1>
          <xm:sqref>FY47:GB47 GH47:GK47 GH49:GK49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70" customFormat="1" ht="24" customHeight="1" thickTop="1" thickBot="1" x14ac:dyDescent="0.3">
      <c r="A1" s="12" t="s">
        <v>58</v>
      </c>
      <c r="B1" s="13" t="s">
        <v>118</v>
      </c>
      <c r="C1" s="13" t="s">
        <v>83</v>
      </c>
      <c r="D1" s="13" t="s">
        <v>40</v>
      </c>
      <c r="E1" s="13" t="s">
        <v>119</v>
      </c>
      <c r="F1" s="13" t="s">
        <v>120</v>
      </c>
      <c r="G1" s="13" t="s">
        <v>41</v>
      </c>
      <c r="H1" s="14" t="s">
        <v>36</v>
      </c>
      <c r="I1" s="13" t="s">
        <v>121</v>
      </c>
      <c r="J1" s="13" t="s">
        <v>63</v>
      </c>
      <c r="K1" s="13" t="s">
        <v>122</v>
      </c>
      <c r="L1" s="13" t="s">
        <v>120</v>
      </c>
      <c r="M1" s="13" t="s">
        <v>125</v>
      </c>
      <c r="N1" s="13" t="s">
        <v>126</v>
      </c>
      <c r="O1" s="13" t="s">
        <v>123</v>
      </c>
      <c r="P1" s="13" t="s">
        <v>48</v>
      </c>
      <c r="Q1" s="13" t="s">
        <v>124</v>
      </c>
      <c r="R1" s="13" t="s">
        <v>127</v>
      </c>
      <c r="S1" s="13" t="s">
        <v>128</v>
      </c>
      <c r="T1" s="13" t="s">
        <v>38</v>
      </c>
      <c r="U1" s="13" t="s">
        <v>88</v>
      </c>
      <c r="V1" s="15" t="s">
        <v>132</v>
      </c>
      <c r="AE1" s="171"/>
      <c r="AF1" s="171"/>
      <c r="AG1" s="171"/>
    </row>
    <row r="2" spans="1:33" s="175" customFormat="1" ht="24" customHeight="1" x14ac:dyDescent="0.25">
      <c r="A2" s="172">
        <v>1</v>
      </c>
      <c r="B2" s="60" t="str">
        <f>B26</f>
        <v>Předvýběr.CZ Florbal MB</v>
      </c>
      <c r="C2" s="62">
        <f t="shared" ref="C2:K2" si="0">C26</f>
        <v>26</v>
      </c>
      <c r="D2" s="62">
        <f t="shared" si="0"/>
        <v>23</v>
      </c>
      <c r="E2" s="62">
        <f t="shared" si="0"/>
        <v>2</v>
      </c>
      <c r="F2" s="62">
        <f t="shared" si="0"/>
        <v>0</v>
      </c>
      <c r="G2" s="62">
        <f t="shared" si="0"/>
        <v>1</v>
      </c>
      <c r="H2" s="18">
        <f t="shared" si="0"/>
        <v>73</v>
      </c>
      <c r="I2" s="62">
        <f>I26</f>
        <v>214</v>
      </c>
      <c r="J2" s="62">
        <f t="shared" si="0"/>
        <v>89</v>
      </c>
      <c r="K2" s="62">
        <f t="shared" si="0"/>
        <v>125</v>
      </c>
      <c r="L2" s="62">
        <f>L26</f>
        <v>50</v>
      </c>
      <c r="M2" s="62">
        <f t="shared" ref="M2:R2" si="1">M26</f>
        <v>17</v>
      </c>
      <c r="N2" s="62">
        <f t="shared" si="1"/>
        <v>2</v>
      </c>
      <c r="O2" s="173">
        <f t="shared" si="1"/>
        <v>34</v>
      </c>
      <c r="P2" s="62">
        <f t="shared" si="1"/>
        <v>52</v>
      </c>
      <c r="Q2" s="62">
        <f t="shared" si="1"/>
        <v>7</v>
      </c>
      <c r="R2" s="62">
        <f t="shared" si="1"/>
        <v>8</v>
      </c>
      <c r="S2" s="173">
        <f>S26</f>
        <v>86.54</v>
      </c>
      <c r="T2" s="62">
        <f>Z26</f>
        <v>118</v>
      </c>
      <c r="U2" s="62">
        <f>AA26</f>
        <v>750</v>
      </c>
      <c r="V2" s="174">
        <f>AB26</f>
        <v>28.53</v>
      </c>
    </row>
    <row r="3" spans="1:33" s="175" customFormat="1" ht="24" customHeight="1" x14ac:dyDescent="0.25">
      <c r="A3" s="19">
        <v>2</v>
      </c>
      <c r="B3" s="20" t="str">
        <f t="shared" ref="B3:K3" si="2">B27</f>
        <v>1. SC TEMPISH Vítkovice</v>
      </c>
      <c r="C3" s="21">
        <f t="shared" si="2"/>
        <v>26</v>
      </c>
      <c r="D3" s="21">
        <f t="shared" si="2"/>
        <v>22</v>
      </c>
      <c r="E3" s="21">
        <f t="shared" si="2"/>
        <v>0</v>
      </c>
      <c r="F3" s="21">
        <f t="shared" si="2"/>
        <v>1</v>
      </c>
      <c r="G3" s="21">
        <f t="shared" si="2"/>
        <v>3</v>
      </c>
      <c r="H3" s="18">
        <f t="shared" si="2"/>
        <v>67</v>
      </c>
      <c r="I3" s="21">
        <f t="shared" si="2"/>
        <v>220</v>
      </c>
      <c r="J3" s="21">
        <f t="shared" si="2"/>
        <v>122</v>
      </c>
      <c r="K3" s="21">
        <f t="shared" si="2"/>
        <v>98</v>
      </c>
      <c r="L3" s="21">
        <f t="shared" ref="L3:S3" si="3">L27</f>
        <v>41</v>
      </c>
      <c r="M3" s="21">
        <f t="shared" si="3"/>
        <v>16</v>
      </c>
      <c r="N3" s="21">
        <f t="shared" si="3"/>
        <v>2</v>
      </c>
      <c r="O3" s="22">
        <f t="shared" si="3"/>
        <v>39.020000000000003</v>
      </c>
      <c r="P3" s="21">
        <f t="shared" si="3"/>
        <v>31</v>
      </c>
      <c r="Q3" s="21">
        <f t="shared" si="3"/>
        <v>8</v>
      </c>
      <c r="R3" s="21">
        <f t="shared" si="3"/>
        <v>0</v>
      </c>
      <c r="S3" s="22">
        <f t="shared" si="3"/>
        <v>74.19</v>
      </c>
      <c r="T3" s="21">
        <f t="shared" ref="T3:T15" si="4">Z27</f>
        <v>68</v>
      </c>
      <c r="U3" s="21">
        <f t="shared" ref="U3:U15" si="5">AA27</f>
        <v>782</v>
      </c>
      <c r="V3" s="23">
        <f t="shared" ref="V3:V15" si="6">AB27</f>
        <v>28.13</v>
      </c>
    </row>
    <row r="4" spans="1:33" s="175" customFormat="1" ht="24" customHeight="1" x14ac:dyDescent="0.25">
      <c r="A4" s="172">
        <v>3</v>
      </c>
      <c r="B4" s="60" t="str">
        <f t="shared" ref="B4:K4" si="7">B28</f>
        <v>FbŠ Bohemians</v>
      </c>
      <c r="C4" s="62">
        <f t="shared" si="7"/>
        <v>26</v>
      </c>
      <c r="D4" s="62">
        <f t="shared" si="7"/>
        <v>16</v>
      </c>
      <c r="E4" s="62">
        <f t="shared" si="7"/>
        <v>2</v>
      </c>
      <c r="F4" s="62">
        <f t="shared" si="7"/>
        <v>1</v>
      </c>
      <c r="G4" s="62">
        <f t="shared" si="7"/>
        <v>7</v>
      </c>
      <c r="H4" s="18">
        <f t="shared" si="7"/>
        <v>53</v>
      </c>
      <c r="I4" s="62">
        <f t="shared" si="7"/>
        <v>201</v>
      </c>
      <c r="J4" s="62">
        <f t="shared" si="7"/>
        <v>142</v>
      </c>
      <c r="K4" s="62">
        <f t="shared" si="7"/>
        <v>59</v>
      </c>
      <c r="L4" s="62">
        <f t="shared" ref="L4:S4" si="8">L28</f>
        <v>77</v>
      </c>
      <c r="M4" s="62">
        <f t="shared" si="8"/>
        <v>36</v>
      </c>
      <c r="N4" s="62">
        <f t="shared" si="8"/>
        <v>5</v>
      </c>
      <c r="O4" s="173">
        <f t="shared" si="8"/>
        <v>46.75</v>
      </c>
      <c r="P4" s="62">
        <f t="shared" si="8"/>
        <v>40</v>
      </c>
      <c r="Q4" s="62">
        <f t="shared" si="8"/>
        <v>10</v>
      </c>
      <c r="R4" s="62">
        <f t="shared" si="8"/>
        <v>4</v>
      </c>
      <c r="S4" s="173">
        <f t="shared" si="8"/>
        <v>75</v>
      </c>
      <c r="T4" s="62">
        <f t="shared" si="4"/>
        <v>115</v>
      </c>
      <c r="U4" s="62">
        <f t="shared" si="5"/>
        <v>828</v>
      </c>
      <c r="V4" s="174">
        <f t="shared" si="6"/>
        <v>24.28</v>
      </c>
    </row>
    <row r="5" spans="1:33" s="175" customFormat="1" ht="24" customHeight="1" x14ac:dyDescent="0.25">
      <c r="A5" s="19">
        <v>4</v>
      </c>
      <c r="B5" s="20" t="str">
        <f t="shared" ref="B5:K5" si="9">B29</f>
        <v>Tatran Teka Střešovice</v>
      </c>
      <c r="C5" s="21">
        <f t="shared" si="9"/>
        <v>26</v>
      </c>
      <c r="D5" s="21">
        <f t="shared" si="9"/>
        <v>16</v>
      </c>
      <c r="E5" s="21">
        <f t="shared" si="9"/>
        <v>1</v>
      </c>
      <c r="F5" s="21">
        <f t="shared" si="9"/>
        <v>2</v>
      </c>
      <c r="G5" s="21">
        <f t="shared" si="9"/>
        <v>7</v>
      </c>
      <c r="H5" s="18">
        <f t="shared" si="9"/>
        <v>52</v>
      </c>
      <c r="I5" s="21">
        <f t="shared" si="9"/>
        <v>187</v>
      </c>
      <c r="J5" s="21">
        <f t="shared" si="9"/>
        <v>115</v>
      </c>
      <c r="K5" s="21">
        <f t="shared" si="9"/>
        <v>72</v>
      </c>
      <c r="L5" s="21">
        <f t="shared" ref="L5:S5" si="10">L29</f>
        <v>56</v>
      </c>
      <c r="M5" s="21">
        <f t="shared" si="10"/>
        <v>29</v>
      </c>
      <c r="N5" s="21">
        <f t="shared" si="10"/>
        <v>1</v>
      </c>
      <c r="O5" s="22">
        <f t="shared" si="10"/>
        <v>51.79</v>
      </c>
      <c r="P5" s="21">
        <f t="shared" si="10"/>
        <v>50</v>
      </c>
      <c r="Q5" s="21">
        <f t="shared" si="10"/>
        <v>13</v>
      </c>
      <c r="R5" s="21">
        <f t="shared" si="10"/>
        <v>2</v>
      </c>
      <c r="S5" s="22">
        <f t="shared" si="10"/>
        <v>74</v>
      </c>
      <c r="T5" s="21">
        <f t="shared" si="4"/>
        <v>116</v>
      </c>
      <c r="U5" s="21">
        <f t="shared" si="5"/>
        <v>735</v>
      </c>
      <c r="V5" s="23">
        <f t="shared" si="6"/>
        <v>25.44</v>
      </c>
    </row>
    <row r="6" spans="1:33" s="175" customFormat="1" ht="24" customHeight="1" x14ac:dyDescent="0.25">
      <c r="A6" s="172">
        <v>5</v>
      </c>
      <c r="B6" s="60" t="str">
        <f t="shared" ref="B6:K6" si="11">B30</f>
        <v>FAT PIPE FLORBAL CHODOV</v>
      </c>
      <c r="C6" s="62">
        <f t="shared" si="11"/>
        <v>26</v>
      </c>
      <c r="D6" s="62">
        <f t="shared" si="11"/>
        <v>15</v>
      </c>
      <c r="E6" s="62">
        <f t="shared" si="11"/>
        <v>1</v>
      </c>
      <c r="F6" s="62">
        <f t="shared" si="11"/>
        <v>1</v>
      </c>
      <c r="G6" s="62">
        <f t="shared" si="11"/>
        <v>9</v>
      </c>
      <c r="H6" s="18">
        <f t="shared" si="11"/>
        <v>48</v>
      </c>
      <c r="I6" s="62">
        <f t="shared" si="11"/>
        <v>177</v>
      </c>
      <c r="J6" s="62">
        <f t="shared" si="11"/>
        <v>155</v>
      </c>
      <c r="K6" s="62">
        <f t="shared" si="11"/>
        <v>22</v>
      </c>
      <c r="L6" s="62">
        <f t="shared" ref="L6:S6" si="12">L30</f>
        <v>41</v>
      </c>
      <c r="M6" s="62">
        <f t="shared" si="12"/>
        <v>17</v>
      </c>
      <c r="N6" s="62">
        <f t="shared" si="12"/>
        <v>2</v>
      </c>
      <c r="O6" s="173">
        <f t="shared" si="12"/>
        <v>41.46</v>
      </c>
      <c r="P6" s="62">
        <f t="shared" si="12"/>
        <v>47</v>
      </c>
      <c r="Q6" s="62">
        <f t="shared" si="12"/>
        <v>19</v>
      </c>
      <c r="R6" s="62">
        <f t="shared" si="12"/>
        <v>1</v>
      </c>
      <c r="S6" s="173">
        <f t="shared" si="12"/>
        <v>59.57</v>
      </c>
      <c r="T6" s="62">
        <f t="shared" si="4"/>
        <v>126</v>
      </c>
      <c r="U6" s="62">
        <f t="shared" si="5"/>
        <v>728</v>
      </c>
      <c r="V6" s="174">
        <f t="shared" si="6"/>
        <v>24.31</v>
      </c>
    </row>
    <row r="7" spans="1:33" s="175" customFormat="1" ht="24" customHeight="1" x14ac:dyDescent="0.25">
      <c r="A7" s="19">
        <v>6</v>
      </c>
      <c r="B7" s="20" t="str">
        <f t="shared" ref="B7:K7" si="13">B31</f>
        <v>ACEMA Sparta Praha</v>
      </c>
      <c r="C7" s="21">
        <f t="shared" si="13"/>
        <v>26</v>
      </c>
      <c r="D7" s="21">
        <f t="shared" si="13"/>
        <v>14</v>
      </c>
      <c r="E7" s="21">
        <f t="shared" si="13"/>
        <v>3</v>
      </c>
      <c r="F7" s="21">
        <f t="shared" si="13"/>
        <v>0</v>
      </c>
      <c r="G7" s="21">
        <f t="shared" si="13"/>
        <v>9</v>
      </c>
      <c r="H7" s="18">
        <f t="shared" si="13"/>
        <v>48</v>
      </c>
      <c r="I7" s="21">
        <f t="shared" si="13"/>
        <v>158</v>
      </c>
      <c r="J7" s="21">
        <f t="shared" si="13"/>
        <v>134</v>
      </c>
      <c r="K7" s="21">
        <f t="shared" si="13"/>
        <v>24</v>
      </c>
      <c r="L7" s="21">
        <f t="shared" ref="L7:S7" si="14">L31</f>
        <v>40</v>
      </c>
      <c r="M7" s="21">
        <f t="shared" si="14"/>
        <v>17</v>
      </c>
      <c r="N7" s="21">
        <f t="shared" si="14"/>
        <v>0</v>
      </c>
      <c r="O7" s="22">
        <f t="shared" si="14"/>
        <v>42.5</v>
      </c>
      <c r="P7" s="21">
        <f t="shared" si="14"/>
        <v>52</v>
      </c>
      <c r="Q7" s="21">
        <f t="shared" si="14"/>
        <v>24</v>
      </c>
      <c r="R7" s="21">
        <f t="shared" si="14"/>
        <v>3</v>
      </c>
      <c r="S7" s="22">
        <f t="shared" si="14"/>
        <v>53.85</v>
      </c>
      <c r="T7" s="21">
        <f t="shared" si="4"/>
        <v>124</v>
      </c>
      <c r="U7" s="21">
        <f t="shared" si="5"/>
        <v>713</v>
      </c>
      <c r="V7" s="23">
        <f t="shared" si="6"/>
        <v>22.16</v>
      </c>
    </row>
    <row r="8" spans="1:33" s="175" customFormat="1" ht="24" customHeight="1" x14ac:dyDescent="0.25">
      <c r="A8" s="172">
        <v>7</v>
      </c>
      <c r="B8" s="60" t="str">
        <f t="shared" ref="B8:K8" si="15">B32</f>
        <v>FBC ČPP OSTRAVA</v>
      </c>
      <c r="C8" s="62">
        <f t="shared" si="15"/>
        <v>26</v>
      </c>
      <c r="D8" s="62">
        <f t="shared" si="15"/>
        <v>12</v>
      </c>
      <c r="E8" s="62">
        <f t="shared" si="15"/>
        <v>2</v>
      </c>
      <c r="F8" s="62">
        <f t="shared" si="15"/>
        <v>2</v>
      </c>
      <c r="G8" s="62">
        <f t="shared" si="15"/>
        <v>10</v>
      </c>
      <c r="H8" s="18">
        <f t="shared" si="15"/>
        <v>42</v>
      </c>
      <c r="I8" s="62">
        <f t="shared" si="15"/>
        <v>141</v>
      </c>
      <c r="J8" s="62">
        <f t="shared" si="15"/>
        <v>144</v>
      </c>
      <c r="K8" s="62">
        <f t="shared" si="15"/>
        <v>-3</v>
      </c>
      <c r="L8" s="62">
        <f t="shared" ref="L8:S8" si="16">L32</f>
        <v>46</v>
      </c>
      <c r="M8" s="62">
        <f t="shared" si="16"/>
        <v>12</v>
      </c>
      <c r="N8" s="62">
        <f t="shared" si="16"/>
        <v>1</v>
      </c>
      <c r="O8" s="173">
        <f t="shared" si="16"/>
        <v>26.09</v>
      </c>
      <c r="P8" s="62">
        <f t="shared" si="16"/>
        <v>52</v>
      </c>
      <c r="Q8" s="62">
        <f t="shared" si="16"/>
        <v>17</v>
      </c>
      <c r="R8" s="62">
        <f t="shared" si="16"/>
        <v>3</v>
      </c>
      <c r="S8" s="173">
        <f t="shared" si="16"/>
        <v>67.31</v>
      </c>
      <c r="T8" s="62">
        <f t="shared" si="4"/>
        <v>110</v>
      </c>
      <c r="U8" s="62">
        <f t="shared" si="5"/>
        <v>624</v>
      </c>
      <c r="V8" s="174">
        <f t="shared" si="6"/>
        <v>22.6</v>
      </c>
    </row>
    <row r="9" spans="1:33" s="175" customFormat="1" ht="24" customHeight="1" x14ac:dyDescent="0.25">
      <c r="A9" s="19">
        <v>8</v>
      </c>
      <c r="B9" s="20" t="str">
        <f t="shared" ref="B9:K9" si="17">B33</f>
        <v>BLACK ANGELS</v>
      </c>
      <c r="C9" s="21">
        <f t="shared" si="17"/>
        <v>26</v>
      </c>
      <c r="D9" s="21">
        <f t="shared" si="17"/>
        <v>10</v>
      </c>
      <c r="E9" s="21">
        <f t="shared" si="17"/>
        <v>3</v>
      </c>
      <c r="F9" s="21">
        <f t="shared" si="17"/>
        <v>1</v>
      </c>
      <c r="G9" s="21">
        <f t="shared" si="17"/>
        <v>12</v>
      </c>
      <c r="H9" s="18">
        <f t="shared" si="17"/>
        <v>37</v>
      </c>
      <c r="I9" s="21">
        <f t="shared" si="17"/>
        <v>159</v>
      </c>
      <c r="J9" s="21">
        <f t="shared" si="17"/>
        <v>177</v>
      </c>
      <c r="K9" s="21">
        <f t="shared" si="17"/>
        <v>-18</v>
      </c>
      <c r="L9" s="21">
        <f t="shared" ref="L9:S9" si="18">L33</f>
        <v>53</v>
      </c>
      <c r="M9" s="21">
        <f t="shared" si="18"/>
        <v>13</v>
      </c>
      <c r="N9" s="21">
        <f t="shared" si="18"/>
        <v>3</v>
      </c>
      <c r="O9" s="22">
        <f t="shared" si="18"/>
        <v>24.53</v>
      </c>
      <c r="P9" s="21">
        <f t="shared" si="18"/>
        <v>49</v>
      </c>
      <c r="Q9" s="21">
        <f t="shared" si="18"/>
        <v>20</v>
      </c>
      <c r="R9" s="21">
        <f t="shared" si="18"/>
        <v>1</v>
      </c>
      <c r="S9" s="22">
        <f t="shared" si="18"/>
        <v>59.18</v>
      </c>
      <c r="T9" s="21">
        <f t="shared" si="4"/>
        <v>106</v>
      </c>
      <c r="U9" s="21">
        <f t="shared" si="5"/>
        <v>697</v>
      </c>
      <c r="V9" s="23">
        <f t="shared" si="6"/>
        <v>22.81</v>
      </c>
    </row>
    <row r="10" spans="1:33" s="175" customFormat="1" ht="24" customHeight="1" x14ac:dyDescent="0.25">
      <c r="A10" s="176">
        <v>9</v>
      </c>
      <c r="B10" s="60" t="str">
        <f t="shared" ref="B10:K10" si="19">B34</f>
        <v>FBC Liberec</v>
      </c>
      <c r="C10" s="62">
        <f t="shared" si="19"/>
        <v>26</v>
      </c>
      <c r="D10" s="62">
        <f t="shared" si="19"/>
        <v>10</v>
      </c>
      <c r="E10" s="62">
        <f t="shared" si="19"/>
        <v>3</v>
      </c>
      <c r="F10" s="62">
        <f t="shared" si="19"/>
        <v>0</v>
      </c>
      <c r="G10" s="62">
        <f t="shared" si="19"/>
        <v>13</v>
      </c>
      <c r="H10" s="18">
        <f t="shared" si="19"/>
        <v>36</v>
      </c>
      <c r="I10" s="62">
        <f t="shared" si="19"/>
        <v>143</v>
      </c>
      <c r="J10" s="62">
        <f t="shared" si="19"/>
        <v>156</v>
      </c>
      <c r="K10" s="62">
        <f t="shared" si="19"/>
        <v>-13</v>
      </c>
      <c r="L10" s="62">
        <f t="shared" ref="L10:S10" si="20">L34</f>
        <v>48</v>
      </c>
      <c r="M10" s="62">
        <f t="shared" si="20"/>
        <v>20</v>
      </c>
      <c r="N10" s="62">
        <f t="shared" si="20"/>
        <v>5</v>
      </c>
      <c r="O10" s="173">
        <f t="shared" si="20"/>
        <v>41.67</v>
      </c>
      <c r="P10" s="62">
        <f t="shared" si="20"/>
        <v>39</v>
      </c>
      <c r="Q10" s="62">
        <f t="shared" si="20"/>
        <v>10</v>
      </c>
      <c r="R10" s="62">
        <f t="shared" si="20"/>
        <v>2</v>
      </c>
      <c r="S10" s="173">
        <f t="shared" si="20"/>
        <v>74.36</v>
      </c>
      <c r="T10" s="62">
        <f t="shared" si="4"/>
        <v>92</v>
      </c>
      <c r="U10" s="62">
        <f t="shared" si="5"/>
        <v>616</v>
      </c>
      <c r="V10" s="174">
        <f t="shared" si="6"/>
        <v>23.21</v>
      </c>
    </row>
    <row r="11" spans="1:33" s="175" customFormat="1" ht="24" customHeight="1" x14ac:dyDescent="0.25">
      <c r="A11" s="24">
        <v>10</v>
      </c>
      <c r="B11" s="20" t="str">
        <f t="shared" ref="B11:K11" si="21">B35</f>
        <v>FBC 4CLEAN Česká Lípa</v>
      </c>
      <c r="C11" s="21">
        <f t="shared" si="21"/>
        <v>26</v>
      </c>
      <c r="D11" s="21">
        <f t="shared" si="21"/>
        <v>7</v>
      </c>
      <c r="E11" s="21">
        <f t="shared" si="21"/>
        <v>3</v>
      </c>
      <c r="F11" s="21">
        <f t="shared" si="21"/>
        <v>0</v>
      </c>
      <c r="G11" s="21">
        <f t="shared" si="21"/>
        <v>16</v>
      </c>
      <c r="H11" s="18">
        <f t="shared" si="21"/>
        <v>27</v>
      </c>
      <c r="I11" s="21">
        <f t="shared" si="21"/>
        <v>150</v>
      </c>
      <c r="J11" s="21">
        <f t="shared" si="21"/>
        <v>212</v>
      </c>
      <c r="K11" s="21">
        <f t="shared" si="21"/>
        <v>-62</v>
      </c>
      <c r="L11" s="21">
        <f t="shared" ref="L11:S11" si="22">L35</f>
        <v>29</v>
      </c>
      <c r="M11" s="21">
        <f t="shared" si="22"/>
        <v>11</v>
      </c>
      <c r="N11" s="21">
        <f t="shared" si="22"/>
        <v>1</v>
      </c>
      <c r="O11" s="22">
        <f t="shared" si="22"/>
        <v>37.93</v>
      </c>
      <c r="P11" s="21">
        <f t="shared" si="22"/>
        <v>49</v>
      </c>
      <c r="Q11" s="21">
        <f t="shared" si="22"/>
        <v>26</v>
      </c>
      <c r="R11" s="21">
        <f t="shared" si="22"/>
        <v>2</v>
      </c>
      <c r="S11" s="22">
        <f t="shared" si="22"/>
        <v>46.94</v>
      </c>
      <c r="T11" s="21">
        <f t="shared" si="4"/>
        <v>122</v>
      </c>
      <c r="U11" s="21">
        <f t="shared" si="5"/>
        <v>546</v>
      </c>
      <c r="V11" s="23">
        <f t="shared" si="6"/>
        <v>27.47</v>
      </c>
    </row>
    <row r="12" spans="1:33" s="175" customFormat="1" ht="24" customHeight="1" x14ac:dyDescent="0.25">
      <c r="A12" s="177">
        <v>11</v>
      </c>
      <c r="B12" s="60" t="str">
        <f t="shared" ref="B12:K12" si="23">B36</f>
        <v>SOKOLI Pardubice</v>
      </c>
      <c r="C12" s="62">
        <f t="shared" si="23"/>
        <v>26</v>
      </c>
      <c r="D12" s="62">
        <f t="shared" si="23"/>
        <v>6</v>
      </c>
      <c r="E12" s="62">
        <f t="shared" si="23"/>
        <v>1</v>
      </c>
      <c r="F12" s="62">
        <f t="shared" si="23"/>
        <v>2</v>
      </c>
      <c r="G12" s="62">
        <f t="shared" si="23"/>
        <v>17</v>
      </c>
      <c r="H12" s="18">
        <f t="shared" si="23"/>
        <v>22</v>
      </c>
      <c r="I12" s="62">
        <f t="shared" si="23"/>
        <v>140</v>
      </c>
      <c r="J12" s="62">
        <f t="shared" si="23"/>
        <v>213</v>
      </c>
      <c r="K12" s="62">
        <f t="shared" si="23"/>
        <v>-73</v>
      </c>
      <c r="L12" s="62">
        <f t="shared" ref="L12:S12" si="24">L36</f>
        <v>49</v>
      </c>
      <c r="M12" s="62">
        <f t="shared" si="24"/>
        <v>9</v>
      </c>
      <c r="N12" s="62">
        <f t="shared" si="24"/>
        <v>2</v>
      </c>
      <c r="O12" s="173">
        <f t="shared" si="24"/>
        <v>18.37</v>
      </c>
      <c r="P12" s="62">
        <f t="shared" si="24"/>
        <v>61</v>
      </c>
      <c r="Q12" s="62">
        <f t="shared" si="24"/>
        <v>29</v>
      </c>
      <c r="R12" s="62">
        <f t="shared" si="24"/>
        <v>5</v>
      </c>
      <c r="S12" s="173">
        <f t="shared" si="24"/>
        <v>52.46</v>
      </c>
      <c r="T12" s="62">
        <f t="shared" si="4"/>
        <v>144</v>
      </c>
      <c r="U12" s="62">
        <f t="shared" si="5"/>
        <v>555</v>
      </c>
      <c r="V12" s="174">
        <f t="shared" si="6"/>
        <v>25.23</v>
      </c>
    </row>
    <row r="13" spans="1:33" s="175" customFormat="1" ht="24" customHeight="1" x14ac:dyDescent="0.25">
      <c r="A13" s="25">
        <v>12</v>
      </c>
      <c r="B13" s="20" t="str">
        <f t="shared" ref="B13:K13" si="25">B37</f>
        <v>FBŠ Hummel Hattrick Brno</v>
      </c>
      <c r="C13" s="21">
        <f t="shared" si="25"/>
        <v>26</v>
      </c>
      <c r="D13" s="21">
        <f t="shared" si="25"/>
        <v>4</v>
      </c>
      <c r="E13" s="21">
        <f t="shared" si="25"/>
        <v>0</v>
      </c>
      <c r="F13" s="21">
        <f t="shared" si="25"/>
        <v>6</v>
      </c>
      <c r="G13" s="21">
        <f t="shared" si="25"/>
        <v>16</v>
      </c>
      <c r="H13" s="18">
        <f t="shared" si="25"/>
        <v>18</v>
      </c>
      <c r="I13" s="21">
        <f t="shared" si="25"/>
        <v>104</v>
      </c>
      <c r="J13" s="21">
        <f t="shared" si="25"/>
        <v>158</v>
      </c>
      <c r="K13" s="21">
        <f t="shared" si="25"/>
        <v>-54</v>
      </c>
      <c r="L13" s="21">
        <f t="shared" ref="L13:S13" si="26">L37</f>
        <v>41</v>
      </c>
      <c r="M13" s="21">
        <f t="shared" si="26"/>
        <v>19</v>
      </c>
      <c r="N13" s="21">
        <f t="shared" si="26"/>
        <v>2</v>
      </c>
      <c r="O13" s="22">
        <f t="shared" si="26"/>
        <v>46.34</v>
      </c>
      <c r="P13" s="21">
        <f t="shared" si="26"/>
        <v>49</v>
      </c>
      <c r="Q13" s="21">
        <f t="shared" si="26"/>
        <v>20</v>
      </c>
      <c r="R13" s="21">
        <f t="shared" si="26"/>
        <v>3</v>
      </c>
      <c r="S13" s="22">
        <f t="shared" si="26"/>
        <v>59.18</v>
      </c>
      <c r="T13" s="21">
        <f t="shared" si="4"/>
        <v>140</v>
      </c>
      <c r="U13" s="21">
        <f t="shared" si="5"/>
        <v>556</v>
      </c>
      <c r="V13" s="23">
        <f t="shared" si="6"/>
        <v>18.7</v>
      </c>
    </row>
    <row r="14" spans="1:33" s="175" customFormat="1" ht="24" customHeight="1" x14ac:dyDescent="0.25">
      <c r="A14" s="177">
        <v>13</v>
      </c>
      <c r="B14" s="60" t="str">
        <f t="shared" ref="B14:K14" si="27">B38</f>
        <v>TJ Sokol Královské Vinohrady</v>
      </c>
      <c r="C14" s="62">
        <f t="shared" si="27"/>
        <v>26</v>
      </c>
      <c r="D14" s="62">
        <f t="shared" si="27"/>
        <v>3</v>
      </c>
      <c r="E14" s="62">
        <f t="shared" si="27"/>
        <v>1</v>
      </c>
      <c r="F14" s="62">
        <f t="shared" si="27"/>
        <v>3</v>
      </c>
      <c r="G14" s="62">
        <f t="shared" si="27"/>
        <v>19</v>
      </c>
      <c r="H14" s="18">
        <f t="shared" si="27"/>
        <v>14</v>
      </c>
      <c r="I14" s="62">
        <f t="shared" si="27"/>
        <v>119</v>
      </c>
      <c r="J14" s="62">
        <f t="shared" si="27"/>
        <v>197</v>
      </c>
      <c r="K14" s="62">
        <f t="shared" si="27"/>
        <v>-78</v>
      </c>
      <c r="L14" s="62">
        <f t="shared" ref="L14:S14" si="28">L38</f>
        <v>35</v>
      </c>
      <c r="M14" s="62">
        <f t="shared" si="28"/>
        <v>15</v>
      </c>
      <c r="N14" s="62">
        <f t="shared" si="28"/>
        <v>6</v>
      </c>
      <c r="O14" s="173">
        <f t="shared" si="28"/>
        <v>42.86</v>
      </c>
      <c r="P14" s="62">
        <f t="shared" si="28"/>
        <v>31</v>
      </c>
      <c r="Q14" s="62">
        <f t="shared" si="28"/>
        <v>18</v>
      </c>
      <c r="R14" s="62">
        <f t="shared" si="28"/>
        <v>2</v>
      </c>
      <c r="S14" s="173">
        <f t="shared" si="28"/>
        <v>41.94</v>
      </c>
      <c r="T14" s="62">
        <f t="shared" si="4"/>
        <v>69</v>
      </c>
      <c r="U14" s="62">
        <f t="shared" si="5"/>
        <v>516</v>
      </c>
      <c r="V14" s="174">
        <f t="shared" si="6"/>
        <v>23.06</v>
      </c>
    </row>
    <row r="15" spans="1:33" s="175" customFormat="1" ht="24" customHeight="1" thickBot="1" x14ac:dyDescent="0.3">
      <c r="A15" s="26">
        <v>14</v>
      </c>
      <c r="B15" s="27" t="str">
        <f t="shared" ref="B15:K15" si="29">B39</f>
        <v>Hu-Fa PANTHERS OTROKOVICE</v>
      </c>
      <c r="C15" s="28">
        <f t="shared" si="29"/>
        <v>26</v>
      </c>
      <c r="D15" s="28">
        <f t="shared" si="29"/>
        <v>2</v>
      </c>
      <c r="E15" s="28">
        <f t="shared" si="29"/>
        <v>0</v>
      </c>
      <c r="F15" s="28">
        <f t="shared" si="29"/>
        <v>3</v>
      </c>
      <c r="G15" s="28">
        <f t="shared" si="29"/>
        <v>21</v>
      </c>
      <c r="H15" s="29">
        <f t="shared" si="29"/>
        <v>9</v>
      </c>
      <c r="I15" s="28">
        <f t="shared" si="29"/>
        <v>93</v>
      </c>
      <c r="J15" s="28">
        <f t="shared" si="29"/>
        <v>192</v>
      </c>
      <c r="K15" s="28">
        <f t="shared" si="29"/>
        <v>-99</v>
      </c>
      <c r="L15" s="28">
        <f t="shared" ref="L15:S15" si="30">L39</f>
        <v>51</v>
      </c>
      <c r="M15" s="28">
        <f t="shared" si="30"/>
        <v>11</v>
      </c>
      <c r="N15" s="28">
        <f t="shared" si="30"/>
        <v>6</v>
      </c>
      <c r="O15" s="30">
        <f t="shared" si="30"/>
        <v>21.57</v>
      </c>
      <c r="P15" s="28">
        <f t="shared" si="30"/>
        <v>55</v>
      </c>
      <c r="Q15" s="28">
        <f t="shared" si="30"/>
        <v>21</v>
      </c>
      <c r="R15" s="28">
        <f t="shared" si="30"/>
        <v>2</v>
      </c>
      <c r="S15" s="30">
        <f t="shared" si="30"/>
        <v>61.82</v>
      </c>
      <c r="T15" s="28">
        <f t="shared" si="4"/>
        <v>127</v>
      </c>
      <c r="U15" s="28">
        <f t="shared" si="5"/>
        <v>514</v>
      </c>
      <c r="V15" s="31">
        <f t="shared" si="6"/>
        <v>18.09</v>
      </c>
    </row>
    <row r="16" spans="1:33" ht="15.75" thickTop="1" x14ac:dyDescent="0.25"/>
    <row r="25" spans="1:37" s="2" customFormat="1" hidden="1" x14ac:dyDescent="0.25">
      <c r="B25" s="2" t="s">
        <v>118</v>
      </c>
      <c r="C25" s="2" t="s">
        <v>83</v>
      </c>
      <c r="D25" s="2" t="s">
        <v>40</v>
      </c>
      <c r="E25" s="2" t="s">
        <v>119</v>
      </c>
      <c r="F25" s="2" t="s">
        <v>120</v>
      </c>
      <c r="G25" s="2" t="s">
        <v>41</v>
      </c>
      <c r="H25" s="2" t="s">
        <v>36</v>
      </c>
      <c r="I25" s="2" t="s">
        <v>121</v>
      </c>
      <c r="J25" s="2" t="s">
        <v>63</v>
      </c>
      <c r="K25" s="2" t="s">
        <v>122</v>
      </c>
      <c r="L25" s="2" t="s">
        <v>120</v>
      </c>
      <c r="M25" s="2" t="s">
        <v>125</v>
      </c>
      <c r="N25" s="2" t="s">
        <v>126</v>
      </c>
      <c r="O25" s="2" t="s">
        <v>123</v>
      </c>
      <c r="P25" s="2" t="s">
        <v>48</v>
      </c>
      <c r="Q25" s="2" t="s">
        <v>124</v>
      </c>
      <c r="R25" s="2" t="s">
        <v>127</v>
      </c>
      <c r="S25" s="2" t="s">
        <v>128</v>
      </c>
      <c r="T25" s="2">
        <v>2</v>
      </c>
      <c r="U25" s="2">
        <v>5</v>
      </c>
      <c r="V25" s="2">
        <v>10</v>
      </c>
      <c r="W25" s="2" t="s">
        <v>129</v>
      </c>
      <c r="X25" s="2" t="s">
        <v>130</v>
      </c>
      <c r="Y25" s="2" t="s">
        <v>131</v>
      </c>
      <c r="Z25" s="2" t="s">
        <v>38</v>
      </c>
      <c r="AA25" s="2" t="s">
        <v>88</v>
      </c>
      <c r="AB25" s="2" t="s">
        <v>132</v>
      </c>
      <c r="AC25" s="2" t="s">
        <v>133</v>
      </c>
      <c r="AD25" s="2" t="s">
        <v>134</v>
      </c>
      <c r="AE25" s="3" t="s">
        <v>135</v>
      </c>
      <c r="AF25" s="3" t="s">
        <v>136</v>
      </c>
      <c r="AG25" s="3" t="s">
        <v>137</v>
      </c>
      <c r="AH25" s="2" t="s">
        <v>138</v>
      </c>
      <c r="AI25" s="2" t="s">
        <v>139</v>
      </c>
      <c r="AJ25" s="2" t="s">
        <v>140</v>
      </c>
      <c r="AK25" s="2" t="s">
        <v>220</v>
      </c>
    </row>
    <row r="26" spans="1:37" hidden="1" x14ac:dyDescent="0.25">
      <c r="A26" s="118">
        <v>1</v>
      </c>
      <c r="B26" s="1" t="s">
        <v>105</v>
      </c>
      <c r="C26" s="6">
        <v>26</v>
      </c>
      <c r="D26" s="6">
        <v>23</v>
      </c>
      <c r="E26" s="6">
        <v>2</v>
      </c>
      <c r="F26" s="6">
        <v>0</v>
      </c>
      <c r="G26" s="6">
        <v>1</v>
      </c>
      <c r="H26" s="6">
        <v>73</v>
      </c>
      <c r="I26" s="6">
        <v>214</v>
      </c>
      <c r="J26" s="6">
        <v>89</v>
      </c>
      <c r="K26" s="6">
        <v>125</v>
      </c>
      <c r="L26" s="6">
        <v>50</v>
      </c>
      <c r="M26" s="6">
        <v>17</v>
      </c>
      <c r="N26" s="6">
        <v>2</v>
      </c>
      <c r="O26" s="6">
        <v>34</v>
      </c>
      <c r="P26" s="6">
        <v>52</v>
      </c>
      <c r="Q26" s="6">
        <v>7</v>
      </c>
      <c r="R26" s="6">
        <v>8</v>
      </c>
      <c r="S26" s="6">
        <v>86.54</v>
      </c>
      <c r="T26" s="6">
        <v>54</v>
      </c>
      <c r="U26" s="6">
        <v>0</v>
      </c>
      <c r="V26" s="6">
        <v>1</v>
      </c>
      <c r="W26" s="6">
        <v>0</v>
      </c>
      <c r="X26" s="6">
        <v>0</v>
      </c>
      <c r="Y26" s="6">
        <v>0</v>
      </c>
      <c r="Z26" s="6">
        <v>118</v>
      </c>
      <c r="AA26" s="6">
        <v>750</v>
      </c>
      <c r="AB26" s="6">
        <v>28.53</v>
      </c>
      <c r="AC26" s="6">
        <v>370</v>
      </c>
      <c r="AD26" s="6">
        <v>0</v>
      </c>
      <c r="AE26" s="6">
        <v>28</v>
      </c>
      <c r="AF26" s="6">
        <v>0</v>
      </c>
      <c r="AG26" s="6">
        <v>14</v>
      </c>
      <c r="AH26" s="6">
        <f>_xlfn.RANK.EQ(O26,$O$26:$O$39,0)</f>
        <v>10</v>
      </c>
      <c r="AI26" s="6">
        <f>_xlfn.RANK.EQ(S26,$S$26:$S$39,0)</f>
        <v>1</v>
      </c>
      <c r="AJ26" s="6">
        <f>_xlfn.RANK.EQ(Z26,$Z$26:$Z$39,0)</f>
        <v>7</v>
      </c>
      <c r="AK26" s="6">
        <f>A26</f>
        <v>1</v>
      </c>
    </row>
    <row r="27" spans="1:37" hidden="1" x14ac:dyDescent="0.25">
      <c r="A27" s="118">
        <v>2</v>
      </c>
      <c r="B27" s="1" t="s">
        <v>104</v>
      </c>
      <c r="C27" s="6">
        <v>26</v>
      </c>
      <c r="D27" s="6">
        <v>22</v>
      </c>
      <c r="E27" s="6">
        <v>0</v>
      </c>
      <c r="F27" s="6">
        <v>1</v>
      </c>
      <c r="G27" s="6">
        <v>3</v>
      </c>
      <c r="H27" s="6">
        <v>67</v>
      </c>
      <c r="I27" s="6">
        <v>220</v>
      </c>
      <c r="J27" s="6">
        <v>122</v>
      </c>
      <c r="K27" s="6">
        <v>98</v>
      </c>
      <c r="L27" s="6">
        <v>41</v>
      </c>
      <c r="M27" s="6">
        <v>16</v>
      </c>
      <c r="N27" s="6">
        <v>2</v>
      </c>
      <c r="O27" s="6">
        <v>39.020000000000003</v>
      </c>
      <c r="P27" s="6">
        <v>31</v>
      </c>
      <c r="Q27" s="6">
        <v>8</v>
      </c>
      <c r="R27" s="6">
        <v>0</v>
      </c>
      <c r="S27" s="6">
        <v>74.19</v>
      </c>
      <c r="T27" s="6">
        <v>34</v>
      </c>
      <c r="U27" s="6">
        <v>0</v>
      </c>
      <c r="V27" s="6">
        <v>0</v>
      </c>
      <c r="W27" s="6">
        <v>0</v>
      </c>
      <c r="X27" s="6">
        <v>0</v>
      </c>
      <c r="Y27" s="6">
        <v>0</v>
      </c>
      <c r="Z27" s="6">
        <v>68</v>
      </c>
      <c r="AA27" s="6">
        <v>782</v>
      </c>
      <c r="AB27" s="6">
        <v>28.13</v>
      </c>
      <c r="AC27" s="6">
        <v>387</v>
      </c>
      <c r="AD27" s="6">
        <v>357</v>
      </c>
      <c r="AE27" s="6">
        <v>30</v>
      </c>
      <c r="AF27" s="6">
        <v>27</v>
      </c>
      <c r="AG27" s="6">
        <v>29</v>
      </c>
      <c r="AH27" s="6">
        <f t="shared" ref="AH27:AH39" si="31">_xlfn.RANK.EQ(O27,$O$26:$O$39,0)</f>
        <v>8</v>
      </c>
      <c r="AI27" s="6">
        <f t="shared" ref="AI27:AI39" si="32">_xlfn.RANK.EQ(S27,$S$26:$S$39,0)</f>
        <v>4</v>
      </c>
      <c r="AJ27" s="6">
        <f t="shared" ref="AJ27:AJ39" si="33">_xlfn.RANK.EQ(Z27,$Z$26:$Z$39,0)</f>
        <v>14</v>
      </c>
      <c r="AK27" s="6">
        <f t="shared" ref="AK27:AK39" si="34">A27</f>
        <v>2</v>
      </c>
    </row>
    <row r="28" spans="1:37" hidden="1" x14ac:dyDescent="0.25">
      <c r="A28" s="118">
        <v>3</v>
      </c>
      <c r="B28" s="1" t="s">
        <v>107</v>
      </c>
      <c r="C28" s="6">
        <v>26</v>
      </c>
      <c r="D28" s="6">
        <v>16</v>
      </c>
      <c r="E28" s="6">
        <v>2</v>
      </c>
      <c r="F28" s="6">
        <v>1</v>
      </c>
      <c r="G28" s="6">
        <v>7</v>
      </c>
      <c r="H28" s="6">
        <v>53</v>
      </c>
      <c r="I28" s="6">
        <v>201</v>
      </c>
      <c r="J28" s="6">
        <v>142</v>
      </c>
      <c r="K28" s="6">
        <v>59</v>
      </c>
      <c r="L28" s="6">
        <v>77</v>
      </c>
      <c r="M28" s="6">
        <v>36</v>
      </c>
      <c r="N28" s="6">
        <v>5</v>
      </c>
      <c r="O28" s="6">
        <v>46.75</v>
      </c>
      <c r="P28" s="6">
        <v>40</v>
      </c>
      <c r="Q28" s="6">
        <v>10</v>
      </c>
      <c r="R28" s="6">
        <v>4</v>
      </c>
      <c r="S28" s="6">
        <v>75</v>
      </c>
      <c r="T28" s="6">
        <v>40</v>
      </c>
      <c r="U28" s="6">
        <v>1</v>
      </c>
      <c r="V28" s="6">
        <v>1</v>
      </c>
      <c r="W28" s="6">
        <v>0</v>
      </c>
      <c r="X28" s="6">
        <v>0</v>
      </c>
      <c r="Y28" s="6">
        <v>1</v>
      </c>
      <c r="Z28" s="6">
        <v>115</v>
      </c>
      <c r="AA28" s="6">
        <v>828</v>
      </c>
      <c r="AB28" s="6">
        <v>24.28</v>
      </c>
      <c r="AC28" s="6">
        <v>320</v>
      </c>
      <c r="AD28" s="6">
        <v>830</v>
      </c>
      <c r="AE28" s="6">
        <v>25</v>
      </c>
      <c r="AF28" s="6">
        <v>64</v>
      </c>
      <c r="AG28" s="6">
        <v>44</v>
      </c>
      <c r="AH28" s="6">
        <f t="shared" si="31"/>
        <v>2</v>
      </c>
      <c r="AI28" s="6">
        <f t="shared" si="32"/>
        <v>2</v>
      </c>
      <c r="AJ28" s="6">
        <f t="shared" si="33"/>
        <v>9</v>
      </c>
      <c r="AK28" s="6">
        <f t="shared" si="34"/>
        <v>3</v>
      </c>
    </row>
    <row r="29" spans="1:37" hidden="1" x14ac:dyDescent="0.25">
      <c r="A29" s="118">
        <v>4</v>
      </c>
      <c r="B29" s="1" t="s">
        <v>106</v>
      </c>
      <c r="C29" s="6">
        <v>26</v>
      </c>
      <c r="D29" s="6">
        <v>16</v>
      </c>
      <c r="E29" s="6">
        <v>1</v>
      </c>
      <c r="F29" s="6">
        <v>2</v>
      </c>
      <c r="G29" s="6">
        <v>7</v>
      </c>
      <c r="H29" s="6">
        <v>52</v>
      </c>
      <c r="I29" s="6">
        <v>187</v>
      </c>
      <c r="J29" s="6">
        <v>115</v>
      </c>
      <c r="K29" s="6">
        <v>72</v>
      </c>
      <c r="L29" s="6">
        <v>56</v>
      </c>
      <c r="M29" s="6">
        <v>29</v>
      </c>
      <c r="N29" s="6">
        <v>1</v>
      </c>
      <c r="O29" s="6">
        <v>51.79</v>
      </c>
      <c r="P29" s="6">
        <v>50</v>
      </c>
      <c r="Q29" s="6">
        <v>13</v>
      </c>
      <c r="R29" s="6">
        <v>2</v>
      </c>
      <c r="S29" s="6">
        <v>74</v>
      </c>
      <c r="T29" s="6">
        <v>53</v>
      </c>
      <c r="U29" s="6">
        <v>0</v>
      </c>
      <c r="V29" s="6">
        <v>1</v>
      </c>
      <c r="W29" s="6">
        <v>0</v>
      </c>
      <c r="X29" s="6">
        <v>0</v>
      </c>
      <c r="Y29" s="6">
        <v>0</v>
      </c>
      <c r="Z29" s="6">
        <v>116</v>
      </c>
      <c r="AA29" s="6">
        <v>735</v>
      </c>
      <c r="AB29" s="6">
        <v>25.44</v>
      </c>
      <c r="AC29" s="6">
        <v>301</v>
      </c>
      <c r="AD29" s="6">
        <v>211</v>
      </c>
      <c r="AE29" s="6">
        <v>23</v>
      </c>
      <c r="AF29" s="6">
        <v>16</v>
      </c>
      <c r="AG29" s="6">
        <v>20</v>
      </c>
      <c r="AH29" s="6">
        <f t="shared" si="31"/>
        <v>1</v>
      </c>
      <c r="AI29" s="6">
        <f t="shared" si="32"/>
        <v>5</v>
      </c>
      <c r="AJ29" s="6">
        <f t="shared" si="33"/>
        <v>8</v>
      </c>
      <c r="AK29" s="6">
        <f t="shared" si="34"/>
        <v>4</v>
      </c>
    </row>
    <row r="30" spans="1:37" hidden="1" x14ac:dyDescent="0.25">
      <c r="A30" s="118">
        <v>5</v>
      </c>
      <c r="B30" s="1" t="s">
        <v>108</v>
      </c>
      <c r="C30" s="6">
        <v>26</v>
      </c>
      <c r="D30" s="6">
        <v>15</v>
      </c>
      <c r="E30" s="6">
        <v>1</v>
      </c>
      <c r="F30" s="6">
        <v>1</v>
      </c>
      <c r="G30" s="6">
        <v>9</v>
      </c>
      <c r="H30" s="6">
        <v>48</v>
      </c>
      <c r="I30" s="6">
        <v>177</v>
      </c>
      <c r="J30" s="6">
        <v>155</v>
      </c>
      <c r="K30" s="6">
        <v>22</v>
      </c>
      <c r="L30" s="6">
        <v>41</v>
      </c>
      <c r="M30" s="6">
        <v>17</v>
      </c>
      <c r="N30" s="6">
        <v>2</v>
      </c>
      <c r="O30" s="6">
        <v>41.46</v>
      </c>
      <c r="P30" s="6">
        <v>47</v>
      </c>
      <c r="Q30" s="6">
        <v>19</v>
      </c>
      <c r="R30" s="6">
        <v>1</v>
      </c>
      <c r="S30" s="6">
        <v>59.57</v>
      </c>
      <c r="T30" s="6">
        <v>48</v>
      </c>
      <c r="U30" s="6">
        <v>0</v>
      </c>
      <c r="V30" s="6">
        <v>3</v>
      </c>
      <c r="W30" s="6">
        <v>0</v>
      </c>
      <c r="X30" s="6">
        <v>0</v>
      </c>
      <c r="Y30" s="6">
        <v>0</v>
      </c>
      <c r="Z30" s="6">
        <v>126</v>
      </c>
      <c r="AA30" s="6">
        <v>728</v>
      </c>
      <c r="AB30" s="6">
        <v>24.31</v>
      </c>
      <c r="AC30" s="6">
        <v>162</v>
      </c>
      <c r="AD30" s="6">
        <v>410</v>
      </c>
      <c r="AE30" s="6">
        <v>12</v>
      </c>
      <c r="AF30" s="6">
        <v>32</v>
      </c>
      <c r="AG30" s="6">
        <v>22</v>
      </c>
      <c r="AH30" s="6">
        <f t="shared" si="31"/>
        <v>7</v>
      </c>
      <c r="AI30" s="6">
        <f t="shared" si="32"/>
        <v>8</v>
      </c>
      <c r="AJ30" s="6">
        <f t="shared" si="33"/>
        <v>4</v>
      </c>
      <c r="AK30" s="6">
        <f t="shared" si="34"/>
        <v>5</v>
      </c>
    </row>
    <row r="31" spans="1:37" hidden="1" x14ac:dyDescent="0.25">
      <c r="A31" s="118">
        <v>6</v>
      </c>
      <c r="B31" s="1" t="s">
        <v>110</v>
      </c>
      <c r="C31" s="6">
        <v>26</v>
      </c>
      <c r="D31" s="6">
        <v>14</v>
      </c>
      <c r="E31" s="6">
        <v>3</v>
      </c>
      <c r="F31" s="6">
        <v>0</v>
      </c>
      <c r="G31" s="6">
        <v>9</v>
      </c>
      <c r="H31" s="6">
        <v>48</v>
      </c>
      <c r="I31" s="6">
        <v>158</v>
      </c>
      <c r="J31" s="6">
        <v>134</v>
      </c>
      <c r="K31" s="6">
        <v>24</v>
      </c>
      <c r="L31" s="6">
        <v>40</v>
      </c>
      <c r="M31" s="6">
        <v>17</v>
      </c>
      <c r="N31" s="6">
        <v>0</v>
      </c>
      <c r="O31" s="6">
        <v>42.5</v>
      </c>
      <c r="P31" s="6">
        <v>52</v>
      </c>
      <c r="Q31" s="6">
        <v>24</v>
      </c>
      <c r="R31" s="6">
        <v>3</v>
      </c>
      <c r="S31" s="6">
        <v>53.85</v>
      </c>
      <c r="T31" s="6">
        <v>57</v>
      </c>
      <c r="U31" s="6">
        <v>0</v>
      </c>
      <c r="V31" s="6">
        <v>1</v>
      </c>
      <c r="W31" s="6">
        <v>0</v>
      </c>
      <c r="X31" s="6">
        <v>0</v>
      </c>
      <c r="Y31" s="6">
        <v>0</v>
      </c>
      <c r="Z31" s="6">
        <v>124</v>
      </c>
      <c r="AA31" s="6">
        <v>713</v>
      </c>
      <c r="AB31" s="6">
        <v>22.16</v>
      </c>
      <c r="AC31" s="6">
        <v>872</v>
      </c>
      <c r="AD31" s="6">
        <v>245</v>
      </c>
      <c r="AE31" s="6">
        <v>67</v>
      </c>
      <c r="AF31" s="6">
        <v>19</v>
      </c>
      <c r="AG31" s="6">
        <v>43</v>
      </c>
      <c r="AH31" s="6">
        <f t="shared" si="31"/>
        <v>5</v>
      </c>
      <c r="AI31" s="6">
        <f t="shared" si="32"/>
        <v>11</v>
      </c>
      <c r="AJ31" s="6">
        <f t="shared" si="33"/>
        <v>5</v>
      </c>
      <c r="AK31" s="6">
        <f t="shared" si="34"/>
        <v>6</v>
      </c>
    </row>
    <row r="32" spans="1:37" hidden="1" x14ac:dyDescent="0.25">
      <c r="A32" s="118">
        <v>7</v>
      </c>
      <c r="B32" s="1" t="s">
        <v>109</v>
      </c>
      <c r="C32" s="6">
        <v>26</v>
      </c>
      <c r="D32" s="6">
        <v>12</v>
      </c>
      <c r="E32" s="6">
        <v>2</v>
      </c>
      <c r="F32" s="6">
        <v>2</v>
      </c>
      <c r="G32" s="6">
        <v>10</v>
      </c>
      <c r="H32" s="6">
        <v>42</v>
      </c>
      <c r="I32" s="6">
        <v>141</v>
      </c>
      <c r="J32" s="6">
        <v>144</v>
      </c>
      <c r="K32" s="6">
        <v>-3</v>
      </c>
      <c r="L32" s="6">
        <v>46</v>
      </c>
      <c r="M32" s="6">
        <v>12</v>
      </c>
      <c r="N32" s="6">
        <v>1</v>
      </c>
      <c r="O32" s="6">
        <v>26.09</v>
      </c>
      <c r="P32" s="6">
        <v>52</v>
      </c>
      <c r="Q32" s="6">
        <v>17</v>
      </c>
      <c r="R32" s="6">
        <v>3</v>
      </c>
      <c r="S32" s="6">
        <v>67.31</v>
      </c>
      <c r="T32" s="6">
        <v>55</v>
      </c>
      <c r="U32" s="6">
        <v>0</v>
      </c>
      <c r="V32" s="6">
        <v>0</v>
      </c>
      <c r="W32" s="6">
        <v>0</v>
      </c>
      <c r="X32" s="6">
        <v>0</v>
      </c>
      <c r="Y32" s="6">
        <v>0</v>
      </c>
      <c r="Z32" s="6">
        <v>110</v>
      </c>
      <c r="AA32" s="6">
        <v>624</v>
      </c>
      <c r="AB32" s="6">
        <v>22.6</v>
      </c>
      <c r="AC32" s="6">
        <v>296</v>
      </c>
      <c r="AD32" s="6">
        <v>487</v>
      </c>
      <c r="AE32" s="6">
        <v>23</v>
      </c>
      <c r="AF32" s="6">
        <v>37</v>
      </c>
      <c r="AG32" s="6">
        <v>30</v>
      </c>
      <c r="AH32" s="6">
        <f t="shared" si="31"/>
        <v>11</v>
      </c>
      <c r="AI32" s="6">
        <f t="shared" si="32"/>
        <v>6</v>
      </c>
      <c r="AJ32" s="6">
        <f t="shared" si="33"/>
        <v>10</v>
      </c>
      <c r="AK32" s="6">
        <f t="shared" si="34"/>
        <v>7</v>
      </c>
    </row>
    <row r="33" spans="1:37" hidden="1" x14ac:dyDescent="0.25">
      <c r="A33" s="118">
        <v>8</v>
      </c>
      <c r="B33" s="1" t="s">
        <v>111</v>
      </c>
      <c r="C33" s="6">
        <v>26</v>
      </c>
      <c r="D33" s="6">
        <v>10</v>
      </c>
      <c r="E33" s="6">
        <v>3</v>
      </c>
      <c r="F33" s="6">
        <v>1</v>
      </c>
      <c r="G33" s="6">
        <v>12</v>
      </c>
      <c r="H33" s="6">
        <v>37</v>
      </c>
      <c r="I33" s="6">
        <v>159</v>
      </c>
      <c r="J33" s="6">
        <v>177</v>
      </c>
      <c r="K33" s="6">
        <v>-18</v>
      </c>
      <c r="L33" s="6">
        <v>53</v>
      </c>
      <c r="M33" s="6">
        <v>13</v>
      </c>
      <c r="N33" s="6">
        <v>3</v>
      </c>
      <c r="O33" s="6">
        <v>24.53</v>
      </c>
      <c r="P33" s="6">
        <v>49</v>
      </c>
      <c r="Q33" s="6">
        <v>20</v>
      </c>
      <c r="R33" s="6">
        <v>1</v>
      </c>
      <c r="S33" s="6">
        <v>59.18</v>
      </c>
      <c r="T33" s="6">
        <v>53</v>
      </c>
      <c r="U33" s="6">
        <v>0</v>
      </c>
      <c r="V33" s="6">
        <v>0</v>
      </c>
      <c r="W33" s="6">
        <v>0</v>
      </c>
      <c r="X33" s="6">
        <v>0</v>
      </c>
      <c r="Y33" s="6">
        <v>0</v>
      </c>
      <c r="Z33" s="6">
        <v>106</v>
      </c>
      <c r="AA33" s="6">
        <v>697</v>
      </c>
      <c r="AB33" s="6">
        <v>22.81</v>
      </c>
      <c r="AC33" s="6">
        <v>280</v>
      </c>
      <c r="AD33" s="6">
        <v>540</v>
      </c>
      <c r="AE33" s="6">
        <v>22</v>
      </c>
      <c r="AF33" s="6">
        <v>42</v>
      </c>
      <c r="AG33" s="6">
        <v>32</v>
      </c>
      <c r="AH33" s="6">
        <f t="shared" si="31"/>
        <v>12</v>
      </c>
      <c r="AI33" s="6">
        <f t="shared" si="32"/>
        <v>9</v>
      </c>
      <c r="AJ33" s="6">
        <f t="shared" si="33"/>
        <v>11</v>
      </c>
      <c r="AK33" s="6">
        <f t="shared" si="34"/>
        <v>8</v>
      </c>
    </row>
    <row r="34" spans="1:37" hidden="1" x14ac:dyDescent="0.25">
      <c r="A34" s="118">
        <v>9</v>
      </c>
      <c r="B34" s="1" t="s">
        <v>112</v>
      </c>
      <c r="C34" s="6">
        <v>26</v>
      </c>
      <c r="D34" s="6">
        <v>10</v>
      </c>
      <c r="E34" s="6">
        <v>3</v>
      </c>
      <c r="F34" s="6">
        <v>0</v>
      </c>
      <c r="G34" s="6">
        <v>13</v>
      </c>
      <c r="H34" s="6">
        <v>36</v>
      </c>
      <c r="I34" s="6">
        <v>143</v>
      </c>
      <c r="J34" s="6">
        <v>156</v>
      </c>
      <c r="K34" s="6">
        <v>-13</v>
      </c>
      <c r="L34" s="6">
        <v>48</v>
      </c>
      <c r="M34" s="6">
        <v>20</v>
      </c>
      <c r="N34" s="6">
        <v>5</v>
      </c>
      <c r="O34" s="6">
        <v>41.67</v>
      </c>
      <c r="P34" s="6">
        <v>39</v>
      </c>
      <c r="Q34" s="6">
        <v>10</v>
      </c>
      <c r="R34" s="6">
        <v>2</v>
      </c>
      <c r="S34" s="6">
        <v>74.36</v>
      </c>
      <c r="T34" s="6">
        <v>46</v>
      </c>
      <c r="U34" s="6">
        <v>0</v>
      </c>
      <c r="V34" s="6">
        <v>0</v>
      </c>
      <c r="W34" s="6">
        <v>0</v>
      </c>
      <c r="X34" s="6">
        <v>0</v>
      </c>
      <c r="Y34" s="6">
        <v>0</v>
      </c>
      <c r="Z34" s="6">
        <v>92</v>
      </c>
      <c r="AA34" s="6">
        <v>616</v>
      </c>
      <c r="AB34" s="6">
        <v>23.21</v>
      </c>
      <c r="AC34" s="6">
        <v>227</v>
      </c>
      <c r="AD34" s="6">
        <v>107</v>
      </c>
      <c r="AE34" s="6">
        <v>17</v>
      </c>
      <c r="AF34" s="6">
        <v>8</v>
      </c>
      <c r="AG34" s="6">
        <v>13</v>
      </c>
      <c r="AH34" s="6">
        <f t="shared" si="31"/>
        <v>6</v>
      </c>
      <c r="AI34" s="6">
        <f t="shared" si="32"/>
        <v>3</v>
      </c>
      <c r="AJ34" s="6">
        <f t="shared" si="33"/>
        <v>12</v>
      </c>
      <c r="AK34" s="6">
        <f t="shared" si="34"/>
        <v>9</v>
      </c>
    </row>
    <row r="35" spans="1:37" hidden="1" x14ac:dyDescent="0.25">
      <c r="A35" s="118">
        <v>10</v>
      </c>
      <c r="B35" s="1" t="s">
        <v>114</v>
      </c>
      <c r="C35" s="6">
        <v>26</v>
      </c>
      <c r="D35" s="6">
        <v>7</v>
      </c>
      <c r="E35" s="6">
        <v>3</v>
      </c>
      <c r="F35" s="6">
        <v>0</v>
      </c>
      <c r="G35" s="6">
        <v>16</v>
      </c>
      <c r="H35" s="6">
        <v>27</v>
      </c>
      <c r="I35" s="6">
        <v>150</v>
      </c>
      <c r="J35" s="6">
        <v>212</v>
      </c>
      <c r="K35" s="6">
        <v>-62</v>
      </c>
      <c r="L35" s="6">
        <v>29</v>
      </c>
      <c r="M35" s="6">
        <v>11</v>
      </c>
      <c r="N35" s="6">
        <v>1</v>
      </c>
      <c r="O35" s="6">
        <v>37.93</v>
      </c>
      <c r="P35" s="6">
        <v>49</v>
      </c>
      <c r="Q35" s="6">
        <v>26</v>
      </c>
      <c r="R35" s="6">
        <v>2</v>
      </c>
      <c r="S35" s="6">
        <v>46.94</v>
      </c>
      <c r="T35" s="6">
        <v>51</v>
      </c>
      <c r="U35" s="6">
        <v>0</v>
      </c>
      <c r="V35" s="6">
        <v>2</v>
      </c>
      <c r="W35" s="6">
        <v>0</v>
      </c>
      <c r="X35" s="6">
        <v>0</v>
      </c>
      <c r="Y35" s="6">
        <v>0</v>
      </c>
      <c r="Z35" s="6">
        <v>122</v>
      </c>
      <c r="AA35" s="6">
        <v>546</v>
      </c>
      <c r="AB35" s="6">
        <v>27.47</v>
      </c>
      <c r="AC35" s="6">
        <v>290</v>
      </c>
      <c r="AD35" s="6">
        <v>532</v>
      </c>
      <c r="AE35" s="6">
        <v>22</v>
      </c>
      <c r="AF35" s="6">
        <v>41</v>
      </c>
      <c r="AG35" s="6">
        <v>32</v>
      </c>
      <c r="AH35" s="6">
        <f t="shared" si="31"/>
        <v>9</v>
      </c>
      <c r="AI35" s="6">
        <f t="shared" si="32"/>
        <v>13</v>
      </c>
      <c r="AJ35" s="6">
        <f t="shared" si="33"/>
        <v>6</v>
      </c>
      <c r="AK35" s="6">
        <f t="shared" si="34"/>
        <v>10</v>
      </c>
    </row>
    <row r="36" spans="1:37" hidden="1" x14ac:dyDescent="0.25">
      <c r="A36" s="118">
        <v>11</v>
      </c>
      <c r="B36" s="1" t="s">
        <v>115</v>
      </c>
      <c r="C36" s="6">
        <v>26</v>
      </c>
      <c r="D36" s="6">
        <v>6</v>
      </c>
      <c r="E36" s="6">
        <v>1</v>
      </c>
      <c r="F36" s="6">
        <v>2</v>
      </c>
      <c r="G36" s="6">
        <v>17</v>
      </c>
      <c r="H36" s="6">
        <v>22</v>
      </c>
      <c r="I36" s="6">
        <v>140</v>
      </c>
      <c r="J36" s="6">
        <v>213</v>
      </c>
      <c r="K36" s="6">
        <v>-73</v>
      </c>
      <c r="L36" s="6">
        <v>49</v>
      </c>
      <c r="M36" s="6">
        <v>9</v>
      </c>
      <c r="N36" s="6">
        <v>2</v>
      </c>
      <c r="O36" s="6">
        <v>18.37</v>
      </c>
      <c r="P36" s="6">
        <v>61</v>
      </c>
      <c r="Q36" s="6">
        <v>29</v>
      </c>
      <c r="R36" s="6">
        <v>5</v>
      </c>
      <c r="S36" s="6">
        <v>52.46</v>
      </c>
      <c r="T36" s="6">
        <v>67</v>
      </c>
      <c r="U36" s="6">
        <v>2</v>
      </c>
      <c r="V36" s="6">
        <v>0</v>
      </c>
      <c r="W36" s="6">
        <v>0</v>
      </c>
      <c r="X36" s="6">
        <v>0</v>
      </c>
      <c r="Y36" s="6">
        <v>0</v>
      </c>
      <c r="Z36" s="6">
        <v>144</v>
      </c>
      <c r="AA36" s="6">
        <v>555</v>
      </c>
      <c r="AB36" s="6">
        <v>25.23</v>
      </c>
      <c r="AC36" s="6">
        <v>268</v>
      </c>
      <c r="AD36" s="6">
        <v>460</v>
      </c>
      <c r="AE36" s="6">
        <v>21</v>
      </c>
      <c r="AF36" s="6">
        <v>35</v>
      </c>
      <c r="AG36" s="6">
        <v>28</v>
      </c>
      <c r="AH36" s="6">
        <f t="shared" si="31"/>
        <v>14</v>
      </c>
      <c r="AI36" s="6">
        <f t="shared" si="32"/>
        <v>12</v>
      </c>
      <c r="AJ36" s="6">
        <f t="shared" si="33"/>
        <v>1</v>
      </c>
      <c r="AK36" s="6">
        <f t="shared" si="34"/>
        <v>11</v>
      </c>
    </row>
    <row r="37" spans="1:37" hidden="1" x14ac:dyDescent="0.25">
      <c r="A37" s="118">
        <v>12</v>
      </c>
      <c r="B37" s="1" t="s">
        <v>113</v>
      </c>
      <c r="C37" s="6">
        <v>26</v>
      </c>
      <c r="D37" s="6">
        <v>4</v>
      </c>
      <c r="E37" s="6">
        <v>0</v>
      </c>
      <c r="F37" s="6">
        <v>6</v>
      </c>
      <c r="G37" s="6">
        <v>16</v>
      </c>
      <c r="H37" s="6">
        <v>18</v>
      </c>
      <c r="I37" s="6">
        <v>104</v>
      </c>
      <c r="J37" s="6">
        <v>158</v>
      </c>
      <c r="K37" s="6">
        <v>-54</v>
      </c>
      <c r="L37" s="6">
        <v>41</v>
      </c>
      <c r="M37" s="6">
        <v>19</v>
      </c>
      <c r="N37" s="6">
        <v>2</v>
      </c>
      <c r="O37" s="6">
        <v>46.34</v>
      </c>
      <c r="P37" s="6">
        <v>49</v>
      </c>
      <c r="Q37" s="6">
        <v>20</v>
      </c>
      <c r="R37" s="6">
        <v>3</v>
      </c>
      <c r="S37" s="6">
        <v>59.18</v>
      </c>
      <c r="T37" s="6">
        <v>55</v>
      </c>
      <c r="U37" s="6">
        <v>2</v>
      </c>
      <c r="V37" s="6">
        <v>0</v>
      </c>
      <c r="W37" s="6">
        <v>0</v>
      </c>
      <c r="X37" s="6">
        <v>1</v>
      </c>
      <c r="Y37" s="6">
        <v>0</v>
      </c>
      <c r="Z37" s="6">
        <v>140</v>
      </c>
      <c r="AA37" s="6">
        <v>556</v>
      </c>
      <c r="AB37" s="6">
        <v>18.7</v>
      </c>
      <c r="AC37" s="6">
        <v>407</v>
      </c>
      <c r="AD37" s="6">
        <v>324</v>
      </c>
      <c r="AE37" s="6">
        <v>31</v>
      </c>
      <c r="AF37" s="6">
        <v>25</v>
      </c>
      <c r="AG37" s="6">
        <v>28</v>
      </c>
      <c r="AH37" s="6">
        <f t="shared" si="31"/>
        <v>3</v>
      </c>
      <c r="AI37" s="6">
        <f t="shared" si="32"/>
        <v>9</v>
      </c>
      <c r="AJ37" s="6">
        <f t="shared" si="33"/>
        <v>2</v>
      </c>
      <c r="AK37" s="6">
        <f t="shared" si="34"/>
        <v>12</v>
      </c>
    </row>
    <row r="38" spans="1:37" hidden="1" x14ac:dyDescent="0.25">
      <c r="A38" s="118">
        <v>13</v>
      </c>
      <c r="B38" s="1" t="s">
        <v>117</v>
      </c>
      <c r="C38" s="6">
        <v>26</v>
      </c>
      <c r="D38" s="6">
        <v>3</v>
      </c>
      <c r="E38" s="6">
        <v>1</v>
      </c>
      <c r="F38" s="6">
        <v>3</v>
      </c>
      <c r="G38" s="6">
        <v>19</v>
      </c>
      <c r="H38" s="6">
        <v>14</v>
      </c>
      <c r="I38" s="6">
        <v>119</v>
      </c>
      <c r="J38" s="6">
        <v>197</v>
      </c>
      <c r="K38" s="6">
        <v>-78</v>
      </c>
      <c r="L38" s="6">
        <v>35</v>
      </c>
      <c r="M38" s="6">
        <v>15</v>
      </c>
      <c r="N38" s="6">
        <v>6</v>
      </c>
      <c r="O38" s="6">
        <v>42.86</v>
      </c>
      <c r="P38" s="6">
        <v>31</v>
      </c>
      <c r="Q38" s="6">
        <v>18</v>
      </c>
      <c r="R38" s="6">
        <v>2</v>
      </c>
      <c r="S38" s="6">
        <v>41.94</v>
      </c>
      <c r="T38" s="6">
        <v>32</v>
      </c>
      <c r="U38" s="6">
        <v>1</v>
      </c>
      <c r="V38" s="6">
        <v>0</v>
      </c>
      <c r="W38" s="6">
        <v>0</v>
      </c>
      <c r="X38" s="6">
        <v>0</v>
      </c>
      <c r="Y38" s="6">
        <v>0</v>
      </c>
      <c r="Z38" s="6">
        <v>69</v>
      </c>
      <c r="AA38" s="6">
        <v>516</v>
      </c>
      <c r="AB38" s="6">
        <v>23.06</v>
      </c>
      <c r="AC38" s="6">
        <v>311</v>
      </c>
      <c r="AD38" s="6">
        <v>150</v>
      </c>
      <c r="AE38" s="6">
        <v>24</v>
      </c>
      <c r="AF38" s="6">
        <v>12</v>
      </c>
      <c r="AG38" s="6">
        <v>18</v>
      </c>
      <c r="AH38" s="6">
        <f t="shared" si="31"/>
        <v>4</v>
      </c>
      <c r="AI38" s="6">
        <f t="shared" si="32"/>
        <v>14</v>
      </c>
      <c r="AJ38" s="6">
        <f t="shared" si="33"/>
        <v>13</v>
      </c>
      <c r="AK38" s="6">
        <f t="shared" si="34"/>
        <v>13</v>
      </c>
    </row>
    <row r="39" spans="1:37" hidden="1" x14ac:dyDescent="0.25">
      <c r="A39" s="118">
        <v>14</v>
      </c>
      <c r="B39" s="1" t="s">
        <v>116</v>
      </c>
      <c r="C39" s="6">
        <v>26</v>
      </c>
      <c r="D39" s="6">
        <v>2</v>
      </c>
      <c r="E39" s="6">
        <v>0</v>
      </c>
      <c r="F39" s="6">
        <v>3</v>
      </c>
      <c r="G39" s="6">
        <v>21</v>
      </c>
      <c r="H39" s="6">
        <v>9</v>
      </c>
      <c r="I39" s="6">
        <v>93</v>
      </c>
      <c r="J39" s="6">
        <v>192</v>
      </c>
      <c r="K39" s="6">
        <v>-99</v>
      </c>
      <c r="L39" s="6">
        <v>51</v>
      </c>
      <c r="M39" s="6">
        <v>11</v>
      </c>
      <c r="N39" s="6">
        <v>6</v>
      </c>
      <c r="O39" s="6">
        <v>21.57</v>
      </c>
      <c r="P39" s="6">
        <v>55</v>
      </c>
      <c r="Q39" s="6">
        <v>21</v>
      </c>
      <c r="R39" s="6">
        <v>2</v>
      </c>
      <c r="S39" s="6">
        <v>61.82</v>
      </c>
      <c r="T39" s="6">
        <v>61</v>
      </c>
      <c r="U39" s="6">
        <v>1</v>
      </c>
      <c r="V39" s="6">
        <v>0</v>
      </c>
      <c r="W39" s="6">
        <v>0</v>
      </c>
      <c r="X39" s="6">
        <v>0</v>
      </c>
      <c r="Y39" s="6">
        <v>0</v>
      </c>
      <c r="Z39" s="6">
        <v>127</v>
      </c>
      <c r="AA39" s="6">
        <v>514</v>
      </c>
      <c r="AB39" s="6">
        <v>18.09</v>
      </c>
      <c r="AC39" s="6">
        <v>275</v>
      </c>
      <c r="AD39" s="6">
        <v>113</v>
      </c>
      <c r="AE39" s="6">
        <v>21</v>
      </c>
      <c r="AF39" s="6">
        <v>9</v>
      </c>
      <c r="AG39" s="6">
        <v>15</v>
      </c>
      <c r="AH39" s="6">
        <f t="shared" si="31"/>
        <v>13</v>
      </c>
      <c r="AI39" s="6">
        <f t="shared" si="32"/>
        <v>7</v>
      </c>
      <c r="AJ39" s="6">
        <f t="shared" si="33"/>
        <v>3</v>
      </c>
      <c r="AK39" s="6">
        <f t="shared" si="34"/>
        <v>14</v>
      </c>
    </row>
    <row r="40" spans="1:37" hidden="1"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row>
    <row r="41" spans="1:37" hidden="1"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row>
    <row r="42" spans="1:37" hidden="1" x14ac:dyDescent="0.25">
      <c r="A42" s="143" t="s">
        <v>149</v>
      </c>
      <c r="B42" s="1" t="s">
        <v>111</v>
      </c>
    </row>
    <row r="43" spans="1:37" hidden="1" x14ac:dyDescent="0.25">
      <c r="A43" s="143" t="s">
        <v>143</v>
      </c>
      <c r="B43" s="1" t="s">
        <v>107</v>
      </c>
    </row>
    <row r="44" spans="1:37" hidden="1" x14ac:dyDescent="0.25">
      <c r="A44" s="143" t="s">
        <v>152</v>
      </c>
      <c r="B44" s="1" t="s">
        <v>114</v>
      </c>
    </row>
    <row r="45" spans="1:37" hidden="1" x14ac:dyDescent="0.25">
      <c r="A45" s="143" t="s">
        <v>151</v>
      </c>
      <c r="B45" s="1" t="s">
        <v>113</v>
      </c>
    </row>
    <row r="46" spans="1:37" hidden="1" x14ac:dyDescent="0.25">
      <c r="A46" s="143" t="s">
        <v>145</v>
      </c>
      <c r="B46" s="1" t="s">
        <v>108</v>
      </c>
    </row>
    <row r="47" spans="1:37" hidden="1" x14ac:dyDescent="0.25">
      <c r="A47" s="143" t="s">
        <v>144</v>
      </c>
      <c r="B47" s="1" t="s">
        <v>112</v>
      </c>
    </row>
    <row r="48" spans="1:37" hidden="1" x14ac:dyDescent="0.25">
      <c r="A48" s="143" t="s">
        <v>150</v>
      </c>
      <c r="B48" s="1" t="s">
        <v>105</v>
      </c>
    </row>
    <row r="49" spans="1:2" hidden="1" x14ac:dyDescent="0.25">
      <c r="A49" s="143" t="s">
        <v>146</v>
      </c>
      <c r="B49" s="1" t="s">
        <v>109</v>
      </c>
    </row>
    <row r="50" spans="1:2" hidden="1" x14ac:dyDescent="0.25">
      <c r="A50" s="143" t="s">
        <v>153</v>
      </c>
      <c r="B50" s="1" t="s">
        <v>116</v>
      </c>
    </row>
    <row r="51" spans="1:2" hidden="1" x14ac:dyDescent="0.25">
      <c r="A51" s="143" t="s">
        <v>147</v>
      </c>
      <c r="B51" s="1" t="s">
        <v>115</v>
      </c>
    </row>
    <row r="52" spans="1:2" hidden="1" x14ac:dyDescent="0.25">
      <c r="A52" s="143" t="s">
        <v>29</v>
      </c>
      <c r="B52" s="1" t="s">
        <v>117</v>
      </c>
    </row>
    <row r="53" spans="1:2" hidden="1" x14ac:dyDescent="0.25">
      <c r="A53" s="143" t="s">
        <v>148</v>
      </c>
      <c r="B53" s="1" t="s">
        <v>110</v>
      </c>
    </row>
    <row r="54" spans="1:2" hidden="1" x14ac:dyDescent="0.25">
      <c r="A54" s="143" t="s">
        <v>142</v>
      </c>
      <c r="B54" s="1" t="s">
        <v>106</v>
      </c>
    </row>
    <row r="55" spans="1:2" hidden="1" x14ac:dyDescent="0.25">
      <c r="A55" s="143" t="s">
        <v>141</v>
      </c>
      <c r="B55" s="1" t="s">
        <v>104</v>
      </c>
    </row>
  </sheetData>
  <sheetProtection algorithmName="SHA-512" hashValue="wF2k1I7iYD50o2sJlfpXNLJnsWfRVEtTQ7uUfWlh+H0F+QCvfdlz+SyBtPpPu3TL7RoegFk9NZw/Z5ZHq6pC+Q==" saltValue="q/mEkWZtylI1LHhf4m9qrQ==" spinCount="100000" sheet="1" objects="1" scenarios="1" selectLockedCells="1"/>
  <sortState ref="A41:B54">
    <sortCondition ref="A41:A54"/>
  </sortState>
  <pageMargins left="0.25" right="0.25" top="0.75" bottom="0.75" header="0.3" footer="0.3"/>
  <pageSetup paperSize="9" orientation="landscape" r:id="rId1"/>
  <headerFooter>
    <oddHeader>&amp;C&amp;"Bahnschrift,Tučné"&amp;22Tabulka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zoomScaleNormal="100" workbookViewId="0">
      <selection activeCell="B48" sqref="B48"/>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439</v>
      </c>
      <c r="Q1" s="115" t="s">
        <v>47</v>
      </c>
    </row>
    <row r="2" spans="1:19" s="4" customFormat="1" ht="15" customHeight="1" x14ac:dyDescent="0.25">
      <c r="A2" s="53">
        <v>1</v>
      </c>
      <c r="B2" s="4" t="s">
        <v>14</v>
      </c>
      <c r="D2" s="5" t="s">
        <v>51</v>
      </c>
      <c r="E2" s="5">
        <v>25</v>
      </c>
      <c r="F2" s="5">
        <v>18</v>
      </c>
      <c r="G2" s="5">
        <v>2</v>
      </c>
      <c r="H2" s="5">
        <v>1</v>
      </c>
      <c r="I2" s="5">
        <v>13</v>
      </c>
      <c r="J2" s="5">
        <v>31</v>
      </c>
      <c r="K2" s="5">
        <v>10</v>
      </c>
      <c r="L2" s="5">
        <v>46</v>
      </c>
      <c r="M2" s="5">
        <v>69</v>
      </c>
      <c r="N2" s="5">
        <v>-23</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31 (18+13), -23 ±</v>
      </c>
      <c r="P2" s="5" t="str">
        <f>IF(B2&lt;&gt;0,IF(IFERROR(VLOOKUP(B2,$B$48:$B$82,1,FALSE)=B2,FALSE),"ANO","NE"),"")</f>
        <v>ANO</v>
      </c>
      <c r="Q2" s="142" t="s">
        <v>681</v>
      </c>
      <c r="S2" s="5"/>
    </row>
    <row r="3" spans="1:19" s="4" customFormat="1" ht="15" customHeight="1" x14ac:dyDescent="0.25">
      <c r="A3" s="53">
        <v>2</v>
      </c>
      <c r="B3" s="4" t="s">
        <v>21</v>
      </c>
      <c r="D3" s="5" t="s">
        <v>51</v>
      </c>
      <c r="E3" s="5">
        <v>26</v>
      </c>
      <c r="F3" s="5">
        <v>19</v>
      </c>
      <c r="G3" s="5">
        <v>6</v>
      </c>
      <c r="H3" s="5">
        <v>0</v>
      </c>
      <c r="I3" s="5">
        <v>7</v>
      </c>
      <c r="J3" s="5">
        <v>26</v>
      </c>
      <c r="K3" s="5">
        <v>2</v>
      </c>
      <c r="L3" s="5">
        <v>31</v>
      </c>
      <c r="M3" s="5">
        <v>53</v>
      </c>
      <c r="N3" s="5">
        <v>-22</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26 (19+7), -22 ±</v>
      </c>
      <c r="P3" s="5" t="str">
        <f t="shared" ref="P3:P36" si="1">IF(B3&lt;&gt;0,IF(IFERROR(VLOOKUP(B3,$B$48:$B$82,1,FALSE)=B3,FALSE),"ANO","NE"),"")</f>
        <v>ANO</v>
      </c>
      <c r="Q3" s="142" t="s">
        <v>401</v>
      </c>
      <c r="S3" s="5"/>
    </row>
    <row r="4" spans="1:19" s="4" customFormat="1" ht="15" customHeight="1" x14ac:dyDescent="0.25">
      <c r="A4" s="53">
        <v>3</v>
      </c>
      <c r="B4" s="4" t="s">
        <v>20</v>
      </c>
      <c r="D4" s="5"/>
      <c r="E4" s="5">
        <v>26</v>
      </c>
      <c r="F4" s="5">
        <v>8</v>
      </c>
      <c r="G4" s="5">
        <v>0</v>
      </c>
      <c r="H4" s="5">
        <v>0</v>
      </c>
      <c r="I4" s="5">
        <v>13</v>
      </c>
      <c r="J4" s="5">
        <v>21</v>
      </c>
      <c r="K4" s="5">
        <v>15</v>
      </c>
      <c r="L4" s="5">
        <v>37</v>
      </c>
      <c r="M4" s="5">
        <v>50</v>
      </c>
      <c r="N4" s="5">
        <v>-13</v>
      </c>
      <c r="O4" s="161" t="str">
        <f t="shared" si="0"/>
        <v>26 OZ , 21 (8+13), -13 ±</v>
      </c>
      <c r="P4" s="5" t="str">
        <f t="shared" si="1"/>
        <v>ANO</v>
      </c>
      <c r="Q4" s="142" t="s">
        <v>30</v>
      </c>
      <c r="S4" s="5"/>
    </row>
    <row r="5" spans="1:19" s="4" customFormat="1" ht="15" customHeight="1" x14ac:dyDescent="0.25">
      <c r="A5" s="53">
        <v>4</v>
      </c>
      <c r="B5" s="4" t="s">
        <v>12</v>
      </c>
      <c r="D5" s="5" t="s">
        <v>51</v>
      </c>
      <c r="E5" s="5">
        <v>24</v>
      </c>
      <c r="F5" s="5">
        <v>11</v>
      </c>
      <c r="G5" s="5">
        <v>3</v>
      </c>
      <c r="H5" s="5">
        <v>0</v>
      </c>
      <c r="I5" s="5">
        <v>9</v>
      </c>
      <c r="J5" s="5">
        <v>20</v>
      </c>
      <c r="K5" s="5">
        <v>0</v>
      </c>
      <c r="L5" s="5">
        <v>34</v>
      </c>
      <c r="M5" s="5">
        <v>42</v>
      </c>
      <c r="N5" s="5">
        <v>-8</v>
      </c>
      <c r="O5" s="161" t="str">
        <f t="shared" si="0"/>
        <v>24 OZ , 20 (11+9), -8 ±</v>
      </c>
      <c r="P5" s="5" t="str">
        <f t="shared" si="1"/>
        <v>ANO</v>
      </c>
      <c r="Q5" s="142" t="s">
        <v>958</v>
      </c>
      <c r="S5" s="5"/>
    </row>
    <row r="6" spans="1:19" ht="15" customHeight="1" x14ac:dyDescent="0.25">
      <c r="A6" s="54">
        <v>5</v>
      </c>
      <c r="B6" s="1" t="s">
        <v>2</v>
      </c>
      <c r="D6" s="212"/>
      <c r="E6" s="212">
        <v>13</v>
      </c>
      <c r="F6" s="212">
        <v>6</v>
      </c>
      <c r="G6" s="212">
        <v>0</v>
      </c>
      <c r="H6" s="212">
        <v>0</v>
      </c>
      <c r="I6" s="212">
        <v>10</v>
      </c>
      <c r="J6" s="212">
        <v>16</v>
      </c>
      <c r="K6" s="212">
        <v>0</v>
      </c>
      <c r="L6" s="212">
        <v>23</v>
      </c>
      <c r="M6" s="212">
        <v>40</v>
      </c>
      <c r="N6" s="212">
        <v>-17</v>
      </c>
      <c r="O6" s="161" t="str">
        <f t="shared" si="0"/>
        <v>13 OZ , 16 (6+10), -17 ±</v>
      </c>
      <c r="P6" s="5" t="str">
        <f t="shared" si="1"/>
        <v>ANO</v>
      </c>
    </row>
    <row r="7" spans="1:19" ht="15" customHeight="1" x14ac:dyDescent="0.25">
      <c r="A7" s="54">
        <v>6</v>
      </c>
      <c r="B7" s="1" t="s">
        <v>3</v>
      </c>
      <c r="D7" s="212" t="s">
        <v>51</v>
      </c>
      <c r="E7" s="212">
        <v>26</v>
      </c>
      <c r="F7" s="212">
        <v>10</v>
      </c>
      <c r="G7" s="212">
        <v>0</v>
      </c>
      <c r="H7" s="212">
        <v>0</v>
      </c>
      <c r="I7" s="212">
        <v>5</v>
      </c>
      <c r="J7" s="212">
        <v>15</v>
      </c>
      <c r="K7" s="212">
        <v>4</v>
      </c>
      <c r="L7" s="212">
        <v>27</v>
      </c>
      <c r="M7" s="212">
        <v>36</v>
      </c>
      <c r="N7" s="212">
        <v>-9</v>
      </c>
      <c r="O7" s="161" t="str">
        <f t="shared" si="0"/>
        <v>26 OZ , 15 (10+5), -9 ±</v>
      </c>
      <c r="P7" s="5" t="str">
        <f t="shared" si="1"/>
        <v>ANO</v>
      </c>
    </row>
    <row r="8" spans="1:19" ht="15" customHeight="1" x14ac:dyDescent="0.25">
      <c r="A8" s="54">
        <v>7</v>
      </c>
      <c r="B8" s="1" t="s">
        <v>56</v>
      </c>
      <c r="D8" s="212" t="s">
        <v>48</v>
      </c>
      <c r="E8" s="212">
        <v>26</v>
      </c>
      <c r="F8" s="212">
        <v>8</v>
      </c>
      <c r="G8" s="212">
        <v>4</v>
      </c>
      <c r="H8" s="212">
        <v>0</v>
      </c>
      <c r="I8" s="212">
        <v>6</v>
      </c>
      <c r="J8" s="212">
        <v>14</v>
      </c>
      <c r="K8" s="212">
        <v>6</v>
      </c>
      <c r="L8" s="212">
        <v>44</v>
      </c>
      <c r="M8" s="212">
        <v>66</v>
      </c>
      <c r="N8" s="212">
        <v>-22</v>
      </c>
      <c r="O8" s="161" t="str">
        <f t="shared" si="0"/>
        <v>26 OZ , 14 (8+6), -22 ±</v>
      </c>
      <c r="P8" s="5" t="str">
        <f t="shared" si="1"/>
        <v>ANO</v>
      </c>
    </row>
    <row r="9" spans="1:19" ht="15" customHeight="1" x14ac:dyDescent="0.25">
      <c r="A9" s="54">
        <v>8</v>
      </c>
      <c r="B9" s="1" t="s">
        <v>19</v>
      </c>
      <c r="D9" s="212" t="s">
        <v>51</v>
      </c>
      <c r="E9" s="212">
        <v>21</v>
      </c>
      <c r="F9" s="212">
        <v>4</v>
      </c>
      <c r="G9" s="212">
        <v>0</v>
      </c>
      <c r="H9" s="212">
        <v>0</v>
      </c>
      <c r="I9" s="212">
        <v>9</v>
      </c>
      <c r="J9" s="212">
        <v>13</v>
      </c>
      <c r="K9" s="212">
        <v>0</v>
      </c>
      <c r="L9" s="212">
        <v>17</v>
      </c>
      <c r="M9" s="212">
        <v>29</v>
      </c>
      <c r="N9" s="212">
        <v>-12</v>
      </c>
      <c r="O9" s="161" t="str">
        <f t="shared" si="0"/>
        <v>21 OZ , 13 (4+9), -12 ±</v>
      </c>
      <c r="P9" s="5" t="str">
        <f t="shared" si="1"/>
        <v>ANO</v>
      </c>
    </row>
    <row r="10" spans="1:19" ht="15" customHeight="1" x14ac:dyDescent="0.25">
      <c r="A10" s="54">
        <v>9</v>
      </c>
      <c r="B10" s="1" t="s">
        <v>4</v>
      </c>
      <c r="D10" s="212" t="s">
        <v>48</v>
      </c>
      <c r="E10" s="212">
        <v>26</v>
      </c>
      <c r="F10" s="212">
        <v>8</v>
      </c>
      <c r="G10" s="212">
        <v>0</v>
      </c>
      <c r="H10" s="212">
        <v>1</v>
      </c>
      <c r="I10" s="212">
        <v>4</v>
      </c>
      <c r="J10" s="212">
        <v>12</v>
      </c>
      <c r="K10" s="212">
        <v>4</v>
      </c>
      <c r="L10" s="212">
        <v>31</v>
      </c>
      <c r="M10" s="212">
        <v>44</v>
      </c>
      <c r="N10" s="212">
        <v>-13</v>
      </c>
      <c r="O10" s="161" t="str">
        <f t="shared" si="0"/>
        <v>26 OZ , 12 (8+4), -13 ±</v>
      </c>
      <c r="P10" s="5" t="str">
        <f t="shared" si="1"/>
        <v>ANO</v>
      </c>
    </row>
    <row r="11" spans="1:19" ht="15" customHeight="1" x14ac:dyDescent="0.25">
      <c r="A11" s="54">
        <v>10</v>
      </c>
      <c r="B11" s="1" t="s">
        <v>26</v>
      </c>
      <c r="D11" s="212" t="s">
        <v>48</v>
      </c>
      <c r="E11" s="212">
        <v>25</v>
      </c>
      <c r="F11" s="212">
        <v>6</v>
      </c>
      <c r="G11" s="212">
        <v>0</v>
      </c>
      <c r="H11" s="212">
        <v>0</v>
      </c>
      <c r="I11" s="212">
        <v>2</v>
      </c>
      <c r="J11" s="212">
        <v>8</v>
      </c>
      <c r="K11" s="212">
        <v>0</v>
      </c>
      <c r="L11" s="212">
        <v>22</v>
      </c>
      <c r="M11" s="212">
        <v>27</v>
      </c>
      <c r="N11" s="212">
        <v>-5</v>
      </c>
      <c r="O11" s="161" t="str">
        <f t="shared" si="0"/>
        <v>25 OZ , 8 (6+2), -5 ±</v>
      </c>
      <c r="P11" s="5" t="str">
        <f t="shared" si="1"/>
        <v>ANO</v>
      </c>
    </row>
    <row r="12" spans="1:19" ht="15" customHeight="1" x14ac:dyDescent="0.25">
      <c r="A12" s="54">
        <v>11</v>
      </c>
      <c r="B12" s="1" t="s">
        <v>31</v>
      </c>
      <c r="D12" s="212"/>
      <c r="E12" s="212">
        <v>21</v>
      </c>
      <c r="F12" s="212">
        <v>0</v>
      </c>
      <c r="G12" s="212">
        <v>0</v>
      </c>
      <c r="H12" s="212">
        <v>0</v>
      </c>
      <c r="I12" s="212">
        <v>8</v>
      </c>
      <c r="J12" s="212">
        <v>8</v>
      </c>
      <c r="K12" s="212">
        <v>2</v>
      </c>
      <c r="L12" s="212">
        <v>16</v>
      </c>
      <c r="M12" s="212">
        <v>26</v>
      </c>
      <c r="N12" s="212">
        <v>-10</v>
      </c>
      <c r="O12" s="161" t="str">
        <f t="shared" si="0"/>
        <v>21 OZ , 8 (0+8), -10 ±</v>
      </c>
      <c r="P12" s="5" t="str">
        <f t="shared" si="1"/>
        <v>ANO</v>
      </c>
    </row>
    <row r="13" spans="1:19" ht="15" customHeight="1" x14ac:dyDescent="0.25">
      <c r="A13" s="54">
        <v>12</v>
      </c>
      <c r="B13" s="1" t="s">
        <v>280</v>
      </c>
      <c r="D13" s="212"/>
      <c r="E13" s="212">
        <v>12</v>
      </c>
      <c r="F13" s="212">
        <v>4</v>
      </c>
      <c r="G13" s="212">
        <v>0</v>
      </c>
      <c r="H13" s="212">
        <v>0</v>
      </c>
      <c r="I13" s="212">
        <v>3</v>
      </c>
      <c r="J13" s="212">
        <v>7</v>
      </c>
      <c r="K13" s="212">
        <v>0</v>
      </c>
      <c r="L13" s="212">
        <v>17</v>
      </c>
      <c r="M13" s="212">
        <v>29</v>
      </c>
      <c r="N13" s="212">
        <v>-12</v>
      </c>
      <c r="O13" s="161" t="str">
        <f t="shared" si="0"/>
        <v>20 OZ , 8 (4+4), -12 ±</v>
      </c>
      <c r="P13" s="5" t="str">
        <f t="shared" si="1"/>
        <v>ANO</v>
      </c>
    </row>
    <row r="14" spans="1:19" ht="15" customHeight="1" x14ac:dyDescent="0.25">
      <c r="A14" s="54">
        <v>13</v>
      </c>
      <c r="B14" s="1" t="s">
        <v>17</v>
      </c>
      <c r="D14" s="212" t="s">
        <v>51</v>
      </c>
      <c r="E14" s="212">
        <v>24</v>
      </c>
      <c r="F14" s="212">
        <v>4</v>
      </c>
      <c r="G14" s="212">
        <v>0</v>
      </c>
      <c r="H14" s="212">
        <v>0</v>
      </c>
      <c r="I14" s="212">
        <v>3</v>
      </c>
      <c r="J14" s="212">
        <v>7</v>
      </c>
      <c r="K14" s="212">
        <v>6</v>
      </c>
      <c r="L14" s="212">
        <v>20</v>
      </c>
      <c r="M14" s="212">
        <v>38</v>
      </c>
      <c r="N14" s="212">
        <v>-18</v>
      </c>
      <c r="O14" s="161" t="str">
        <f t="shared" si="0"/>
        <v>24 OZ , 7 (4+3), -18 ±</v>
      </c>
      <c r="P14" s="5" t="str">
        <f t="shared" si="1"/>
        <v>ANO</v>
      </c>
    </row>
    <row r="15" spans="1:19" ht="15" customHeight="1" x14ac:dyDescent="0.25">
      <c r="A15" s="54">
        <v>14</v>
      </c>
      <c r="B15" s="1" t="s">
        <v>10</v>
      </c>
      <c r="D15" s="212" t="s">
        <v>51</v>
      </c>
      <c r="E15" s="212">
        <v>16</v>
      </c>
      <c r="F15" s="212">
        <v>1</v>
      </c>
      <c r="G15" s="212">
        <v>0</v>
      </c>
      <c r="H15" s="212">
        <v>0</v>
      </c>
      <c r="I15" s="212">
        <v>6</v>
      </c>
      <c r="J15" s="212">
        <v>7</v>
      </c>
      <c r="K15" s="212">
        <v>8</v>
      </c>
      <c r="L15" s="212">
        <v>20</v>
      </c>
      <c r="M15" s="212">
        <v>22</v>
      </c>
      <c r="N15" s="212">
        <v>-2</v>
      </c>
      <c r="O15" s="161" t="str">
        <f t="shared" si="0"/>
        <v>16 OZ , 7 (1+6), -2 ±</v>
      </c>
      <c r="P15" s="5" t="str">
        <f t="shared" si="1"/>
        <v>ANO</v>
      </c>
    </row>
    <row r="16" spans="1:19" ht="15" customHeight="1" x14ac:dyDescent="0.25">
      <c r="A16" s="54">
        <v>15</v>
      </c>
      <c r="B16" s="1" t="s">
        <v>5</v>
      </c>
      <c r="D16" s="212"/>
      <c r="E16" s="212">
        <v>25</v>
      </c>
      <c r="F16" s="212">
        <v>4</v>
      </c>
      <c r="G16" s="212">
        <v>0</v>
      </c>
      <c r="H16" s="212">
        <v>0</v>
      </c>
      <c r="I16" s="212">
        <v>2</v>
      </c>
      <c r="J16" s="212">
        <v>6</v>
      </c>
      <c r="K16" s="212">
        <v>0</v>
      </c>
      <c r="L16" s="212">
        <v>26</v>
      </c>
      <c r="M16" s="212">
        <v>56</v>
      </c>
      <c r="N16" s="212">
        <v>-30</v>
      </c>
      <c r="O16" s="161" t="str">
        <f t="shared" si="0"/>
        <v>25 OZ , 6 (4+2), -30 ±</v>
      </c>
      <c r="P16" s="5" t="str">
        <f t="shared" si="1"/>
        <v>ANO</v>
      </c>
    </row>
    <row r="17" spans="1:19" ht="15" customHeight="1" x14ac:dyDescent="0.25">
      <c r="A17" s="54">
        <v>16</v>
      </c>
      <c r="B17" s="1" t="s">
        <v>181</v>
      </c>
      <c r="D17" s="212"/>
      <c r="E17" s="212">
        <v>2</v>
      </c>
      <c r="F17" s="212">
        <v>3</v>
      </c>
      <c r="G17" s="212">
        <v>0</v>
      </c>
      <c r="H17" s="212">
        <v>0</v>
      </c>
      <c r="I17" s="212">
        <v>0</v>
      </c>
      <c r="J17" s="212">
        <v>3</v>
      </c>
      <c r="K17" s="212">
        <v>0</v>
      </c>
      <c r="L17" s="212">
        <v>3</v>
      </c>
      <c r="M17" s="212">
        <v>4</v>
      </c>
      <c r="N17" s="212">
        <v>-1</v>
      </c>
      <c r="O17" s="161" t="str">
        <f t="shared" si="0"/>
        <v>5 OZ , 3 (3+0), 0 ±</v>
      </c>
      <c r="P17" s="5" t="str">
        <f t="shared" si="1"/>
        <v>ANO</v>
      </c>
    </row>
    <row r="18" spans="1:19" ht="15" customHeight="1" x14ac:dyDescent="0.25">
      <c r="A18" s="54">
        <v>17</v>
      </c>
      <c r="B18" s="1" t="s">
        <v>52</v>
      </c>
      <c r="D18" s="212"/>
      <c r="E18" s="212">
        <v>18</v>
      </c>
      <c r="F18" s="212">
        <v>2</v>
      </c>
      <c r="G18" s="212">
        <v>0</v>
      </c>
      <c r="H18" s="212">
        <v>0</v>
      </c>
      <c r="I18" s="212">
        <v>1</v>
      </c>
      <c r="J18" s="212">
        <v>3</v>
      </c>
      <c r="K18" s="212">
        <v>0</v>
      </c>
      <c r="L18" s="212">
        <v>11</v>
      </c>
      <c r="M18" s="212">
        <v>20</v>
      </c>
      <c r="N18" s="212">
        <v>-9</v>
      </c>
      <c r="O18" s="161" t="str">
        <f t="shared" si="0"/>
        <v>18 OZ , 3 (2+1), -9 ±</v>
      </c>
      <c r="P18" s="5" t="str">
        <f t="shared" si="1"/>
        <v>ANO</v>
      </c>
    </row>
    <row r="19" spans="1:19" ht="15" customHeight="1" x14ac:dyDescent="0.25">
      <c r="A19" s="54">
        <v>18</v>
      </c>
      <c r="B19" s="1" t="s">
        <v>23</v>
      </c>
      <c r="D19" s="212" t="s">
        <v>48</v>
      </c>
      <c r="E19" s="212">
        <v>23</v>
      </c>
      <c r="F19" s="212">
        <v>1</v>
      </c>
      <c r="G19" s="212">
        <v>0</v>
      </c>
      <c r="H19" s="212">
        <v>0</v>
      </c>
      <c r="I19" s="212">
        <v>1</v>
      </c>
      <c r="J19" s="212">
        <v>2</v>
      </c>
      <c r="K19" s="212">
        <v>2</v>
      </c>
      <c r="L19" s="212">
        <v>28</v>
      </c>
      <c r="M19" s="212">
        <v>43</v>
      </c>
      <c r="N19" s="212">
        <v>-15</v>
      </c>
      <c r="O19" s="161" t="str">
        <f t="shared" si="0"/>
        <v>23 OZ , 2 (1+1), -15 ±</v>
      </c>
      <c r="P19" s="5" t="str">
        <f t="shared" si="1"/>
        <v>ANO</v>
      </c>
    </row>
    <row r="20" spans="1:19" ht="15" customHeight="1" x14ac:dyDescent="0.25">
      <c r="A20" s="54">
        <v>19</v>
      </c>
      <c r="B20" s="1" t="s">
        <v>0</v>
      </c>
      <c r="D20" s="212" t="s">
        <v>48</v>
      </c>
      <c r="E20" s="212">
        <v>9</v>
      </c>
      <c r="F20" s="212">
        <v>0</v>
      </c>
      <c r="G20" s="212">
        <v>0</v>
      </c>
      <c r="H20" s="212">
        <v>0</v>
      </c>
      <c r="I20" s="212">
        <v>2</v>
      </c>
      <c r="J20" s="212">
        <v>2</v>
      </c>
      <c r="K20" s="212">
        <v>4</v>
      </c>
      <c r="L20" s="212">
        <v>4</v>
      </c>
      <c r="M20" s="212">
        <v>17</v>
      </c>
      <c r="N20" s="212">
        <v>-13</v>
      </c>
      <c r="O20" s="161" t="str">
        <f t="shared" si="0"/>
        <v>13 OZ , 3 (0+3), -12 ±</v>
      </c>
      <c r="P20" s="5" t="str">
        <f t="shared" si="1"/>
        <v>ANO</v>
      </c>
    </row>
    <row r="21" spans="1:19" ht="15" customHeight="1" x14ac:dyDescent="0.25">
      <c r="A21" s="54">
        <v>20</v>
      </c>
      <c r="B21" s="1" t="s">
        <v>893</v>
      </c>
      <c r="D21" s="212" t="s">
        <v>51</v>
      </c>
      <c r="E21" s="212">
        <v>2</v>
      </c>
      <c r="F21" s="212">
        <v>1</v>
      </c>
      <c r="G21" s="212">
        <v>0</v>
      </c>
      <c r="H21" s="212">
        <v>0</v>
      </c>
      <c r="I21" s="212">
        <v>0</v>
      </c>
      <c r="J21" s="212">
        <v>1</v>
      </c>
      <c r="K21" s="212">
        <v>0</v>
      </c>
      <c r="L21" s="212">
        <v>2</v>
      </c>
      <c r="M21" s="212">
        <v>2</v>
      </c>
      <c r="N21" s="212">
        <v>0</v>
      </c>
      <c r="O21" s="161" t="str">
        <f t="shared" si="0"/>
        <v>2 OZ , 1 (1+0), 0 ±</v>
      </c>
      <c r="P21" s="5" t="str">
        <f t="shared" si="1"/>
        <v>ANO</v>
      </c>
    </row>
    <row r="22" spans="1:19" ht="15" customHeight="1" x14ac:dyDescent="0.25">
      <c r="A22" s="54">
        <v>21</v>
      </c>
      <c r="B22" s="1" t="s">
        <v>50</v>
      </c>
      <c r="D22" s="212"/>
      <c r="E22" s="212">
        <v>3</v>
      </c>
      <c r="F22" s="212">
        <v>1</v>
      </c>
      <c r="G22" s="212">
        <v>0</v>
      </c>
      <c r="H22" s="212">
        <v>0</v>
      </c>
      <c r="I22" s="212">
        <v>0</v>
      </c>
      <c r="J22" s="212">
        <v>1</v>
      </c>
      <c r="K22" s="212">
        <v>0</v>
      </c>
      <c r="L22" s="212">
        <v>1</v>
      </c>
      <c r="M22" s="212">
        <v>0</v>
      </c>
      <c r="N22" s="212">
        <v>1</v>
      </c>
      <c r="O22" s="161" t="str">
        <f t="shared" si="0"/>
        <v>3 OZ , 1 (1+0), +1 ±</v>
      </c>
      <c r="P22" s="5" t="str">
        <f t="shared" si="1"/>
        <v>ANO</v>
      </c>
    </row>
    <row r="23" spans="1:19" ht="15" customHeight="1" x14ac:dyDescent="0.25">
      <c r="A23" s="54">
        <v>22</v>
      </c>
      <c r="B23" s="1" t="s">
        <v>24</v>
      </c>
      <c r="D23" s="212" t="s">
        <v>48</v>
      </c>
      <c r="E23" s="212">
        <v>24</v>
      </c>
      <c r="F23" s="212">
        <v>0</v>
      </c>
      <c r="G23" s="212">
        <v>0</v>
      </c>
      <c r="H23" s="212">
        <v>0</v>
      </c>
      <c r="I23" s="212">
        <v>1</v>
      </c>
      <c r="J23" s="212">
        <v>1</v>
      </c>
      <c r="K23" s="212">
        <v>2</v>
      </c>
      <c r="L23" s="212">
        <v>6</v>
      </c>
      <c r="M23" s="212">
        <v>18</v>
      </c>
      <c r="N23" s="212">
        <v>-12</v>
      </c>
      <c r="O23" s="161" t="str">
        <f t="shared" si="0"/>
        <v>24 OZ , 1 (0+1), -12 ±</v>
      </c>
      <c r="P23" s="5" t="str">
        <f t="shared" si="1"/>
        <v>ANO</v>
      </c>
    </row>
    <row r="24" spans="1:19" ht="15" customHeight="1" x14ac:dyDescent="0.25">
      <c r="A24" s="54">
        <v>23</v>
      </c>
      <c r="B24" s="1" t="s">
        <v>53</v>
      </c>
      <c r="D24" s="212"/>
      <c r="E24" s="212">
        <v>2</v>
      </c>
      <c r="F24" s="212">
        <v>0</v>
      </c>
      <c r="G24" s="212">
        <v>0</v>
      </c>
      <c r="H24" s="212">
        <v>0</v>
      </c>
      <c r="I24" s="212">
        <v>0</v>
      </c>
      <c r="J24" s="212">
        <v>0</v>
      </c>
      <c r="K24" s="212">
        <v>0</v>
      </c>
      <c r="L24" s="212">
        <v>0</v>
      </c>
      <c r="M24" s="212">
        <v>0</v>
      </c>
      <c r="N24" s="212">
        <v>0</v>
      </c>
      <c r="O24" s="161" t="str">
        <f t="shared" si="0"/>
        <v>2 OZ , 0 (0+0), 0 ±</v>
      </c>
      <c r="P24" s="5" t="str">
        <f t="shared" si="1"/>
        <v>ANO</v>
      </c>
    </row>
    <row r="25" spans="1:19" ht="15" customHeight="1" x14ac:dyDescent="0.25">
      <c r="A25" s="54">
        <v>24</v>
      </c>
      <c r="B25" s="1" t="s">
        <v>590</v>
      </c>
      <c r="D25" s="212"/>
      <c r="E25" s="212">
        <v>2</v>
      </c>
      <c r="F25" s="212">
        <v>0</v>
      </c>
      <c r="G25" s="212">
        <v>0</v>
      </c>
      <c r="H25" s="212">
        <v>0</v>
      </c>
      <c r="I25" s="212">
        <v>0</v>
      </c>
      <c r="J25" s="212">
        <v>0</v>
      </c>
      <c r="K25" s="212">
        <v>0</v>
      </c>
      <c r="L25" s="212">
        <v>0</v>
      </c>
      <c r="M25" s="212">
        <v>1</v>
      </c>
      <c r="N25" s="212">
        <v>-1</v>
      </c>
      <c r="O25" s="161" t="str">
        <f t="shared" si="0"/>
        <v>2 OZ , 0 (0+0), -1 ±</v>
      </c>
      <c r="P25" s="5" t="str">
        <f t="shared" si="1"/>
        <v>ANO</v>
      </c>
    </row>
    <row r="26" spans="1:19" ht="15" customHeight="1" x14ac:dyDescent="0.25">
      <c r="A26" s="54">
        <v>25</v>
      </c>
      <c r="B26" s="1" t="s">
        <v>57</v>
      </c>
      <c r="D26" s="212" t="s">
        <v>35</v>
      </c>
      <c r="E26" s="212">
        <v>0</v>
      </c>
      <c r="F26" s="212">
        <v>0</v>
      </c>
      <c r="G26" s="212">
        <v>0</v>
      </c>
      <c r="H26" s="212">
        <v>0</v>
      </c>
      <c r="I26" s="212">
        <v>0</v>
      </c>
      <c r="J26" s="212">
        <v>0</v>
      </c>
      <c r="K26" s="212">
        <v>0</v>
      </c>
      <c r="L26" s="212">
        <v>0</v>
      </c>
      <c r="M26" s="212">
        <v>0</v>
      </c>
      <c r="N26" s="212">
        <v>0</v>
      </c>
      <c r="O26" s="161" t="str">
        <f t="shared" si="0"/>
        <v>0 OZ , 0 (0+0), 0 ±</v>
      </c>
      <c r="P26" s="5" t="str">
        <f t="shared" si="1"/>
        <v>ANO</v>
      </c>
    </row>
    <row r="27" spans="1:19" ht="15" customHeight="1" x14ac:dyDescent="0.25">
      <c r="A27" s="54">
        <v>26</v>
      </c>
      <c r="B27" s="1" t="s">
        <v>49</v>
      </c>
      <c r="D27" s="212"/>
      <c r="E27" s="212">
        <v>4</v>
      </c>
      <c r="F27" s="212">
        <v>0</v>
      </c>
      <c r="G27" s="212">
        <v>0</v>
      </c>
      <c r="H27" s="212">
        <v>0</v>
      </c>
      <c r="I27" s="212">
        <v>0</v>
      </c>
      <c r="J27" s="212">
        <v>0</v>
      </c>
      <c r="K27" s="212">
        <v>0</v>
      </c>
      <c r="L27" s="212">
        <v>1</v>
      </c>
      <c r="M27" s="212">
        <v>5</v>
      </c>
      <c r="N27" s="212">
        <v>-4</v>
      </c>
      <c r="O27" s="161" t="str">
        <f t="shared" si="0"/>
        <v>4 OZ , 0 (0+0), -4 ±</v>
      </c>
      <c r="P27" s="5" t="str">
        <f t="shared" si="1"/>
        <v>ANO</v>
      </c>
    </row>
    <row r="28" spans="1:19" ht="15" customHeight="1" x14ac:dyDescent="0.25">
      <c r="A28" s="54">
        <v>27</v>
      </c>
      <c r="B28" s="1" t="s">
        <v>54</v>
      </c>
      <c r="D28" s="212"/>
      <c r="E28" s="212">
        <v>0</v>
      </c>
      <c r="F28" s="212">
        <v>0</v>
      </c>
      <c r="G28" s="212">
        <v>0</v>
      </c>
      <c r="H28" s="212">
        <v>0</v>
      </c>
      <c r="I28" s="212">
        <v>0</v>
      </c>
      <c r="J28" s="212">
        <v>0</v>
      </c>
      <c r="K28" s="212">
        <v>0</v>
      </c>
      <c r="L28" s="212">
        <v>0</v>
      </c>
      <c r="M28" s="212">
        <v>0</v>
      </c>
      <c r="N28" s="212">
        <v>0</v>
      </c>
      <c r="O28" s="161" t="str">
        <f t="shared" si="0"/>
        <v>0 OZ , 0 (0+0), 0 ±</v>
      </c>
      <c r="P28" s="5" t="str">
        <f t="shared" si="1"/>
        <v>ANO</v>
      </c>
    </row>
    <row r="29" spans="1:19" ht="15" customHeight="1" x14ac:dyDescent="0.25">
      <c r="A29" s="53">
        <v>28</v>
      </c>
      <c r="B29" s="4" t="s">
        <v>55</v>
      </c>
      <c r="C29" s="4"/>
      <c r="D29" s="5"/>
      <c r="E29" s="5">
        <v>11</v>
      </c>
      <c r="F29" s="5">
        <v>0</v>
      </c>
      <c r="G29" s="5">
        <v>0</v>
      </c>
      <c r="H29" s="5">
        <v>0</v>
      </c>
      <c r="I29" s="5">
        <v>0</v>
      </c>
      <c r="J29" s="5">
        <v>0</v>
      </c>
      <c r="K29" s="5">
        <v>2</v>
      </c>
      <c r="L29" s="5">
        <v>1</v>
      </c>
      <c r="M29" s="5">
        <v>2</v>
      </c>
      <c r="N29" s="5">
        <v>-1</v>
      </c>
      <c r="O29" s="161" t="str">
        <f t="shared" si="0"/>
        <v>11 OZ , 0 (0+0), -1 ±</v>
      </c>
      <c r="P29" s="5" t="str">
        <f t="shared" si="1"/>
        <v>ANO</v>
      </c>
      <c r="Q29" s="111"/>
      <c r="S29" s="112"/>
    </row>
    <row r="30" spans="1:19" ht="15" customHeight="1" x14ac:dyDescent="0.25">
      <c r="A30" s="53">
        <v>29</v>
      </c>
      <c r="B30" s="4" t="s">
        <v>33</v>
      </c>
      <c r="C30" s="4"/>
      <c r="D30" s="5" t="s">
        <v>35</v>
      </c>
      <c r="E30" s="5">
        <v>0</v>
      </c>
      <c r="F30" s="5">
        <v>0</v>
      </c>
      <c r="G30" s="5">
        <v>0</v>
      </c>
      <c r="H30" s="5">
        <v>0</v>
      </c>
      <c r="I30" s="5">
        <v>0</v>
      </c>
      <c r="J30" s="5">
        <v>0</v>
      </c>
      <c r="K30" s="5">
        <v>0</v>
      </c>
      <c r="L30" s="5">
        <v>0</v>
      </c>
      <c r="M30" s="5">
        <v>1</v>
      </c>
      <c r="N30" s="5">
        <v>-1</v>
      </c>
      <c r="O30" s="161" t="str">
        <f t="shared" si="0"/>
        <v>0 OZ , 0 (0+0), -1 ±</v>
      </c>
      <c r="P30" s="5" t="str">
        <f t="shared" si="1"/>
        <v>ANO</v>
      </c>
      <c r="Q30" s="111"/>
      <c r="S30" s="112"/>
    </row>
    <row r="31" spans="1:19" ht="15" customHeight="1" x14ac:dyDescent="0.25">
      <c r="A31" s="53">
        <v>30</v>
      </c>
      <c r="B31" s="4" t="s">
        <v>28</v>
      </c>
      <c r="C31" s="4"/>
      <c r="D31" s="5"/>
      <c r="E31" s="5">
        <v>23</v>
      </c>
      <c r="F31" s="5">
        <v>0</v>
      </c>
      <c r="G31" s="5">
        <v>0</v>
      </c>
      <c r="H31" s="5">
        <v>0</v>
      </c>
      <c r="I31" s="5">
        <v>0</v>
      </c>
      <c r="J31" s="5">
        <v>0</v>
      </c>
      <c r="K31" s="5">
        <v>2</v>
      </c>
      <c r="L31" s="5">
        <v>2</v>
      </c>
      <c r="M31" s="5">
        <v>11</v>
      </c>
      <c r="N31" s="5">
        <v>-9</v>
      </c>
      <c r="O31" s="161" t="str">
        <f t="shared" si="0"/>
        <v>23 OZ , 0 (0+0), -9 ±</v>
      </c>
      <c r="P31" s="5" t="str">
        <f t="shared" si="1"/>
        <v>ANO</v>
      </c>
      <c r="Q31" s="111"/>
      <c r="S31" s="112"/>
    </row>
    <row r="32" spans="1:19" ht="15" customHeight="1" x14ac:dyDescent="0.25">
      <c r="A32" s="53">
        <v>31</v>
      </c>
      <c r="B32" s="4" t="s">
        <v>32</v>
      </c>
      <c r="C32" s="4"/>
      <c r="D32" s="5" t="s">
        <v>35</v>
      </c>
      <c r="E32" s="5">
        <v>0</v>
      </c>
      <c r="F32" s="5">
        <v>0</v>
      </c>
      <c r="G32" s="5">
        <v>0</v>
      </c>
      <c r="H32" s="5">
        <v>0</v>
      </c>
      <c r="I32" s="5">
        <v>0</v>
      </c>
      <c r="J32" s="5">
        <v>0</v>
      </c>
      <c r="K32" s="5">
        <v>0</v>
      </c>
      <c r="L32" s="5">
        <v>0</v>
      </c>
      <c r="M32" s="5">
        <v>0</v>
      </c>
      <c r="N32" s="5">
        <v>0</v>
      </c>
      <c r="O32" s="161" t="str">
        <f t="shared" si="0"/>
        <v>0 OZ , 0 (0+0), 0 ±</v>
      </c>
      <c r="P32" s="5" t="str">
        <f t="shared" si="1"/>
        <v>ANO</v>
      </c>
      <c r="Q32" s="111"/>
      <c r="S32" s="112"/>
    </row>
    <row r="33" spans="1:27" ht="15" customHeight="1" x14ac:dyDescent="0.25">
      <c r="A33" s="54"/>
      <c r="D33" s="112"/>
      <c r="E33" s="112"/>
      <c r="F33" s="112"/>
      <c r="G33" s="112"/>
      <c r="H33" s="112"/>
      <c r="I33" s="112"/>
      <c r="J33" s="112"/>
      <c r="K33" s="112"/>
      <c r="L33" s="112"/>
      <c r="M33" s="112"/>
      <c r="N33" s="112"/>
      <c r="O33" s="161" t="str">
        <f t="shared" si="0"/>
        <v/>
      </c>
      <c r="P33" s="5" t="str">
        <f t="shared" si="1"/>
        <v/>
      </c>
      <c r="Q33" s="111"/>
      <c r="S33" s="112"/>
    </row>
    <row r="34" spans="1:27" ht="15" customHeight="1" x14ac:dyDescent="0.25">
      <c r="A34" s="54"/>
      <c r="D34" s="112"/>
      <c r="E34" s="112"/>
      <c r="F34" s="112"/>
      <c r="G34" s="112"/>
      <c r="H34" s="112"/>
      <c r="I34" s="112"/>
      <c r="J34" s="112"/>
      <c r="K34" s="112"/>
      <c r="L34" s="112"/>
      <c r="M34" s="112"/>
      <c r="N34" s="112"/>
      <c r="O34" s="161" t="str">
        <f t="shared" si="0"/>
        <v/>
      </c>
      <c r="P34" s="5" t="str">
        <f t="shared" si="1"/>
        <v/>
      </c>
      <c r="Q34" s="111"/>
      <c r="S34" s="112"/>
    </row>
    <row r="35" spans="1:27" ht="15" customHeight="1" x14ac:dyDescent="0.25">
      <c r="A35" s="54"/>
      <c r="D35" s="112"/>
      <c r="E35" s="112"/>
      <c r="F35" s="112"/>
      <c r="G35" s="112"/>
      <c r="H35" s="112"/>
      <c r="I35" s="112"/>
      <c r="J35" s="112"/>
      <c r="K35" s="112"/>
      <c r="L35" s="112"/>
      <c r="M35" s="112"/>
      <c r="N35" s="112"/>
      <c r="O35" s="161" t="str">
        <f t="shared" si="0"/>
        <v/>
      </c>
      <c r="P35" s="5" t="str">
        <f t="shared" si="1"/>
        <v/>
      </c>
      <c r="Q35" s="111"/>
      <c r="S35" s="112"/>
    </row>
    <row r="36" spans="1:27" ht="15" customHeight="1"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row>
    <row r="39" spans="1:27" ht="15" customHeight="1" x14ac:dyDescent="0.25">
      <c r="A39" s="54">
        <v>1</v>
      </c>
      <c r="B39" t="s">
        <v>32</v>
      </c>
      <c r="C39"/>
      <c r="D39" s="190">
        <v>26</v>
      </c>
      <c r="E39" s="190">
        <v>20</v>
      </c>
      <c r="F39" s="190">
        <v>1126.54</v>
      </c>
      <c r="G39" s="190">
        <v>4</v>
      </c>
      <c r="H39" s="190">
        <v>134</v>
      </c>
      <c r="I39" s="190">
        <v>1</v>
      </c>
      <c r="J39" s="190">
        <v>522</v>
      </c>
      <c r="K39" s="190">
        <v>0</v>
      </c>
      <c r="L39" s="190">
        <v>16</v>
      </c>
      <c r="M39" s="190">
        <v>388</v>
      </c>
      <c r="N39" s="190">
        <v>0</v>
      </c>
      <c r="O39" s="190">
        <v>0</v>
      </c>
      <c r="P39" s="11">
        <f>IF(B39&lt;&gt;0,IFERROR(H39/(F39/60),0),"")</f>
        <v>7.136897047597067</v>
      </c>
      <c r="Q39" s="11">
        <f>IF(B39&lt;&gt;0,IFERROR((M39/J39)*100,0),"")</f>
        <v>74.329501915708818</v>
      </c>
      <c r="R39" s="6" t="str">
        <f>IF(B39&lt;&gt;0,CONCATENATE(G39, " V, ",L39," P"),"")</f>
        <v>4 V, 16 P</v>
      </c>
    </row>
    <row r="40" spans="1:27" ht="15" customHeight="1" x14ac:dyDescent="0.25">
      <c r="A40" s="54">
        <v>2</v>
      </c>
      <c r="B40" t="s">
        <v>33</v>
      </c>
      <c r="C40"/>
      <c r="D40" s="190">
        <v>15</v>
      </c>
      <c r="E40" s="190">
        <v>6</v>
      </c>
      <c r="F40" s="190">
        <v>317.55</v>
      </c>
      <c r="G40" s="190">
        <v>0</v>
      </c>
      <c r="H40" s="190">
        <v>43</v>
      </c>
      <c r="I40" s="190">
        <v>0</v>
      </c>
      <c r="J40" s="190">
        <v>183</v>
      </c>
      <c r="K40" s="190">
        <v>0</v>
      </c>
      <c r="L40" s="190">
        <v>6</v>
      </c>
      <c r="M40" s="190">
        <v>140</v>
      </c>
      <c r="N40" s="190">
        <v>0</v>
      </c>
      <c r="O40" s="190">
        <v>0</v>
      </c>
      <c r="P40" s="11">
        <f t="shared" ref="P40:P45" si="2">IF(B40&lt;&gt;0,IFERROR(H40/(F40/60),0),"")</f>
        <v>8.1247047709022198</v>
      </c>
      <c r="Q40" s="11">
        <f t="shared" ref="Q40:Q45" si="3">IF(B40&lt;&gt;0,IFERROR((M40/J40)*100,0),"")</f>
        <v>76.502732240437155</v>
      </c>
      <c r="R40" s="112" t="str">
        <f t="shared" ref="R40:R45" si="4">IF(B40&lt;&gt;0,CONCATENATE(G40, " V, ",L40," P"),"")</f>
        <v>0 V, 6 P</v>
      </c>
    </row>
    <row r="41" spans="1:27" ht="15" customHeight="1" x14ac:dyDescent="0.25">
      <c r="A41" s="54">
        <v>3</v>
      </c>
      <c r="B41" t="s">
        <v>57</v>
      </c>
      <c r="C41"/>
      <c r="D41" s="190">
        <v>3</v>
      </c>
      <c r="E41" s="190">
        <v>1</v>
      </c>
      <c r="F41" s="190">
        <v>58.48</v>
      </c>
      <c r="G41" s="190">
        <v>0</v>
      </c>
      <c r="H41" s="190">
        <v>7</v>
      </c>
      <c r="I41" s="190">
        <v>0</v>
      </c>
      <c r="J41" s="190">
        <v>23</v>
      </c>
      <c r="K41" s="190">
        <v>0</v>
      </c>
      <c r="L41" s="190">
        <v>1</v>
      </c>
      <c r="M41" s="190">
        <v>16</v>
      </c>
      <c r="N41" s="190">
        <v>0</v>
      </c>
      <c r="O41" s="190">
        <v>0</v>
      </c>
      <c r="P41" s="11">
        <f t="shared" si="2"/>
        <v>7.1819425444596448</v>
      </c>
      <c r="Q41" s="11">
        <f t="shared" si="3"/>
        <v>69.565217391304344</v>
      </c>
      <c r="R41" s="112" t="str">
        <f t="shared" si="4"/>
        <v>0 V, 1 P</v>
      </c>
    </row>
    <row r="42" spans="1:27" ht="15" customHeight="1" x14ac:dyDescent="0.25">
      <c r="A42" s="54">
        <v>4</v>
      </c>
      <c r="B42" t="s">
        <v>54</v>
      </c>
      <c r="C42"/>
      <c r="D42" s="190">
        <v>8</v>
      </c>
      <c r="E42" s="190">
        <v>1</v>
      </c>
      <c r="F42" s="190">
        <v>40</v>
      </c>
      <c r="G42" s="190">
        <v>0</v>
      </c>
      <c r="H42" s="190">
        <v>8</v>
      </c>
      <c r="I42" s="190">
        <v>0</v>
      </c>
      <c r="J42" s="190">
        <v>21</v>
      </c>
      <c r="K42" s="190">
        <v>0</v>
      </c>
      <c r="L42" s="190">
        <v>1</v>
      </c>
      <c r="M42" s="190">
        <v>13</v>
      </c>
      <c r="N42" s="190">
        <v>0</v>
      </c>
      <c r="O42" s="190">
        <v>0</v>
      </c>
      <c r="P42" s="11">
        <f t="shared" si="2"/>
        <v>12</v>
      </c>
      <c r="Q42" s="11">
        <f t="shared" si="3"/>
        <v>61.904761904761905</v>
      </c>
      <c r="R42" s="112" t="str">
        <f t="shared" si="4"/>
        <v>0 V, 1 P</v>
      </c>
    </row>
    <row r="43" spans="1:27" ht="15" customHeight="1"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ht="15" customHeight="1"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2" t="s">
        <v>289</v>
      </c>
      <c r="Y46" s="402"/>
      <c r="Z46" s="402"/>
      <c r="AA46" s="402"/>
    </row>
    <row r="47" spans="1:27" s="2" customFormat="1" ht="15" customHeight="1" x14ac:dyDescent="0.25">
      <c r="A47" s="7">
        <f ca="1">TODAY()</f>
        <v>44263</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2" t="s">
        <v>288</v>
      </c>
      <c r="Y47" s="2" t="s">
        <v>286</v>
      </c>
      <c r="Z47" s="2" t="s">
        <v>287</v>
      </c>
      <c r="AA47" s="2" t="s">
        <v>462</v>
      </c>
    </row>
    <row r="48" spans="1:27" ht="15" customHeight="1" x14ac:dyDescent="0.25">
      <c r="B48" s="141" t="s">
        <v>12</v>
      </c>
      <c r="C48" s="137">
        <v>33786</v>
      </c>
      <c r="D48" s="6">
        <f t="shared" ref="D48:D78" ca="1" si="5">IF(C48 &lt;&gt; 0,ROUNDDOWN(($A$47-C48)/365.25,0),"")</f>
        <v>28</v>
      </c>
      <c r="E48" s="139">
        <v>117</v>
      </c>
      <c r="F48" s="139">
        <v>79</v>
      </c>
      <c r="G48" s="139">
        <v>50</v>
      </c>
      <c r="H48" s="6">
        <f t="shared" ref="H48:H78" si="6">IF(B48&lt;&gt;0,F48+G48,"")</f>
        <v>129</v>
      </c>
      <c r="I48" s="139">
        <v>9</v>
      </c>
      <c r="J48" s="139">
        <v>23</v>
      </c>
      <c r="K48" s="139"/>
      <c r="L48" s="139" t="s">
        <v>78</v>
      </c>
      <c r="M48" s="139">
        <v>181</v>
      </c>
      <c r="N48" s="139">
        <v>78</v>
      </c>
      <c r="O48" s="6" t="str">
        <f t="shared" ref="O48:O78" si="7">IF(B48&lt;&gt;0,CONCATENATE(E48+IFERROR(VLOOKUP(B48,$B$2:$N$36,4,FALSE),0) + X48, " OZ, ", H48+IFERROR(VLOOKUP(B48,$B$2:$N$36,9,FALSE),0) + Y48+Z48, " (", F48+IFERROR(VLOOKUP(B48,$B$2:$N$36,5,FALSE),0) + Y48, "+",G48+IFERROR(VLOOKUP(B48,$B$2:$N$36,8,FALSE),0) +  Z48, ")"), "")</f>
        <v>141 OZ, 149 (90+59)</v>
      </c>
      <c r="P48" s="6" t="str">
        <f t="shared" ref="P48:P78" si="8">IF(M48&lt;&gt;0,CONCATENATE(M48,"/",N48),"")</f>
        <v>181/78</v>
      </c>
      <c r="Q48" s="140" t="s">
        <v>13</v>
      </c>
      <c r="R48" s="139">
        <v>2003</v>
      </c>
      <c r="S48" s="112" t="str">
        <f t="shared" ref="S48:S78" si="9">IFERROR(CONCATENATE(E48+VLOOKUP(B48,$B$39:$R$42,4,FALSE), " OZ, ",G48+VLOOKUP(B48,$B$39:$R$42,13,FALSE), " A"),"")</f>
        <v/>
      </c>
      <c r="T48" s="1" t="str">
        <f t="shared" ref="T48:T78" si="10">IF(B48&lt;&gt;0,IF(V48=1,U48,CONCATENATE(U48," ",W48,".")),"")</f>
        <v>Bína</v>
      </c>
      <c r="U48" s="1" t="str">
        <f t="shared" ref="U48:U78" si="11">IFERROR(RIGHT(B48,LEN(B48)-SEARCH(" ", B48,1)),"")</f>
        <v>Bína</v>
      </c>
      <c r="V48" s="112">
        <f t="shared" ref="V48:V78" si="12">IF(B48&lt;&gt;0,COUNTIF($U$48:$U$82,U48),"")</f>
        <v>1</v>
      </c>
      <c r="W48" s="112" t="str">
        <f t="shared" ref="W48:W78" si="13">IFERROR(LEFT(LEFT(B48,SEARCH(" ",B48,1)),1),"")</f>
        <v>M</v>
      </c>
      <c r="X48" s="139"/>
      <c r="Y48" s="139"/>
      <c r="Z48" s="139"/>
      <c r="AA48" s="139"/>
    </row>
    <row r="49" spans="2:27" ht="15" customHeight="1" x14ac:dyDescent="0.25">
      <c r="B49" s="138" t="s">
        <v>33</v>
      </c>
      <c r="C49" s="137">
        <v>32155</v>
      </c>
      <c r="D49" s="112">
        <f t="shared" ca="1" si="5"/>
        <v>33</v>
      </c>
      <c r="E49" s="139">
        <v>14</v>
      </c>
      <c r="F49" s="139">
        <v>0</v>
      </c>
      <c r="G49" s="139">
        <v>0</v>
      </c>
      <c r="H49" s="112">
        <f t="shared" si="6"/>
        <v>0</v>
      </c>
      <c r="I49" s="139">
        <v>4</v>
      </c>
      <c r="J49" s="139">
        <v>13</v>
      </c>
      <c r="K49" s="139"/>
      <c r="L49" s="139" t="s">
        <v>30</v>
      </c>
      <c r="M49" s="139">
        <v>177</v>
      </c>
      <c r="N49" s="139">
        <v>87</v>
      </c>
      <c r="O49" s="119" t="str">
        <f t="shared" si="7"/>
        <v>14 OZ, 0 (0+0)</v>
      </c>
      <c r="P49" s="112" t="str">
        <f t="shared" si="8"/>
        <v>177/87</v>
      </c>
      <c r="Q49" s="140" t="s">
        <v>34</v>
      </c>
      <c r="R49" s="139">
        <v>1999</v>
      </c>
      <c r="S49" s="112" t="str">
        <f t="shared" si="9"/>
        <v>20 OZ, 0 A</v>
      </c>
      <c r="T49" s="1" t="str">
        <f t="shared" si="10"/>
        <v>Buchta</v>
      </c>
      <c r="U49" s="1" t="str">
        <f t="shared" si="11"/>
        <v>Buchta</v>
      </c>
      <c r="V49" s="112">
        <f t="shared" si="12"/>
        <v>1</v>
      </c>
      <c r="W49" s="112" t="str">
        <f t="shared" si="13"/>
        <v>J</v>
      </c>
      <c r="X49" s="139"/>
      <c r="Y49" s="139"/>
      <c r="Z49" s="139"/>
      <c r="AA49" s="139"/>
    </row>
    <row r="50" spans="2:27" ht="15" customHeight="1" x14ac:dyDescent="0.25">
      <c r="B50" s="138" t="s">
        <v>0</v>
      </c>
      <c r="C50" s="137">
        <v>36257</v>
      </c>
      <c r="D50" s="112">
        <f t="shared" ca="1" si="5"/>
        <v>21</v>
      </c>
      <c r="E50" s="139">
        <v>110</v>
      </c>
      <c r="F50" s="139">
        <v>38</v>
      </c>
      <c r="G50" s="139">
        <v>29</v>
      </c>
      <c r="H50" s="112">
        <f t="shared" si="6"/>
        <v>67</v>
      </c>
      <c r="I50" s="139">
        <v>5</v>
      </c>
      <c r="J50" s="139">
        <v>77</v>
      </c>
      <c r="K50" s="139"/>
      <c r="L50" s="139" t="s">
        <v>78</v>
      </c>
      <c r="M50" s="139">
        <v>184</v>
      </c>
      <c r="N50" s="139">
        <v>81</v>
      </c>
      <c r="O50" s="119" t="str">
        <f t="shared" si="7"/>
        <v>123 OZ, 70 (38+32)</v>
      </c>
      <c r="P50" s="112" t="str">
        <f t="shared" si="8"/>
        <v>184/81</v>
      </c>
      <c r="Q50" s="140" t="s">
        <v>1</v>
      </c>
      <c r="R50" s="139">
        <v>2008</v>
      </c>
      <c r="S50" s="112" t="str">
        <f t="shared" si="9"/>
        <v/>
      </c>
      <c r="T50" s="1" t="str">
        <f t="shared" si="10"/>
        <v>Cabejšek</v>
      </c>
      <c r="U50" s="1" t="str">
        <f t="shared" si="11"/>
        <v>Cabejšek</v>
      </c>
      <c r="V50" s="112">
        <f t="shared" si="12"/>
        <v>1</v>
      </c>
      <c r="W50" s="112" t="str">
        <f t="shared" si="13"/>
        <v>D</v>
      </c>
      <c r="X50" s="139">
        <v>4</v>
      </c>
      <c r="Y50" s="139">
        <v>0</v>
      </c>
      <c r="Z50" s="139">
        <v>1</v>
      </c>
      <c r="AA50" s="139">
        <v>1</v>
      </c>
    </row>
    <row r="51" spans="2:27" ht="15" customHeight="1" x14ac:dyDescent="0.25">
      <c r="B51" s="138" t="s">
        <v>24</v>
      </c>
      <c r="C51" s="137">
        <v>36364</v>
      </c>
      <c r="D51" s="112">
        <f t="shared" ca="1" si="5"/>
        <v>21</v>
      </c>
      <c r="E51" s="139">
        <v>0</v>
      </c>
      <c r="F51" s="139">
        <v>0</v>
      </c>
      <c r="G51" s="139">
        <v>0</v>
      </c>
      <c r="H51" s="112">
        <f t="shared" si="6"/>
        <v>0</v>
      </c>
      <c r="I51" s="139">
        <v>1</v>
      </c>
      <c r="J51" s="139">
        <v>47</v>
      </c>
      <c r="K51" s="139"/>
      <c r="L51" s="139" t="s">
        <v>78</v>
      </c>
      <c r="M51" s="139">
        <v>181</v>
      </c>
      <c r="N51" s="139">
        <v>82</v>
      </c>
      <c r="O51" s="119" t="str">
        <f t="shared" si="7"/>
        <v>24 OZ, 1 (0+1)</v>
      </c>
      <c r="P51" s="112" t="str">
        <f t="shared" si="8"/>
        <v>181/82</v>
      </c>
      <c r="Q51" s="140" t="s">
        <v>25</v>
      </c>
      <c r="R51" s="139">
        <v>2009</v>
      </c>
      <c r="S51" s="112" t="str">
        <f t="shared" si="9"/>
        <v/>
      </c>
      <c r="T51" s="1" t="str">
        <f t="shared" si="10"/>
        <v>Čuda</v>
      </c>
      <c r="U51" s="1" t="str">
        <f t="shared" si="11"/>
        <v>Čuda</v>
      </c>
      <c r="V51" s="112">
        <f t="shared" si="12"/>
        <v>1</v>
      </c>
      <c r="W51" s="112" t="str">
        <f t="shared" si="13"/>
        <v>Š</v>
      </c>
      <c r="X51" s="139"/>
      <c r="Y51" s="139"/>
      <c r="Z51" s="139"/>
      <c r="AA51" s="139"/>
    </row>
    <row r="52" spans="2:27" ht="15" customHeight="1" x14ac:dyDescent="0.25">
      <c r="B52" s="138" t="s">
        <v>4</v>
      </c>
      <c r="C52" s="137">
        <v>34880</v>
      </c>
      <c r="D52" s="112">
        <f t="shared" ca="1" si="5"/>
        <v>25</v>
      </c>
      <c r="E52" s="139">
        <v>77</v>
      </c>
      <c r="F52" s="139">
        <v>18</v>
      </c>
      <c r="G52" s="139">
        <v>10</v>
      </c>
      <c r="H52" s="112">
        <f t="shared" si="6"/>
        <v>28</v>
      </c>
      <c r="I52" s="139">
        <v>5</v>
      </c>
      <c r="J52" s="139">
        <v>28</v>
      </c>
      <c r="K52" s="139"/>
      <c r="L52" s="139" t="s">
        <v>41</v>
      </c>
      <c r="M52" s="139">
        <v>183</v>
      </c>
      <c r="N52" s="139">
        <v>76</v>
      </c>
      <c r="O52" s="119" t="str">
        <f t="shared" si="7"/>
        <v>103 OZ, 40 (26+14)</v>
      </c>
      <c r="P52" s="112" t="str">
        <f t="shared" si="8"/>
        <v>183/76</v>
      </c>
      <c r="Q52" s="140" t="s">
        <v>8</v>
      </c>
      <c r="R52" s="139">
        <v>2006</v>
      </c>
      <c r="S52" s="112" t="str">
        <f t="shared" si="9"/>
        <v/>
      </c>
      <c r="T52" s="1" t="str">
        <f t="shared" si="10"/>
        <v>Fiala</v>
      </c>
      <c r="U52" s="1" t="str">
        <f t="shared" si="11"/>
        <v>Fiala</v>
      </c>
      <c r="V52" s="112">
        <f t="shared" si="12"/>
        <v>1</v>
      </c>
      <c r="W52" s="112" t="str">
        <f t="shared" si="13"/>
        <v>J</v>
      </c>
      <c r="X52" s="139"/>
      <c r="Y52" s="139"/>
      <c r="Z52" s="139"/>
      <c r="AA52" s="139"/>
    </row>
    <row r="53" spans="2:27" ht="15" customHeight="1" x14ac:dyDescent="0.25">
      <c r="B53" s="138" t="s">
        <v>26</v>
      </c>
      <c r="C53" s="137">
        <v>37000</v>
      </c>
      <c r="D53" s="112">
        <f t="shared" ca="1" si="5"/>
        <v>19</v>
      </c>
      <c r="E53" s="139">
        <v>33</v>
      </c>
      <c r="F53" s="139">
        <v>3</v>
      </c>
      <c r="G53" s="139">
        <v>5</v>
      </c>
      <c r="H53" s="112">
        <f t="shared" si="6"/>
        <v>8</v>
      </c>
      <c r="I53" s="139">
        <v>3</v>
      </c>
      <c r="J53" s="139">
        <v>11</v>
      </c>
      <c r="K53" s="139"/>
      <c r="L53" s="139" t="s">
        <v>78</v>
      </c>
      <c r="M53" s="139">
        <v>181</v>
      </c>
      <c r="N53" s="139">
        <v>80</v>
      </c>
      <c r="O53" s="119" t="str">
        <f t="shared" si="7"/>
        <v>58 OZ, 16 (9+7)</v>
      </c>
      <c r="P53" s="112" t="str">
        <f t="shared" si="8"/>
        <v>181/80</v>
      </c>
      <c r="Q53" s="140" t="s">
        <v>27</v>
      </c>
      <c r="R53" s="139">
        <v>2013</v>
      </c>
      <c r="S53" s="112" t="str">
        <f t="shared" si="9"/>
        <v/>
      </c>
      <c r="T53" s="1" t="str">
        <f t="shared" si="10"/>
        <v>Gold</v>
      </c>
      <c r="U53" s="1" t="str">
        <f t="shared" si="11"/>
        <v>Gold</v>
      </c>
      <c r="V53" s="112">
        <f t="shared" si="12"/>
        <v>1</v>
      </c>
      <c r="W53" s="112" t="str">
        <f t="shared" si="13"/>
        <v>O</v>
      </c>
      <c r="X53" s="139"/>
      <c r="Y53" s="139"/>
      <c r="Z53" s="139"/>
      <c r="AA53" s="139"/>
    </row>
    <row r="54" spans="2:27" ht="15" customHeight="1" x14ac:dyDescent="0.25">
      <c r="B54" s="141" t="s">
        <v>21</v>
      </c>
      <c r="C54" s="137">
        <v>34105</v>
      </c>
      <c r="D54" s="112">
        <f t="shared" ca="1" si="5"/>
        <v>27</v>
      </c>
      <c r="E54" s="139">
        <v>135</v>
      </c>
      <c r="F54" s="139">
        <v>73</v>
      </c>
      <c r="G54" s="139">
        <v>40</v>
      </c>
      <c r="H54" s="112">
        <f t="shared" si="6"/>
        <v>113</v>
      </c>
      <c r="I54" s="139">
        <v>7</v>
      </c>
      <c r="J54" s="139">
        <v>27</v>
      </c>
      <c r="K54" s="139"/>
      <c r="L54" s="139" t="s">
        <v>78</v>
      </c>
      <c r="M54" s="139">
        <v>180</v>
      </c>
      <c r="N54" s="139">
        <v>78</v>
      </c>
      <c r="O54" s="119" t="str">
        <f t="shared" si="7"/>
        <v>161 OZ, 139 (92+47)</v>
      </c>
      <c r="P54" s="112" t="str">
        <f t="shared" si="8"/>
        <v>180/78</v>
      </c>
      <c r="Q54" s="140" t="s">
        <v>22</v>
      </c>
      <c r="R54" s="139">
        <v>2007</v>
      </c>
      <c r="S54" s="112" t="str">
        <f t="shared" si="9"/>
        <v/>
      </c>
      <c r="T54" s="1" t="str">
        <f t="shared" si="10"/>
        <v>Gregor</v>
      </c>
      <c r="U54" s="1" t="str">
        <f t="shared" si="11"/>
        <v>Gregor</v>
      </c>
      <c r="V54" s="112">
        <f t="shared" si="12"/>
        <v>1</v>
      </c>
      <c r="W54" s="112" t="str">
        <f t="shared" si="13"/>
        <v>L</v>
      </c>
      <c r="X54" s="139"/>
      <c r="Y54" s="139"/>
      <c r="Z54" s="139"/>
      <c r="AA54" s="139"/>
    </row>
    <row r="55" spans="2:27" ht="15" customHeight="1" x14ac:dyDescent="0.25">
      <c r="B55" s="138" t="s">
        <v>31</v>
      </c>
      <c r="C55" s="137">
        <v>36825</v>
      </c>
      <c r="D55" s="112">
        <f t="shared" ca="1" si="5"/>
        <v>20</v>
      </c>
      <c r="E55" s="139">
        <v>33</v>
      </c>
      <c r="F55" s="139">
        <v>2</v>
      </c>
      <c r="G55" s="139">
        <v>6</v>
      </c>
      <c r="H55" s="112">
        <f t="shared" si="6"/>
        <v>8</v>
      </c>
      <c r="I55" s="139">
        <v>3</v>
      </c>
      <c r="J55" s="139">
        <v>32</v>
      </c>
      <c r="K55" s="139"/>
      <c r="L55" s="139" t="s">
        <v>78</v>
      </c>
      <c r="M55" s="139">
        <v>175</v>
      </c>
      <c r="N55" s="139">
        <v>70</v>
      </c>
      <c r="O55" s="119" t="str">
        <f t="shared" si="7"/>
        <v>54 OZ, 16 (2+14)</v>
      </c>
      <c r="P55" s="112" t="str">
        <f t="shared" si="8"/>
        <v>175/70</v>
      </c>
      <c r="Q55" s="140" t="s">
        <v>29</v>
      </c>
      <c r="R55" s="139">
        <v>2015</v>
      </c>
      <c r="S55" s="112" t="str">
        <f t="shared" si="9"/>
        <v/>
      </c>
      <c r="T55" s="1" t="str">
        <f t="shared" si="10"/>
        <v>Hájek</v>
      </c>
      <c r="U55" s="1" t="str">
        <f t="shared" si="11"/>
        <v>Hájek</v>
      </c>
      <c r="V55" s="112">
        <f t="shared" si="12"/>
        <v>1</v>
      </c>
      <c r="W55" s="112" t="str">
        <f t="shared" si="13"/>
        <v>P</v>
      </c>
      <c r="X55" s="139"/>
      <c r="Y55" s="139"/>
      <c r="Z55" s="139"/>
      <c r="AA55" s="139"/>
    </row>
    <row r="56" spans="2:27" ht="15" customHeight="1" x14ac:dyDescent="0.25">
      <c r="B56" s="138" t="s">
        <v>3</v>
      </c>
      <c r="C56" s="137">
        <v>33357</v>
      </c>
      <c r="D56" s="112">
        <f t="shared" ca="1" si="5"/>
        <v>29</v>
      </c>
      <c r="E56" s="139">
        <v>56</v>
      </c>
      <c r="F56" s="139">
        <v>35</v>
      </c>
      <c r="G56" s="139">
        <v>17</v>
      </c>
      <c r="H56" s="112">
        <f t="shared" si="6"/>
        <v>52</v>
      </c>
      <c r="I56" s="139">
        <v>4</v>
      </c>
      <c r="J56" s="139">
        <v>24</v>
      </c>
      <c r="K56" s="139"/>
      <c r="L56" s="139" t="s">
        <v>78</v>
      </c>
      <c r="M56" s="139">
        <v>180</v>
      </c>
      <c r="N56" s="139">
        <v>78</v>
      </c>
      <c r="O56" s="119" t="str">
        <f t="shared" si="7"/>
        <v>82 OZ, 67 (45+22)</v>
      </c>
      <c r="P56" s="112" t="str">
        <f t="shared" si="8"/>
        <v>180/78</v>
      </c>
      <c r="Q56" s="140" t="s">
        <v>7</v>
      </c>
      <c r="R56" s="139">
        <v>2008</v>
      </c>
      <c r="S56" s="112" t="str">
        <f t="shared" si="9"/>
        <v/>
      </c>
      <c r="T56" s="1" t="str">
        <f t="shared" si="10"/>
        <v>Hartman</v>
      </c>
      <c r="U56" s="1" t="str">
        <f t="shared" si="11"/>
        <v>Hartman</v>
      </c>
      <c r="V56" s="112">
        <f t="shared" si="12"/>
        <v>1</v>
      </c>
      <c r="W56" s="112" t="str">
        <f t="shared" si="13"/>
        <v>P</v>
      </c>
      <c r="X56" s="139"/>
      <c r="Y56" s="139"/>
      <c r="Z56" s="139"/>
      <c r="AA56" s="139"/>
    </row>
    <row r="57" spans="2:27" ht="15" customHeight="1" x14ac:dyDescent="0.25">
      <c r="B57" s="138" t="s">
        <v>893</v>
      </c>
      <c r="C57" s="137"/>
      <c r="D57" s="112" t="str">
        <f t="shared" si="5"/>
        <v/>
      </c>
      <c r="E57" s="139">
        <v>0</v>
      </c>
      <c r="F57" s="139">
        <v>0</v>
      </c>
      <c r="G57" s="139">
        <v>0</v>
      </c>
      <c r="H57" s="112">
        <f t="shared" si="6"/>
        <v>0</v>
      </c>
      <c r="I57" s="139">
        <v>1</v>
      </c>
      <c r="J57" s="139"/>
      <c r="K57" s="139"/>
      <c r="L57" s="139"/>
      <c r="M57" s="139"/>
      <c r="N57" s="139"/>
      <c r="O57" s="119" t="str">
        <f t="shared" si="7"/>
        <v>2 OZ, 1 (1+0)</v>
      </c>
      <c r="P57" s="112" t="str">
        <f t="shared" si="8"/>
        <v/>
      </c>
      <c r="Q57" s="140"/>
      <c r="R57" s="139"/>
      <c r="S57" s="112" t="str">
        <f t="shared" si="9"/>
        <v/>
      </c>
      <c r="T57" s="1" t="str">
        <f t="shared" si="10"/>
        <v>Chládek</v>
      </c>
      <c r="U57" s="1" t="str">
        <f t="shared" si="11"/>
        <v>Chládek</v>
      </c>
      <c r="V57" s="112">
        <f t="shared" si="12"/>
        <v>1</v>
      </c>
      <c r="W57" s="112" t="str">
        <f t="shared" si="13"/>
        <v>P</v>
      </c>
      <c r="X57" s="139"/>
      <c r="Y57" s="139"/>
      <c r="Z57" s="139"/>
      <c r="AA57" s="139"/>
    </row>
    <row r="58" spans="2:27" ht="15" customHeight="1" x14ac:dyDescent="0.25">
      <c r="B58" s="138" t="s">
        <v>23</v>
      </c>
      <c r="C58" s="137">
        <v>34368</v>
      </c>
      <c r="D58" s="112">
        <f t="shared" ca="1" si="5"/>
        <v>27</v>
      </c>
      <c r="E58" s="139">
        <v>115</v>
      </c>
      <c r="F58" s="139">
        <v>13</v>
      </c>
      <c r="G58" s="139">
        <v>14</v>
      </c>
      <c r="H58" s="112">
        <f t="shared" si="6"/>
        <v>27</v>
      </c>
      <c r="I58" s="139">
        <v>8</v>
      </c>
      <c r="J58" s="139">
        <v>2</v>
      </c>
      <c r="K58" s="139"/>
      <c r="L58" s="139" t="s">
        <v>41</v>
      </c>
      <c r="M58" s="139">
        <v>187</v>
      </c>
      <c r="N58" s="139">
        <v>93</v>
      </c>
      <c r="O58" s="119" t="str">
        <f t="shared" si="7"/>
        <v>138 OZ, 29 (14+15)</v>
      </c>
      <c r="P58" s="112" t="str">
        <f t="shared" si="8"/>
        <v>187/93</v>
      </c>
      <c r="Q58" s="140" t="s">
        <v>213</v>
      </c>
      <c r="R58" s="139">
        <v>2001</v>
      </c>
      <c r="S58" s="112" t="str">
        <f t="shared" si="9"/>
        <v/>
      </c>
      <c r="T58" s="1" t="str">
        <f t="shared" si="10"/>
        <v>Jelínek</v>
      </c>
      <c r="U58" s="1" t="str">
        <f t="shared" si="11"/>
        <v>Jelínek</v>
      </c>
      <c r="V58" s="112">
        <f t="shared" si="12"/>
        <v>1</v>
      </c>
      <c r="W58" s="112" t="str">
        <f t="shared" si="13"/>
        <v>M</v>
      </c>
      <c r="X58" s="139"/>
      <c r="Y58" s="139"/>
      <c r="Z58" s="139"/>
      <c r="AA58" s="139"/>
    </row>
    <row r="59" spans="2:27" ht="15" customHeight="1" x14ac:dyDescent="0.25">
      <c r="B59" s="138" t="s">
        <v>280</v>
      </c>
      <c r="C59" s="137">
        <v>37777</v>
      </c>
      <c r="D59" s="112">
        <f t="shared" ca="1" si="5"/>
        <v>17</v>
      </c>
      <c r="E59" s="139">
        <v>0</v>
      </c>
      <c r="F59" s="139">
        <v>0</v>
      </c>
      <c r="G59" s="139">
        <v>0</v>
      </c>
      <c r="H59" s="112">
        <f t="shared" si="6"/>
        <v>0</v>
      </c>
      <c r="I59" s="139">
        <v>1</v>
      </c>
      <c r="J59" s="139">
        <v>89</v>
      </c>
      <c r="K59" s="139"/>
      <c r="L59" s="139" t="s">
        <v>78</v>
      </c>
      <c r="M59" s="139">
        <v>185</v>
      </c>
      <c r="N59" s="139">
        <v>71</v>
      </c>
      <c r="O59" s="119" t="str">
        <f t="shared" si="7"/>
        <v>20 OZ, 8 (4+4)</v>
      </c>
      <c r="P59" s="112" t="str">
        <f t="shared" si="8"/>
        <v>185/71</v>
      </c>
      <c r="Q59" s="140" t="s">
        <v>284</v>
      </c>
      <c r="R59" s="139">
        <v>2009</v>
      </c>
      <c r="S59" s="112" t="str">
        <f t="shared" si="9"/>
        <v/>
      </c>
      <c r="T59" s="1" t="str">
        <f t="shared" si="10"/>
        <v>Klápa</v>
      </c>
      <c r="U59" s="1" t="str">
        <f t="shared" si="11"/>
        <v>Klápa</v>
      </c>
      <c r="V59" s="112">
        <f t="shared" si="12"/>
        <v>1</v>
      </c>
      <c r="W59" s="112" t="str">
        <f t="shared" si="13"/>
        <v>V</v>
      </c>
      <c r="X59" s="139">
        <v>8</v>
      </c>
      <c r="Y59" s="139">
        <v>0</v>
      </c>
      <c r="Z59" s="139">
        <v>1</v>
      </c>
      <c r="AA59" s="139">
        <v>0</v>
      </c>
    </row>
    <row r="60" spans="2:27" ht="15" customHeight="1" x14ac:dyDescent="0.25">
      <c r="B60" s="138" t="s">
        <v>590</v>
      </c>
      <c r="C60" s="137">
        <v>32114</v>
      </c>
      <c r="D60" s="112">
        <f t="shared" ca="1" si="5"/>
        <v>33</v>
      </c>
      <c r="E60" s="139">
        <v>36</v>
      </c>
      <c r="F60" s="139">
        <v>7</v>
      </c>
      <c r="G60" s="139">
        <v>4</v>
      </c>
      <c r="H60" s="112">
        <f t="shared" si="6"/>
        <v>11</v>
      </c>
      <c r="I60" s="139">
        <v>3</v>
      </c>
      <c r="J60" s="139">
        <v>94</v>
      </c>
      <c r="K60" s="139"/>
      <c r="L60" s="139" t="s">
        <v>78</v>
      </c>
      <c r="M60" s="139">
        <v>173</v>
      </c>
      <c r="N60" s="139">
        <v>70</v>
      </c>
      <c r="O60" s="119" t="str">
        <f t="shared" si="7"/>
        <v>38 OZ, 11 (7+4)</v>
      </c>
      <c r="P60" s="112" t="str">
        <f t="shared" si="8"/>
        <v>173/70</v>
      </c>
      <c r="Q60" s="140" t="s">
        <v>592</v>
      </c>
      <c r="R60" s="139">
        <v>1994</v>
      </c>
      <c r="S60" s="112" t="str">
        <f t="shared" si="9"/>
        <v/>
      </c>
      <c r="T60" s="1" t="str">
        <f t="shared" si="10"/>
        <v>Králík</v>
      </c>
      <c r="U60" s="1" t="str">
        <f t="shared" si="11"/>
        <v>Králík</v>
      </c>
      <c r="V60" s="112">
        <f t="shared" si="12"/>
        <v>1</v>
      </c>
      <c r="W60" s="112" t="str">
        <f t="shared" si="13"/>
        <v>J</v>
      </c>
      <c r="X60" s="139"/>
      <c r="Y60" s="139"/>
      <c r="Z60" s="139"/>
      <c r="AA60" s="139"/>
    </row>
    <row r="61" spans="2:27" ht="15" customHeight="1" x14ac:dyDescent="0.25">
      <c r="B61" s="138" t="s">
        <v>5</v>
      </c>
      <c r="C61" s="137">
        <v>32379</v>
      </c>
      <c r="D61" s="112">
        <f t="shared" ca="1" si="5"/>
        <v>32</v>
      </c>
      <c r="E61" s="139">
        <v>71</v>
      </c>
      <c r="F61" s="139">
        <v>6</v>
      </c>
      <c r="G61" s="139">
        <v>6</v>
      </c>
      <c r="H61" s="112">
        <f t="shared" si="6"/>
        <v>12</v>
      </c>
      <c r="I61" s="139">
        <v>6</v>
      </c>
      <c r="J61" s="139">
        <v>19</v>
      </c>
      <c r="K61" s="139"/>
      <c r="L61" s="139" t="s">
        <v>41</v>
      </c>
      <c r="M61" s="139">
        <v>187</v>
      </c>
      <c r="N61" s="139">
        <v>92</v>
      </c>
      <c r="O61" s="119" t="str">
        <f t="shared" si="7"/>
        <v>96 OZ, 18 (10+8)</v>
      </c>
      <c r="P61" s="112" t="str">
        <f t="shared" si="8"/>
        <v>187/92</v>
      </c>
      <c r="Q61" s="140" t="s">
        <v>9</v>
      </c>
      <c r="R61" s="139">
        <v>2000</v>
      </c>
      <c r="S61" s="112" t="str">
        <f t="shared" si="9"/>
        <v/>
      </c>
      <c r="T61" s="1" t="str">
        <f t="shared" si="10"/>
        <v>Lanc</v>
      </c>
      <c r="U61" s="1" t="str">
        <f t="shared" si="11"/>
        <v>Lanc</v>
      </c>
      <c r="V61" s="112">
        <f t="shared" si="12"/>
        <v>1</v>
      </c>
      <c r="W61" s="112" t="str">
        <f t="shared" si="13"/>
        <v>L</v>
      </c>
      <c r="X61" s="139"/>
      <c r="Y61" s="139"/>
      <c r="Z61" s="139"/>
      <c r="AA61" s="139"/>
    </row>
    <row r="62" spans="2:27" ht="15" customHeight="1" x14ac:dyDescent="0.25">
      <c r="B62" s="138" t="s">
        <v>181</v>
      </c>
      <c r="C62" s="137">
        <v>36770</v>
      </c>
      <c r="D62" s="112">
        <f t="shared" ca="1" si="5"/>
        <v>20</v>
      </c>
      <c r="E62" s="139">
        <v>7</v>
      </c>
      <c r="F62" s="139">
        <v>0</v>
      </c>
      <c r="G62" s="139">
        <v>0</v>
      </c>
      <c r="H62" s="112">
        <f t="shared" si="6"/>
        <v>0</v>
      </c>
      <c r="I62" s="139">
        <v>3</v>
      </c>
      <c r="J62" s="139">
        <v>8</v>
      </c>
      <c r="K62" s="139"/>
      <c r="L62" s="139" t="s">
        <v>78</v>
      </c>
      <c r="M62" s="139"/>
      <c r="N62" s="139"/>
      <c r="O62" s="119" t="str">
        <f t="shared" si="7"/>
        <v>12 OZ, 3 (3+0)</v>
      </c>
      <c r="P62" s="112" t="str">
        <f t="shared" si="8"/>
        <v/>
      </c>
      <c r="Q62" s="140"/>
      <c r="R62" s="139"/>
      <c r="S62" s="112" t="str">
        <f t="shared" si="9"/>
        <v/>
      </c>
      <c r="T62" s="1" t="str">
        <f t="shared" si="10"/>
        <v>Lebeda</v>
      </c>
      <c r="U62" s="1" t="str">
        <f t="shared" si="11"/>
        <v>Lebeda</v>
      </c>
      <c r="V62" s="112">
        <f t="shared" si="12"/>
        <v>1</v>
      </c>
      <c r="W62" s="112" t="str">
        <f t="shared" si="13"/>
        <v>J</v>
      </c>
      <c r="X62" s="139">
        <v>3</v>
      </c>
      <c r="Y62" s="139">
        <v>0</v>
      </c>
      <c r="Z62" s="139">
        <v>0</v>
      </c>
      <c r="AA62" s="139">
        <v>1</v>
      </c>
    </row>
    <row r="63" spans="2:27" ht="15" customHeight="1" x14ac:dyDescent="0.25">
      <c r="B63" s="138" t="s">
        <v>50</v>
      </c>
      <c r="C63" s="137">
        <v>31929</v>
      </c>
      <c r="D63" s="112">
        <f t="shared" ca="1" si="5"/>
        <v>33</v>
      </c>
      <c r="E63" s="139">
        <v>64</v>
      </c>
      <c r="F63" s="139">
        <v>18</v>
      </c>
      <c r="G63" s="139">
        <v>20</v>
      </c>
      <c r="H63" s="112">
        <f t="shared" si="6"/>
        <v>38</v>
      </c>
      <c r="I63" s="139">
        <v>5</v>
      </c>
      <c r="J63" s="139">
        <v>10</v>
      </c>
      <c r="K63" s="139"/>
      <c r="L63" s="139" t="s">
        <v>41</v>
      </c>
      <c r="M63" s="139">
        <v>179</v>
      </c>
      <c r="N63" s="139">
        <v>82</v>
      </c>
      <c r="O63" s="119" t="str">
        <f t="shared" si="7"/>
        <v>67 OZ, 39 (19+20)</v>
      </c>
      <c r="P63" s="112" t="str">
        <f t="shared" si="8"/>
        <v>179/82</v>
      </c>
      <c r="Q63" s="140" t="s">
        <v>219</v>
      </c>
      <c r="R63" s="139">
        <v>1997</v>
      </c>
      <c r="S63" s="112" t="str">
        <f t="shared" si="9"/>
        <v/>
      </c>
      <c r="T63" s="1" t="str">
        <f t="shared" si="10"/>
        <v>Linhart</v>
      </c>
      <c r="U63" s="1" t="str">
        <f t="shared" si="11"/>
        <v>Linhart</v>
      </c>
      <c r="V63" s="112">
        <f t="shared" si="12"/>
        <v>1</v>
      </c>
      <c r="W63" s="112" t="str">
        <f t="shared" si="13"/>
        <v>J</v>
      </c>
      <c r="X63" s="139"/>
      <c r="Y63" s="139"/>
      <c r="Z63" s="139"/>
      <c r="AA63" s="139"/>
    </row>
    <row r="64" spans="2:27" ht="15" customHeight="1" x14ac:dyDescent="0.25">
      <c r="B64" s="138" t="s">
        <v>54</v>
      </c>
      <c r="C64" s="137">
        <v>37561</v>
      </c>
      <c r="D64" s="112">
        <f t="shared" ca="1" si="5"/>
        <v>18</v>
      </c>
      <c r="E64" s="139">
        <v>0</v>
      </c>
      <c r="F64" s="139">
        <v>0</v>
      </c>
      <c r="G64" s="139">
        <v>0</v>
      </c>
      <c r="H64" s="112">
        <f t="shared" si="6"/>
        <v>0</v>
      </c>
      <c r="I64" s="139">
        <v>1</v>
      </c>
      <c r="J64" s="139">
        <v>88</v>
      </c>
      <c r="K64" s="139"/>
      <c r="L64" s="139" t="s">
        <v>30</v>
      </c>
      <c r="M64" s="139">
        <v>180</v>
      </c>
      <c r="N64" s="139">
        <v>83</v>
      </c>
      <c r="O64" s="119" t="str">
        <f t="shared" si="7"/>
        <v>0 OZ, 0 (0+0)</v>
      </c>
      <c r="P64" s="112" t="str">
        <f t="shared" si="8"/>
        <v>180/83</v>
      </c>
      <c r="Q64" s="140"/>
      <c r="R64" s="139"/>
      <c r="S64" s="112" t="str">
        <f t="shared" si="9"/>
        <v>1 OZ, 0 A</v>
      </c>
      <c r="T64" s="1" t="str">
        <f t="shared" si="10"/>
        <v>Lorenc</v>
      </c>
      <c r="U64" s="1" t="str">
        <f t="shared" si="11"/>
        <v>Lorenc</v>
      </c>
      <c r="V64" s="112">
        <f t="shared" si="12"/>
        <v>1</v>
      </c>
      <c r="W64" s="112" t="str">
        <f t="shared" si="13"/>
        <v>M</v>
      </c>
      <c r="X64" s="139"/>
      <c r="Y64" s="139"/>
      <c r="Z64" s="139"/>
      <c r="AA64" s="139"/>
    </row>
    <row r="65" spans="2:27" ht="15" customHeight="1" x14ac:dyDescent="0.25">
      <c r="B65" s="138" t="s">
        <v>57</v>
      </c>
      <c r="C65" s="137">
        <v>34726</v>
      </c>
      <c r="D65" s="112">
        <f t="shared" ca="1" si="5"/>
        <v>26</v>
      </c>
      <c r="E65" s="139"/>
      <c r="F65" s="139"/>
      <c r="G65" s="139"/>
      <c r="H65" s="112">
        <f t="shared" si="6"/>
        <v>0</v>
      </c>
      <c r="I65" s="139">
        <v>3</v>
      </c>
      <c r="J65" s="139">
        <v>37</v>
      </c>
      <c r="K65" s="139"/>
      <c r="L65" s="139" t="s">
        <v>30</v>
      </c>
      <c r="M65" s="139">
        <v>190</v>
      </c>
      <c r="N65" s="139">
        <v>80</v>
      </c>
      <c r="O65" s="119" t="str">
        <f t="shared" si="7"/>
        <v>0 OZ, 0 (0+0)</v>
      </c>
      <c r="P65" s="112" t="str">
        <f t="shared" si="8"/>
        <v>190/80</v>
      </c>
      <c r="Q65" s="140" t="s">
        <v>238</v>
      </c>
      <c r="R65" s="139">
        <v>2007</v>
      </c>
      <c r="S65" s="112" t="str">
        <f t="shared" si="9"/>
        <v>1 OZ, 0 A</v>
      </c>
      <c r="T65" s="1" t="str">
        <f t="shared" si="10"/>
        <v>Mazák</v>
      </c>
      <c r="U65" s="1" t="str">
        <f t="shared" si="11"/>
        <v>Mazák</v>
      </c>
      <c r="V65" s="112">
        <f t="shared" si="12"/>
        <v>1</v>
      </c>
      <c r="W65" s="112" t="str">
        <f t="shared" si="13"/>
        <v>R</v>
      </c>
      <c r="X65" s="139"/>
      <c r="Y65" s="139"/>
      <c r="Z65" s="139"/>
      <c r="AA65" s="139"/>
    </row>
    <row r="66" spans="2:27" ht="15" customHeight="1" x14ac:dyDescent="0.25">
      <c r="B66" s="138" t="s">
        <v>52</v>
      </c>
      <c r="C66" s="137">
        <v>37455</v>
      </c>
      <c r="D66" s="112">
        <f t="shared" ca="1" si="5"/>
        <v>18</v>
      </c>
      <c r="E66" s="139">
        <v>0</v>
      </c>
      <c r="F66" s="139">
        <v>0</v>
      </c>
      <c r="G66" s="139">
        <v>0</v>
      </c>
      <c r="H66" s="112">
        <f t="shared" si="6"/>
        <v>0</v>
      </c>
      <c r="I66" s="139">
        <v>1</v>
      </c>
      <c r="J66" s="139">
        <v>81</v>
      </c>
      <c r="K66" s="139"/>
      <c r="L66" s="139" t="s">
        <v>78</v>
      </c>
      <c r="M66" s="139">
        <v>187</v>
      </c>
      <c r="N66" s="139">
        <v>61</v>
      </c>
      <c r="O66" s="119" t="str">
        <f t="shared" si="7"/>
        <v>18 OZ, 3 (2+1)</v>
      </c>
      <c r="P66" s="112" t="str">
        <f t="shared" si="8"/>
        <v>187/61</v>
      </c>
      <c r="Q66" s="140" t="s">
        <v>29</v>
      </c>
      <c r="R66" s="139">
        <v>2013</v>
      </c>
      <c r="S66" s="112" t="str">
        <f t="shared" si="9"/>
        <v/>
      </c>
      <c r="T66" s="1" t="str">
        <f t="shared" si="10"/>
        <v>Paštika</v>
      </c>
      <c r="U66" s="1" t="str">
        <f t="shared" si="11"/>
        <v>Paštika</v>
      </c>
      <c r="V66" s="112">
        <f t="shared" si="12"/>
        <v>1</v>
      </c>
      <c r="W66" s="112" t="str">
        <f t="shared" si="13"/>
        <v>M</v>
      </c>
      <c r="X66" s="139"/>
      <c r="Y66" s="139"/>
      <c r="Z66" s="139"/>
      <c r="AA66" s="139"/>
    </row>
    <row r="67" spans="2:27" ht="15" customHeight="1" x14ac:dyDescent="0.25">
      <c r="B67" s="186" t="s">
        <v>28</v>
      </c>
      <c r="C67" s="137">
        <v>37402</v>
      </c>
      <c r="D67" s="112">
        <f t="shared" ca="1" si="5"/>
        <v>18</v>
      </c>
      <c r="E67" s="139">
        <v>0</v>
      </c>
      <c r="F67" s="139">
        <v>0</v>
      </c>
      <c r="G67" s="139">
        <v>0</v>
      </c>
      <c r="H67" s="112">
        <f t="shared" si="6"/>
        <v>0</v>
      </c>
      <c r="I67" s="139">
        <v>1</v>
      </c>
      <c r="J67" s="139">
        <v>26</v>
      </c>
      <c r="K67" s="139"/>
      <c r="L67" s="139" t="s">
        <v>78</v>
      </c>
      <c r="M67" s="139">
        <v>181</v>
      </c>
      <c r="N67" s="139">
        <v>66</v>
      </c>
      <c r="O67" s="119" t="str">
        <f t="shared" si="7"/>
        <v>23 OZ, 0 (0+0)</v>
      </c>
      <c r="P67" s="112" t="str">
        <f t="shared" si="8"/>
        <v>181/66</v>
      </c>
      <c r="Q67" s="140" t="s">
        <v>29</v>
      </c>
      <c r="R67" s="139" t="s">
        <v>30</v>
      </c>
      <c r="S67" s="112" t="str">
        <f t="shared" si="9"/>
        <v/>
      </c>
      <c r="T67" s="1" t="str">
        <f t="shared" si="10"/>
        <v>Pinkas</v>
      </c>
      <c r="U67" s="1" t="str">
        <f t="shared" si="11"/>
        <v>Pinkas</v>
      </c>
      <c r="V67" s="112">
        <f t="shared" si="12"/>
        <v>1</v>
      </c>
      <c r="W67" s="112" t="str">
        <f t="shared" si="13"/>
        <v>J</v>
      </c>
      <c r="X67" s="139"/>
      <c r="Y67" s="139"/>
      <c r="Z67" s="139"/>
      <c r="AA67" s="139"/>
    </row>
    <row r="68" spans="2:27" ht="15" customHeight="1" x14ac:dyDescent="0.25">
      <c r="B68" s="186" t="s">
        <v>19</v>
      </c>
      <c r="C68" s="137">
        <v>36658</v>
      </c>
      <c r="D68" s="112">
        <f t="shared" ca="1" si="5"/>
        <v>20</v>
      </c>
      <c r="E68" s="139">
        <v>0</v>
      </c>
      <c r="F68" s="139">
        <v>0</v>
      </c>
      <c r="G68" s="139">
        <v>0</v>
      </c>
      <c r="H68" s="112">
        <f t="shared" si="6"/>
        <v>0</v>
      </c>
      <c r="I68" s="139">
        <v>1</v>
      </c>
      <c r="J68" s="139">
        <v>99</v>
      </c>
      <c r="K68" s="139"/>
      <c r="L68" s="139" t="s">
        <v>78</v>
      </c>
      <c r="M68" s="139">
        <v>186</v>
      </c>
      <c r="N68" s="139">
        <v>80</v>
      </c>
      <c r="O68" s="119" t="str">
        <f t="shared" si="7"/>
        <v>21 OZ, 13 (4+9)</v>
      </c>
      <c r="P68" s="112" t="str">
        <f t="shared" si="8"/>
        <v>186/80</v>
      </c>
      <c r="Q68" s="140" t="s">
        <v>76</v>
      </c>
      <c r="R68" s="139">
        <v>2014</v>
      </c>
      <c r="S68" s="112" t="str">
        <f t="shared" si="9"/>
        <v/>
      </c>
      <c r="T68" s="1" t="str">
        <f t="shared" si="10"/>
        <v>Procházka</v>
      </c>
      <c r="U68" s="1" t="str">
        <f t="shared" si="11"/>
        <v>Procházka</v>
      </c>
      <c r="V68" s="112">
        <f t="shared" si="12"/>
        <v>1</v>
      </c>
      <c r="W68" s="112" t="str">
        <f t="shared" si="13"/>
        <v>J</v>
      </c>
      <c r="X68" s="139"/>
      <c r="Y68" s="139"/>
      <c r="Z68" s="139"/>
      <c r="AA68" s="139"/>
    </row>
    <row r="69" spans="2:27" ht="15" customHeight="1" x14ac:dyDescent="0.25">
      <c r="B69" s="187" t="s">
        <v>2</v>
      </c>
      <c r="C69" s="137">
        <v>35382</v>
      </c>
      <c r="D69" s="112">
        <f t="shared" ca="1" si="5"/>
        <v>24</v>
      </c>
      <c r="E69" s="139">
        <v>65</v>
      </c>
      <c r="F69" s="139">
        <v>37</v>
      </c>
      <c r="G69" s="139">
        <v>34</v>
      </c>
      <c r="H69" s="112">
        <f t="shared" si="6"/>
        <v>71</v>
      </c>
      <c r="I69" s="139">
        <v>5</v>
      </c>
      <c r="J69" s="139">
        <v>29</v>
      </c>
      <c r="K69" s="139"/>
      <c r="L69" s="139" t="s">
        <v>78</v>
      </c>
      <c r="M69" s="139">
        <v>192</v>
      </c>
      <c r="N69" s="139">
        <v>94</v>
      </c>
      <c r="O69" s="119" t="str">
        <f t="shared" si="7"/>
        <v>78 OZ, 87 (43+44)</v>
      </c>
      <c r="P69" s="112" t="str">
        <f t="shared" si="8"/>
        <v>192/94</v>
      </c>
      <c r="Q69" s="140" t="s">
        <v>6</v>
      </c>
      <c r="R69" s="139">
        <v>2005</v>
      </c>
      <c r="S69" s="112" t="str">
        <f t="shared" si="9"/>
        <v/>
      </c>
      <c r="T69" s="1" t="str">
        <f t="shared" si="10"/>
        <v>Skřivánek</v>
      </c>
      <c r="U69" s="1" t="str">
        <f t="shared" si="11"/>
        <v>Skřivánek</v>
      </c>
      <c r="V69" s="112">
        <f t="shared" si="12"/>
        <v>1</v>
      </c>
      <c r="W69" s="112" t="str">
        <f t="shared" si="13"/>
        <v>M</v>
      </c>
      <c r="X69" s="139"/>
      <c r="Y69" s="139"/>
      <c r="Z69" s="139"/>
      <c r="AA69" s="139"/>
    </row>
    <row r="70" spans="2:27" ht="15" customHeight="1" x14ac:dyDescent="0.25">
      <c r="B70" s="187" t="s">
        <v>14</v>
      </c>
      <c r="C70" s="137">
        <v>33907</v>
      </c>
      <c r="D70" s="112">
        <f t="shared" ca="1" si="5"/>
        <v>28</v>
      </c>
      <c r="E70" s="139">
        <v>178</v>
      </c>
      <c r="F70" s="139">
        <v>90</v>
      </c>
      <c r="G70" s="139">
        <v>74</v>
      </c>
      <c r="H70" s="112">
        <f t="shared" si="6"/>
        <v>164</v>
      </c>
      <c r="I70" s="139">
        <v>10</v>
      </c>
      <c r="J70" s="139">
        <v>78</v>
      </c>
      <c r="K70" s="139"/>
      <c r="L70" s="139" t="s">
        <v>78</v>
      </c>
      <c r="M70" s="139">
        <v>172</v>
      </c>
      <c r="N70" s="139">
        <v>73</v>
      </c>
      <c r="O70" s="119" t="str">
        <f t="shared" si="7"/>
        <v>203 OZ, 195 (108+87)</v>
      </c>
      <c r="P70" s="112" t="str">
        <f t="shared" si="8"/>
        <v>172/73</v>
      </c>
      <c r="Q70" s="140" t="s">
        <v>15</v>
      </c>
      <c r="R70" s="139">
        <v>2000</v>
      </c>
      <c r="S70" s="112" t="str">
        <f t="shared" si="9"/>
        <v/>
      </c>
      <c r="T70" s="1" t="str">
        <f t="shared" si="10"/>
        <v>Strachota</v>
      </c>
      <c r="U70" s="1" t="str">
        <f t="shared" si="11"/>
        <v>Strachota</v>
      </c>
      <c r="V70" s="112">
        <f t="shared" si="12"/>
        <v>1</v>
      </c>
      <c r="W70" s="112" t="str">
        <f t="shared" si="13"/>
        <v>M</v>
      </c>
      <c r="X70" s="139"/>
      <c r="Y70" s="139"/>
      <c r="Z70" s="139"/>
      <c r="AA70" s="139"/>
    </row>
    <row r="71" spans="2:27" ht="15" customHeight="1" x14ac:dyDescent="0.25">
      <c r="B71" s="138" t="s">
        <v>56</v>
      </c>
      <c r="C71" s="137">
        <v>34200</v>
      </c>
      <c r="D71" s="112">
        <f t="shared" ca="1" si="5"/>
        <v>27</v>
      </c>
      <c r="E71" s="139">
        <v>83</v>
      </c>
      <c r="F71" s="139">
        <v>24</v>
      </c>
      <c r="G71" s="139">
        <v>18</v>
      </c>
      <c r="H71" s="112">
        <f t="shared" si="6"/>
        <v>42</v>
      </c>
      <c r="I71" s="139">
        <v>6</v>
      </c>
      <c r="J71" s="139">
        <v>65</v>
      </c>
      <c r="K71" s="139" t="s">
        <v>222</v>
      </c>
      <c r="L71" s="139" t="s">
        <v>41</v>
      </c>
      <c r="M71" s="139">
        <v>169</v>
      </c>
      <c r="N71" s="139">
        <v>65</v>
      </c>
      <c r="O71" s="119" t="str">
        <f t="shared" si="7"/>
        <v>109 OZ, 56 (32+24)</v>
      </c>
      <c r="P71" s="112" t="str">
        <f t="shared" si="8"/>
        <v>169/65</v>
      </c>
      <c r="Q71" s="140" t="s">
        <v>16</v>
      </c>
      <c r="R71" s="139">
        <v>2004</v>
      </c>
      <c r="S71" s="112" t="str">
        <f t="shared" si="9"/>
        <v/>
      </c>
      <c r="T71" s="1" t="str">
        <f t="shared" si="10"/>
        <v>Stuchlík O.</v>
      </c>
      <c r="U71" s="1" t="str">
        <f t="shared" si="11"/>
        <v>Stuchlík</v>
      </c>
      <c r="V71" s="112">
        <f t="shared" si="12"/>
        <v>2</v>
      </c>
      <c r="W71" s="112" t="str">
        <f t="shared" si="13"/>
        <v>O</v>
      </c>
      <c r="X71" s="139"/>
      <c r="Y71" s="139"/>
      <c r="Z71" s="139"/>
      <c r="AA71" s="139"/>
    </row>
    <row r="72" spans="2:27" ht="15" customHeight="1" x14ac:dyDescent="0.25">
      <c r="B72" s="138" t="s">
        <v>20</v>
      </c>
      <c r="C72" s="137">
        <v>34200</v>
      </c>
      <c r="D72" s="112">
        <f t="shared" ca="1" si="5"/>
        <v>27</v>
      </c>
      <c r="E72" s="139">
        <v>71</v>
      </c>
      <c r="F72" s="139">
        <v>18</v>
      </c>
      <c r="G72" s="139">
        <v>47</v>
      </c>
      <c r="H72" s="112">
        <f t="shared" si="6"/>
        <v>65</v>
      </c>
      <c r="I72" s="139">
        <v>5</v>
      </c>
      <c r="J72" s="139">
        <v>64</v>
      </c>
      <c r="K72" s="139"/>
      <c r="L72" s="139" t="s">
        <v>78</v>
      </c>
      <c r="M72" s="139">
        <v>173</v>
      </c>
      <c r="N72" s="139">
        <v>68</v>
      </c>
      <c r="O72" s="119" t="str">
        <f t="shared" si="7"/>
        <v>97 OZ, 86 (26+60)</v>
      </c>
      <c r="P72" s="112" t="str">
        <f t="shared" si="8"/>
        <v>173/68</v>
      </c>
      <c r="Q72" s="140" t="s">
        <v>6</v>
      </c>
      <c r="R72" s="139">
        <v>2003</v>
      </c>
      <c r="S72" s="112" t="str">
        <f t="shared" si="9"/>
        <v/>
      </c>
      <c r="T72" s="1" t="str">
        <f t="shared" si="10"/>
        <v>Stuchlík Z.</v>
      </c>
      <c r="U72" s="1" t="str">
        <f t="shared" si="11"/>
        <v>Stuchlík</v>
      </c>
      <c r="V72" s="112">
        <f t="shared" si="12"/>
        <v>2</v>
      </c>
      <c r="W72" s="112" t="str">
        <f t="shared" si="13"/>
        <v>Z</v>
      </c>
      <c r="X72" s="139"/>
      <c r="Y72" s="139"/>
      <c r="Z72" s="139"/>
      <c r="AA72" s="139"/>
    </row>
    <row r="73" spans="2:27" ht="15" customHeight="1" x14ac:dyDescent="0.25">
      <c r="B73" s="138" t="s">
        <v>10</v>
      </c>
      <c r="C73" s="137">
        <v>32666</v>
      </c>
      <c r="D73" s="112">
        <f t="shared" ca="1" si="5"/>
        <v>31</v>
      </c>
      <c r="E73" s="139">
        <v>186</v>
      </c>
      <c r="F73" s="139">
        <v>63</v>
      </c>
      <c r="G73" s="139">
        <v>58</v>
      </c>
      <c r="H73" s="112">
        <f t="shared" si="6"/>
        <v>121</v>
      </c>
      <c r="I73" s="139">
        <v>11</v>
      </c>
      <c r="J73" s="139">
        <v>76</v>
      </c>
      <c r="K73" s="139"/>
      <c r="L73" s="139" t="s">
        <v>78</v>
      </c>
      <c r="M73" s="139">
        <v>192</v>
      </c>
      <c r="N73" s="139">
        <v>83</v>
      </c>
      <c r="O73" s="119" t="str">
        <f t="shared" si="7"/>
        <v>202 OZ, 128 (64+64)</v>
      </c>
      <c r="P73" s="112" t="str">
        <f t="shared" si="8"/>
        <v>192/83</v>
      </c>
      <c r="Q73" s="140" t="s">
        <v>11</v>
      </c>
      <c r="R73" s="139">
        <v>2003</v>
      </c>
      <c r="S73" s="112" t="str">
        <f t="shared" si="9"/>
        <v/>
      </c>
      <c r="T73" s="1" t="str">
        <f t="shared" si="10"/>
        <v>Svoboda</v>
      </c>
      <c r="U73" s="1" t="str">
        <f t="shared" si="11"/>
        <v>Svoboda</v>
      </c>
      <c r="V73" s="112">
        <f t="shared" si="12"/>
        <v>1</v>
      </c>
      <c r="W73" s="112" t="str">
        <f t="shared" si="13"/>
        <v>J</v>
      </c>
      <c r="X73" s="139"/>
      <c r="Y73" s="139"/>
      <c r="Z73" s="139"/>
      <c r="AA73" s="139"/>
    </row>
    <row r="74" spans="2:27" ht="15" customHeight="1" x14ac:dyDescent="0.25">
      <c r="B74" s="138" t="s">
        <v>32</v>
      </c>
      <c r="C74" s="185">
        <v>35171</v>
      </c>
      <c r="D74" s="112">
        <f t="shared" ca="1" si="5"/>
        <v>24</v>
      </c>
      <c r="E74" s="139">
        <v>20</v>
      </c>
      <c r="F74" s="139">
        <v>0</v>
      </c>
      <c r="G74" s="139">
        <v>2</v>
      </c>
      <c r="H74" s="112">
        <f t="shared" si="6"/>
        <v>2</v>
      </c>
      <c r="I74" s="139">
        <v>6</v>
      </c>
      <c r="J74" s="139">
        <v>42</v>
      </c>
      <c r="K74" s="139"/>
      <c r="L74" s="139" t="s">
        <v>30</v>
      </c>
      <c r="M74" s="139">
        <v>187</v>
      </c>
      <c r="N74" s="139">
        <v>88</v>
      </c>
      <c r="O74" s="119" t="str">
        <f t="shared" si="7"/>
        <v>20 OZ, 2 (0+2)</v>
      </c>
      <c r="P74" s="112" t="str">
        <f t="shared" si="8"/>
        <v>187/88</v>
      </c>
      <c r="Q74" s="140" t="s">
        <v>8</v>
      </c>
      <c r="R74" s="139">
        <v>2008</v>
      </c>
      <c r="S74" s="112" t="str">
        <f t="shared" si="9"/>
        <v>40 OZ, 2 A</v>
      </c>
      <c r="T74" s="1" t="str">
        <f t="shared" si="10"/>
        <v>Šantora</v>
      </c>
      <c r="U74" s="1" t="str">
        <f t="shared" si="11"/>
        <v>Šantora</v>
      </c>
      <c r="V74" s="112">
        <f t="shared" si="12"/>
        <v>1</v>
      </c>
      <c r="W74" s="112" t="str">
        <f t="shared" si="13"/>
        <v>K</v>
      </c>
      <c r="X74" s="139"/>
      <c r="Y74" s="139"/>
      <c r="Z74" s="139"/>
      <c r="AA74" s="139"/>
    </row>
    <row r="75" spans="2:27" ht="15" customHeight="1" x14ac:dyDescent="0.25">
      <c r="B75" s="138" t="s">
        <v>55</v>
      </c>
      <c r="C75" s="137">
        <v>37453</v>
      </c>
      <c r="D75" s="112">
        <f t="shared" ca="1" si="5"/>
        <v>18</v>
      </c>
      <c r="E75" s="139">
        <v>4</v>
      </c>
      <c r="F75" s="139">
        <v>1</v>
      </c>
      <c r="G75" s="139">
        <v>0</v>
      </c>
      <c r="H75" s="112">
        <f t="shared" si="6"/>
        <v>1</v>
      </c>
      <c r="I75" s="139">
        <v>2</v>
      </c>
      <c r="J75" s="139">
        <v>87</v>
      </c>
      <c r="K75" s="139"/>
      <c r="L75" s="139" t="s">
        <v>41</v>
      </c>
      <c r="M75" s="139">
        <v>181</v>
      </c>
      <c r="N75" s="139">
        <v>75</v>
      </c>
      <c r="O75" s="119" t="str">
        <f t="shared" si="7"/>
        <v>15 OZ, 1 (1+0)</v>
      </c>
      <c r="P75" s="112" t="str">
        <f t="shared" si="8"/>
        <v>181/75</v>
      </c>
      <c r="Q75" s="140" t="s">
        <v>29</v>
      </c>
      <c r="R75" s="139">
        <v>2013</v>
      </c>
      <c r="S75" s="112" t="str">
        <f t="shared" si="9"/>
        <v/>
      </c>
      <c r="T75" s="1" t="str">
        <f t="shared" si="10"/>
        <v>Šaroch</v>
      </c>
      <c r="U75" s="1" t="str">
        <f t="shared" si="11"/>
        <v>Šaroch</v>
      </c>
      <c r="V75" s="112">
        <f t="shared" si="12"/>
        <v>1</v>
      </c>
      <c r="W75" s="112" t="str">
        <f t="shared" si="13"/>
        <v>M</v>
      </c>
      <c r="X75" s="139"/>
      <c r="Y75" s="139"/>
      <c r="Z75" s="139"/>
      <c r="AA75" s="139"/>
    </row>
    <row r="76" spans="2:27" ht="15" customHeight="1" x14ac:dyDescent="0.25">
      <c r="B76" s="138" t="s">
        <v>53</v>
      </c>
      <c r="C76" s="186"/>
      <c r="D76" s="112" t="str">
        <f t="shared" si="5"/>
        <v/>
      </c>
      <c r="E76" s="139">
        <v>0</v>
      </c>
      <c r="F76" s="139">
        <v>0</v>
      </c>
      <c r="G76" s="139">
        <v>0</v>
      </c>
      <c r="H76" s="112">
        <f t="shared" si="6"/>
        <v>0</v>
      </c>
      <c r="I76" s="139">
        <v>1</v>
      </c>
      <c r="J76" s="139">
        <v>12</v>
      </c>
      <c r="K76" s="139"/>
      <c r="L76" s="139"/>
      <c r="M76" s="139"/>
      <c r="N76" s="139"/>
      <c r="O76" s="119" t="str">
        <f t="shared" si="7"/>
        <v>2 OZ, 0 (0+0)</v>
      </c>
      <c r="P76" s="112" t="str">
        <f t="shared" si="8"/>
        <v/>
      </c>
      <c r="Q76" s="140"/>
      <c r="R76" s="139"/>
      <c r="S76" s="112" t="str">
        <f t="shared" si="9"/>
        <v/>
      </c>
      <c r="T76" s="1" t="str">
        <f t="shared" si="10"/>
        <v>Šolaja</v>
      </c>
      <c r="U76" s="1" t="str">
        <f t="shared" si="11"/>
        <v>Šolaja</v>
      </c>
      <c r="V76" s="112">
        <f t="shared" si="12"/>
        <v>1</v>
      </c>
      <c r="W76" s="112" t="str">
        <f t="shared" si="13"/>
        <v>M</v>
      </c>
      <c r="X76" s="139"/>
      <c r="Y76" s="139"/>
      <c r="Z76" s="139"/>
      <c r="AA76" s="139"/>
    </row>
    <row r="77" spans="2:27" ht="15" customHeight="1" x14ac:dyDescent="0.25">
      <c r="B77" s="138" t="s">
        <v>17</v>
      </c>
      <c r="C77" s="137">
        <v>33619</v>
      </c>
      <c r="D77" s="112">
        <f t="shared" ca="1" si="5"/>
        <v>29</v>
      </c>
      <c r="E77" s="139">
        <v>79</v>
      </c>
      <c r="F77" s="139">
        <v>4</v>
      </c>
      <c r="G77" s="139">
        <v>15</v>
      </c>
      <c r="H77" s="112">
        <f t="shared" si="6"/>
        <v>19</v>
      </c>
      <c r="I77" s="139">
        <v>5</v>
      </c>
      <c r="J77" s="139">
        <v>4</v>
      </c>
      <c r="K77" s="139"/>
      <c r="L77" s="139" t="s">
        <v>78</v>
      </c>
      <c r="M77" s="139">
        <v>197</v>
      </c>
      <c r="N77" s="139">
        <v>92</v>
      </c>
      <c r="O77" s="119" t="str">
        <f t="shared" si="7"/>
        <v>103 OZ, 26 (8+18)</v>
      </c>
      <c r="P77" s="112" t="str">
        <f t="shared" si="8"/>
        <v>197/92</v>
      </c>
      <c r="Q77" s="140" t="s">
        <v>18</v>
      </c>
      <c r="R77" s="139">
        <v>2007</v>
      </c>
      <c r="S77" s="112" t="str">
        <f t="shared" si="9"/>
        <v/>
      </c>
      <c r="T77" s="1" t="str">
        <f t="shared" si="10"/>
        <v>Vnuk</v>
      </c>
      <c r="U77" s="1" t="str">
        <f t="shared" si="11"/>
        <v>Vnuk</v>
      </c>
      <c r="V77" s="112">
        <f t="shared" si="12"/>
        <v>1</v>
      </c>
      <c r="W77" s="112" t="str">
        <f t="shared" si="13"/>
        <v>R</v>
      </c>
      <c r="X77" s="139"/>
      <c r="Y77" s="139"/>
      <c r="Z77" s="139"/>
      <c r="AA77" s="139"/>
    </row>
    <row r="78" spans="2:27" ht="15" customHeight="1" x14ac:dyDescent="0.25">
      <c r="B78" s="138" t="s">
        <v>49</v>
      </c>
      <c r="C78" s="137">
        <v>35835</v>
      </c>
      <c r="D78" s="112">
        <f t="shared" ca="1" si="5"/>
        <v>23</v>
      </c>
      <c r="E78" s="139">
        <v>68</v>
      </c>
      <c r="F78" s="139">
        <v>2</v>
      </c>
      <c r="G78" s="139">
        <v>0</v>
      </c>
      <c r="H78" s="112">
        <f t="shared" si="6"/>
        <v>2</v>
      </c>
      <c r="I78" s="139">
        <v>4</v>
      </c>
      <c r="J78" s="139">
        <v>33</v>
      </c>
      <c r="K78" s="139"/>
      <c r="L78" s="139" t="s">
        <v>41</v>
      </c>
      <c r="M78" s="139">
        <v>194</v>
      </c>
      <c r="N78" s="139">
        <v>90</v>
      </c>
      <c r="O78" s="119" t="str">
        <f t="shared" si="7"/>
        <v>72 OZ, 2 (2+0)</v>
      </c>
      <c r="P78" s="112" t="str">
        <f t="shared" si="8"/>
        <v>194/90</v>
      </c>
      <c r="Q78" s="140" t="s">
        <v>29</v>
      </c>
      <c r="R78" s="139">
        <v>2005</v>
      </c>
      <c r="S78" s="112" t="str">
        <f t="shared" si="9"/>
        <v/>
      </c>
      <c r="T78" s="1" t="str">
        <f t="shared" si="10"/>
        <v>Záň</v>
      </c>
      <c r="U78" s="1" t="str">
        <f t="shared" si="11"/>
        <v>Záň</v>
      </c>
      <c r="V78" s="112">
        <f t="shared" si="12"/>
        <v>1</v>
      </c>
      <c r="W78" s="112" t="str">
        <f t="shared" si="13"/>
        <v>D</v>
      </c>
      <c r="X78" s="139"/>
      <c r="Y78" s="139"/>
      <c r="Z78" s="139"/>
      <c r="AA78" s="139"/>
    </row>
    <row r="79" spans="2:27" ht="15" customHeight="1" x14ac:dyDescent="0.25">
      <c r="B79" s="138"/>
      <c r="C79" s="137"/>
      <c r="D79" s="112" t="str">
        <f t="shared" ref="D79:D82" si="14">IF(C79 &lt;&gt; 0,ROUNDDOWN(($A$47-C79)/365.25,0),"")</f>
        <v/>
      </c>
      <c r="E79" s="139"/>
      <c r="F79" s="139"/>
      <c r="G79" s="139"/>
      <c r="H79" s="112" t="str">
        <f t="shared" ref="H79:H82" si="15">IF(B79&lt;&gt;0,F79+G79,"")</f>
        <v/>
      </c>
      <c r="I79" s="139"/>
      <c r="J79" s="139"/>
      <c r="K79" s="139"/>
      <c r="L79" s="139"/>
      <c r="M79" s="139"/>
      <c r="N79" s="139"/>
      <c r="O79" s="119" t="str">
        <f t="shared" ref="O79:O82" si="16">IF(B79&lt;&gt;0,CONCATENATE(E79+IFERROR(VLOOKUP(B79,$B$2:$N$36,4,FALSE),0) + X79, " OZ, ", H79+IFERROR(VLOOKUP(B79,$B$2:$N$36,9,FALSE),0) + Y79+Z79, " (", F79+IFERROR(VLOOKUP(B79,$B$2:$N$36,5,FALSE),0) + Y79, "+",G79+IFERROR(VLOOKUP(B79,$B$2:$N$36,8,FALSE),0) +  Z79, ")"), "")</f>
        <v/>
      </c>
      <c r="P79" s="112" t="str">
        <f t="shared" ref="P79:P82" si="17">IF(M79&lt;&gt;0,CONCATENATE(M79,"/",N79),"")</f>
        <v/>
      </c>
      <c r="Q79" s="140"/>
      <c r="R79" s="139"/>
      <c r="S79" s="112"/>
      <c r="T79" s="1" t="str">
        <f t="shared" ref="T79:T82" si="18">IF(B79&lt;&gt;0,IF(V79=1,U79,CONCATENATE(U79," ",W79,".")),"")</f>
        <v/>
      </c>
      <c r="U79" s="1" t="str">
        <f t="shared" ref="U79:U82" si="19">IFERROR(RIGHT(B79,LEN(B79)-SEARCH(" ", B79,1)),"")</f>
        <v/>
      </c>
      <c r="V79" s="112" t="str">
        <f t="shared" ref="V79:V82" si="20">IF(B79&lt;&gt;0,COUNTIF($U$48:$U$82,U79),"")</f>
        <v/>
      </c>
      <c r="W79" s="112" t="str">
        <f t="shared" ref="W79:W82" si="21">IFERROR(LEFT(LEFT(B79,SEARCH(" ",B79,1)),1),"")</f>
        <v/>
      </c>
      <c r="X79" s="139"/>
      <c r="Y79" s="139"/>
      <c r="Z79" s="139"/>
      <c r="AA79" s="139"/>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c r="T80" s="1" t="str">
        <f t="shared" si="18"/>
        <v/>
      </c>
      <c r="U80" s="1" t="str">
        <f t="shared" si="19"/>
        <v/>
      </c>
      <c r="V80" s="112" t="str">
        <f t="shared" si="20"/>
        <v/>
      </c>
      <c r="W80" s="112" t="str">
        <f t="shared" si="21"/>
        <v/>
      </c>
      <c r="X80" s="139"/>
      <c r="Y80" s="139"/>
      <c r="Z80" s="139"/>
      <c r="AA80" s="139"/>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c r="T81" s="1" t="str">
        <f t="shared" si="18"/>
        <v/>
      </c>
      <c r="U81" s="1" t="str">
        <f t="shared" si="19"/>
        <v/>
      </c>
      <c r="V81" s="112" t="str">
        <f t="shared" si="20"/>
        <v/>
      </c>
      <c r="W81" s="112" t="str">
        <f t="shared" si="21"/>
        <v/>
      </c>
      <c r="X81" s="139"/>
      <c r="Y81" s="139"/>
      <c r="Z81" s="139"/>
      <c r="AA81" s="139"/>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c r="T82" s="1" t="str">
        <f t="shared" si="18"/>
        <v/>
      </c>
      <c r="U82" s="1" t="str">
        <f t="shared" si="19"/>
        <v/>
      </c>
      <c r="V82" s="112" t="str">
        <f t="shared" si="20"/>
        <v/>
      </c>
      <c r="W82" s="112" t="str">
        <f t="shared" si="21"/>
        <v/>
      </c>
      <c r="X82" s="139"/>
      <c r="Y82" s="139"/>
      <c r="Z82" s="139"/>
      <c r="AA82" s="139"/>
    </row>
    <row r="84" spans="1:27" s="2" customFormat="1" ht="15" customHeight="1" x14ac:dyDescent="0.25">
      <c r="A84" s="7">
        <f ca="1">TODAY()</f>
        <v>44263</v>
      </c>
      <c r="B84" s="2" t="s">
        <v>59</v>
      </c>
      <c r="C84" s="2" t="s">
        <v>66</v>
      </c>
      <c r="D84" s="2" t="s">
        <v>67</v>
      </c>
      <c r="E84" s="401" t="s">
        <v>94</v>
      </c>
      <c r="F84" s="401"/>
      <c r="G84" s="401" t="s">
        <v>100</v>
      </c>
      <c r="H84" s="401"/>
      <c r="I84" s="401"/>
      <c r="J84" s="401"/>
      <c r="K84" s="401"/>
      <c r="Q84" s="9"/>
    </row>
    <row r="85" spans="1:27" ht="30" customHeight="1" x14ac:dyDescent="0.25">
      <c r="B85" s="138" t="s">
        <v>95</v>
      </c>
      <c r="C85" s="137">
        <v>30490</v>
      </c>
      <c r="D85" s="6">
        <f ca="1">IF(B85&lt;&gt;0,ROUNDDOWN(($A$84-C85)/365.25,0),"")</f>
        <v>37</v>
      </c>
      <c r="E85" s="400" t="s">
        <v>99</v>
      </c>
      <c r="F85" s="400"/>
      <c r="G85" s="400" t="s">
        <v>194</v>
      </c>
      <c r="H85" s="400"/>
      <c r="I85" s="400"/>
      <c r="J85" s="400"/>
      <c r="K85" s="400"/>
    </row>
    <row r="86" spans="1:27" ht="30" customHeight="1" x14ac:dyDescent="0.25">
      <c r="B86" s="138" t="s">
        <v>96</v>
      </c>
      <c r="C86" s="137">
        <v>31402</v>
      </c>
      <c r="D86" s="112">
        <f t="shared" ref="D86:D92" ca="1" si="22">IF(B86&lt;&gt;0,ROUNDDOWN(($A$84-C86)/365.25,0),"")</f>
        <v>35</v>
      </c>
      <c r="E86" s="400" t="s">
        <v>99</v>
      </c>
      <c r="F86" s="400"/>
      <c r="G86" s="400" t="s">
        <v>567</v>
      </c>
      <c r="H86" s="400"/>
      <c r="I86" s="400"/>
      <c r="J86" s="400"/>
      <c r="K86" s="400"/>
    </row>
    <row r="87" spans="1:27" ht="30" customHeight="1" x14ac:dyDescent="0.25">
      <c r="B87" s="138" t="s">
        <v>97</v>
      </c>
      <c r="C87" s="137">
        <v>34755</v>
      </c>
      <c r="D87" s="112">
        <f t="shared" ca="1" si="22"/>
        <v>26</v>
      </c>
      <c r="E87" s="400" t="s">
        <v>101</v>
      </c>
      <c r="F87" s="400"/>
      <c r="G87" s="400" t="s">
        <v>30</v>
      </c>
      <c r="H87" s="400"/>
      <c r="I87" s="400"/>
      <c r="J87" s="400"/>
      <c r="K87" s="400"/>
    </row>
    <row r="88" spans="1:27" ht="30" customHeight="1" x14ac:dyDescent="0.25">
      <c r="B88" s="138" t="s">
        <v>98</v>
      </c>
      <c r="C88" s="137">
        <v>35465</v>
      </c>
      <c r="D88" s="112">
        <f t="shared" ca="1" si="22"/>
        <v>24</v>
      </c>
      <c r="E88" s="400" t="s">
        <v>102</v>
      </c>
      <c r="F88" s="400"/>
      <c r="G88" s="400" t="s">
        <v>103</v>
      </c>
      <c r="H88" s="400"/>
      <c r="I88" s="400"/>
      <c r="J88" s="400"/>
      <c r="K88" s="400"/>
    </row>
    <row r="89" spans="1:27" ht="30" customHeight="1" x14ac:dyDescent="0.25">
      <c r="B89" s="138" t="s">
        <v>587</v>
      </c>
      <c r="C89" s="137">
        <v>33139</v>
      </c>
      <c r="D89" s="112">
        <f t="shared" ca="1" si="22"/>
        <v>30</v>
      </c>
      <c r="E89" s="400" t="s">
        <v>588</v>
      </c>
      <c r="F89" s="400"/>
      <c r="G89" s="400" t="s">
        <v>589</v>
      </c>
      <c r="H89" s="400"/>
      <c r="I89" s="400"/>
      <c r="J89" s="400"/>
      <c r="K89" s="400"/>
    </row>
    <row r="90" spans="1:27" ht="30" customHeight="1" x14ac:dyDescent="0.25">
      <c r="B90" s="138"/>
      <c r="C90" s="138"/>
      <c r="D90" s="112" t="str">
        <f t="shared" si="22"/>
        <v/>
      </c>
      <c r="E90" s="400"/>
      <c r="F90" s="400"/>
      <c r="G90" s="400"/>
      <c r="H90" s="400"/>
      <c r="I90" s="400"/>
      <c r="J90" s="400"/>
      <c r="K90" s="400"/>
    </row>
    <row r="91" spans="1:27" ht="30" customHeight="1" x14ac:dyDescent="0.25">
      <c r="B91" s="138"/>
      <c r="C91" s="138"/>
      <c r="D91" s="112" t="str">
        <f t="shared" si="22"/>
        <v/>
      </c>
      <c r="E91" s="400"/>
      <c r="F91" s="400"/>
      <c r="G91" s="400"/>
      <c r="H91" s="400"/>
      <c r="I91" s="400"/>
      <c r="J91" s="400"/>
      <c r="K91" s="400"/>
    </row>
    <row r="92" spans="1:27" ht="30" customHeight="1" x14ac:dyDescent="0.25">
      <c r="B92" s="138"/>
      <c r="C92" s="138"/>
      <c r="D92" s="112" t="str">
        <f t="shared" si="22"/>
        <v/>
      </c>
      <c r="E92" s="400"/>
      <c r="F92" s="400"/>
      <c r="G92" s="400"/>
      <c r="H92" s="400"/>
      <c r="I92" s="400"/>
      <c r="J92" s="400"/>
      <c r="K92" s="400"/>
    </row>
  </sheetData>
  <sheetProtection algorithmName="SHA-512" hashValue="n52FDvIDi3ys2UG3xLNulfZfzJO1cmCI7DZZPd50RKDoYzBu75VhOAxmVVTB8Geva3H7X+6CoXvJpueba4l83A==" saltValue="fICB9Pn/QX8z+0A6QTkMvw==" spinCount="100000" sheet="1" objects="1" scenarios="1" selectLockedCells="1"/>
  <sortState ref="B48:AA78">
    <sortCondition ref="U48:U78"/>
    <sortCondition ref="B48:B78"/>
  </sortState>
  <mergeCells count="19">
    <mergeCell ref="X46:AA46"/>
    <mergeCell ref="E92:F92"/>
    <mergeCell ref="G89:K89"/>
    <mergeCell ref="G90:K90"/>
    <mergeCell ref="G91:K91"/>
    <mergeCell ref="G92:K92"/>
    <mergeCell ref="G84:K84"/>
    <mergeCell ref="G85:K85"/>
    <mergeCell ref="G86:K86"/>
    <mergeCell ref="G87:K87"/>
    <mergeCell ref="G88:K88"/>
    <mergeCell ref="E89:F89"/>
    <mergeCell ref="E90:F90"/>
    <mergeCell ref="E91:F91"/>
    <mergeCell ref="E84:F84"/>
    <mergeCell ref="E85:F85"/>
    <mergeCell ref="E86:F86"/>
    <mergeCell ref="E87:F87"/>
    <mergeCell ref="E88:F88"/>
  </mergeCells>
  <conditionalFormatting sqref="P2:P36">
    <cfRule type="containsText" dxfId="63" priority="1" operator="containsText" text="ANO">
      <formula>NOT(ISERROR(SEARCH("ANO",P2)))</formula>
    </cfRule>
    <cfRule type="containsText" dxfId="6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topLeftCell="A13" workbookViewId="0">
      <selection activeCell="B36" sqref="B36:E40"/>
    </sheetView>
  </sheetViews>
  <sheetFormatPr defaultRowHeight="15" x14ac:dyDescent="0.25"/>
  <cols>
    <col min="1" max="1" width="9.140625" style="121"/>
    <col min="2" max="2" width="18.140625" bestFit="1" customWidth="1"/>
    <col min="4" max="5" width="9.140625" customWidth="1"/>
  </cols>
  <sheetData>
    <row r="1" spans="1:6" x14ac:dyDescent="0.25">
      <c r="A1" s="401" t="s">
        <v>36</v>
      </c>
      <c r="B1" s="1" t="s">
        <v>239</v>
      </c>
      <c r="C1" s="212">
        <v>31</v>
      </c>
      <c r="D1" s="403" t="str">
        <f>IFERROR(RIGHT(B1,LEN(B1)-SEARCH(" ",B1)),"")</f>
        <v>Michal Strachota</v>
      </c>
      <c r="E1" s="403"/>
      <c r="F1" s="6"/>
    </row>
    <row r="2" spans="1:6" x14ac:dyDescent="0.25">
      <c r="A2" s="401"/>
      <c r="B2" s="1" t="s">
        <v>548</v>
      </c>
      <c r="C2" s="212">
        <v>26</v>
      </c>
      <c r="D2" s="403" t="str">
        <f t="shared" ref="D2:D30" si="0">IFERROR(RIGHT(B2,LEN(B2)-SEARCH(" ",B2)),"")</f>
        <v>Lukáš Gregor</v>
      </c>
      <c r="E2" s="403"/>
      <c r="F2" s="6"/>
    </row>
    <row r="3" spans="1:6" x14ac:dyDescent="0.25">
      <c r="A3" s="401"/>
      <c r="B3" s="1" t="s">
        <v>962</v>
      </c>
      <c r="C3" s="212">
        <v>21</v>
      </c>
      <c r="D3" s="403" t="str">
        <f t="shared" si="0"/>
        <v>Zbyněk Stuchlík</v>
      </c>
      <c r="E3" s="403"/>
      <c r="F3" s="6"/>
    </row>
    <row r="4" spans="1:6" x14ac:dyDescent="0.25">
      <c r="A4" s="401"/>
      <c r="B4" s="1" t="s">
        <v>963</v>
      </c>
      <c r="C4" s="212">
        <v>20</v>
      </c>
      <c r="D4" s="403" t="str">
        <f t="shared" si="0"/>
        <v>Milan Bína</v>
      </c>
      <c r="E4" s="403"/>
      <c r="F4" s="6"/>
    </row>
    <row r="5" spans="1:6" x14ac:dyDescent="0.25">
      <c r="A5" s="401"/>
      <c r="B5" s="1" t="s">
        <v>964</v>
      </c>
      <c r="C5" s="212">
        <v>16</v>
      </c>
      <c r="D5" s="403" t="str">
        <f t="shared" si="0"/>
        <v>Martin Skřivánek</v>
      </c>
      <c r="E5" s="403"/>
      <c r="F5" s="6"/>
    </row>
    <row r="6" spans="1:6" x14ac:dyDescent="0.25">
      <c r="A6" s="401" t="s">
        <v>241</v>
      </c>
      <c r="B6" s="1" t="s">
        <v>245</v>
      </c>
      <c r="C6" s="212" t="s">
        <v>965</v>
      </c>
      <c r="D6" s="403" t="str">
        <f t="shared" si="0"/>
        <v>Karel Šantora</v>
      </c>
      <c r="E6" s="403"/>
      <c r="F6" s="120">
        <f>IF(B6&lt;&gt;0,_xlfn.NUMBERVALUE(C6,","),"")</f>
        <v>7.14</v>
      </c>
    </row>
    <row r="7" spans="1:6" x14ac:dyDescent="0.25">
      <c r="A7" s="401"/>
      <c r="B7" s="1" t="s">
        <v>606</v>
      </c>
      <c r="C7" s="212" t="s">
        <v>330</v>
      </c>
      <c r="D7" s="403" t="str">
        <f t="shared" si="0"/>
        <v>Rastislav Mazák</v>
      </c>
      <c r="E7" s="403"/>
      <c r="F7" s="120">
        <f>IF(B7&lt;&gt;0,_xlfn.NUMBERVALUE(C7,","),"")</f>
        <v>7.18</v>
      </c>
    </row>
    <row r="8" spans="1:6" x14ac:dyDescent="0.25">
      <c r="A8" s="401"/>
      <c r="B8" s="1" t="s">
        <v>607</v>
      </c>
      <c r="C8" s="212" t="s">
        <v>902</v>
      </c>
      <c r="D8" s="403" t="str">
        <f t="shared" si="0"/>
        <v>Jiří Buchta</v>
      </c>
      <c r="E8" s="403"/>
      <c r="F8" s="120">
        <f>IF(B8&lt;&gt;0,_xlfn.NUMBERVALUE(C8,","),"")</f>
        <v>8.1199999999999992</v>
      </c>
    </row>
    <row r="9" spans="1:6" x14ac:dyDescent="0.25">
      <c r="A9" s="401"/>
      <c r="B9" s="1" t="s">
        <v>608</v>
      </c>
      <c r="C9" s="212" t="s">
        <v>609</v>
      </c>
      <c r="D9" s="403" t="str">
        <f t="shared" si="0"/>
        <v>Matyáš Lorenc</v>
      </c>
      <c r="E9" s="403"/>
      <c r="F9" s="120">
        <f>IF(B9&lt;&gt;0,_xlfn.NUMBERVALUE(C9,","),"")</f>
        <v>12</v>
      </c>
    </row>
    <row r="10" spans="1:6" x14ac:dyDescent="0.25">
      <c r="A10" s="401"/>
      <c r="B10" s="1"/>
      <c r="C10" s="212"/>
      <c r="D10" s="403" t="str">
        <f t="shared" si="0"/>
        <v/>
      </c>
      <c r="E10" s="403"/>
      <c r="F10" s="120" t="str">
        <f>IF(B10&lt;&gt;0,_xlfn.NUMBERVALUE(C10,","),"")</f>
        <v/>
      </c>
    </row>
    <row r="11" spans="1:6" x14ac:dyDescent="0.25">
      <c r="A11" s="401" t="s">
        <v>35</v>
      </c>
      <c r="B11" s="1" t="s">
        <v>242</v>
      </c>
      <c r="C11" s="212">
        <v>19</v>
      </c>
      <c r="D11" s="403" t="str">
        <f t="shared" si="0"/>
        <v>Lukáš Gregor</v>
      </c>
      <c r="E11" s="403"/>
      <c r="F11" s="6"/>
    </row>
    <row r="12" spans="1:6" x14ac:dyDescent="0.25">
      <c r="A12" s="401"/>
      <c r="B12" s="1" t="s">
        <v>243</v>
      </c>
      <c r="C12" s="212">
        <v>18</v>
      </c>
      <c r="D12" s="403" t="str">
        <f t="shared" si="0"/>
        <v>Michal Strachota</v>
      </c>
      <c r="E12" s="403"/>
      <c r="F12" s="6"/>
    </row>
    <row r="13" spans="1:6" x14ac:dyDescent="0.25">
      <c r="A13" s="401"/>
      <c r="B13" s="1" t="s">
        <v>240</v>
      </c>
      <c r="C13" s="212">
        <v>11</v>
      </c>
      <c r="D13" s="403" t="str">
        <f t="shared" si="0"/>
        <v>Milan Bína</v>
      </c>
      <c r="E13" s="403"/>
      <c r="F13" s="6"/>
    </row>
    <row r="14" spans="1:6" x14ac:dyDescent="0.25">
      <c r="A14" s="401"/>
      <c r="B14" s="1" t="s">
        <v>903</v>
      </c>
      <c r="C14" s="212">
        <v>10</v>
      </c>
      <c r="D14" s="403" t="str">
        <f t="shared" si="0"/>
        <v>Petr Hartman</v>
      </c>
      <c r="E14" s="403"/>
      <c r="F14" s="6"/>
    </row>
    <row r="15" spans="1:6" x14ac:dyDescent="0.25">
      <c r="A15" s="401"/>
      <c r="B15" s="1" t="s">
        <v>966</v>
      </c>
      <c r="C15" s="212">
        <v>8</v>
      </c>
      <c r="D15" s="403" t="str">
        <f t="shared" si="0"/>
        <v>Jan Fiala</v>
      </c>
      <c r="E15" s="403"/>
      <c r="F15" s="6"/>
    </row>
    <row r="16" spans="1:6" x14ac:dyDescent="0.25">
      <c r="A16" s="401" t="s">
        <v>230</v>
      </c>
      <c r="B16" s="1" t="s">
        <v>245</v>
      </c>
      <c r="C16" s="212">
        <v>4</v>
      </c>
      <c r="D16" s="403" t="str">
        <f t="shared" si="0"/>
        <v>Karel Šantora</v>
      </c>
      <c r="E16" s="403"/>
      <c r="F16" s="126">
        <f>IF(B16&lt;&gt;0,_xlfn.NUMBERVALUE(C16,","),"")</f>
        <v>4</v>
      </c>
    </row>
    <row r="17" spans="1:6" x14ac:dyDescent="0.25">
      <c r="A17" s="401"/>
      <c r="B17" s="1" t="s">
        <v>246</v>
      </c>
      <c r="C17" s="212">
        <v>0</v>
      </c>
      <c r="D17" s="403" t="str">
        <f t="shared" si="0"/>
        <v>Jiří Buchta</v>
      </c>
      <c r="E17" s="403"/>
      <c r="F17" s="126">
        <f t="shared" ref="F17:F20" si="1">IF(B17&lt;&gt;0,_xlfn.NUMBERVALUE(C17,","),"")</f>
        <v>0</v>
      </c>
    </row>
    <row r="18" spans="1:6" x14ac:dyDescent="0.25">
      <c r="A18" s="401"/>
      <c r="B18" s="1" t="s">
        <v>247</v>
      </c>
      <c r="C18" s="212">
        <v>0</v>
      </c>
      <c r="D18" s="403" t="str">
        <f t="shared" si="0"/>
        <v>Matyáš Lorenc</v>
      </c>
      <c r="E18" s="403"/>
      <c r="F18" s="126">
        <f t="shared" si="1"/>
        <v>0</v>
      </c>
    </row>
    <row r="19" spans="1:6" x14ac:dyDescent="0.25">
      <c r="A19" s="401"/>
      <c r="B19" s="1" t="s">
        <v>248</v>
      </c>
      <c r="C19" s="212">
        <v>0</v>
      </c>
      <c r="D19" s="403" t="str">
        <f t="shared" si="0"/>
        <v>Rastislav Mazák</v>
      </c>
      <c r="E19" s="403"/>
      <c r="F19" s="126">
        <f t="shared" si="1"/>
        <v>0</v>
      </c>
    </row>
    <row r="20" spans="1:6" x14ac:dyDescent="0.25">
      <c r="A20" s="401"/>
      <c r="B20" s="1"/>
      <c r="C20" s="212"/>
      <c r="D20" s="403" t="str">
        <f t="shared" si="0"/>
        <v/>
      </c>
      <c r="E20" s="403"/>
      <c r="F20" s="126" t="str">
        <f t="shared" si="1"/>
        <v/>
      </c>
    </row>
    <row r="21" spans="1:6" x14ac:dyDescent="0.25">
      <c r="A21" s="401" t="s">
        <v>37</v>
      </c>
      <c r="B21" s="1" t="s">
        <v>239</v>
      </c>
      <c r="C21" s="212">
        <v>13</v>
      </c>
      <c r="D21" s="403" t="str">
        <f t="shared" si="0"/>
        <v>Michal Strachota</v>
      </c>
      <c r="E21" s="403"/>
      <c r="F21" s="120"/>
    </row>
    <row r="22" spans="1:6" x14ac:dyDescent="0.25">
      <c r="A22" s="401"/>
      <c r="B22" s="1" t="s">
        <v>904</v>
      </c>
      <c r="C22" s="212">
        <v>13</v>
      </c>
      <c r="D22" s="403" t="str">
        <f t="shared" si="0"/>
        <v>Zbyněk Stuchlík</v>
      </c>
      <c r="E22" s="403"/>
      <c r="F22" s="120"/>
    </row>
    <row r="23" spans="1:6" x14ac:dyDescent="0.25">
      <c r="A23" s="401"/>
      <c r="B23" s="1" t="s">
        <v>967</v>
      </c>
      <c r="C23" s="212">
        <v>10</v>
      </c>
      <c r="D23" s="403" t="str">
        <f t="shared" si="0"/>
        <v>Martin Skřivánek</v>
      </c>
      <c r="E23" s="403"/>
      <c r="F23" s="120"/>
    </row>
    <row r="24" spans="1:6" x14ac:dyDescent="0.25">
      <c r="A24" s="401"/>
      <c r="B24" s="1" t="s">
        <v>968</v>
      </c>
      <c r="C24" s="212">
        <v>9</v>
      </c>
      <c r="D24" s="403" t="str">
        <f t="shared" si="0"/>
        <v>Jan Procházka</v>
      </c>
      <c r="E24" s="403"/>
      <c r="F24" s="120"/>
    </row>
    <row r="25" spans="1:6" x14ac:dyDescent="0.25">
      <c r="A25" s="401"/>
      <c r="B25" s="1" t="s">
        <v>905</v>
      </c>
      <c r="C25" s="212">
        <v>9</v>
      </c>
      <c r="D25" s="403" t="str">
        <f t="shared" si="0"/>
        <v>Milan Bína</v>
      </c>
      <c r="E25" s="403"/>
      <c r="F25" s="120"/>
    </row>
    <row r="26" spans="1:6" x14ac:dyDescent="0.25">
      <c r="A26" s="401" t="s">
        <v>38</v>
      </c>
      <c r="B26" s="1" t="s">
        <v>610</v>
      </c>
      <c r="C26" s="212">
        <v>15</v>
      </c>
      <c r="D26" s="403" t="str">
        <f t="shared" si="0"/>
        <v>Zbyněk Stuchlík</v>
      </c>
      <c r="E26" s="403"/>
      <c r="F26" s="6"/>
    </row>
    <row r="27" spans="1:6" x14ac:dyDescent="0.25">
      <c r="A27" s="401"/>
      <c r="B27" s="1" t="s">
        <v>243</v>
      </c>
      <c r="C27" s="212">
        <v>10</v>
      </c>
      <c r="D27" s="403" t="str">
        <f t="shared" si="0"/>
        <v>Michal Strachota</v>
      </c>
      <c r="E27" s="403"/>
      <c r="F27" s="6"/>
    </row>
    <row r="28" spans="1:6" x14ac:dyDescent="0.25">
      <c r="A28" s="401"/>
      <c r="B28" s="1" t="s">
        <v>569</v>
      </c>
      <c r="C28" s="212">
        <v>8</v>
      </c>
      <c r="D28" s="403" t="str">
        <f t="shared" si="0"/>
        <v>Jan Svoboda</v>
      </c>
      <c r="E28" s="403"/>
      <c r="F28" s="6"/>
    </row>
    <row r="29" spans="1:6" x14ac:dyDescent="0.25">
      <c r="A29" s="401"/>
      <c r="B29" s="1" t="s">
        <v>244</v>
      </c>
      <c r="C29" s="212">
        <v>6</v>
      </c>
      <c r="D29" s="403" t="str">
        <f t="shared" si="0"/>
        <v>Ondřej Stuchlík</v>
      </c>
      <c r="E29" s="403"/>
      <c r="F29" s="6"/>
    </row>
    <row r="30" spans="1:6" x14ac:dyDescent="0.25">
      <c r="A30" s="401"/>
      <c r="B30" s="1" t="s">
        <v>618</v>
      </c>
      <c r="C30" s="212">
        <v>6</v>
      </c>
      <c r="D30" s="403" t="str">
        <f t="shared" si="0"/>
        <v>Radovan Vnuk</v>
      </c>
      <c r="E30" s="403"/>
      <c r="F30" s="6"/>
    </row>
    <row r="31" spans="1:6" x14ac:dyDescent="0.25">
      <c r="A31" s="401" t="s">
        <v>331</v>
      </c>
      <c r="B31" s="190" t="s">
        <v>959</v>
      </c>
      <c r="C31" s="190" t="s">
        <v>144</v>
      </c>
      <c r="D31" s="128" t="s">
        <v>960</v>
      </c>
      <c r="E31" s="178" t="str">
        <f>IFERROR(RIGHT(LEFT(D31,LEN(D31)-1),LEN(D31)-2),"")</f>
        <v>4:11</v>
      </c>
    </row>
    <row r="32" spans="1:6" x14ac:dyDescent="0.25">
      <c r="A32" s="401"/>
      <c r="B32" s="190" t="s">
        <v>617</v>
      </c>
      <c r="C32" s="190" t="s">
        <v>148</v>
      </c>
      <c r="D32" s="127" t="s">
        <v>894</v>
      </c>
      <c r="E32" s="178" t="str">
        <f t="shared" ref="E32:E35" si="2">IFERROR(RIGHT(LEFT(D32,LEN(D32)-1),LEN(D32)-2),"")</f>
        <v>5:6p</v>
      </c>
    </row>
    <row r="33" spans="1:5" x14ac:dyDescent="0.25">
      <c r="A33" s="401"/>
      <c r="B33" s="190" t="s">
        <v>895</v>
      </c>
      <c r="C33" s="190" t="s">
        <v>141</v>
      </c>
      <c r="D33" s="127" t="s">
        <v>896</v>
      </c>
      <c r="E33" s="178" t="str">
        <f t="shared" si="2"/>
        <v>6:9</v>
      </c>
    </row>
    <row r="34" spans="1:5" x14ac:dyDescent="0.25">
      <c r="A34" s="401"/>
      <c r="B34" s="190" t="s">
        <v>692</v>
      </c>
      <c r="C34" s="190" t="s">
        <v>150</v>
      </c>
      <c r="D34" s="128" t="s">
        <v>788</v>
      </c>
      <c r="E34" s="178" t="str">
        <f t="shared" si="2"/>
        <v>3:7</v>
      </c>
    </row>
    <row r="35" spans="1:5" x14ac:dyDescent="0.25">
      <c r="A35" s="401"/>
      <c r="B35" s="190" t="s">
        <v>568</v>
      </c>
      <c r="C35" s="190" t="s">
        <v>147</v>
      </c>
      <c r="D35" s="127" t="s">
        <v>616</v>
      </c>
      <c r="E35" s="178" t="str">
        <f t="shared" si="2"/>
        <v>3:10</v>
      </c>
    </row>
    <row r="36" spans="1:5" x14ac:dyDescent="0.25">
      <c r="A36" s="401" t="s">
        <v>332</v>
      </c>
      <c r="B36" s="190" t="s">
        <v>897</v>
      </c>
      <c r="C36" s="190" t="s">
        <v>151</v>
      </c>
      <c r="D36" s="190" t="s">
        <v>335</v>
      </c>
      <c r="E36" s="178"/>
    </row>
    <row r="37" spans="1:5" x14ac:dyDescent="0.25">
      <c r="A37" s="401"/>
      <c r="B37" s="190" t="s">
        <v>898</v>
      </c>
      <c r="C37" s="190" t="s">
        <v>151</v>
      </c>
      <c r="D37" s="190" t="s">
        <v>335</v>
      </c>
      <c r="E37" s="178"/>
    </row>
    <row r="38" spans="1:5" x14ac:dyDescent="0.25">
      <c r="A38" s="401"/>
      <c r="B38" s="190" t="s">
        <v>899</v>
      </c>
      <c r="C38" s="190" t="s">
        <v>151</v>
      </c>
      <c r="D38" s="190" t="s">
        <v>335</v>
      </c>
      <c r="E38" s="178"/>
    </row>
    <row r="39" spans="1:5" x14ac:dyDescent="0.25">
      <c r="A39" s="401"/>
      <c r="B39" s="190" t="s">
        <v>900</v>
      </c>
      <c r="C39" s="190" t="s">
        <v>151</v>
      </c>
      <c r="D39" s="190" t="s">
        <v>335</v>
      </c>
      <c r="E39" s="178"/>
    </row>
    <row r="40" spans="1:5" x14ac:dyDescent="0.25">
      <c r="A40" s="401"/>
      <c r="B40" s="190" t="s">
        <v>901</v>
      </c>
      <c r="C40" s="190" t="s">
        <v>151</v>
      </c>
      <c r="D40" s="127" t="s">
        <v>335</v>
      </c>
      <c r="E40" s="178"/>
    </row>
    <row r="41" spans="1:5" x14ac:dyDescent="0.25">
      <c r="A41" s="121" t="s">
        <v>333</v>
      </c>
      <c r="B41" s="207" t="s">
        <v>961</v>
      </c>
      <c r="C41" s="190"/>
      <c r="D41" s="127"/>
    </row>
  </sheetData>
  <sheetProtection algorithmName="SHA-512" hashValue="DrpBYsxrrcP65KcZBOyb4iVBf8Udbth3Dh+yjlpRbAgvWxTZc1uONVSbdj8G0/hTheKHjiVxfC5/0t8DLEtZ0w==" saltValue="sxnuH25C5Y42xdeZ2drwZg=="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zoomScaleNormal="100" workbookViewId="0">
      <selection activeCell="B48" sqref="B48"/>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439</v>
      </c>
      <c r="Q1" s="115" t="s">
        <v>47</v>
      </c>
      <c r="X1" s="110"/>
      <c r="Y1" s="110"/>
      <c r="Z1" s="110"/>
    </row>
    <row r="2" spans="1:26" s="4" customFormat="1" x14ac:dyDescent="0.25">
      <c r="A2" s="53">
        <v>1</v>
      </c>
      <c r="B2" s="4" t="s">
        <v>160</v>
      </c>
      <c r="D2" s="5" t="s">
        <v>51</v>
      </c>
      <c r="E2" s="5">
        <v>26</v>
      </c>
      <c r="F2" s="5">
        <v>31</v>
      </c>
      <c r="G2" s="5">
        <v>5</v>
      </c>
      <c r="H2" s="5">
        <v>1</v>
      </c>
      <c r="I2" s="5">
        <v>28</v>
      </c>
      <c r="J2" s="5">
        <v>59</v>
      </c>
      <c r="K2" s="5">
        <v>4</v>
      </c>
      <c r="L2" s="5">
        <v>80</v>
      </c>
      <c r="M2" s="5">
        <v>55</v>
      </c>
      <c r="N2" s="5">
        <v>25</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59 (31+28), +25 ±</v>
      </c>
      <c r="P2" s="5" t="str">
        <f>IF(B2&lt;&gt;0,IF(IFERROR(VLOOKUP(B2,$B$48:$B$82,1,FALSE)=B2,FALSE),"ANO","NE"),"")</f>
        <v>ANO</v>
      </c>
      <c r="Q2" s="142" t="s">
        <v>364</v>
      </c>
      <c r="S2" s="5"/>
      <c r="X2" s="5"/>
      <c r="Y2" s="5"/>
      <c r="Z2" s="5"/>
    </row>
    <row r="3" spans="1:26" s="4" customFormat="1" x14ac:dyDescent="0.25">
      <c r="A3" s="53">
        <v>2</v>
      </c>
      <c r="B3" s="4" t="s">
        <v>163</v>
      </c>
      <c r="D3" s="5" t="s">
        <v>51</v>
      </c>
      <c r="E3" s="5">
        <v>25</v>
      </c>
      <c r="F3" s="5">
        <v>33</v>
      </c>
      <c r="G3" s="5">
        <v>3</v>
      </c>
      <c r="H3" s="5">
        <v>0</v>
      </c>
      <c r="I3" s="5">
        <v>17</v>
      </c>
      <c r="J3" s="5">
        <v>50</v>
      </c>
      <c r="K3" s="5">
        <v>6</v>
      </c>
      <c r="L3" s="5">
        <v>66</v>
      </c>
      <c r="M3" s="5">
        <v>54</v>
      </c>
      <c r="N3" s="5">
        <v>12</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25 OZ , 50 (33+17), +12 ±</v>
      </c>
      <c r="P3" s="5" t="str">
        <f t="shared" ref="P3:P36" si="1">IF(B3&lt;&gt;0,IF(IFERROR(VLOOKUP(B3,$B$48:$B$82,1,FALSE)=B3,FALSE),"ANO","NE"),"")</f>
        <v>ANO</v>
      </c>
      <c r="Q3" s="142" t="s">
        <v>365</v>
      </c>
      <c r="S3" s="5"/>
      <c r="X3" s="5"/>
      <c r="Y3" s="5"/>
      <c r="Z3" s="5"/>
    </row>
    <row r="4" spans="1:26" s="4" customFormat="1" x14ac:dyDescent="0.25">
      <c r="A4" s="53">
        <v>3</v>
      </c>
      <c r="B4" s="4" t="s">
        <v>161</v>
      </c>
      <c r="D4" s="5" t="s">
        <v>51</v>
      </c>
      <c r="E4" s="5">
        <v>26</v>
      </c>
      <c r="F4" s="5">
        <v>27</v>
      </c>
      <c r="G4" s="5">
        <v>1</v>
      </c>
      <c r="H4" s="5">
        <v>0</v>
      </c>
      <c r="I4" s="5">
        <v>18</v>
      </c>
      <c r="J4" s="5">
        <v>45</v>
      </c>
      <c r="K4" s="5">
        <v>2</v>
      </c>
      <c r="L4" s="5">
        <v>69</v>
      </c>
      <c r="M4" s="5">
        <v>54</v>
      </c>
      <c r="N4" s="5">
        <v>15</v>
      </c>
      <c r="O4" s="161" t="str">
        <f t="shared" si="0"/>
        <v>26 OZ , 45 (27+18), +15 ±</v>
      </c>
      <c r="P4" s="5" t="str">
        <f t="shared" si="1"/>
        <v>ANO</v>
      </c>
      <c r="Q4" s="142" t="s">
        <v>367</v>
      </c>
      <c r="S4" s="5"/>
      <c r="X4" s="5"/>
      <c r="Y4" s="5"/>
      <c r="Z4" s="5"/>
    </row>
    <row r="5" spans="1:26" s="4" customFormat="1" x14ac:dyDescent="0.25">
      <c r="A5" s="53">
        <v>4</v>
      </c>
      <c r="B5" s="4" t="s">
        <v>162</v>
      </c>
      <c r="D5" s="5" t="s">
        <v>51</v>
      </c>
      <c r="E5" s="5">
        <v>25</v>
      </c>
      <c r="F5" s="5">
        <v>15</v>
      </c>
      <c r="G5" s="5">
        <v>2</v>
      </c>
      <c r="H5" s="5">
        <v>0</v>
      </c>
      <c r="I5" s="5">
        <v>10</v>
      </c>
      <c r="J5" s="5">
        <v>25</v>
      </c>
      <c r="K5" s="5">
        <v>8</v>
      </c>
      <c r="L5" s="5">
        <v>55</v>
      </c>
      <c r="M5" s="5">
        <v>45</v>
      </c>
      <c r="N5" s="5">
        <v>10</v>
      </c>
      <c r="O5" s="161" t="str">
        <f t="shared" si="0"/>
        <v>25 OZ , 25 (15+10), +10 ±</v>
      </c>
      <c r="P5" s="5" t="str">
        <f t="shared" si="1"/>
        <v>ANO</v>
      </c>
      <c r="Q5" s="142" t="s">
        <v>285</v>
      </c>
      <c r="S5" s="5"/>
      <c r="X5" s="5"/>
      <c r="Y5" s="5"/>
      <c r="Z5" s="5"/>
    </row>
    <row r="6" spans="1:26" x14ac:dyDescent="0.25">
      <c r="A6" s="54">
        <v>5</v>
      </c>
      <c r="B6" s="1" t="s">
        <v>164</v>
      </c>
      <c r="D6" s="212" t="s">
        <v>48</v>
      </c>
      <c r="E6" s="212">
        <v>24</v>
      </c>
      <c r="F6" s="212">
        <v>5</v>
      </c>
      <c r="G6" s="212">
        <v>2</v>
      </c>
      <c r="H6" s="212">
        <v>0</v>
      </c>
      <c r="I6" s="212">
        <v>20</v>
      </c>
      <c r="J6" s="212">
        <v>25</v>
      </c>
      <c r="K6" s="212">
        <v>4</v>
      </c>
      <c r="L6" s="212">
        <v>58</v>
      </c>
      <c r="M6" s="212">
        <v>49</v>
      </c>
      <c r="N6" s="212">
        <v>9</v>
      </c>
      <c r="O6" s="161" t="str">
        <f t="shared" si="0"/>
        <v>24 OZ , 25 (5+20), +9 ±</v>
      </c>
      <c r="P6" s="5" t="str">
        <f t="shared" si="1"/>
        <v>ANO</v>
      </c>
    </row>
    <row r="7" spans="1:26" x14ac:dyDescent="0.25">
      <c r="A7" s="54">
        <v>6</v>
      </c>
      <c r="B7" s="1" t="s">
        <v>167</v>
      </c>
      <c r="D7" s="212" t="s">
        <v>48</v>
      </c>
      <c r="E7" s="212">
        <v>26</v>
      </c>
      <c r="F7" s="212">
        <v>11</v>
      </c>
      <c r="G7" s="212">
        <v>1</v>
      </c>
      <c r="H7" s="212">
        <v>0</v>
      </c>
      <c r="I7" s="212">
        <v>12</v>
      </c>
      <c r="J7" s="212">
        <v>23</v>
      </c>
      <c r="K7" s="212">
        <v>36</v>
      </c>
      <c r="L7" s="212">
        <v>72</v>
      </c>
      <c r="M7" s="212">
        <v>54</v>
      </c>
      <c r="N7" s="212">
        <v>18</v>
      </c>
      <c r="O7" s="161" t="str">
        <f t="shared" si="0"/>
        <v>26 OZ , 23 (11+12), +18 ±</v>
      </c>
      <c r="P7" s="5" t="str">
        <f t="shared" si="1"/>
        <v>ANO</v>
      </c>
    </row>
    <row r="8" spans="1:26" x14ac:dyDescent="0.25">
      <c r="A8" s="54">
        <v>7</v>
      </c>
      <c r="B8" s="1" t="s">
        <v>169</v>
      </c>
      <c r="D8" s="212"/>
      <c r="E8" s="212">
        <v>26</v>
      </c>
      <c r="F8" s="212">
        <v>14</v>
      </c>
      <c r="G8" s="212">
        <v>2</v>
      </c>
      <c r="H8" s="212">
        <v>0</v>
      </c>
      <c r="I8" s="212">
        <v>4</v>
      </c>
      <c r="J8" s="212">
        <v>18</v>
      </c>
      <c r="K8" s="212">
        <v>0</v>
      </c>
      <c r="L8" s="212">
        <v>55</v>
      </c>
      <c r="M8" s="212">
        <v>37</v>
      </c>
      <c r="N8" s="212">
        <v>18</v>
      </c>
      <c r="O8" s="161" t="str">
        <f t="shared" si="0"/>
        <v>26 OZ , 18 (14+4), +18 ±</v>
      </c>
      <c r="P8" s="5" t="str">
        <f t="shared" si="1"/>
        <v>ANO</v>
      </c>
    </row>
    <row r="9" spans="1:26" x14ac:dyDescent="0.25">
      <c r="A9" s="54">
        <v>8</v>
      </c>
      <c r="B9" s="1" t="s">
        <v>166</v>
      </c>
      <c r="D9" s="212"/>
      <c r="E9" s="212">
        <v>26</v>
      </c>
      <c r="F9" s="212">
        <v>6</v>
      </c>
      <c r="G9" s="212">
        <v>0</v>
      </c>
      <c r="H9" s="212">
        <v>0</v>
      </c>
      <c r="I9" s="212">
        <v>7</v>
      </c>
      <c r="J9" s="212">
        <v>13</v>
      </c>
      <c r="K9" s="212">
        <v>14</v>
      </c>
      <c r="L9" s="212">
        <v>30</v>
      </c>
      <c r="M9" s="212">
        <v>36</v>
      </c>
      <c r="N9" s="212">
        <v>-6</v>
      </c>
      <c r="O9" s="161" t="str">
        <f t="shared" si="0"/>
        <v>26 OZ , 13 (6+7), -6 ±</v>
      </c>
      <c r="P9" s="5" t="str">
        <f t="shared" si="1"/>
        <v>ANO</v>
      </c>
    </row>
    <row r="10" spans="1:26" x14ac:dyDescent="0.25">
      <c r="A10" s="54">
        <v>9</v>
      </c>
      <c r="B10" s="1" t="s">
        <v>168</v>
      </c>
      <c r="D10" s="212"/>
      <c r="E10" s="212">
        <v>26</v>
      </c>
      <c r="F10" s="212">
        <v>8</v>
      </c>
      <c r="G10" s="212">
        <v>0</v>
      </c>
      <c r="H10" s="212">
        <v>0</v>
      </c>
      <c r="I10" s="212">
        <v>4</v>
      </c>
      <c r="J10" s="212">
        <v>12</v>
      </c>
      <c r="K10" s="212">
        <v>6</v>
      </c>
      <c r="L10" s="212">
        <v>42</v>
      </c>
      <c r="M10" s="212">
        <v>31</v>
      </c>
      <c r="N10" s="212">
        <v>11</v>
      </c>
      <c r="O10" s="161" t="str">
        <f t="shared" si="0"/>
        <v>26 OZ , 12 (8+4), +11 ±</v>
      </c>
      <c r="P10" s="5" t="str">
        <f t="shared" si="1"/>
        <v>ANO</v>
      </c>
    </row>
    <row r="11" spans="1:26" x14ac:dyDescent="0.25">
      <c r="A11" s="54">
        <v>10</v>
      </c>
      <c r="B11" s="1" t="s">
        <v>165</v>
      </c>
      <c r="D11" s="212" t="s">
        <v>48</v>
      </c>
      <c r="E11" s="212">
        <v>23</v>
      </c>
      <c r="F11" s="212">
        <v>4</v>
      </c>
      <c r="G11" s="212">
        <v>1</v>
      </c>
      <c r="H11" s="212">
        <v>0</v>
      </c>
      <c r="I11" s="212">
        <v>8</v>
      </c>
      <c r="J11" s="212">
        <v>12</v>
      </c>
      <c r="K11" s="212">
        <v>4</v>
      </c>
      <c r="L11" s="212">
        <v>40</v>
      </c>
      <c r="M11" s="212">
        <v>35</v>
      </c>
      <c r="N11" s="212">
        <v>5</v>
      </c>
      <c r="O11" s="161" t="str">
        <f t="shared" si="0"/>
        <v>23 OZ , 12 (4+8), +5 ±</v>
      </c>
      <c r="P11" s="5" t="str">
        <f t="shared" si="1"/>
        <v>ANO</v>
      </c>
    </row>
    <row r="12" spans="1:26" x14ac:dyDescent="0.25">
      <c r="A12" s="54">
        <v>11</v>
      </c>
      <c r="B12" s="1" t="s">
        <v>170</v>
      </c>
      <c r="D12" s="212" t="s">
        <v>51</v>
      </c>
      <c r="E12" s="212">
        <v>16</v>
      </c>
      <c r="F12" s="212">
        <v>5</v>
      </c>
      <c r="G12" s="212">
        <v>0</v>
      </c>
      <c r="H12" s="212">
        <v>0</v>
      </c>
      <c r="I12" s="212">
        <v>6</v>
      </c>
      <c r="J12" s="212">
        <v>11</v>
      </c>
      <c r="K12" s="212">
        <v>2</v>
      </c>
      <c r="L12" s="212">
        <v>28</v>
      </c>
      <c r="M12" s="212">
        <v>22</v>
      </c>
      <c r="N12" s="212">
        <v>6</v>
      </c>
      <c r="O12" s="161" t="str">
        <f t="shared" si="0"/>
        <v>16 OZ , 11 (5+6), +6 ±</v>
      </c>
      <c r="P12" s="5" t="str">
        <f t="shared" si="1"/>
        <v>ANO</v>
      </c>
    </row>
    <row r="13" spans="1:26" x14ac:dyDescent="0.25">
      <c r="A13" s="54">
        <v>12</v>
      </c>
      <c r="B13" s="1" t="s">
        <v>171</v>
      </c>
      <c r="D13" s="212" t="s">
        <v>51</v>
      </c>
      <c r="E13" s="212">
        <v>25</v>
      </c>
      <c r="F13" s="212">
        <v>3</v>
      </c>
      <c r="G13" s="212">
        <v>0</v>
      </c>
      <c r="H13" s="212">
        <v>0</v>
      </c>
      <c r="I13" s="212">
        <v>7</v>
      </c>
      <c r="J13" s="212">
        <v>10</v>
      </c>
      <c r="K13" s="212">
        <v>4</v>
      </c>
      <c r="L13" s="212">
        <v>24</v>
      </c>
      <c r="M13" s="212">
        <v>25</v>
      </c>
      <c r="N13" s="212">
        <v>-1</v>
      </c>
      <c r="O13" s="161" t="str">
        <f t="shared" si="0"/>
        <v>25 OZ , 10 (3+7), -1 ±</v>
      </c>
      <c r="P13" s="5" t="str">
        <f t="shared" si="1"/>
        <v>ANO</v>
      </c>
    </row>
    <row r="14" spans="1:26" x14ac:dyDescent="0.25">
      <c r="A14" s="54">
        <v>13</v>
      </c>
      <c r="B14" s="1" t="s">
        <v>174</v>
      </c>
      <c r="D14" s="212" t="s">
        <v>51</v>
      </c>
      <c r="E14" s="212">
        <v>22</v>
      </c>
      <c r="F14" s="212">
        <v>3</v>
      </c>
      <c r="G14" s="212">
        <v>0</v>
      </c>
      <c r="H14" s="212">
        <v>0</v>
      </c>
      <c r="I14" s="212">
        <v>4</v>
      </c>
      <c r="J14" s="212">
        <v>7</v>
      </c>
      <c r="K14" s="212">
        <v>2</v>
      </c>
      <c r="L14" s="212">
        <v>29</v>
      </c>
      <c r="M14" s="212">
        <v>28</v>
      </c>
      <c r="N14" s="212">
        <v>1</v>
      </c>
      <c r="O14" s="161" t="str">
        <f t="shared" si="0"/>
        <v>22 OZ , 7 (3+4), +1 ±</v>
      </c>
      <c r="P14" s="5" t="str">
        <f t="shared" si="1"/>
        <v>ANO</v>
      </c>
    </row>
    <row r="15" spans="1:26" x14ac:dyDescent="0.25">
      <c r="A15" s="54">
        <v>14</v>
      </c>
      <c r="B15" s="1" t="s">
        <v>172</v>
      </c>
      <c r="D15" s="212"/>
      <c r="E15" s="212">
        <v>23</v>
      </c>
      <c r="F15" s="212">
        <v>2</v>
      </c>
      <c r="G15" s="212">
        <v>0</v>
      </c>
      <c r="H15" s="212">
        <v>0</v>
      </c>
      <c r="I15" s="212">
        <v>5</v>
      </c>
      <c r="J15" s="212">
        <v>7</v>
      </c>
      <c r="K15" s="212">
        <v>4</v>
      </c>
      <c r="L15" s="212">
        <v>47</v>
      </c>
      <c r="M15" s="212">
        <v>45</v>
      </c>
      <c r="N15" s="212">
        <v>2</v>
      </c>
      <c r="O15" s="161" t="str">
        <f t="shared" si="0"/>
        <v>23 OZ , 7 (2+5), +2 ±</v>
      </c>
      <c r="P15" s="5" t="str">
        <f t="shared" si="1"/>
        <v>ANO</v>
      </c>
    </row>
    <row r="16" spans="1:26" x14ac:dyDescent="0.25">
      <c r="A16" s="54">
        <v>15</v>
      </c>
      <c r="B16" s="1" t="s">
        <v>173</v>
      </c>
      <c r="D16" s="212" t="s">
        <v>48</v>
      </c>
      <c r="E16" s="212">
        <v>26</v>
      </c>
      <c r="F16" s="212">
        <v>3</v>
      </c>
      <c r="G16" s="212">
        <v>0</v>
      </c>
      <c r="H16" s="212">
        <v>0</v>
      </c>
      <c r="I16" s="212">
        <v>2</v>
      </c>
      <c r="J16" s="212">
        <v>5</v>
      </c>
      <c r="K16" s="212">
        <v>6</v>
      </c>
      <c r="L16" s="212">
        <v>21</v>
      </c>
      <c r="M16" s="212">
        <v>24</v>
      </c>
      <c r="N16" s="212">
        <v>-3</v>
      </c>
      <c r="O16" s="161" t="str">
        <f t="shared" si="0"/>
        <v>26 OZ , 5 (3+2), -3 ±</v>
      </c>
      <c r="P16" s="5" t="str">
        <f t="shared" si="1"/>
        <v>ANO</v>
      </c>
    </row>
    <row r="17" spans="1:19" x14ac:dyDescent="0.25">
      <c r="A17" s="54">
        <v>16</v>
      </c>
      <c r="B17" s="1" t="s">
        <v>180</v>
      </c>
      <c r="D17" s="212"/>
      <c r="E17" s="212">
        <v>12</v>
      </c>
      <c r="F17" s="212">
        <v>4</v>
      </c>
      <c r="G17" s="212">
        <v>0</v>
      </c>
      <c r="H17" s="212">
        <v>0</v>
      </c>
      <c r="I17" s="212">
        <v>0</v>
      </c>
      <c r="J17" s="212">
        <v>4</v>
      </c>
      <c r="K17" s="212">
        <v>4</v>
      </c>
      <c r="L17" s="212">
        <v>13</v>
      </c>
      <c r="M17" s="212">
        <v>20</v>
      </c>
      <c r="N17" s="212">
        <v>-7</v>
      </c>
      <c r="O17" s="161" t="str">
        <f t="shared" si="0"/>
        <v>12 OZ , 4 (4+0), -7 ±</v>
      </c>
      <c r="P17" s="5" t="str">
        <f t="shared" si="1"/>
        <v>ANO</v>
      </c>
    </row>
    <row r="18" spans="1:19" x14ac:dyDescent="0.25">
      <c r="A18" s="54">
        <v>17</v>
      </c>
      <c r="B18" s="1" t="s">
        <v>176</v>
      </c>
      <c r="D18" s="212" t="s">
        <v>51</v>
      </c>
      <c r="E18" s="212">
        <v>25</v>
      </c>
      <c r="F18" s="212">
        <v>1</v>
      </c>
      <c r="G18" s="212">
        <v>0</v>
      </c>
      <c r="H18" s="212">
        <v>0</v>
      </c>
      <c r="I18" s="212">
        <v>1</v>
      </c>
      <c r="J18" s="212">
        <v>2</v>
      </c>
      <c r="K18" s="212">
        <v>2</v>
      </c>
      <c r="L18" s="212">
        <v>5</v>
      </c>
      <c r="M18" s="212">
        <v>8</v>
      </c>
      <c r="N18" s="212">
        <v>-3</v>
      </c>
      <c r="O18" s="161" t="str">
        <f t="shared" si="0"/>
        <v>25 OZ , 2 (1+1), -3 ±</v>
      </c>
      <c r="P18" s="5" t="str">
        <f t="shared" si="1"/>
        <v>ANO</v>
      </c>
    </row>
    <row r="19" spans="1:19" x14ac:dyDescent="0.25">
      <c r="A19" s="54">
        <v>18</v>
      </c>
      <c r="B19" s="1" t="s">
        <v>175</v>
      </c>
      <c r="D19" s="212" t="s">
        <v>48</v>
      </c>
      <c r="E19" s="212">
        <v>6</v>
      </c>
      <c r="F19" s="212">
        <v>0</v>
      </c>
      <c r="G19" s="212">
        <v>0</v>
      </c>
      <c r="H19" s="212">
        <v>0</v>
      </c>
      <c r="I19" s="212">
        <v>2</v>
      </c>
      <c r="J19" s="212">
        <v>2</v>
      </c>
      <c r="K19" s="212">
        <v>4</v>
      </c>
      <c r="L19" s="212">
        <v>11</v>
      </c>
      <c r="M19" s="212">
        <v>6</v>
      </c>
      <c r="N19" s="212">
        <v>5</v>
      </c>
      <c r="O19" s="161" t="str">
        <f t="shared" si="0"/>
        <v>6 OZ , 2 (0+2), +5 ±</v>
      </c>
      <c r="P19" s="5" t="str">
        <f t="shared" si="1"/>
        <v>ANO</v>
      </c>
    </row>
    <row r="20" spans="1:19" x14ac:dyDescent="0.25">
      <c r="A20" s="54">
        <v>19</v>
      </c>
      <c r="B20" s="1" t="s">
        <v>185</v>
      </c>
      <c r="D20" s="212" t="s">
        <v>51</v>
      </c>
      <c r="E20" s="212">
        <v>24</v>
      </c>
      <c r="F20" s="212">
        <v>1</v>
      </c>
      <c r="G20" s="212">
        <v>0</v>
      </c>
      <c r="H20" s="212">
        <v>0</v>
      </c>
      <c r="I20" s="212">
        <v>0</v>
      </c>
      <c r="J20" s="212">
        <v>1</v>
      </c>
      <c r="K20" s="212">
        <v>14</v>
      </c>
      <c r="L20" s="212">
        <v>39</v>
      </c>
      <c r="M20" s="212">
        <v>24</v>
      </c>
      <c r="N20" s="212">
        <v>15</v>
      </c>
      <c r="O20" s="161" t="str">
        <f t="shared" si="0"/>
        <v>24 OZ , 1 (1+0), +15 ±</v>
      </c>
      <c r="P20" s="5" t="str">
        <f t="shared" si="1"/>
        <v>ANO</v>
      </c>
    </row>
    <row r="21" spans="1:19" x14ac:dyDescent="0.25">
      <c r="A21" s="54">
        <v>20</v>
      </c>
      <c r="B21" s="1" t="s">
        <v>179</v>
      </c>
      <c r="D21" s="212" t="s">
        <v>51</v>
      </c>
      <c r="E21" s="212">
        <v>12</v>
      </c>
      <c r="F21" s="212">
        <v>0</v>
      </c>
      <c r="G21" s="212">
        <v>0</v>
      </c>
      <c r="H21" s="212">
        <v>0</v>
      </c>
      <c r="I21" s="212">
        <v>1</v>
      </c>
      <c r="J21" s="212">
        <v>1</v>
      </c>
      <c r="K21" s="212">
        <v>0</v>
      </c>
      <c r="L21" s="212">
        <v>2</v>
      </c>
      <c r="M21" s="212">
        <v>1</v>
      </c>
      <c r="N21" s="212">
        <v>1</v>
      </c>
      <c r="O21" s="161" t="str">
        <f t="shared" si="0"/>
        <v>12 OZ , 1 (0+1), +1 ±</v>
      </c>
      <c r="P21" s="5" t="str">
        <f t="shared" si="1"/>
        <v>ANO</v>
      </c>
    </row>
    <row r="22" spans="1:19" x14ac:dyDescent="0.25">
      <c r="A22" s="54">
        <v>21</v>
      </c>
      <c r="B22" s="1" t="s">
        <v>183</v>
      </c>
      <c r="D22" s="212" t="s">
        <v>35</v>
      </c>
      <c r="E22" s="212">
        <v>0</v>
      </c>
      <c r="F22" s="212">
        <v>0</v>
      </c>
      <c r="G22" s="212">
        <v>0</v>
      </c>
      <c r="H22" s="212">
        <v>0</v>
      </c>
      <c r="I22" s="212">
        <v>1</v>
      </c>
      <c r="J22" s="212">
        <v>1</v>
      </c>
      <c r="K22" s="212">
        <v>0</v>
      </c>
      <c r="L22" s="212">
        <v>0</v>
      </c>
      <c r="M22" s="212">
        <v>0</v>
      </c>
      <c r="N22" s="212">
        <v>0</v>
      </c>
      <c r="O22" s="161" t="str">
        <f t="shared" si="0"/>
        <v>0 OZ , 1 (0+1), 0 ±</v>
      </c>
      <c r="P22" s="5" t="str">
        <f t="shared" si="1"/>
        <v>ANO</v>
      </c>
    </row>
    <row r="23" spans="1:19" x14ac:dyDescent="0.25">
      <c r="A23" s="54">
        <v>22</v>
      </c>
      <c r="B23" s="1" t="s">
        <v>186</v>
      </c>
      <c r="D23" s="212"/>
      <c r="E23" s="212">
        <v>0</v>
      </c>
      <c r="F23" s="212">
        <v>0</v>
      </c>
      <c r="G23" s="212">
        <v>0</v>
      </c>
      <c r="H23" s="212">
        <v>0</v>
      </c>
      <c r="I23" s="212">
        <v>1</v>
      </c>
      <c r="J23" s="212">
        <v>1</v>
      </c>
      <c r="K23" s="212">
        <v>0</v>
      </c>
      <c r="L23" s="212">
        <v>0</v>
      </c>
      <c r="M23" s="212">
        <v>0</v>
      </c>
      <c r="N23" s="212">
        <v>0</v>
      </c>
      <c r="O23" s="161" t="str">
        <f t="shared" si="0"/>
        <v>0 OZ , 1 (0+1), 0 ±</v>
      </c>
      <c r="P23" s="5" t="str">
        <f t="shared" si="1"/>
        <v>ANO</v>
      </c>
    </row>
    <row r="24" spans="1:19" x14ac:dyDescent="0.25">
      <c r="A24" s="53">
        <v>23</v>
      </c>
      <c r="B24" s="4" t="s">
        <v>193</v>
      </c>
      <c r="C24" s="4"/>
      <c r="D24" s="5"/>
      <c r="E24" s="5">
        <v>1</v>
      </c>
      <c r="F24" s="5">
        <v>0</v>
      </c>
      <c r="G24" s="5">
        <v>0</v>
      </c>
      <c r="H24" s="5">
        <v>0</v>
      </c>
      <c r="I24" s="5">
        <v>0</v>
      </c>
      <c r="J24" s="5">
        <v>0</v>
      </c>
      <c r="K24" s="5">
        <v>0</v>
      </c>
      <c r="L24" s="5">
        <v>0</v>
      </c>
      <c r="M24" s="5">
        <v>0</v>
      </c>
      <c r="N24" s="5">
        <v>0</v>
      </c>
      <c r="O24" s="161" t="str">
        <f t="shared" si="0"/>
        <v>1 OZ , 0 (0+0), 0 ±</v>
      </c>
      <c r="P24" s="5" t="str">
        <f t="shared" si="1"/>
        <v>ANO</v>
      </c>
    </row>
    <row r="25" spans="1:19" x14ac:dyDescent="0.25">
      <c r="A25" s="53">
        <v>24</v>
      </c>
      <c r="B25" s="4" t="s">
        <v>177</v>
      </c>
      <c r="C25" s="4"/>
      <c r="D25" s="5" t="s">
        <v>51</v>
      </c>
      <c r="E25" s="5">
        <v>2</v>
      </c>
      <c r="F25" s="5">
        <v>0</v>
      </c>
      <c r="G25" s="5">
        <v>0</v>
      </c>
      <c r="H25" s="5">
        <v>0</v>
      </c>
      <c r="I25" s="5">
        <v>0</v>
      </c>
      <c r="J25" s="5">
        <v>0</v>
      </c>
      <c r="K25" s="5">
        <v>0</v>
      </c>
      <c r="L25" s="5">
        <v>0</v>
      </c>
      <c r="M25" s="5">
        <v>2</v>
      </c>
      <c r="N25" s="5">
        <v>-2</v>
      </c>
      <c r="O25" s="161" t="str">
        <f t="shared" si="0"/>
        <v>2 OZ , 0 (0+0), -2 ±</v>
      </c>
      <c r="P25" s="5" t="str">
        <f t="shared" si="1"/>
        <v>ANO</v>
      </c>
    </row>
    <row r="26" spans="1:19" x14ac:dyDescent="0.25">
      <c r="A26" s="53">
        <v>25</v>
      </c>
      <c r="B26" s="4" t="s">
        <v>854</v>
      </c>
      <c r="C26" s="4"/>
      <c r="D26" s="5"/>
      <c r="E26" s="5">
        <v>3</v>
      </c>
      <c r="F26" s="5">
        <v>0</v>
      </c>
      <c r="G26" s="5">
        <v>0</v>
      </c>
      <c r="H26" s="5">
        <v>0</v>
      </c>
      <c r="I26" s="5">
        <v>0</v>
      </c>
      <c r="J26" s="5">
        <v>0</v>
      </c>
      <c r="K26" s="5">
        <v>0</v>
      </c>
      <c r="L26" s="5">
        <v>0</v>
      </c>
      <c r="M26" s="5">
        <v>0</v>
      </c>
      <c r="N26" s="5">
        <v>0</v>
      </c>
      <c r="O26" s="161" t="str">
        <f t="shared" si="0"/>
        <v>3 OZ , 0 (0+0), 0 ±</v>
      </c>
      <c r="P26" s="5" t="str">
        <f t="shared" si="1"/>
        <v>ANO</v>
      </c>
    </row>
    <row r="27" spans="1:19" x14ac:dyDescent="0.25">
      <c r="A27" s="53">
        <v>26</v>
      </c>
      <c r="B27" s="4" t="s">
        <v>178</v>
      </c>
      <c r="C27" s="4"/>
      <c r="D27" s="5" t="s">
        <v>35</v>
      </c>
      <c r="E27" s="5">
        <v>0</v>
      </c>
      <c r="F27" s="5">
        <v>0</v>
      </c>
      <c r="G27" s="5">
        <v>0</v>
      </c>
      <c r="H27" s="5">
        <v>0</v>
      </c>
      <c r="I27" s="5">
        <v>0</v>
      </c>
      <c r="J27" s="5">
        <v>0</v>
      </c>
      <c r="K27" s="5">
        <v>0</v>
      </c>
      <c r="L27" s="5">
        <v>0</v>
      </c>
      <c r="M27" s="5">
        <v>0</v>
      </c>
      <c r="N27" s="5">
        <v>0</v>
      </c>
      <c r="O27" s="161" t="str">
        <f t="shared" si="0"/>
        <v>0 OZ , 0 (0+0), 0 ±</v>
      </c>
      <c r="P27" s="5" t="str">
        <f t="shared" si="1"/>
        <v>ANO</v>
      </c>
    </row>
    <row r="28" spans="1:19" x14ac:dyDescent="0.25">
      <c r="A28" s="53">
        <v>27</v>
      </c>
      <c r="B28" s="4" t="s">
        <v>181</v>
      </c>
      <c r="C28" s="4"/>
      <c r="D28" s="5"/>
      <c r="E28" s="5">
        <v>4</v>
      </c>
      <c r="F28" s="5">
        <v>0</v>
      </c>
      <c r="G28" s="5">
        <v>0</v>
      </c>
      <c r="H28" s="5">
        <v>0</v>
      </c>
      <c r="I28" s="5">
        <v>0</v>
      </c>
      <c r="J28" s="5">
        <v>0</v>
      </c>
      <c r="K28" s="5">
        <v>0</v>
      </c>
      <c r="L28" s="5">
        <v>1</v>
      </c>
      <c r="M28" s="5">
        <v>0</v>
      </c>
      <c r="N28" s="5">
        <v>1</v>
      </c>
      <c r="O28" s="161" t="str">
        <f t="shared" si="0"/>
        <v>4 OZ , 0 (0+0), +1 ±</v>
      </c>
      <c r="P28" s="5" t="str">
        <f t="shared" si="1"/>
        <v>ANO</v>
      </c>
    </row>
    <row r="29" spans="1:19" x14ac:dyDescent="0.25">
      <c r="A29" s="53">
        <v>28</v>
      </c>
      <c r="B29" s="4" t="s">
        <v>184</v>
      </c>
      <c r="C29" s="4"/>
      <c r="D29" s="5" t="s">
        <v>35</v>
      </c>
      <c r="E29" s="5">
        <v>0</v>
      </c>
      <c r="F29" s="5">
        <v>0</v>
      </c>
      <c r="G29" s="5">
        <v>0</v>
      </c>
      <c r="H29" s="5">
        <v>0</v>
      </c>
      <c r="I29" s="5">
        <v>0</v>
      </c>
      <c r="J29" s="5">
        <v>0</v>
      </c>
      <c r="K29" s="5">
        <v>0</v>
      </c>
      <c r="L29" s="5">
        <v>0</v>
      </c>
      <c r="M29" s="5">
        <v>0</v>
      </c>
      <c r="N29" s="5">
        <v>0</v>
      </c>
      <c r="O29" s="161" t="str">
        <f t="shared" si="0"/>
        <v>0 OZ , 0 (0+0), 0 ±</v>
      </c>
      <c r="P29" s="5" t="str">
        <f t="shared" si="1"/>
        <v>ANO</v>
      </c>
      <c r="Q29" s="111"/>
      <c r="S29" s="112"/>
    </row>
    <row r="30" spans="1:19" x14ac:dyDescent="0.25">
      <c r="A30" s="53">
        <v>29</v>
      </c>
      <c r="B30" s="4" t="s">
        <v>182</v>
      </c>
      <c r="C30" s="4"/>
      <c r="D30" s="5"/>
      <c r="E30" s="5">
        <v>9</v>
      </c>
      <c r="F30" s="5">
        <v>0</v>
      </c>
      <c r="G30" s="5">
        <v>0</v>
      </c>
      <c r="H30" s="5">
        <v>0</v>
      </c>
      <c r="I30" s="5">
        <v>0</v>
      </c>
      <c r="J30" s="5">
        <v>0</v>
      </c>
      <c r="K30" s="5">
        <v>0</v>
      </c>
      <c r="L30" s="5">
        <v>0</v>
      </c>
      <c r="M30" s="5">
        <v>0</v>
      </c>
      <c r="N30" s="5">
        <v>0</v>
      </c>
      <c r="O30" s="161" t="str">
        <f t="shared" si="0"/>
        <v>9 OZ , 0 (0+0), 0 ±</v>
      </c>
      <c r="P30" s="5" t="str">
        <f t="shared" si="1"/>
        <v>ANO</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c r="X38" s="110"/>
      <c r="Y38" s="110"/>
      <c r="Z38" s="110"/>
    </row>
    <row r="39" spans="1:27" x14ac:dyDescent="0.25">
      <c r="A39" s="54">
        <v>1</v>
      </c>
      <c r="B39" t="s">
        <v>184</v>
      </c>
      <c r="C39"/>
      <c r="D39" s="190">
        <v>6</v>
      </c>
      <c r="E39" s="190">
        <v>6</v>
      </c>
      <c r="F39" s="190">
        <v>361.25</v>
      </c>
      <c r="G39" s="190">
        <v>3</v>
      </c>
      <c r="H39" s="190">
        <v>26</v>
      </c>
      <c r="I39" s="190">
        <v>0</v>
      </c>
      <c r="J39" s="190">
        <v>147</v>
      </c>
      <c r="K39" s="190">
        <v>0</v>
      </c>
      <c r="L39" s="190">
        <v>3</v>
      </c>
      <c r="M39" s="190">
        <v>121</v>
      </c>
      <c r="N39" s="190">
        <v>0</v>
      </c>
      <c r="O39" s="190">
        <v>0</v>
      </c>
      <c r="P39" s="11">
        <f>IF(B39&lt;&gt;0,IFERROR(H39/(F39/60),0),"")</f>
        <v>4.3183391003460212</v>
      </c>
      <c r="Q39" s="11">
        <f>IF(B39&lt;&gt;0,IFERROR((M39/J39)*100,0),"")</f>
        <v>82.312925170068027</v>
      </c>
      <c r="R39" s="112" t="str">
        <f>IF(B39&lt;&gt;0,CONCATENATE(G39, " V, ",L39," P"),"")</f>
        <v>3 V, 3 P</v>
      </c>
    </row>
    <row r="40" spans="1:27" x14ac:dyDescent="0.25">
      <c r="A40" s="54">
        <v>2</v>
      </c>
      <c r="B40" t="s">
        <v>183</v>
      </c>
      <c r="C40"/>
      <c r="D40" s="190">
        <v>18</v>
      </c>
      <c r="E40" s="190">
        <v>11</v>
      </c>
      <c r="F40" s="190">
        <v>628.1</v>
      </c>
      <c r="G40" s="190">
        <v>8</v>
      </c>
      <c r="H40" s="190">
        <v>58</v>
      </c>
      <c r="I40" s="190">
        <v>0</v>
      </c>
      <c r="J40" s="190">
        <v>262</v>
      </c>
      <c r="K40" s="190">
        <v>0</v>
      </c>
      <c r="L40" s="190">
        <v>3</v>
      </c>
      <c r="M40" s="190">
        <v>204</v>
      </c>
      <c r="N40" s="190">
        <v>1</v>
      </c>
      <c r="O40" s="190">
        <v>0</v>
      </c>
      <c r="P40" s="11">
        <f t="shared" ref="P40:P45" si="2">IF(B40&lt;&gt;0,IFERROR(H40/(F40/60),0),"")</f>
        <v>5.5405190256328609</v>
      </c>
      <c r="Q40" s="11">
        <f t="shared" ref="Q40:Q45" si="3">IF(B40&lt;&gt;0,IFERROR((M40/J40)*100,0),"")</f>
        <v>77.862595419847324</v>
      </c>
      <c r="R40" s="112" t="str">
        <f t="shared" ref="R40:R45" si="4">IF(B40&lt;&gt;0,CONCATENATE(G40, " V, ",L40," P"),"")</f>
        <v>8 V, 3 P</v>
      </c>
    </row>
    <row r="41" spans="1:27" x14ac:dyDescent="0.25">
      <c r="A41" s="54">
        <v>3</v>
      </c>
      <c r="B41" t="s">
        <v>186</v>
      </c>
      <c r="C41"/>
      <c r="D41" s="190">
        <v>24</v>
      </c>
      <c r="E41" s="190">
        <v>9</v>
      </c>
      <c r="F41" s="190">
        <v>537.77</v>
      </c>
      <c r="G41" s="190">
        <v>5</v>
      </c>
      <c r="H41" s="190">
        <v>54</v>
      </c>
      <c r="I41" s="190">
        <v>0</v>
      </c>
      <c r="J41" s="190">
        <v>208</v>
      </c>
      <c r="K41" s="190">
        <v>0</v>
      </c>
      <c r="L41" s="190">
        <v>4</v>
      </c>
      <c r="M41" s="190">
        <v>154</v>
      </c>
      <c r="N41" s="190">
        <v>1</v>
      </c>
      <c r="O41" s="190">
        <v>0</v>
      </c>
      <c r="P41" s="11">
        <f t="shared" si="2"/>
        <v>6.0248805251315627</v>
      </c>
      <c r="Q41" s="11">
        <f t="shared" si="3"/>
        <v>74.038461538461547</v>
      </c>
      <c r="R41" s="112" t="str">
        <f t="shared" si="4"/>
        <v>5 V, 4 P</v>
      </c>
    </row>
    <row r="42" spans="1:27" x14ac:dyDescent="0.25">
      <c r="A42" s="54">
        <v>4</v>
      </c>
      <c r="B42" t="s">
        <v>178</v>
      </c>
      <c r="C42"/>
      <c r="D42" s="190">
        <v>4</v>
      </c>
      <c r="E42" s="190">
        <v>1</v>
      </c>
      <c r="F42" s="190">
        <v>28.8</v>
      </c>
      <c r="G42" s="190">
        <v>0</v>
      </c>
      <c r="H42" s="190">
        <v>5</v>
      </c>
      <c r="I42" s="190">
        <v>0</v>
      </c>
      <c r="J42" s="190">
        <v>9</v>
      </c>
      <c r="K42" s="190">
        <v>0</v>
      </c>
      <c r="L42" s="190">
        <v>1</v>
      </c>
      <c r="M42" s="190">
        <v>4</v>
      </c>
      <c r="N42" s="190">
        <v>0</v>
      </c>
      <c r="O42" s="190">
        <v>0</v>
      </c>
      <c r="P42" s="11">
        <f t="shared" si="2"/>
        <v>10.416666666666666</v>
      </c>
      <c r="Q42" s="11">
        <f t="shared" si="3"/>
        <v>44.444444444444443</v>
      </c>
      <c r="R42" s="112" t="str">
        <f t="shared" si="4"/>
        <v>0 V, 1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2" t="s">
        <v>289</v>
      </c>
      <c r="Y46" s="402"/>
      <c r="Z46" s="402"/>
      <c r="AA46" s="402"/>
    </row>
    <row r="47" spans="1:27" s="2" customFormat="1" ht="15" customHeight="1" x14ac:dyDescent="0.25">
      <c r="A47" s="7">
        <f ca="1">TODAY()</f>
        <v>44263</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110" t="s">
        <v>288</v>
      </c>
      <c r="Y47" s="110" t="s">
        <v>286</v>
      </c>
      <c r="Z47" s="110" t="s">
        <v>287</v>
      </c>
      <c r="AA47" s="162" t="s">
        <v>462</v>
      </c>
    </row>
    <row r="48" spans="1:27" ht="15" customHeight="1" x14ac:dyDescent="0.25">
      <c r="B48" s="138" t="s">
        <v>167</v>
      </c>
      <c r="C48" s="137">
        <v>33927</v>
      </c>
      <c r="D48" s="112">
        <f ca="1">IF(C48 &lt;&gt; 0,ROUNDDOWN(($A$47-C48)/365.25,0),"")</f>
        <v>28</v>
      </c>
      <c r="E48" s="139">
        <v>182</v>
      </c>
      <c r="F48" s="139">
        <v>82</v>
      </c>
      <c r="G48" s="139">
        <v>72</v>
      </c>
      <c r="H48" s="112">
        <f>IF(B48&lt;&gt;0,F48+G48,"")</f>
        <v>154</v>
      </c>
      <c r="I48" s="139">
        <v>10</v>
      </c>
      <c r="J48" s="139">
        <v>65</v>
      </c>
      <c r="K48" s="139"/>
      <c r="L48" s="139" t="s">
        <v>41</v>
      </c>
      <c r="M48" s="139">
        <v>195</v>
      </c>
      <c r="N48" s="139">
        <v>86</v>
      </c>
      <c r="O48" s="119" t="str">
        <f>IF(B48&lt;&gt;0,CONCATENATE(E48+IFERROR(VLOOKUP(B48,$B$2:$N$36,4,FALSE),0) + X48, " OZ, ", H48+IFERROR(VLOOKUP(B48,$B$2:$N$36,9,FALSE),0) + Y48+Z48, " (", F48+IFERROR(VLOOKUP(B48,$B$2:$N$36,5,FALSE),0) + Y48, "+",G48+IFERROR(VLOOKUP(B48,$B$2:$N$36,8,FALSE),0) +  Z48, ")"), "")</f>
        <v>208 OZ, 177 (93+84)</v>
      </c>
      <c r="P48" s="112" t="str">
        <f>IF(M48&lt;&gt;0,CONCATENATE(M48,"/",N48),"")</f>
        <v>195/86</v>
      </c>
      <c r="Q48" s="140" t="s">
        <v>208</v>
      </c>
      <c r="R48" s="139">
        <v>2002</v>
      </c>
      <c r="S48" s="112" t="str">
        <f>IFERROR(CONCATENATE(E48+VLOOKUP(B48,$B$39:$R$42,4,FALSE), " OZ, ",G48+VLOOKUP(B48,$B$39:$R$42,13,FALSE), " A"),"")</f>
        <v/>
      </c>
      <c r="T48" s="1" t="str">
        <f>IF(B48&lt;&gt;0,IF(V48=1,U48,CONCATENATE(U48," ",W48,".")),"")</f>
        <v>Bauer</v>
      </c>
      <c r="U48" s="1" t="str">
        <f>IFERROR(RIGHT(B48,LEN(B48)-SEARCH(" ", B48,1)),"")</f>
        <v>Bauer</v>
      </c>
      <c r="V48" s="112">
        <f>IF(B48&lt;&gt;0,COUNTIF($U$48:$U$82,U48),"")</f>
        <v>1</v>
      </c>
      <c r="W48" s="112" t="str">
        <f>IFERROR(LEFT(LEFT(B48,SEARCH(" ",B48,1)),1),"")</f>
        <v>J</v>
      </c>
      <c r="X48" s="139"/>
      <c r="Y48" s="139"/>
      <c r="Z48" s="139"/>
      <c r="AA48" s="138"/>
    </row>
    <row r="49" spans="2:27" ht="15" customHeight="1" x14ac:dyDescent="0.25">
      <c r="B49" s="138" t="s">
        <v>175</v>
      </c>
      <c r="C49" s="137">
        <v>36617</v>
      </c>
      <c r="D49" s="112">
        <f ca="1">IF(C49 &lt;&gt; 0,ROUNDDOWN(($A$47-C49)/365.25,0),"")</f>
        <v>20</v>
      </c>
      <c r="E49" s="139">
        <v>53</v>
      </c>
      <c r="F49" s="139">
        <v>1</v>
      </c>
      <c r="G49" s="139">
        <v>6</v>
      </c>
      <c r="H49" s="112">
        <f>IF(B49&lt;&gt;0,F49+G49,"")</f>
        <v>7</v>
      </c>
      <c r="I49" s="139">
        <v>4</v>
      </c>
      <c r="J49" s="139">
        <v>11</v>
      </c>
      <c r="K49" s="139"/>
      <c r="L49" s="139" t="s">
        <v>78</v>
      </c>
      <c r="M49" s="139">
        <v>182</v>
      </c>
      <c r="N49" s="139">
        <v>76</v>
      </c>
      <c r="O49" s="119" t="str">
        <f>IF(B49&lt;&gt;0,CONCATENATE(E49+IFERROR(VLOOKUP(B49,$B$2:$N$36,4,FALSE),0) + X49, " OZ, ", H49+IFERROR(VLOOKUP(B49,$B$2:$N$36,9,FALSE),0) + Y49+Z49, " (", F49+IFERROR(VLOOKUP(B49,$B$2:$N$36,5,FALSE),0) + Y49, "+",G49+IFERROR(VLOOKUP(B49,$B$2:$N$36,8,FALSE),0) +  Z49, ")"), "")</f>
        <v>59 OZ, 9 (1+8)</v>
      </c>
      <c r="P49" s="112" t="str">
        <f>IF(M49&lt;&gt;0,CONCATENATE(M49,"/",N49),"")</f>
        <v>182/76</v>
      </c>
      <c r="Q49" s="140" t="s">
        <v>205</v>
      </c>
      <c r="R49" s="139">
        <v>2008</v>
      </c>
      <c r="S49" s="112" t="str">
        <f>IFERROR(CONCATENATE(E49+VLOOKUP(B49,$B$39:$R$42,4,FALSE), " OZ, ",G49+VLOOKUP(B49,$B$39:$R$42,13,FALSE), " A"),"")</f>
        <v/>
      </c>
      <c r="T49" s="1" t="str">
        <f>IF(B49&lt;&gt;0,IF(V49=1,U49,CONCATENATE(U49," ",W49,".")),"")</f>
        <v>Doubek</v>
      </c>
      <c r="U49" s="1" t="str">
        <f>IFERROR(RIGHT(B49,LEN(B49)-SEARCH(" ", B49,1)),"")</f>
        <v>Doubek</v>
      </c>
      <c r="V49" s="112">
        <f>IF(B49&lt;&gt;0,COUNTIF($U$48:$U$82,U49),"")</f>
        <v>1</v>
      </c>
      <c r="W49" s="112" t="str">
        <f>IFERROR(LEFT(LEFT(B49,SEARCH(" ",B49,1)),1),"")</f>
        <v>Š</v>
      </c>
      <c r="X49" s="139"/>
      <c r="Y49" s="139"/>
      <c r="Z49" s="139"/>
      <c r="AA49" s="138"/>
    </row>
    <row r="50" spans="2:27" ht="15" customHeight="1" x14ac:dyDescent="0.25">
      <c r="B50" s="138" t="s">
        <v>182</v>
      </c>
      <c r="C50" s="137"/>
      <c r="D50" s="112" t="str">
        <f>IF(C50 &lt;&gt; 0,ROUNDDOWN(($A$47-C50)/365.25,0),"")</f>
        <v/>
      </c>
      <c r="E50" s="139">
        <v>0</v>
      </c>
      <c r="F50" s="139">
        <v>0</v>
      </c>
      <c r="G50" s="139">
        <v>0</v>
      </c>
      <c r="H50" s="112">
        <f>IF(B50&lt;&gt;0,F50+G50,"")</f>
        <v>0</v>
      </c>
      <c r="I50" s="139">
        <v>1</v>
      </c>
      <c r="J50" s="139">
        <v>91</v>
      </c>
      <c r="K50" s="139"/>
      <c r="L50" s="139" t="s">
        <v>78</v>
      </c>
      <c r="M50" s="139">
        <v>183</v>
      </c>
      <c r="N50" s="139">
        <v>78</v>
      </c>
      <c r="O50" s="119" t="str">
        <f>IF(B50&lt;&gt;0,CONCATENATE(E50+IFERROR(VLOOKUP(B50,$B$2:$N$36,4,FALSE),0) + X50, " OZ, ", H50+IFERROR(VLOOKUP(B50,$B$2:$N$36,9,FALSE),0) + Y50+Z50, " (", F50+IFERROR(VLOOKUP(B50,$B$2:$N$36,5,FALSE),0) + Y50, "+",G50+IFERROR(VLOOKUP(B50,$B$2:$N$36,8,FALSE),0) +  Z50, ")"), "")</f>
        <v>9 OZ, 0 (0+0)</v>
      </c>
      <c r="P50" s="112" t="str">
        <f>IF(M50&lt;&gt;0,CONCATENATE(M50,"/",N50),"")</f>
        <v>183/78</v>
      </c>
      <c r="Q50" s="140"/>
      <c r="R50" s="139"/>
      <c r="S50" s="112" t="str">
        <f>IFERROR(CONCATENATE(E50+VLOOKUP(B50,$B$39:$R$42,4,FALSE), " OZ, ",G50+VLOOKUP(B50,$B$39:$R$42,13,FALSE), " A"),"")</f>
        <v/>
      </c>
      <c r="T50" s="1" t="str">
        <f>IF(B50&lt;&gt;0,IF(V50=1,U50,CONCATENATE(U50," ",W50,".")),"")</f>
        <v>Dufek</v>
      </c>
      <c r="U50" s="1" t="str">
        <f>IFERROR(RIGHT(B50,LEN(B50)-SEARCH(" ", B50,1)),"")</f>
        <v>Dufek</v>
      </c>
      <c r="V50" s="112">
        <f>IF(B50&lt;&gt;0,COUNTIF($U$48:$U$82,U50),"")</f>
        <v>1</v>
      </c>
      <c r="W50" s="112" t="str">
        <f>IFERROR(LEFT(LEFT(B50,SEARCH(" ",B50,1)),1),"")</f>
        <v>J</v>
      </c>
      <c r="X50" s="139"/>
      <c r="Y50" s="139"/>
      <c r="Z50" s="139"/>
      <c r="AA50" s="138"/>
    </row>
    <row r="51" spans="2:27" ht="15" customHeight="1" x14ac:dyDescent="0.25">
      <c r="B51" s="138" t="s">
        <v>169</v>
      </c>
      <c r="C51" s="137">
        <v>36733</v>
      </c>
      <c r="D51" s="112">
        <f ca="1">IF(C51 &lt;&gt; 0,ROUNDDOWN(($A$47-C51)/365.25,0),"")</f>
        <v>20</v>
      </c>
      <c r="E51" s="139">
        <v>20</v>
      </c>
      <c r="F51" s="139">
        <v>3</v>
      </c>
      <c r="G51" s="139">
        <v>4</v>
      </c>
      <c r="H51" s="112">
        <f>IF(B51&lt;&gt;0,F51+G51,"")</f>
        <v>7</v>
      </c>
      <c r="I51" s="139">
        <v>3</v>
      </c>
      <c r="J51" s="139">
        <v>77</v>
      </c>
      <c r="K51" s="139"/>
      <c r="L51" s="139" t="s">
        <v>78</v>
      </c>
      <c r="M51" s="139">
        <v>183</v>
      </c>
      <c r="N51" s="139">
        <v>92</v>
      </c>
      <c r="O51" s="119" t="str">
        <f>IF(B51&lt;&gt;0,CONCATENATE(E51+IFERROR(VLOOKUP(B51,$B$2:$N$36,4,FALSE),0) + X51, " OZ, ", H51+IFERROR(VLOOKUP(B51,$B$2:$N$36,9,FALSE),0) + Y51+Z51, " (", F51+IFERROR(VLOOKUP(B51,$B$2:$N$36,5,FALSE),0) + Y51, "+",G51+IFERROR(VLOOKUP(B51,$B$2:$N$36,8,FALSE),0) +  Z51, ")"), "")</f>
        <v>46 OZ, 25 (17+8)</v>
      </c>
      <c r="P51" s="112" t="str">
        <f>IF(M51&lt;&gt;0,CONCATENATE(M51,"/",N51),"")</f>
        <v>183/92</v>
      </c>
      <c r="Q51" s="140" t="s">
        <v>217</v>
      </c>
      <c r="R51" s="139">
        <v>2007</v>
      </c>
      <c r="S51" s="112" t="str">
        <f>IFERROR(CONCATENATE(E51+VLOOKUP(B51,$B$39:$R$42,4,FALSE), " OZ, ",G51+VLOOKUP(B51,$B$39:$R$42,13,FALSE), " A"),"")</f>
        <v/>
      </c>
      <c r="T51" s="1" t="str">
        <f>IF(B51&lt;&gt;0,IF(V51=1,U51,CONCATENATE(U51," ",W51,".")),"")</f>
        <v>Eremiáš</v>
      </c>
      <c r="U51" s="1" t="str">
        <f>IFERROR(RIGHT(B51,LEN(B51)-SEARCH(" ", B51,1)),"")</f>
        <v>Eremiáš</v>
      </c>
      <c r="V51" s="112">
        <f>IF(B51&lt;&gt;0,COUNTIF($U$48:$U$82,U51),"")</f>
        <v>1</v>
      </c>
      <c r="W51" s="112" t="str">
        <f>IFERROR(LEFT(LEFT(B51,SEARCH(" ",B51,1)),1),"")</f>
        <v>D</v>
      </c>
      <c r="X51" s="139"/>
      <c r="Y51" s="139"/>
      <c r="Z51" s="139"/>
      <c r="AA51" s="138"/>
    </row>
    <row r="52" spans="2:27" ht="15" customHeight="1" x14ac:dyDescent="0.25">
      <c r="B52" s="138" t="s">
        <v>183</v>
      </c>
      <c r="C52" s="137">
        <v>37727</v>
      </c>
      <c r="D52" s="112">
        <f ca="1">IF(C52 &lt;&gt; 0,ROUNDDOWN(($A$47-C52)/365.25,0),"")</f>
        <v>17</v>
      </c>
      <c r="E52" s="139">
        <v>0</v>
      </c>
      <c r="F52" s="139">
        <v>0</v>
      </c>
      <c r="G52" s="139">
        <v>0</v>
      </c>
      <c r="H52" s="112">
        <f>IF(B52&lt;&gt;0,F52+G52,"")</f>
        <v>0</v>
      </c>
      <c r="I52" s="139">
        <v>1</v>
      </c>
      <c r="J52" s="139">
        <v>30</v>
      </c>
      <c r="K52" s="139"/>
      <c r="L52" s="139" t="s">
        <v>30</v>
      </c>
      <c r="M52" s="139">
        <v>198</v>
      </c>
      <c r="N52" s="139">
        <v>98</v>
      </c>
      <c r="O52" s="119" t="str">
        <f>IF(B52&lt;&gt;0,CONCATENATE(E52+IFERROR(VLOOKUP(B52,$B$2:$N$36,4,FALSE),0) + X52, " OZ, ", H52+IFERROR(VLOOKUP(B52,$B$2:$N$36,9,FALSE),0) + Y52+Z52, " (", F52+IFERROR(VLOOKUP(B52,$B$2:$N$36,5,FALSE),0) + Y52, "+",G52+IFERROR(VLOOKUP(B52,$B$2:$N$36,8,FALSE),0) +  Z52, ")"), "")</f>
        <v>0 OZ, 1 (0+1)</v>
      </c>
      <c r="P52" s="112" t="str">
        <f>IF(M52&lt;&gt;0,CONCATENATE(M52,"/",N52),"")</f>
        <v>198/98</v>
      </c>
      <c r="Q52" s="140" t="s">
        <v>202</v>
      </c>
      <c r="R52" s="139">
        <v>2009</v>
      </c>
      <c r="S52" s="112" t="str">
        <f>IFERROR(CONCATENATE(E52+VLOOKUP(B52,$B$39:$R$42,4,FALSE), " OZ, ",G52+VLOOKUP(B52,$B$39:$R$42,13,FALSE), " A"),"")</f>
        <v>11 OZ, 1 A</v>
      </c>
      <c r="T52" s="1" t="str">
        <f>IF(B52&lt;&gt;0,IF(V52=1,U52,CONCATENATE(U52," ",W52,".")),"")</f>
        <v>Hodík</v>
      </c>
      <c r="U52" s="1" t="str">
        <f>IFERROR(RIGHT(B52,LEN(B52)-SEARCH(" ", B52,1)),"")</f>
        <v>Hodík</v>
      </c>
      <c r="V52" s="112">
        <f>IF(B52&lt;&gt;0,COUNTIF($U$48:$U$82,U52),"")</f>
        <v>1</v>
      </c>
      <c r="W52" s="112" t="str">
        <f>IFERROR(LEFT(LEFT(B52,SEARCH(" ",B52,1)),1),"")</f>
        <v>K</v>
      </c>
      <c r="X52" s="139"/>
      <c r="Y52" s="139"/>
      <c r="Z52" s="139"/>
      <c r="AA52" s="138"/>
    </row>
    <row r="53" spans="2:27" ht="15" customHeight="1" x14ac:dyDescent="0.25">
      <c r="B53" s="138" t="s">
        <v>172</v>
      </c>
      <c r="C53" s="137">
        <v>37679</v>
      </c>
      <c r="D53" s="112">
        <f ca="1">IF(C53 &lt;&gt; 0,ROUNDDOWN(($A$47-C53)/365.25,0),"")</f>
        <v>18</v>
      </c>
      <c r="E53" s="139">
        <v>0</v>
      </c>
      <c r="F53" s="139">
        <v>0</v>
      </c>
      <c r="G53" s="139">
        <v>0</v>
      </c>
      <c r="H53" s="112">
        <f>IF(B53&lt;&gt;0,F53+G53,"")</f>
        <v>0</v>
      </c>
      <c r="I53" s="139">
        <v>1</v>
      </c>
      <c r="J53" s="139">
        <v>93</v>
      </c>
      <c r="K53" s="139"/>
      <c r="L53" s="139" t="s">
        <v>78</v>
      </c>
      <c r="M53" s="139">
        <v>175</v>
      </c>
      <c r="N53" s="139">
        <v>67</v>
      </c>
      <c r="O53" s="119" t="str">
        <f>IF(B53&lt;&gt;0,CONCATENATE(E53+IFERROR(VLOOKUP(B53,$B$2:$N$36,4,FALSE),0) + X53, " OZ, ", H53+IFERROR(VLOOKUP(B53,$B$2:$N$36,9,FALSE),0) + Y53+Z53, " (", F53+IFERROR(VLOOKUP(B53,$B$2:$N$36,5,FALSE),0) + Y53, "+",G53+IFERROR(VLOOKUP(B53,$B$2:$N$36,8,FALSE),0) +  Z53, ")"), "")</f>
        <v>23 OZ, 7 (2+5)</v>
      </c>
      <c r="P53" s="112" t="str">
        <f>IF(M53&lt;&gt;0,CONCATENATE(M53,"/",N53),"")</f>
        <v>175/67</v>
      </c>
      <c r="Q53" s="140" t="s">
        <v>209</v>
      </c>
      <c r="R53" s="139">
        <v>2010</v>
      </c>
      <c r="S53" s="112" t="str">
        <f>IFERROR(CONCATENATE(E53+VLOOKUP(B53,$B$39:$R$42,4,FALSE), " OZ, ",G53+VLOOKUP(B53,$B$39:$R$42,13,FALSE), " A"),"")</f>
        <v/>
      </c>
      <c r="T53" s="1" t="str">
        <f>IF(B53&lt;&gt;0,IF(V53=1,U53,CONCATENATE(U53," ",W53,".")),"")</f>
        <v>Horký</v>
      </c>
      <c r="U53" s="1" t="str">
        <f>IFERROR(RIGHT(B53,LEN(B53)-SEARCH(" ", B53,1)),"")</f>
        <v>Horký</v>
      </c>
      <c r="V53" s="112">
        <f>IF(B53&lt;&gt;0,COUNTIF($U$48:$U$82,U53),"")</f>
        <v>1</v>
      </c>
      <c r="W53" s="112" t="str">
        <f>IFERROR(LEFT(LEFT(B53,SEARCH(" ",B53,1)),1),"")</f>
        <v>D</v>
      </c>
      <c r="X53" s="139"/>
      <c r="Y53" s="139"/>
      <c r="Z53" s="139"/>
      <c r="AA53" s="138"/>
    </row>
    <row r="54" spans="2:27" ht="15" customHeight="1" x14ac:dyDescent="0.25">
      <c r="B54" s="138" t="s">
        <v>854</v>
      </c>
      <c r="C54" s="137"/>
      <c r="D54" s="112" t="str">
        <f>IF(C54 &lt;&gt; 0,ROUNDDOWN(($A$47-C54)/365.25,0),"")</f>
        <v/>
      </c>
      <c r="E54" s="139"/>
      <c r="F54" s="139"/>
      <c r="G54" s="139"/>
      <c r="H54" s="112">
        <f>IF(B54&lt;&gt;0,F54+G54,"")</f>
        <v>0</v>
      </c>
      <c r="I54" s="139"/>
      <c r="J54" s="139"/>
      <c r="K54" s="139"/>
      <c r="L54" s="139"/>
      <c r="M54" s="139"/>
      <c r="N54" s="139"/>
      <c r="O54" s="119" t="str">
        <f>IF(B54&lt;&gt;0,CONCATENATE(E54+IFERROR(VLOOKUP(B54,$B$2:$N$36,4,FALSE),0) + X54, " OZ, ", H54+IFERROR(VLOOKUP(B54,$B$2:$N$36,9,FALSE),0) + Y54+Z54, " (", F54+IFERROR(VLOOKUP(B54,$B$2:$N$36,5,FALSE),0) + Y54, "+",G54+IFERROR(VLOOKUP(B54,$B$2:$N$36,8,FALSE),0) +  Z54, ")"), "")</f>
        <v>3 OZ, 0 (0+0)</v>
      </c>
      <c r="P54" s="112" t="str">
        <f>IF(M54&lt;&gt;0,CONCATENATE(M54,"/",N54),"")</f>
        <v/>
      </c>
      <c r="Q54" s="140"/>
      <c r="R54" s="139"/>
      <c r="S54" s="112" t="str">
        <f>IFERROR(CONCATENATE(E54+VLOOKUP(B54,$B$39:$R$42,4,FALSE), " OZ, ",G54+VLOOKUP(B54,$B$39:$R$42,13,FALSE), " A"),"")</f>
        <v/>
      </c>
      <c r="T54" s="1" t="str">
        <f>IF(B54&lt;&gt;0,IF(V54=1,U54,CONCATENATE(U54," ",W54,".")),"")</f>
        <v>Josefovič</v>
      </c>
      <c r="U54" s="1" t="str">
        <f>IFERROR(RIGHT(B54,LEN(B54)-SEARCH(" ", B54,1)),"")</f>
        <v>Josefovič</v>
      </c>
      <c r="V54" s="112">
        <f>IF(B54&lt;&gt;0,COUNTIF($U$48:$U$82,U54),"")</f>
        <v>1</v>
      </c>
      <c r="W54" s="112" t="str">
        <f>IFERROR(LEFT(LEFT(B54,SEARCH(" ",B54,1)),1),"")</f>
        <v>T</v>
      </c>
      <c r="X54" s="139"/>
      <c r="Y54" s="139"/>
      <c r="Z54" s="139"/>
      <c r="AA54" s="138"/>
    </row>
    <row r="55" spans="2:27" ht="15" customHeight="1" x14ac:dyDescent="0.25">
      <c r="B55" s="138" t="s">
        <v>177</v>
      </c>
      <c r="C55" s="137">
        <v>35401</v>
      </c>
      <c r="D55" s="112">
        <f ca="1">IF(C55 &lt;&gt; 0,ROUNDDOWN(($A$47-C55)/365.25,0),"")</f>
        <v>24</v>
      </c>
      <c r="E55" s="139">
        <v>146</v>
      </c>
      <c r="F55" s="139">
        <v>34</v>
      </c>
      <c r="G55" s="139">
        <v>21</v>
      </c>
      <c r="H55" s="112">
        <f>IF(B55&lt;&gt;0,F55+G55,"")</f>
        <v>55</v>
      </c>
      <c r="I55" s="139">
        <v>8</v>
      </c>
      <c r="J55" s="139">
        <v>12</v>
      </c>
      <c r="K55" s="139"/>
      <c r="L55" s="139" t="s">
        <v>78</v>
      </c>
      <c r="M55" s="139">
        <v>183</v>
      </c>
      <c r="N55" s="139">
        <v>88</v>
      </c>
      <c r="O55" s="119" t="str">
        <f>IF(B55&lt;&gt;0,CONCATENATE(E55+IFERROR(VLOOKUP(B55,$B$2:$N$36,4,FALSE),0) + X55, " OZ, ", H55+IFERROR(VLOOKUP(B55,$B$2:$N$36,9,FALSE),0) + Y55+Z55, " (", F55+IFERROR(VLOOKUP(B55,$B$2:$N$36,5,FALSE),0) + Y55, "+",G55+IFERROR(VLOOKUP(B55,$B$2:$N$36,8,FALSE),0) +  Z55, ")"), "")</f>
        <v>148 OZ, 55 (34+21)</v>
      </c>
      <c r="P55" s="112" t="str">
        <f>IF(M55&lt;&gt;0,CONCATENATE(M55,"/",N55),"")</f>
        <v>183/88</v>
      </c>
      <c r="Q55" s="140" t="s">
        <v>206</v>
      </c>
      <c r="R55" s="139">
        <v>2007</v>
      </c>
      <c r="S55" s="112" t="str">
        <f>IFERROR(CONCATENATE(E55+VLOOKUP(B55,$B$39:$R$42,4,FALSE), " OZ, ",G55+VLOOKUP(B55,$B$39:$R$42,13,FALSE), " A"),"")</f>
        <v/>
      </c>
      <c r="T55" s="1" t="str">
        <f>IF(B55&lt;&gt;0,IF(V55=1,U55,CONCATENATE(U55," ",W55,".")),"")</f>
        <v>Kašovský</v>
      </c>
      <c r="U55" s="1" t="str">
        <f>IFERROR(RIGHT(B55,LEN(B55)-SEARCH(" ", B55,1)),"")</f>
        <v>Kašovský</v>
      </c>
      <c r="V55" s="112">
        <f>IF(B55&lt;&gt;0,COUNTIF($U$48:$U$82,U55),"")</f>
        <v>1</v>
      </c>
      <c r="W55" s="112" t="str">
        <f>IFERROR(LEFT(LEFT(B55,SEARCH(" ",B55,1)),1),"")</f>
        <v>D</v>
      </c>
      <c r="X55" s="139"/>
      <c r="Y55" s="139"/>
      <c r="Z55" s="139"/>
      <c r="AA55" s="138"/>
    </row>
    <row r="56" spans="2:27" ht="15" customHeight="1" x14ac:dyDescent="0.25">
      <c r="B56" s="138" t="s">
        <v>166</v>
      </c>
      <c r="C56" s="137">
        <v>33793</v>
      </c>
      <c r="D56" s="112">
        <f ca="1">IF(C56 &lt;&gt; 0,ROUNDDOWN(($A$47-C56)/365.25,0),"")</f>
        <v>28</v>
      </c>
      <c r="E56" s="139">
        <v>184</v>
      </c>
      <c r="F56" s="139">
        <v>116</v>
      </c>
      <c r="G56" s="139">
        <v>82</v>
      </c>
      <c r="H56" s="112">
        <f>IF(B56&lt;&gt;0,F56+G56,"")</f>
        <v>198</v>
      </c>
      <c r="I56" s="139">
        <v>11</v>
      </c>
      <c r="J56" s="139">
        <v>87</v>
      </c>
      <c r="K56" s="139"/>
      <c r="L56" s="139" t="s">
        <v>78</v>
      </c>
      <c r="M56" s="139">
        <v>176</v>
      </c>
      <c r="N56" s="139">
        <v>73</v>
      </c>
      <c r="O56" s="119" t="str">
        <f>IF(B56&lt;&gt;0,CONCATENATE(E56+IFERROR(VLOOKUP(B56,$B$2:$N$36,4,FALSE),0) + X56, " OZ, ", H56+IFERROR(VLOOKUP(B56,$B$2:$N$36,9,FALSE),0) + Y56+Z56, " (", F56+IFERROR(VLOOKUP(B56,$B$2:$N$36,5,FALSE),0) + Y56, "+",G56+IFERROR(VLOOKUP(B56,$B$2:$N$36,8,FALSE),0) +  Z56, ")"), "")</f>
        <v>210 OZ, 211 (122+89)</v>
      </c>
      <c r="P56" s="112" t="str">
        <f>IF(M56&lt;&gt;0,CONCATENATE(M56,"/",N56),"")</f>
        <v>176/73</v>
      </c>
      <c r="Q56" s="140" t="s">
        <v>27</v>
      </c>
      <c r="R56" s="139">
        <v>2004</v>
      </c>
      <c r="S56" s="112" t="str">
        <f>IFERROR(CONCATENATE(E56+VLOOKUP(B56,$B$39:$R$42,4,FALSE), " OZ, ",G56+VLOOKUP(B56,$B$39:$R$42,13,FALSE), " A"),"")</f>
        <v/>
      </c>
      <c r="T56" s="1" t="str">
        <f>IF(B56&lt;&gt;0,IF(V56=1,U56,CONCATENATE(U56," ",W56,".")),"")</f>
        <v>Koutný J.</v>
      </c>
      <c r="U56" s="1" t="str">
        <f>IFERROR(RIGHT(B56,LEN(B56)-SEARCH(" ", B56,1)),"")</f>
        <v>Koutný</v>
      </c>
      <c r="V56" s="112">
        <f>IF(B56&lt;&gt;0,COUNTIF($U$48:$U$82,U56),"")</f>
        <v>2</v>
      </c>
      <c r="W56" s="112" t="str">
        <f>IFERROR(LEFT(LEFT(B56,SEARCH(" ",B56,1)),1),"")</f>
        <v>J</v>
      </c>
      <c r="X56" s="139"/>
      <c r="Y56" s="139"/>
      <c r="Z56" s="139"/>
      <c r="AA56" s="138"/>
    </row>
    <row r="57" spans="2:27" ht="15" customHeight="1" x14ac:dyDescent="0.25">
      <c r="B57" s="138" t="s">
        <v>174</v>
      </c>
      <c r="C57" s="137">
        <v>31507</v>
      </c>
      <c r="D57" s="112">
        <f ca="1">IF(C57 &lt;&gt; 0,ROUNDDOWN(($A$47-C57)/365.25,0),"")</f>
        <v>34</v>
      </c>
      <c r="E57" s="139">
        <v>253</v>
      </c>
      <c r="F57" s="139">
        <v>177</v>
      </c>
      <c r="G57" s="139">
        <v>132</v>
      </c>
      <c r="H57" s="112">
        <f>IF(B57&lt;&gt;0,F57+G57,"")</f>
        <v>309</v>
      </c>
      <c r="I57" s="139">
        <v>15</v>
      </c>
      <c r="J57" s="139">
        <v>32</v>
      </c>
      <c r="K57" s="139" t="s">
        <v>222</v>
      </c>
      <c r="L57" s="139" t="s">
        <v>78</v>
      </c>
      <c r="M57" s="139">
        <v>186</v>
      </c>
      <c r="N57" s="139">
        <v>84</v>
      </c>
      <c r="O57" s="119" t="str">
        <f>IF(B57&lt;&gt;0,CONCATENATE(E57+IFERROR(VLOOKUP(B57,$B$2:$N$36,4,FALSE),0) + X57, " OZ, ", H57+IFERROR(VLOOKUP(B57,$B$2:$N$36,9,FALSE),0) + Y57+Z57, " (", F57+IFERROR(VLOOKUP(B57,$B$2:$N$36,5,FALSE),0) + Y57, "+",G57+IFERROR(VLOOKUP(B57,$B$2:$N$36,8,FALSE),0) +  Z57, ")"), "")</f>
        <v>275 OZ, 316 (180+136)</v>
      </c>
      <c r="P57" s="112" t="str">
        <f>IF(M57&lt;&gt;0,CONCATENATE(M57,"/",N57),"")</f>
        <v>186/84</v>
      </c>
      <c r="Q57" s="140" t="s">
        <v>216</v>
      </c>
      <c r="R57" s="139">
        <v>2000</v>
      </c>
      <c r="S57" s="112" t="str">
        <f>IFERROR(CONCATENATE(E57+VLOOKUP(B57,$B$39:$R$42,4,FALSE), " OZ, ",G57+VLOOKUP(B57,$B$39:$R$42,13,FALSE), " A"),"")</f>
        <v/>
      </c>
      <c r="T57" s="1" t="str">
        <f>IF(B57&lt;&gt;0,IF(V57=1,U57,CONCATENATE(U57," ",W57,".")),"")</f>
        <v>Koutný M.</v>
      </c>
      <c r="U57" s="1" t="str">
        <f>IFERROR(RIGHT(B57,LEN(B57)-SEARCH(" ", B57,1)),"")</f>
        <v>Koutný</v>
      </c>
      <c r="V57" s="112">
        <f>IF(B57&lt;&gt;0,COUNTIF($U$48:$U$82,U57),"")</f>
        <v>2</v>
      </c>
      <c r="W57" s="112" t="str">
        <f>IFERROR(LEFT(LEFT(B57,SEARCH(" ",B57,1)),1),"")</f>
        <v>M</v>
      </c>
      <c r="X57" s="139"/>
      <c r="Y57" s="139"/>
      <c r="Z57" s="139"/>
      <c r="AA57" s="138"/>
    </row>
    <row r="58" spans="2:27" ht="15" customHeight="1" x14ac:dyDescent="0.25">
      <c r="B58" s="186" t="s">
        <v>181</v>
      </c>
      <c r="C58" s="137">
        <v>36770</v>
      </c>
      <c r="D58" s="112">
        <f ca="1">IF(C58 &lt;&gt; 0,ROUNDDOWN(($A$47-C58)/365.25,0),"")</f>
        <v>20</v>
      </c>
      <c r="E58" s="139">
        <v>6</v>
      </c>
      <c r="F58" s="139">
        <v>0</v>
      </c>
      <c r="G58" s="139">
        <v>0</v>
      </c>
      <c r="H58" s="112">
        <f>IF(B58&lt;&gt;0,F58+G58,"")</f>
        <v>0</v>
      </c>
      <c r="I58" s="139">
        <v>3</v>
      </c>
      <c r="J58" s="139">
        <v>88</v>
      </c>
      <c r="K58" s="139"/>
      <c r="L58" s="139" t="s">
        <v>78</v>
      </c>
      <c r="M58" s="139">
        <v>177</v>
      </c>
      <c r="N58" s="139">
        <v>75</v>
      </c>
      <c r="O58" s="119" t="str">
        <f>IF(B58&lt;&gt;0,CONCATENATE(E58+IFERROR(VLOOKUP(B58,$B$2:$N$36,4,FALSE),0) + X58, " OZ, ", H58+IFERROR(VLOOKUP(B58,$B$2:$N$36,9,FALSE),0) + Y58+Z58, " (", F58+IFERROR(VLOOKUP(B58,$B$2:$N$36,5,FALSE),0) + Y58, "+",G58+IFERROR(VLOOKUP(B58,$B$2:$N$36,8,FALSE),0) +  Z58, ")"), "")</f>
        <v>10 OZ, 0 (0+0)</v>
      </c>
      <c r="P58" s="112" t="str">
        <f>IF(M58&lt;&gt;0,CONCATENATE(M58,"/",N58),"")</f>
        <v>177/75</v>
      </c>
      <c r="Q58" s="140" t="s">
        <v>218</v>
      </c>
      <c r="R58" s="139">
        <v>2009</v>
      </c>
      <c r="S58" s="112" t="str">
        <f>IFERROR(CONCATENATE(E58+VLOOKUP(B58,$B$39:$R$42,4,FALSE), " OZ, ",G58+VLOOKUP(B58,$B$39:$R$42,13,FALSE), " A"),"")</f>
        <v/>
      </c>
      <c r="T58" s="1" t="str">
        <f>IF(B58&lt;&gt;0,IF(V58=1,U58,CONCATENATE(U58," ",W58,".")),"")</f>
        <v>Lebeda</v>
      </c>
      <c r="U58" s="1" t="str">
        <f>IFERROR(RIGHT(B58,LEN(B58)-SEARCH(" ", B58,1)),"")</f>
        <v>Lebeda</v>
      </c>
      <c r="V58" s="112">
        <f>IF(B58&lt;&gt;0,COUNTIF($U$48:$U$82,U58),"")</f>
        <v>1</v>
      </c>
      <c r="W58" s="112" t="str">
        <f>IFERROR(LEFT(LEFT(B58,SEARCH(" ",B58,1)),1),"")</f>
        <v>J</v>
      </c>
      <c r="X58" s="139"/>
      <c r="Y58" s="139"/>
      <c r="Z58" s="139"/>
      <c r="AA58" s="138"/>
    </row>
    <row r="59" spans="2:27" ht="15" customHeight="1" x14ac:dyDescent="0.25">
      <c r="B59" s="187" t="s">
        <v>163</v>
      </c>
      <c r="C59" s="137">
        <v>37610</v>
      </c>
      <c r="D59" s="112">
        <f ca="1">IF(C59 &lt;&gt; 0,ROUNDDOWN(($A$47-C59)/365.25,0),"")</f>
        <v>18</v>
      </c>
      <c r="E59" s="139">
        <v>15</v>
      </c>
      <c r="F59" s="139">
        <v>7</v>
      </c>
      <c r="G59" s="139">
        <v>8</v>
      </c>
      <c r="H59" s="112">
        <f>IF(B59&lt;&gt;0,F59+G59,"")</f>
        <v>15</v>
      </c>
      <c r="I59" s="139">
        <v>2</v>
      </c>
      <c r="J59" s="139">
        <v>84</v>
      </c>
      <c r="K59" s="139"/>
      <c r="L59" s="139" t="s">
        <v>41</v>
      </c>
      <c r="M59" s="139">
        <v>183</v>
      </c>
      <c r="N59" s="139">
        <v>72</v>
      </c>
      <c r="O59" s="119" t="str">
        <f>IF(B59&lt;&gt;0,CONCATENATE(E59+IFERROR(VLOOKUP(B59,$B$2:$N$36,4,FALSE),0) + X59, " OZ, ", H59+IFERROR(VLOOKUP(B59,$B$2:$N$36,9,FALSE),0) + Y59+Z59, " (", F59+IFERROR(VLOOKUP(B59,$B$2:$N$36,5,FALSE),0) + Y59, "+",G59+IFERROR(VLOOKUP(B59,$B$2:$N$36,8,FALSE),0) +  Z59, ")"), "")</f>
        <v>40 OZ, 65 (40+25)</v>
      </c>
      <c r="P59" s="112" t="str">
        <f>IF(M59&lt;&gt;0,CONCATENATE(M59,"/",N59),"")</f>
        <v>183/72</v>
      </c>
      <c r="Q59" s="140" t="s">
        <v>214</v>
      </c>
      <c r="R59" s="139">
        <v>2009</v>
      </c>
      <c r="S59" s="112" t="str">
        <f>IFERROR(CONCATENATE(E59+VLOOKUP(B59,$B$39:$R$42,4,FALSE), " OZ, ",G59+VLOOKUP(B59,$B$39:$R$42,13,FALSE), " A"),"")</f>
        <v/>
      </c>
      <c r="T59" s="1" t="str">
        <f>IF(B59&lt;&gt;0,IF(V59=1,U59,CONCATENATE(U59," ",W59,".")),"")</f>
        <v>Majer</v>
      </c>
      <c r="U59" s="1" t="str">
        <f>IFERROR(RIGHT(B59,LEN(B59)-SEARCH(" ", B59,1)),"")</f>
        <v>Majer</v>
      </c>
      <c r="V59" s="112">
        <f>IF(B59&lt;&gt;0,COUNTIF($U$48:$U$82,U59),"")</f>
        <v>1</v>
      </c>
      <c r="W59" s="112" t="str">
        <f>IFERROR(LEFT(LEFT(B59,SEARCH(" ",B59,1)),1),"")</f>
        <v>P</v>
      </c>
      <c r="X59" s="139"/>
      <c r="Y59" s="139"/>
      <c r="Z59" s="139"/>
      <c r="AA59" s="138"/>
    </row>
    <row r="60" spans="2:27" ht="15" customHeight="1" x14ac:dyDescent="0.25">
      <c r="B60" s="186" t="s">
        <v>170</v>
      </c>
      <c r="C60" s="137">
        <v>36184</v>
      </c>
      <c r="D60" s="112">
        <f ca="1">IF(C60 &lt;&gt; 0,ROUNDDOWN(($A$47-C60)/365.25,0),"")</f>
        <v>22</v>
      </c>
      <c r="E60" s="139">
        <v>78</v>
      </c>
      <c r="F60" s="139">
        <v>31</v>
      </c>
      <c r="G60" s="139">
        <v>11</v>
      </c>
      <c r="H60" s="112">
        <f>IF(B60&lt;&gt;0,F60+G60,"")</f>
        <v>42</v>
      </c>
      <c r="I60" s="139">
        <v>5</v>
      </c>
      <c r="J60" s="139">
        <v>4</v>
      </c>
      <c r="K60" s="139"/>
      <c r="L60" s="139" t="s">
        <v>78</v>
      </c>
      <c r="M60" s="139">
        <v>184</v>
      </c>
      <c r="N60" s="139">
        <v>78</v>
      </c>
      <c r="O60" s="119" t="str">
        <f>IF(B60&lt;&gt;0,CONCATENATE(E60+IFERROR(VLOOKUP(B60,$B$2:$N$36,4,FALSE),0) + X60, " OZ, ", H60+IFERROR(VLOOKUP(B60,$B$2:$N$36,9,FALSE),0) + Y60+Z60, " (", F60+IFERROR(VLOOKUP(B60,$B$2:$N$36,5,FALSE),0) + Y60, "+",G60+IFERROR(VLOOKUP(B60,$B$2:$N$36,8,FALSE),0) +  Z60, ")"), "")</f>
        <v>94 OZ, 53 (36+17)</v>
      </c>
      <c r="P60" s="112" t="str">
        <f>IF(M60&lt;&gt;0,CONCATENATE(M60,"/",N60),"")</f>
        <v>184/78</v>
      </c>
      <c r="Q60" s="140" t="s">
        <v>204</v>
      </c>
      <c r="R60" s="139">
        <v>2008</v>
      </c>
      <c r="S60" s="112" t="str">
        <f>IFERROR(CONCATENATE(E60+VLOOKUP(B60,$B$39:$R$42,4,FALSE), " OZ, ",G60+VLOOKUP(B60,$B$39:$R$42,13,FALSE), " A"),"")</f>
        <v/>
      </c>
      <c r="T60" s="1" t="str">
        <f>IF(B60&lt;&gt;0,IF(V60=1,U60,CONCATENATE(U60," ",W60,".")),"")</f>
        <v>Maxa</v>
      </c>
      <c r="U60" s="1" t="str">
        <f>IFERROR(RIGHT(B60,LEN(B60)-SEARCH(" ", B60,1)),"")</f>
        <v>Maxa</v>
      </c>
      <c r="V60" s="112">
        <f>IF(B60&lt;&gt;0,COUNTIF($U$48:$U$82,U60),"")</f>
        <v>1</v>
      </c>
      <c r="W60" s="112" t="str">
        <f>IFERROR(LEFT(LEFT(B60,SEARCH(" ",B60,1)),1),"")</f>
        <v>D</v>
      </c>
      <c r="X60" s="139"/>
      <c r="Y60" s="139"/>
      <c r="Z60" s="139"/>
      <c r="AA60" s="138"/>
    </row>
    <row r="61" spans="2:27" ht="15" customHeight="1" x14ac:dyDescent="0.25">
      <c r="B61" s="141" t="s">
        <v>162</v>
      </c>
      <c r="C61" s="137">
        <v>32867</v>
      </c>
      <c r="D61" s="112">
        <f ca="1">IF(C61 &lt;&gt; 0,ROUNDDOWN(($A$47-C61)/365.25,0),"")</f>
        <v>31</v>
      </c>
      <c r="E61" s="139">
        <v>208</v>
      </c>
      <c r="F61" s="139">
        <v>125</v>
      </c>
      <c r="G61" s="139">
        <v>127</v>
      </c>
      <c r="H61" s="112">
        <f>IF(B61&lt;&gt;0,F61+G61,"")</f>
        <v>252</v>
      </c>
      <c r="I61" s="139">
        <v>12</v>
      </c>
      <c r="J61" s="139">
        <v>9</v>
      </c>
      <c r="K61" s="139"/>
      <c r="L61" s="139" t="s">
        <v>78</v>
      </c>
      <c r="M61" s="139">
        <v>182</v>
      </c>
      <c r="N61" s="139">
        <v>82</v>
      </c>
      <c r="O61" s="119" t="str">
        <f>IF(B61&lt;&gt;0,CONCATENATE(E61+IFERROR(VLOOKUP(B61,$B$2:$N$36,4,FALSE),0) + X61, " OZ, ", H61+IFERROR(VLOOKUP(B61,$B$2:$N$36,9,FALSE),0) + Y61+Z61, " (", F61+IFERROR(VLOOKUP(B61,$B$2:$N$36,5,FALSE),0) + Y61, "+",G61+IFERROR(VLOOKUP(B61,$B$2:$N$36,8,FALSE),0) +  Z61, ")"), "")</f>
        <v>233 OZ, 277 (140+137)</v>
      </c>
      <c r="P61" s="112" t="str">
        <f>IF(M61&lt;&gt;0,CONCATENATE(M61,"/",N61),"")</f>
        <v>182/82</v>
      </c>
      <c r="Q61" s="140" t="s">
        <v>212</v>
      </c>
      <c r="R61" s="139">
        <v>2004</v>
      </c>
      <c r="S61" s="112" t="str">
        <f>IFERROR(CONCATENATE(E61+VLOOKUP(B61,$B$39:$R$42,4,FALSE), " OZ, ",G61+VLOOKUP(B61,$B$39:$R$42,13,FALSE), " A"),"")</f>
        <v/>
      </c>
      <c r="T61" s="1" t="str">
        <f>IF(B61&lt;&gt;0,IF(V61=1,U61,CONCATENATE(U61," ",W61,".")),"")</f>
        <v>Mikeš</v>
      </c>
      <c r="U61" s="1" t="str">
        <f>IFERROR(RIGHT(B61,LEN(B61)-SEARCH(" ", B61,1)),"")</f>
        <v>Mikeš</v>
      </c>
      <c r="V61" s="112">
        <f>IF(B61&lt;&gt;0,COUNTIF($U$48:$U$82,U61),"")</f>
        <v>1</v>
      </c>
      <c r="W61" s="112" t="str">
        <f>IFERROR(LEFT(LEFT(B61,SEARCH(" ",B61,1)),1),"")</f>
        <v>O</v>
      </c>
      <c r="X61" s="139"/>
      <c r="Y61" s="139"/>
      <c r="Z61" s="139"/>
      <c r="AA61" s="138"/>
    </row>
    <row r="62" spans="2:27" ht="15" customHeight="1" x14ac:dyDescent="0.25">
      <c r="B62" s="187" t="s">
        <v>161</v>
      </c>
      <c r="C62" s="137">
        <v>33775</v>
      </c>
      <c r="D62" s="112">
        <f ca="1">IF(C62 &lt;&gt; 0,ROUNDDOWN(($A$47-C62)/365.25,0),"")</f>
        <v>28</v>
      </c>
      <c r="E62" s="139">
        <v>214</v>
      </c>
      <c r="F62" s="139">
        <v>295</v>
      </c>
      <c r="G62" s="139">
        <v>183</v>
      </c>
      <c r="H62" s="112">
        <f>IF(B62&lt;&gt;0,F62+G62,"")</f>
        <v>478</v>
      </c>
      <c r="I62" s="139">
        <v>12</v>
      </c>
      <c r="J62" s="139">
        <v>25</v>
      </c>
      <c r="K62" s="139"/>
      <c r="L62" s="139" t="s">
        <v>41</v>
      </c>
      <c r="M62" s="139">
        <v>186</v>
      </c>
      <c r="N62" s="139">
        <v>82</v>
      </c>
      <c r="O62" s="119" t="str">
        <f>IF(B62&lt;&gt;0,CONCATENATE(E62+IFERROR(VLOOKUP(B62,$B$2:$N$36,4,FALSE),0) + X62, " OZ, ", H62+IFERROR(VLOOKUP(B62,$B$2:$N$36,9,FALSE),0) + Y62+Z62, " (", F62+IFERROR(VLOOKUP(B62,$B$2:$N$36,5,FALSE),0) + Y62, "+",G62+IFERROR(VLOOKUP(B62,$B$2:$N$36,8,FALSE),0) +  Z62, ")"), "")</f>
        <v>240 OZ, 523 (322+201)</v>
      </c>
      <c r="P62" s="112" t="str">
        <f>IF(M62&lt;&gt;0,CONCATENATE(M62,"/",N62),"")</f>
        <v>186/82</v>
      </c>
      <c r="Q62" s="140" t="s">
        <v>215</v>
      </c>
      <c r="R62" s="139">
        <v>1999</v>
      </c>
      <c r="S62" s="112" t="str">
        <f>IFERROR(CONCATENATE(E62+VLOOKUP(B62,$B$39:$R$42,4,FALSE), " OZ, ",G62+VLOOKUP(B62,$B$39:$R$42,13,FALSE), " A"),"")</f>
        <v/>
      </c>
      <c r="T62" s="1" t="str">
        <f>IF(B62&lt;&gt;0,IF(V62=1,U62,CONCATENATE(U62," ",W62,".")),"")</f>
        <v>Ondrušek</v>
      </c>
      <c r="U62" s="1" t="str">
        <f>IFERROR(RIGHT(B62,LEN(B62)-SEARCH(" ", B62,1)),"")</f>
        <v>Ondrušek</v>
      </c>
      <c r="V62" s="112">
        <f>IF(B62&lt;&gt;0,COUNTIF($U$48:$U$82,U62),"")</f>
        <v>1</v>
      </c>
      <c r="W62" s="112" t="str">
        <f>IFERROR(LEFT(LEFT(B62,SEARCH(" ",B62,1)),1),"")</f>
        <v>T</v>
      </c>
      <c r="X62" s="139"/>
      <c r="Y62" s="139"/>
      <c r="Z62" s="139"/>
      <c r="AA62" s="138"/>
    </row>
    <row r="63" spans="2:27" ht="15" customHeight="1" x14ac:dyDescent="0.25">
      <c r="B63" s="138" t="s">
        <v>179</v>
      </c>
      <c r="C63" s="137"/>
      <c r="D63" s="112" t="str">
        <f>IF(C63 &lt;&gt; 0,ROUNDDOWN(($A$47-C63)/365.25,0),"")</f>
        <v/>
      </c>
      <c r="E63" s="139">
        <v>3</v>
      </c>
      <c r="F63" s="139">
        <v>0</v>
      </c>
      <c r="G63" s="139">
        <v>0</v>
      </c>
      <c r="H63" s="112">
        <f>IF(B63&lt;&gt;0,F63+G63,"")</f>
        <v>0</v>
      </c>
      <c r="I63" s="139"/>
      <c r="J63" s="139">
        <v>98</v>
      </c>
      <c r="K63" s="139"/>
      <c r="L63" s="139" t="s">
        <v>79</v>
      </c>
      <c r="M63" s="139"/>
      <c r="N63" s="139"/>
      <c r="O63" s="119" t="str">
        <f>IF(B63&lt;&gt;0,CONCATENATE(E63+IFERROR(VLOOKUP(B63,$B$2:$N$36,4,FALSE),0) + X63, " OZ, ", H63+IFERROR(VLOOKUP(B63,$B$2:$N$36,9,FALSE),0) + Y63+Z63, " (", F63+IFERROR(VLOOKUP(B63,$B$2:$N$36,5,FALSE),0) + Y63, "+",G63+IFERROR(VLOOKUP(B63,$B$2:$N$36,8,FALSE),0) +  Z63, ")"), "")</f>
        <v>15 OZ, 1 (0+1)</v>
      </c>
      <c r="P63" s="112" t="str">
        <f>IF(M63&lt;&gt;0,CONCATENATE(M63,"/",N63),"")</f>
        <v/>
      </c>
      <c r="Q63" s="140"/>
      <c r="R63" s="139"/>
      <c r="S63" s="112" t="str">
        <f>IFERROR(CONCATENATE(E63+VLOOKUP(B63,$B$39:$R$42,4,FALSE), " OZ, ",G63+VLOOKUP(B63,$B$39:$R$42,13,FALSE), " A"),"")</f>
        <v/>
      </c>
      <c r="T63" s="1" t="str">
        <f>IF(B63&lt;&gt;0,IF(V63=1,U63,CONCATENATE(U63," ",W63,".")),"")</f>
        <v>Pergler I.</v>
      </c>
      <c r="U63" s="1" t="str">
        <f>IFERROR(RIGHT(B63,LEN(B63)-SEARCH(" ", B63,1)),"")</f>
        <v>Pergler</v>
      </c>
      <c r="V63" s="112">
        <f>IF(B63&lt;&gt;0,COUNTIF($U$48:$U$82,U63),"")</f>
        <v>2</v>
      </c>
      <c r="W63" s="112" t="str">
        <f>IFERROR(LEFT(LEFT(B63,SEARCH(" ",B63,1)),1),"")</f>
        <v>I</v>
      </c>
      <c r="X63" s="139"/>
      <c r="Y63" s="139"/>
      <c r="Z63" s="139"/>
      <c r="AA63" s="138"/>
    </row>
    <row r="64" spans="2:27" ht="15" customHeight="1" x14ac:dyDescent="0.25">
      <c r="B64" s="138" t="s">
        <v>178</v>
      </c>
      <c r="C64" s="137"/>
      <c r="D64" s="112" t="str">
        <f>IF(C64 &lt;&gt; 0,ROUNDDOWN(($A$47-C64)/365.25,0),"")</f>
        <v/>
      </c>
      <c r="E64" s="139"/>
      <c r="F64" s="139"/>
      <c r="G64" s="139"/>
      <c r="H64" s="112">
        <f>IF(B64&lt;&gt;0,F64+G64,"")</f>
        <v>0</v>
      </c>
      <c r="I64" s="139"/>
      <c r="J64" s="139"/>
      <c r="K64" s="139"/>
      <c r="L64" s="139" t="s">
        <v>30</v>
      </c>
      <c r="M64" s="139"/>
      <c r="N64" s="139"/>
      <c r="O64" s="119" t="str">
        <f>IF(B64&lt;&gt;0,CONCATENATE(E64+IFERROR(VLOOKUP(B64,$B$2:$N$36,4,FALSE),0) + X64, " OZ, ", H64+IFERROR(VLOOKUP(B64,$B$2:$N$36,9,FALSE),0) + Y64+Z64, " (", F64+IFERROR(VLOOKUP(B64,$B$2:$N$36,5,FALSE),0) + Y64, "+",G64+IFERROR(VLOOKUP(B64,$B$2:$N$36,8,FALSE),0) +  Z64, ")"), "")</f>
        <v>0 OZ, 0 (0+0)</v>
      </c>
      <c r="P64" s="112" t="str">
        <f>IF(M64&lt;&gt;0,CONCATENATE(M64,"/",N64),"")</f>
        <v/>
      </c>
      <c r="Q64" s="140"/>
      <c r="R64" s="139"/>
      <c r="S64" s="112" t="str">
        <f>IFERROR(CONCATENATE(E64+VLOOKUP(B64,$B$39:$R$42,4,FALSE), " OZ, ",G64+VLOOKUP(B64,$B$39:$R$42,13,FALSE), " A"),"")</f>
        <v>1 OZ, 0 A</v>
      </c>
      <c r="T64" s="1" t="str">
        <f>IF(B64&lt;&gt;0,IF(V64=1,U64,CONCATENATE(U64," ",W64,".")),"")</f>
        <v>Pergler K.</v>
      </c>
      <c r="U64" s="1" t="str">
        <f>IFERROR(RIGHT(B64,LEN(B64)-SEARCH(" ", B64,1)),"")</f>
        <v>Pergler</v>
      </c>
      <c r="V64" s="112">
        <f>IF(B64&lt;&gt;0,COUNTIF($U$48:$U$82,U64),"")</f>
        <v>2</v>
      </c>
      <c r="W64" s="112" t="str">
        <f>IFERROR(LEFT(LEFT(B64,SEARCH(" ",B64,1)),1),"")</f>
        <v>K</v>
      </c>
      <c r="X64" s="139"/>
      <c r="Y64" s="139"/>
      <c r="Z64" s="139"/>
      <c r="AA64" s="138"/>
    </row>
    <row r="65" spans="2:27" ht="15" customHeight="1" x14ac:dyDescent="0.25">
      <c r="B65" s="138" t="s">
        <v>176</v>
      </c>
      <c r="C65" s="137">
        <v>35462</v>
      </c>
      <c r="D65" s="112">
        <f ca="1">IF(C65 &lt;&gt; 0,ROUNDDOWN(($A$47-C65)/365.25,0),"")</f>
        <v>24</v>
      </c>
      <c r="E65" s="139">
        <v>92</v>
      </c>
      <c r="F65" s="139">
        <v>29</v>
      </c>
      <c r="G65" s="139">
        <v>17</v>
      </c>
      <c r="H65" s="112">
        <f>IF(B65&lt;&gt;0,F65+G65,"")</f>
        <v>46</v>
      </c>
      <c r="I65" s="139">
        <v>7</v>
      </c>
      <c r="J65" s="139">
        <v>10</v>
      </c>
      <c r="K65" s="139"/>
      <c r="L65" s="139" t="s">
        <v>78</v>
      </c>
      <c r="M65" s="139">
        <v>172</v>
      </c>
      <c r="N65" s="139">
        <v>73</v>
      </c>
      <c r="O65" s="119" t="str">
        <f>IF(B65&lt;&gt;0,CONCATENATE(E65+IFERROR(VLOOKUP(B65,$B$2:$N$36,4,FALSE),0) + X65, " OZ, ", H65+IFERROR(VLOOKUP(B65,$B$2:$N$36,9,FALSE),0) + Y65+Z65, " (", F65+IFERROR(VLOOKUP(B65,$B$2:$N$36,5,FALSE),0) + Y65, "+",G65+IFERROR(VLOOKUP(B65,$B$2:$N$36,8,FALSE),0) +  Z65, ")"), "")</f>
        <v>117 OZ, 48 (30+18)</v>
      </c>
      <c r="P65" s="112" t="str">
        <f>IF(M65&lt;&gt;0,CONCATENATE(M65,"/",N65),"")</f>
        <v>172/73</v>
      </c>
      <c r="Q65" s="140" t="s">
        <v>213</v>
      </c>
      <c r="R65" s="139">
        <v>2006</v>
      </c>
      <c r="S65" s="112" t="str">
        <f>IFERROR(CONCATENATE(E65+VLOOKUP(B65,$B$39:$R$42,4,FALSE), " OZ, ",G65+VLOOKUP(B65,$B$39:$R$42,13,FALSE), " A"),"")</f>
        <v/>
      </c>
      <c r="T65" s="1" t="str">
        <f>IF(B65&lt;&gt;0,IF(V65=1,U65,CONCATENATE(U65," ",W65,".")),"")</f>
        <v>Plíhal</v>
      </c>
      <c r="U65" s="1" t="str">
        <f>IFERROR(RIGHT(B65,LEN(B65)-SEARCH(" ", B65,1)),"")</f>
        <v>Plíhal</v>
      </c>
      <c r="V65" s="112">
        <f>IF(B65&lt;&gt;0,COUNTIF($U$48:$U$82,U65),"")</f>
        <v>1</v>
      </c>
      <c r="W65" s="112" t="str">
        <f>IFERROR(LEFT(LEFT(B65,SEARCH(" ",B65,1)),1),"")</f>
        <v>O</v>
      </c>
      <c r="X65" s="139"/>
      <c r="Y65" s="139"/>
      <c r="Z65" s="139"/>
      <c r="AA65" s="138"/>
    </row>
    <row r="66" spans="2:27" ht="15" customHeight="1" x14ac:dyDescent="0.25">
      <c r="B66" s="138" t="s">
        <v>165</v>
      </c>
      <c r="C66" s="137">
        <v>33065</v>
      </c>
      <c r="D66" s="112">
        <f ca="1">IF(C66 &lt;&gt; 0,ROUNDDOWN(($A$47-C66)/365.25,0),"")</f>
        <v>30</v>
      </c>
      <c r="E66" s="139">
        <v>198</v>
      </c>
      <c r="F66" s="139">
        <v>40</v>
      </c>
      <c r="G66" s="139">
        <v>99</v>
      </c>
      <c r="H66" s="112">
        <f>IF(B66&lt;&gt;0,F66+G66,"")</f>
        <v>139</v>
      </c>
      <c r="I66" s="139">
        <v>11</v>
      </c>
      <c r="J66" s="139">
        <v>95</v>
      </c>
      <c r="K66" s="139"/>
      <c r="L66" s="139" t="s">
        <v>41</v>
      </c>
      <c r="M66" s="139">
        <v>173</v>
      </c>
      <c r="N66" s="139">
        <v>82</v>
      </c>
      <c r="O66" s="119" t="str">
        <f>IF(B66&lt;&gt;0,CONCATENATE(E66+IFERROR(VLOOKUP(B66,$B$2:$N$36,4,FALSE),0) + X66, " OZ, ", H66+IFERROR(VLOOKUP(B66,$B$2:$N$36,9,FALSE),0) + Y66+Z66, " (", F66+IFERROR(VLOOKUP(B66,$B$2:$N$36,5,FALSE),0) + Y66, "+",G66+IFERROR(VLOOKUP(B66,$B$2:$N$36,8,FALSE),0) +  Z66, ")"), "")</f>
        <v>221 OZ, 151 (44+107)</v>
      </c>
      <c r="P66" s="112" t="str">
        <f>IF(M66&lt;&gt;0,CONCATENATE(M66,"/",N66),"")</f>
        <v>173/82</v>
      </c>
      <c r="Q66" s="140" t="s">
        <v>210</v>
      </c>
      <c r="R66" s="139">
        <v>1998</v>
      </c>
      <c r="S66" s="112" t="str">
        <f>IFERROR(CONCATENATE(E66+VLOOKUP(B66,$B$39:$R$42,4,FALSE), " OZ, ",G66+VLOOKUP(B66,$B$39:$R$42,13,FALSE), " A"),"")</f>
        <v/>
      </c>
      <c r="T66" s="1" t="str">
        <f>IF(B66&lt;&gt;0,IF(V66=1,U66,CONCATENATE(U66," ",W66,".")),"")</f>
        <v>Podhráský</v>
      </c>
      <c r="U66" s="1" t="str">
        <f>IFERROR(RIGHT(B66,LEN(B66)-SEARCH(" ", B66,1)),"")</f>
        <v>Podhráský</v>
      </c>
      <c r="V66" s="112">
        <f>IF(B66&lt;&gt;0,COUNTIF($U$48:$U$82,U66),"")</f>
        <v>1</v>
      </c>
      <c r="W66" s="112" t="str">
        <f>IFERROR(LEFT(LEFT(B66,SEARCH(" ",B66,1)),1),"")</f>
        <v>M</v>
      </c>
      <c r="X66" s="139"/>
      <c r="Y66" s="139"/>
      <c r="Z66" s="139"/>
      <c r="AA66" s="138"/>
    </row>
    <row r="67" spans="2:27" ht="15" customHeight="1" x14ac:dyDescent="0.25">
      <c r="B67" s="138" t="s">
        <v>184</v>
      </c>
      <c r="C67" s="137">
        <v>31821</v>
      </c>
      <c r="D67" s="112">
        <f ca="1">IF(C67 &lt;&gt; 0,ROUNDDOWN(($A$47-C67)/365.25,0),"")</f>
        <v>34</v>
      </c>
      <c r="E67" s="139">
        <v>202</v>
      </c>
      <c r="F67" s="139">
        <v>0</v>
      </c>
      <c r="G67" s="139">
        <v>2</v>
      </c>
      <c r="H67" s="112">
        <f>IF(B67&lt;&gt;0,F67+G67,"")</f>
        <v>2</v>
      </c>
      <c r="I67" s="139">
        <v>15</v>
      </c>
      <c r="J67" s="139">
        <v>97</v>
      </c>
      <c r="K67" s="139"/>
      <c r="L67" s="139" t="s">
        <v>30</v>
      </c>
      <c r="M67" s="139">
        <v>183</v>
      </c>
      <c r="N67" s="139">
        <v>97</v>
      </c>
      <c r="O67" s="119" t="str">
        <f>IF(B67&lt;&gt;0,CONCATENATE(E67+IFERROR(VLOOKUP(B67,$B$2:$N$36,4,FALSE),0) + X67, " OZ, ", H67+IFERROR(VLOOKUP(B67,$B$2:$N$36,9,FALSE),0) + Y67+Z67, " (", F67+IFERROR(VLOOKUP(B67,$B$2:$N$36,5,FALSE),0) + Y67, "+",G67+IFERROR(VLOOKUP(B67,$B$2:$N$36,8,FALSE),0) +  Z67, ")"), "")</f>
        <v>202 OZ, 2 (0+2)</v>
      </c>
      <c r="P67" s="112" t="str">
        <f>IF(M67&lt;&gt;0,CONCATENATE(M67,"/",N67),"")</f>
        <v>183/97</v>
      </c>
      <c r="Q67" s="140" t="s">
        <v>210</v>
      </c>
      <c r="R67" s="139">
        <v>1997</v>
      </c>
      <c r="S67" s="112" t="str">
        <f>IFERROR(CONCATENATE(E67+VLOOKUP(B67,$B$39:$R$42,4,FALSE), " OZ, ",G67+VLOOKUP(B67,$B$39:$R$42,13,FALSE), " A"),"")</f>
        <v>208 OZ, 2 A</v>
      </c>
      <c r="T67" s="1" t="str">
        <f>IF(B67&lt;&gt;0,IF(V67=1,U67,CONCATENATE(U67," ",W67,".")),"")</f>
        <v>Rebro</v>
      </c>
      <c r="U67" s="1" t="str">
        <f>IFERROR(RIGHT(B67,LEN(B67)-SEARCH(" ", B67,1)),"")</f>
        <v>Rebro</v>
      </c>
      <c r="V67" s="112">
        <f>IF(B67&lt;&gt;0,COUNTIF($U$48:$U$82,U67),"")</f>
        <v>1</v>
      </c>
      <c r="W67" s="112" t="str">
        <f>IFERROR(LEFT(LEFT(B67,SEARCH(" ",B67,1)),1),"")</f>
        <v>M</v>
      </c>
      <c r="X67" s="139"/>
      <c r="Y67" s="139"/>
      <c r="Z67" s="139"/>
      <c r="AA67" s="138"/>
    </row>
    <row r="68" spans="2:27" ht="15" customHeight="1" x14ac:dyDescent="0.25">
      <c r="B68" s="138" t="s">
        <v>171</v>
      </c>
      <c r="C68" s="137">
        <v>36539</v>
      </c>
      <c r="D68" s="112">
        <f ca="1">IF(C68 &lt;&gt; 0,ROUNDDOWN(($A$47-C68)/365.25,0),"")</f>
        <v>21</v>
      </c>
      <c r="E68" s="139">
        <v>69</v>
      </c>
      <c r="F68" s="139">
        <v>23</v>
      </c>
      <c r="G68" s="139">
        <v>20</v>
      </c>
      <c r="H68" s="112">
        <f>IF(B68&lt;&gt;0,F68+G68,"")</f>
        <v>43</v>
      </c>
      <c r="I68" s="139">
        <v>4</v>
      </c>
      <c r="J68" s="139">
        <v>27</v>
      </c>
      <c r="K68" s="139"/>
      <c r="L68" s="139" t="s">
        <v>41</v>
      </c>
      <c r="M68" s="139">
        <v>186</v>
      </c>
      <c r="N68" s="139">
        <v>90</v>
      </c>
      <c r="O68" s="119" t="str">
        <f>IF(B68&lt;&gt;0,CONCATENATE(E68+IFERROR(VLOOKUP(B68,$B$2:$N$36,4,FALSE),0) + X68, " OZ, ", H68+IFERROR(VLOOKUP(B68,$B$2:$N$36,9,FALSE),0) + Y68+Z68, " (", F68+IFERROR(VLOOKUP(B68,$B$2:$N$36,5,FALSE),0) + Y68, "+",G68+IFERROR(VLOOKUP(B68,$B$2:$N$36,8,FALSE),0) +  Z68, ")"), "")</f>
        <v>94 OZ, 53 (26+27)</v>
      </c>
      <c r="P68" s="112" t="str">
        <f>IF(M68&lt;&gt;0,CONCATENATE(M68,"/",N68),"")</f>
        <v>186/90</v>
      </c>
      <c r="Q68" s="140" t="s">
        <v>211</v>
      </c>
      <c r="R68" s="139">
        <v>2007</v>
      </c>
      <c r="S68" s="112" t="str">
        <f>IFERROR(CONCATENATE(E68+VLOOKUP(B68,$B$39:$R$42,4,FALSE), " OZ, ",G68+VLOOKUP(B68,$B$39:$R$42,13,FALSE), " A"),"")</f>
        <v/>
      </c>
      <c r="T68" s="1" t="str">
        <f>IF(B68&lt;&gt;0,IF(V68=1,U68,CONCATENATE(U68," ",W68,".")),"")</f>
        <v>Řezáč</v>
      </c>
      <c r="U68" s="1" t="str">
        <f>IFERROR(RIGHT(B68,LEN(B68)-SEARCH(" ", B68,1)),"")</f>
        <v>Řezáč</v>
      </c>
      <c r="V68" s="112">
        <f>IF(B68&lt;&gt;0,COUNTIF($U$48:$U$82,U68),"")</f>
        <v>1</v>
      </c>
      <c r="W68" s="112" t="str">
        <f>IFERROR(LEFT(LEFT(B68,SEARCH(" ",B68,1)),1),"")</f>
        <v>M</v>
      </c>
      <c r="X68" s="139"/>
      <c r="Y68" s="139"/>
      <c r="Z68" s="139"/>
      <c r="AA68" s="138"/>
    </row>
    <row r="69" spans="2:27" ht="15" customHeight="1" x14ac:dyDescent="0.25">
      <c r="B69" s="138" t="s">
        <v>180</v>
      </c>
      <c r="C69" s="137"/>
      <c r="D69" s="112" t="str">
        <f>IF(C69 &lt;&gt; 0,ROUNDDOWN(($A$47-C69)/365.25,0),"")</f>
        <v/>
      </c>
      <c r="E69" s="139"/>
      <c r="F69" s="139"/>
      <c r="G69" s="139"/>
      <c r="H69" s="112">
        <f>IF(B69&lt;&gt;0,F69+G69,"")</f>
        <v>0</v>
      </c>
      <c r="I69" s="139"/>
      <c r="J69" s="139"/>
      <c r="K69" s="139"/>
      <c r="L69" s="139"/>
      <c r="M69" s="139"/>
      <c r="N69" s="139"/>
      <c r="O69" s="119" t="str">
        <f>IF(B69&lt;&gt;0,CONCATENATE(E69+IFERROR(VLOOKUP(B69,$B$2:$N$36,4,FALSE),0) + X69, " OZ, ", H69+IFERROR(VLOOKUP(B69,$B$2:$N$36,9,FALSE),0) + Y69+Z69, " (", F69+IFERROR(VLOOKUP(B69,$B$2:$N$36,5,FALSE),0) + Y69, "+",G69+IFERROR(VLOOKUP(B69,$B$2:$N$36,8,FALSE),0) +  Z69, ")"), "")</f>
        <v>12 OZ, 4 (4+0)</v>
      </c>
      <c r="P69" s="112" t="str">
        <f>IF(M69&lt;&gt;0,CONCATENATE(M69,"/",N69),"")</f>
        <v/>
      </c>
      <c r="Q69" s="140"/>
      <c r="R69" s="139"/>
      <c r="S69" s="112" t="str">
        <f>IFERROR(CONCATENATE(E69+VLOOKUP(B69,$B$39:$R$42,4,FALSE), " OZ, ",G69+VLOOKUP(B69,$B$39:$R$42,13,FALSE), " A"),"")</f>
        <v/>
      </c>
      <c r="T69" s="1" t="str">
        <f>IF(B69&lt;&gt;0,IF(V69=1,U69,CONCATENATE(U69," ",W69,".")),"")</f>
        <v>Slunečko</v>
      </c>
      <c r="U69" s="1" t="str">
        <f>IFERROR(RIGHT(B69,LEN(B69)-SEARCH(" ", B69,1)),"")</f>
        <v>Slunečko</v>
      </c>
      <c r="V69" s="112">
        <f>IF(B69&lt;&gt;0,COUNTIF($U$48:$U$82,U69),"")</f>
        <v>1</v>
      </c>
      <c r="W69" s="112" t="str">
        <f>IFERROR(LEFT(LEFT(B69,SEARCH(" ",B69,1)),1),"")</f>
        <v>R</v>
      </c>
      <c r="X69" s="139"/>
      <c r="Y69" s="139"/>
      <c r="Z69" s="139"/>
      <c r="AA69" s="138"/>
    </row>
    <row r="70" spans="2:27" ht="15" customHeight="1" x14ac:dyDescent="0.25">
      <c r="B70" s="138" t="s">
        <v>173</v>
      </c>
      <c r="C70" s="137">
        <v>36548</v>
      </c>
      <c r="D70" s="112">
        <f ca="1">IF(C70 &lt;&gt; 0,ROUNDDOWN(($A$47-C70)/365.25,0),"")</f>
        <v>21</v>
      </c>
      <c r="E70" s="139">
        <v>66</v>
      </c>
      <c r="F70" s="139">
        <v>2</v>
      </c>
      <c r="G70" s="139">
        <v>0</v>
      </c>
      <c r="H70" s="112">
        <f>IF(B70&lt;&gt;0,F70+G70,"")</f>
        <v>2</v>
      </c>
      <c r="I70" s="139">
        <v>4</v>
      </c>
      <c r="J70" s="139">
        <v>99</v>
      </c>
      <c r="K70" s="139"/>
      <c r="L70" s="139" t="s">
        <v>78</v>
      </c>
      <c r="M70" s="139">
        <v>182</v>
      </c>
      <c r="N70" s="139">
        <v>75</v>
      </c>
      <c r="O70" s="119" t="str">
        <f>IF(B70&lt;&gt;0,CONCATENATE(E70+IFERROR(VLOOKUP(B70,$B$2:$N$36,4,FALSE),0) + X70, " OZ, ", H70+IFERROR(VLOOKUP(B70,$B$2:$N$36,9,FALSE),0) + Y70+Z70, " (", F70+IFERROR(VLOOKUP(B70,$B$2:$N$36,5,FALSE),0) + Y70, "+",G70+IFERROR(VLOOKUP(B70,$B$2:$N$36,8,FALSE),0) +  Z70, ")"), "")</f>
        <v>92 OZ, 7 (5+2)</v>
      </c>
      <c r="P70" s="112" t="str">
        <f>IF(M70&lt;&gt;0,CONCATENATE(M70,"/",N70),"")</f>
        <v>182/75</v>
      </c>
      <c r="Q70" s="140" t="s">
        <v>211</v>
      </c>
      <c r="R70" s="139">
        <v>2007</v>
      </c>
      <c r="S70" s="112" t="str">
        <f>IFERROR(CONCATENATE(E70+VLOOKUP(B70,$B$39:$R$42,4,FALSE), " OZ, ",G70+VLOOKUP(B70,$B$39:$R$42,13,FALSE), " A"),"")</f>
        <v/>
      </c>
      <c r="T70" s="1" t="str">
        <f>IF(B70&lt;&gt;0,IF(V70=1,U70,CONCATENATE(U70," ",W70,".")),"")</f>
        <v>Strnad</v>
      </c>
      <c r="U70" s="1" t="str">
        <f>IFERROR(RIGHT(B70,LEN(B70)-SEARCH(" ", B70,1)),"")</f>
        <v>Strnad</v>
      </c>
      <c r="V70" s="112">
        <f>IF(B70&lt;&gt;0,COUNTIF($U$48:$U$82,U70),"")</f>
        <v>1</v>
      </c>
      <c r="W70" s="112" t="str">
        <f>IFERROR(LEFT(LEFT(B70,SEARCH(" ",B70,1)),1),"")</f>
        <v>M</v>
      </c>
      <c r="X70" s="139"/>
      <c r="Y70" s="139"/>
      <c r="Z70" s="139"/>
      <c r="AA70" s="138"/>
    </row>
    <row r="71" spans="2:27" ht="15" customHeight="1" x14ac:dyDescent="0.25">
      <c r="B71" s="138" t="s">
        <v>164</v>
      </c>
      <c r="C71" s="137">
        <v>32329</v>
      </c>
      <c r="D71" s="112">
        <f ca="1">IF(C71 &lt;&gt; 0,ROUNDDOWN(($A$47-C71)/365.25,0),"")</f>
        <v>32</v>
      </c>
      <c r="E71" s="139">
        <v>204</v>
      </c>
      <c r="F71" s="139">
        <v>54</v>
      </c>
      <c r="G71" s="139">
        <v>138</v>
      </c>
      <c r="H71" s="112">
        <f>IF(B71&lt;&gt;0,F71+G71,"")</f>
        <v>192</v>
      </c>
      <c r="I71" s="139">
        <v>11</v>
      </c>
      <c r="J71" s="139">
        <v>26</v>
      </c>
      <c r="K71" s="139"/>
      <c r="L71" s="139" t="s">
        <v>41</v>
      </c>
      <c r="M71" s="139">
        <v>180</v>
      </c>
      <c r="N71" s="139">
        <v>74</v>
      </c>
      <c r="O71" s="119" t="str">
        <f>IF(B71&lt;&gt;0,CONCATENATE(E71+IFERROR(VLOOKUP(B71,$B$2:$N$36,4,FALSE),0) + X71, " OZ, ", H71+IFERROR(VLOOKUP(B71,$B$2:$N$36,9,FALSE),0) + Y71+Z71, " (", F71+IFERROR(VLOOKUP(B71,$B$2:$N$36,5,FALSE),0) + Y71, "+",G71+IFERROR(VLOOKUP(B71,$B$2:$N$36,8,FALSE),0) +  Z71, ")"), "")</f>
        <v>228 OZ, 217 (59+158)</v>
      </c>
      <c r="P71" s="112" t="str">
        <f>IF(M71&lt;&gt;0,CONCATENATE(M71,"/",N71),"")</f>
        <v>180/74</v>
      </c>
      <c r="Q71" s="140" t="s">
        <v>207</v>
      </c>
      <c r="R71" s="139">
        <v>2004</v>
      </c>
      <c r="S71" s="112" t="str">
        <f>IFERROR(CONCATENATE(E71+VLOOKUP(B71,$B$39:$R$42,4,FALSE), " OZ, ",G71+VLOOKUP(B71,$B$39:$R$42,13,FALSE), " A"),"")</f>
        <v/>
      </c>
      <c r="T71" s="1" t="str">
        <f>IF(B71&lt;&gt;0,IF(V71=1,U71,CONCATENATE(U71," ",W71,".")),"")</f>
        <v>Sýkora</v>
      </c>
      <c r="U71" s="1" t="str">
        <f>IFERROR(RIGHT(B71,LEN(B71)-SEARCH(" ", B71,1)),"")</f>
        <v>Sýkora</v>
      </c>
      <c r="V71" s="112">
        <f>IF(B71&lt;&gt;0,COUNTIF($U$48:$U$82,U71),"")</f>
        <v>1</v>
      </c>
      <c r="W71" s="112" t="str">
        <f>IFERROR(LEFT(LEFT(B71,SEARCH(" ",B71,1)),1),"")</f>
        <v>T</v>
      </c>
      <c r="X71" s="139"/>
      <c r="Y71" s="139"/>
      <c r="Z71" s="139"/>
      <c r="AA71" s="138"/>
    </row>
    <row r="72" spans="2:27" ht="15" customHeight="1" x14ac:dyDescent="0.25">
      <c r="B72" s="186" t="s">
        <v>186</v>
      </c>
      <c r="C72" s="137">
        <v>36800</v>
      </c>
      <c r="D72" s="112">
        <f ca="1">IF(C72 &lt;&gt; 0,ROUNDDOWN(($A$47-C72)/365.25,0),"")</f>
        <v>20</v>
      </c>
      <c r="E72" s="139">
        <v>5</v>
      </c>
      <c r="F72" s="139">
        <v>0</v>
      </c>
      <c r="G72" s="139">
        <v>0</v>
      </c>
      <c r="H72" s="112">
        <f>IF(B72&lt;&gt;0,F72+G72,"")</f>
        <v>0</v>
      </c>
      <c r="I72" s="139">
        <v>4</v>
      </c>
      <c r="J72" s="139">
        <v>31</v>
      </c>
      <c r="K72" s="139"/>
      <c r="L72" s="139" t="s">
        <v>30</v>
      </c>
      <c r="M72" s="139">
        <v>175</v>
      </c>
      <c r="N72" s="139">
        <v>76</v>
      </c>
      <c r="O72" s="119" t="str">
        <f>IF(B72&lt;&gt;0,CONCATENATE(E72+IFERROR(VLOOKUP(B72,$B$2:$N$36,4,FALSE),0) + X72, " OZ, ", H72+IFERROR(VLOOKUP(B72,$B$2:$N$36,9,FALSE),0) + Y72+Z72, " (", F72+IFERROR(VLOOKUP(B72,$B$2:$N$36,5,FALSE),0) + Y72, "+",G72+IFERROR(VLOOKUP(B72,$B$2:$N$36,8,FALSE),0) +  Z72, ")"), "")</f>
        <v>5 OZ, 1 (0+1)</v>
      </c>
      <c r="P72" s="112" t="str">
        <f>IF(M72&lt;&gt;0,CONCATENATE(M72,"/",N72),"")</f>
        <v>175/76</v>
      </c>
      <c r="Q72" s="140" t="s">
        <v>203</v>
      </c>
      <c r="R72" s="139">
        <v>2010</v>
      </c>
      <c r="S72" s="112" t="str">
        <f>IFERROR(CONCATENATE(E72+VLOOKUP(B72,$B$39:$R$42,4,FALSE), " OZ, ",G72+VLOOKUP(B72,$B$39:$R$42,13,FALSE), " A"),"")</f>
        <v>14 OZ, 1 A</v>
      </c>
      <c r="T72" s="1" t="str">
        <f>IF(B72&lt;&gt;0,IF(V72=1,U72,CONCATENATE(U72," ",W72,".")),"")</f>
        <v>Šimůnek</v>
      </c>
      <c r="U72" s="1" t="str">
        <f>IFERROR(RIGHT(B72,LEN(B72)-SEARCH(" ", B72,1)),"")</f>
        <v>Šimůnek</v>
      </c>
      <c r="V72" s="112">
        <f>IF(B72&lt;&gt;0,COUNTIF($U$48:$U$82,U72),"")</f>
        <v>1</v>
      </c>
      <c r="W72" s="112" t="str">
        <f>IFERROR(LEFT(LEFT(B72,SEARCH(" ",B72,1)),1),"")</f>
        <v>V</v>
      </c>
      <c r="X72" s="139"/>
      <c r="Y72" s="139"/>
      <c r="Z72" s="139"/>
      <c r="AA72" s="138"/>
    </row>
    <row r="73" spans="2:27" ht="15" customHeight="1" x14ac:dyDescent="0.25">
      <c r="B73" s="138" t="s">
        <v>193</v>
      </c>
      <c r="C73" s="137">
        <v>28909</v>
      </c>
      <c r="D73" s="112">
        <f ca="1">IF(C73 &lt;&gt; 0,ROUNDDOWN(($A$47-C73)/365.25,0),"")</f>
        <v>42</v>
      </c>
      <c r="E73" s="139"/>
      <c r="F73" s="139"/>
      <c r="G73" s="139"/>
      <c r="H73" s="112">
        <f>IF(B73&lt;&gt;0,F73+G73,"")</f>
        <v>0</v>
      </c>
      <c r="I73" s="139"/>
      <c r="J73" s="139"/>
      <c r="K73" s="139"/>
      <c r="L73" s="139"/>
      <c r="M73" s="139"/>
      <c r="N73" s="139"/>
      <c r="O73" s="119" t="str">
        <f>IF(B73&lt;&gt;0,CONCATENATE(E73+IFERROR(VLOOKUP(B73,$B$2:$N$36,4,FALSE),0) + X73, " OZ, ", H73+IFERROR(VLOOKUP(B73,$B$2:$N$36,9,FALSE),0) + Y73+Z73, " (", F73+IFERROR(VLOOKUP(B73,$B$2:$N$36,5,FALSE),0) + Y73, "+",G73+IFERROR(VLOOKUP(B73,$B$2:$N$36,8,FALSE),0) +  Z73, ")"), "")</f>
        <v>1 OZ, 0 (0+0)</v>
      </c>
      <c r="P73" s="112" t="str">
        <f>IF(M73&lt;&gt;0,CONCATENATE(M73,"/",N73),"")</f>
        <v/>
      </c>
      <c r="Q73" s="140"/>
      <c r="R73" s="139"/>
      <c r="S73" s="112" t="str">
        <f>IFERROR(CONCATENATE(E73+VLOOKUP(B73,$B$39:$R$42,4,FALSE), " OZ, ",G73+VLOOKUP(B73,$B$39:$R$42,13,FALSE), " A"),"")</f>
        <v/>
      </c>
      <c r="T73" s="1" t="str">
        <f>IF(B73&lt;&gt;0,IF(V73=1,U73,CONCATENATE(U73," ",W73,".")),"")</f>
        <v>Štegl</v>
      </c>
      <c r="U73" s="1" t="str">
        <f>IFERROR(RIGHT(B73,LEN(B73)-SEARCH(" ", B73,1)),"")</f>
        <v>Štegl</v>
      </c>
      <c r="V73" s="112">
        <f>IF(B73&lt;&gt;0,COUNTIF($U$48:$U$82,U73),"")</f>
        <v>1</v>
      </c>
      <c r="W73" s="112" t="str">
        <f>IFERROR(LEFT(LEFT(B73,SEARCH(" ",B73,1)),1),"")</f>
        <v>A</v>
      </c>
      <c r="X73" s="139"/>
      <c r="Y73" s="139"/>
      <c r="Z73" s="139"/>
      <c r="AA73" s="138"/>
    </row>
    <row r="74" spans="2:27" ht="15" customHeight="1" x14ac:dyDescent="0.25">
      <c r="B74" s="187" t="s">
        <v>160</v>
      </c>
      <c r="C74" s="137">
        <v>34094</v>
      </c>
      <c r="D74" s="112">
        <f ca="1">IF(C74 &lt;&gt; 0,ROUNDDOWN(($A$47-C74)/365.25,0),"")</f>
        <v>27</v>
      </c>
      <c r="E74" s="139">
        <v>204</v>
      </c>
      <c r="F74" s="139">
        <v>235</v>
      </c>
      <c r="G74" s="139">
        <v>164</v>
      </c>
      <c r="H74" s="112">
        <f>IF(B74&lt;&gt;0,F74+G74,"")</f>
        <v>399</v>
      </c>
      <c r="I74" s="139">
        <v>11</v>
      </c>
      <c r="J74" s="139">
        <v>21</v>
      </c>
      <c r="K74" s="139"/>
      <c r="L74" s="139" t="s">
        <v>78</v>
      </c>
      <c r="M74" s="139">
        <v>178</v>
      </c>
      <c r="N74" s="139">
        <v>72</v>
      </c>
      <c r="O74" s="119" t="str">
        <f>IF(B74&lt;&gt;0,CONCATENATE(E74+IFERROR(VLOOKUP(B74,$B$2:$N$36,4,FALSE),0) + X74, " OZ, ", H74+IFERROR(VLOOKUP(B74,$B$2:$N$36,9,FALSE),0) + Y74+Z74, " (", F74+IFERROR(VLOOKUP(B74,$B$2:$N$36,5,FALSE),0) + Y74, "+",G74+IFERROR(VLOOKUP(B74,$B$2:$N$36,8,FALSE),0) +  Z74, ")"), "")</f>
        <v>230 OZ, 458 (266+192)</v>
      </c>
      <c r="P74" s="112" t="str">
        <f>IF(M74&lt;&gt;0,CONCATENATE(M74,"/",N74),"")</f>
        <v>178/72</v>
      </c>
      <c r="Q74" s="140" t="s">
        <v>205</v>
      </c>
      <c r="R74" s="139">
        <v>2000</v>
      </c>
      <c r="S74" s="112" t="str">
        <f>IFERROR(CONCATENATE(E74+VLOOKUP(B74,$B$39:$R$42,4,FALSE), " OZ, ",G74+VLOOKUP(B74,$B$39:$R$42,13,FALSE), " A"),"")</f>
        <v/>
      </c>
      <c r="T74" s="1" t="str">
        <f>IF(B74&lt;&gt;0,IF(V74=1,U74,CONCATENATE(U74," ",W74,".")),"")</f>
        <v>Vávra M.</v>
      </c>
      <c r="U74" s="1" t="str">
        <f>IFERROR(RIGHT(B74,LEN(B74)-SEARCH(" ", B74,1)),"")</f>
        <v>Vávra</v>
      </c>
      <c r="V74" s="112">
        <f>IF(B74&lt;&gt;0,COUNTIF($U$48:$U$82,U74),"")</f>
        <v>2</v>
      </c>
      <c r="W74" s="112" t="str">
        <f>IFERROR(LEFT(LEFT(B74,SEARCH(" ",B74,1)),1),"")</f>
        <v>M</v>
      </c>
      <c r="X74" s="139"/>
      <c r="Y74" s="139"/>
      <c r="Z74" s="139"/>
      <c r="AA74" s="138"/>
    </row>
    <row r="75" spans="2:27" ht="15" customHeight="1" x14ac:dyDescent="0.25">
      <c r="B75" s="138" t="s">
        <v>185</v>
      </c>
      <c r="C75" s="137">
        <v>31955</v>
      </c>
      <c r="D75" s="112">
        <f ca="1">IF(C75 &lt;&gt; 0,ROUNDDOWN(($A$47-C75)/365.25,0),"")</f>
        <v>33</v>
      </c>
      <c r="E75" s="139">
        <v>293</v>
      </c>
      <c r="F75" s="139">
        <v>95</v>
      </c>
      <c r="G75" s="139">
        <v>95</v>
      </c>
      <c r="H75" s="112">
        <f>IF(B75&lt;&gt;0,F75+G75,"")</f>
        <v>190</v>
      </c>
      <c r="I75" s="139">
        <v>17</v>
      </c>
      <c r="J75" s="139">
        <v>15</v>
      </c>
      <c r="K75" s="139"/>
      <c r="L75" s="139" t="s">
        <v>78</v>
      </c>
      <c r="M75" s="139">
        <v>178</v>
      </c>
      <c r="N75" s="139">
        <v>80</v>
      </c>
      <c r="O75" s="119" t="str">
        <f>IF(B75&lt;&gt;0,CONCATENATE(E75+IFERROR(VLOOKUP(B75,$B$2:$N$36,4,FALSE),0) + X75, " OZ, ", H75+IFERROR(VLOOKUP(B75,$B$2:$N$36,9,FALSE),0) + Y75+Z75, " (", F75+IFERROR(VLOOKUP(B75,$B$2:$N$36,5,FALSE),0) + Y75, "+",G75+IFERROR(VLOOKUP(B75,$B$2:$N$36,8,FALSE),0) +  Z75, ")"), "")</f>
        <v>317 OZ, 191 (96+95)</v>
      </c>
      <c r="P75" s="112" t="str">
        <f>IF(M75&lt;&gt;0,CONCATENATE(M75,"/",N75),"")</f>
        <v>178/80</v>
      </c>
      <c r="Q75" s="140" t="s">
        <v>205</v>
      </c>
      <c r="R75" s="139">
        <v>2002</v>
      </c>
      <c r="S75" s="112" t="str">
        <f>IFERROR(CONCATENATE(E75+VLOOKUP(B75,$B$39:$R$42,4,FALSE), " OZ, ",G75+VLOOKUP(B75,$B$39:$R$42,13,FALSE), " A"),"")</f>
        <v/>
      </c>
      <c r="T75" s="1" t="str">
        <f>IF(B75&lt;&gt;0,IF(V75=1,U75,CONCATENATE(U75," ",W75,".")),"")</f>
        <v>Vávra T.</v>
      </c>
      <c r="U75" s="1" t="str">
        <f>IFERROR(RIGHT(B75,LEN(B75)-SEARCH(" ", B75,1)),"")</f>
        <v>Vávra</v>
      </c>
      <c r="V75" s="112">
        <f>IF(B75&lt;&gt;0,COUNTIF($U$48:$U$82,U75),"")</f>
        <v>2</v>
      </c>
      <c r="W75" s="112" t="str">
        <f>IFERROR(LEFT(LEFT(B75,SEARCH(" ",B75,1)),1),"")</f>
        <v>T</v>
      </c>
      <c r="X75" s="139"/>
      <c r="Y75" s="139"/>
      <c r="Z75" s="139"/>
      <c r="AA75" s="138"/>
    </row>
    <row r="76" spans="2:27" ht="15" customHeight="1" x14ac:dyDescent="0.25">
      <c r="B76" s="138" t="s">
        <v>168</v>
      </c>
      <c r="C76" s="137">
        <v>35445</v>
      </c>
      <c r="D76" s="112">
        <f ca="1">IF(C76 &lt;&gt; 0,ROUNDDOWN(($A$47-C76)/365.25,0),"")</f>
        <v>24</v>
      </c>
      <c r="E76" s="139">
        <v>80</v>
      </c>
      <c r="F76" s="139">
        <v>26</v>
      </c>
      <c r="G76" s="139">
        <v>21</v>
      </c>
      <c r="H76" s="112">
        <f>IF(B76&lt;&gt;0,F76+G76,"")</f>
        <v>47</v>
      </c>
      <c r="I76" s="139">
        <v>6</v>
      </c>
      <c r="J76" s="139">
        <v>14</v>
      </c>
      <c r="K76" s="139"/>
      <c r="L76" s="139" t="s">
        <v>78</v>
      </c>
      <c r="M76" s="139">
        <v>184</v>
      </c>
      <c r="N76" s="139">
        <v>78</v>
      </c>
      <c r="O76" s="119" t="str">
        <f>IF(B76&lt;&gt;0,CONCATENATE(E76+IFERROR(VLOOKUP(B76,$B$2:$N$36,4,FALSE),0) + X76, " OZ, ", H76+IFERROR(VLOOKUP(B76,$B$2:$N$36,9,FALSE),0) + Y76+Z76, " (", F76+IFERROR(VLOOKUP(B76,$B$2:$N$36,5,FALSE),0) + Y76, "+",G76+IFERROR(VLOOKUP(B76,$B$2:$N$36,8,FALSE),0) +  Z76, ")"), "")</f>
        <v>106 OZ, 59 (34+25)</v>
      </c>
      <c r="P76" s="112" t="str">
        <f>IF(M76&lt;&gt;0,CONCATENATE(M76,"/",N76),"")</f>
        <v>184/78</v>
      </c>
      <c r="Q76" s="140" t="s">
        <v>214</v>
      </c>
      <c r="R76" s="139">
        <v>2009</v>
      </c>
      <c r="S76" s="112" t="str">
        <f>IFERROR(CONCATENATE(E76+VLOOKUP(B76,$B$39:$R$42,4,FALSE), " OZ, ",G76+VLOOKUP(B76,$B$39:$R$42,13,FALSE), " A"),"")</f>
        <v/>
      </c>
      <c r="T76" s="1" t="str">
        <f>IF(B76&lt;&gt;0,IF(V76=1,U76,CONCATENATE(U76," ",W76,".")),"")</f>
        <v>Vošta</v>
      </c>
      <c r="U76" s="1" t="str">
        <f>IFERROR(RIGHT(B76,LEN(B76)-SEARCH(" ", B76,1)),"")</f>
        <v>Vošta</v>
      </c>
      <c r="V76" s="112">
        <f>IF(B76&lt;&gt;0,COUNTIF($U$48:$U$82,U76),"")</f>
        <v>1</v>
      </c>
      <c r="W76" s="112" t="str">
        <f>IFERROR(LEFT(LEFT(B76,SEARCH(" ",B76,1)),1),"")</f>
        <v>O</v>
      </c>
      <c r="X76" s="139"/>
      <c r="Y76" s="139"/>
      <c r="Z76" s="139"/>
      <c r="AA76" s="138"/>
    </row>
    <row r="77" spans="2:27" ht="15" customHeight="1" x14ac:dyDescent="0.25">
      <c r="B77" s="138"/>
      <c r="C77" s="137"/>
      <c r="D77" s="112" t="str">
        <f t="shared" ref="D75:D82" si="5">IF(C77 &lt;&gt; 0,ROUNDDOWN(($A$47-C77)/365.25,0),"")</f>
        <v/>
      </c>
      <c r="E77" s="139"/>
      <c r="F77" s="139"/>
      <c r="G77" s="139"/>
      <c r="H77" s="112" t="str">
        <f t="shared" ref="H75:H82" si="6">IF(B77&lt;&gt;0,F77+G77,"")</f>
        <v/>
      </c>
      <c r="I77" s="139"/>
      <c r="J77" s="139"/>
      <c r="K77" s="139"/>
      <c r="L77" s="139"/>
      <c r="M77" s="139"/>
      <c r="N77" s="139"/>
      <c r="O77" s="119" t="str">
        <f t="shared" ref="O75:O82" si="7">IF(B77&lt;&gt;0,CONCATENATE(E77+IFERROR(VLOOKUP(B77,$B$2:$N$36,4,FALSE),0) + X77, " OZ, ", H77+IFERROR(VLOOKUP(B77,$B$2:$N$36,9,FALSE),0) + Y77+Z77, " (", F77+IFERROR(VLOOKUP(B77,$B$2:$N$36,5,FALSE),0) + Y77, "+",G77+IFERROR(VLOOKUP(B77,$B$2:$N$36,8,FALSE),0) +  Z77, ")"), "")</f>
        <v/>
      </c>
      <c r="P77" s="112" t="str">
        <f t="shared" ref="P75:P82" si="8">IF(M77&lt;&gt;0,CONCATENATE(M77,"/",N77),"")</f>
        <v/>
      </c>
      <c r="Q77" s="140"/>
      <c r="R77" s="139"/>
      <c r="S77" s="112" t="str">
        <f t="shared" ref="S75:S82" si="9">IFERROR(CONCATENATE(E77+VLOOKUP(B77,$B$39:$R$42,4,FALSE), " OZ, ",G77+VLOOKUP(B77,$B$39:$R$42,13,FALSE), " A"),"")</f>
        <v/>
      </c>
      <c r="T77" s="1" t="str">
        <f t="shared" ref="T75:T82" si="10">IF(B77&lt;&gt;0,IF(V77=1,U77,CONCATENATE(U77," ",W77,".")),"")</f>
        <v/>
      </c>
      <c r="U77" s="1" t="str">
        <f t="shared" ref="U75:U82" si="11">IFERROR(RIGHT(B77,LEN(B77)-SEARCH(" ", B77,1)),"")</f>
        <v/>
      </c>
      <c r="V77" s="112" t="str">
        <f t="shared" ref="V75:V82" si="12">IF(B77&lt;&gt;0,COUNTIF($U$48:$U$82,U77),"")</f>
        <v/>
      </c>
      <c r="W77" s="112" t="str">
        <f t="shared" ref="W75:W82" si="13">IFERROR(LEFT(LEFT(B77,SEARCH(" ",B77,1)),1),"")</f>
        <v/>
      </c>
      <c r="X77" s="139"/>
      <c r="Y77" s="139"/>
      <c r="Z77" s="139"/>
      <c r="AA77" s="138"/>
    </row>
    <row r="78" spans="2:27" ht="15" customHeight="1" x14ac:dyDescent="0.25">
      <c r="B78" s="138"/>
      <c r="C78" s="137"/>
      <c r="D78" s="112" t="str">
        <f t="shared" si="5"/>
        <v/>
      </c>
      <c r="E78" s="139"/>
      <c r="F78" s="139"/>
      <c r="G78" s="139"/>
      <c r="H78" s="112" t="str">
        <f t="shared" si="6"/>
        <v/>
      </c>
      <c r="I78" s="139"/>
      <c r="J78" s="139"/>
      <c r="K78" s="139"/>
      <c r="L78" s="139"/>
      <c r="M78" s="139"/>
      <c r="N78" s="139"/>
      <c r="O78" s="119" t="str">
        <f t="shared" si="7"/>
        <v/>
      </c>
      <c r="P78" s="112" t="str">
        <f t="shared" si="8"/>
        <v/>
      </c>
      <c r="Q78" s="140"/>
      <c r="R78" s="139"/>
      <c r="S78" s="112" t="str">
        <f t="shared" si="9"/>
        <v/>
      </c>
      <c r="T78" s="1" t="str">
        <f t="shared" si="10"/>
        <v/>
      </c>
      <c r="U78" s="1" t="str">
        <f t="shared" si="11"/>
        <v/>
      </c>
      <c r="V78" s="112" t="str">
        <f t="shared" si="12"/>
        <v/>
      </c>
      <c r="W78" s="112" t="str">
        <f t="shared" si="13"/>
        <v/>
      </c>
      <c r="X78" s="139"/>
      <c r="Y78" s="139"/>
      <c r="Z78" s="139"/>
      <c r="AA78" s="138"/>
    </row>
    <row r="79" spans="2:27" ht="15" customHeight="1" x14ac:dyDescent="0.25">
      <c r="B79" s="138"/>
      <c r="C79" s="137"/>
      <c r="D79" s="112" t="str">
        <f t="shared" si="5"/>
        <v/>
      </c>
      <c r="E79" s="139"/>
      <c r="F79" s="139"/>
      <c r="G79" s="139"/>
      <c r="H79" s="112" t="str">
        <f t="shared" si="6"/>
        <v/>
      </c>
      <c r="I79" s="139"/>
      <c r="J79" s="139"/>
      <c r="K79" s="139"/>
      <c r="L79" s="139"/>
      <c r="M79" s="139"/>
      <c r="N79" s="139"/>
      <c r="O79" s="119" t="str">
        <f t="shared" si="7"/>
        <v/>
      </c>
      <c r="P79" s="112" t="str">
        <f t="shared" si="8"/>
        <v/>
      </c>
      <c r="Q79" s="140"/>
      <c r="R79" s="139"/>
      <c r="S79" s="112" t="str">
        <f t="shared" si="9"/>
        <v/>
      </c>
      <c r="T79" s="1" t="str">
        <f t="shared" si="10"/>
        <v/>
      </c>
      <c r="U79" s="1" t="str">
        <f t="shared" si="11"/>
        <v/>
      </c>
      <c r="V79" s="112" t="str">
        <f t="shared" si="12"/>
        <v/>
      </c>
      <c r="W79" s="112" t="str">
        <f t="shared" si="13"/>
        <v/>
      </c>
      <c r="X79" s="139"/>
      <c r="Y79" s="139"/>
      <c r="Z79" s="139"/>
      <c r="AA79" s="138"/>
    </row>
    <row r="80" spans="2:27" ht="15" customHeight="1" x14ac:dyDescent="0.25">
      <c r="B80" s="138"/>
      <c r="C80" s="137"/>
      <c r="D80" s="112" t="str">
        <f t="shared" si="5"/>
        <v/>
      </c>
      <c r="E80" s="139"/>
      <c r="F80" s="139"/>
      <c r="G80" s="139"/>
      <c r="H80" s="112" t="str">
        <f t="shared" si="6"/>
        <v/>
      </c>
      <c r="I80" s="139"/>
      <c r="J80" s="139"/>
      <c r="K80" s="139"/>
      <c r="L80" s="139"/>
      <c r="M80" s="139"/>
      <c r="N80" s="139"/>
      <c r="O80" s="119" t="str">
        <f t="shared" si="7"/>
        <v/>
      </c>
      <c r="P80" s="112" t="str">
        <f t="shared" si="8"/>
        <v/>
      </c>
      <c r="Q80" s="140"/>
      <c r="R80" s="139"/>
      <c r="S80" s="112" t="str">
        <f t="shared" si="9"/>
        <v/>
      </c>
      <c r="T80" s="1" t="str">
        <f t="shared" si="10"/>
        <v/>
      </c>
      <c r="U80" s="1" t="str">
        <f t="shared" si="11"/>
        <v/>
      </c>
      <c r="V80" s="112" t="str">
        <f t="shared" si="12"/>
        <v/>
      </c>
      <c r="W80" s="112" t="str">
        <f t="shared" si="13"/>
        <v/>
      </c>
      <c r="X80" s="139"/>
      <c r="Y80" s="139"/>
      <c r="Z80" s="139"/>
      <c r="AA80" s="138"/>
    </row>
    <row r="81" spans="1:27" ht="15" customHeight="1" x14ac:dyDescent="0.25">
      <c r="B81" s="138"/>
      <c r="C81" s="137"/>
      <c r="D81" s="112" t="str">
        <f t="shared" si="5"/>
        <v/>
      </c>
      <c r="E81" s="139"/>
      <c r="F81" s="139"/>
      <c r="G81" s="139"/>
      <c r="H81" s="112" t="str">
        <f t="shared" si="6"/>
        <v/>
      </c>
      <c r="I81" s="139"/>
      <c r="J81" s="139"/>
      <c r="K81" s="139"/>
      <c r="L81" s="139"/>
      <c r="M81" s="139"/>
      <c r="N81" s="139"/>
      <c r="O81" s="119" t="str">
        <f t="shared" si="7"/>
        <v/>
      </c>
      <c r="P81" s="112" t="str">
        <f t="shared" si="8"/>
        <v/>
      </c>
      <c r="Q81" s="140"/>
      <c r="R81" s="139"/>
      <c r="S81" s="112" t="str">
        <f t="shared" si="9"/>
        <v/>
      </c>
      <c r="T81" s="1" t="str">
        <f t="shared" si="10"/>
        <v/>
      </c>
      <c r="U81" s="1" t="str">
        <f t="shared" si="11"/>
        <v/>
      </c>
      <c r="V81" s="112" t="str">
        <f t="shared" si="12"/>
        <v/>
      </c>
      <c r="W81" s="112" t="str">
        <f t="shared" si="13"/>
        <v/>
      </c>
      <c r="X81" s="139"/>
      <c r="Y81" s="139"/>
      <c r="Z81" s="139"/>
      <c r="AA81" s="138"/>
    </row>
    <row r="82" spans="1:27" ht="15" customHeight="1" x14ac:dyDescent="0.25">
      <c r="B82" s="138"/>
      <c r="C82" s="137"/>
      <c r="D82" s="112" t="str">
        <f t="shared" si="5"/>
        <v/>
      </c>
      <c r="E82" s="139"/>
      <c r="F82" s="139"/>
      <c r="G82" s="139"/>
      <c r="H82" s="112" t="str">
        <f t="shared" si="6"/>
        <v/>
      </c>
      <c r="I82" s="139"/>
      <c r="J82" s="139"/>
      <c r="K82" s="139"/>
      <c r="L82" s="139"/>
      <c r="M82" s="139"/>
      <c r="N82" s="139"/>
      <c r="O82" s="119" t="str">
        <f t="shared" si="7"/>
        <v/>
      </c>
      <c r="P82" s="112" t="str">
        <f t="shared" si="8"/>
        <v/>
      </c>
      <c r="Q82" s="140"/>
      <c r="R82" s="139"/>
      <c r="S82" s="112" t="str">
        <f t="shared" si="9"/>
        <v/>
      </c>
      <c r="T82" s="1" t="str">
        <f t="shared" si="10"/>
        <v/>
      </c>
      <c r="U82" s="1" t="str">
        <f t="shared" si="11"/>
        <v/>
      </c>
      <c r="V82" s="112" t="str">
        <f t="shared" si="12"/>
        <v/>
      </c>
      <c r="W82" s="112" t="str">
        <f t="shared" si="13"/>
        <v/>
      </c>
      <c r="X82" s="139"/>
      <c r="Y82" s="139"/>
      <c r="Z82" s="139"/>
      <c r="AA82" s="138"/>
    </row>
    <row r="84" spans="1:27" s="2" customFormat="1" ht="15" customHeight="1" x14ac:dyDescent="0.25">
      <c r="A84" s="7">
        <f ca="1">TODAY()</f>
        <v>44263</v>
      </c>
      <c r="B84" s="2" t="s">
        <v>59</v>
      </c>
      <c r="C84" s="2" t="s">
        <v>66</v>
      </c>
      <c r="D84" s="2" t="s">
        <v>67</v>
      </c>
      <c r="E84" s="401" t="s">
        <v>94</v>
      </c>
      <c r="F84" s="401"/>
      <c r="G84" s="401" t="s">
        <v>100</v>
      </c>
      <c r="H84" s="401"/>
      <c r="I84" s="401"/>
      <c r="J84" s="401"/>
      <c r="K84" s="401"/>
      <c r="Q84" s="9"/>
      <c r="X84" s="110"/>
      <c r="Y84" s="110"/>
      <c r="Z84" s="110"/>
    </row>
    <row r="85" spans="1:27" ht="30" customHeight="1" x14ac:dyDescent="0.25">
      <c r="B85" s="138" t="s">
        <v>187</v>
      </c>
      <c r="C85" s="137">
        <v>31582</v>
      </c>
      <c r="D85" s="112">
        <f ca="1">IF(B85&lt;&gt;0,ROUNDDOWN(($A$84-C85)/365.25,0),"")</f>
        <v>34</v>
      </c>
      <c r="E85" s="400" t="s">
        <v>188</v>
      </c>
      <c r="F85" s="400"/>
      <c r="G85" s="400" t="s">
        <v>189</v>
      </c>
      <c r="H85" s="400"/>
      <c r="I85" s="400"/>
      <c r="J85" s="400"/>
      <c r="K85" s="400"/>
    </row>
    <row r="86" spans="1:27" ht="30" customHeight="1" x14ac:dyDescent="0.25">
      <c r="B86" s="138" t="s">
        <v>190</v>
      </c>
      <c r="C86" s="137">
        <v>26801</v>
      </c>
      <c r="D86" s="112">
        <f t="shared" ref="D86:D92" ca="1" si="14">IF(B86&lt;&gt;0,ROUNDDOWN(($A$84-C86)/365.25,0),"")</f>
        <v>47</v>
      </c>
      <c r="E86" s="400" t="s">
        <v>191</v>
      </c>
      <c r="F86" s="400"/>
      <c r="G86" s="400" t="s">
        <v>192</v>
      </c>
      <c r="H86" s="400"/>
      <c r="I86" s="400"/>
      <c r="J86" s="400"/>
      <c r="K86" s="400"/>
    </row>
    <row r="87" spans="1:27" ht="30" customHeight="1" x14ac:dyDescent="0.25">
      <c r="B87" s="138" t="s">
        <v>193</v>
      </c>
      <c r="C87" s="137">
        <v>28909</v>
      </c>
      <c r="D87" s="112">
        <f t="shared" ca="1" si="14"/>
        <v>42</v>
      </c>
      <c r="E87" s="400" t="s">
        <v>191</v>
      </c>
      <c r="F87" s="400"/>
      <c r="G87" s="400" t="s">
        <v>195</v>
      </c>
      <c r="H87" s="400"/>
      <c r="I87" s="400"/>
      <c r="J87" s="400"/>
      <c r="K87" s="400"/>
    </row>
    <row r="88" spans="1:27" ht="30" customHeight="1" x14ac:dyDescent="0.25">
      <c r="B88" s="138" t="s">
        <v>196</v>
      </c>
      <c r="C88" s="137">
        <v>31168</v>
      </c>
      <c r="D88" s="112">
        <f t="shared" ca="1" si="14"/>
        <v>35</v>
      </c>
      <c r="E88" s="400" t="s">
        <v>197</v>
      </c>
      <c r="F88" s="400"/>
      <c r="G88" s="400" t="s">
        <v>198</v>
      </c>
      <c r="H88" s="400"/>
      <c r="I88" s="400"/>
      <c r="J88" s="400"/>
      <c r="K88" s="400"/>
    </row>
    <row r="89" spans="1:27" ht="30" customHeight="1" x14ac:dyDescent="0.25">
      <c r="B89" s="138" t="s">
        <v>199</v>
      </c>
      <c r="C89" s="137">
        <v>32514</v>
      </c>
      <c r="D89" s="112">
        <f t="shared" ca="1" si="14"/>
        <v>32</v>
      </c>
      <c r="E89" s="400" t="s">
        <v>200</v>
      </c>
      <c r="F89" s="400"/>
      <c r="G89" s="400" t="s">
        <v>201</v>
      </c>
      <c r="H89" s="400"/>
      <c r="I89" s="400"/>
      <c r="J89" s="400"/>
      <c r="K89" s="400"/>
    </row>
    <row r="90" spans="1:27" ht="30" customHeight="1" x14ac:dyDescent="0.25">
      <c r="B90" s="138"/>
      <c r="C90" s="138"/>
      <c r="D90" s="112" t="str">
        <f t="shared" si="14"/>
        <v/>
      </c>
      <c r="E90" s="400"/>
      <c r="F90" s="400"/>
      <c r="G90" s="400"/>
      <c r="H90" s="400"/>
      <c r="I90" s="400"/>
      <c r="J90" s="400"/>
      <c r="K90" s="400"/>
    </row>
    <row r="91" spans="1:27" ht="30" customHeight="1" x14ac:dyDescent="0.25">
      <c r="B91" s="138"/>
      <c r="C91" s="138"/>
      <c r="D91" s="112" t="str">
        <f t="shared" si="14"/>
        <v/>
      </c>
      <c r="E91" s="400"/>
      <c r="F91" s="400"/>
      <c r="G91" s="400"/>
      <c r="H91" s="400"/>
      <c r="I91" s="400"/>
      <c r="J91" s="400"/>
      <c r="K91" s="400"/>
    </row>
    <row r="92" spans="1:27" ht="30" customHeight="1" x14ac:dyDescent="0.25">
      <c r="B92" s="138"/>
      <c r="C92" s="138"/>
      <c r="D92" s="112" t="str">
        <f t="shared" si="14"/>
        <v/>
      </c>
      <c r="E92" s="400"/>
      <c r="F92" s="400"/>
      <c r="G92" s="400"/>
      <c r="H92" s="400"/>
      <c r="I92" s="400"/>
      <c r="J92" s="400"/>
      <c r="K92" s="400"/>
    </row>
  </sheetData>
  <sheetProtection algorithmName="SHA-512" hashValue="Vqj2rKDnoYmnskeNBIwDS/OfcEfb4MUpiw6ErFMx98RgBUJMarBS7DpmqEmG8ZJ+BzRJIs16uSIkOhnDR00GPg==" saltValue="lhAI5+iswYHA5cGV/xZmXw==" spinCount="100000" sheet="1" objects="1" scenarios="1" selectLockedCells="1"/>
  <sortState ref="B48:AA76">
    <sortCondition ref="U48:U76"/>
    <sortCondition ref="B48:B76"/>
  </sortState>
  <mergeCells count="19">
    <mergeCell ref="E88:F88"/>
    <mergeCell ref="G88:K88"/>
    <mergeCell ref="E89:F89"/>
    <mergeCell ref="X46:AA46"/>
    <mergeCell ref="G89:K89"/>
    <mergeCell ref="E84:F84"/>
    <mergeCell ref="G84:K84"/>
    <mergeCell ref="E85:F85"/>
    <mergeCell ref="G85:K85"/>
    <mergeCell ref="E86:F86"/>
    <mergeCell ref="G86:K86"/>
    <mergeCell ref="E87:F87"/>
    <mergeCell ref="G87:K87"/>
    <mergeCell ref="E92:F92"/>
    <mergeCell ref="G92:K92"/>
    <mergeCell ref="E90:F90"/>
    <mergeCell ref="G90:K90"/>
    <mergeCell ref="E91:F91"/>
    <mergeCell ref="G91:K91"/>
  </mergeCells>
  <conditionalFormatting sqref="P2:P36">
    <cfRule type="containsText" dxfId="61" priority="1" operator="containsText" text="ANO">
      <formula>NOT(ISERROR(SEARCH("ANO",P2)))</formula>
    </cfRule>
    <cfRule type="containsText" dxfId="6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topLeftCell="A8" workbookViewId="0">
      <selection activeCell="E31" sqref="E31:E40"/>
    </sheetView>
  </sheetViews>
  <sheetFormatPr defaultRowHeight="15" x14ac:dyDescent="0.25"/>
  <cols>
    <col min="2" max="2" width="18.28515625" bestFit="1" customWidth="1"/>
  </cols>
  <sheetData>
    <row r="1" spans="1:6" x14ac:dyDescent="0.25">
      <c r="A1" s="401" t="s">
        <v>36</v>
      </c>
      <c r="B1" s="1" t="s">
        <v>336</v>
      </c>
      <c r="C1" s="212">
        <v>59</v>
      </c>
      <c r="D1" s="403" t="str">
        <f t="shared" ref="D1:D30" si="0">IFERROR(RIGHT(B1,LEN(B1)-SEARCH(" ",B1)),"")</f>
        <v>Marek Vávra</v>
      </c>
      <c r="E1" s="403"/>
      <c r="F1" s="6"/>
    </row>
    <row r="2" spans="1:6" x14ac:dyDescent="0.25">
      <c r="A2" s="401"/>
      <c r="B2" s="1" t="s">
        <v>622</v>
      </c>
      <c r="C2" s="212">
        <v>50</v>
      </c>
      <c r="D2" s="403" t="str">
        <f t="shared" si="0"/>
        <v>Petr Majer</v>
      </c>
      <c r="E2" s="403"/>
      <c r="F2" s="6"/>
    </row>
    <row r="3" spans="1:6" x14ac:dyDescent="0.25">
      <c r="A3" s="401"/>
      <c r="B3" s="1" t="s">
        <v>623</v>
      </c>
      <c r="C3" s="212">
        <v>45</v>
      </c>
      <c r="D3" s="403" t="str">
        <f t="shared" si="0"/>
        <v>Tom Ondrušek</v>
      </c>
      <c r="E3" s="403"/>
      <c r="F3" s="6"/>
    </row>
    <row r="4" spans="1:6" x14ac:dyDescent="0.25">
      <c r="A4" s="401"/>
      <c r="B4" s="1" t="s">
        <v>337</v>
      </c>
      <c r="C4" s="212">
        <v>25</v>
      </c>
      <c r="D4" s="403" t="str">
        <f t="shared" si="0"/>
        <v>Ondřej Mikeš</v>
      </c>
      <c r="E4" s="403"/>
      <c r="F4" s="6"/>
    </row>
    <row r="5" spans="1:6" x14ac:dyDescent="0.25">
      <c r="A5" s="401"/>
      <c r="B5" s="1" t="s">
        <v>848</v>
      </c>
      <c r="C5" s="212">
        <v>25</v>
      </c>
      <c r="D5" s="403" t="str">
        <f t="shared" si="0"/>
        <v>Tomáš Sýkora</v>
      </c>
      <c r="E5" s="403"/>
      <c r="F5" s="6"/>
    </row>
    <row r="6" spans="1:6" x14ac:dyDescent="0.25">
      <c r="A6" s="401" t="s">
        <v>241</v>
      </c>
      <c r="B6" s="1" t="s">
        <v>338</v>
      </c>
      <c r="C6" s="212" t="s">
        <v>339</v>
      </c>
      <c r="D6" s="403" t="str">
        <f t="shared" si="0"/>
        <v>Michal Rebro</v>
      </c>
      <c r="E6" s="403"/>
      <c r="F6" s="131">
        <f t="shared" ref="F6:F10" si="1">IF(B6&lt;&gt;0,_xlfn.NUMBERVALUE(C6,","),"")</f>
        <v>4.32</v>
      </c>
    </row>
    <row r="7" spans="1:6" x14ac:dyDescent="0.25">
      <c r="A7" s="401"/>
      <c r="B7" s="1" t="s">
        <v>857</v>
      </c>
      <c r="C7" s="212" t="s">
        <v>908</v>
      </c>
      <c r="D7" s="403" t="str">
        <f t="shared" si="0"/>
        <v>Karel Hodík</v>
      </c>
      <c r="E7" s="403"/>
      <c r="F7" s="131">
        <f t="shared" si="1"/>
        <v>5.54</v>
      </c>
    </row>
    <row r="8" spans="1:6" x14ac:dyDescent="0.25">
      <c r="A8" s="401"/>
      <c r="B8" s="1" t="s">
        <v>858</v>
      </c>
      <c r="C8" s="212" t="s">
        <v>849</v>
      </c>
      <c r="D8" s="403" t="str">
        <f t="shared" si="0"/>
        <v>Vojtěch Šimůnek</v>
      </c>
      <c r="E8" s="403"/>
      <c r="F8" s="131">
        <f t="shared" si="1"/>
        <v>6.02</v>
      </c>
    </row>
    <row r="9" spans="1:6" x14ac:dyDescent="0.25">
      <c r="A9" s="401"/>
      <c r="B9" s="1" t="s">
        <v>341</v>
      </c>
      <c r="C9" s="212" t="s">
        <v>621</v>
      </c>
      <c r="D9" s="403" t="str">
        <f t="shared" si="0"/>
        <v>Karel Pergler</v>
      </c>
      <c r="E9" s="403"/>
      <c r="F9" s="131">
        <f t="shared" si="1"/>
        <v>10.42</v>
      </c>
    </row>
    <row r="10" spans="1:6" x14ac:dyDescent="0.25">
      <c r="A10" s="401"/>
      <c r="B10" s="1"/>
      <c r="C10" s="212"/>
      <c r="D10" s="403" t="str">
        <f t="shared" si="0"/>
        <v/>
      </c>
      <c r="E10" s="403"/>
      <c r="F10" s="131" t="str">
        <f t="shared" si="1"/>
        <v/>
      </c>
    </row>
    <row r="11" spans="1:6" x14ac:dyDescent="0.25">
      <c r="A11" s="401" t="s">
        <v>35</v>
      </c>
      <c r="B11" s="1" t="s">
        <v>909</v>
      </c>
      <c r="C11" s="212">
        <v>33</v>
      </c>
      <c r="D11" s="403" t="str">
        <f t="shared" si="0"/>
        <v>Petr Majer</v>
      </c>
      <c r="E11" s="403"/>
      <c r="F11" s="6"/>
    </row>
    <row r="12" spans="1:6" x14ac:dyDescent="0.25">
      <c r="A12" s="401"/>
      <c r="B12" s="1" t="s">
        <v>910</v>
      </c>
      <c r="C12" s="212">
        <v>31</v>
      </c>
      <c r="D12" s="403" t="str">
        <f t="shared" si="0"/>
        <v>Marek Vávra</v>
      </c>
      <c r="E12" s="403"/>
      <c r="F12" s="6"/>
    </row>
    <row r="13" spans="1:6" x14ac:dyDescent="0.25">
      <c r="A13" s="401"/>
      <c r="B13" s="1" t="s">
        <v>623</v>
      </c>
      <c r="C13" s="212">
        <v>27</v>
      </c>
      <c r="D13" s="403" t="str">
        <f t="shared" si="0"/>
        <v>Tom Ondrušek</v>
      </c>
      <c r="E13" s="403"/>
      <c r="F13" s="6"/>
    </row>
    <row r="14" spans="1:6" x14ac:dyDescent="0.25">
      <c r="A14" s="401"/>
      <c r="B14" s="1" t="s">
        <v>337</v>
      </c>
      <c r="C14" s="212">
        <v>15</v>
      </c>
      <c r="D14" s="403" t="str">
        <f t="shared" si="0"/>
        <v>Ondřej Mikeš</v>
      </c>
      <c r="E14" s="403"/>
      <c r="F14" s="6"/>
    </row>
    <row r="15" spans="1:6" x14ac:dyDescent="0.25">
      <c r="A15" s="401"/>
      <c r="B15" s="1" t="s">
        <v>340</v>
      </c>
      <c r="C15" s="212">
        <v>14</v>
      </c>
      <c r="D15" s="403" t="str">
        <f t="shared" si="0"/>
        <v>Daniel Eremiáš</v>
      </c>
      <c r="E15" s="403"/>
      <c r="F15" s="6"/>
    </row>
    <row r="16" spans="1:6" x14ac:dyDescent="0.25">
      <c r="A16" s="401" t="s">
        <v>230</v>
      </c>
      <c r="B16" s="1" t="s">
        <v>624</v>
      </c>
      <c r="C16" s="212">
        <v>8</v>
      </c>
      <c r="D16" s="403" t="str">
        <f t="shared" si="0"/>
        <v>Karel Hodík</v>
      </c>
      <c r="E16" s="403"/>
      <c r="F16" s="131">
        <f t="shared" ref="F16:F20" si="2">IF(B16&lt;&gt;0,_xlfn.NUMBERVALUE(C16,","),"")</f>
        <v>8</v>
      </c>
    </row>
    <row r="17" spans="1:6" x14ac:dyDescent="0.25">
      <c r="A17" s="401"/>
      <c r="B17" s="1" t="s">
        <v>611</v>
      </c>
      <c r="C17" s="212">
        <v>5</v>
      </c>
      <c r="D17" s="403" t="str">
        <f t="shared" si="0"/>
        <v>Vojtěch Šimůnek</v>
      </c>
      <c r="E17" s="403"/>
      <c r="F17" s="131">
        <f t="shared" si="2"/>
        <v>5</v>
      </c>
    </row>
    <row r="18" spans="1:6" x14ac:dyDescent="0.25">
      <c r="A18" s="401"/>
      <c r="B18" s="1" t="s">
        <v>625</v>
      </c>
      <c r="C18" s="212">
        <v>3</v>
      </c>
      <c r="D18" s="403" t="str">
        <f t="shared" si="0"/>
        <v>Michal Rebro</v>
      </c>
      <c r="E18" s="403"/>
      <c r="F18" s="131">
        <f t="shared" si="2"/>
        <v>3</v>
      </c>
    </row>
    <row r="19" spans="1:6" x14ac:dyDescent="0.25">
      <c r="A19" s="401"/>
      <c r="B19" s="1" t="s">
        <v>341</v>
      </c>
      <c r="C19" s="212">
        <v>0</v>
      </c>
      <c r="D19" s="403" t="str">
        <f t="shared" si="0"/>
        <v>Karel Pergler</v>
      </c>
      <c r="E19" s="403"/>
      <c r="F19" s="131">
        <f t="shared" si="2"/>
        <v>0</v>
      </c>
    </row>
    <row r="20" spans="1:6" x14ac:dyDescent="0.25">
      <c r="A20" s="401"/>
      <c r="B20" s="1"/>
      <c r="C20" s="212"/>
      <c r="D20" s="403" t="str">
        <f t="shared" si="0"/>
        <v/>
      </c>
      <c r="E20" s="403"/>
      <c r="F20" s="131" t="str">
        <f t="shared" si="2"/>
        <v/>
      </c>
    </row>
    <row r="21" spans="1:6" x14ac:dyDescent="0.25">
      <c r="A21" s="401" t="s">
        <v>37</v>
      </c>
      <c r="B21" s="1" t="s">
        <v>336</v>
      </c>
      <c r="C21" s="212">
        <v>28</v>
      </c>
      <c r="D21" s="403" t="str">
        <f>IFERROR(RIGHT(B21,LEN(B21)-SEARCH(" ",B21)),"")</f>
        <v>Marek Vávra</v>
      </c>
      <c r="E21" s="403"/>
      <c r="F21" s="6"/>
    </row>
    <row r="22" spans="1:6" x14ac:dyDescent="0.25">
      <c r="A22" s="401"/>
      <c r="B22" s="1" t="s">
        <v>911</v>
      </c>
      <c r="C22" s="212">
        <v>20</v>
      </c>
      <c r="D22" s="403" t="str">
        <f>IFERROR(RIGHT(B22,LEN(B22)-SEARCH(" ",B22)),"")</f>
        <v>Tomáš Sýkora</v>
      </c>
      <c r="E22" s="403"/>
      <c r="F22" s="6"/>
    </row>
    <row r="23" spans="1:6" x14ac:dyDescent="0.25">
      <c r="A23" s="401"/>
      <c r="B23" s="1" t="s">
        <v>623</v>
      </c>
      <c r="C23" s="212">
        <v>18</v>
      </c>
      <c r="D23" s="403" t="str">
        <f>IFERROR(RIGHT(B23,LEN(B23)-SEARCH(" ",B23)),"")</f>
        <v>Tom Ondrušek</v>
      </c>
      <c r="E23" s="403"/>
      <c r="F23" s="6"/>
    </row>
    <row r="24" spans="1:6" x14ac:dyDescent="0.25">
      <c r="A24" s="401"/>
      <c r="B24" s="1" t="s">
        <v>850</v>
      </c>
      <c r="C24" s="212">
        <v>17</v>
      </c>
      <c r="D24" s="403" t="str">
        <f>IFERROR(RIGHT(B24,LEN(B24)-SEARCH(" ",B24)),"")</f>
        <v>Petr Majer</v>
      </c>
      <c r="E24" s="403"/>
      <c r="F24" s="6"/>
    </row>
    <row r="25" spans="1:6" x14ac:dyDescent="0.25">
      <c r="A25" s="401"/>
      <c r="B25" s="1" t="s">
        <v>471</v>
      </c>
      <c r="C25" s="212">
        <v>12</v>
      </c>
      <c r="D25" s="403" t="str">
        <f>IFERROR(RIGHT(B25,LEN(B25)-SEARCH(" ",B25)),"")</f>
        <v>Jiří Bauer</v>
      </c>
      <c r="E25" s="403"/>
      <c r="F25" s="6"/>
    </row>
    <row r="26" spans="1:6" x14ac:dyDescent="0.25">
      <c r="A26" s="401" t="s">
        <v>38</v>
      </c>
      <c r="B26" s="1" t="s">
        <v>342</v>
      </c>
      <c r="C26" s="212">
        <v>36</v>
      </c>
      <c r="D26" s="403" t="str">
        <f t="shared" si="0"/>
        <v>Jiří Bauer</v>
      </c>
      <c r="E26" s="403"/>
      <c r="F26" s="6"/>
    </row>
    <row r="27" spans="1:6" x14ac:dyDescent="0.25">
      <c r="A27" s="401"/>
      <c r="B27" s="1" t="s">
        <v>472</v>
      </c>
      <c r="C27" s="212">
        <v>14</v>
      </c>
      <c r="D27" s="403" t="str">
        <f t="shared" si="0"/>
        <v>Jiří Koutný</v>
      </c>
      <c r="E27" s="403"/>
      <c r="F27" s="6"/>
    </row>
    <row r="28" spans="1:6" x14ac:dyDescent="0.25">
      <c r="A28" s="401"/>
      <c r="B28" s="1" t="s">
        <v>473</v>
      </c>
      <c r="C28" s="212">
        <v>14</v>
      </c>
      <c r="D28" s="403" t="str">
        <f t="shared" si="0"/>
        <v>Tomáš Vávra</v>
      </c>
      <c r="E28" s="403"/>
      <c r="F28" s="6"/>
    </row>
    <row r="29" spans="1:6" x14ac:dyDescent="0.25">
      <c r="A29" s="401"/>
      <c r="B29" s="1" t="s">
        <v>337</v>
      </c>
      <c r="C29" s="212">
        <v>8</v>
      </c>
      <c r="D29" s="403" t="str">
        <f t="shared" si="0"/>
        <v>Ondřej Mikeš</v>
      </c>
      <c r="E29" s="403"/>
      <c r="F29" s="6"/>
    </row>
    <row r="30" spans="1:6" x14ac:dyDescent="0.25">
      <c r="A30" s="401"/>
      <c r="B30" s="1" t="s">
        <v>851</v>
      </c>
      <c r="C30" s="212">
        <v>6</v>
      </c>
      <c r="D30" s="403" t="str">
        <f t="shared" si="0"/>
        <v>Michal Strnad</v>
      </c>
      <c r="E30" s="403"/>
      <c r="F30" s="6"/>
    </row>
    <row r="31" spans="1:6" x14ac:dyDescent="0.25">
      <c r="A31" s="401" t="s">
        <v>331</v>
      </c>
      <c r="B31" s="190" t="s">
        <v>620</v>
      </c>
      <c r="C31" s="190" t="s">
        <v>143</v>
      </c>
      <c r="D31" s="190" t="s">
        <v>789</v>
      </c>
      <c r="E31" s="178" t="str">
        <f>IFERROR(RIGHT(LEFT(D31,LEN(D31)-1),LEN(D31)-2),"")</f>
        <v>4:6</v>
      </c>
    </row>
    <row r="32" spans="1:6" x14ac:dyDescent="0.25">
      <c r="A32" s="401"/>
      <c r="B32" s="190" t="s">
        <v>617</v>
      </c>
      <c r="C32" s="190" t="s">
        <v>147</v>
      </c>
      <c r="D32" s="190" t="s">
        <v>906</v>
      </c>
      <c r="E32" s="178" t="str">
        <f t="shared" ref="E32:E40" si="3">IFERROR(RIGHT(LEFT(D32,LEN(D32)-1),LEN(D32)-2),"")</f>
        <v>12:4</v>
      </c>
    </row>
    <row r="33" spans="1:5" x14ac:dyDescent="0.25">
      <c r="A33" s="401"/>
      <c r="B33" s="190" t="s">
        <v>895</v>
      </c>
      <c r="C33" s="190" t="s">
        <v>153</v>
      </c>
      <c r="D33" s="190" t="s">
        <v>343</v>
      </c>
      <c r="E33" s="178" t="str">
        <f t="shared" si="3"/>
        <v>12:3</v>
      </c>
    </row>
    <row r="34" spans="1:5" x14ac:dyDescent="0.25">
      <c r="A34" s="401"/>
      <c r="B34" s="190" t="s">
        <v>855</v>
      </c>
      <c r="C34" s="190" t="s">
        <v>141</v>
      </c>
      <c r="D34" s="190" t="s">
        <v>856</v>
      </c>
      <c r="E34" s="178" t="str">
        <f t="shared" si="3"/>
        <v>6:8</v>
      </c>
    </row>
    <row r="35" spans="1:5" x14ac:dyDescent="0.25">
      <c r="A35" s="401"/>
      <c r="B35" s="190" t="s">
        <v>474</v>
      </c>
      <c r="C35" s="190" t="s">
        <v>151</v>
      </c>
      <c r="D35" s="190" t="s">
        <v>847</v>
      </c>
      <c r="E35" s="178" t="str">
        <f t="shared" si="3"/>
        <v>10:7</v>
      </c>
    </row>
    <row r="36" spans="1:5" x14ac:dyDescent="0.25">
      <c r="A36" s="401" t="s">
        <v>332</v>
      </c>
      <c r="B36" s="190" t="s">
        <v>897</v>
      </c>
      <c r="C36" s="190" t="s">
        <v>143</v>
      </c>
      <c r="D36" s="190" t="s">
        <v>335</v>
      </c>
      <c r="E36" s="178" t="str">
        <f t="shared" si="3"/>
        <v>-:-</v>
      </c>
    </row>
    <row r="37" spans="1:5" x14ac:dyDescent="0.25">
      <c r="A37" s="401"/>
      <c r="B37" s="190" t="s">
        <v>898</v>
      </c>
      <c r="C37" s="190" t="s">
        <v>143</v>
      </c>
      <c r="D37" s="190" t="s">
        <v>335</v>
      </c>
      <c r="E37" s="178" t="str">
        <f t="shared" si="3"/>
        <v>-:-</v>
      </c>
    </row>
    <row r="38" spans="1:5" x14ac:dyDescent="0.25">
      <c r="A38" s="401"/>
      <c r="B38" s="190" t="s">
        <v>900</v>
      </c>
      <c r="C38" s="190" t="s">
        <v>143</v>
      </c>
      <c r="D38" s="190" t="s">
        <v>335</v>
      </c>
      <c r="E38" s="178" t="str">
        <f t="shared" si="3"/>
        <v>-:-</v>
      </c>
    </row>
    <row r="39" spans="1:5" x14ac:dyDescent="0.25">
      <c r="A39" s="401"/>
      <c r="B39" s="190" t="s">
        <v>901</v>
      </c>
      <c r="C39" s="190" t="s">
        <v>143</v>
      </c>
      <c r="D39" s="190" t="s">
        <v>335</v>
      </c>
      <c r="E39" s="178" t="str">
        <f t="shared" si="3"/>
        <v>-:-</v>
      </c>
    </row>
    <row r="40" spans="1:5" x14ac:dyDescent="0.25">
      <c r="A40" s="401"/>
      <c r="B40" s="190" t="s">
        <v>914</v>
      </c>
      <c r="C40" s="190" t="s">
        <v>143</v>
      </c>
      <c r="D40" s="190" t="s">
        <v>335</v>
      </c>
      <c r="E40" s="178" t="str">
        <f t="shared" si="3"/>
        <v>-:-</v>
      </c>
    </row>
    <row r="41" spans="1:5" x14ac:dyDescent="0.25">
      <c r="A41" s="132" t="s">
        <v>333</v>
      </c>
      <c r="B41" s="190" t="s">
        <v>907</v>
      </c>
      <c r="C41" s="190"/>
      <c r="D41" s="190"/>
    </row>
  </sheetData>
  <sheetProtection algorithmName="SHA-512" hashValue="Big9JwBQuM1lixxnchs8ENU3pkVM3nmJKjv2tWbBu5lGjv8nxic9Id2mIjGp+bWaE6T3TfbiZjyght13jkh+YA==" saltValue="vIgVQ79hkJLy3JdIsnd3Yw=="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topLeftCell="A38" zoomScaleNormal="100" workbookViewId="0">
      <selection activeCell="B48" sqref="B48"/>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100" customWidth="1"/>
    <col min="15" max="15" width="22" style="100" bestFit="1" customWidth="1"/>
    <col min="16" max="16" width="9.140625" style="100" customWidth="1"/>
    <col min="17" max="17" width="23.140625" style="102" customWidth="1"/>
    <col min="18" max="18" width="9.140625" style="1" customWidth="1"/>
    <col min="19" max="19" width="12.5703125" style="100"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99" customFormat="1" ht="15" customHeight="1" x14ac:dyDescent="0.25">
      <c r="A1" s="8" t="s">
        <v>58</v>
      </c>
      <c r="B1" s="99" t="s">
        <v>59</v>
      </c>
      <c r="D1" s="99" t="s">
        <v>60</v>
      </c>
      <c r="E1" s="99" t="s">
        <v>61</v>
      </c>
      <c r="F1" s="99" t="s">
        <v>35</v>
      </c>
      <c r="G1" s="99" t="s">
        <v>62</v>
      </c>
      <c r="H1" s="99" t="s">
        <v>63</v>
      </c>
      <c r="I1" s="99" t="s">
        <v>37</v>
      </c>
      <c r="J1" s="99" t="s">
        <v>36</v>
      </c>
      <c r="K1" s="99" t="s">
        <v>38</v>
      </c>
      <c r="L1" s="99" t="s">
        <v>64</v>
      </c>
      <c r="M1" s="99" t="s">
        <v>30</v>
      </c>
      <c r="N1" s="3" t="s">
        <v>65</v>
      </c>
      <c r="O1" s="99" t="s">
        <v>80</v>
      </c>
      <c r="P1" s="152" t="s">
        <v>439</v>
      </c>
      <c r="Q1" s="115" t="s">
        <v>47</v>
      </c>
      <c r="X1" s="110"/>
      <c r="Y1" s="110"/>
      <c r="Z1" s="110"/>
    </row>
    <row r="2" spans="1:26" s="4" customFormat="1" ht="15" customHeight="1" x14ac:dyDescent="0.25">
      <c r="A2" s="53">
        <v>1</v>
      </c>
      <c r="B2" s="4" t="s">
        <v>249</v>
      </c>
      <c r="D2" s="5" t="s">
        <v>51</v>
      </c>
      <c r="E2" s="5">
        <v>26</v>
      </c>
      <c r="F2" s="5">
        <v>41</v>
      </c>
      <c r="G2" s="5">
        <v>3</v>
      </c>
      <c r="H2" s="5">
        <v>0</v>
      </c>
      <c r="I2" s="5">
        <v>22</v>
      </c>
      <c r="J2" s="5">
        <v>63</v>
      </c>
      <c r="K2" s="5">
        <v>2</v>
      </c>
      <c r="L2" s="5">
        <v>85</v>
      </c>
      <c r="M2" s="5">
        <v>39</v>
      </c>
      <c r="N2" s="5">
        <v>46</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63 (41+22), +46 ±</v>
      </c>
      <c r="P2" s="5" t="str">
        <f>IF(B2&lt;&gt;0,IF(IFERROR(VLOOKUP(B2,$B$48:$B$82,1,FALSE)=B2,FALSE),"ANO","NE"),"")</f>
        <v>ANO</v>
      </c>
      <c r="Q2" s="142" t="s">
        <v>880</v>
      </c>
      <c r="S2" s="5"/>
      <c r="X2" s="5"/>
      <c r="Y2" s="5"/>
      <c r="Z2" s="5"/>
    </row>
    <row r="3" spans="1:26" s="4" customFormat="1" ht="15" customHeight="1" x14ac:dyDescent="0.25">
      <c r="A3" s="53">
        <v>2</v>
      </c>
      <c r="B3" s="4" t="s">
        <v>252</v>
      </c>
      <c r="D3" s="5" t="s">
        <v>51</v>
      </c>
      <c r="E3" s="5">
        <v>24</v>
      </c>
      <c r="F3" s="5">
        <v>29</v>
      </c>
      <c r="G3" s="5">
        <v>1</v>
      </c>
      <c r="H3" s="5">
        <v>0</v>
      </c>
      <c r="I3" s="5">
        <v>24</v>
      </c>
      <c r="J3" s="5">
        <v>53</v>
      </c>
      <c r="K3" s="5">
        <v>2</v>
      </c>
      <c r="L3" s="5">
        <v>64</v>
      </c>
      <c r="M3" s="5">
        <v>33</v>
      </c>
      <c r="N3" s="5">
        <v>31</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53 (29+24), +31 ±</v>
      </c>
      <c r="P3" s="5" t="str">
        <f t="shared" ref="P3:P36" si="1">IF(B3&lt;&gt;0,IF(IFERROR(VLOOKUP(B3,$B$48:$B$82,1,FALSE)=B3,FALSE),"ANO","NE"),"")</f>
        <v>ANO</v>
      </c>
      <c r="Q3" s="142" t="s">
        <v>881</v>
      </c>
      <c r="S3" s="5"/>
      <c r="X3" s="5"/>
      <c r="Y3" s="5"/>
      <c r="Z3" s="5"/>
    </row>
    <row r="4" spans="1:26" s="4" customFormat="1" ht="15" customHeight="1" x14ac:dyDescent="0.25">
      <c r="A4" s="53">
        <v>3</v>
      </c>
      <c r="B4" s="4" t="s">
        <v>251</v>
      </c>
      <c r="D4" s="5" t="s">
        <v>51</v>
      </c>
      <c r="E4" s="5">
        <v>26</v>
      </c>
      <c r="F4" s="5">
        <v>13</v>
      </c>
      <c r="G4" s="5">
        <v>1</v>
      </c>
      <c r="H4" s="5">
        <v>0</v>
      </c>
      <c r="I4" s="5">
        <v>37</v>
      </c>
      <c r="J4" s="5">
        <v>50</v>
      </c>
      <c r="K4" s="5">
        <v>4</v>
      </c>
      <c r="L4" s="5">
        <v>85</v>
      </c>
      <c r="M4" s="5">
        <v>41</v>
      </c>
      <c r="N4" s="5">
        <v>44</v>
      </c>
      <c r="O4" s="161" t="str">
        <f t="shared" si="0"/>
        <v>26 OZ , 50 (13+37), +44 ±</v>
      </c>
      <c r="P4" s="5" t="str">
        <f t="shared" si="1"/>
        <v>ANO</v>
      </c>
      <c r="Q4" s="142" t="s">
        <v>882</v>
      </c>
      <c r="S4" s="5"/>
      <c r="X4" s="5"/>
      <c r="Y4" s="5"/>
      <c r="Z4" s="5"/>
    </row>
    <row r="5" spans="1:26" s="4" customFormat="1" x14ac:dyDescent="0.25">
      <c r="A5" s="53">
        <v>4</v>
      </c>
      <c r="B5" s="4" t="s">
        <v>250</v>
      </c>
      <c r="D5" s="5" t="s">
        <v>51</v>
      </c>
      <c r="E5" s="5">
        <v>26</v>
      </c>
      <c r="F5" s="5">
        <v>34</v>
      </c>
      <c r="G5" s="5">
        <v>5</v>
      </c>
      <c r="H5" s="5">
        <v>0</v>
      </c>
      <c r="I5" s="5">
        <v>15</v>
      </c>
      <c r="J5" s="5">
        <v>49</v>
      </c>
      <c r="K5" s="5">
        <v>2</v>
      </c>
      <c r="L5" s="5">
        <v>82</v>
      </c>
      <c r="M5" s="5">
        <v>40</v>
      </c>
      <c r="N5" s="5">
        <v>42</v>
      </c>
      <c r="O5" s="161" t="str">
        <f t="shared" si="0"/>
        <v>26 OZ , 49 (34+15), +42 ±</v>
      </c>
      <c r="P5" s="5" t="str">
        <f t="shared" si="1"/>
        <v>ANO</v>
      </c>
      <c r="Q5" s="142" t="s">
        <v>883</v>
      </c>
      <c r="S5" s="5"/>
      <c r="X5" s="5"/>
      <c r="Y5" s="5"/>
      <c r="Z5" s="5"/>
    </row>
    <row r="6" spans="1:26" x14ac:dyDescent="0.25">
      <c r="A6" s="54">
        <v>5</v>
      </c>
      <c r="B6" s="1" t="s">
        <v>253</v>
      </c>
      <c r="D6" s="212" t="s">
        <v>51</v>
      </c>
      <c r="E6" s="212">
        <v>26</v>
      </c>
      <c r="F6" s="212">
        <v>16</v>
      </c>
      <c r="G6" s="212">
        <v>0</v>
      </c>
      <c r="H6" s="212">
        <v>0</v>
      </c>
      <c r="I6" s="212">
        <v>26</v>
      </c>
      <c r="J6" s="212">
        <v>42</v>
      </c>
      <c r="K6" s="212">
        <v>4</v>
      </c>
      <c r="L6" s="212">
        <v>70</v>
      </c>
      <c r="M6" s="212">
        <v>34</v>
      </c>
      <c r="N6" s="212">
        <v>36</v>
      </c>
      <c r="O6" s="161" t="str">
        <f t="shared" si="0"/>
        <v>26 OZ , 42 (16+26), +36 ±</v>
      </c>
      <c r="P6" s="5" t="str">
        <f t="shared" si="1"/>
        <v>ANO</v>
      </c>
    </row>
    <row r="7" spans="1:26" x14ac:dyDescent="0.25">
      <c r="A7" s="54">
        <v>6</v>
      </c>
      <c r="B7" s="1" t="s">
        <v>254</v>
      </c>
      <c r="D7" s="212" t="s">
        <v>51</v>
      </c>
      <c r="E7" s="212">
        <v>24</v>
      </c>
      <c r="F7" s="212">
        <v>16</v>
      </c>
      <c r="G7" s="212">
        <v>5</v>
      </c>
      <c r="H7" s="212">
        <v>0</v>
      </c>
      <c r="I7" s="212">
        <v>7</v>
      </c>
      <c r="J7" s="212">
        <v>23</v>
      </c>
      <c r="K7" s="212">
        <v>10</v>
      </c>
      <c r="L7" s="212">
        <v>82</v>
      </c>
      <c r="M7" s="212">
        <v>40</v>
      </c>
      <c r="N7" s="212">
        <v>42</v>
      </c>
      <c r="O7" s="161" t="str">
        <f t="shared" si="0"/>
        <v>24 OZ , 23 (16+7), +42 ±</v>
      </c>
      <c r="P7" s="5" t="str">
        <f t="shared" si="1"/>
        <v>ANO</v>
      </c>
    </row>
    <row r="8" spans="1:26" x14ac:dyDescent="0.25">
      <c r="A8" s="54">
        <v>7</v>
      </c>
      <c r="B8" s="1" t="s">
        <v>257</v>
      </c>
      <c r="D8" s="212" t="s">
        <v>51</v>
      </c>
      <c r="E8" s="212">
        <v>26</v>
      </c>
      <c r="F8" s="212">
        <v>11</v>
      </c>
      <c r="G8" s="212">
        <v>0</v>
      </c>
      <c r="H8" s="212">
        <v>0</v>
      </c>
      <c r="I8" s="212">
        <v>12</v>
      </c>
      <c r="J8" s="212">
        <v>23</v>
      </c>
      <c r="K8" s="212">
        <v>0</v>
      </c>
      <c r="L8" s="212">
        <v>68</v>
      </c>
      <c r="M8" s="212">
        <v>35</v>
      </c>
      <c r="N8" s="212">
        <v>33</v>
      </c>
      <c r="O8" s="161" t="str">
        <f t="shared" si="0"/>
        <v>26 OZ , 23 (11+12), +33 ±</v>
      </c>
      <c r="P8" s="5" t="str">
        <f t="shared" si="1"/>
        <v>ANO</v>
      </c>
    </row>
    <row r="9" spans="1:26" x14ac:dyDescent="0.25">
      <c r="A9" s="54">
        <v>8</v>
      </c>
      <c r="B9" s="1" t="s">
        <v>258</v>
      </c>
      <c r="D9" s="212" t="s">
        <v>48</v>
      </c>
      <c r="E9" s="212">
        <v>21</v>
      </c>
      <c r="F9" s="212">
        <v>12</v>
      </c>
      <c r="G9" s="212">
        <v>1</v>
      </c>
      <c r="H9" s="212">
        <v>0</v>
      </c>
      <c r="I9" s="212">
        <v>9</v>
      </c>
      <c r="J9" s="212">
        <v>21</v>
      </c>
      <c r="K9" s="212">
        <v>2</v>
      </c>
      <c r="L9" s="212">
        <v>49</v>
      </c>
      <c r="M9" s="212">
        <v>26</v>
      </c>
      <c r="N9" s="212">
        <v>23</v>
      </c>
      <c r="O9" s="161" t="str">
        <f t="shared" si="0"/>
        <v>21 OZ , 21 (12+9), +23 ±</v>
      </c>
      <c r="P9" s="5" t="str">
        <f t="shared" si="1"/>
        <v>ANO</v>
      </c>
    </row>
    <row r="10" spans="1:26" x14ac:dyDescent="0.25">
      <c r="A10" s="54">
        <v>9</v>
      </c>
      <c r="B10" s="1" t="s">
        <v>256</v>
      </c>
      <c r="D10" s="212" t="s">
        <v>51</v>
      </c>
      <c r="E10" s="212">
        <v>25</v>
      </c>
      <c r="F10" s="212">
        <v>9</v>
      </c>
      <c r="G10" s="212">
        <v>0</v>
      </c>
      <c r="H10" s="212">
        <v>0</v>
      </c>
      <c r="I10" s="212">
        <v>12</v>
      </c>
      <c r="J10" s="212">
        <v>21</v>
      </c>
      <c r="K10" s="212">
        <v>2</v>
      </c>
      <c r="L10" s="212">
        <v>79</v>
      </c>
      <c r="M10" s="212">
        <v>32</v>
      </c>
      <c r="N10" s="212">
        <v>47</v>
      </c>
      <c r="O10" s="161" t="str">
        <f t="shared" si="0"/>
        <v>25 OZ , 21 (9+12), +47 ±</v>
      </c>
      <c r="P10" s="5" t="str">
        <f t="shared" si="1"/>
        <v>ANO</v>
      </c>
    </row>
    <row r="11" spans="1:26" x14ac:dyDescent="0.25">
      <c r="A11" s="54">
        <v>10</v>
      </c>
      <c r="B11" s="1" t="s">
        <v>255</v>
      </c>
      <c r="D11" s="212" t="s">
        <v>51</v>
      </c>
      <c r="E11" s="212">
        <v>23</v>
      </c>
      <c r="F11" s="212">
        <v>14</v>
      </c>
      <c r="G11" s="212">
        <v>0</v>
      </c>
      <c r="H11" s="212">
        <v>0</v>
      </c>
      <c r="I11" s="212">
        <v>3</v>
      </c>
      <c r="J11" s="212">
        <v>17</v>
      </c>
      <c r="K11" s="212">
        <v>6</v>
      </c>
      <c r="L11" s="212">
        <v>22</v>
      </c>
      <c r="M11" s="212">
        <v>23</v>
      </c>
      <c r="N11" s="212">
        <v>-1</v>
      </c>
      <c r="O11" s="161" t="str">
        <f t="shared" si="0"/>
        <v>23 OZ , 17 (14+3), -1 ±</v>
      </c>
      <c r="P11" s="5" t="str">
        <f t="shared" si="1"/>
        <v>ANO</v>
      </c>
    </row>
    <row r="12" spans="1:26" x14ac:dyDescent="0.25">
      <c r="A12" s="54">
        <v>11</v>
      </c>
      <c r="B12" s="1" t="s">
        <v>259</v>
      </c>
      <c r="D12" s="212" t="s">
        <v>48</v>
      </c>
      <c r="E12" s="212">
        <v>22</v>
      </c>
      <c r="F12" s="212">
        <v>4</v>
      </c>
      <c r="G12" s="212">
        <v>0</v>
      </c>
      <c r="H12" s="212">
        <v>0</v>
      </c>
      <c r="I12" s="212">
        <v>6</v>
      </c>
      <c r="J12" s="212">
        <v>10</v>
      </c>
      <c r="K12" s="212">
        <v>4</v>
      </c>
      <c r="L12" s="212">
        <v>22</v>
      </c>
      <c r="M12" s="212">
        <v>20</v>
      </c>
      <c r="N12" s="212">
        <v>2</v>
      </c>
      <c r="O12" s="161" t="str">
        <f t="shared" si="0"/>
        <v>22 OZ , 10 (4+6), +2 ±</v>
      </c>
      <c r="P12" s="5" t="str">
        <f t="shared" si="1"/>
        <v>ANO</v>
      </c>
    </row>
    <row r="13" spans="1:26" x14ac:dyDescent="0.25">
      <c r="A13" s="54">
        <v>12</v>
      </c>
      <c r="B13" s="1" t="s">
        <v>260</v>
      </c>
      <c r="D13" s="212" t="s">
        <v>51</v>
      </c>
      <c r="E13" s="212">
        <v>24</v>
      </c>
      <c r="F13" s="212">
        <v>3</v>
      </c>
      <c r="G13" s="212">
        <v>0</v>
      </c>
      <c r="H13" s="212">
        <v>0</v>
      </c>
      <c r="I13" s="212">
        <v>7</v>
      </c>
      <c r="J13" s="212">
        <v>10</v>
      </c>
      <c r="K13" s="212">
        <v>8</v>
      </c>
      <c r="L13" s="212">
        <v>26</v>
      </c>
      <c r="M13" s="212">
        <v>27</v>
      </c>
      <c r="N13" s="212">
        <v>-1</v>
      </c>
      <c r="O13" s="161" t="str">
        <f t="shared" si="0"/>
        <v>24 OZ , 10 (3+7), -1 ±</v>
      </c>
      <c r="P13" s="5" t="str">
        <f t="shared" si="1"/>
        <v>ANO</v>
      </c>
    </row>
    <row r="14" spans="1:26" x14ac:dyDescent="0.25">
      <c r="A14" s="54">
        <v>13</v>
      </c>
      <c r="B14" s="1" t="s">
        <v>262</v>
      </c>
      <c r="D14" s="212" t="s">
        <v>48</v>
      </c>
      <c r="E14" s="212">
        <v>25</v>
      </c>
      <c r="F14" s="212">
        <v>0</v>
      </c>
      <c r="G14" s="212">
        <v>0</v>
      </c>
      <c r="H14" s="212">
        <v>0</v>
      </c>
      <c r="I14" s="212">
        <v>9</v>
      </c>
      <c r="J14" s="212">
        <v>9</v>
      </c>
      <c r="K14" s="212">
        <v>4</v>
      </c>
      <c r="L14" s="212">
        <v>76</v>
      </c>
      <c r="M14" s="212">
        <v>29</v>
      </c>
      <c r="N14" s="212">
        <v>47</v>
      </c>
      <c r="O14" s="161" t="str">
        <f t="shared" si="0"/>
        <v>25 OZ , 9 (0+9), +47 ±</v>
      </c>
      <c r="P14" s="5" t="str">
        <f t="shared" si="1"/>
        <v>ANO</v>
      </c>
    </row>
    <row r="15" spans="1:26" x14ac:dyDescent="0.25">
      <c r="A15" s="54">
        <v>14</v>
      </c>
      <c r="B15" s="1" t="s">
        <v>261</v>
      </c>
      <c r="D15" s="212" t="s">
        <v>51</v>
      </c>
      <c r="E15" s="212">
        <v>14</v>
      </c>
      <c r="F15" s="212">
        <v>4</v>
      </c>
      <c r="G15" s="212">
        <v>0</v>
      </c>
      <c r="H15" s="212">
        <v>0</v>
      </c>
      <c r="I15" s="212">
        <v>3</v>
      </c>
      <c r="J15" s="212">
        <v>7</v>
      </c>
      <c r="K15" s="212">
        <v>2</v>
      </c>
      <c r="L15" s="212">
        <v>15</v>
      </c>
      <c r="M15" s="212">
        <v>12</v>
      </c>
      <c r="N15" s="212">
        <v>3</v>
      </c>
      <c r="O15" s="161" t="str">
        <f t="shared" si="0"/>
        <v>14 OZ , 7 (4+3), +3 ±</v>
      </c>
      <c r="P15" s="5" t="str">
        <f t="shared" si="1"/>
        <v>ANO</v>
      </c>
    </row>
    <row r="16" spans="1:26" x14ac:dyDescent="0.25">
      <c r="A16" s="54">
        <v>15</v>
      </c>
      <c r="B16" s="1" t="s">
        <v>264</v>
      </c>
      <c r="D16" s="212" t="s">
        <v>51</v>
      </c>
      <c r="E16" s="212">
        <v>14</v>
      </c>
      <c r="F16" s="212">
        <v>3</v>
      </c>
      <c r="G16" s="212">
        <v>0</v>
      </c>
      <c r="H16" s="212">
        <v>0</v>
      </c>
      <c r="I16" s="212">
        <v>4</v>
      </c>
      <c r="J16" s="212">
        <v>7</v>
      </c>
      <c r="K16" s="212">
        <v>2</v>
      </c>
      <c r="L16" s="212">
        <v>16</v>
      </c>
      <c r="M16" s="212">
        <v>15</v>
      </c>
      <c r="N16" s="212">
        <v>1</v>
      </c>
      <c r="O16" s="161" t="str">
        <f t="shared" si="0"/>
        <v>14 OZ , 7 (3+4), +1 ±</v>
      </c>
      <c r="P16" s="5" t="str">
        <f t="shared" si="1"/>
        <v>ANO</v>
      </c>
    </row>
    <row r="17" spans="1:19" x14ac:dyDescent="0.25">
      <c r="A17" s="54">
        <v>16</v>
      </c>
      <c r="B17" s="1" t="s">
        <v>265</v>
      </c>
      <c r="D17" s="212" t="s">
        <v>51</v>
      </c>
      <c r="E17" s="212">
        <v>17</v>
      </c>
      <c r="F17" s="212">
        <v>2</v>
      </c>
      <c r="G17" s="212">
        <v>0</v>
      </c>
      <c r="H17" s="212">
        <v>0</v>
      </c>
      <c r="I17" s="212">
        <v>4</v>
      </c>
      <c r="J17" s="212">
        <v>6</v>
      </c>
      <c r="K17" s="212">
        <v>2</v>
      </c>
      <c r="L17" s="212">
        <v>24</v>
      </c>
      <c r="M17" s="212">
        <v>23</v>
      </c>
      <c r="N17" s="212">
        <v>1</v>
      </c>
      <c r="O17" s="161" t="str">
        <f t="shared" si="0"/>
        <v>17 OZ , 6 (2+4), +1 ±</v>
      </c>
      <c r="P17" s="5" t="str">
        <f t="shared" si="1"/>
        <v>ANO</v>
      </c>
    </row>
    <row r="18" spans="1:19" x14ac:dyDescent="0.25">
      <c r="A18" s="54">
        <v>17</v>
      </c>
      <c r="B18" s="1" t="s">
        <v>267</v>
      </c>
      <c r="D18" s="212" t="s">
        <v>48</v>
      </c>
      <c r="E18" s="212">
        <v>18</v>
      </c>
      <c r="F18" s="212">
        <v>3</v>
      </c>
      <c r="G18" s="212">
        <v>0</v>
      </c>
      <c r="H18" s="212">
        <v>0</v>
      </c>
      <c r="I18" s="212">
        <v>1</v>
      </c>
      <c r="J18" s="212">
        <v>4</v>
      </c>
      <c r="K18" s="212">
        <v>2</v>
      </c>
      <c r="L18" s="212">
        <v>10</v>
      </c>
      <c r="M18" s="212">
        <v>9</v>
      </c>
      <c r="N18" s="212">
        <v>1</v>
      </c>
      <c r="O18" s="161" t="str">
        <f t="shared" si="0"/>
        <v>18 OZ , 4 (3+1), +1 ±</v>
      </c>
      <c r="P18" s="5" t="str">
        <f t="shared" si="1"/>
        <v>ANO</v>
      </c>
    </row>
    <row r="19" spans="1:19" x14ac:dyDescent="0.25">
      <c r="A19" s="54">
        <v>18</v>
      </c>
      <c r="B19" s="1" t="s">
        <v>626</v>
      </c>
      <c r="D19" s="212"/>
      <c r="E19" s="212">
        <v>6</v>
      </c>
      <c r="F19" s="212">
        <v>1</v>
      </c>
      <c r="G19" s="212">
        <v>0</v>
      </c>
      <c r="H19" s="212">
        <v>0</v>
      </c>
      <c r="I19" s="212">
        <v>3</v>
      </c>
      <c r="J19" s="212">
        <v>4</v>
      </c>
      <c r="K19" s="212">
        <v>2</v>
      </c>
      <c r="L19" s="212">
        <v>7</v>
      </c>
      <c r="M19" s="212">
        <v>7</v>
      </c>
      <c r="N19" s="212">
        <v>0</v>
      </c>
      <c r="O19" s="161" t="str">
        <f t="shared" si="0"/>
        <v>6 OZ , 4 (1+3), 0 ±</v>
      </c>
      <c r="P19" s="5" t="str">
        <f t="shared" si="1"/>
        <v>ANO</v>
      </c>
    </row>
    <row r="20" spans="1:19" x14ac:dyDescent="0.25">
      <c r="A20" s="54">
        <v>19</v>
      </c>
      <c r="B20" s="1" t="s">
        <v>263</v>
      </c>
      <c r="D20" s="212"/>
      <c r="E20" s="212">
        <v>8</v>
      </c>
      <c r="F20" s="212">
        <v>2</v>
      </c>
      <c r="G20" s="212">
        <v>0</v>
      </c>
      <c r="H20" s="212">
        <v>0</v>
      </c>
      <c r="I20" s="212">
        <v>1</v>
      </c>
      <c r="J20" s="212">
        <v>3</v>
      </c>
      <c r="K20" s="212">
        <v>4</v>
      </c>
      <c r="L20" s="212">
        <v>10</v>
      </c>
      <c r="M20" s="212">
        <v>5</v>
      </c>
      <c r="N20" s="212">
        <v>5</v>
      </c>
      <c r="O20" s="161" t="str">
        <f t="shared" si="0"/>
        <v>8 OZ , 3 (2+1), +5 ±</v>
      </c>
      <c r="P20" s="5" t="str">
        <f t="shared" si="1"/>
        <v>ANO</v>
      </c>
    </row>
    <row r="21" spans="1:19" x14ac:dyDescent="0.25">
      <c r="A21" s="53">
        <v>20</v>
      </c>
      <c r="B21" s="4" t="s">
        <v>266</v>
      </c>
      <c r="C21" s="4"/>
      <c r="D21" s="5" t="s">
        <v>48</v>
      </c>
      <c r="E21" s="5">
        <v>25</v>
      </c>
      <c r="F21" s="5">
        <v>1</v>
      </c>
      <c r="G21" s="5">
        <v>0</v>
      </c>
      <c r="H21" s="5">
        <v>0</v>
      </c>
      <c r="I21" s="5">
        <v>2</v>
      </c>
      <c r="J21" s="5">
        <v>3</v>
      </c>
      <c r="K21" s="5">
        <v>4</v>
      </c>
      <c r="L21" s="5">
        <v>33</v>
      </c>
      <c r="M21" s="5">
        <v>36</v>
      </c>
      <c r="N21" s="5">
        <v>-3</v>
      </c>
      <c r="O21" s="161" t="str">
        <f t="shared" si="0"/>
        <v>25 OZ , 3 (1+2), -3 ±</v>
      </c>
      <c r="P21" s="5" t="str">
        <f t="shared" si="1"/>
        <v>ANO</v>
      </c>
    </row>
    <row r="22" spans="1:19" x14ac:dyDescent="0.25">
      <c r="A22" s="53">
        <v>21</v>
      </c>
      <c r="B22" s="4" t="s">
        <v>627</v>
      </c>
      <c r="C22" s="4"/>
      <c r="D22" s="5"/>
      <c r="E22" s="5">
        <v>5</v>
      </c>
      <c r="F22" s="5">
        <v>2</v>
      </c>
      <c r="G22" s="5">
        <v>0</v>
      </c>
      <c r="H22" s="5">
        <v>0</v>
      </c>
      <c r="I22" s="5">
        <v>0</v>
      </c>
      <c r="J22" s="5">
        <v>2</v>
      </c>
      <c r="K22" s="5">
        <v>0</v>
      </c>
      <c r="L22" s="5">
        <v>3</v>
      </c>
      <c r="M22" s="5">
        <v>4</v>
      </c>
      <c r="N22" s="5">
        <v>-1</v>
      </c>
      <c r="O22" s="161" t="str">
        <f t="shared" si="0"/>
        <v>5 OZ , 2 (2+0), -1 ±</v>
      </c>
      <c r="P22" s="5" t="str">
        <f t="shared" si="1"/>
        <v>ANO</v>
      </c>
    </row>
    <row r="23" spans="1:19" x14ac:dyDescent="0.25">
      <c r="A23" s="53">
        <v>22</v>
      </c>
      <c r="B23" s="4" t="s">
        <v>268</v>
      </c>
      <c r="C23" s="4"/>
      <c r="D23" s="5" t="s">
        <v>35</v>
      </c>
      <c r="E23" s="5">
        <v>0</v>
      </c>
      <c r="F23" s="5">
        <v>0</v>
      </c>
      <c r="G23" s="5">
        <v>0</v>
      </c>
      <c r="H23" s="5">
        <v>0</v>
      </c>
      <c r="I23" s="5">
        <v>2</v>
      </c>
      <c r="J23" s="5">
        <v>2</v>
      </c>
      <c r="K23" s="5">
        <v>0</v>
      </c>
      <c r="L23" s="5">
        <v>0</v>
      </c>
      <c r="M23" s="5">
        <v>0</v>
      </c>
      <c r="N23" s="5">
        <v>0</v>
      </c>
      <c r="O23" s="161" t="str">
        <f t="shared" si="0"/>
        <v>0 OZ , 2 (0+2), 0 ±</v>
      </c>
      <c r="P23" s="5" t="str">
        <f t="shared" si="1"/>
        <v>ANO</v>
      </c>
    </row>
    <row r="24" spans="1:19" x14ac:dyDescent="0.25">
      <c r="A24" s="53">
        <v>23</v>
      </c>
      <c r="B24" s="4" t="s">
        <v>272</v>
      </c>
      <c r="C24" s="4"/>
      <c r="D24" s="5" t="s">
        <v>35</v>
      </c>
      <c r="E24" s="5">
        <v>0</v>
      </c>
      <c r="F24" s="5">
        <v>0</v>
      </c>
      <c r="G24" s="5">
        <v>0</v>
      </c>
      <c r="H24" s="5">
        <v>0</v>
      </c>
      <c r="I24" s="5">
        <v>1</v>
      </c>
      <c r="J24" s="5">
        <v>1</v>
      </c>
      <c r="K24" s="5">
        <v>0</v>
      </c>
      <c r="L24" s="5">
        <v>0</v>
      </c>
      <c r="M24" s="5">
        <v>0</v>
      </c>
      <c r="N24" s="5">
        <v>0</v>
      </c>
      <c r="O24" s="161" t="str">
        <f t="shared" si="0"/>
        <v>0 OZ , 1 (0+1), 0 ±</v>
      </c>
      <c r="P24" s="5" t="str">
        <f t="shared" si="1"/>
        <v>ANO</v>
      </c>
    </row>
    <row r="25" spans="1:19" x14ac:dyDescent="0.25">
      <c r="A25" s="53">
        <v>24</v>
      </c>
      <c r="B25" s="4" t="s">
        <v>912</v>
      </c>
      <c r="C25" s="4"/>
      <c r="D25" s="5" t="s">
        <v>35</v>
      </c>
      <c r="E25" s="5">
        <v>0</v>
      </c>
      <c r="F25" s="5">
        <v>0</v>
      </c>
      <c r="G25" s="5">
        <v>0</v>
      </c>
      <c r="H25" s="5">
        <v>0</v>
      </c>
      <c r="I25" s="5">
        <v>0</v>
      </c>
      <c r="J25" s="5">
        <v>0</v>
      </c>
      <c r="K25" s="5">
        <v>0</v>
      </c>
      <c r="L25" s="5">
        <v>0</v>
      </c>
      <c r="M25" s="5">
        <v>0</v>
      </c>
      <c r="N25" s="5">
        <v>0</v>
      </c>
      <c r="O25" s="161" t="str">
        <f t="shared" si="0"/>
        <v>0 OZ , 0 (0+0), 0 ±</v>
      </c>
      <c r="P25" s="5" t="str">
        <f t="shared" si="1"/>
        <v>ANO</v>
      </c>
    </row>
    <row r="26" spans="1:19" x14ac:dyDescent="0.25">
      <c r="A26" s="53">
        <v>25</v>
      </c>
      <c r="B26" s="4" t="s">
        <v>269</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9" x14ac:dyDescent="0.25">
      <c r="A27" s="53">
        <v>26</v>
      </c>
      <c r="B27" s="4" t="s">
        <v>270</v>
      </c>
      <c r="C27" s="4"/>
      <c r="D27" s="5" t="s">
        <v>48</v>
      </c>
      <c r="E27" s="5">
        <v>2</v>
      </c>
      <c r="F27" s="5">
        <v>0</v>
      </c>
      <c r="G27" s="5">
        <v>0</v>
      </c>
      <c r="H27" s="5">
        <v>0</v>
      </c>
      <c r="I27" s="5">
        <v>0</v>
      </c>
      <c r="J27" s="5">
        <v>0</v>
      </c>
      <c r="K27" s="5">
        <v>0</v>
      </c>
      <c r="L27" s="5">
        <v>0</v>
      </c>
      <c r="M27" s="5">
        <v>0</v>
      </c>
      <c r="N27" s="5">
        <v>0</v>
      </c>
      <c r="O27" s="161" t="str">
        <f t="shared" si="0"/>
        <v>2 OZ , 0 (0+0), 0 ±</v>
      </c>
      <c r="P27" s="5" t="str">
        <f t="shared" si="1"/>
        <v>ANO</v>
      </c>
    </row>
    <row r="28" spans="1:19" x14ac:dyDescent="0.25">
      <c r="A28" s="53">
        <v>27</v>
      </c>
      <c r="B28" s="4" t="s">
        <v>271</v>
      </c>
      <c r="C28" s="4"/>
      <c r="D28" s="5" t="s">
        <v>51</v>
      </c>
      <c r="E28" s="5">
        <v>2</v>
      </c>
      <c r="F28" s="5">
        <v>0</v>
      </c>
      <c r="G28" s="5">
        <v>0</v>
      </c>
      <c r="H28" s="5">
        <v>0</v>
      </c>
      <c r="I28" s="5">
        <v>0</v>
      </c>
      <c r="J28" s="5">
        <v>0</v>
      </c>
      <c r="K28" s="5">
        <v>0</v>
      </c>
      <c r="L28" s="5">
        <v>0</v>
      </c>
      <c r="M28" s="5">
        <v>1</v>
      </c>
      <c r="N28" s="5">
        <v>-1</v>
      </c>
      <c r="O28" s="161" t="str">
        <f t="shared" si="0"/>
        <v>2 OZ , 0 (0+0), -1 ±</v>
      </c>
      <c r="P28" s="5" t="str">
        <f t="shared" si="1"/>
        <v>ANO</v>
      </c>
    </row>
    <row r="29" spans="1:19" x14ac:dyDescent="0.25">
      <c r="A29" s="54"/>
      <c r="D29" s="112"/>
      <c r="E29" s="112"/>
      <c r="F29" s="112"/>
      <c r="G29" s="112"/>
      <c r="H29" s="112"/>
      <c r="I29" s="112"/>
      <c r="J29" s="112"/>
      <c r="K29" s="112"/>
      <c r="L29" s="112"/>
      <c r="M29" s="112"/>
      <c r="N29" s="112"/>
      <c r="O29" s="161" t="str">
        <f t="shared" si="0"/>
        <v/>
      </c>
      <c r="P29" s="5" t="str">
        <f t="shared" si="1"/>
        <v/>
      </c>
      <c r="Q29" s="111"/>
      <c r="S29" s="112"/>
    </row>
    <row r="30" spans="1:19" x14ac:dyDescent="0.25">
      <c r="A30" s="54"/>
      <c r="D30" s="112"/>
      <c r="E30" s="112"/>
      <c r="F30" s="112"/>
      <c r="G30" s="112"/>
      <c r="H30" s="112"/>
      <c r="I30" s="112"/>
      <c r="J30" s="112"/>
      <c r="K30" s="112"/>
      <c r="L30" s="112"/>
      <c r="M30" s="112"/>
      <c r="N30" s="112"/>
      <c r="O30" s="161" t="str">
        <f t="shared" si="0"/>
        <v/>
      </c>
      <c r="P30" s="5" t="str">
        <f t="shared" si="1"/>
        <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99" customFormat="1" ht="15" customHeight="1" x14ac:dyDescent="0.25">
      <c r="A38" s="8" t="s">
        <v>58</v>
      </c>
      <c r="B38" s="99" t="s">
        <v>59</v>
      </c>
      <c r="D38" s="99" t="s">
        <v>83</v>
      </c>
      <c r="E38" s="99" t="s">
        <v>84</v>
      </c>
      <c r="F38" s="99" t="s">
        <v>85</v>
      </c>
      <c r="G38" s="99" t="s">
        <v>40</v>
      </c>
      <c r="H38" s="99" t="s">
        <v>86</v>
      </c>
      <c r="I38" s="99" t="s">
        <v>87</v>
      </c>
      <c r="J38" s="99" t="s">
        <v>88</v>
      </c>
      <c r="K38" s="99" t="s">
        <v>79</v>
      </c>
      <c r="L38" s="99" t="s">
        <v>41</v>
      </c>
      <c r="M38" s="99" t="s">
        <v>89</v>
      </c>
      <c r="N38" s="3" t="s">
        <v>37</v>
      </c>
      <c r="O38" s="99" t="s">
        <v>38</v>
      </c>
      <c r="P38" s="99" t="s">
        <v>90</v>
      </c>
      <c r="Q38" s="99" t="s">
        <v>91</v>
      </c>
      <c r="R38" s="99" t="s">
        <v>92</v>
      </c>
      <c r="X38" s="110"/>
      <c r="Y38" s="110"/>
      <c r="Z38" s="110"/>
    </row>
    <row r="39" spans="1:27" x14ac:dyDescent="0.25">
      <c r="A39" s="54">
        <v>1</v>
      </c>
      <c r="B39" t="s">
        <v>268</v>
      </c>
      <c r="C39"/>
      <c r="D39" s="190">
        <v>25</v>
      </c>
      <c r="E39" s="190">
        <v>19</v>
      </c>
      <c r="F39" s="190">
        <v>1136.7</v>
      </c>
      <c r="G39" s="190">
        <v>17</v>
      </c>
      <c r="H39" s="190">
        <v>78</v>
      </c>
      <c r="I39" s="190">
        <v>0</v>
      </c>
      <c r="J39" s="190">
        <v>423</v>
      </c>
      <c r="K39" s="190">
        <v>0</v>
      </c>
      <c r="L39" s="190">
        <v>2</v>
      </c>
      <c r="M39" s="190">
        <v>345</v>
      </c>
      <c r="N39" s="190">
        <v>2</v>
      </c>
      <c r="O39" s="190">
        <v>0</v>
      </c>
      <c r="P39" s="11">
        <f>IF(B39&lt;&gt;0,IFERROR(H39/(F39/60),0),"")</f>
        <v>4.1171813143309581</v>
      </c>
      <c r="Q39" s="11">
        <f>IF(B39&lt;&gt;0,IFERROR((M39/J39)*100,0),"")</f>
        <v>81.560283687943254</v>
      </c>
      <c r="R39" s="112" t="str">
        <f>IF(B39&lt;&gt;0,CONCATENATE(G39, " V, ",L39," P"),"")</f>
        <v>17 V, 2 P</v>
      </c>
    </row>
    <row r="40" spans="1:27" x14ac:dyDescent="0.25">
      <c r="A40" s="54">
        <v>2</v>
      </c>
      <c r="B40" t="s">
        <v>272</v>
      </c>
      <c r="C40"/>
      <c r="D40" s="190">
        <v>26</v>
      </c>
      <c r="E40" s="190">
        <v>6</v>
      </c>
      <c r="F40" s="190">
        <v>356.95</v>
      </c>
      <c r="G40" s="190">
        <v>4</v>
      </c>
      <c r="H40" s="190">
        <v>33</v>
      </c>
      <c r="I40" s="190">
        <v>0</v>
      </c>
      <c r="J40" s="190">
        <v>127</v>
      </c>
      <c r="K40" s="190">
        <v>0</v>
      </c>
      <c r="L40" s="190">
        <v>2</v>
      </c>
      <c r="M40" s="190">
        <v>94</v>
      </c>
      <c r="N40" s="190">
        <v>1</v>
      </c>
      <c r="O40" s="190">
        <v>0</v>
      </c>
      <c r="P40" s="11">
        <f t="shared" ref="P40:P45" si="2">IF(B40&lt;&gt;0,IFERROR(H40/(F40/60),0),"")</f>
        <v>5.5469953775038521</v>
      </c>
      <c r="Q40" s="11">
        <f t="shared" ref="Q40:Q45" si="3">IF(B40&lt;&gt;0,IFERROR((M40/J40)*100,0),"")</f>
        <v>74.015748031496059</v>
      </c>
      <c r="R40" s="112" t="str">
        <f t="shared" ref="R40:R45" si="4">IF(B40&lt;&gt;0,CONCATENATE(G40, " V, ",L40," P"),"")</f>
        <v>4 V, 2 P</v>
      </c>
    </row>
    <row r="41" spans="1:27" x14ac:dyDescent="0.25">
      <c r="A41" s="54">
        <v>3</v>
      </c>
      <c r="B41" t="s">
        <v>912</v>
      </c>
      <c r="C41"/>
      <c r="D41" s="190">
        <v>1</v>
      </c>
      <c r="E41" s="190">
        <v>1</v>
      </c>
      <c r="F41" s="123">
        <v>60</v>
      </c>
      <c r="G41" s="190">
        <v>1</v>
      </c>
      <c r="H41" s="190">
        <v>6</v>
      </c>
      <c r="I41" s="190">
        <v>0</v>
      </c>
      <c r="J41" s="190">
        <v>22</v>
      </c>
      <c r="K41" s="190">
        <v>0</v>
      </c>
      <c r="L41" s="190">
        <v>0</v>
      </c>
      <c r="M41" s="190">
        <v>16</v>
      </c>
      <c r="N41" s="190">
        <v>0</v>
      </c>
      <c r="O41" s="190">
        <v>0</v>
      </c>
      <c r="P41" s="11">
        <f t="shared" si="2"/>
        <v>6</v>
      </c>
      <c r="Q41" s="11">
        <f t="shared" si="3"/>
        <v>72.727272727272734</v>
      </c>
      <c r="R41" s="112" t="str">
        <f t="shared" si="4"/>
        <v>1 V, 0 P</v>
      </c>
      <c r="S41" s="112"/>
    </row>
    <row r="42" spans="1:27" x14ac:dyDescent="0.25">
      <c r="A42" s="54"/>
      <c r="D42" s="119"/>
      <c r="E42" s="119"/>
      <c r="F42" s="11"/>
      <c r="G42" s="119"/>
      <c r="H42" s="119"/>
      <c r="I42" s="119"/>
      <c r="J42" s="119"/>
      <c r="K42" s="119"/>
      <c r="L42" s="119"/>
      <c r="M42" s="119"/>
      <c r="N42" s="119"/>
      <c r="O42" s="119"/>
      <c r="P42" s="11" t="str">
        <f t="shared" si="2"/>
        <v/>
      </c>
      <c r="Q42" s="11" t="str">
        <f t="shared" si="3"/>
        <v/>
      </c>
      <c r="R42" s="112" t="str">
        <f t="shared" si="4"/>
        <v/>
      </c>
      <c r="S42" s="112"/>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2" t="s">
        <v>289</v>
      </c>
      <c r="Y46" s="402"/>
      <c r="Z46" s="402"/>
      <c r="AA46" s="402"/>
    </row>
    <row r="47" spans="1:27" s="99" customFormat="1" ht="15" customHeight="1" x14ac:dyDescent="0.25">
      <c r="A47" s="7">
        <f ca="1">TODAY()</f>
        <v>44263</v>
      </c>
      <c r="B47" s="99" t="s">
        <v>59</v>
      </c>
      <c r="C47" s="99" t="s">
        <v>66</v>
      </c>
      <c r="D47" s="99" t="s">
        <v>67</v>
      </c>
      <c r="E47" s="99" t="s">
        <v>70</v>
      </c>
      <c r="F47" s="99" t="s">
        <v>71</v>
      </c>
      <c r="G47" s="99" t="s">
        <v>72</v>
      </c>
      <c r="H47" s="99" t="s">
        <v>73</v>
      </c>
      <c r="I47" s="99" t="s">
        <v>45</v>
      </c>
      <c r="J47" s="99" t="s">
        <v>58</v>
      </c>
      <c r="K47" s="99" t="s">
        <v>159</v>
      </c>
      <c r="L47" s="99" t="s">
        <v>77</v>
      </c>
      <c r="M47" s="99" t="s">
        <v>68</v>
      </c>
      <c r="N47" s="99" t="s">
        <v>69</v>
      </c>
      <c r="O47" s="99" t="s">
        <v>81</v>
      </c>
      <c r="P47" s="99" t="s">
        <v>82</v>
      </c>
      <c r="Q47" s="99" t="s">
        <v>74</v>
      </c>
      <c r="R47" s="99" t="s">
        <v>75</v>
      </c>
      <c r="S47" s="99" t="s">
        <v>93</v>
      </c>
      <c r="T47" s="110" t="s">
        <v>158</v>
      </c>
      <c r="U47" s="110" t="s">
        <v>281</v>
      </c>
      <c r="V47" s="110" t="s">
        <v>282</v>
      </c>
      <c r="W47" s="110" t="s">
        <v>283</v>
      </c>
      <c r="X47" s="110" t="s">
        <v>288</v>
      </c>
      <c r="Y47" s="110" t="s">
        <v>286</v>
      </c>
      <c r="Z47" s="110" t="s">
        <v>287</v>
      </c>
      <c r="AA47" s="162" t="s">
        <v>462</v>
      </c>
    </row>
    <row r="48" spans="1:27" ht="15" customHeight="1" x14ac:dyDescent="0.25">
      <c r="B48" s="186" t="s">
        <v>256</v>
      </c>
      <c r="C48" s="185">
        <v>36269</v>
      </c>
      <c r="D48" s="112">
        <f ca="1">IF(C48 &lt;&gt; 0,ROUNDDOWN(($A$47-C48)/365.25,0),"")</f>
        <v>21</v>
      </c>
      <c r="E48" s="191">
        <v>102</v>
      </c>
      <c r="F48" s="191">
        <v>29</v>
      </c>
      <c r="G48" s="191">
        <v>41</v>
      </c>
      <c r="H48" s="112">
        <f>IF(B48&lt;&gt;0,F48+G48,"")</f>
        <v>70</v>
      </c>
      <c r="I48" s="191">
        <v>5</v>
      </c>
      <c r="J48" s="191">
        <v>88</v>
      </c>
      <c r="K48" s="191"/>
      <c r="L48" s="191" t="s">
        <v>78</v>
      </c>
      <c r="M48" s="191">
        <v>179</v>
      </c>
      <c r="N48" s="191">
        <v>76</v>
      </c>
      <c r="O48" s="119" t="str">
        <f>IF(B48&lt;&gt;0,CONCATENATE(E48+IFERROR(VLOOKUP(B48,$B$2:$N$36,4,FALSE),0) + X48, " OZ, ", H48+IFERROR(VLOOKUP(B48,$B$2:$N$36,9,FALSE),0) + Y48+Z48, " (", F48+IFERROR(VLOOKUP(B48,$B$2:$N$36,5,FALSE),0) + Y48, "+",G48+IFERROR(VLOOKUP(B48,$B$2:$N$36,8,FALSE),0) +  Z48, ")"), "")</f>
        <v>127 OZ, 91 (38+53)</v>
      </c>
      <c r="P48" s="112" t="str">
        <f>IF(M48&lt;&gt;0,CONCATENATE(M48,"/",N48),"")</f>
        <v>179/76</v>
      </c>
      <c r="Q48" s="192" t="s">
        <v>794</v>
      </c>
      <c r="R48" s="191">
        <v>2003</v>
      </c>
      <c r="S48" s="112" t="str">
        <f>IFERROR(CONCATENATE(E48+VLOOKUP(B48,$B$39:$R$42,4,FALSE), " OZ, ",G48+VLOOKUP(B48,$B$39:$R$42,13,FALSE), " A"),"")</f>
        <v/>
      </c>
      <c r="T48" s="1" t="str">
        <f>IF(B48&lt;&gt;0,IF(V48=1,U48,CONCATENATE(U48," ",W48,".")),"")</f>
        <v>Besta</v>
      </c>
      <c r="U48" s="1" t="str">
        <f>IFERROR(RIGHT(B48,LEN(B48)-SEARCH(" ", B48,1)),"")</f>
        <v>Besta</v>
      </c>
      <c r="V48" s="112">
        <f>IF(B48&lt;&gt;0,COUNTIF($U$48:$U$82,U48),"")</f>
        <v>1</v>
      </c>
      <c r="W48" s="112" t="str">
        <f>IFERROR(LEFT(LEFT(B48,SEARCH(" ",B48,1)),1),"")</f>
        <v>J</v>
      </c>
      <c r="X48" s="139"/>
      <c r="Y48" s="139"/>
      <c r="Z48" s="139"/>
      <c r="AA48" s="138"/>
    </row>
    <row r="49" spans="2:27" ht="15" customHeight="1" x14ac:dyDescent="0.25">
      <c r="B49" s="186" t="s">
        <v>255</v>
      </c>
      <c r="C49" s="185">
        <v>35036</v>
      </c>
      <c r="D49" s="112">
        <f ca="1">IF(C49 &lt;&gt; 0,ROUNDDOWN(($A$47-C49)/365.25,0),"")</f>
        <v>25</v>
      </c>
      <c r="E49" s="191">
        <v>147</v>
      </c>
      <c r="F49" s="191">
        <v>108</v>
      </c>
      <c r="G49" s="191">
        <v>30</v>
      </c>
      <c r="H49" s="112">
        <f>IF(B49&lt;&gt;0,F49+G49,"")</f>
        <v>138</v>
      </c>
      <c r="I49" s="191">
        <v>8</v>
      </c>
      <c r="J49" s="191">
        <v>53</v>
      </c>
      <c r="K49" s="191"/>
      <c r="L49" s="191" t="s">
        <v>78</v>
      </c>
      <c r="M49" s="191">
        <v>183</v>
      </c>
      <c r="N49" s="191">
        <v>72</v>
      </c>
      <c r="O49" s="119" t="str">
        <f>IF(B49&lt;&gt;0,CONCATENATE(E49+IFERROR(VLOOKUP(B49,$B$2:$N$36,4,FALSE),0) + X49, " OZ, ", H49+IFERROR(VLOOKUP(B49,$B$2:$N$36,9,FALSE),0) + Y49+Z49, " (", F49+IFERROR(VLOOKUP(B49,$B$2:$N$36,5,FALSE),0) + Y49, "+",G49+IFERROR(VLOOKUP(B49,$B$2:$N$36,8,FALSE),0) +  Z49, ")"), "")</f>
        <v>170 OZ, 155 (122+33)</v>
      </c>
      <c r="P49" s="112" t="str">
        <f>IF(M49&lt;&gt;0,CONCATENATE(M49,"/",N49),"")</f>
        <v>183/72</v>
      </c>
      <c r="Q49" s="192" t="s">
        <v>672</v>
      </c>
      <c r="R49" s="191">
        <v>2001</v>
      </c>
      <c r="S49" s="112" t="str">
        <f>IFERROR(CONCATENATE(E49+VLOOKUP(B49,$B$39:$R$42,4,FALSE), " OZ, ",G49+VLOOKUP(B49,$B$39:$R$42,13,FALSE), " A"),"")</f>
        <v/>
      </c>
      <c r="T49" s="1" t="str">
        <f>IF(B49&lt;&gt;0,IF(V49=1,U49,CONCATENATE(U49," ",W49,".")),"")</f>
        <v>Bräuer</v>
      </c>
      <c r="U49" s="1" t="str">
        <f>IFERROR(RIGHT(B49,LEN(B49)-SEARCH(" ", B49,1)),"")</f>
        <v>Bräuer</v>
      </c>
      <c r="V49" s="112">
        <f>IF(B49&lt;&gt;0,COUNTIF($U$48:$U$82,U49),"")</f>
        <v>1</v>
      </c>
      <c r="W49" s="112" t="str">
        <f>IFERROR(LEFT(LEFT(B49,SEARCH(" ",B49,1)),1),"")</f>
        <v>M</v>
      </c>
      <c r="X49" s="139"/>
      <c r="Y49" s="139"/>
      <c r="Z49" s="139"/>
      <c r="AA49" s="138"/>
    </row>
    <row r="50" spans="2:27" ht="15" customHeight="1" x14ac:dyDescent="0.25">
      <c r="B50" s="186" t="s">
        <v>264</v>
      </c>
      <c r="C50" s="185">
        <v>35650</v>
      </c>
      <c r="D50" s="112">
        <f ca="1">IF(C50 &lt;&gt; 0,ROUNDDOWN(($A$47-C50)/365.25,0),"")</f>
        <v>23</v>
      </c>
      <c r="E50" s="191">
        <v>50</v>
      </c>
      <c r="F50" s="191">
        <v>15</v>
      </c>
      <c r="G50" s="191">
        <v>18</v>
      </c>
      <c r="H50" s="112">
        <f>IF(B50&lt;&gt;0,F50+G50,"")</f>
        <v>33</v>
      </c>
      <c r="I50" s="191">
        <v>4</v>
      </c>
      <c r="J50" s="191">
        <v>8</v>
      </c>
      <c r="K50" s="191"/>
      <c r="L50" s="191" t="s">
        <v>78</v>
      </c>
      <c r="M50" s="191">
        <v>179</v>
      </c>
      <c r="N50" s="191">
        <v>76</v>
      </c>
      <c r="O50" s="119" t="str">
        <f>IF(B50&lt;&gt;0,CONCATENATE(E50+IFERROR(VLOOKUP(B50,$B$2:$N$36,4,FALSE),0) + X50, " OZ, ", H50+IFERROR(VLOOKUP(B50,$B$2:$N$36,9,FALSE),0) + Y50+Z50, " (", F50+IFERROR(VLOOKUP(B50,$B$2:$N$36,5,FALSE),0) + Y50, "+",G50+IFERROR(VLOOKUP(B50,$B$2:$N$36,8,FALSE),0) +  Z50, ")"), "")</f>
        <v>64 OZ, 40 (18+22)</v>
      </c>
      <c r="P50" s="112" t="str">
        <f>IF(M50&lt;&gt;0,CONCATENATE(M50,"/",N50),"")</f>
        <v>179/76</v>
      </c>
      <c r="Q50" s="192" t="s">
        <v>30</v>
      </c>
      <c r="R50" s="191" t="s">
        <v>30</v>
      </c>
      <c r="S50" s="112" t="str">
        <f>IFERROR(CONCATENATE(E50+VLOOKUP(B50,$B$39:$R$42,4,FALSE), " OZ, ",G50+VLOOKUP(B50,$B$39:$R$42,13,FALSE), " A"),"")</f>
        <v/>
      </c>
      <c r="T50" s="1" t="str">
        <f>IF(B50&lt;&gt;0,IF(V50=1,U50,CONCATENATE(U50," ",W50,".")),"")</f>
        <v>Čonka-Skyba</v>
      </c>
      <c r="U50" s="1" t="str">
        <f>IFERROR(RIGHT(B50,LEN(B50)-SEARCH(" ", B50,1)),"")</f>
        <v>Čonka-Skyba</v>
      </c>
      <c r="V50" s="112">
        <f>IF(B50&lt;&gt;0,COUNTIF($U$48:$U$82,U50),"")</f>
        <v>1</v>
      </c>
      <c r="W50" s="112" t="str">
        <f>IFERROR(LEFT(LEFT(B50,SEARCH(" ",B50,1)),1),"")</f>
        <v>F</v>
      </c>
      <c r="X50" s="139"/>
      <c r="Y50" s="139"/>
      <c r="Z50" s="139"/>
      <c r="AA50" s="138"/>
    </row>
    <row r="51" spans="2:27" ht="15" customHeight="1" x14ac:dyDescent="0.25">
      <c r="B51" s="187" t="s">
        <v>249</v>
      </c>
      <c r="C51" s="185">
        <v>35243</v>
      </c>
      <c r="D51" s="112">
        <f ca="1">IF(C51 &lt;&gt; 0,ROUNDDOWN(($A$47-C51)/365.25,0),"")</f>
        <v>24</v>
      </c>
      <c r="E51" s="191">
        <v>115</v>
      </c>
      <c r="F51" s="191">
        <v>81</v>
      </c>
      <c r="G51" s="191">
        <v>75</v>
      </c>
      <c r="H51" s="112">
        <f>IF(B51&lt;&gt;0,F51+G51,"")</f>
        <v>156</v>
      </c>
      <c r="I51" s="191">
        <v>7</v>
      </c>
      <c r="J51" s="191">
        <v>72</v>
      </c>
      <c r="K51" s="191"/>
      <c r="L51" s="191" t="s">
        <v>78</v>
      </c>
      <c r="M51" s="191">
        <v>183</v>
      </c>
      <c r="N51" s="191">
        <v>75</v>
      </c>
      <c r="O51" s="119" t="str">
        <f>IF(B51&lt;&gt;0,CONCATENATE(E51+IFERROR(VLOOKUP(B51,$B$2:$N$36,4,FALSE),0) + X51, " OZ, ", H51+IFERROR(VLOOKUP(B51,$B$2:$N$36,9,FALSE),0) + Y51+Z51, " (", F51+IFERROR(VLOOKUP(B51,$B$2:$N$36,5,FALSE),0) + Y51, "+",G51+IFERROR(VLOOKUP(B51,$B$2:$N$36,8,FALSE),0) +  Z51, ")"), "")</f>
        <v>141 OZ, 219 (122+97)</v>
      </c>
      <c r="P51" s="112" t="str">
        <f>IF(M51&lt;&gt;0,CONCATENATE(M51,"/",N51),"")</f>
        <v>183/75</v>
      </c>
      <c r="Q51" s="192" t="s">
        <v>795</v>
      </c>
      <c r="R51" s="191">
        <v>2005</v>
      </c>
      <c r="S51" s="112" t="str">
        <f>IFERROR(CONCATENATE(E51+VLOOKUP(B51,$B$39:$R$42,4,FALSE), " OZ, ",G51+VLOOKUP(B51,$B$39:$R$42,13,FALSE), " A"),"")</f>
        <v/>
      </c>
      <c r="T51" s="1" t="str">
        <f>IF(B51&lt;&gt;0,IF(V51=1,U51,CONCATENATE(U51," ",W51,".")),"")</f>
        <v>Delong</v>
      </c>
      <c r="U51" s="1" t="str">
        <f>IFERROR(RIGHT(B51,LEN(B51)-SEARCH(" ", B51,1)),"")</f>
        <v>Delong</v>
      </c>
      <c r="V51" s="112">
        <f>IF(B51&lt;&gt;0,COUNTIF($U$48:$U$82,U51),"")</f>
        <v>1</v>
      </c>
      <c r="W51" s="112" t="str">
        <f>IFERROR(LEFT(LEFT(B51,SEARCH(" ",B51,1)),1),"")</f>
        <v>A</v>
      </c>
      <c r="X51" s="139"/>
      <c r="Y51" s="139"/>
      <c r="Z51" s="139"/>
      <c r="AA51" s="138"/>
    </row>
    <row r="52" spans="2:27" ht="15" customHeight="1" x14ac:dyDescent="0.25">
      <c r="B52" s="187" t="s">
        <v>250</v>
      </c>
      <c r="C52" s="185">
        <v>36934</v>
      </c>
      <c r="D52" s="112">
        <f ca="1">IF(C52 &lt;&gt; 0,ROUNDDOWN(($A$47-C52)/365.25,0),"")</f>
        <v>20</v>
      </c>
      <c r="E52" s="191">
        <v>45</v>
      </c>
      <c r="F52" s="191">
        <v>11</v>
      </c>
      <c r="G52" s="191">
        <v>13</v>
      </c>
      <c r="H52" s="112">
        <f>IF(B52&lt;&gt;0,F52+G52,"")</f>
        <v>24</v>
      </c>
      <c r="I52" s="191">
        <v>3</v>
      </c>
      <c r="J52" s="191">
        <v>13</v>
      </c>
      <c r="K52" s="191"/>
      <c r="L52" s="191" t="s">
        <v>41</v>
      </c>
      <c r="M52" s="191">
        <v>171</v>
      </c>
      <c r="N52" s="191">
        <v>70</v>
      </c>
      <c r="O52" s="119" t="str">
        <f>IF(B52&lt;&gt;0,CONCATENATE(E52+IFERROR(VLOOKUP(B52,$B$2:$N$36,4,FALSE),0) + X52, " OZ, ", H52+IFERROR(VLOOKUP(B52,$B$2:$N$36,9,FALSE),0) + Y52+Z52, " (", F52+IFERROR(VLOOKUP(B52,$B$2:$N$36,5,FALSE),0) + Y52, "+",G52+IFERROR(VLOOKUP(B52,$B$2:$N$36,8,FALSE),0) +  Z52, ")"), "")</f>
        <v>71 OZ, 73 (45+28)</v>
      </c>
      <c r="P52" s="112" t="str">
        <f>IF(M52&lt;&gt;0,CONCATENATE(M52,"/",N52),"")</f>
        <v>171/70</v>
      </c>
      <c r="Q52" s="192" t="s">
        <v>672</v>
      </c>
      <c r="R52" s="191">
        <v>2008</v>
      </c>
      <c r="S52" s="112" t="str">
        <f>IFERROR(CONCATENATE(E52+VLOOKUP(B52,$B$39:$R$42,4,FALSE), " OZ, ",G52+VLOOKUP(B52,$B$39:$R$42,13,FALSE), " A"),"")</f>
        <v/>
      </c>
      <c r="T52" s="1" t="str">
        <f>IF(B52&lt;&gt;0,IF(V52=1,U52,CONCATENATE(U52," ",W52,".")),"")</f>
        <v>Gattnar</v>
      </c>
      <c r="U52" s="1" t="str">
        <f>IFERROR(RIGHT(B52,LEN(B52)-SEARCH(" ", B52,1)),"")</f>
        <v>Gattnar</v>
      </c>
      <c r="V52" s="112">
        <f>IF(B52&lt;&gt;0,COUNTIF($U$48:$U$82,U52),"")</f>
        <v>1</v>
      </c>
      <c r="W52" s="112" t="str">
        <f>IFERROR(LEFT(LEFT(B52,SEARCH(" ",B52,1)),1),"")</f>
        <v>R</v>
      </c>
      <c r="X52" s="139"/>
      <c r="Y52" s="139"/>
      <c r="Z52" s="139"/>
      <c r="AA52" s="138"/>
    </row>
    <row r="53" spans="2:27" ht="15" customHeight="1" x14ac:dyDescent="0.25">
      <c r="B53" s="187" t="s">
        <v>252</v>
      </c>
      <c r="C53" s="185">
        <v>33884</v>
      </c>
      <c r="D53" s="112">
        <f ca="1">IF(C53 &lt;&gt; 0,ROUNDDOWN(($A$47-C53)/365.25,0),"")</f>
        <v>28</v>
      </c>
      <c r="E53" s="191">
        <v>115</v>
      </c>
      <c r="F53" s="191">
        <v>115</v>
      </c>
      <c r="G53" s="191">
        <v>161</v>
      </c>
      <c r="H53" s="112">
        <f>IF(B53&lt;&gt;0,F53+G53,"")</f>
        <v>276</v>
      </c>
      <c r="I53" s="191">
        <v>12</v>
      </c>
      <c r="J53" s="191">
        <v>44</v>
      </c>
      <c r="K53" s="191"/>
      <c r="L53" s="191" t="s">
        <v>78</v>
      </c>
      <c r="M53" s="191">
        <v>182</v>
      </c>
      <c r="N53" s="191">
        <v>81</v>
      </c>
      <c r="O53" s="119" t="str">
        <f>IF(B53&lt;&gt;0,CONCATENATE(E53+IFERROR(VLOOKUP(B53,$B$2:$N$36,4,FALSE),0) + X53, " OZ, ", H53+IFERROR(VLOOKUP(B53,$B$2:$N$36,9,FALSE),0) + Y53+Z53, " (", F53+IFERROR(VLOOKUP(B53,$B$2:$N$36,5,FALSE),0) + Y53, "+",G53+IFERROR(VLOOKUP(B53,$B$2:$N$36,8,FALSE),0) +  Z53, ")"), "")</f>
        <v>139 OZ, 329 (144+185)</v>
      </c>
      <c r="P53" s="112" t="str">
        <f>IF(M53&lt;&gt;0,CONCATENATE(M53,"/",N53),"")</f>
        <v>182/81</v>
      </c>
      <c r="Q53" s="192" t="s">
        <v>796</v>
      </c>
      <c r="R53" s="191">
        <v>2004</v>
      </c>
      <c r="S53" s="112" t="str">
        <f>IFERROR(CONCATENATE(E53+VLOOKUP(B53,$B$39:$R$42,4,FALSE), " OZ, ",G53+VLOOKUP(B53,$B$39:$R$42,13,FALSE), " A"),"")</f>
        <v/>
      </c>
      <c r="T53" s="1" t="str">
        <f>IF(B53&lt;&gt;0,IF(V53=1,U53,CONCATENATE(U53," ",W53,".")),"")</f>
        <v>Hájek</v>
      </c>
      <c r="U53" s="1" t="str">
        <f>IFERROR(RIGHT(B53,LEN(B53)-SEARCH(" ", B53,1)),"")</f>
        <v>Hájek</v>
      </c>
      <c r="V53" s="112">
        <f>IF(B53&lt;&gt;0,COUNTIF($U$48:$U$82,U53),"")</f>
        <v>1</v>
      </c>
      <c r="W53" s="112" t="str">
        <f>IFERROR(LEFT(LEFT(B53,SEARCH(" ",B53,1)),1),"")</f>
        <v>L</v>
      </c>
      <c r="X53" s="139"/>
      <c r="Y53" s="139"/>
      <c r="Z53" s="139"/>
      <c r="AA53" s="138"/>
    </row>
    <row r="54" spans="2:27" ht="15" customHeight="1" x14ac:dyDescent="0.25">
      <c r="B54" s="186" t="s">
        <v>266</v>
      </c>
      <c r="C54" s="185">
        <v>36640</v>
      </c>
      <c r="D54" s="112">
        <f ca="1">IF(C54 &lt;&gt; 0,ROUNDDOWN(($A$47-C54)/365.25,0),"")</f>
        <v>20</v>
      </c>
      <c r="E54" s="191">
        <v>26</v>
      </c>
      <c r="F54" s="191">
        <v>4</v>
      </c>
      <c r="G54" s="191">
        <v>7</v>
      </c>
      <c r="H54" s="112">
        <f>IF(B54&lt;&gt;0,F54+G54,"")</f>
        <v>11</v>
      </c>
      <c r="I54" s="191">
        <v>2</v>
      </c>
      <c r="J54" s="191">
        <v>47</v>
      </c>
      <c r="K54" s="191"/>
      <c r="L54" s="191" t="s">
        <v>78</v>
      </c>
      <c r="M54" s="191">
        <v>189</v>
      </c>
      <c r="N54" s="191">
        <v>80</v>
      </c>
      <c r="O54" s="119" t="str">
        <f>IF(B54&lt;&gt;0,CONCATENATE(E54+IFERROR(VLOOKUP(B54,$B$2:$N$36,4,FALSE),0) + X54, " OZ, ", H54+IFERROR(VLOOKUP(B54,$B$2:$N$36,9,FALSE),0) + Y54+Z54, " (", F54+IFERROR(VLOOKUP(B54,$B$2:$N$36,5,FALSE),0) + Y54, "+",G54+IFERROR(VLOOKUP(B54,$B$2:$N$36,8,FALSE),0) +  Z54, ")"), "")</f>
        <v>51 OZ, 14 (5+9)</v>
      </c>
      <c r="P54" s="112" t="str">
        <f>IF(M54&lt;&gt;0,CONCATENATE(M54,"/",N54),"")</f>
        <v>189/80</v>
      </c>
      <c r="Q54" s="192" t="s">
        <v>797</v>
      </c>
      <c r="R54" s="191">
        <v>2009</v>
      </c>
      <c r="S54" s="112" t="str">
        <f>IFERROR(CONCATENATE(E54+VLOOKUP(B54,$B$39:$R$42,4,FALSE), " OZ, ",G54+VLOOKUP(B54,$B$39:$R$42,13,FALSE), " A"),"")</f>
        <v/>
      </c>
      <c r="T54" s="1" t="str">
        <f>IF(B54&lt;&gt;0,IF(V54=1,U54,CONCATENATE(U54," ",W54,".")),"")</f>
        <v>Hatala</v>
      </c>
      <c r="U54" s="1" t="str">
        <f>IFERROR(RIGHT(B54,LEN(B54)-SEARCH(" ", B54,1)),"")</f>
        <v>Hatala</v>
      </c>
      <c r="V54" s="112">
        <f>IF(B54&lt;&gt;0,COUNTIF($U$48:$U$82,U54),"")</f>
        <v>1</v>
      </c>
      <c r="W54" s="112" t="str">
        <f>IFERROR(LEFT(LEFT(B54,SEARCH(" ",B54,1)),1),"")</f>
        <v>Š</v>
      </c>
      <c r="X54" s="139"/>
      <c r="Y54" s="139"/>
      <c r="Z54" s="139"/>
      <c r="AA54" s="138"/>
    </row>
    <row r="55" spans="2:27" ht="15" customHeight="1" x14ac:dyDescent="0.25">
      <c r="B55" s="186" t="s">
        <v>258</v>
      </c>
      <c r="C55" s="185">
        <v>33707</v>
      </c>
      <c r="D55" s="112">
        <f ca="1">IF(C55 &lt;&gt; 0,ROUNDDOWN(($A$47-C55)/365.25,0),"")</f>
        <v>28</v>
      </c>
      <c r="E55" s="191">
        <v>169</v>
      </c>
      <c r="F55" s="191">
        <v>65</v>
      </c>
      <c r="G55" s="191">
        <v>75</v>
      </c>
      <c r="H55" s="112">
        <f>IF(B55&lt;&gt;0,F55+G55,"")</f>
        <v>140</v>
      </c>
      <c r="I55" s="191">
        <v>10</v>
      </c>
      <c r="J55" s="191">
        <v>55</v>
      </c>
      <c r="K55" s="191"/>
      <c r="L55" s="191" t="s">
        <v>41</v>
      </c>
      <c r="M55" s="191">
        <v>182</v>
      </c>
      <c r="N55" s="191">
        <v>70</v>
      </c>
      <c r="O55" s="119" t="str">
        <f>IF(B55&lt;&gt;0,CONCATENATE(E55+IFERROR(VLOOKUP(B55,$B$2:$N$36,4,FALSE),0) + X55, " OZ, ", H55+IFERROR(VLOOKUP(B55,$B$2:$N$36,9,FALSE),0) + Y55+Z55, " (", F55+IFERROR(VLOOKUP(B55,$B$2:$N$36,5,FALSE),0) + Y55, "+",G55+IFERROR(VLOOKUP(B55,$B$2:$N$36,8,FALSE),0) +  Z55, ")"), "")</f>
        <v>190 OZ, 161 (77+84)</v>
      </c>
      <c r="P55" s="112" t="str">
        <f>IF(M55&lt;&gt;0,CONCATENATE(M55,"/",N55),"")</f>
        <v>182/70</v>
      </c>
      <c r="Q55" s="192" t="s">
        <v>672</v>
      </c>
      <c r="R55" s="191">
        <v>1999</v>
      </c>
      <c r="S55" s="112" t="str">
        <f>IFERROR(CONCATENATE(E55+VLOOKUP(B55,$B$39:$R$42,4,FALSE), " OZ, ",G55+VLOOKUP(B55,$B$39:$R$42,13,FALSE), " A"),"")</f>
        <v/>
      </c>
      <c r="T55" s="1" t="str">
        <f>IF(B55&lt;&gt;0,IF(V55=1,U55,CONCATENATE(U55," ",W55,".")),"")</f>
        <v>Hubálek</v>
      </c>
      <c r="U55" s="1" t="str">
        <f>IFERROR(RIGHT(B55,LEN(B55)-SEARCH(" ", B55,1)),"")</f>
        <v>Hubálek</v>
      </c>
      <c r="V55" s="112">
        <f>IF(B55&lt;&gt;0,COUNTIF($U$48:$U$82,U55),"")</f>
        <v>1</v>
      </c>
      <c r="W55" s="112" t="str">
        <f>IFERROR(LEFT(LEFT(B55,SEARCH(" ",B55,1)),1),"")</f>
        <v>J</v>
      </c>
      <c r="X55" s="139"/>
      <c r="Y55" s="139"/>
      <c r="Z55" s="139"/>
      <c r="AA55" s="138"/>
    </row>
    <row r="56" spans="2:27" ht="15" customHeight="1" x14ac:dyDescent="0.25">
      <c r="B56" s="186" t="s">
        <v>261</v>
      </c>
      <c r="C56" s="185">
        <v>37349</v>
      </c>
      <c r="D56" s="112">
        <f ca="1">IF(C56 &lt;&gt; 0,ROUNDDOWN(($A$47-C56)/365.25,0),"")</f>
        <v>18</v>
      </c>
      <c r="E56" s="191">
        <v>3</v>
      </c>
      <c r="F56" s="191">
        <v>0</v>
      </c>
      <c r="G56" s="191">
        <v>0</v>
      </c>
      <c r="H56" s="112">
        <f>IF(B56&lt;&gt;0,F56+G56,"")</f>
        <v>0</v>
      </c>
      <c r="I56" s="191">
        <v>2</v>
      </c>
      <c r="J56" s="191">
        <v>10</v>
      </c>
      <c r="K56" s="191"/>
      <c r="L56" s="191" t="s">
        <v>78</v>
      </c>
      <c r="M56" s="191">
        <v>178</v>
      </c>
      <c r="N56" s="191">
        <v>70</v>
      </c>
      <c r="O56" s="119" t="str">
        <f>IF(B56&lt;&gt;0,CONCATENATE(E56+IFERROR(VLOOKUP(B56,$B$2:$N$36,4,FALSE),0) + X56, " OZ, ", H56+IFERROR(VLOOKUP(B56,$B$2:$N$36,9,FALSE),0) + Y56+Z56, " (", F56+IFERROR(VLOOKUP(B56,$B$2:$N$36,5,FALSE),0) + Y56, "+",G56+IFERROR(VLOOKUP(B56,$B$2:$N$36,8,FALSE),0) +  Z56, ")"), "")</f>
        <v>17 OZ, 7 (4+3)</v>
      </c>
      <c r="P56" s="112" t="str">
        <f>IF(M56&lt;&gt;0,CONCATENATE(M56,"/",N56),"")</f>
        <v>178/70</v>
      </c>
      <c r="Q56" s="192" t="s">
        <v>206</v>
      </c>
      <c r="R56" s="191">
        <v>2008</v>
      </c>
      <c r="S56" s="112" t="str">
        <f>IFERROR(CONCATENATE(E56+VLOOKUP(B56,$B$39:$R$42,4,FALSE), " OZ, ",G56+VLOOKUP(B56,$B$39:$R$42,13,FALSE), " A"),"")</f>
        <v/>
      </c>
      <c r="T56" s="1" t="str">
        <f>IF(B56&lt;&gt;0,IF(V56=1,U56,CONCATENATE(U56," ",W56,".")),"")</f>
        <v>Choma</v>
      </c>
      <c r="U56" s="1" t="str">
        <f>IFERROR(RIGHT(B56,LEN(B56)-SEARCH(" ", B56,1)),"")</f>
        <v>Choma</v>
      </c>
      <c r="V56" s="112">
        <f>IF(B56&lt;&gt;0,COUNTIF($U$48:$U$82,U56),"")</f>
        <v>1</v>
      </c>
      <c r="W56" s="112" t="str">
        <f>IFERROR(LEFT(LEFT(B56,SEARCH(" ",B56,1)),1),"")</f>
        <v>A</v>
      </c>
      <c r="X56" s="139"/>
      <c r="Y56" s="139"/>
      <c r="Z56" s="139"/>
      <c r="AA56" s="138"/>
    </row>
    <row r="57" spans="2:27" ht="15" customHeight="1" x14ac:dyDescent="0.25">
      <c r="B57" s="186" t="s">
        <v>263</v>
      </c>
      <c r="C57" s="185">
        <v>37536</v>
      </c>
      <c r="D57" s="112">
        <f ca="1">IF(C57 &lt;&gt; 0,ROUNDDOWN(($A$47-C57)/365.25,0),"")</f>
        <v>18</v>
      </c>
      <c r="E57" s="191">
        <v>0</v>
      </c>
      <c r="F57" s="191">
        <v>0</v>
      </c>
      <c r="G57" s="191">
        <v>0</v>
      </c>
      <c r="H57" s="112">
        <f>IF(B57&lt;&gt;0,F57+G57,"")</f>
        <v>0</v>
      </c>
      <c r="I57" s="191">
        <v>1</v>
      </c>
      <c r="J57" s="191">
        <v>6</v>
      </c>
      <c r="K57" s="191"/>
      <c r="L57" s="191" t="s">
        <v>78</v>
      </c>
      <c r="M57" s="191">
        <v>193</v>
      </c>
      <c r="N57" s="191">
        <v>89</v>
      </c>
      <c r="O57" s="119" t="str">
        <f>IF(B57&lt;&gt;0,CONCATENATE(E57+IFERROR(VLOOKUP(B57,$B$2:$N$36,4,FALSE),0) + X57, " OZ, ", H57+IFERROR(VLOOKUP(B57,$B$2:$N$36,9,FALSE),0) + Y57+Z57, " (", F57+IFERROR(VLOOKUP(B57,$B$2:$N$36,5,FALSE),0) + Y57, "+",G57+IFERROR(VLOOKUP(B57,$B$2:$N$36,8,FALSE),0) +  Z57, ")"), "")</f>
        <v>8 OZ, 3 (2+1)</v>
      </c>
      <c r="P57" s="112" t="str">
        <f>IF(M57&lt;&gt;0,CONCATENATE(M57,"/",N57),"")</f>
        <v>193/89</v>
      </c>
      <c r="Q57" s="192" t="s">
        <v>798</v>
      </c>
      <c r="R57" s="191" t="s">
        <v>30</v>
      </c>
      <c r="S57" s="112" t="str">
        <f>IFERROR(CONCATENATE(E57+VLOOKUP(B57,$B$39:$R$42,4,FALSE), " OZ, ",G57+VLOOKUP(B57,$B$39:$R$42,13,FALSE), " A"),"")</f>
        <v/>
      </c>
      <c r="T57" s="1" t="str">
        <f>IF(B57&lt;&gt;0,IF(V57=1,U57,CONCATENATE(U57," ",W57,".")),"")</f>
        <v>Janis Anis</v>
      </c>
      <c r="U57" s="1" t="str">
        <f>IFERROR(RIGHT(B57,LEN(B57)-SEARCH(" ", B57,1)),"")</f>
        <v>Janis Anis</v>
      </c>
      <c r="V57" s="112">
        <f>IF(B57&lt;&gt;0,COUNTIF($U$48:$U$82,U57),"")</f>
        <v>1</v>
      </c>
      <c r="W57" s="112" t="str">
        <f>IFERROR(LEFT(LEFT(B57,SEARCH(" ",B57,1)),1),"")</f>
        <v>D</v>
      </c>
      <c r="X57" s="139"/>
      <c r="Y57" s="139"/>
      <c r="Z57" s="139"/>
      <c r="AA57" s="138"/>
    </row>
    <row r="58" spans="2:27" ht="15" customHeight="1" x14ac:dyDescent="0.25">
      <c r="B58" s="186" t="s">
        <v>272</v>
      </c>
      <c r="C58" s="185">
        <v>36522</v>
      </c>
      <c r="D58" s="112">
        <f ca="1">IF(C58 &lt;&gt; 0,ROUNDDOWN(($A$47-C58)/365.25,0),"")</f>
        <v>21</v>
      </c>
      <c r="E58" s="191">
        <v>0</v>
      </c>
      <c r="F58" s="191">
        <v>0</v>
      </c>
      <c r="G58" s="191">
        <v>0</v>
      </c>
      <c r="H58" s="112">
        <f>IF(B58&lt;&gt;0,F58+G58,"")</f>
        <v>0</v>
      </c>
      <c r="I58" s="191">
        <v>1</v>
      </c>
      <c r="J58" s="191">
        <v>24</v>
      </c>
      <c r="K58" s="191"/>
      <c r="L58" s="191" t="s">
        <v>30</v>
      </c>
      <c r="M58" s="191">
        <v>186</v>
      </c>
      <c r="N58" s="191">
        <v>89</v>
      </c>
      <c r="O58" s="119" t="str">
        <f>IF(B58&lt;&gt;0,CONCATENATE(E58+IFERROR(VLOOKUP(B58,$B$2:$N$36,4,FALSE),0) + X58, " OZ, ", H58+IFERROR(VLOOKUP(B58,$B$2:$N$36,9,FALSE),0) + Y58+Z58, " (", F58+IFERROR(VLOOKUP(B58,$B$2:$N$36,5,FALSE),0) + Y58, "+",G58+IFERROR(VLOOKUP(B58,$B$2:$N$36,8,FALSE),0) +  Z58, ")"), "")</f>
        <v>0 OZ, 1 (0+1)</v>
      </c>
      <c r="P58" s="112" t="str">
        <f>IF(M58&lt;&gt;0,CONCATENATE(M58,"/",N58),"")</f>
        <v>186/89</v>
      </c>
      <c r="Q58" s="192" t="s">
        <v>799</v>
      </c>
      <c r="R58" s="191">
        <v>2011</v>
      </c>
      <c r="S58" s="112" t="str">
        <f>IFERROR(CONCATENATE(E58+VLOOKUP(B58,$B$39:$R$42,4,FALSE), " OZ, ",G58+VLOOKUP(B58,$B$39:$R$42,13,FALSE), " A"),"")</f>
        <v>6 OZ, 1 A</v>
      </c>
      <c r="T58" s="1" t="str">
        <f>IF(B58&lt;&gt;0,IF(V58=1,U58,CONCATENATE(U58," ",W58,".")),"")</f>
        <v>Jasiok</v>
      </c>
      <c r="U58" s="1" t="str">
        <f>IFERROR(RIGHT(B58,LEN(B58)-SEARCH(" ", B58,1)),"")</f>
        <v>Jasiok</v>
      </c>
      <c r="V58" s="112">
        <f>IF(B58&lt;&gt;0,COUNTIF($U$48:$U$82,U58),"")</f>
        <v>1</v>
      </c>
      <c r="W58" s="112" t="str">
        <f>IFERROR(LEFT(LEFT(B58,SEARCH(" ",B58,1)),1),"")</f>
        <v>D</v>
      </c>
      <c r="X58" s="139"/>
      <c r="Y58" s="139"/>
      <c r="Z58" s="139"/>
      <c r="AA58" s="138"/>
    </row>
    <row r="59" spans="2:27" ht="15" customHeight="1" x14ac:dyDescent="0.25">
      <c r="B59" s="186" t="s">
        <v>270</v>
      </c>
      <c r="C59" s="185">
        <v>33095</v>
      </c>
      <c r="D59" s="112">
        <f ca="1">IF(C59 &lt;&gt; 0,ROUNDDOWN(($A$47-C59)/365.25,0),"")</f>
        <v>30</v>
      </c>
      <c r="E59" s="191">
        <v>185</v>
      </c>
      <c r="F59" s="191">
        <v>64</v>
      </c>
      <c r="G59" s="191">
        <v>75</v>
      </c>
      <c r="H59" s="112">
        <f>IF(B59&lt;&gt;0,F59+G59,"")</f>
        <v>139</v>
      </c>
      <c r="I59" s="191">
        <v>11</v>
      </c>
      <c r="J59" s="191">
        <v>71</v>
      </c>
      <c r="K59" s="191"/>
      <c r="L59" s="191" t="s">
        <v>41</v>
      </c>
      <c r="M59" s="191">
        <v>190</v>
      </c>
      <c r="N59" s="191">
        <v>82</v>
      </c>
      <c r="O59" s="119" t="str">
        <f>IF(B59&lt;&gt;0,CONCATENATE(E59+IFERROR(VLOOKUP(B59,$B$2:$N$36,4,FALSE),0) + X59, " OZ, ", H59+IFERROR(VLOOKUP(B59,$B$2:$N$36,9,FALSE),0) + Y59+Z59, " (", F59+IFERROR(VLOOKUP(B59,$B$2:$N$36,5,FALSE),0) + Y59, "+",G59+IFERROR(VLOOKUP(B59,$B$2:$N$36,8,FALSE),0) +  Z59, ")"), "")</f>
        <v>187 OZ, 139 (64+75)</v>
      </c>
      <c r="P59" s="112" t="str">
        <f>IF(M59&lt;&gt;0,CONCATENATE(M59,"/",N59),"")</f>
        <v>190/82</v>
      </c>
      <c r="Q59" s="192" t="s">
        <v>800</v>
      </c>
      <c r="R59" s="191">
        <v>2000</v>
      </c>
      <c r="S59" s="112" t="str">
        <f>IFERROR(CONCATENATE(E59+VLOOKUP(B59,$B$39:$R$42,4,FALSE), " OZ, ",G59+VLOOKUP(B59,$B$39:$R$42,13,FALSE), " A"),"")</f>
        <v/>
      </c>
      <c r="T59" s="1" t="str">
        <f>IF(B59&lt;&gt;0,IF(V59=1,U59,CONCATENATE(U59," ",W59,".")),"")</f>
        <v>Jastřembský</v>
      </c>
      <c r="U59" s="1" t="str">
        <f>IFERROR(RIGHT(B59,LEN(B59)-SEARCH(" ", B59,1)),"")</f>
        <v>Jastřembský</v>
      </c>
      <c r="V59" s="112">
        <f>IF(B59&lt;&gt;0,COUNTIF($U$48:$U$82,U59),"")</f>
        <v>1</v>
      </c>
      <c r="W59" s="112" t="str">
        <f>IFERROR(LEFT(LEFT(B59,SEARCH(" ",B59,1)),1),"")</f>
        <v>J</v>
      </c>
      <c r="X59" s="139"/>
      <c r="Y59" s="139"/>
      <c r="Z59" s="139"/>
      <c r="AA59" s="138"/>
    </row>
    <row r="60" spans="2:27" ht="15" customHeight="1" x14ac:dyDescent="0.25">
      <c r="B60" s="186" t="s">
        <v>267</v>
      </c>
      <c r="C60" s="185">
        <v>37275</v>
      </c>
      <c r="D60" s="112">
        <f ca="1">IF(C60 &lt;&gt; 0,ROUNDDOWN(($A$47-C60)/365.25,0),"")</f>
        <v>19</v>
      </c>
      <c r="E60" s="191">
        <v>1</v>
      </c>
      <c r="F60" s="191">
        <v>0</v>
      </c>
      <c r="G60" s="191">
        <v>0</v>
      </c>
      <c r="H60" s="112">
        <f>IF(B60&lt;&gt;0,F60+G60,"")</f>
        <v>0</v>
      </c>
      <c r="I60" s="191">
        <v>2</v>
      </c>
      <c r="J60" s="191">
        <v>92</v>
      </c>
      <c r="K60" s="191"/>
      <c r="L60" s="191" t="s">
        <v>41</v>
      </c>
      <c r="M60" s="191">
        <v>184</v>
      </c>
      <c r="N60" s="191">
        <v>69</v>
      </c>
      <c r="O60" s="119" t="str">
        <f>IF(B60&lt;&gt;0,CONCATENATE(E60+IFERROR(VLOOKUP(B60,$B$2:$N$36,4,FALSE),0) + X60, " OZ, ", H60+IFERROR(VLOOKUP(B60,$B$2:$N$36,9,FALSE),0) + Y60+Z60, " (", F60+IFERROR(VLOOKUP(B60,$B$2:$N$36,5,FALSE),0) + Y60, "+",G60+IFERROR(VLOOKUP(B60,$B$2:$N$36,8,FALSE),0) +  Z60, ")"), "")</f>
        <v>19 OZ, 4 (3+1)</v>
      </c>
      <c r="P60" s="112" t="str">
        <f>IF(M60&lt;&gt;0,CONCATENATE(M60,"/",N60),"")</f>
        <v>184/69</v>
      </c>
      <c r="Q60" s="192" t="s">
        <v>801</v>
      </c>
      <c r="R60" s="191">
        <v>2010</v>
      </c>
      <c r="S60" s="112" t="str">
        <f>IFERROR(CONCATENATE(E60+VLOOKUP(B60,$B$39:$R$42,4,FALSE), " OZ, ",G60+VLOOKUP(B60,$B$39:$R$42,13,FALSE), " A"),"")</f>
        <v/>
      </c>
      <c r="T60" s="1" t="str">
        <f>IF(B60&lt;&gt;0,IF(V60=1,U60,CONCATENATE(U60," ",W60,".")),"")</f>
        <v>Kaleta</v>
      </c>
      <c r="U60" s="1" t="str">
        <f>IFERROR(RIGHT(B60,LEN(B60)-SEARCH(" ", B60,1)),"")</f>
        <v>Kaleta</v>
      </c>
      <c r="V60" s="112">
        <f>IF(B60&lt;&gt;0,COUNTIF($U$48:$U$82,U60),"")</f>
        <v>1</v>
      </c>
      <c r="W60" s="112" t="str">
        <f>IFERROR(LEFT(LEFT(B60,SEARCH(" ",B60,1)),1),"")</f>
        <v>Š</v>
      </c>
      <c r="X60" s="139"/>
      <c r="Y60" s="139"/>
      <c r="Z60" s="139"/>
      <c r="AA60" s="138"/>
    </row>
    <row r="61" spans="2:27" ht="15" customHeight="1" x14ac:dyDescent="0.25">
      <c r="B61" s="186" t="s">
        <v>259</v>
      </c>
      <c r="C61" s="185">
        <v>36436</v>
      </c>
      <c r="D61" s="112">
        <f ca="1">IF(C61 &lt;&gt; 0,ROUNDDOWN(($A$47-C61)/365.25,0),"")</f>
        <v>21</v>
      </c>
      <c r="E61" s="191">
        <v>78</v>
      </c>
      <c r="F61" s="191">
        <v>24</v>
      </c>
      <c r="G61" s="191">
        <v>36</v>
      </c>
      <c r="H61" s="112">
        <f>IF(B61&lt;&gt;0,F61+G61,"")</f>
        <v>60</v>
      </c>
      <c r="I61" s="191">
        <v>5</v>
      </c>
      <c r="J61" s="191">
        <v>7</v>
      </c>
      <c r="K61" s="191"/>
      <c r="L61" s="191" t="s">
        <v>41</v>
      </c>
      <c r="M61" s="191">
        <v>175</v>
      </c>
      <c r="N61" s="191">
        <v>65</v>
      </c>
      <c r="O61" s="119" t="str">
        <f>IF(B61&lt;&gt;0,CONCATENATE(E61+IFERROR(VLOOKUP(B61,$B$2:$N$36,4,FALSE),0) + X61, " OZ, ", H61+IFERROR(VLOOKUP(B61,$B$2:$N$36,9,FALSE),0) + Y61+Z61, " (", F61+IFERROR(VLOOKUP(B61,$B$2:$N$36,5,FALSE),0) + Y61, "+",G61+IFERROR(VLOOKUP(B61,$B$2:$N$36,8,FALSE),0) +  Z61, ")"), "")</f>
        <v>100 OZ, 70 (28+42)</v>
      </c>
      <c r="P61" s="112" t="str">
        <f>IF(M61&lt;&gt;0,CONCATENATE(M61,"/",N61),"")</f>
        <v>175/65</v>
      </c>
      <c r="Q61" s="192" t="s">
        <v>802</v>
      </c>
      <c r="R61" s="191">
        <v>2011</v>
      </c>
      <c r="S61" s="112" t="str">
        <f>IFERROR(CONCATENATE(E61+VLOOKUP(B61,$B$39:$R$42,4,FALSE), " OZ, ",G61+VLOOKUP(B61,$B$39:$R$42,13,FALSE), " A"),"")</f>
        <v/>
      </c>
      <c r="T61" s="1" t="str">
        <f>IF(B61&lt;&gt;0,IF(V61=1,U61,CONCATENATE(U61," ",W61,".")),"")</f>
        <v>Kuczera</v>
      </c>
      <c r="U61" s="1" t="str">
        <f>IFERROR(RIGHT(B61,LEN(B61)-SEARCH(" ", B61,1)),"")</f>
        <v>Kuczera</v>
      </c>
      <c r="V61" s="112">
        <f>IF(B61&lt;&gt;0,COUNTIF($U$48:$U$82,U61),"")</f>
        <v>1</v>
      </c>
      <c r="W61" s="112" t="str">
        <f>IFERROR(LEFT(LEFT(B61,SEARCH(" ",B61,1)),1),"")</f>
        <v>Š</v>
      </c>
      <c r="X61" s="139"/>
      <c r="Y61" s="139"/>
      <c r="Z61" s="139"/>
      <c r="AA61" s="138"/>
    </row>
    <row r="62" spans="2:27" ht="15" customHeight="1" x14ac:dyDescent="0.25">
      <c r="B62" s="186" t="s">
        <v>626</v>
      </c>
      <c r="C62" s="185"/>
      <c r="D62" s="112" t="str">
        <f>IF(C62 &lt;&gt; 0,ROUNDDOWN(($A$47-C62)/365.25,0),"")</f>
        <v/>
      </c>
      <c r="E62" s="191"/>
      <c r="F62" s="191"/>
      <c r="G62" s="191"/>
      <c r="H62" s="112">
        <f>IF(B62&lt;&gt;0,F62+G62,"")</f>
        <v>0</v>
      </c>
      <c r="I62" s="191"/>
      <c r="J62" s="191"/>
      <c r="K62" s="191"/>
      <c r="L62" s="191"/>
      <c r="M62" s="191"/>
      <c r="N62" s="191"/>
      <c r="O62" s="119" t="str">
        <f>IF(B62&lt;&gt;0,CONCATENATE(E62+IFERROR(VLOOKUP(B62,$B$2:$N$36,4,FALSE),0) + X62, " OZ, ", H62+IFERROR(VLOOKUP(B62,$B$2:$N$36,9,FALSE),0) + Y62+Z62, " (", F62+IFERROR(VLOOKUP(B62,$B$2:$N$36,5,FALSE),0) + Y62, "+",G62+IFERROR(VLOOKUP(B62,$B$2:$N$36,8,FALSE),0) +  Z62, ")"), "")</f>
        <v>6 OZ, 4 (1+3)</v>
      </c>
      <c r="P62" s="112" t="str">
        <f>IF(M62&lt;&gt;0,CONCATENATE(M62,"/",N62),"")</f>
        <v/>
      </c>
      <c r="Q62" s="192" t="s">
        <v>30</v>
      </c>
      <c r="R62" s="191" t="s">
        <v>30</v>
      </c>
      <c r="S62" s="112" t="str">
        <f>IFERROR(CONCATENATE(E62+VLOOKUP(B62,$B$39:$R$42,4,FALSE), " OZ, ",G62+VLOOKUP(B62,$B$39:$R$42,13,FALSE), " A"),"")</f>
        <v/>
      </c>
      <c r="T62" s="1" t="str">
        <f>IF(B62&lt;&gt;0,IF(V62=1,U62,CONCATENATE(U62," ",W62,".")),"")</f>
        <v>Kvasnica</v>
      </c>
      <c r="U62" s="1" t="str">
        <f>IFERROR(RIGHT(B62,LEN(B62)-SEARCH(" ", B62,1)),"")</f>
        <v>Kvasnica</v>
      </c>
      <c r="V62" s="112">
        <f>IF(B62&lt;&gt;0,COUNTIF($U$48:$U$82,U62),"")</f>
        <v>1</v>
      </c>
      <c r="W62" s="112" t="str">
        <f>IFERROR(LEFT(LEFT(B62,SEARCH(" ",B62,1)),1),"")</f>
        <v>T</v>
      </c>
      <c r="X62" s="139"/>
      <c r="Y62" s="139"/>
      <c r="Z62" s="139"/>
      <c r="AA62" s="138"/>
    </row>
    <row r="63" spans="2:27" ht="15" customHeight="1" x14ac:dyDescent="0.25">
      <c r="B63" s="186" t="s">
        <v>912</v>
      </c>
      <c r="C63" s="185"/>
      <c r="D63" s="112" t="str">
        <f>IF(C63 &lt;&gt; 0,ROUNDDOWN(($A$47-C63)/365.25,0),"")</f>
        <v/>
      </c>
      <c r="E63" s="191"/>
      <c r="F63" s="191"/>
      <c r="G63" s="191"/>
      <c r="H63" s="112">
        <f>IF(B63&lt;&gt;0,F63+G63,"")</f>
        <v>0</v>
      </c>
      <c r="I63" s="191"/>
      <c r="J63" s="191"/>
      <c r="K63" s="191"/>
      <c r="L63" s="191"/>
      <c r="M63" s="191"/>
      <c r="N63" s="191"/>
      <c r="O63" s="119" t="str">
        <f>IF(B63&lt;&gt;0,CONCATENATE(E63+IFERROR(VLOOKUP(B63,$B$2:$N$36,4,FALSE),0) + X63, " OZ, ", H63+IFERROR(VLOOKUP(B63,$B$2:$N$36,9,FALSE),0) + Y63+Z63, " (", F63+IFERROR(VLOOKUP(B63,$B$2:$N$36,5,FALSE),0) + Y63, "+",G63+IFERROR(VLOOKUP(B63,$B$2:$N$36,8,FALSE),0) +  Z63, ")"), "")</f>
        <v>0 OZ, 0 (0+0)</v>
      </c>
      <c r="P63" s="112" t="str">
        <f>IF(M63&lt;&gt;0,CONCATENATE(M63,"/",N63),"")</f>
        <v/>
      </c>
      <c r="Q63" s="192"/>
      <c r="R63" s="191"/>
      <c r="S63" s="112" t="str">
        <f>IFERROR(CONCATENATE(E63+VLOOKUP(B63,$B$39:$R$42,4,FALSE), " OZ, ",G63+VLOOKUP(B63,$B$39:$R$42,13,FALSE), " A"),"")</f>
        <v>1 OZ, 0 A</v>
      </c>
      <c r="T63" s="1" t="str">
        <f>IF(B63&lt;&gt;0,IF(V63=1,U63,CONCATENATE(U63," ",W63,".")),"")</f>
        <v>Maláč</v>
      </c>
      <c r="U63" s="1" t="str">
        <f>IFERROR(RIGHT(B63,LEN(B63)-SEARCH(" ", B63,1)),"")</f>
        <v>Maláč</v>
      </c>
      <c r="V63" s="112">
        <f>IF(B63&lt;&gt;0,COUNTIF($U$48:$U$82,U63),"")</f>
        <v>1</v>
      </c>
      <c r="W63" s="112" t="str">
        <f>IFERROR(LEFT(LEFT(B63,SEARCH(" ",B63,1)),1),"")</f>
        <v>P</v>
      </c>
      <c r="X63" s="139"/>
      <c r="Y63" s="139"/>
      <c r="Z63" s="139"/>
      <c r="AA63" s="138"/>
    </row>
    <row r="64" spans="2:27" ht="15" customHeight="1" x14ac:dyDescent="0.25">
      <c r="B64" s="186" t="s">
        <v>253</v>
      </c>
      <c r="C64" s="185">
        <v>34289</v>
      </c>
      <c r="D64" s="112">
        <f ca="1">IF(C64 &lt;&gt; 0,ROUNDDOWN(($A$47-C64)/365.25,0),"")</f>
        <v>27</v>
      </c>
      <c r="E64" s="191">
        <v>179</v>
      </c>
      <c r="F64" s="191">
        <v>106</v>
      </c>
      <c r="G64" s="191">
        <v>83</v>
      </c>
      <c r="H64" s="112">
        <f>IF(B64&lt;&gt;0,F64+G64,"")</f>
        <v>189</v>
      </c>
      <c r="I64" s="191">
        <v>11</v>
      </c>
      <c r="J64" s="191">
        <v>86</v>
      </c>
      <c r="K64" s="191"/>
      <c r="L64" s="191" t="s">
        <v>78</v>
      </c>
      <c r="M64" s="191">
        <v>168</v>
      </c>
      <c r="N64" s="191">
        <v>69</v>
      </c>
      <c r="O64" s="119" t="str">
        <f>IF(B64&lt;&gt;0,CONCATENATE(E64+IFERROR(VLOOKUP(B64,$B$2:$N$36,4,FALSE),0) + X64, " OZ, ", H64+IFERROR(VLOOKUP(B64,$B$2:$N$36,9,FALSE),0) + Y64+Z64, " (", F64+IFERROR(VLOOKUP(B64,$B$2:$N$36,5,FALSE),0) + Y64, "+",G64+IFERROR(VLOOKUP(B64,$B$2:$N$36,8,FALSE),0) +  Z64, ")"), "")</f>
        <v>205 OZ, 231 (122+109)</v>
      </c>
      <c r="P64" s="112" t="str">
        <f>IF(M64&lt;&gt;0,CONCATENATE(M64,"/",N64),"")</f>
        <v>168/69</v>
      </c>
      <c r="Q64" s="192" t="s">
        <v>672</v>
      </c>
      <c r="R64" s="191">
        <v>2006</v>
      </c>
      <c r="S64" s="112" t="str">
        <f>IFERROR(CONCATENATE(E64+VLOOKUP(B64,$B$39:$R$42,4,FALSE), " OZ, ",G64+VLOOKUP(B64,$B$39:$R$42,13,FALSE), " A"),"")</f>
        <v/>
      </c>
      <c r="T64" s="1" t="str">
        <f>IF(B64&lt;&gt;0,IF(V64=1,U64,CONCATENATE(U64," ",W64,".")),"")</f>
        <v>Matejčík</v>
      </c>
      <c r="U64" s="1" t="str">
        <f>IFERROR(RIGHT(B64,LEN(B64)-SEARCH(" ", B64,1)),"")</f>
        <v>Matejčík</v>
      </c>
      <c r="V64" s="112">
        <f>IF(B64&lt;&gt;0,COUNTIF($U$48:$U$82,U64),"")</f>
        <v>1</v>
      </c>
      <c r="W64" s="112" t="str">
        <f>IFERROR(LEFT(LEFT(B64,SEARCH(" ",B64,1)),1),"")</f>
        <v>M</v>
      </c>
      <c r="X64" s="139"/>
      <c r="Y64" s="139"/>
      <c r="Z64" s="139"/>
      <c r="AA64" s="138"/>
    </row>
    <row r="65" spans="2:27" ht="15" customHeight="1" x14ac:dyDescent="0.25">
      <c r="B65" s="186" t="s">
        <v>627</v>
      </c>
      <c r="C65" s="185"/>
      <c r="D65" s="112" t="str">
        <f>IF(C65 &lt;&gt; 0,ROUNDDOWN(($A$47-C65)/365.25,0),"")</f>
        <v/>
      </c>
      <c r="E65" s="191"/>
      <c r="F65" s="191"/>
      <c r="G65" s="191"/>
      <c r="H65" s="112">
        <f>IF(B65&lt;&gt;0,F65+G65,"")</f>
        <v>0</v>
      </c>
      <c r="I65" s="191"/>
      <c r="J65" s="191">
        <v>89</v>
      </c>
      <c r="K65" s="191"/>
      <c r="L65" s="191"/>
      <c r="M65" s="191"/>
      <c r="N65" s="191"/>
      <c r="O65" s="119" t="str">
        <f>IF(B65&lt;&gt;0,CONCATENATE(E65+IFERROR(VLOOKUP(B65,$B$2:$N$36,4,FALSE),0) + X65, " OZ, ", H65+IFERROR(VLOOKUP(B65,$B$2:$N$36,9,FALSE),0) + Y65+Z65, " (", F65+IFERROR(VLOOKUP(B65,$B$2:$N$36,5,FALSE),0) + Y65, "+",G65+IFERROR(VLOOKUP(B65,$B$2:$N$36,8,FALSE),0) +  Z65, ")"), "")</f>
        <v>5 OZ, 2 (2+0)</v>
      </c>
      <c r="P65" s="112" t="str">
        <f>IF(M65&lt;&gt;0,CONCATENATE(M65,"/",N65),"")</f>
        <v/>
      </c>
      <c r="Q65" s="192" t="s">
        <v>30</v>
      </c>
      <c r="R65" s="191" t="s">
        <v>30</v>
      </c>
      <c r="S65" s="112" t="str">
        <f>IFERROR(CONCATENATE(E65+VLOOKUP(B65,$B$39:$R$42,4,FALSE), " OZ, ",G65+VLOOKUP(B65,$B$39:$R$42,13,FALSE), " A"),"")</f>
        <v/>
      </c>
      <c r="T65" s="1" t="str">
        <f>IF(B65&lt;&gt;0,IF(V65=1,U65,CONCATENATE(U65," ",W65,".")),"")</f>
        <v>Mirt</v>
      </c>
      <c r="U65" s="1" t="str">
        <f>IFERROR(RIGHT(B65,LEN(B65)-SEARCH(" ", B65,1)),"")</f>
        <v>Mirt</v>
      </c>
      <c r="V65" s="112">
        <f>IF(B65&lt;&gt;0,COUNTIF($U$48:$U$82,U65),"")</f>
        <v>1</v>
      </c>
      <c r="W65" s="112" t="str">
        <f>IFERROR(LEFT(LEFT(B65,SEARCH(" ",B65,1)),1),"")</f>
        <v>L</v>
      </c>
      <c r="X65" s="139"/>
      <c r="Y65" s="139"/>
      <c r="Z65" s="139"/>
      <c r="AA65" s="138"/>
    </row>
    <row r="66" spans="2:27" ht="15" customHeight="1" x14ac:dyDescent="0.25">
      <c r="B66" s="186" t="s">
        <v>262</v>
      </c>
      <c r="C66" s="185">
        <v>33949</v>
      </c>
      <c r="D66" s="112">
        <f ca="1">IF(C66 &lt;&gt; 0,ROUNDDOWN(($A$47-C66)/365.25,0),"")</f>
        <v>28</v>
      </c>
      <c r="E66" s="191">
        <v>114</v>
      </c>
      <c r="F66" s="191">
        <v>10</v>
      </c>
      <c r="G66" s="191">
        <v>21</v>
      </c>
      <c r="H66" s="112">
        <f>IF(B66&lt;&gt;0,F66+G66,"")</f>
        <v>31</v>
      </c>
      <c r="I66" s="191">
        <v>7</v>
      </c>
      <c r="J66" s="191">
        <v>23</v>
      </c>
      <c r="K66" s="191"/>
      <c r="L66" s="191" t="s">
        <v>78</v>
      </c>
      <c r="M66" s="191">
        <v>179</v>
      </c>
      <c r="N66" s="191">
        <v>69</v>
      </c>
      <c r="O66" s="119" t="str">
        <f>IF(B66&lt;&gt;0,CONCATENATE(E66+IFERROR(VLOOKUP(B66,$B$2:$N$36,4,FALSE),0) + X66, " OZ, ", H66+IFERROR(VLOOKUP(B66,$B$2:$N$36,9,FALSE),0) + Y66+Z66, " (", F66+IFERROR(VLOOKUP(B66,$B$2:$N$36,5,FALSE),0) + Y66, "+",G66+IFERROR(VLOOKUP(B66,$B$2:$N$36,8,FALSE),0) +  Z66, ")"), "")</f>
        <v>139 OZ, 40 (10+30)</v>
      </c>
      <c r="P66" s="112" t="str">
        <f>IF(M66&lt;&gt;0,CONCATENATE(M66,"/",N66),"")</f>
        <v>179/69</v>
      </c>
      <c r="Q66" s="192" t="s">
        <v>803</v>
      </c>
      <c r="R66" s="191">
        <v>2008</v>
      </c>
      <c r="S66" s="112" t="str">
        <f>IFERROR(CONCATENATE(E66+VLOOKUP(B66,$B$39:$R$42,4,FALSE), " OZ, ",G66+VLOOKUP(B66,$B$39:$R$42,13,FALSE), " A"),"")</f>
        <v/>
      </c>
      <c r="T66" s="1" t="str">
        <f>IF(B66&lt;&gt;0,IF(V66=1,U66,CONCATENATE(U66," ",W66,".")),"")</f>
        <v>Nehera</v>
      </c>
      <c r="U66" s="1" t="str">
        <f>IFERROR(RIGHT(B66,LEN(B66)-SEARCH(" ", B66,1)),"")</f>
        <v>Nehera</v>
      </c>
      <c r="V66" s="112">
        <f>IF(B66&lt;&gt;0,COUNTIF($U$48:$U$82,U66),"")</f>
        <v>1</v>
      </c>
      <c r="W66" s="112" t="str">
        <f>IFERROR(LEFT(LEFT(B66,SEARCH(" ",B66,1)),1),"")</f>
        <v>M</v>
      </c>
      <c r="X66" s="139"/>
      <c r="Y66" s="139"/>
      <c r="Z66" s="139"/>
      <c r="AA66" s="138"/>
    </row>
    <row r="67" spans="2:27" ht="15" customHeight="1" x14ac:dyDescent="0.25">
      <c r="B67" s="186" t="s">
        <v>257</v>
      </c>
      <c r="C67" s="185">
        <v>37063</v>
      </c>
      <c r="D67" s="112">
        <f ca="1">IF(C67 &lt;&gt; 0,ROUNDDOWN(($A$47-C67)/365.25,0),"")</f>
        <v>19</v>
      </c>
      <c r="E67" s="191">
        <v>16</v>
      </c>
      <c r="F67" s="191">
        <v>8</v>
      </c>
      <c r="G67" s="191">
        <v>1</v>
      </c>
      <c r="H67" s="112">
        <f>IF(B67&lt;&gt;0,F67+G67,"")</f>
        <v>9</v>
      </c>
      <c r="I67" s="191">
        <v>2</v>
      </c>
      <c r="J67" s="191">
        <v>18</v>
      </c>
      <c r="K67" s="191"/>
      <c r="L67" s="191" t="s">
        <v>78</v>
      </c>
      <c r="M67" s="191">
        <v>186</v>
      </c>
      <c r="N67" s="191">
        <v>70</v>
      </c>
      <c r="O67" s="119" t="str">
        <f>IF(B67&lt;&gt;0,CONCATENATE(E67+IFERROR(VLOOKUP(B67,$B$2:$N$36,4,FALSE),0) + X67, " OZ, ", H67+IFERROR(VLOOKUP(B67,$B$2:$N$36,9,FALSE),0) + Y67+Z67, " (", F67+IFERROR(VLOOKUP(B67,$B$2:$N$36,5,FALSE),0) + Y67, "+",G67+IFERROR(VLOOKUP(B67,$B$2:$N$36,8,FALSE),0) +  Z67, ")"), "")</f>
        <v>42 OZ, 32 (19+13)</v>
      </c>
      <c r="P67" s="112" t="str">
        <f>IF(M67&lt;&gt;0,CONCATENATE(M67,"/",N67),"")</f>
        <v>186/70</v>
      </c>
      <c r="Q67" s="192" t="s">
        <v>804</v>
      </c>
      <c r="R67" s="191">
        <v>2009</v>
      </c>
      <c r="S67" s="112" t="str">
        <f>IFERROR(CONCATENATE(E67+VLOOKUP(B67,$B$39:$R$42,4,FALSE), " OZ, ",G67+VLOOKUP(B67,$B$39:$R$42,13,FALSE), " A"),"")</f>
        <v/>
      </c>
      <c r="T67" s="1" t="str">
        <f>IF(B67&lt;&gt;0,IF(V67=1,U67,CONCATENATE(U67," ",W67,".")),"")</f>
        <v>Sidunov</v>
      </c>
      <c r="U67" s="1" t="str">
        <f>IFERROR(RIGHT(B67,LEN(B67)-SEARCH(" ", B67,1)),"")</f>
        <v>Sidunov</v>
      </c>
      <c r="V67" s="112">
        <f>IF(B67&lt;&gt;0,COUNTIF($U$48:$U$82,U67),"")</f>
        <v>1</v>
      </c>
      <c r="W67" s="112" t="str">
        <f>IFERROR(LEFT(LEFT(B67,SEARCH(" ",B67,1)),1),"")</f>
        <v>O</v>
      </c>
      <c r="X67" s="139"/>
      <c r="Y67" s="139"/>
      <c r="Z67" s="139"/>
      <c r="AA67" s="138"/>
    </row>
    <row r="68" spans="2:27" ht="15" customHeight="1" x14ac:dyDescent="0.25">
      <c r="B68" s="186" t="s">
        <v>260</v>
      </c>
      <c r="C68" s="185">
        <v>31633</v>
      </c>
      <c r="D68" s="112">
        <f ca="1">IF(C68 &lt;&gt; 0,ROUNDDOWN(($A$47-C68)/365.25,0),"")</f>
        <v>34</v>
      </c>
      <c r="E68" s="191">
        <v>141</v>
      </c>
      <c r="F68" s="191">
        <v>87</v>
      </c>
      <c r="G68" s="191">
        <v>58</v>
      </c>
      <c r="H68" s="112">
        <f>IF(B68&lt;&gt;0,F68+G68,"")</f>
        <v>145</v>
      </c>
      <c r="I68" s="191">
        <v>11</v>
      </c>
      <c r="J68" s="191">
        <v>11</v>
      </c>
      <c r="K68" s="191" t="s">
        <v>222</v>
      </c>
      <c r="L68" s="191" t="s">
        <v>78</v>
      </c>
      <c r="M68" s="191">
        <v>186</v>
      </c>
      <c r="N68" s="191">
        <v>80</v>
      </c>
      <c r="O68" s="119" t="str">
        <f>IF(B68&lt;&gt;0,CONCATENATE(E68+IFERROR(VLOOKUP(B68,$B$2:$N$36,4,FALSE),0) + X68, " OZ, ", H68+IFERROR(VLOOKUP(B68,$B$2:$N$36,9,FALSE),0) + Y68+Z68, " (", F68+IFERROR(VLOOKUP(B68,$B$2:$N$36,5,FALSE),0) + Y68, "+",G68+IFERROR(VLOOKUP(B68,$B$2:$N$36,8,FALSE),0) +  Z68, ")"), "")</f>
        <v>165 OZ, 155 (90+65)</v>
      </c>
      <c r="P68" s="112" t="str">
        <f>IF(M68&lt;&gt;0,CONCATENATE(M68,"/",N68),"")</f>
        <v>186/80</v>
      </c>
      <c r="Q68" s="192" t="s">
        <v>672</v>
      </c>
      <c r="R68" s="191">
        <v>1994</v>
      </c>
      <c r="S68" s="112" t="str">
        <f>IFERROR(CONCATENATE(E68+VLOOKUP(B68,$B$39:$R$42,4,FALSE), " OZ, ",G68+VLOOKUP(B68,$B$39:$R$42,13,FALSE), " A"),"")</f>
        <v/>
      </c>
      <c r="T68" s="1" t="str">
        <f>IF(B68&lt;&gt;0,IF(V68=1,U68,CONCATENATE(U68," ",W68,".")),"")</f>
        <v>Sladký</v>
      </c>
      <c r="U68" s="1" t="str">
        <f>IFERROR(RIGHT(B68,LEN(B68)-SEARCH(" ", B68,1)),"")</f>
        <v>Sladký</v>
      </c>
      <c r="V68" s="112">
        <f>IF(B68&lt;&gt;0,COUNTIF($U$48:$U$82,U68),"")</f>
        <v>1</v>
      </c>
      <c r="W68" s="112" t="str">
        <f>IFERROR(LEFT(LEFT(B68,SEARCH(" ",B68,1)),1),"")</f>
        <v>T</v>
      </c>
      <c r="X68" s="139"/>
      <c r="Y68" s="139"/>
      <c r="Z68" s="139"/>
      <c r="AA68" s="138"/>
    </row>
    <row r="69" spans="2:27" ht="15" customHeight="1" x14ac:dyDescent="0.25">
      <c r="B69" s="186" t="s">
        <v>268</v>
      </c>
      <c r="C69" s="185">
        <v>33114</v>
      </c>
      <c r="D69" s="112">
        <f ca="1">IF(C69 &lt;&gt; 0,ROUNDDOWN(($A$47-C69)/365.25,0),"")</f>
        <v>30</v>
      </c>
      <c r="E69" s="191">
        <v>126</v>
      </c>
      <c r="F69" s="191">
        <v>0</v>
      </c>
      <c r="G69" s="191">
        <v>6</v>
      </c>
      <c r="H69" s="112">
        <f>IF(B69&lt;&gt;0,F69+G69,"")</f>
        <v>6</v>
      </c>
      <c r="I69" s="191">
        <v>11</v>
      </c>
      <c r="J69" s="191">
        <v>29</v>
      </c>
      <c r="K69" s="191"/>
      <c r="L69" s="191" t="s">
        <v>30</v>
      </c>
      <c r="M69" s="191">
        <v>186</v>
      </c>
      <c r="N69" s="191">
        <v>95</v>
      </c>
      <c r="O69" s="119" t="str">
        <f>IF(B69&lt;&gt;0,CONCATENATE(E69+IFERROR(VLOOKUP(B69,$B$2:$N$36,4,FALSE),0) + X69, " OZ, ", H69+IFERROR(VLOOKUP(B69,$B$2:$N$36,9,FALSE),0) + Y69+Z69, " (", F69+IFERROR(VLOOKUP(B69,$B$2:$N$36,5,FALSE),0) + Y69, "+",G69+IFERROR(VLOOKUP(B69,$B$2:$N$36,8,FALSE),0) +  Z69, ")"), "")</f>
        <v>126 OZ, 8 (0+8)</v>
      </c>
      <c r="P69" s="112" t="str">
        <f>IF(M69&lt;&gt;0,CONCATENATE(M69,"/",N69),"")</f>
        <v>186/95</v>
      </c>
      <c r="Q69" s="192" t="s">
        <v>805</v>
      </c>
      <c r="R69" s="191">
        <v>2004</v>
      </c>
      <c r="S69" s="112" t="str">
        <f>IFERROR(CONCATENATE(E69+VLOOKUP(B69,$B$39:$R$42,4,FALSE), " OZ, ",G69+VLOOKUP(B69,$B$39:$R$42,13,FALSE), " A"),"")</f>
        <v>145 OZ, 8 A</v>
      </c>
      <c r="T69" s="1" t="str">
        <f>IF(B69&lt;&gt;0,IF(V69=1,U69,CONCATENATE(U69," ",W69,".")),"")</f>
        <v>Souček</v>
      </c>
      <c r="U69" s="1" t="str">
        <f>IFERROR(RIGHT(B69,LEN(B69)-SEARCH(" ", B69,1)),"")</f>
        <v>Souček</v>
      </c>
      <c r="V69" s="112">
        <f>IF(B69&lt;&gt;0,COUNTIF($U$48:$U$82,U69),"")</f>
        <v>1</v>
      </c>
      <c r="W69" s="112" t="str">
        <f>IFERROR(LEFT(LEFT(B69,SEARCH(" ",B69,1)),1),"")</f>
        <v>L</v>
      </c>
      <c r="X69" s="139"/>
      <c r="Y69" s="139"/>
      <c r="Z69" s="139"/>
      <c r="AA69" s="138"/>
    </row>
    <row r="70" spans="2:27" ht="15" customHeight="1" x14ac:dyDescent="0.25">
      <c r="B70" s="186" t="s">
        <v>269</v>
      </c>
      <c r="C70" s="185">
        <v>37912</v>
      </c>
      <c r="D70" s="112">
        <f ca="1">IF(C70 &lt;&gt; 0,ROUNDDOWN(($A$47-C70)/365.25,0),"")</f>
        <v>17</v>
      </c>
      <c r="E70" s="191">
        <v>0</v>
      </c>
      <c r="F70" s="191">
        <v>0</v>
      </c>
      <c r="G70" s="191">
        <v>0</v>
      </c>
      <c r="H70" s="112">
        <f>IF(B70&lt;&gt;0,F70+G70,"")</f>
        <v>0</v>
      </c>
      <c r="I70" s="191">
        <v>1</v>
      </c>
      <c r="J70" s="191">
        <v>63</v>
      </c>
      <c r="K70" s="191"/>
      <c r="L70" s="191"/>
      <c r="M70" s="191"/>
      <c r="N70" s="191"/>
      <c r="O70" s="119" t="str">
        <f>IF(B70&lt;&gt;0,CONCATENATE(E70+IFERROR(VLOOKUP(B70,$B$2:$N$36,4,FALSE),0) + X70, " OZ, ", H70+IFERROR(VLOOKUP(B70,$B$2:$N$36,9,FALSE),0) + Y70+Z70, " (", F70+IFERROR(VLOOKUP(B70,$B$2:$N$36,5,FALSE),0) + Y70, "+",G70+IFERROR(VLOOKUP(B70,$B$2:$N$36,8,FALSE),0) +  Z70, ")"), "")</f>
        <v>1 OZ, 0 (0+0)</v>
      </c>
      <c r="P70" s="112" t="str">
        <f>IF(M70&lt;&gt;0,CONCATENATE(M70,"/",N70),"")</f>
        <v/>
      </c>
      <c r="Q70" s="192" t="s">
        <v>806</v>
      </c>
      <c r="R70" s="191">
        <v>2011</v>
      </c>
      <c r="S70" s="112" t="str">
        <f>IFERROR(CONCATENATE(E70+VLOOKUP(B70,$B$39:$R$42,4,FALSE), " OZ, ",G70+VLOOKUP(B70,$B$39:$R$42,13,FALSE), " A"),"")</f>
        <v/>
      </c>
      <c r="T70" s="1" t="str">
        <f>IF(B70&lt;&gt;0,IF(V70=1,U70,CONCATENATE(U70," ",W70,".")),"")</f>
        <v>Svoboda</v>
      </c>
      <c r="U70" s="1" t="str">
        <f>IFERROR(RIGHT(B70,LEN(B70)-SEARCH(" ", B70,1)),"")</f>
        <v>Svoboda</v>
      </c>
      <c r="V70" s="112">
        <f>IF(B70&lt;&gt;0,COUNTIF($U$48:$U$82,U70),"")</f>
        <v>1</v>
      </c>
      <c r="W70" s="112" t="str">
        <f>IFERROR(LEFT(LEFT(B70,SEARCH(" ",B70,1)),1),"")</f>
        <v>O</v>
      </c>
      <c r="X70" s="139"/>
      <c r="Y70" s="139"/>
      <c r="Z70" s="139"/>
      <c r="AA70" s="138"/>
    </row>
    <row r="71" spans="2:27" ht="15" customHeight="1" x14ac:dyDescent="0.25">
      <c r="B71" s="186" t="s">
        <v>254</v>
      </c>
      <c r="C71" s="185">
        <v>33939</v>
      </c>
      <c r="D71" s="112">
        <f ca="1">IF(C71 &lt;&gt; 0,ROUNDDOWN(($A$47-C71)/365.25,0),"")</f>
        <v>28</v>
      </c>
      <c r="E71" s="191">
        <v>165</v>
      </c>
      <c r="F71" s="191">
        <v>86</v>
      </c>
      <c r="G71" s="191">
        <v>59</v>
      </c>
      <c r="H71" s="112">
        <f>IF(B71&lt;&gt;0,F71+G71,"")</f>
        <v>145</v>
      </c>
      <c r="I71" s="191">
        <v>8</v>
      </c>
      <c r="J71" s="191">
        <v>17</v>
      </c>
      <c r="K71" s="191"/>
      <c r="L71" s="191" t="s">
        <v>78</v>
      </c>
      <c r="M71" s="191">
        <v>182</v>
      </c>
      <c r="N71" s="191">
        <v>78</v>
      </c>
      <c r="O71" s="119" t="str">
        <f>IF(B71&lt;&gt;0,CONCATENATE(E71+IFERROR(VLOOKUP(B71,$B$2:$N$36,4,FALSE),0) + X71, " OZ, ", H71+IFERROR(VLOOKUP(B71,$B$2:$N$36,9,FALSE),0) + Y71+Z71, " (", F71+IFERROR(VLOOKUP(B71,$B$2:$N$36,5,FALSE),0) + Y71, "+",G71+IFERROR(VLOOKUP(B71,$B$2:$N$36,8,FALSE),0) +  Z71, ")"), "")</f>
        <v>189 OZ, 168 (102+66)</v>
      </c>
      <c r="P71" s="112" t="str">
        <f>IF(M71&lt;&gt;0,CONCATENATE(M71,"/",N71),"")</f>
        <v>182/78</v>
      </c>
      <c r="Q71" s="192" t="s">
        <v>796</v>
      </c>
      <c r="R71" s="191">
        <v>2000</v>
      </c>
      <c r="S71" s="112" t="str">
        <f>IFERROR(CONCATENATE(E71+VLOOKUP(B71,$B$39:$R$42,4,FALSE), " OZ, ",G71+VLOOKUP(B71,$B$39:$R$42,13,FALSE), " A"),"")</f>
        <v/>
      </c>
      <c r="T71" s="1" t="str">
        <f>IF(B71&lt;&gt;0,IF(V71=1,U71,CONCATENATE(U71," ",W71,".")),"")</f>
        <v>Šebesta</v>
      </c>
      <c r="U71" s="1" t="str">
        <f>IFERROR(RIGHT(B71,LEN(B71)-SEARCH(" ", B71,1)),"")</f>
        <v>Šebesta</v>
      </c>
      <c r="V71" s="112">
        <f>IF(B71&lt;&gt;0,COUNTIF($U$48:$U$82,U71),"")</f>
        <v>1</v>
      </c>
      <c r="W71" s="112" t="str">
        <f>IFERROR(LEFT(LEFT(B71,SEARCH(" ",B71,1)),1),"")</f>
        <v>J</v>
      </c>
      <c r="X71" s="139"/>
      <c r="Y71" s="139"/>
      <c r="Z71" s="139"/>
      <c r="AA71" s="138"/>
    </row>
    <row r="72" spans="2:27" ht="15" customHeight="1" x14ac:dyDescent="0.25">
      <c r="B72" s="187" t="s">
        <v>251</v>
      </c>
      <c r="C72" s="137">
        <v>36599</v>
      </c>
      <c r="D72" s="112">
        <f ca="1">IF(C72 &lt;&gt; 0,ROUNDDOWN(($A$47-C72)/365.25,0),"")</f>
        <v>20</v>
      </c>
      <c r="E72" s="139">
        <v>58</v>
      </c>
      <c r="F72" s="139">
        <v>23</v>
      </c>
      <c r="G72" s="139">
        <v>48</v>
      </c>
      <c r="H72" s="112">
        <f>IF(B72&lt;&gt;0,F72+G72,"")</f>
        <v>71</v>
      </c>
      <c r="I72" s="139">
        <v>4</v>
      </c>
      <c r="J72" s="139">
        <v>25</v>
      </c>
      <c r="K72" s="139"/>
      <c r="L72" s="139" t="s">
        <v>78</v>
      </c>
      <c r="M72" s="139">
        <v>186</v>
      </c>
      <c r="N72" s="139">
        <v>81</v>
      </c>
      <c r="O72" s="119" t="str">
        <f>IF(B72&lt;&gt;0,CONCATENATE(E72+IFERROR(VLOOKUP(B72,$B$2:$N$36,4,FALSE),0) + X72, " OZ, ", H72+IFERROR(VLOOKUP(B72,$B$2:$N$36,9,FALSE),0) + Y72+Z72, " (", F72+IFERROR(VLOOKUP(B72,$B$2:$N$36,5,FALSE),0) + Y72, "+",G72+IFERROR(VLOOKUP(B72,$B$2:$N$36,8,FALSE),0) +  Z72, ")"), "")</f>
        <v>84 OZ, 121 (36+85)</v>
      </c>
      <c r="P72" s="112" t="str">
        <f>IF(M72&lt;&gt;0,CONCATENATE(M72,"/",N72),"")</f>
        <v>186/81</v>
      </c>
      <c r="Q72" s="140" t="s">
        <v>807</v>
      </c>
      <c r="R72" s="139">
        <v>2005</v>
      </c>
      <c r="S72" s="112" t="str">
        <f>IFERROR(CONCATENATE(E72+VLOOKUP(B72,$B$39:$R$42,4,FALSE), " OZ, ",G72+VLOOKUP(B72,$B$39:$R$42,13,FALSE), " A"),"")</f>
        <v/>
      </c>
      <c r="T72" s="1" t="str">
        <f>IF(B72&lt;&gt;0,IF(V72=1,U72,CONCATENATE(U72," ",W72,".")),"")</f>
        <v>Šindler</v>
      </c>
      <c r="U72" s="1" t="str">
        <f>IFERROR(RIGHT(B72,LEN(B72)-SEARCH(" ", B72,1)),"")</f>
        <v>Šindler</v>
      </c>
      <c r="V72" s="112">
        <f>IF(B72&lt;&gt;0,COUNTIF($U$48:$U$82,U72),"")</f>
        <v>1</v>
      </c>
      <c r="W72" s="112" t="str">
        <f>IFERROR(LEFT(LEFT(B72,SEARCH(" ",B72,1)),1),"")</f>
        <v>M</v>
      </c>
      <c r="X72" s="139"/>
      <c r="Y72" s="139"/>
      <c r="Z72" s="139"/>
      <c r="AA72" s="138"/>
    </row>
    <row r="73" spans="2:27" ht="15" customHeight="1" x14ac:dyDescent="0.25">
      <c r="B73" s="138" t="s">
        <v>265</v>
      </c>
      <c r="C73" s="137">
        <v>33254</v>
      </c>
      <c r="D73" s="112">
        <f ca="1">IF(C73 &lt;&gt; 0,ROUNDDOWN(($A$47-C73)/365.25,0),"")</f>
        <v>30</v>
      </c>
      <c r="E73" s="139">
        <v>162</v>
      </c>
      <c r="F73" s="139">
        <v>34</v>
      </c>
      <c r="G73" s="139">
        <v>78</v>
      </c>
      <c r="H73" s="112">
        <f>IF(B73&lt;&gt;0,F73+G73,"")</f>
        <v>112</v>
      </c>
      <c r="I73" s="139">
        <v>9</v>
      </c>
      <c r="J73" s="139">
        <v>43</v>
      </c>
      <c r="K73" s="139"/>
      <c r="L73" s="139" t="s">
        <v>78</v>
      </c>
      <c r="M73" s="139">
        <v>179</v>
      </c>
      <c r="N73" s="139">
        <v>76</v>
      </c>
      <c r="O73" s="119" t="str">
        <f>IF(B73&lt;&gt;0,CONCATENATE(E73+IFERROR(VLOOKUP(B73,$B$2:$N$36,4,FALSE),0) + X73, " OZ, ", H73+IFERROR(VLOOKUP(B73,$B$2:$N$36,9,FALSE),0) + Y73+Z73, " (", F73+IFERROR(VLOOKUP(B73,$B$2:$N$36,5,FALSE),0) + Y73, "+",G73+IFERROR(VLOOKUP(B73,$B$2:$N$36,8,FALSE),0) +  Z73, ")"), "")</f>
        <v>179 OZ, 118 (36+82)</v>
      </c>
      <c r="P73" s="112" t="str">
        <f>IF(M73&lt;&gt;0,CONCATENATE(M73,"/",N73),"")</f>
        <v>179/76</v>
      </c>
      <c r="Q73" s="140" t="s">
        <v>206</v>
      </c>
      <c r="R73" s="139">
        <v>1999</v>
      </c>
      <c r="S73" s="112" t="str">
        <f>IFERROR(CONCATENATE(E73+VLOOKUP(B73,$B$39:$R$42,4,FALSE), " OZ, ",G73+VLOOKUP(B73,$B$39:$R$42,13,FALSE), " A"),"")</f>
        <v/>
      </c>
      <c r="T73" s="1" t="str">
        <f>IF(B73&lt;&gt;0,IF(V73=1,U73,CONCATENATE(U73," ",W73,".")),"")</f>
        <v>Švajný</v>
      </c>
      <c r="U73" s="1" t="str">
        <f>IFERROR(RIGHT(B73,LEN(B73)-SEARCH(" ", B73,1)),"")</f>
        <v>Švajný</v>
      </c>
      <c r="V73" s="112">
        <f>IF(B73&lt;&gt;0,COUNTIF($U$48:$U$82,U73),"")</f>
        <v>1</v>
      </c>
      <c r="W73" s="112" t="str">
        <f>IFERROR(LEFT(LEFT(B73,SEARCH(" ",B73,1)),1),"")</f>
        <v>M</v>
      </c>
      <c r="X73" s="139"/>
      <c r="Y73" s="139"/>
      <c r="Z73" s="139"/>
      <c r="AA73" s="138"/>
    </row>
    <row r="74" spans="2:27" ht="15" customHeight="1" x14ac:dyDescent="0.25">
      <c r="B74" s="138" t="s">
        <v>271</v>
      </c>
      <c r="C74" s="137">
        <v>37503</v>
      </c>
      <c r="D74" s="112">
        <f ca="1">IF(C74 &lt;&gt; 0,ROUNDDOWN(($A$47-C74)/365.25,0),"")</f>
        <v>18</v>
      </c>
      <c r="E74" s="139">
        <v>0</v>
      </c>
      <c r="F74" s="139">
        <v>0</v>
      </c>
      <c r="G74" s="139">
        <v>0</v>
      </c>
      <c r="H74" s="112">
        <f>IF(B74&lt;&gt;0,F74+G74,"")</f>
        <v>0</v>
      </c>
      <c r="I74" s="139">
        <v>1</v>
      </c>
      <c r="J74" s="139">
        <v>40</v>
      </c>
      <c r="K74" s="139"/>
      <c r="L74" s="139" t="s">
        <v>78</v>
      </c>
      <c r="M74" s="139"/>
      <c r="N74" s="139"/>
      <c r="O74" s="119" t="str">
        <f>IF(B74&lt;&gt;0,CONCATENATE(E74+IFERROR(VLOOKUP(B74,$B$2:$N$36,4,FALSE),0) + X74, " OZ, ", H74+IFERROR(VLOOKUP(B74,$B$2:$N$36,9,FALSE),0) + Y74+Z74, " (", F74+IFERROR(VLOOKUP(B74,$B$2:$N$36,5,FALSE),0) + Y74, "+",G74+IFERROR(VLOOKUP(B74,$B$2:$N$36,8,FALSE),0) +  Z74, ")"), "")</f>
        <v>2 OZ, 0 (0+0)</v>
      </c>
      <c r="P74" s="112" t="str">
        <f>IF(M74&lt;&gt;0,CONCATENATE(M74,"/",N74),"")</f>
        <v/>
      </c>
      <c r="Q74" s="140" t="s">
        <v>808</v>
      </c>
      <c r="R74" s="139">
        <v>2013</v>
      </c>
      <c r="S74" s="112" t="str">
        <f>IFERROR(CONCATENATE(E74+VLOOKUP(B74,$B$39:$R$42,4,FALSE), " OZ, ",G74+VLOOKUP(B74,$B$39:$R$42,13,FALSE), " A"),"")</f>
        <v/>
      </c>
      <c r="T74" s="1" t="str">
        <f>IF(B74&lt;&gt;0,IF(V74=1,U74,CONCATENATE(U74," ",W74,".")),"")</f>
        <v>Vojáček</v>
      </c>
      <c r="U74" s="1" t="str">
        <f>IFERROR(RIGHT(B74,LEN(B74)-SEARCH(" ", B74,1)),"")</f>
        <v>Vojáček</v>
      </c>
      <c r="V74" s="112">
        <f>IF(B74&lt;&gt;0,COUNTIF($U$48:$U$82,U74),"")</f>
        <v>1</v>
      </c>
      <c r="W74" s="112" t="str">
        <f>IFERROR(LEFT(LEFT(B74,SEARCH(" ",B74,1)),1),"")</f>
        <v>J</v>
      </c>
      <c r="X74" s="139"/>
      <c r="Y74" s="139"/>
      <c r="Z74" s="139"/>
      <c r="AA74" s="138"/>
    </row>
    <row r="75" spans="2:27" ht="15" customHeight="1" x14ac:dyDescent="0.25">
      <c r="B75" s="138"/>
      <c r="C75" s="137"/>
      <c r="D75" s="112" t="str">
        <f t="shared" ref="D74:D82" si="5">IF(C75 &lt;&gt; 0,ROUNDDOWN(($A$47-C75)/365.25,0),"")</f>
        <v/>
      </c>
      <c r="E75" s="139"/>
      <c r="F75" s="139"/>
      <c r="G75" s="139"/>
      <c r="H75" s="112" t="str">
        <f t="shared" ref="H74:H82" si="6">IF(B75&lt;&gt;0,F75+G75,"")</f>
        <v/>
      </c>
      <c r="I75" s="139"/>
      <c r="J75" s="139"/>
      <c r="K75" s="139"/>
      <c r="L75" s="139"/>
      <c r="M75" s="139"/>
      <c r="N75" s="139"/>
      <c r="O75" s="119" t="str">
        <f t="shared" ref="O74:O82" si="7">IF(B75&lt;&gt;0,CONCATENATE(E75+IFERROR(VLOOKUP(B75,$B$2:$N$36,4,FALSE),0) + X75, " OZ, ", H75+IFERROR(VLOOKUP(B75,$B$2:$N$36,9,FALSE),0) + Y75+Z75, " (", F75+IFERROR(VLOOKUP(B75,$B$2:$N$36,5,FALSE),0) + Y75, "+",G75+IFERROR(VLOOKUP(B75,$B$2:$N$36,8,FALSE),0) +  Z75, ")"), "")</f>
        <v/>
      </c>
      <c r="P75" s="112" t="str">
        <f t="shared" ref="P74:P82" si="8">IF(M75&lt;&gt;0,CONCATENATE(M75,"/",N75),"")</f>
        <v/>
      </c>
      <c r="Q75" s="140"/>
      <c r="R75" s="139"/>
      <c r="S75" s="112" t="str">
        <f t="shared" ref="S74:S82" si="9">IFERROR(CONCATENATE(E75+VLOOKUP(B75,$B$39:$R$42,4,FALSE), " OZ, ",G75+VLOOKUP(B75,$B$39:$R$42,13,FALSE), " A"),"")</f>
        <v/>
      </c>
      <c r="T75" s="1" t="str">
        <f t="shared" ref="T74:T82" si="10">IF(B75&lt;&gt;0,IF(V75=1,U75,CONCATENATE(U75," ",W75,".")),"")</f>
        <v/>
      </c>
      <c r="U75" s="1" t="str">
        <f t="shared" ref="U74:U82" si="11">IFERROR(RIGHT(B75,LEN(B75)-SEARCH(" ", B75,1)),"")</f>
        <v/>
      </c>
      <c r="V75" s="112" t="str">
        <f t="shared" ref="V74:V82" si="12">IF(B75&lt;&gt;0,COUNTIF($U$48:$U$82,U75),"")</f>
        <v/>
      </c>
      <c r="W75" s="112" t="str">
        <f t="shared" ref="W74:W82" si="13">IFERROR(LEFT(LEFT(B75,SEARCH(" ",B75,1)),1),"")</f>
        <v/>
      </c>
      <c r="X75" s="139"/>
      <c r="Y75" s="139"/>
      <c r="Z75" s="139"/>
      <c r="AA75" s="138"/>
    </row>
    <row r="76" spans="2:27" ht="15" customHeight="1" x14ac:dyDescent="0.25">
      <c r="B76" s="138"/>
      <c r="C76" s="137"/>
      <c r="D76" s="112" t="str">
        <f t="shared" si="5"/>
        <v/>
      </c>
      <c r="E76" s="139"/>
      <c r="F76" s="139"/>
      <c r="G76" s="139"/>
      <c r="H76" s="112" t="str">
        <f t="shared" si="6"/>
        <v/>
      </c>
      <c r="I76" s="139"/>
      <c r="J76" s="139"/>
      <c r="K76" s="139"/>
      <c r="L76" s="139"/>
      <c r="M76" s="139"/>
      <c r="N76" s="139"/>
      <c r="O76" s="119" t="str">
        <f t="shared" si="7"/>
        <v/>
      </c>
      <c r="P76" s="112" t="str">
        <f t="shared" si="8"/>
        <v/>
      </c>
      <c r="Q76" s="140"/>
      <c r="R76" s="139"/>
      <c r="S76" s="112" t="str">
        <f t="shared" si="9"/>
        <v/>
      </c>
      <c r="T76" s="1" t="str">
        <f t="shared" si="10"/>
        <v/>
      </c>
      <c r="U76" s="1" t="str">
        <f t="shared" si="11"/>
        <v/>
      </c>
      <c r="V76" s="112" t="str">
        <f t="shared" si="12"/>
        <v/>
      </c>
      <c r="W76" s="112" t="str">
        <f t="shared" si="13"/>
        <v/>
      </c>
      <c r="X76" s="139"/>
      <c r="Y76" s="139"/>
      <c r="Z76" s="139"/>
      <c r="AA76" s="138"/>
    </row>
    <row r="77" spans="2:27" ht="15" customHeight="1" x14ac:dyDescent="0.25">
      <c r="B77" s="138"/>
      <c r="C77" s="137"/>
      <c r="D77" s="112" t="str">
        <f t="shared" si="5"/>
        <v/>
      </c>
      <c r="E77" s="139"/>
      <c r="F77" s="139"/>
      <c r="G77" s="139"/>
      <c r="H77" s="112" t="str">
        <f t="shared" si="6"/>
        <v/>
      </c>
      <c r="I77" s="139"/>
      <c r="J77" s="139"/>
      <c r="K77" s="139"/>
      <c r="L77" s="139"/>
      <c r="M77" s="139"/>
      <c r="N77" s="139"/>
      <c r="O77" s="119" t="str">
        <f t="shared" si="7"/>
        <v/>
      </c>
      <c r="P77" s="112" t="str">
        <f t="shared" si="8"/>
        <v/>
      </c>
      <c r="Q77" s="140"/>
      <c r="R77" s="139"/>
      <c r="S77" s="112" t="str">
        <f t="shared" si="9"/>
        <v/>
      </c>
      <c r="T77" s="1" t="str">
        <f t="shared" si="10"/>
        <v/>
      </c>
      <c r="U77" s="1" t="str">
        <f t="shared" si="11"/>
        <v/>
      </c>
      <c r="V77" s="112" t="str">
        <f t="shared" si="12"/>
        <v/>
      </c>
      <c r="W77" s="112" t="str">
        <f t="shared" si="13"/>
        <v/>
      </c>
      <c r="X77" s="139"/>
      <c r="Y77" s="139"/>
      <c r="Z77" s="139"/>
      <c r="AA77" s="138"/>
    </row>
    <row r="78" spans="2:27" ht="15" customHeight="1" x14ac:dyDescent="0.25">
      <c r="B78" s="138"/>
      <c r="C78" s="137"/>
      <c r="D78" s="112" t="str">
        <f t="shared" si="5"/>
        <v/>
      </c>
      <c r="E78" s="139"/>
      <c r="F78" s="139"/>
      <c r="G78" s="139"/>
      <c r="H78" s="112" t="str">
        <f t="shared" si="6"/>
        <v/>
      </c>
      <c r="I78" s="139"/>
      <c r="J78" s="139"/>
      <c r="K78" s="139"/>
      <c r="L78" s="139"/>
      <c r="M78" s="139"/>
      <c r="N78" s="139"/>
      <c r="O78" s="119" t="str">
        <f t="shared" si="7"/>
        <v/>
      </c>
      <c r="P78" s="112" t="str">
        <f t="shared" si="8"/>
        <v/>
      </c>
      <c r="Q78" s="140"/>
      <c r="R78" s="139"/>
      <c r="S78" s="112" t="str">
        <f t="shared" si="9"/>
        <v/>
      </c>
      <c r="T78" s="1" t="str">
        <f t="shared" si="10"/>
        <v/>
      </c>
      <c r="U78" s="1" t="str">
        <f t="shared" si="11"/>
        <v/>
      </c>
      <c r="V78" s="112" t="str">
        <f t="shared" si="12"/>
        <v/>
      </c>
      <c r="W78" s="112" t="str">
        <f t="shared" si="13"/>
        <v/>
      </c>
      <c r="X78" s="139"/>
      <c r="Y78" s="139"/>
      <c r="Z78" s="139"/>
      <c r="AA78" s="138"/>
    </row>
    <row r="79" spans="2:27" ht="15" customHeight="1" x14ac:dyDescent="0.25">
      <c r="B79" s="138"/>
      <c r="C79" s="137"/>
      <c r="D79" s="112" t="str">
        <f t="shared" si="5"/>
        <v/>
      </c>
      <c r="E79" s="139"/>
      <c r="F79" s="139"/>
      <c r="G79" s="139"/>
      <c r="H79" s="112" t="str">
        <f t="shared" si="6"/>
        <v/>
      </c>
      <c r="I79" s="139"/>
      <c r="J79" s="139"/>
      <c r="K79" s="139"/>
      <c r="L79" s="139"/>
      <c r="M79" s="139"/>
      <c r="N79" s="139"/>
      <c r="O79" s="119" t="str">
        <f t="shared" si="7"/>
        <v/>
      </c>
      <c r="P79" s="112" t="str">
        <f t="shared" si="8"/>
        <v/>
      </c>
      <c r="Q79" s="140"/>
      <c r="R79" s="139"/>
      <c r="S79" s="112" t="str">
        <f t="shared" si="9"/>
        <v/>
      </c>
      <c r="T79" s="1" t="str">
        <f t="shared" si="10"/>
        <v/>
      </c>
      <c r="U79" s="1" t="str">
        <f t="shared" si="11"/>
        <v/>
      </c>
      <c r="V79" s="112" t="str">
        <f t="shared" si="12"/>
        <v/>
      </c>
      <c r="W79" s="112" t="str">
        <f t="shared" si="13"/>
        <v/>
      </c>
      <c r="X79" s="139"/>
      <c r="Y79" s="139"/>
      <c r="Z79" s="139"/>
      <c r="AA79" s="138"/>
    </row>
    <row r="80" spans="2:27" ht="15" customHeight="1" x14ac:dyDescent="0.25">
      <c r="B80" s="138"/>
      <c r="C80" s="137"/>
      <c r="D80" s="112" t="str">
        <f t="shared" si="5"/>
        <v/>
      </c>
      <c r="E80" s="139"/>
      <c r="F80" s="139"/>
      <c r="G80" s="139"/>
      <c r="H80" s="112" t="str">
        <f t="shared" si="6"/>
        <v/>
      </c>
      <c r="I80" s="139"/>
      <c r="J80" s="139"/>
      <c r="K80" s="139"/>
      <c r="L80" s="139"/>
      <c r="M80" s="139"/>
      <c r="N80" s="139"/>
      <c r="O80" s="119" t="str">
        <f t="shared" si="7"/>
        <v/>
      </c>
      <c r="P80" s="112" t="str">
        <f t="shared" si="8"/>
        <v/>
      </c>
      <c r="Q80" s="140"/>
      <c r="R80" s="139"/>
      <c r="S80" s="112" t="str">
        <f t="shared" si="9"/>
        <v/>
      </c>
      <c r="T80" s="1" t="str">
        <f t="shared" si="10"/>
        <v/>
      </c>
      <c r="U80" s="1" t="str">
        <f t="shared" si="11"/>
        <v/>
      </c>
      <c r="V80" s="112" t="str">
        <f t="shared" si="12"/>
        <v/>
      </c>
      <c r="W80" s="112" t="str">
        <f t="shared" si="13"/>
        <v/>
      </c>
      <c r="X80" s="139"/>
      <c r="Y80" s="139"/>
      <c r="Z80" s="139"/>
      <c r="AA80" s="138"/>
    </row>
    <row r="81" spans="1:27" ht="15" customHeight="1" x14ac:dyDescent="0.25">
      <c r="B81" s="138"/>
      <c r="C81" s="137"/>
      <c r="D81" s="112" t="str">
        <f t="shared" si="5"/>
        <v/>
      </c>
      <c r="E81" s="139"/>
      <c r="F81" s="139"/>
      <c r="G81" s="139"/>
      <c r="H81" s="112" t="str">
        <f t="shared" si="6"/>
        <v/>
      </c>
      <c r="I81" s="139"/>
      <c r="J81" s="139"/>
      <c r="K81" s="139"/>
      <c r="L81" s="139"/>
      <c r="M81" s="139"/>
      <c r="N81" s="139"/>
      <c r="O81" s="119" t="str">
        <f t="shared" si="7"/>
        <v/>
      </c>
      <c r="P81" s="112" t="str">
        <f t="shared" si="8"/>
        <v/>
      </c>
      <c r="Q81" s="140"/>
      <c r="R81" s="139"/>
      <c r="S81" s="112" t="str">
        <f t="shared" si="9"/>
        <v/>
      </c>
      <c r="T81" s="1" t="str">
        <f t="shared" si="10"/>
        <v/>
      </c>
      <c r="U81" s="1" t="str">
        <f t="shared" si="11"/>
        <v/>
      </c>
      <c r="V81" s="112" t="str">
        <f t="shared" si="12"/>
        <v/>
      </c>
      <c r="W81" s="112" t="str">
        <f t="shared" si="13"/>
        <v/>
      </c>
      <c r="X81" s="139"/>
      <c r="Y81" s="139"/>
      <c r="Z81" s="139"/>
      <c r="AA81" s="138"/>
    </row>
    <row r="82" spans="1:27" ht="15" customHeight="1" x14ac:dyDescent="0.25">
      <c r="B82" s="138"/>
      <c r="C82" s="137"/>
      <c r="D82" s="112" t="str">
        <f t="shared" si="5"/>
        <v/>
      </c>
      <c r="E82" s="139"/>
      <c r="F82" s="139"/>
      <c r="G82" s="139"/>
      <c r="H82" s="112" t="str">
        <f t="shared" si="6"/>
        <v/>
      </c>
      <c r="I82" s="139"/>
      <c r="J82" s="139"/>
      <c r="K82" s="139"/>
      <c r="L82" s="139"/>
      <c r="M82" s="139"/>
      <c r="N82" s="139"/>
      <c r="O82" s="119" t="str">
        <f t="shared" si="7"/>
        <v/>
      </c>
      <c r="P82" s="112" t="str">
        <f t="shared" si="8"/>
        <v/>
      </c>
      <c r="Q82" s="140"/>
      <c r="R82" s="139"/>
      <c r="S82" s="112" t="str">
        <f t="shared" si="9"/>
        <v/>
      </c>
      <c r="T82" s="1" t="str">
        <f t="shared" si="10"/>
        <v/>
      </c>
      <c r="U82" s="1" t="str">
        <f t="shared" si="11"/>
        <v/>
      </c>
      <c r="V82" s="112" t="str">
        <f t="shared" si="12"/>
        <v/>
      </c>
      <c r="W82" s="112" t="str">
        <f t="shared" si="13"/>
        <v/>
      </c>
      <c r="X82" s="139"/>
      <c r="Y82" s="139"/>
      <c r="Z82" s="139"/>
      <c r="AA82" s="138"/>
    </row>
    <row r="84" spans="1:27" s="99" customFormat="1" ht="15" customHeight="1" x14ac:dyDescent="0.25">
      <c r="A84" s="7">
        <f ca="1">TODAY()</f>
        <v>44263</v>
      </c>
      <c r="B84" s="99" t="s">
        <v>59</v>
      </c>
      <c r="C84" s="99" t="s">
        <v>66</v>
      </c>
      <c r="D84" s="99" t="s">
        <v>67</v>
      </c>
      <c r="E84" s="401" t="s">
        <v>94</v>
      </c>
      <c r="F84" s="401"/>
      <c r="G84" s="401" t="s">
        <v>100</v>
      </c>
      <c r="H84" s="401"/>
      <c r="I84" s="401"/>
      <c r="J84" s="401"/>
      <c r="K84" s="401"/>
      <c r="Q84" s="9"/>
      <c r="X84" s="110"/>
      <c r="Y84" s="110"/>
      <c r="Z84" s="110"/>
    </row>
    <row r="85" spans="1:27" ht="30" customHeight="1" x14ac:dyDescent="0.25">
      <c r="B85" s="138" t="s">
        <v>273</v>
      </c>
      <c r="C85" s="137">
        <v>31830</v>
      </c>
      <c r="D85" s="112">
        <f ca="1">IF(B85&lt;&gt;0,ROUNDDOWN(($A$84-C85)/365.25,0),"")</f>
        <v>34</v>
      </c>
      <c r="E85" s="400" t="s">
        <v>188</v>
      </c>
      <c r="F85" s="400"/>
      <c r="G85" s="400" t="s">
        <v>274</v>
      </c>
      <c r="H85" s="400"/>
      <c r="I85" s="400"/>
      <c r="J85" s="400"/>
      <c r="K85" s="400"/>
    </row>
    <row r="86" spans="1:27" ht="30" customHeight="1" x14ac:dyDescent="0.25">
      <c r="B86" s="138" t="s">
        <v>275</v>
      </c>
      <c r="C86" s="137">
        <v>33988</v>
      </c>
      <c r="D86" s="112">
        <f t="shared" ref="D86:D92" ca="1" si="14">IF(B86&lt;&gt;0,ROUNDDOWN(($A$84-C86)/365.25,0),"")</f>
        <v>28</v>
      </c>
      <c r="E86" s="400" t="s">
        <v>191</v>
      </c>
      <c r="F86" s="400"/>
      <c r="G86" s="400" t="s">
        <v>30</v>
      </c>
      <c r="H86" s="400"/>
      <c r="I86" s="400"/>
      <c r="J86" s="400"/>
      <c r="K86" s="400"/>
    </row>
    <row r="87" spans="1:27" ht="30" customHeight="1" x14ac:dyDescent="0.25">
      <c r="B87" s="138" t="s">
        <v>276</v>
      </c>
      <c r="C87" s="137">
        <v>35289</v>
      </c>
      <c r="D87" s="112">
        <f t="shared" ca="1" si="14"/>
        <v>24</v>
      </c>
      <c r="E87" s="400" t="s">
        <v>277</v>
      </c>
      <c r="F87" s="400"/>
      <c r="G87" s="400" t="s">
        <v>30</v>
      </c>
      <c r="H87" s="400"/>
      <c r="I87" s="400"/>
      <c r="J87" s="400"/>
      <c r="K87" s="400"/>
    </row>
    <row r="88" spans="1:27" ht="30" customHeight="1" x14ac:dyDescent="0.25">
      <c r="B88" s="138" t="s">
        <v>278</v>
      </c>
      <c r="C88" s="137">
        <v>24331</v>
      </c>
      <c r="D88" s="112">
        <f t="shared" ca="1" si="14"/>
        <v>54</v>
      </c>
      <c r="E88" s="400" t="s">
        <v>277</v>
      </c>
      <c r="F88" s="400"/>
      <c r="G88" s="400" t="s">
        <v>30</v>
      </c>
      <c r="H88" s="400"/>
      <c r="I88" s="400"/>
      <c r="J88" s="400"/>
      <c r="K88" s="400"/>
    </row>
    <row r="89" spans="1:27" ht="30" customHeight="1" x14ac:dyDescent="0.25">
      <c r="B89" s="138" t="s">
        <v>279</v>
      </c>
      <c r="C89" s="137">
        <v>31439</v>
      </c>
      <c r="D89" s="112">
        <f t="shared" ca="1" si="14"/>
        <v>35</v>
      </c>
      <c r="E89" s="400" t="s">
        <v>101</v>
      </c>
      <c r="F89" s="400"/>
      <c r="G89" s="400" t="s">
        <v>30</v>
      </c>
      <c r="H89" s="400"/>
      <c r="I89" s="400"/>
      <c r="J89" s="400"/>
      <c r="K89" s="400"/>
    </row>
    <row r="90" spans="1:27" ht="30" customHeight="1" x14ac:dyDescent="0.25">
      <c r="B90" s="138"/>
      <c r="C90" s="138"/>
      <c r="D90" s="112" t="str">
        <f t="shared" si="14"/>
        <v/>
      </c>
      <c r="E90" s="400"/>
      <c r="F90" s="400"/>
      <c r="G90" s="400"/>
      <c r="H90" s="400"/>
      <c r="I90" s="400"/>
      <c r="J90" s="400"/>
      <c r="K90" s="400"/>
    </row>
    <row r="91" spans="1:27" ht="30" customHeight="1" x14ac:dyDescent="0.25">
      <c r="B91" s="138"/>
      <c r="C91" s="138"/>
      <c r="D91" s="112" t="str">
        <f t="shared" si="14"/>
        <v/>
      </c>
      <c r="E91" s="400"/>
      <c r="F91" s="400"/>
      <c r="G91" s="400"/>
      <c r="H91" s="400"/>
      <c r="I91" s="400"/>
      <c r="J91" s="400"/>
      <c r="K91" s="400"/>
    </row>
    <row r="92" spans="1:27" ht="30" customHeight="1" x14ac:dyDescent="0.25">
      <c r="B92" s="138"/>
      <c r="C92" s="138"/>
      <c r="D92" s="112" t="str">
        <f t="shared" si="14"/>
        <v/>
      </c>
      <c r="E92" s="400"/>
      <c r="F92" s="400"/>
      <c r="G92" s="400"/>
      <c r="H92" s="400"/>
      <c r="I92" s="400"/>
      <c r="J92" s="400"/>
      <c r="K92" s="400"/>
    </row>
  </sheetData>
  <sheetProtection algorithmName="SHA-512" hashValue="42Sys2kJete9YIIQ1bug79p/7U2ak4aNOe5dfn6HB+oX/VYxlxsOuu0MBIf9A87tCS3Flzea0IeJDeDo7Oan5A==" saltValue="mJ9S+uEaFsVREDEUjc/KmQ==" spinCount="100000" sheet="1" objects="1" scenarios="1" selectLockedCells="1"/>
  <sortState ref="B48:AA74">
    <sortCondition ref="U48:U74"/>
    <sortCondition ref="B48:B74"/>
  </sortState>
  <mergeCells count="19">
    <mergeCell ref="E84:F84"/>
    <mergeCell ref="G84:K84"/>
    <mergeCell ref="E85:F85"/>
    <mergeCell ref="G85:K85"/>
    <mergeCell ref="E86:F86"/>
    <mergeCell ref="G86:K86"/>
    <mergeCell ref="X46:AA46"/>
    <mergeCell ref="G92:K92"/>
    <mergeCell ref="E90:F90"/>
    <mergeCell ref="G90:K90"/>
    <mergeCell ref="E91:F91"/>
    <mergeCell ref="G91:K91"/>
    <mergeCell ref="E92:F92"/>
    <mergeCell ref="E87:F87"/>
    <mergeCell ref="G87:K87"/>
    <mergeCell ref="E88:F88"/>
    <mergeCell ref="G88:K88"/>
    <mergeCell ref="E89:F89"/>
    <mergeCell ref="G89:K89"/>
  </mergeCells>
  <conditionalFormatting sqref="P2:P36">
    <cfRule type="containsText" dxfId="59" priority="1" operator="containsText" text="ANO">
      <formula>NOT(ISERROR(SEARCH("ANO",P2)))</formula>
    </cfRule>
    <cfRule type="containsText" dxfId="5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B41" sqref="B41"/>
    </sheetView>
  </sheetViews>
  <sheetFormatPr defaultRowHeight="15" x14ac:dyDescent="0.25"/>
  <cols>
    <col min="2" max="2" width="18.85546875" bestFit="1" customWidth="1"/>
  </cols>
  <sheetData>
    <row r="1" spans="1:6" x14ac:dyDescent="0.25">
      <c r="A1" s="401" t="s">
        <v>36</v>
      </c>
      <c r="B1" s="1" t="s">
        <v>344</v>
      </c>
      <c r="C1" s="212">
        <v>63</v>
      </c>
      <c r="D1" s="403" t="str">
        <f t="shared" ref="D1:D30" si="0">IFERROR(RIGHT(B1,LEN(B1)-SEARCH(" ",B1)),"")</f>
        <v>Adam Delong</v>
      </c>
      <c r="E1" s="403"/>
      <c r="F1" s="131"/>
    </row>
    <row r="2" spans="1:6" x14ac:dyDescent="0.25">
      <c r="A2" s="401"/>
      <c r="B2" s="1" t="s">
        <v>351</v>
      </c>
      <c r="C2" s="212">
        <v>53</v>
      </c>
      <c r="D2" s="403" t="str">
        <f t="shared" si="0"/>
        <v>Lukáš Hájek</v>
      </c>
      <c r="E2" s="403"/>
      <c r="F2" s="131"/>
    </row>
    <row r="3" spans="1:6" x14ac:dyDescent="0.25">
      <c r="A3" s="401"/>
      <c r="B3" s="1" t="s">
        <v>970</v>
      </c>
      <c r="C3" s="212">
        <v>50</v>
      </c>
      <c r="D3" s="403" t="str">
        <f t="shared" si="0"/>
        <v>Matyáš Šindler</v>
      </c>
      <c r="E3" s="403"/>
      <c r="F3" s="131"/>
    </row>
    <row r="4" spans="1:6" x14ac:dyDescent="0.25">
      <c r="A4" s="401"/>
      <c r="B4" s="1" t="s">
        <v>971</v>
      </c>
      <c r="C4" s="212">
        <v>49</v>
      </c>
      <c r="D4" s="403" t="str">
        <f t="shared" si="0"/>
        <v>Rostislav Gattnar</v>
      </c>
      <c r="E4" s="403"/>
      <c r="F4" s="131"/>
    </row>
    <row r="5" spans="1:6" x14ac:dyDescent="0.25">
      <c r="A5" s="401"/>
      <c r="B5" s="1" t="s">
        <v>346</v>
      </c>
      <c r="C5" s="212">
        <v>42</v>
      </c>
      <c r="D5" s="403" t="str">
        <f t="shared" si="0"/>
        <v>Marek Matejčík</v>
      </c>
      <c r="E5" s="403"/>
      <c r="F5" s="131"/>
    </row>
    <row r="6" spans="1:6" x14ac:dyDescent="0.25">
      <c r="A6" s="401" t="s">
        <v>241</v>
      </c>
      <c r="B6" s="1" t="s">
        <v>347</v>
      </c>
      <c r="C6" s="212" t="s">
        <v>860</v>
      </c>
      <c r="D6" s="403" t="str">
        <f t="shared" si="0"/>
        <v>Lukáš Souček</v>
      </c>
      <c r="E6" s="403"/>
      <c r="F6" s="131">
        <f t="shared" ref="F6:F10" si="1">IF(B6&lt;&gt;0,_xlfn.NUMBERVALUE(C6,","),"")</f>
        <v>4.12</v>
      </c>
    </row>
    <row r="7" spans="1:6" x14ac:dyDescent="0.25">
      <c r="A7" s="401"/>
      <c r="B7" s="1" t="s">
        <v>348</v>
      </c>
      <c r="C7" s="212" t="s">
        <v>915</v>
      </c>
      <c r="D7" s="403" t="str">
        <f t="shared" si="0"/>
        <v>Denis Jasiok</v>
      </c>
      <c r="E7" s="403"/>
      <c r="F7" s="131">
        <f t="shared" si="1"/>
        <v>5.55</v>
      </c>
    </row>
    <row r="8" spans="1:6" x14ac:dyDescent="0.25">
      <c r="A8" s="401"/>
      <c r="B8" s="1" t="s">
        <v>916</v>
      </c>
      <c r="C8" s="212" t="s">
        <v>917</v>
      </c>
      <c r="D8" s="403" t="str">
        <f t="shared" si="0"/>
        <v>Petr Maláč</v>
      </c>
      <c r="E8" s="403"/>
      <c r="F8" s="131">
        <f t="shared" si="1"/>
        <v>6</v>
      </c>
    </row>
    <row r="9" spans="1:6" x14ac:dyDescent="0.25">
      <c r="A9" s="401"/>
      <c r="B9" s="1"/>
      <c r="C9" s="212"/>
      <c r="D9" s="403" t="str">
        <f t="shared" si="0"/>
        <v/>
      </c>
      <c r="E9" s="403"/>
      <c r="F9" s="131" t="str">
        <f t="shared" si="1"/>
        <v/>
      </c>
    </row>
    <row r="10" spans="1:6" x14ac:dyDescent="0.25">
      <c r="A10" s="401"/>
      <c r="B10" s="1"/>
      <c r="C10" s="212"/>
      <c r="D10" s="403" t="str">
        <f t="shared" si="0"/>
        <v/>
      </c>
      <c r="E10" s="403"/>
      <c r="F10" s="131" t="str">
        <f t="shared" si="1"/>
        <v/>
      </c>
    </row>
    <row r="11" spans="1:6" x14ac:dyDescent="0.25">
      <c r="A11" s="401" t="s">
        <v>35</v>
      </c>
      <c r="B11" s="1" t="s">
        <v>344</v>
      </c>
      <c r="C11" s="212">
        <v>41</v>
      </c>
      <c r="D11" s="403" t="str">
        <f t="shared" si="0"/>
        <v>Adam Delong</v>
      </c>
      <c r="E11" s="403"/>
      <c r="F11" s="131"/>
    </row>
    <row r="12" spans="1:6" x14ac:dyDescent="0.25">
      <c r="A12" s="401"/>
      <c r="B12" s="1" t="s">
        <v>345</v>
      </c>
      <c r="C12" s="212">
        <v>34</v>
      </c>
      <c r="D12" s="403" t="str">
        <f t="shared" si="0"/>
        <v>Rostislav Gattnar</v>
      </c>
      <c r="E12" s="403"/>
      <c r="F12" s="131"/>
    </row>
    <row r="13" spans="1:6" x14ac:dyDescent="0.25">
      <c r="A13" s="401"/>
      <c r="B13" s="1" t="s">
        <v>349</v>
      </c>
      <c r="C13" s="212">
        <v>29</v>
      </c>
      <c r="D13" s="403" t="str">
        <f t="shared" si="0"/>
        <v>Lukáš Hájek</v>
      </c>
      <c r="E13" s="403"/>
      <c r="F13" s="131"/>
    </row>
    <row r="14" spans="1:6" x14ac:dyDescent="0.25">
      <c r="A14" s="401"/>
      <c r="B14" s="1" t="s">
        <v>629</v>
      </c>
      <c r="C14" s="212">
        <v>16</v>
      </c>
      <c r="D14" s="403" t="str">
        <f t="shared" si="0"/>
        <v>Jan Šebesta</v>
      </c>
      <c r="E14" s="403"/>
      <c r="F14" s="131"/>
    </row>
    <row r="15" spans="1:6" x14ac:dyDescent="0.25">
      <c r="A15" s="401"/>
      <c r="B15" s="1" t="s">
        <v>346</v>
      </c>
      <c r="C15" s="212">
        <v>16</v>
      </c>
      <c r="D15" s="403" t="str">
        <f t="shared" si="0"/>
        <v>Marek Matejčík</v>
      </c>
      <c r="E15" s="403"/>
      <c r="F15" s="131"/>
    </row>
    <row r="16" spans="1:6" x14ac:dyDescent="0.25">
      <c r="A16" s="401" t="s">
        <v>230</v>
      </c>
      <c r="B16" s="1" t="s">
        <v>347</v>
      </c>
      <c r="C16" s="212">
        <v>17</v>
      </c>
      <c r="D16" s="403" t="str">
        <f t="shared" si="0"/>
        <v>Lukáš Souček</v>
      </c>
      <c r="E16" s="403"/>
      <c r="F16" s="131">
        <f t="shared" ref="F16:F20" si="2">IF(B16&lt;&gt;0,_xlfn.NUMBERVALUE(C16,","),"")</f>
        <v>17</v>
      </c>
    </row>
    <row r="17" spans="1:6" x14ac:dyDescent="0.25">
      <c r="A17" s="401"/>
      <c r="B17" s="1" t="s">
        <v>348</v>
      </c>
      <c r="C17" s="212">
        <v>4</v>
      </c>
      <c r="D17" s="403" t="str">
        <f t="shared" si="0"/>
        <v>Denis Jasiok</v>
      </c>
      <c r="E17" s="403"/>
      <c r="F17" s="131">
        <f t="shared" si="2"/>
        <v>4</v>
      </c>
    </row>
    <row r="18" spans="1:6" x14ac:dyDescent="0.25">
      <c r="A18" s="401"/>
      <c r="B18" s="1" t="s">
        <v>916</v>
      </c>
      <c r="C18" s="212">
        <v>1</v>
      </c>
      <c r="D18" s="403" t="str">
        <f t="shared" si="0"/>
        <v>Petr Maláč</v>
      </c>
      <c r="E18" s="403"/>
      <c r="F18" s="131">
        <f t="shared" si="2"/>
        <v>1</v>
      </c>
    </row>
    <row r="19" spans="1:6" x14ac:dyDescent="0.25">
      <c r="A19" s="401"/>
      <c r="B19" s="1"/>
      <c r="C19" s="212"/>
      <c r="D19" s="403" t="str">
        <f t="shared" si="0"/>
        <v/>
      </c>
      <c r="E19" s="403"/>
      <c r="F19" s="131" t="str">
        <f t="shared" si="2"/>
        <v/>
      </c>
    </row>
    <row r="20" spans="1:6" x14ac:dyDescent="0.25">
      <c r="A20" s="401"/>
      <c r="B20" s="1"/>
      <c r="C20" s="212"/>
      <c r="D20" s="403" t="str">
        <f t="shared" si="0"/>
        <v/>
      </c>
      <c r="E20" s="403"/>
      <c r="F20" s="131" t="str">
        <f t="shared" si="2"/>
        <v/>
      </c>
    </row>
    <row r="21" spans="1:6" x14ac:dyDescent="0.25">
      <c r="A21" s="401" t="s">
        <v>37</v>
      </c>
      <c r="B21" s="1" t="s">
        <v>350</v>
      </c>
      <c r="C21" s="212">
        <v>37</v>
      </c>
      <c r="D21" s="403" t="str">
        <f>IFERROR(RIGHT(B21,LEN(B21)-SEARCH(" ",B21)),"")</f>
        <v>Matyáš Šindler</v>
      </c>
      <c r="E21" s="403"/>
      <c r="F21" s="131"/>
    </row>
    <row r="22" spans="1:6" x14ac:dyDescent="0.25">
      <c r="A22" s="401"/>
      <c r="B22" s="1" t="s">
        <v>861</v>
      </c>
      <c r="C22" s="212">
        <v>26</v>
      </c>
      <c r="D22" s="403" t="str">
        <f>IFERROR(RIGHT(B22,LEN(B22)-SEARCH(" ",B22)),"")</f>
        <v>Marek Matejčík</v>
      </c>
      <c r="E22" s="403"/>
      <c r="F22" s="131"/>
    </row>
    <row r="23" spans="1:6" x14ac:dyDescent="0.25">
      <c r="A23" s="401"/>
      <c r="B23" s="1" t="s">
        <v>349</v>
      </c>
      <c r="C23" s="212">
        <v>24</v>
      </c>
      <c r="D23" s="403" t="str">
        <f>IFERROR(RIGHT(B23,LEN(B23)-SEARCH(" ",B23)),"")</f>
        <v>Lukáš Hájek</v>
      </c>
      <c r="E23" s="403"/>
      <c r="F23" s="131"/>
    </row>
    <row r="24" spans="1:6" x14ac:dyDescent="0.25">
      <c r="A24" s="401"/>
      <c r="B24" s="1" t="s">
        <v>972</v>
      </c>
      <c r="C24" s="212">
        <v>22</v>
      </c>
      <c r="D24" s="403" t="str">
        <f>IFERROR(RIGHT(B24,LEN(B24)-SEARCH(" ",B24)),"")</f>
        <v>Adam Delong</v>
      </c>
      <c r="E24" s="403"/>
      <c r="F24" s="131"/>
    </row>
    <row r="25" spans="1:6" x14ac:dyDescent="0.25">
      <c r="A25" s="401"/>
      <c r="B25" s="1" t="s">
        <v>352</v>
      </c>
      <c r="C25" s="212">
        <v>15</v>
      </c>
      <c r="D25" s="403" t="str">
        <f>IFERROR(RIGHT(B25,LEN(B25)-SEARCH(" ",B25)),"")</f>
        <v>Rostislav Gattnar</v>
      </c>
      <c r="E25" s="403"/>
      <c r="F25" s="131"/>
    </row>
    <row r="26" spans="1:6" x14ac:dyDescent="0.25">
      <c r="A26" s="401" t="s">
        <v>38</v>
      </c>
      <c r="B26" s="1" t="s">
        <v>630</v>
      </c>
      <c r="C26" s="212">
        <v>10</v>
      </c>
      <c r="D26" s="403" t="str">
        <f t="shared" si="0"/>
        <v>Jan Šebesta</v>
      </c>
      <c r="E26" s="403"/>
      <c r="F26" s="131"/>
    </row>
    <row r="27" spans="1:6" x14ac:dyDescent="0.25">
      <c r="A27" s="401"/>
      <c r="B27" s="1" t="s">
        <v>631</v>
      </c>
      <c r="C27" s="212">
        <v>8</v>
      </c>
      <c r="D27" s="403" t="str">
        <f t="shared" si="0"/>
        <v>Tomáš Sladký</v>
      </c>
      <c r="E27" s="403"/>
      <c r="F27" s="131"/>
    </row>
    <row r="28" spans="1:6" x14ac:dyDescent="0.25">
      <c r="A28" s="401"/>
      <c r="B28" s="1" t="s">
        <v>632</v>
      </c>
      <c r="C28" s="212">
        <v>6</v>
      </c>
      <c r="D28" s="403" t="str">
        <f t="shared" si="0"/>
        <v>Marek Bräuer</v>
      </c>
      <c r="E28" s="403"/>
      <c r="F28" s="131"/>
    </row>
    <row r="29" spans="1:6" x14ac:dyDescent="0.25">
      <c r="A29" s="401"/>
      <c r="B29" s="1" t="s">
        <v>633</v>
      </c>
      <c r="C29" s="212">
        <v>4</v>
      </c>
      <c r="D29" s="403" t="str">
        <f t="shared" si="0"/>
        <v>Daniels Janis Anis</v>
      </c>
      <c r="E29" s="403"/>
      <c r="F29" s="131"/>
    </row>
    <row r="30" spans="1:6" x14ac:dyDescent="0.25">
      <c r="A30" s="401"/>
      <c r="B30" s="1" t="s">
        <v>346</v>
      </c>
      <c r="C30" s="212">
        <v>4</v>
      </c>
      <c r="D30" s="403" t="str">
        <f t="shared" si="0"/>
        <v>Marek Matejčík</v>
      </c>
      <c r="E30" s="403"/>
      <c r="F30" s="131"/>
    </row>
    <row r="31" spans="1:6" x14ac:dyDescent="0.25">
      <c r="A31" s="401" t="s">
        <v>331</v>
      </c>
      <c r="B31" s="190" t="s">
        <v>959</v>
      </c>
      <c r="C31" s="190" t="s">
        <v>146</v>
      </c>
      <c r="D31" s="190" t="s">
        <v>869</v>
      </c>
      <c r="E31" s="178" t="str">
        <f>IFERROR(RIGHT(LEFT(D31,LEN(D31)-1),LEN(D31)-2),"")</f>
        <v>11:4</v>
      </c>
    </row>
    <row r="32" spans="1:6" x14ac:dyDescent="0.25">
      <c r="A32" s="401"/>
      <c r="B32" s="190" t="s">
        <v>628</v>
      </c>
      <c r="C32" s="190" t="s">
        <v>149</v>
      </c>
      <c r="D32" s="190" t="s">
        <v>399</v>
      </c>
      <c r="E32" s="178" t="str">
        <f t="shared" ref="E32:E40" si="3">IFERROR(RIGHT(LEFT(D32,LEN(D32)-1),LEN(D32)-2),"")</f>
        <v>3:8</v>
      </c>
    </row>
    <row r="33" spans="1:5" x14ac:dyDescent="0.25">
      <c r="A33" s="401"/>
      <c r="B33" s="190" t="s">
        <v>895</v>
      </c>
      <c r="C33" s="190" t="s">
        <v>29</v>
      </c>
      <c r="D33" s="190" t="s">
        <v>913</v>
      </c>
      <c r="E33" s="178" t="str">
        <f t="shared" si="3"/>
        <v>9:6</v>
      </c>
    </row>
    <row r="34" spans="1:5" x14ac:dyDescent="0.25">
      <c r="A34" s="401"/>
      <c r="B34" s="190" t="s">
        <v>855</v>
      </c>
      <c r="C34" s="190" t="s">
        <v>145</v>
      </c>
      <c r="D34" s="190" t="s">
        <v>859</v>
      </c>
      <c r="E34" s="178" t="str">
        <f t="shared" si="3"/>
        <v>8:6</v>
      </c>
    </row>
    <row r="35" spans="1:5" x14ac:dyDescent="0.25">
      <c r="A35" s="401"/>
      <c r="B35" s="190" t="s">
        <v>474</v>
      </c>
      <c r="C35" s="190" t="s">
        <v>148</v>
      </c>
      <c r="D35" s="190" t="s">
        <v>694</v>
      </c>
      <c r="E35" s="178" t="str">
        <f t="shared" si="3"/>
        <v>7:4</v>
      </c>
    </row>
    <row r="36" spans="1:5" x14ac:dyDescent="0.25">
      <c r="A36" s="401" t="s">
        <v>332</v>
      </c>
      <c r="B36" s="190" t="s">
        <v>897</v>
      </c>
      <c r="C36" s="190" t="s">
        <v>146</v>
      </c>
      <c r="D36" s="190" t="s">
        <v>335</v>
      </c>
      <c r="E36" s="178" t="str">
        <f t="shared" si="3"/>
        <v>-:-</v>
      </c>
    </row>
    <row r="37" spans="1:5" x14ac:dyDescent="0.25">
      <c r="A37" s="401"/>
      <c r="B37" s="190" t="s">
        <v>898</v>
      </c>
      <c r="C37" s="190" t="s">
        <v>146</v>
      </c>
      <c r="D37" s="190" t="s">
        <v>335</v>
      </c>
      <c r="E37" s="178" t="str">
        <f t="shared" si="3"/>
        <v>-:-</v>
      </c>
    </row>
    <row r="38" spans="1:5" x14ac:dyDescent="0.25">
      <c r="A38" s="401"/>
      <c r="B38" s="190" t="s">
        <v>900</v>
      </c>
      <c r="C38" s="190" t="s">
        <v>146</v>
      </c>
      <c r="D38" s="190" t="s">
        <v>335</v>
      </c>
      <c r="E38" s="178" t="str">
        <f t="shared" si="3"/>
        <v>-:-</v>
      </c>
    </row>
    <row r="39" spans="1:5" x14ac:dyDescent="0.25">
      <c r="A39" s="401"/>
      <c r="B39" s="190" t="s">
        <v>901</v>
      </c>
      <c r="C39" s="190" t="s">
        <v>146</v>
      </c>
      <c r="D39" s="190" t="s">
        <v>335</v>
      </c>
      <c r="E39" s="178" t="str">
        <f t="shared" si="3"/>
        <v>-:-</v>
      </c>
    </row>
    <row r="40" spans="1:5" x14ac:dyDescent="0.25">
      <c r="A40" s="401"/>
      <c r="B40" s="190" t="s">
        <v>914</v>
      </c>
      <c r="C40" s="190" t="s">
        <v>146</v>
      </c>
      <c r="D40" s="190" t="s">
        <v>335</v>
      </c>
      <c r="E40" s="178" t="str">
        <f t="shared" si="3"/>
        <v>-:-</v>
      </c>
    </row>
    <row r="41" spans="1:5" x14ac:dyDescent="0.25">
      <c r="A41" s="132" t="s">
        <v>333</v>
      </c>
      <c r="B41" s="207" t="s">
        <v>969</v>
      </c>
      <c r="C41" s="190"/>
      <c r="D41" s="190"/>
    </row>
  </sheetData>
  <sheetProtection algorithmName="SHA-512" hashValue="b0K36E51rFM7EbtVZd6eC99hGPw0ynAyK3YD+eAXv96Dyu96nEw93SJaLZ+f2yN49FtyevxlEcf2zfTvnzJR8g==" saltValue="09GimpW/Rb82MTfrObziug==" spinCount="100000" sheet="1" objects="1" scenarios="1" selectLockedCells="1"/>
  <mergeCells count="38">
    <mergeCell ref="A31:A35"/>
    <mergeCell ref="A36:A40"/>
    <mergeCell ref="A26:A30"/>
    <mergeCell ref="D26:E26"/>
    <mergeCell ref="D27:E27"/>
    <mergeCell ref="D28:E28"/>
    <mergeCell ref="D29:E29"/>
    <mergeCell ref="D30:E30"/>
    <mergeCell ref="A21:A25"/>
    <mergeCell ref="D23:E23"/>
    <mergeCell ref="D24:E24"/>
    <mergeCell ref="D25:E25"/>
    <mergeCell ref="A16:A20"/>
    <mergeCell ref="D16:E16"/>
    <mergeCell ref="D17:E17"/>
    <mergeCell ref="D18:E18"/>
    <mergeCell ref="D19:E19"/>
    <mergeCell ref="D20:E20"/>
    <mergeCell ref="D21:E21"/>
    <mergeCell ref="D22:E22"/>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12" customWidth="1"/>
    <col min="15" max="15" width="22" style="112" bestFit="1" customWidth="1"/>
    <col min="16" max="16" width="9.140625" style="112" customWidth="1"/>
    <col min="17" max="17" width="23.140625" style="111" customWidth="1"/>
    <col min="18" max="18" width="9.140625" style="1" customWidth="1"/>
    <col min="19" max="19" width="12.5703125" style="112"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110" customFormat="1" ht="15" customHeight="1" x14ac:dyDescent="0.25">
      <c r="A1" s="8" t="s">
        <v>58</v>
      </c>
      <c r="B1" s="110" t="s">
        <v>59</v>
      </c>
      <c r="D1" s="110" t="s">
        <v>60</v>
      </c>
      <c r="E1" s="110" t="s">
        <v>61</v>
      </c>
      <c r="F1" s="110" t="s">
        <v>35</v>
      </c>
      <c r="G1" s="110" t="s">
        <v>62</v>
      </c>
      <c r="H1" s="110" t="s">
        <v>63</v>
      </c>
      <c r="I1" s="110" t="s">
        <v>37</v>
      </c>
      <c r="J1" s="110" t="s">
        <v>36</v>
      </c>
      <c r="K1" s="110" t="s">
        <v>38</v>
      </c>
      <c r="L1" s="110" t="s">
        <v>64</v>
      </c>
      <c r="M1" s="110" t="s">
        <v>30</v>
      </c>
      <c r="N1" s="3" t="s">
        <v>65</v>
      </c>
      <c r="O1" s="110" t="s">
        <v>80</v>
      </c>
      <c r="P1" s="152" t="s">
        <v>439</v>
      </c>
      <c r="Q1" s="115" t="s">
        <v>47</v>
      </c>
    </row>
    <row r="2" spans="1:26" s="4" customFormat="1" x14ac:dyDescent="0.25">
      <c r="A2" s="53">
        <v>1</v>
      </c>
      <c r="B2" s="4" t="s">
        <v>290</v>
      </c>
      <c r="D2" s="5" t="s">
        <v>51</v>
      </c>
      <c r="E2" s="5">
        <v>26</v>
      </c>
      <c r="F2" s="5">
        <v>21</v>
      </c>
      <c r="G2" s="5">
        <v>6</v>
      </c>
      <c r="H2" s="5">
        <v>3</v>
      </c>
      <c r="I2" s="5">
        <v>30</v>
      </c>
      <c r="J2" s="5">
        <v>51</v>
      </c>
      <c r="K2" s="5">
        <v>6</v>
      </c>
      <c r="L2" s="5">
        <v>72</v>
      </c>
      <c r="M2" s="5">
        <v>29</v>
      </c>
      <c r="N2" s="5">
        <v>43</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51 (21+30), +43 ±</v>
      </c>
      <c r="P2" s="5" t="str">
        <f>IF(B2&lt;&gt;0,IF(IFERROR(VLOOKUP(B2,$B$48:$B$82,1,FALSE)=B2,FALSE),"ANO","NE"),"")</f>
        <v>ANO</v>
      </c>
      <c r="Q2" s="142" t="s">
        <v>682</v>
      </c>
      <c r="S2" s="5"/>
      <c r="X2" s="5"/>
      <c r="Y2" s="5"/>
      <c r="Z2" s="5"/>
    </row>
    <row r="3" spans="1:26" s="4" customFormat="1" x14ac:dyDescent="0.25">
      <c r="A3" s="53">
        <v>2</v>
      </c>
      <c r="B3" s="4" t="s">
        <v>292</v>
      </c>
      <c r="D3" s="5" t="s">
        <v>51</v>
      </c>
      <c r="E3" s="5">
        <v>26</v>
      </c>
      <c r="F3" s="5">
        <v>37</v>
      </c>
      <c r="G3" s="5">
        <v>0</v>
      </c>
      <c r="H3" s="5">
        <v>1</v>
      </c>
      <c r="I3" s="5">
        <v>7</v>
      </c>
      <c r="J3" s="5">
        <v>44</v>
      </c>
      <c r="K3" s="5">
        <v>2</v>
      </c>
      <c r="L3" s="5">
        <v>64</v>
      </c>
      <c r="M3" s="5">
        <v>24</v>
      </c>
      <c r="N3" s="5">
        <v>40</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44 (37+7), +40 ±</v>
      </c>
      <c r="P3" s="5" t="str">
        <f t="shared" ref="P3:P36" si="1">IF(B3&lt;&gt;0,IF(IFERROR(VLOOKUP(B3,$B$48:$B$82,1,FALSE)=B3,FALSE),"ANO","NE"),"")</f>
        <v>ANO</v>
      </c>
      <c r="Q3" s="142" t="s">
        <v>683</v>
      </c>
      <c r="S3" s="5"/>
      <c r="X3" s="5"/>
      <c r="Y3" s="5"/>
      <c r="Z3" s="5"/>
    </row>
    <row r="4" spans="1:26" s="4" customFormat="1" x14ac:dyDescent="0.25">
      <c r="A4" s="53">
        <v>3</v>
      </c>
      <c r="B4" s="4" t="s">
        <v>291</v>
      </c>
      <c r="D4" s="5" t="s">
        <v>51</v>
      </c>
      <c r="E4" s="5">
        <v>26</v>
      </c>
      <c r="F4" s="5">
        <v>26</v>
      </c>
      <c r="G4" s="5">
        <v>5</v>
      </c>
      <c r="H4" s="5">
        <v>1</v>
      </c>
      <c r="I4" s="5">
        <v>14</v>
      </c>
      <c r="J4" s="5">
        <v>40</v>
      </c>
      <c r="K4" s="5">
        <v>18</v>
      </c>
      <c r="L4" s="5">
        <v>73</v>
      </c>
      <c r="M4" s="5">
        <v>30</v>
      </c>
      <c r="N4" s="5">
        <v>43</v>
      </c>
      <c r="O4" s="161" t="str">
        <f t="shared" si="0"/>
        <v>26 OZ , 40 (26+14), +43 ±</v>
      </c>
      <c r="P4" s="5" t="str">
        <f t="shared" si="1"/>
        <v>ANO</v>
      </c>
      <c r="Q4" s="142" t="s">
        <v>684</v>
      </c>
      <c r="S4" s="5"/>
      <c r="X4" s="5"/>
      <c r="Y4" s="5"/>
      <c r="Z4" s="5"/>
    </row>
    <row r="5" spans="1:26" s="4" customFormat="1" x14ac:dyDescent="0.25">
      <c r="A5" s="53">
        <v>4</v>
      </c>
      <c r="B5" s="4" t="s">
        <v>301</v>
      </c>
      <c r="D5" s="5" t="s">
        <v>51</v>
      </c>
      <c r="E5" s="5">
        <v>22</v>
      </c>
      <c r="F5" s="5">
        <v>15</v>
      </c>
      <c r="G5" s="5">
        <v>1</v>
      </c>
      <c r="H5" s="5">
        <v>2</v>
      </c>
      <c r="I5" s="5">
        <v>20</v>
      </c>
      <c r="J5" s="5">
        <v>35</v>
      </c>
      <c r="K5" s="5">
        <v>0</v>
      </c>
      <c r="L5" s="5">
        <v>52</v>
      </c>
      <c r="M5" s="5">
        <v>16</v>
      </c>
      <c r="N5" s="5">
        <v>36</v>
      </c>
      <c r="O5" s="161" t="str">
        <f t="shared" si="0"/>
        <v>22 OZ , 35 (15+20), +36 ±</v>
      </c>
      <c r="P5" s="5" t="str">
        <f t="shared" si="1"/>
        <v>ANO</v>
      </c>
      <c r="Q5" s="142" t="s">
        <v>685</v>
      </c>
      <c r="S5" s="5"/>
      <c r="X5" s="5"/>
      <c r="Y5" s="5"/>
      <c r="Z5" s="5"/>
    </row>
    <row r="6" spans="1:26" x14ac:dyDescent="0.25">
      <c r="A6" s="54">
        <v>5</v>
      </c>
      <c r="B6" s="1" t="s">
        <v>294</v>
      </c>
      <c r="D6" s="212"/>
      <c r="E6" s="212">
        <v>26</v>
      </c>
      <c r="F6" s="212">
        <v>24</v>
      </c>
      <c r="G6" s="212">
        <v>0</v>
      </c>
      <c r="H6" s="212">
        <v>0</v>
      </c>
      <c r="I6" s="212">
        <v>10</v>
      </c>
      <c r="J6" s="212">
        <v>34</v>
      </c>
      <c r="K6" s="212">
        <v>26</v>
      </c>
      <c r="L6" s="212">
        <v>60</v>
      </c>
      <c r="M6" s="212">
        <v>22</v>
      </c>
      <c r="N6" s="212">
        <v>38</v>
      </c>
      <c r="O6" s="161" t="str">
        <f t="shared" si="0"/>
        <v>26 OZ , 34 (24+10), +38 ±</v>
      </c>
      <c r="P6" s="5" t="str">
        <f t="shared" si="1"/>
        <v>ANO</v>
      </c>
    </row>
    <row r="7" spans="1:26" x14ac:dyDescent="0.25">
      <c r="A7" s="54">
        <v>6</v>
      </c>
      <c r="B7" s="1" t="s">
        <v>293</v>
      </c>
      <c r="D7" s="212"/>
      <c r="E7" s="212">
        <v>26</v>
      </c>
      <c r="F7" s="212">
        <v>15</v>
      </c>
      <c r="G7" s="212">
        <v>1</v>
      </c>
      <c r="H7" s="212">
        <v>0</v>
      </c>
      <c r="I7" s="212">
        <v>18</v>
      </c>
      <c r="J7" s="212">
        <v>33</v>
      </c>
      <c r="K7" s="212">
        <v>8</v>
      </c>
      <c r="L7" s="212">
        <v>64</v>
      </c>
      <c r="M7" s="212">
        <v>23</v>
      </c>
      <c r="N7" s="212">
        <v>41</v>
      </c>
      <c r="O7" s="161" t="str">
        <f t="shared" si="0"/>
        <v>26 OZ , 33 (15+18), +41 ±</v>
      </c>
      <c r="P7" s="5" t="str">
        <f t="shared" si="1"/>
        <v>ANO</v>
      </c>
    </row>
    <row r="8" spans="1:26" x14ac:dyDescent="0.25">
      <c r="A8" s="54">
        <v>7</v>
      </c>
      <c r="B8" s="1" t="s">
        <v>303</v>
      </c>
      <c r="D8" s="212" t="s">
        <v>48</v>
      </c>
      <c r="E8" s="212">
        <v>26</v>
      </c>
      <c r="F8" s="212">
        <v>11</v>
      </c>
      <c r="G8" s="212">
        <v>3</v>
      </c>
      <c r="H8" s="212">
        <v>1</v>
      </c>
      <c r="I8" s="212">
        <v>12</v>
      </c>
      <c r="J8" s="212">
        <v>23</v>
      </c>
      <c r="K8" s="212">
        <v>10</v>
      </c>
      <c r="L8" s="212">
        <v>75</v>
      </c>
      <c r="M8" s="212">
        <v>24</v>
      </c>
      <c r="N8" s="212">
        <v>51</v>
      </c>
      <c r="O8" s="161" t="str">
        <f t="shared" si="0"/>
        <v>26 OZ , 23 (11+12), +51 ±</v>
      </c>
      <c r="P8" s="5" t="str">
        <f t="shared" si="1"/>
        <v>ANO</v>
      </c>
    </row>
    <row r="9" spans="1:26" x14ac:dyDescent="0.25">
      <c r="A9" s="54">
        <v>8</v>
      </c>
      <c r="B9" s="1" t="s">
        <v>297</v>
      </c>
      <c r="D9" s="212" t="s">
        <v>51</v>
      </c>
      <c r="E9" s="212">
        <v>25</v>
      </c>
      <c r="F9" s="212">
        <v>10</v>
      </c>
      <c r="G9" s="212">
        <v>0</v>
      </c>
      <c r="H9" s="212">
        <v>0</v>
      </c>
      <c r="I9" s="212">
        <v>13</v>
      </c>
      <c r="J9" s="212">
        <v>23</v>
      </c>
      <c r="K9" s="212">
        <v>6</v>
      </c>
      <c r="L9" s="212">
        <v>43</v>
      </c>
      <c r="M9" s="212">
        <v>21</v>
      </c>
      <c r="N9" s="212">
        <v>22</v>
      </c>
      <c r="O9" s="161" t="str">
        <f t="shared" si="0"/>
        <v>25 OZ , 23 (10+13), +22 ±</v>
      </c>
      <c r="P9" s="5" t="str">
        <f t="shared" si="1"/>
        <v>ANO</v>
      </c>
    </row>
    <row r="10" spans="1:26" x14ac:dyDescent="0.25">
      <c r="A10" s="54">
        <v>9</v>
      </c>
      <c r="B10" s="1" t="s">
        <v>298</v>
      </c>
      <c r="D10" s="212" t="s">
        <v>51</v>
      </c>
      <c r="E10" s="212">
        <v>25</v>
      </c>
      <c r="F10" s="212">
        <v>14</v>
      </c>
      <c r="G10" s="212">
        <v>0</v>
      </c>
      <c r="H10" s="212">
        <v>0</v>
      </c>
      <c r="I10" s="212">
        <v>7</v>
      </c>
      <c r="J10" s="212">
        <v>21</v>
      </c>
      <c r="K10" s="212">
        <v>2</v>
      </c>
      <c r="L10" s="212">
        <v>39</v>
      </c>
      <c r="M10" s="212">
        <v>20</v>
      </c>
      <c r="N10" s="212">
        <v>19</v>
      </c>
      <c r="O10" s="161" t="str">
        <f t="shared" si="0"/>
        <v>25 OZ , 21 (14+7), +19 ±</v>
      </c>
      <c r="P10" s="5" t="str">
        <f t="shared" si="1"/>
        <v>ANO</v>
      </c>
    </row>
    <row r="11" spans="1:26" x14ac:dyDescent="0.25">
      <c r="A11" s="54">
        <v>10</v>
      </c>
      <c r="B11" s="1" t="s">
        <v>296</v>
      </c>
      <c r="D11" s="212" t="s">
        <v>48</v>
      </c>
      <c r="E11" s="212">
        <v>25</v>
      </c>
      <c r="F11" s="212">
        <v>4</v>
      </c>
      <c r="G11" s="212">
        <v>1</v>
      </c>
      <c r="H11" s="212">
        <v>0</v>
      </c>
      <c r="I11" s="212">
        <v>17</v>
      </c>
      <c r="J11" s="212">
        <v>21</v>
      </c>
      <c r="K11" s="212">
        <v>8</v>
      </c>
      <c r="L11" s="212">
        <v>78</v>
      </c>
      <c r="M11" s="212">
        <v>30</v>
      </c>
      <c r="N11" s="212">
        <v>48</v>
      </c>
      <c r="O11" s="161" t="str">
        <f t="shared" si="0"/>
        <v>25 OZ , 21 (4+17), +48 ±</v>
      </c>
      <c r="P11" s="5" t="str">
        <f t="shared" si="1"/>
        <v>ANO</v>
      </c>
    </row>
    <row r="12" spans="1:26" x14ac:dyDescent="0.25">
      <c r="A12" s="54">
        <v>11</v>
      </c>
      <c r="B12" s="1" t="s">
        <v>295</v>
      </c>
      <c r="D12" s="212" t="s">
        <v>51</v>
      </c>
      <c r="E12" s="212">
        <v>26</v>
      </c>
      <c r="F12" s="212">
        <v>9</v>
      </c>
      <c r="G12" s="212">
        <v>0</v>
      </c>
      <c r="H12" s="212">
        <v>0</v>
      </c>
      <c r="I12" s="212">
        <v>8</v>
      </c>
      <c r="J12" s="212">
        <v>17</v>
      </c>
      <c r="K12" s="212">
        <v>4</v>
      </c>
      <c r="L12" s="212">
        <v>39</v>
      </c>
      <c r="M12" s="212">
        <v>19</v>
      </c>
      <c r="N12" s="212">
        <v>20</v>
      </c>
      <c r="O12" s="161" t="str">
        <f t="shared" si="0"/>
        <v>26 OZ , 17 (9+8), +20 ±</v>
      </c>
      <c r="P12" s="5" t="str">
        <f t="shared" si="1"/>
        <v>ANO</v>
      </c>
    </row>
    <row r="13" spans="1:26" x14ac:dyDescent="0.25">
      <c r="A13" s="54">
        <v>12</v>
      </c>
      <c r="B13" s="1" t="s">
        <v>299</v>
      </c>
      <c r="D13" s="212" t="s">
        <v>48</v>
      </c>
      <c r="E13" s="212">
        <v>26</v>
      </c>
      <c r="F13" s="212">
        <v>6</v>
      </c>
      <c r="G13" s="212">
        <v>0</v>
      </c>
      <c r="H13" s="212">
        <v>0</v>
      </c>
      <c r="I13" s="212">
        <v>10</v>
      </c>
      <c r="J13" s="212">
        <v>16</v>
      </c>
      <c r="K13" s="212">
        <v>8</v>
      </c>
      <c r="L13" s="212">
        <v>42</v>
      </c>
      <c r="M13" s="212">
        <v>21</v>
      </c>
      <c r="N13" s="212">
        <v>21</v>
      </c>
      <c r="O13" s="161" t="str">
        <f t="shared" si="0"/>
        <v>26 OZ , 16 (6+10), +21 ±</v>
      </c>
      <c r="P13" s="5" t="str">
        <f t="shared" si="1"/>
        <v>ANO</v>
      </c>
    </row>
    <row r="14" spans="1:26" x14ac:dyDescent="0.25">
      <c r="A14" s="54">
        <v>13</v>
      </c>
      <c r="B14" s="1" t="s">
        <v>300</v>
      </c>
      <c r="D14" s="212" t="s">
        <v>51</v>
      </c>
      <c r="E14" s="212">
        <v>17</v>
      </c>
      <c r="F14" s="212">
        <v>6</v>
      </c>
      <c r="G14" s="212">
        <v>0</v>
      </c>
      <c r="H14" s="212">
        <v>0</v>
      </c>
      <c r="I14" s="212">
        <v>5</v>
      </c>
      <c r="J14" s="212">
        <v>11</v>
      </c>
      <c r="K14" s="212">
        <v>4</v>
      </c>
      <c r="L14" s="212">
        <v>19</v>
      </c>
      <c r="M14" s="212">
        <v>9</v>
      </c>
      <c r="N14" s="212">
        <v>10</v>
      </c>
      <c r="O14" s="161" t="str">
        <f t="shared" si="0"/>
        <v>17 OZ , 11 (6+5), +10 ±</v>
      </c>
      <c r="P14" s="5" t="str">
        <f t="shared" si="1"/>
        <v>ANO</v>
      </c>
    </row>
    <row r="15" spans="1:26" x14ac:dyDescent="0.25">
      <c r="A15" s="54">
        <v>14</v>
      </c>
      <c r="B15" s="1" t="s">
        <v>302</v>
      </c>
      <c r="D15" s="212"/>
      <c r="E15" s="212">
        <v>25</v>
      </c>
      <c r="F15" s="212">
        <v>6</v>
      </c>
      <c r="G15" s="212">
        <v>0</v>
      </c>
      <c r="H15" s="212">
        <v>0</v>
      </c>
      <c r="I15" s="212">
        <v>5</v>
      </c>
      <c r="J15" s="212">
        <v>11</v>
      </c>
      <c r="K15" s="212">
        <v>4</v>
      </c>
      <c r="L15" s="212">
        <v>33</v>
      </c>
      <c r="M15" s="212">
        <v>17</v>
      </c>
      <c r="N15" s="212">
        <v>16</v>
      </c>
      <c r="O15" s="161" t="str">
        <f t="shared" si="0"/>
        <v>25 OZ , 11 (6+5), +16 ±</v>
      </c>
      <c r="P15" s="5" t="str">
        <f t="shared" si="1"/>
        <v>ANO</v>
      </c>
    </row>
    <row r="16" spans="1:26" x14ac:dyDescent="0.25">
      <c r="A16" s="54">
        <v>15</v>
      </c>
      <c r="B16" s="1" t="s">
        <v>307</v>
      </c>
      <c r="D16" s="212" t="s">
        <v>51</v>
      </c>
      <c r="E16" s="212">
        <v>26</v>
      </c>
      <c r="F16" s="212">
        <v>2</v>
      </c>
      <c r="G16" s="212">
        <v>0</v>
      </c>
      <c r="H16" s="212">
        <v>0</v>
      </c>
      <c r="I16" s="212">
        <v>6</v>
      </c>
      <c r="J16" s="212">
        <v>8</v>
      </c>
      <c r="K16" s="212">
        <v>4</v>
      </c>
      <c r="L16" s="212">
        <v>69</v>
      </c>
      <c r="M16" s="212">
        <v>33</v>
      </c>
      <c r="N16" s="212">
        <v>36</v>
      </c>
      <c r="O16" s="161" t="str">
        <f t="shared" si="0"/>
        <v>26 OZ , 8 (2+6), +36 ±</v>
      </c>
      <c r="P16" s="5" t="str">
        <f t="shared" si="1"/>
        <v>ANO</v>
      </c>
    </row>
    <row r="17" spans="1:16" x14ac:dyDescent="0.25">
      <c r="A17" s="54">
        <v>16</v>
      </c>
      <c r="B17" s="1" t="s">
        <v>306</v>
      </c>
      <c r="D17" s="212" t="s">
        <v>48</v>
      </c>
      <c r="E17" s="212">
        <v>26</v>
      </c>
      <c r="F17" s="212">
        <v>3</v>
      </c>
      <c r="G17" s="212">
        <v>0</v>
      </c>
      <c r="H17" s="212">
        <v>0</v>
      </c>
      <c r="I17" s="212">
        <v>4</v>
      </c>
      <c r="J17" s="212">
        <v>7</v>
      </c>
      <c r="K17" s="212">
        <v>2</v>
      </c>
      <c r="L17" s="212">
        <v>57</v>
      </c>
      <c r="M17" s="212">
        <v>23</v>
      </c>
      <c r="N17" s="212">
        <v>34</v>
      </c>
      <c r="O17" s="161" t="str">
        <f t="shared" si="0"/>
        <v>26 OZ , 7 (3+4), +34 ±</v>
      </c>
      <c r="P17" s="5" t="str">
        <f t="shared" si="1"/>
        <v>ANO</v>
      </c>
    </row>
    <row r="18" spans="1:16" x14ac:dyDescent="0.25">
      <c r="A18" s="54">
        <v>17</v>
      </c>
      <c r="B18" s="1" t="s">
        <v>305</v>
      </c>
      <c r="D18" s="212" t="s">
        <v>51</v>
      </c>
      <c r="E18" s="212">
        <v>22</v>
      </c>
      <c r="F18" s="212">
        <v>2</v>
      </c>
      <c r="G18" s="212">
        <v>0</v>
      </c>
      <c r="H18" s="212">
        <v>0</v>
      </c>
      <c r="I18" s="212">
        <v>3</v>
      </c>
      <c r="J18" s="212">
        <v>5</v>
      </c>
      <c r="K18" s="212">
        <v>4</v>
      </c>
      <c r="L18" s="212">
        <v>13</v>
      </c>
      <c r="M18" s="212">
        <v>7</v>
      </c>
      <c r="N18" s="212">
        <v>6</v>
      </c>
      <c r="O18" s="161" t="str">
        <f t="shared" si="0"/>
        <v>22 OZ , 5 (2+3), +6 ±</v>
      </c>
      <c r="P18" s="5" t="str">
        <f t="shared" si="1"/>
        <v>ANO</v>
      </c>
    </row>
    <row r="19" spans="1:16" x14ac:dyDescent="0.25">
      <c r="A19" s="54">
        <v>18</v>
      </c>
      <c r="B19" s="1" t="s">
        <v>304</v>
      </c>
      <c r="D19" s="212" t="s">
        <v>48</v>
      </c>
      <c r="E19" s="212">
        <v>6</v>
      </c>
      <c r="F19" s="212">
        <v>2</v>
      </c>
      <c r="G19" s="212">
        <v>0</v>
      </c>
      <c r="H19" s="212">
        <v>0</v>
      </c>
      <c r="I19" s="212">
        <v>1</v>
      </c>
      <c r="J19" s="212">
        <v>3</v>
      </c>
      <c r="K19" s="212">
        <v>2</v>
      </c>
      <c r="L19" s="212">
        <v>10</v>
      </c>
      <c r="M19" s="212">
        <v>6</v>
      </c>
      <c r="N19" s="212">
        <v>4</v>
      </c>
      <c r="O19" s="161" t="str">
        <f t="shared" si="0"/>
        <v>6 OZ , 3 (2+1), +4 ±</v>
      </c>
      <c r="P19" s="5" t="str">
        <f t="shared" si="1"/>
        <v>ANO</v>
      </c>
    </row>
    <row r="20" spans="1:16" x14ac:dyDescent="0.25">
      <c r="A20" s="54">
        <v>19</v>
      </c>
      <c r="B20" s="1" t="s">
        <v>308</v>
      </c>
      <c r="D20" s="212"/>
      <c r="E20" s="212">
        <v>4</v>
      </c>
      <c r="F20" s="212">
        <v>1</v>
      </c>
      <c r="G20" s="212">
        <v>0</v>
      </c>
      <c r="H20" s="212">
        <v>0</v>
      </c>
      <c r="I20" s="212">
        <v>0</v>
      </c>
      <c r="J20" s="212">
        <v>1</v>
      </c>
      <c r="K20" s="212">
        <v>0</v>
      </c>
      <c r="L20" s="212">
        <v>4</v>
      </c>
      <c r="M20" s="212">
        <v>1</v>
      </c>
      <c r="N20" s="212">
        <v>3</v>
      </c>
      <c r="O20" s="161" t="str">
        <f t="shared" si="0"/>
        <v>4 OZ , 1 (1+0), +3 ±</v>
      </c>
      <c r="P20" s="5" t="str">
        <f t="shared" si="1"/>
        <v>ANO</v>
      </c>
    </row>
    <row r="21" spans="1:16" x14ac:dyDescent="0.25">
      <c r="A21" s="54">
        <v>20</v>
      </c>
      <c r="B21" s="1" t="s">
        <v>316</v>
      </c>
      <c r="D21" s="212" t="s">
        <v>35</v>
      </c>
      <c r="E21" s="212">
        <v>0</v>
      </c>
      <c r="F21" s="212">
        <v>0</v>
      </c>
      <c r="G21" s="212">
        <v>0</v>
      </c>
      <c r="H21" s="212">
        <v>0</v>
      </c>
      <c r="I21" s="212">
        <v>1</v>
      </c>
      <c r="J21" s="212">
        <v>1</v>
      </c>
      <c r="K21" s="212">
        <v>0</v>
      </c>
      <c r="L21" s="212">
        <v>0</v>
      </c>
      <c r="M21" s="212">
        <v>0</v>
      </c>
      <c r="N21" s="212">
        <v>0</v>
      </c>
      <c r="O21" s="161" t="str">
        <f t="shared" si="0"/>
        <v>0 OZ , 1 (0+1), 0 ±</v>
      </c>
      <c r="P21" s="5" t="str">
        <f t="shared" si="1"/>
        <v>ANO</v>
      </c>
    </row>
    <row r="22" spans="1:16" x14ac:dyDescent="0.25">
      <c r="A22" s="54">
        <v>21</v>
      </c>
      <c r="B22" s="1" t="s">
        <v>312</v>
      </c>
      <c r="D22" s="212"/>
      <c r="E22" s="212">
        <v>1</v>
      </c>
      <c r="F22" s="212">
        <v>0</v>
      </c>
      <c r="G22" s="212">
        <v>0</v>
      </c>
      <c r="H22" s="212">
        <v>0</v>
      </c>
      <c r="I22" s="212">
        <v>0</v>
      </c>
      <c r="J22" s="212">
        <v>0</v>
      </c>
      <c r="K22" s="212">
        <v>0</v>
      </c>
      <c r="L22" s="212">
        <v>0</v>
      </c>
      <c r="M22" s="212">
        <v>0</v>
      </c>
      <c r="N22" s="212">
        <v>0</v>
      </c>
      <c r="O22" s="161" t="str">
        <f t="shared" si="0"/>
        <v>1 OZ , 0 (0+0), 0 ±</v>
      </c>
      <c r="P22" s="5" t="str">
        <f t="shared" si="1"/>
        <v>ANO</v>
      </c>
    </row>
    <row r="23" spans="1:16" x14ac:dyDescent="0.25">
      <c r="A23" s="54">
        <v>22</v>
      </c>
      <c r="B23" s="1" t="s">
        <v>309</v>
      </c>
      <c r="D23" s="212" t="s">
        <v>48</v>
      </c>
      <c r="E23" s="212">
        <v>1</v>
      </c>
      <c r="F23" s="212">
        <v>0</v>
      </c>
      <c r="G23" s="212">
        <v>0</v>
      </c>
      <c r="H23" s="212">
        <v>0</v>
      </c>
      <c r="I23" s="212">
        <v>0</v>
      </c>
      <c r="J23" s="212">
        <v>0</v>
      </c>
      <c r="K23" s="212">
        <v>0</v>
      </c>
      <c r="L23" s="212">
        <v>0</v>
      </c>
      <c r="M23" s="212">
        <v>0</v>
      </c>
      <c r="N23" s="212">
        <v>0</v>
      </c>
      <c r="O23" s="161" t="str">
        <f t="shared" si="0"/>
        <v>1 OZ , 0 (0+0), 0 ±</v>
      </c>
      <c r="P23" s="5" t="str">
        <f t="shared" si="1"/>
        <v>ANO</v>
      </c>
    </row>
    <row r="24" spans="1:16" x14ac:dyDescent="0.25">
      <c r="A24" s="53">
        <v>23</v>
      </c>
      <c r="B24" s="4" t="s">
        <v>328</v>
      </c>
      <c r="C24" s="4"/>
      <c r="D24" s="5" t="s">
        <v>35</v>
      </c>
      <c r="E24" s="5">
        <v>0</v>
      </c>
      <c r="F24" s="5">
        <v>0</v>
      </c>
      <c r="G24" s="5">
        <v>0</v>
      </c>
      <c r="H24" s="5">
        <v>0</v>
      </c>
      <c r="I24" s="5">
        <v>0</v>
      </c>
      <c r="J24" s="5">
        <v>0</v>
      </c>
      <c r="K24" s="5">
        <v>0</v>
      </c>
      <c r="L24" s="5">
        <v>0</v>
      </c>
      <c r="M24" s="5">
        <v>0</v>
      </c>
      <c r="N24" s="5">
        <v>0</v>
      </c>
      <c r="O24" s="161" t="str">
        <f t="shared" si="0"/>
        <v>0 OZ , 0 (0+0), 0 ±</v>
      </c>
      <c r="P24" s="5" t="str">
        <f t="shared" si="1"/>
        <v>ANO</v>
      </c>
    </row>
    <row r="25" spans="1:16" x14ac:dyDescent="0.25">
      <c r="A25" s="53">
        <v>24</v>
      </c>
      <c r="B25" s="4" t="s">
        <v>314</v>
      </c>
      <c r="C25" s="4"/>
      <c r="D25" s="5"/>
      <c r="E25" s="5">
        <v>6</v>
      </c>
      <c r="F25" s="5">
        <v>0</v>
      </c>
      <c r="G25" s="5">
        <v>0</v>
      </c>
      <c r="H25" s="5">
        <v>0</v>
      </c>
      <c r="I25" s="5">
        <v>0</v>
      </c>
      <c r="J25" s="5">
        <v>0</v>
      </c>
      <c r="K25" s="5">
        <v>0</v>
      </c>
      <c r="L25" s="5">
        <v>0</v>
      </c>
      <c r="M25" s="5">
        <v>0</v>
      </c>
      <c r="N25" s="5">
        <v>0</v>
      </c>
      <c r="O25" s="161" t="str">
        <f t="shared" si="0"/>
        <v>6 OZ , 0 (0+0), 0 ±</v>
      </c>
      <c r="P25" s="5" t="str">
        <f t="shared" si="1"/>
        <v>ANO</v>
      </c>
    </row>
    <row r="26" spans="1:16" x14ac:dyDescent="0.25">
      <c r="A26" s="53">
        <v>25</v>
      </c>
      <c r="B26" s="4" t="s">
        <v>311</v>
      </c>
      <c r="C26" s="4"/>
      <c r="D26" s="5" t="s">
        <v>51</v>
      </c>
      <c r="E26" s="5">
        <v>7</v>
      </c>
      <c r="F26" s="5">
        <v>0</v>
      </c>
      <c r="G26" s="5">
        <v>0</v>
      </c>
      <c r="H26" s="5">
        <v>0</v>
      </c>
      <c r="I26" s="5">
        <v>0</v>
      </c>
      <c r="J26" s="5">
        <v>0</v>
      </c>
      <c r="K26" s="5">
        <v>0</v>
      </c>
      <c r="L26" s="5">
        <v>0</v>
      </c>
      <c r="M26" s="5">
        <v>0</v>
      </c>
      <c r="N26" s="5">
        <v>0</v>
      </c>
      <c r="O26" s="161" t="str">
        <f t="shared" si="0"/>
        <v>7 OZ , 0 (0+0), 0 ±</v>
      </c>
      <c r="P26" s="5" t="str">
        <f t="shared" si="1"/>
        <v>ANO</v>
      </c>
    </row>
    <row r="27" spans="1:16" x14ac:dyDescent="0.25">
      <c r="A27" s="53">
        <v>26</v>
      </c>
      <c r="B27" s="4" t="s">
        <v>310</v>
      </c>
      <c r="C27" s="4"/>
      <c r="D27" s="5" t="s">
        <v>51</v>
      </c>
      <c r="E27" s="5">
        <v>7</v>
      </c>
      <c r="F27" s="5">
        <v>0</v>
      </c>
      <c r="G27" s="5">
        <v>0</v>
      </c>
      <c r="H27" s="5">
        <v>0</v>
      </c>
      <c r="I27" s="5">
        <v>0</v>
      </c>
      <c r="J27" s="5">
        <v>0</v>
      </c>
      <c r="K27" s="5">
        <v>0</v>
      </c>
      <c r="L27" s="5">
        <v>0</v>
      </c>
      <c r="M27" s="5">
        <v>0</v>
      </c>
      <c r="N27" s="5">
        <v>0</v>
      </c>
      <c r="O27" s="161" t="str">
        <f t="shared" si="0"/>
        <v>7 OZ , 0 (0+0), 0 ±</v>
      </c>
      <c r="P27" s="5" t="str">
        <f t="shared" si="1"/>
        <v>ANO</v>
      </c>
    </row>
    <row r="28" spans="1:16" x14ac:dyDescent="0.25">
      <c r="A28" s="53">
        <v>27</v>
      </c>
      <c r="B28" s="4" t="s">
        <v>315</v>
      </c>
      <c r="C28" s="4"/>
      <c r="D28" s="5" t="s">
        <v>35</v>
      </c>
      <c r="E28" s="5">
        <v>0</v>
      </c>
      <c r="F28" s="5">
        <v>0</v>
      </c>
      <c r="G28" s="5">
        <v>0</v>
      </c>
      <c r="H28" s="5">
        <v>0</v>
      </c>
      <c r="I28" s="5">
        <v>0</v>
      </c>
      <c r="J28" s="5">
        <v>0</v>
      </c>
      <c r="K28" s="5">
        <v>0</v>
      </c>
      <c r="L28" s="5">
        <v>0</v>
      </c>
      <c r="M28" s="5">
        <v>0</v>
      </c>
      <c r="N28" s="5">
        <v>0</v>
      </c>
      <c r="O28" s="161" t="str">
        <f t="shared" si="0"/>
        <v>0 OZ , 0 (0+0), 0 ±</v>
      </c>
      <c r="P28" s="5" t="str">
        <f t="shared" si="1"/>
        <v>ANO</v>
      </c>
    </row>
    <row r="29" spans="1:16" x14ac:dyDescent="0.25">
      <c r="A29" s="53">
        <v>28</v>
      </c>
      <c r="B29" s="4" t="s">
        <v>313</v>
      </c>
      <c r="C29" s="4"/>
      <c r="D29" s="5" t="s">
        <v>35</v>
      </c>
      <c r="E29" s="5">
        <v>0</v>
      </c>
      <c r="F29" s="5">
        <v>0</v>
      </c>
      <c r="G29" s="5">
        <v>0</v>
      </c>
      <c r="H29" s="5">
        <v>0</v>
      </c>
      <c r="I29" s="5">
        <v>0</v>
      </c>
      <c r="J29" s="5">
        <v>0</v>
      </c>
      <c r="K29" s="5">
        <v>0</v>
      </c>
      <c r="L29" s="5">
        <v>0</v>
      </c>
      <c r="M29" s="5">
        <v>0</v>
      </c>
      <c r="N29" s="5">
        <v>0</v>
      </c>
      <c r="O29" s="161" t="str">
        <f t="shared" si="0"/>
        <v>0 OZ , 0 (0+0), 0 ±</v>
      </c>
      <c r="P29" s="5" t="str">
        <f t="shared" si="1"/>
        <v>ANO</v>
      </c>
    </row>
    <row r="30" spans="1:16" x14ac:dyDescent="0.25">
      <c r="A30" s="54"/>
      <c r="O30" s="161" t="str">
        <f t="shared" si="0"/>
        <v/>
      </c>
      <c r="P30" s="5" t="str">
        <f t="shared" si="1"/>
        <v/>
      </c>
    </row>
    <row r="31" spans="1:16" x14ac:dyDescent="0.25">
      <c r="A31" s="54"/>
      <c r="O31" s="161" t="str">
        <f t="shared" si="0"/>
        <v/>
      </c>
      <c r="P31" s="5" t="str">
        <f t="shared" si="1"/>
        <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10" customFormat="1" ht="15" customHeight="1" x14ac:dyDescent="0.25">
      <c r="A38" s="8" t="s">
        <v>58</v>
      </c>
      <c r="B38" s="110" t="s">
        <v>59</v>
      </c>
      <c r="D38" s="110" t="s">
        <v>83</v>
      </c>
      <c r="E38" s="110" t="s">
        <v>84</v>
      </c>
      <c r="F38" s="110" t="s">
        <v>85</v>
      </c>
      <c r="G38" s="110" t="s">
        <v>40</v>
      </c>
      <c r="H38" s="110" t="s">
        <v>86</v>
      </c>
      <c r="I38" s="110" t="s">
        <v>87</v>
      </c>
      <c r="J38" s="110" t="s">
        <v>88</v>
      </c>
      <c r="K38" s="110" t="s">
        <v>79</v>
      </c>
      <c r="L38" s="110" t="s">
        <v>41</v>
      </c>
      <c r="M38" s="110" t="s">
        <v>89</v>
      </c>
      <c r="N38" s="3" t="s">
        <v>37</v>
      </c>
      <c r="O38" s="110" t="s">
        <v>38</v>
      </c>
      <c r="P38" s="110" t="s">
        <v>90</v>
      </c>
      <c r="Q38" s="110" t="s">
        <v>91</v>
      </c>
      <c r="R38" s="110" t="s">
        <v>92</v>
      </c>
    </row>
    <row r="39" spans="1:27" x14ac:dyDescent="0.25">
      <c r="A39" s="54">
        <v>1</v>
      </c>
      <c r="B39" t="s">
        <v>316</v>
      </c>
      <c r="C39"/>
      <c r="D39" s="190">
        <v>26</v>
      </c>
      <c r="E39" s="190">
        <v>23</v>
      </c>
      <c r="F39" s="190">
        <v>1345.3</v>
      </c>
      <c r="G39" s="190">
        <v>22</v>
      </c>
      <c r="H39" s="190">
        <v>70</v>
      </c>
      <c r="I39" s="190">
        <v>0</v>
      </c>
      <c r="J39" s="190">
        <v>392</v>
      </c>
      <c r="K39" s="190">
        <v>0</v>
      </c>
      <c r="L39" s="190">
        <v>1</v>
      </c>
      <c r="M39" s="190">
        <v>322</v>
      </c>
      <c r="N39" s="190">
        <v>1</v>
      </c>
      <c r="O39" s="190">
        <v>0</v>
      </c>
      <c r="P39" s="11">
        <f>IF(B39&lt;&gt;0,IFERROR(H39/(F39/60),0),"")</f>
        <v>3.1219802274585593</v>
      </c>
      <c r="Q39" s="11">
        <f>IF(B39&lt;&gt;0,IFERROR((M39/J39)*100,0),"")</f>
        <v>82.142857142857139</v>
      </c>
      <c r="R39" s="112" t="str">
        <f>IF(B39&lt;&gt;0,CONCATENATE(G39, " V, ",L39," P"),"")</f>
        <v>22 V, 1 P</v>
      </c>
    </row>
    <row r="40" spans="1:27" x14ac:dyDescent="0.25">
      <c r="A40" s="54">
        <v>2</v>
      </c>
      <c r="B40" t="s">
        <v>315</v>
      </c>
      <c r="C40"/>
      <c r="D40" s="190">
        <v>8</v>
      </c>
      <c r="E40" s="190">
        <v>3</v>
      </c>
      <c r="F40" s="190">
        <v>177.18</v>
      </c>
      <c r="G40" s="190">
        <v>3</v>
      </c>
      <c r="H40" s="190">
        <v>14</v>
      </c>
      <c r="I40" s="190">
        <v>0</v>
      </c>
      <c r="J40" s="190">
        <v>62</v>
      </c>
      <c r="K40" s="190">
        <v>0</v>
      </c>
      <c r="L40" s="190">
        <v>0</v>
      </c>
      <c r="M40" s="190">
        <v>48</v>
      </c>
      <c r="N40" s="190">
        <v>0</v>
      </c>
      <c r="O40" s="190">
        <v>0</v>
      </c>
      <c r="P40" s="11">
        <f t="shared" ref="P40:P45" si="2">IF(B40&lt;&gt;0,IFERROR(H40/(F40/60),0),"")</f>
        <v>4.740941415509651</v>
      </c>
      <c r="Q40" s="11">
        <f t="shared" ref="Q40:Q45" si="3">IF(B40&lt;&gt;0,IFERROR((M40/J40)*100,0),"")</f>
        <v>77.41935483870968</v>
      </c>
      <c r="R40" s="112" t="str">
        <f t="shared" ref="R40:R45" si="4">IF(B40&lt;&gt;0,CONCATENATE(G40, " V, ",L40," P"),"")</f>
        <v>3 V, 0 P</v>
      </c>
    </row>
    <row r="41" spans="1:27" x14ac:dyDescent="0.25">
      <c r="A41" s="54">
        <v>3</v>
      </c>
      <c r="B41" t="s">
        <v>328</v>
      </c>
      <c r="C41"/>
      <c r="D41" s="190">
        <v>5</v>
      </c>
      <c r="E41" s="190">
        <v>1</v>
      </c>
      <c r="F41" s="190">
        <v>20</v>
      </c>
      <c r="G41" s="190">
        <v>1</v>
      </c>
      <c r="H41" s="190">
        <v>0</v>
      </c>
      <c r="I41" s="190">
        <v>0</v>
      </c>
      <c r="J41" s="190">
        <v>5</v>
      </c>
      <c r="K41" s="190">
        <v>0</v>
      </c>
      <c r="L41" s="190">
        <v>0</v>
      </c>
      <c r="M41" s="190">
        <v>5</v>
      </c>
      <c r="N41" s="190">
        <v>0</v>
      </c>
      <c r="O41" s="190">
        <v>0</v>
      </c>
      <c r="P41" s="11">
        <f t="shared" si="2"/>
        <v>0</v>
      </c>
      <c r="Q41" s="11">
        <f t="shared" si="3"/>
        <v>100</v>
      </c>
      <c r="R41" s="112" t="str">
        <f t="shared" si="4"/>
        <v>1 V, 0 P</v>
      </c>
    </row>
    <row r="42" spans="1:27" x14ac:dyDescent="0.25">
      <c r="A42" s="54">
        <v>4</v>
      </c>
      <c r="B42" t="s">
        <v>313</v>
      </c>
      <c r="C42"/>
      <c r="D42" s="190">
        <v>13</v>
      </c>
      <c r="E42" s="190">
        <v>1</v>
      </c>
      <c r="F42" s="123">
        <v>20</v>
      </c>
      <c r="G42" s="190">
        <v>1</v>
      </c>
      <c r="H42" s="190">
        <v>5</v>
      </c>
      <c r="I42" s="190">
        <v>0</v>
      </c>
      <c r="J42" s="190">
        <v>14</v>
      </c>
      <c r="K42" s="190">
        <v>0</v>
      </c>
      <c r="L42" s="190">
        <v>0</v>
      </c>
      <c r="M42" s="190">
        <v>9</v>
      </c>
      <c r="N42" s="190">
        <v>0</v>
      </c>
      <c r="O42" s="190">
        <v>0</v>
      </c>
      <c r="P42" s="11">
        <f t="shared" si="2"/>
        <v>15</v>
      </c>
      <c r="Q42" s="11">
        <f t="shared" si="3"/>
        <v>64.285714285714292</v>
      </c>
      <c r="R42" s="112" t="str">
        <f t="shared" si="4"/>
        <v>1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2" t="s">
        <v>289</v>
      </c>
      <c r="Y46" s="402"/>
      <c r="Z46" s="402"/>
      <c r="AA46" s="402"/>
    </row>
    <row r="47" spans="1:27" s="110" customFormat="1" ht="15" customHeight="1" x14ac:dyDescent="0.25">
      <c r="A47" s="7">
        <f ca="1">TODAY()</f>
        <v>44263</v>
      </c>
      <c r="B47" s="110" t="s">
        <v>59</v>
      </c>
      <c r="C47" s="110" t="s">
        <v>66</v>
      </c>
      <c r="D47" s="110" t="s">
        <v>67</v>
      </c>
      <c r="E47" s="110" t="s">
        <v>70</v>
      </c>
      <c r="F47" s="110" t="s">
        <v>71</v>
      </c>
      <c r="G47" s="110" t="s">
        <v>72</v>
      </c>
      <c r="H47" s="110" t="s">
        <v>73</v>
      </c>
      <c r="I47" s="110" t="s">
        <v>45</v>
      </c>
      <c r="J47" s="110" t="s">
        <v>58</v>
      </c>
      <c r="K47" s="110" t="s">
        <v>159</v>
      </c>
      <c r="L47" s="110" t="s">
        <v>77</v>
      </c>
      <c r="M47" s="110" t="s">
        <v>68</v>
      </c>
      <c r="N47" s="110" t="s">
        <v>69</v>
      </c>
      <c r="O47" s="110" t="s">
        <v>81</v>
      </c>
      <c r="P47" s="110" t="s">
        <v>82</v>
      </c>
      <c r="Q47" s="110" t="s">
        <v>74</v>
      </c>
      <c r="R47" s="110" t="s">
        <v>75</v>
      </c>
      <c r="S47" s="110" t="s">
        <v>93</v>
      </c>
      <c r="T47" s="110" t="s">
        <v>158</v>
      </c>
      <c r="U47" s="110" t="s">
        <v>281</v>
      </c>
      <c r="V47" s="110" t="s">
        <v>282</v>
      </c>
      <c r="W47" s="110" t="s">
        <v>283</v>
      </c>
      <c r="X47" s="110" t="s">
        <v>288</v>
      </c>
      <c r="Y47" s="110" t="s">
        <v>286</v>
      </c>
      <c r="Z47" s="110" t="s">
        <v>287</v>
      </c>
      <c r="AA47" s="162" t="s">
        <v>462</v>
      </c>
    </row>
    <row r="48" spans="1:27" ht="15" customHeight="1" x14ac:dyDescent="0.25">
      <c r="B48" s="186" t="s">
        <v>316</v>
      </c>
      <c r="C48" s="185">
        <v>33335</v>
      </c>
      <c r="D48" s="180">
        <f t="shared" ref="D48:D75" ca="1" si="5">IF(C48 &lt;&gt; 0,ROUNDDOWN(($A$47-C48)/365.25,0),"")</f>
        <v>29</v>
      </c>
      <c r="E48" s="188">
        <v>137</v>
      </c>
      <c r="F48" s="188">
        <v>0</v>
      </c>
      <c r="G48" s="188">
        <v>8</v>
      </c>
      <c r="H48" s="180">
        <f t="shared" ref="H48:H75" si="6">IF(B48&lt;&gt;0,F48+G48,"")</f>
        <v>8</v>
      </c>
      <c r="I48" s="189">
        <v>11</v>
      </c>
      <c r="J48" s="189">
        <v>74</v>
      </c>
      <c r="K48" s="189"/>
      <c r="L48" s="189" t="s">
        <v>30</v>
      </c>
      <c r="M48" s="189">
        <v>192</v>
      </c>
      <c r="N48" s="189">
        <v>98</v>
      </c>
      <c r="O48" s="180" t="str">
        <f t="shared" ref="O48:O75" si="7">IF(B48&lt;&gt;0,CONCATENATE(E48+IFERROR(VLOOKUP(B48,$B$2:$N$36,4,FALSE),0) + X48, " OZ, ", H48+IFERROR(VLOOKUP(B48,$B$2:$N$36,9,FALSE),0) + Y48+Z48, " (", F48+IFERROR(VLOOKUP(B48,$B$2:$N$36,5,FALSE),0) + Y48, "+",G48+IFERROR(VLOOKUP(B48,$B$2:$N$36,8,FALSE),0) +  Z48, ")"), "")</f>
        <v>137 OZ, 9 (0+9)</v>
      </c>
      <c r="P48" s="180" t="str">
        <f t="shared" ref="P48:P75" si="8">IF(M48&lt;&gt;0,CONCATENATE(M48,"/",N48),"")</f>
        <v>192/98</v>
      </c>
      <c r="Q48" s="192" t="s">
        <v>666</v>
      </c>
      <c r="R48" s="191"/>
      <c r="S48" s="180" t="str">
        <f t="shared" ref="S48:S75" si="9">IFERROR(CONCATENATE(E48+VLOOKUP(B48,$B$39:$R$42,4,FALSE), " OZ, ",G48+VLOOKUP(B48,$B$39:$R$42,13,FALSE), " A"),"")</f>
        <v>160 OZ, 9 A</v>
      </c>
      <c r="T48" s="1" t="str">
        <f t="shared" ref="T48:T75" si="10">IF(B48&lt;&gt;0,IF(V48=1,U48,CONCATENATE(U48," ",W48,".")),"")</f>
        <v>Bauer</v>
      </c>
      <c r="U48" s="1" t="str">
        <f t="shared" ref="U48:U75" si="11">IFERROR(RIGHT(B48,LEN(B48)-SEARCH(" ", B48,1)),"")</f>
        <v>Bauer</v>
      </c>
      <c r="V48" s="180">
        <f t="shared" ref="V48:V75" si="12">IF(B48&lt;&gt;0,COUNTIF($U$48:$U$82,U48),"")</f>
        <v>1</v>
      </c>
      <c r="W48" s="180" t="str">
        <f t="shared" ref="W48:W75" si="13">IFERROR(LEFT(LEFT(B48,SEARCH(" ",B48,1)),1),"")</f>
        <v>L</v>
      </c>
      <c r="X48" s="139"/>
      <c r="Y48" s="139"/>
      <c r="Z48" s="139"/>
      <c r="AA48" s="138"/>
    </row>
    <row r="49" spans="2:27" ht="15" customHeight="1" x14ac:dyDescent="0.25">
      <c r="B49" s="187" t="s">
        <v>292</v>
      </c>
      <c r="C49" s="185">
        <v>35871</v>
      </c>
      <c r="D49" s="180">
        <f t="shared" ca="1" si="5"/>
        <v>22</v>
      </c>
      <c r="E49" s="188">
        <v>112</v>
      </c>
      <c r="F49" s="188">
        <v>47</v>
      </c>
      <c r="G49" s="188">
        <v>23</v>
      </c>
      <c r="H49" s="180">
        <f t="shared" si="6"/>
        <v>70</v>
      </c>
      <c r="I49" s="189">
        <v>6</v>
      </c>
      <c r="J49" s="189">
        <v>17</v>
      </c>
      <c r="K49" s="189"/>
      <c r="L49" s="189" t="s">
        <v>78</v>
      </c>
      <c r="M49" s="189">
        <v>181</v>
      </c>
      <c r="N49" s="189">
        <v>62</v>
      </c>
      <c r="O49" s="180" t="str">
        <f t="shared" si="7"/>
        <v>138 OZ, 114 (84+30)</v>
      </c>
      <c r="P49" s="180" t="str">
        <f t="shared" si="8"/>
        <v>181/62</v>
      </c>
      <c r="Q49" s="192" t="s">
        <v>667</v>
      </c>
      <c r="R49" s="191">
        <v>2006</v>
      </c>
      <c r="S49" s="180" t="str">
        <f t="shared" si="9"/>
        <v/>
      </c>
      <c r="T49" s="1" t="str">
        <f t="shared" si="10"/>
        <v>Bína</v>
      </c>
      <c r="U49" s="1" t="str">
        <f t="shared" si="11"/>
        <v>Bína</v>
      </c>
      <c r="V49" s="180">
        <f t="shared" si="12"/>
        <v>1</v>
      </c>
      <c r="W49" s="180" t="str">
        <f t="shared" si="13"/>
        <v>J</v>
      </c>
      <c r="X49" s="139"/>
      <c r="Y49" s="139"/>
      <c r="Z49" s="139"/>
      <c r="AA49" s="138"/>
    </row>
    <row r="50" spans="2:27" ht="15" customHeight="1" x14ac:dyDescent="0.25">
      <c r="B50" s="187" t="s">
        <v>290</v>
      </c>
      <c r="C50" s="185">
        <v>32786</v>
      </c>
      <c r="D50" s="180">
        <f t="shared" ca="1" si="5"/>
        <v>31</v>
      </c>
      <c r="E50" s="188">
        <v>309</v>
      </c>
      <c r="F50" s="188">
        <v>382</v>
      </c>
      <c r="G50" s="188">
        <v>302</v>
      </c>
      <c r="H50" s="180">
        <f t="shared" si="6"/>
        <v>684</v>
      </c>
      <c r="I50" s="189">
        <v>15</v>
      </c>
      <c r="J50" s="189">
        <v>40</v>
      </c>
      <c r="K50" s="189"/>
      <c r="L50" s="189" t="s">
        <v>78</v>
      </c>
      <c r="M50" s="189">
        <v>180</v>
      </c>
      <c r="N50" s="189">
        <v>77</v>
      </c>
      <c r="O50" s="180" t="str">
        <f t="shared" si="7"/>
        <v>335 OZ, 735 (403+332)</v>
      </c>
      <c r="P50" s="180" t="str">
        <f t="shared" si="8"/>
        <v>180/77</v>
      </c>
      <c r="Q50" s="192" t="s">
        <v>668</v>
      </c>
      <c r="R50" s="191">
        <v>2004</v>
      </c>
      <c r="S50" s="180" t="str">
        <f t="shared" si="9"/>
        <v/>
      </c>
      <c r="T50" s="1" t="str">
        <f t="shared" si="10"/>
        <v>Curney</v>
      </c>
      <c r="U50" s="1" t="str">
        <f t="shared" si="11"/>
        <v>Curney</v>
      </c>
      <c r="V50" s="180">
        <f t="shared" si="12"/>
        <v>1</v>
      </c>
      <c r="W50" s="180" t="str">
        <f t="shared" si="13"/>
        <v>J</v>
      </c>
      <c r="X50" s="139"/>
      <c r="Y50" s="139"/>
      <c r="Z50" s="139"/>
      <c r="AA50" s="138"/>
    </row>
    <row r="51" spans="2:27" ht="15" customHeight="1" x14ac:dyDescent="0.25">
      <c r="B51" s="186" t="s">
        <v>308</v>
      </c>
      <c r="C51" s="185">
        <v>32496</v>
      </c>
      <c r="D51" s="180">
        <f t="shared" ca="1" si="5"/>
        <v>32</v>
      </c>
      <c r="E51" s="188">
        <v>200</v>
      </c>
      <c r="F51" s="188">
        <v>103</v>
      </c>
      <c r="G51" s="188">
        <v>79</v>
      </c>
      <c r="H51" s="180">
        <f t="shared" si="6"/>
        <v>182</v>
      </c>
      <c r="I51" s="189">
        <v>12</v>
      </c>
      <c r="J51" s="189">
        <v>6</v>
      </c>
      <c r="K51" s="189"/>
      <c r="L51" s="189" t="s">
        <v>41</v>
      </c>
      <c r="M51" s="189">
        <v>177</v>
      </c>
      <c r="N51" s="189">
        <v>73</v>
      </c>
      <c r="O51" s="180" t="str">
        <f t="shared" si="7"/>
        <v>204 OZ, 183 (104+79)</v>
      </c>
      <c r="P51" s="180" t="str">
        <f t="shared" si="8"/>
        <v>177/73</v>
      </c>
      <c r="Q51" s="192" t="s">
        <v>206</v>
      </c>
      <c r="R51" s="191">
        <v>2003</v>
      </c>
      <c r="S51" s="180" t="str">
        <f t="shared" si="9"/>
        <v/>
      </c>
      <c r="T51" s="1" t="str">
        <f t="shared" si="10"/>
        <v>Daniš</v>
      </c>
      <c r="U51" s="1" t="str">
        <f t="shared" si="11"/>
        <v>Daniš</v>
      </c>
      <c r="V51" s="180">
        <f t="shared" si="12"/>
        <v>1</v>
      </c>
      <c r="W51" s="180" t="str">
        <f t="shared" si="13"/>
        <v>J</v>
      </c>
      <c r="X51" s="139"/>
      <c r="Y51" s="139"/>
      <c r="Z51" s="139"/>
      <c r="AA51" s="138"/>
    </row>
    <row r="52" spans="2:27" ht="15" customHeight="1" x14ac:dyDescent="0.25">
      <c r="B52" s="186" t="s">
        <v>309</v>
      </c>
      <c r="C52" s="185">
        <v>37081</v>
      </c>
      <c r="D52" s="180">
        <f t="shared" ca="1" si="5"/>
        <v>19</v>
      </c>
      <c r="E52" s="188">
        <v>1</v>
      </c>
      <c r="F52" s="188">
        <v>0</v>
      </c>
      <c r="G52" s="188">
        <v>0</v>
      </c>
      <c r="H52" s="180">
        <f t="shared" si="6"/>
        <v>0</v>
      </c>
      <c r="I52" s="189">
        <v>2</v>
      </c>
      <c r="J52" s="189">
        <v>21</v>
      </c>
      <c r="K52" s="189"/>
      <c r="L52" s="189" t="s">
        <v>78</v>
      </c>
      <c r="M52" s="189">
        <v>178</v>
      </c>
      <c r="N52" s="189">
        <v>64</v>
      </c>
      <c r="O52" s="180" t="str">
        <f t="shared" si="7"/>
        <v>2 OZ, 0 (0+0)</v>
      </c>
      <c r="P52" s="180" t="str">
        <f t="shared" si="8"/>
        <v>178/64</v>
      </c>
      <c r="Q52" s="192" t="s">
        <v>669</v>
      </c>
      <c r="R52" s="191">
        <v>2010</v>
      </c>
      <c r="S52" s="180" t="str">
        <f t="shared" si="9"/>
        <v/>
      </c>
      <c r="T52" s="1" t="str">
        <f t="shared" si="10"/>
        <v>Goll</v>
      </c>
      <c r="U52" s="1" t="str">
        <f t="shared" si="11"/>
        <v>Goll</v>
      </c>
      <c r="V52" s="180">
        <f t="shared" si="12"/>
        <v>1</v>
      </c>
      <c r="W52" s="180" t="str">
        <f t="shared" si="13"/>
        <v>D</v>
      </c>
      <c r="X52" s="139"/>
      <c r="Y52" s="139"/>
      <c r="Z52" s="139"/>
      <c r="AA52" s="138"/>
    </row>
    <row r="53" spans="2:27" ht="15" customHeight="1" x14ac:dyDescent="0.25">
      <c r="B53" s="186" t="s">
        <v>307</v>
      </c>
      <c r="C53" s="185">
        <v>34602</v>
      </c>
      <c r="D53" s="180">
        <f t="shared" ca="1" si="5"/>
        <v>26</v>
      </c>
      <c r="E53" s="188">
        <v>181</v>
      </c>
      <c r="F53" s="188">
        <v>76</v>
      </c>
      <c r="G53" s="188">
        <v>51</v>
      </c>
      <c r="H53" s="180">
        <f t="shared" si="6"/>
        <v>127</v>
      </c>
      <c r="I53" s="189">
        <v>10</v>
      </c>
      <c r="J53" s="189">
        <v>25</v>
      </c>
      <c r="K53" s="189"/>
      <c r="L53" s="189" t="s">
        <v>41</v>
      </c>
      <c r="M53" s="189">
        <v>185</v>
      </c>
      <c r="N53" s="189">
        <v>84</v>
      </c>
      <c r="O53" s="180" t="str">
        <f t="shared" si="7"/>
        <v>207 OZ, 135 (78+57)</v>
      </c>
      <c r="P53" s="180" t="str">
        <f t="shared" si="8"/>
        <v>185/84</v>
      </c>
      <c r="Q53" s="192" t="s">
        <v>666</v>
      </c>
      <c r="R53" s="191">
        <v>2005</v>
      </c>
      <c r="S53" s="180" t="str">
        <f t="shared" si="9"/>
        <v/>
      </c>
      <c r="T53" s="1" t="str">
        <f t="shared" si="10"/>
        <v>Gruber</v>
      </c>
      <c r="U53" s="1" t="str">
        <f t="shared" si="11"/>
        <v>Gruber</v>
      </c>
      <c r="V53" s="180">
        <f t="shared" si="12"/>
        <v>1</v>
      </c>
      <c r="W53" s="180" t="str">
        <f t="shared" si="13"/>
        <v>J</v>
      </c>
      <c r="X53" s="139"/>
      <c r="Y53" s="139"/>
      <c r="Z53" s="139"/>
      <c r="AA53" s="138"/>
    </row>
    <row r="54" spans="2:27" ht="15" customHeight="1" x14ac:dyDescent="0.25">
      <c r="B54" s="186" t="s">
        <v>305</v>
      </c>
      <c r="C54" s="185">
        <v>35213</v>
      </c>
      <c r="D54" s="180">
        <f t="shared" ca="1" si="5"/>
        <v>24</v>
      </c>
      <c r="E54" s="188">
        <v>130</v>
      </c>
      <c r="F54" s="188">
        <v>35</v>
      </c>
      <c r="G54" s="188">
        <v>30</v>
      </c>
      <c r="H54" s="180">
        <f t="shared" si="6"/>
        <v>65</v>
      </c>
      <c r="I54" s="189">
        <v>8</v>
      </c>
      <c r="J54" s="189">
        <v>28</v>
      </c>
      <c r="K54" s="189"/>
      <c r="L54" s="189" t="s">
        <v>41</v>
      </c>
      <c r="M54" s="189">
        <v>183</v>
      </c>
      <c r="N54" s="189">
        <v>85</v>
      </c>
      <c r="O54" s="180" t="str">
        <f t="shared" si="7"/>
        <v>152 OZ, 70 (37+33)</v>
      </c>
      <c r="P54" s="180" t="str">
        <f t="shared" si="8"/>
        <v>183/85</v>
      </c>
      <c r="Q54" s="192" t="s">
        <v>107</v>
      </c>
      <c r="R54" s="191">
        <v>2006</v>
      </c>
      <c r="S54" s="180" t="str">
        <f t="shared" si="9"/>
        <v/>
      </c>
      <c r="T54" s="1" t="str">
        <f t="shared" si="10"/>
        <v>Höffer</v>
      </c>
      <c r="U54" s="1" t="str">
        <f t="shared" si="11"/>
        <v>Höffer</v>
      </c>
      <c r="V54" s="180">
        <f t="shared" si="12"/>
        <v>1</v>
      </c>
      <c r="W54" s="180" t="str">
        <f t="shared" si="13"/>
        <v>A</v>
      </c>
      <c r="X54" s="139"/>
      <c r="Y54" s="139"/>
      <c r="Z54" s="139"/>
      <c r="AA54" s="138"/>
    </row>
    <row r="55" spans="2:27" ht="15" customHeight="1" x14ac:dyDescent="0.25">
      <c r="B55" s="186" t="s">
        <v>298</v>
      </c>
      <c r="C55" s="185">
        <v>34634</v>
      </c>
      <c r="D55" s="180">
        <f t="shared" ca="1" si="5"/>
        <v>26</v>
      </c>
      <c r="E55" s="188">
        <v>185</v>
      </c>
      <c r="F55" s="188">
        <v>97</v>
      </c>
      <c r="G55" s="188">
        <v>66</v>
      </c>
      <c r="H55" s="180">
        <f t="shared" si="6"/>
        <v>163</v>
      </c>
      <c r="I55" s="189">
        <v>10</v>
      </c>
      <c r="J55" s="189">
        <v>16</v>
      </c>
      <c r="K55" s="189"/>
      <c r="L55" s="189" t="s">
        <v>41</v>
      </c>
      <c r="M55" s="189">
        <v>177</v>
      </c>
      <c r="N55" s="189">
        <v>82</v>
      </c>
      <c r="O55" s="180" t="str">
        <f t="shared" si="7"/>
        <v>210 OZ, 184 (111+73)</v>
      </c>
      <c r="P55" s="180" t="str">
        <f t="shared" si="8"/>
        <v>177/82</v>
      </c>
      <c r="Q55" s="192" t="s">
        <v>670</v>
      </c>
      <c r="R55" s="191">
        <v>2005</v>
      </c>
      <c r="S55" s="180" t="str">
        <f t="shared" si="9"/>
        <v/>
      </c>
      <c r="T55" s="1" t="s">
        <v>679</v>
      </c>
      <c r="U55" s="1" t="str">
        <f t="shared" si="11"/>
        <v>Chroust</v>
      </c>
      <c r="V55" s="180">
        <f t="shared" si="12"/>
        <v>2</v>
      </c>
      <c r="W55" s="180" t="str">
        <f t="shared" si="13"/>
        <v>T</v>
      </c>
      <c r="X55" s="139"/>
      <c r="Y55" s="139"/>
      <c r="Z55" s="139"/>
      <c r="AA55" s="138"/>
    </row>
    <row r="56" spans="2:27" ht="15" customHeight="1" x14ac:dyDescent="0.25">
      <c r="B56" s="186" t="s">
        <v>295</v>
      </c>
      <c r="C56" s="185">
        <v>33799</v>
      </c>
      <c r="D56" s="180">
        <f t="shared" ca="1" si="5"/>
        <v>28</v>
      </c>
      <c r="E56" s="188">
        <v>183</v>
      </c>
      <c r="F56" s="188">
        <v>128</v>
      </c>
      <c r="G56" s="188">
        <v>68</v>
      </c>
      <c r="H56" s="180">
        <f t="shared" si="6"/>
        <v>196</v>
      </c>
      <c r="I56" s="189">
        <v>9</v>
      </c>
      <c r="J56" s="189">
        <v>14</v>
      </c>
      <c r="K56" s="189"/>
      <c r="L56" s="189" t="s">
        <v>78</v>
      </c>
      <c r="M56" s="189">
        <v>183</v>
      </c>
      <c r="N56" s="189">
        <v>73</v>
      </c>
      <c r="O56" s="180" t="str">
        <f t="shared" si="7"/>
        <v>209 OZ, 213 (137+76)</v>
      </c>
      <c r="P56" s="180" t="str">
        <f t="shared" si="8"/>
        <v>183/73</v>
      </c>
      <c r="Q56" s="192" t="s">
        <v>670</v>
      </c>
      <c r="R56" s="191">
        <v>2005</v>
      </c>
      <c r="S56" s="180" t="str">
        <f t="shared" si="9"/>
        <v/>
      </c>
      <c r="T56" s="1" t="s">
        <v>680</v>
      </c>
      <c r="U56" s="1" t="str">
        <f t="shared" si="11"/>
        <v>Chroust</v>
      </c>
      <c r="V56" s="180">
        <f t="shared" si="12"/>
        <v>2</v>
      </c>
      <c r="W56" s="180" t="str">
        <f t="shared" si="13"/>
        <v>T</v>
      </c>
      <c r="X56" s="139"/>
      <c r="Y56" s="139"/>
      <c r="Z56" s="139"/>
      <c r="AA56" s="138"/>
    </row>
    <row r="57" spans="2:27" ht="15" customHeight="1" x14ac:dyDescent="0.25">
      <c r="B57" s="186" t="s">
        <v>297</v>
      </c>
      <c r="C57" s="185">
        <v>35184</v>
      </c>
      <c r="D57" s="180">
        <f t="shared" ca="1" si="5"/>
        <v>24</v>
      </c>
      <c r="E57" s="188">
        <v>90</v>
      </c>
      <c r="F57" s="188">
        <v>49</v>
      </c>
      <c r="G57" s="188">
        <v>28</v>
      </c>
      <c r="H57" s="180">
        <f t="shared" si="6"/>
        <v>77</v>
      </c>
      <c r="I57" s="189">
        <v>7</v>
      </c>
      <c r="J57" s="189">
        <v>10</v>
      </c>
      <c r="K57" s="189"/>
      <c r="L57" s="189" t="s">
        <v>78</v>
      </c>
      <c r="M57" s="189">
        <v>185</v>
      </c>
      <c r="N57" s="189">
        <v>85</v>
      </c>
      <c r="O57" s="180" t="str">
        <f t="shared" si="7"/>
        <v>115 OZ, 100 (59+41)</v>
      </c>
      <c r="P57" s="180" t="str">
        <f t="shared" si="8"/>
        <v>185/85</v>
      </c>
      <c r="Q57" s="192" t="s">
        <v>205</v>
      </c>
      <c r="R57" s="191">
        <v>2006</v>
      </c>
      <c r="S57" s="180" t="str">
        <f t="shared" si="9"/>
        <v/>
      </c>
      <c r="T57" s="1" t="str">
        <f t="shared" si="10"/>
        <v>Komárek</v>
      </c>
      <c r="U57" s="1" t="str">
        <f t="shared" si="11"/>
        <v>Komárek</v>
      </c>
      <c r="V57" s="180">
        <f t="shared" si="12"/>
        <v>1</v>
      </c>
      <c r="W57" s="180" t="str">
        <f t="shared" si="13"/>
        <v>M</v>
      </c>
      <c r="X57" s="139"/>
      <c r="Y57" s="139"/>
      <c r="Z57" s="139"/>
      <c r="AA57" s="138"/>
    </row>
    <row r="58" spans="2:27" ht="15" customHeight="1" x14ac:dyDescent="0.25">
      <c r="B58" s="186" t="s">
        <v>300</v>
      </c>
      <c r="C58" s="185">
        <v>37366</v>
      </c>
      <c r="D58" s="180">
        <f t="shared" ca="1" si="5"/>
        <v>18</v>
      </c>
      <c r="E58" s="188">
        <v>13</v>
      </c>
      <c r="F58" s="188">
        <v>2</v>
      </c>
      <c r="G58" s="188">
        <v>1</v>
      </c>
      <c r="H58" s="180">
        <f t="shared" si="6"/>
        <v>3</v>
      </c>
      <c r="I58" s="189">
        <v>2</v>
      </c>
      <c r="J58" s="189">
        <v>24</v>
      </c>
      <c r="K58" s="189"/>
      <c r="L58" s="189" t="s">
        <v>78</v>
      </c>
      <c r="M58" s="189">
        <v>187</v>
      </c>
      <c r="N58" s="189">
        <v>71</v>
      </c>
      <c r="O58" s="180" t="str">
        <f t="shared" si="7"/>
        <v>30 OZ, 14 (8+6)</v>
      </c>
      <c r="P58" s="180" t="str">
        <f t="shared" si="8"/>
        <v>187/71</v>
      </c>
      <c r="Q58" s="192" t="s">
        <v>671</v>
      </c>
      <c r="R58" s="191">
        <v>2010</v>
      </c>
      <c r="S58" s="180" t="str">
        <f t="shared" si="9"/>
        <v/>
      </c>
      <c r="T58" s="1" t="str">
        <f t="shared" si="10"/>
        <v>Korych</v>
      </c>
      <c r="U58" s="1" t="str">
        <f t="shared" si="11"/>
        <v>Korych</v>
      </c>
      <c r="V58" s="180">
        <f t="shared" si="12"/>
        <v>1</v>
      </c>
      <c r="W58" s="180" t="str">
        <f t="shared" si="13"/>
        <v>M</v>
      </c>
      <c r="X58" s="139"/>
      <c r="Y58" s="139"/>
      <c r="Z58" s="139"/>
      <c r="AA58" s="138"/>
    </row>
    <row r="59" spans="2:27" ht="15" customHeight="1" x14ac:dyDescent="0.25">
      <c r="B59" s="186" t="s">
        <v>296</v>
      </c>
      <c r="C59" s="185">
        <v>32710</v>
      </c>
      <c r="D59" s="180">
        <f t="shared" ca="1" si="5"/>
        <v>31</v>
      </c>
      <c r="E59" s="188">
        <v>260</v>
      </c>
      <c r="F59" s="188">
        <v>43</v>
      </c>
      <c r="G59" s="188">
        <v>112</v>
      </c>
      <c r="H59" s="180">
        <f t="shared" si="6"/>
        <v>155</v>
      </c>
      <c r="I59" s="189">
        <v>14</v>
      </c>
      <c r="J59" s="189">
        <v>70</v>
      </c>
      <c r="K59" s="189"/>
      <c r="L59" s="189" t="s">
        <v>78</v>
      </c>
      <c r="M59" s="189">
        <v>186</v>
      </c>
      <c r="N59" s="189">
        <v>88</v>
      </c>
      <c r="O59" s="180" t="str">
        <f t="shared" si="7"/>
        <v>285 OZ, 176 (47+129)</v>
      </c>
      <c r="P59" s="180" t="str">
        <f t="shared" si="8"/>
        <v>186/88</v>
      </c>
      <c r="Q59" s="192" t="s">
        <v>672</v>
      </c>
      <c r="R59" s="191">
        <v>2001</v>
      </c>
      <c r="S59" s="180" t="str">
        <f t="shared" si="9"/>
        <v/>
      </c>
      <c r="T59" s="1" t="str">
        <f t="shared" si="10"/>
        <v>Krzyžanek</v>
      </c>
      <c r="U59" s="1" t="str">
        <f t="shared" si="11"/>
        <v>Krzyžanek</v>
      </c>
      <c r="V59" s="180">
        <f t="shared" si="12"/>
        <v>1</v>
      </c>
      <c r="W59" s="180" t="str">
        <f t="shared" si="13"/>
        <v>P</v>
      </c>
      <c r="X59" s="139"/>
      <c r="Y59" s="139"/>
      <c r="Z59" s="139"/>
      <c r="AA59" s="138"/>
    </row>
    <row r="60" spans="2:27" ht="15" customHeight="1" x14ac:dyDescent="0.25">
      <c r="B60" s="186" t="s">
        <v>311</v>
      </c>
      <c r="C60" s="185">
        <v>37152</v>
      </c>
      <c r="D60" s="180">
        <f t="shared" ca="1" si="5"/>
        <v>19</v>
      </c>
      <c r="E60" s="188">
        <v>2</v>
      </c>
      <c r="F60" s="188">
        <v>0</v>
      </c>
      <c r="G60" s="188">
        <v>0</v>
      </c>
      <c r="H60" s="180">
        <f t="shared" si="6"/>
        <v>0</v>
      </c>
      <c r="I60" s="189">
        <v>2</v>
      </c>
      <c r="J60" s="189">
        <v>95</v>
      </c>
      <c r="K60" s="189"/>
      <c r="L60" s="189" t="s">
        <v>78</v>
      </c>
      <c r="M60" s="189">
        <v>174</v>
      </c>
      <c r="N60" s="189">
        <v>64</v>
      </c>
      <c r="O60" s="180" t="str">
        <f t="shared" si="7"/>
        <v>9 OZ, 0 (0+0)</v>
      </c>
      <c r="P60" s="180" t="str">
        <f t="shared" si="8"/>
        <v>174/64</v>
      </c>
      <c r="Q60" s="192" t="s">
        <v>112</v>
      </c>
      <c r="R60" s="191">
        <v>2010</v>
      </c>
      <c r="S60" s="180" t="str">
        <f t="shared" si="9"/>
        <v/>
      </c>
      <c r="T60" s="1" t="str">
        <f t="shared" si="10"/>
        <v>Kučera</v>
      </c>
      <c r="U60" s="1" t="str">
        <f t="shared" si="11"/>
        <v>Kučera</v>
      </c>
      <c r="V60" s="180">
        <f t="shared" si="12"/>
        <v>1</v>
      </c>
      <c r="W60" s="180" t="str">
        <f t="shared" si="13"/>
        <v>F</v>
      </c>
      <c r="X60" s="139"/>
      <c r="Y60" s="139"/>
      <c r="Z60" s="139"/>
      <c r="AA60" s="138"/>
    </row>
    <row r="61" spans="2:27" ht="15" customHeight="1" x14ac:dyDescent="0.25">
      <c r="B61" s="186" t="s">
        <v>328</v>
      </c>
      <c r="C61" s="185">
        <v>36924</v>
      </c>
      <c r="D61" s="180">
        <f t="shared" ca="1" si="5"/>
        <v>20</v>
      </c>
      <c r="E61" s="188">
        <v>0</v>
      </c>
      <c r="F61" s="188">
        <v>0</v>
      </c>
      <c r="G61" s="188">
        <v>0</v>
      </c>
      <c r="H61" s="180">
        <f t="shared" si="6"/>
        <v>0</v>
      </c>
      <c r="I61" s="189">
        <v>2</v>
      </c>
      <c r="J61" s="189">
        <v>29</v>
      </c>
      <c r="K61" s="189"/>
      <c r="L61" s="189" t="s">
        <v>30</v>
      </c>
      <c r="M61" s="189">
        <v>185</v>
      </c>
      <c r="N61" s="189">
        <v>72</v>
      </c>
      <c r="O61" s="180" t="str">
        <f t="shared" si="7"/>
        <v>0 OZ, 0 (0+0)</v>
      </c>
      <c r="P61" s="180" t="str">
        <f t="shared" si="8"/>
        <v>185/72</v>
      </c>
      <c r="Q61" s="192" t="s">
        <v>448</v>
      </c>
      <c r="R61" s="191">
        <v>2013</v>
      </c>
      <c r="S61" s="180" t="str">
        <f t="shared" si="9"/>
        <v>1 OZ, 0 A</v>
      </c>
      <c r="T61" s="1" t="str">
        <f t="shared" si="10"/>
        <v>Macík</v>
      </c>
      <c r="U61" s="1" t="str">
        <f t="shared" si="11"/>
        <v>Macík</v>
      </c>
      <c r="V61" s="180">
        <f t="shared" si="12"/>
        <v>1</v>
      </c>
      <c r="W61" s="180" t="str">
        <f t="shared" si="13"/>
        <v>M</v>
      </c>
      <c r="X61" s="139"/>
      <c r="Y61" s="139"/>
      <c r="Z61" s="139"/>
      <c r="AA61" s="138"/>
    </row>
    <row r="62" spans="2:27" ht="15" customHeight="1" x14ac:dyDescent="0.25">
      <c r="B62" s="186" t="s">
        <v>315</v>
      </c>
      <c r="C62" s="185">
        <v>36001</v>
      </c>
      <c r="D62" s="180">
        <f t="shared" ca="1" si="5"/>
        <v>22</v>
      </c>
      <c r="E62" s="188">
        <v>29</v>
      </c>
      <c r="F62" s="188">
        <v>0</v>
      </c>
      <c r="G62" s="188">
        <v>0</v>
      </c>
      <c r="H62" s="180">
        <f t="shared" si="6"/>
        <v>0</v>
      </c>
      <c r="I62" s="189">
        <v>6</v>
      </c>
      <c r="J62" s="189">
        <v>80</v>
      </c>
      <c r="K62" s="189"/>
      <c r="L62" s="189" t="s">
        <v>30</v>
      </c>
      <c r="M62" s="189">
        <v>175</v>
      </c>
      <c r="N62" s="189">
        <v>69</v>
      </c>
      <c r="O62" s="180" t="str">
        <f t="shared" si="7"/>
        <v>29 OZ, 0 (0+0)</v>
      </c>
      <c r="P62" s="180" t="str">
        <f t="shared" si="8"/>
        <v>175/69</v>
      </c>
      <c r="Q62" s="192" t="s">
        <v>673</v>
      </c>
      <c r="R62" s="191">
        <v>2012</v>
      </c>
      <c r="S62" s="180" t="str">
        <f t="shared" si="9"/>
        <v>32 OZ, 0 A</v>
      </c>
      <c r="T62" s="1" t="str">
        <f t="shared" si="10"/>
        <v>Musil</v>
      </c>
      <c r="U62" s="1" t="str">
        <f t="shared" si="11"/>
        <v>Musil</v>
      </c>
      <c r="V62" s="180">
        <f t="shared" si="12"/>
        <v>1</v>
      </c>
      <c r="W62" s="180" t="str">
        <f t="shared" si="13"/>
        <v>P</v>
      </c>
      <c r="X62" s="139"/>
      <c r="Y62" s="139"/>
      <c r="Z62" s="139"/>
      <c r="AA62" s="138"/>
    </row>
    <row r="63" spans="2:27" ht="15" customHeight="1" x14ac:dyDescent="0.25">
      <c r="B63" s="187" t="s">
        <v>291</v>
      </c>
      <c r="C63" s="185">
        <v>33919</v>
      </c>
      <c r="D63" s="180">
        <f t="shared" ca="1" si="5"/>
        <v>28</v>
      </c>
      <c r="E63" s="188">
        <v>247</v>
      </c>
      <c r="F63" s="188">
        <v>249</v>
      </c>
      <c r="G63" s="188">
        <v>167</v>
      </c>
      <c r="H63" s="180">
        <f t="shared" si="6"/>
        <v>416</v>
      </c>
      <c r="I63" s="189">
        <v>13</v>
      </c>
      <c r="J63" s="189">
        <v>88</v>
      </c>
      <c r="K63" s="189" t="s">
        <v>222</v>
      </c>
      <c r="L63" s="189" t="s">
        <v>41</v>
      </c>
      <c r="M63" s="189">
        <v>181</v>
      </c>
      <c r="N63" s="189">
        <v>76</v>
      </c>
      <c r="O63" s="180" t="str">
        <f t="shared" si="7"/>
        <v>273 OZ, 456 (275+181)</v>
      </c>
      <c r="P63" s="180" t="str">
        <f t="shared" si="8"/>
        <v>181/76</v>
      </c>
      <c r="Q63" s="192" t="s">
        <v>674</v>
      </c>
      <c r="R63" s="191">
        <v>2000</v>
      </c>
      <c r="S63" s="180" t="str">
        <f t="shared" si="9"/>
        <v/>
      </c>
      <c r="T63" s="1" t="str">
        <f t="shared" si="10"/>
        <v>Natov</v>
      </c>
      <c r="U63" s="1" t="str">
        <f t="shared" si="11"/>
        <v>Natov</v>
      </c>
      <c r="V63" s="180">
        <f t="shared" si="12"/>
        <v>1</v>
      </c>
      <c r="W63" s="180" t="str">
        <f t="shared" si="13"/>
        <v>J</v>
      </c>
      <c r="X63" s="139"/>
      <c r="Y63" s="139"/>
      <c r="Z63" s="139"/>
      <c r="AA63" s="138"/>
    </row>
    <row r="64" spans="2:27" ht="15" customHeight="1" x14ac:dyDescent="0.25">
      <c r="B64" s="186" t="s">
        <v>314</v>
      </c>
      <c r="C64" s="185">
        <v>37001</v>
      </c>
      <c r="D64" s="180">
        <f t="shared" ca="1" si="5"/>
        <v>19</v>
      </c>
      <c r="E64" s="188">
        <v>3</v>
      </c>
      <c r="F64" s="188">
        <v>0</v>
      </c>
      <c r="G64" s="188">
        <v>0</v>
      </c>
      <c r="H64" s="180">
        <f t="shared" si="6"/>
        <v>0</v>
      </c>
      <c r="I64" s="189">
        <v>2</v>
      </c>
      <c r="J64" s="189">
        <v>48</v>
      </c>
      <c r="K64" s="189"/>
      <c r="L64" s="189" t="s">
        <v>41</v>
      </c>
      <c r="M64" s="189">
        <v>179</v>
      </c>
      <c r="N64" s="189">
        <v>66</v>
      </c>
      <c r="O64" s="180" t="str">
        <f t="shared" si="7"/>
        <v>9 OZ, 0 (0+0)</v>
      </c>
      <c r="P64" s="180" t="str">
        <f t="shared" si="8"/>
        <v>179/66</v>
      </c>
      <c r="Q64" s="192" t="s">
        <v>671</v>
      </c>
      <c r="R64" s="191">
        <v>2010</v>
      </c>
      <c r="S64" s="180" t="str">
        <f t="shared" si="9"/>
        <v/>
      </c>
      <c r="T64" s="1" t="str">
        <f t="shared" si="10"/>
        <v>Pařízek</v>
      </c>
      <c r="U64" s="1" t="str">
        <f t="shared" si="11"/>
        <v>Pařízek</v>
      </c>
      <c r="V64" s="180">
        <f t="shared" si="12"/>
        <v>1</v>
      </c>
      <c r="W64" s="180" t="str">
        <f t="shared" si="13"/>
        <v>J</v>
      </c>
      <c r="X64" s="139"/>
      <c r="Y64" s="139"/>
      <c r="Z64" s="139"/>
      <c r="AA64" s="138"/>
    </row>
    <row r="65" spans="2:27" ht="15" customHeight="1" x14ac:dyDescent="0.25">
      <c r="B65" s="186" t="s">
        <v>299</v>
      </c>
      <c r="C65" s="185">
        <v>34411</v>
      </c>
      <c r="D65" s="180">
        <f t="shared" ca="1" si="5"/>
        <v>26</v>
      </c>
      <c r="E65" s="188">
        <v>158</v>
      </c>
      <c r="F65" s="188">
        <v>54</v>
      </c>
      <c r="G65" s="188">
        <v>50</v>
      </c>
      <c r="H65" s="180">
        <f t="shared" si="6"/>
        <v>104</v>
      </c>
      <c r="I65" s="189">
        <v>9</v>
      </c>
      <c r="J65" s="189">
        <v>18</v>
      </c>
      <c r="K65" s="189"/>
      <c r="L65" s="189" t="s">
        <v>78</v>
      </c>
      <c r="M65" s="189">
        <v>182</v>
      </c>
      <c r="N65" s="189">
        <v>71</v>
      </c>
      <c r="O65" s="180" t="str">
        <f t="shared" si="7"/>
        <v>184 OZ, 120 (60+60)</v>
      </c>
      <c r="P65" s="180" t="str">
        <f t="shared" si="8"/>
        <v>182/71</v>
      </c>
      <c r="Q65" s="192" t="s">
        <v>675</v>
      </c>
      <c r="R65" s="191">
        <v>2004</v>
      </c>
      <c r="S65" s="180" t="str">
        <f t="shared" si="9"/>
        <v/>
      </c>
      <c r="T65" s="1" t="str">
        <f t="shared" si="10"/>
        <v>Řehoř</v>
      </c>
      <c r="U65" s="1" t="str">
        <f t="shared" si="11"/>
        <v>Řehoř</v>
      </c>
      <c r="V65" s="180">
        <f t="shared" si="12"/>
        <v>1</v>
      </c>
      <c r="W65" s="180" t="str">
        <f t="shared" si="13"/>
        <v>J</v>
      </c>
      <c r="X65" s="139"/>
      <c r="Y65" s="139"/>
      <c r="Z65" s="139"/>
      <c r="AA65" s="138"/>
    </row>
    <row r="66" spans="2:27" ht="15" customHeight="1" x14ac:dyDescent="0.25">
      <c r="B66" s="186" t="s">
        <v>303</v>
      </c>
      <c r="C66" s="185">
        <v>33193</v>
      </c>
      <c r="D66" s="180">
        <f t="shared" ca="1" si="5"/>
        <v>30</v>
      </c>
      <c r="E66" s="188">
        <v>157</v>
      </c>
      <c r="F66" s="188">
        <v>76</v>
      </c>
      <c r="G66" s="188">
        <v>84</v>
      </c>
      <c r="H66" s="180">
        <f t="shared" si="6"/>
        <v>160</v>
      </c>
      <c r="I66" s="189">
        <v>9</v>
      </c>
      <c r="J66" s="189">
        <v>12</v>
      </c>
      <c r="K66" s="189"/>
      <c r="L66" s="189" t="s">
        <v>41</v>
      </c>
      <c r="M66" s="189">
        <v>170</v>
      </c>
      <c r="N66" s="189">
        <v>69</v>
      </c>
      <c r="O66" s="180" t="str">
        <f t="shared" si="7"/>
        <v>183 OZ, 183 (87+96)</v>
      </c>
      <c r="P66" s="180" t="str">
        <f t="shared" si="8"/>
        <v>170/69</v>
      </c>
      <c r="Q66" s="192" t="s">
        <v>672</v>
      </c>
      <c r="R66" s="191">
        <v>2001</v>
      </c>
      <c r="S66" s="180" t="str">
        <f t="shared" si="9"/>
        <v/>
      </c>
      <c r="T66" s="1" t="str">
        <f t="shared" si="10"/>
        <v>Suchánek</v>
      </c>
      <c r="U66" s="1" t="str">
        <f t="shared" si="11"/>
        <v>Suchánek</v>
      </c>
      <c r="V66" s="180">
        <f t="shared" si="12"/>
        <v>1</v>
      </c>
      <c r="W66" s="180" t="str">
        <f t="shared" si="13"/>
        <v>P</v>
      </c>
      <c r="X66" s="139"/>
      <c r="Y66" s="139"/>
      <c r="Z66" s="139"/>
      <c r="AA66" s="138"/>
    </row>
    <row r="67" spans="2:27" ht="15" customHeight="1" x14ac:dyDescent="0.25">
      <c r="B67" s="187" t="s">
        <v>293</v>
      </c>
      <c r="C67" s="185">
        <v>32590</v>
      </c>
      <c r="D67" s="180">
        <f t="shared" ca="1" si="5"/>
        <v>31</v>
      </c>
      <c r="E67" s="188">
        <v>115</v>
      </c>
      <c r="F67" s="188">
        <v>86</v>
      </c>
      <c r="G67" s="188">
        <v>69</v>
      </c>
      <c r="H67" s="180">
        <f t="shared" si="6"/>
        <v>155</v>
      </c>
      <c r="I67" s="189">
        <v>7</v>
      </c>
      <c r="J67" s="189">
        <v>3</v>
      </c>
      <c r="K67" s="189"/>
      <c r="L67" s="189" t="s">
        <v>41</v>
      </c>
      <c r="M67" s="189">
        <v>185</v>
      </c>
      <c r="N67" s="189">
        <v>86</v>
      </c>
      <c r="O67" s="180" t="str">
        <f t="shared" si="7"/>
        <v>141 OZ, 188 (101+87)</v>
      </c>
      <c r="P67" s="180" t="str">
        <f t="shared" si="8"/>
        <v>185/86</v>
      </c>
      <c r="Q67" s="192" t="s">
        <v>210</v>
      </c>
      <c r="R67" s="191">
        <v>1999</v>
      </c>
      <c r="S67" s="180" t="str">
        <f t="shared" si="9"/>
        <v/>
      </c>
      <c r="T67" s="1" t="str">
        <f t="shared" si="10"/>
        <v>Šebek</v>
      </c>
      <c r="U67" s="1" t="str">
        <f t="shared" si="11"/>
        <v>Šebek</v>
      </c>
      <c r="V67" s="180">
        <f t="shared" si="12"/>
        <v>1</v>
      </c>
      <c r="W67" s="180" t="str">
        <f t="shared" si="13"/>
        <v>D</v>
      </c>
      <c r="X67" s="139"/>
      <c r="Y67" s="139"/>
      <c r="Z67" s="139"/>
      <c r="AA67" s="138"/>
    </row>
    <row r="68" spans="2:27" ht="15" customHeight="1" x14ac:dyDescent="0.25">
      <c r="B68" s="186" t="s">
        <v>310</v>
      </c>
      <c r="C68" s="185">
        <v>37297</v>
      </c>
      <c r="D68" s="180">
        <f t="shared" ca="1" si="5"/>
        <v>19</v>
      </c>
      <c r="E68" s="188">
        <v>10</v>
      </c>
      <c r="F68" s="188">
        <v>1</v>
      </c>
      <c r="G68" s="188">
        <v>1</v>
      </c>
      <c r="H68" s="180">
        <f t="shared" si="6"/>
        <v>2</v>
      </c>
      <c r="I68" s="189">
        <v>2</v>
      </c>
      <c r="J68" s="189">
        <v>37</v>
      </c>
      <c r="K68" s="189"/>
      <c r="L68" s="189" t="s">
        <v>41</v>
      </c>
      <c r="M68" s="189">
        <v>182</v>
      </c>
      <c r="N68" s="189">
        <v>75</v>
      </c>
      <c r="O68" s="180" t="str">
        <f t="shared" si="7"/>
        <v>17 OZ, 2 (1+1)</v>
      </c>
      <c r="P68" s="180" t="str">
        <f t="shared" si="8"/>
        <v>182/75</v>
      </c>
      <c r="Q68" s="192" t="s">
        <v>676</v>
      </c>
      <c r="R68" s="191">
        <v>2010</v>
      </c>
      <c r="S68" s="180" t="str">
        <f t="shared" si="9"/>
        <v/>
      </c>
      <c r="T68" s="1" t="str">
        <f t="shared" si="10"/>
        <v>Švejda</v>
      </c>
      <c r="U68" s="1" t="str">
        <f t="shared" si="11"/>
        <v>Švejda</v>
      </c>
      <c r="V68" s="180">
        <f t="shared" si="12"/>
        <v>1</v>
      </c>
      <c r="W68" s="180" t="str">
        <f t="shared" si="13"/>
        <v>Š</v>
      </c>
      <c r="X68" s="139"/>
      <c r="Y68" s="139"/>
      <c r="Z68" s="139"/>
      <c r="AA68" s="138"/>
    </row>
    <row r="69" spans="2:27" ht="15" customHeight="1" x14ac:dyDescent="0.25">
      <c r="B69" s="186" t="s">
        <v>304</v>
      </c>
      <c r="C69" s="185">
        <v>33976</v>
      </c>
      <c r="D69" s="180">
        <f t="shared" ca="1" si="5"/>
        <v>28</v>
      </c>
      <c r="E69" s="188">
        <v>66</v>
      </c>
      <c r="F69" s="188">
        <v>31</v>
      </c>
      <c r="G69" s="188">
        <v>23</v>
      </c>
      <c r="H69" s="180">
        <f t="shared" si="6"/>
        <v>54</v>
      </c>
      <c r="I69" s="189">
        <v>6</v>
      </c>
      <c r="J69" s="189">
        <v>4</v>
      </c>
      <c r="K69" s="189"/>
      <c r="L69" s="189" t="s">
        <v>78</v>
      </c>
      <c r="M69" s="189">
        <v>192</v>
      </c>
      <c r="N69" s="189">
        <v>90</v>
      </c>
      <c r="O69" s="180" t="str">
        <f t="shared" si="7"/>
        <v>72 OZ, 57 (33+24)</v>
      </c>
      <c r="P69" s="180" t="str">
        <f t="shared" si="8"/>
        <v>192/90</v>
      </c>
      <c r="Q69" s="192" t="s">
        <v>677</v>
      </c>
      <c r="R69" s="191">
        <v>2008</v>
      </c>
      <c r="S69" s="180" t="str">
        <f t="shared" si="9"/>
        <v/>
      </c>
      <c r="T69" s="1" t="str">
        <f t="shared" si="10"/>
        <v>Tichý</v>
      </c>
      <c r="U69" s="1" t="str">
        <f t="shared" si="11"/>
        <v>Tichý</v>
      </c>
      <c r="V69" s="180">
        <f t="shared" si="12"/>
        <v>1</v>
      </c>
      <c r="W69" s="180" t="str">
        <f t="shared" si="13"/>
        <v>M</v>
      </c>
      <c r="X69" s="139"/>
      <c r="Y69" s="139"/>
      <c r="Z69" s="139"/>
      <c r="AA69" s="138"/>
    </row>
    <row r="70" spans="2:27" ht="15" customHeight="1" x14ac:dyDescent="0.25">
      <c r="B70" s="186" t="s">
        <v>294</v>
      </c>
      <c r="C70" s="185">
        <v>33157</v>
      </c>
      <c r="D70" s="180">
        <f t="shared" ca="1" si="5"/>
        <v>30</v>
      </c>
      <c r="E70" s="188">
        <v>207</v>
      </c>
      <c r="F70" s="188">
        <v>159</v>
      </c>
      <c r="G70" s="188">
        <v>102</v>
      </c>
      <c r="H70" s="180">
        <f t="shared" si="6"/>
        <v>261</v>
      </c>
      <c r="I70" s="189">
        <v>11</v>
      </c>
      <c r="J70" s="189">
        <v>20</v>
      </c>
      <c r="K70" s="189"/>
      <c r="L70" s="189" t="s">
        <v>78</v>
      </c>
      <c r="M70" s="189">
        <v>183</v>
      </c>
      <c r="N70" s="189">
        <v>76</v>
      </c>
      <c r="O70" s="180" t="str">
        <f t="shared" si="7"/>
        <v>233 OZ, 295 (183+112)</v>
      </c>
      <c r="P70" s="180" t="str">
        <f t="shared" si="8"/>
        <v>183/76</v>
      </c>
      <c r="Q70" s="192" t="s">
        <v>678</v>
      </c>
      <c r="R70" s="191">
        <v>1998</v>
      </c>
      <c r="S70" s="180" t="str">
        <f t="shared" si="9"/>
        <v/>
      </c>
      <c r="T70" s="1" t="str">
        <f t="shared" si="10"/>
        <v>Tokoš</v>
      </c>
      <c r="U70" s="1" t="str">
        <f t="shared" si="11"/>
        <v>Tokoš</v>
      </c>
      <c r="V70" s="180">
        <f t="shared" si="12"/>
        <v>1</v>
      </c>
      <c r="W70" s="180" t="str">
        <f t="shared" si="13"/>
        <v>M</v>
      </c>
      <c r="X70" s="139"/>
      <c r="Y70" s="139"/>
      <c r="Z70" s="139"/>
      <c r="AA70" s="138"/>
    </row>
    <row r="71" spans="2:27" ht="15" customHeight="1" x14ac:dyDescent="0.25">
      <c r="B71" s="186" t="s">
        <v>301</v>
      </c>
      <c r="C71" s="185">
        <v>32329</v>
      </c>
      <c r="D71" s="180">
        <f t="shared" ca="1" si="5"/>
        <v>32</v>
      </c>
      <c r="E71" s="188">
        <v>196</v>
      </c>
      <c r="F71" s="188">
        <v>169</v>
      </c>
      <c r="G71" s="188">
        <v>154</v>
      </c>
      <c r="H71" s="180">
        <f t="shared" si="6"/>
        <v>323</v>
      </c>
      <c r="I71" s="189">
        <v>11</v>
      </c>
      <c r="J71" s="189">
        <v>7</v>
      </c>
      <c r="K71" s="189"/>
      <c r="L71" s="189" t="s">
        <v>78</v>
      </c>
      <c r="M71" s="189">
        <v>181</v>
      </c>
      <c r="N71" s="189">
        <v>85</v>
      </c>
      <c r="O71" s="180" t="str">
        <f t="shared" si="7"/>
        <v>218 OZ, 358 (184+174)</v>
      </c>
      <c r="P71" s="180" t="str">
        <f t="shared" si="8"/>
        <v>181/85</v>
      </c>
      <c r="Q71" s="192" t="s">
        <v>678</v>
      </c>
      <c r="R71" s="191">
        <v>1995</v>
      </c>
      <c r="S71" s="180" t="str">
        <f t="shared" si="9"/>
        <v/>
      </c>
      <c r="T71" s="1" t="str">
        <f t="shared" si="10"/>
        <v>Tomašík</v>
      </c>
      <c r="U71" s="1" t="str">
        <f t="shared" si="11"/>
        <v>Tomašík</v>
      </c>
      <c r="V71" s="180">
        <f t="shared" si="12"/>
        <v>1</v>
      </c>
      <c r="W71" s="180" t="str">
        <f t="shared" si="13"/>
        <v>M</v>
      </c>
      <c r="X71" s="139"/>
      <c r="Y71" s="139"/>
      <c r="Z71" s="139"/>
      <c r="AA71" s="138"/>
    </row>
    <row r="72" spans="2:27" ht="15" customHeight="1" x14ac:dyDescent="0.25">
      <c r="B72" s="186" t="s">
        <v>313</v>
      </c>
      <c r="C72" s="185">
        <v>37659</v>
      </c>
      <c r="D72" s="180">
        <f t="shared" ca="1" si="5"/>
        <v>18</v>
      </c>
      <c r="E72" s="188">
        <v>0</v>
      </c>
      <c r="F72" s="188">
        <v>0</v>
      </c>
      <c r="G72" s="188">
        <v>0</v>
      </c>
      <c r="H72" s="180">
        <f t="shared" si="6"/>
        <v>0</v>
      </c>
      <c r="I72" s="189">
        <v>1</v>
      </c>
      <c r="J72" s="189">
        <v>31</v>
      </c>
      <c r="K72" s="189"/>
      <c r="L72" s="189" t="s">
        <v>30</v>
      </c>
      <c r="M72" s="189">
        <v>189</v>
      </c>
      <c r="N72" s="189">
        <v>77</v>
      </c>
      <c r="O72" s="180" t="str">
        <f t="shared" si="7"/>
        <v>0 OZ, 0 (0+0)</v>
      </c>
      <c r="P72" s="180" t="str">
        <f t="shared" si="8"/>
        <v>189/77</v>
      </c>
      <c r="Q72" s="192" t="s">
        <v>676</v>
      </c>
      <c r="R72" s="191">
        <v>2009</v>
      </c>
      <c r="S72" s="180" t="str">
        <f t="shared" si="9"/>
        <v>1 OZ, 0 A</v>
      </c>
      <c r="T72" s="1" t="str">
        <f t="shared" si="10"/>
        <v>Tomšík</v>
      </c>
      <c r="U72" s="1" t="str">
        <f t="shared" si="11"/>
        <v>Tomšík</v>
      </c>
      <c r="V72" s="180">
        <f t="shared" si="12"/>
        <v>1</v>
      </c>
      <c r="W72" s="180" t="str">
        <f t="shared" si="13"/>
        <v>O</v>
      </c>
      <c r="X72" s="139"/>
      <c r="Y72" s="139"/>
      <c r="Z72" s="139"/>
      <c r="AA72" s="138"/>
    </row>
    <row r="73" spans="2:27" ht="15" customHeight="1" x14ac:dyDescent="0.25">
      <c r="B73" s="186" t="s">
        <v>312</v>
      </c>
      <c r="C73" s="185">
        <v>37307</v>
      </c>
      <c r="D73" s="180">
        <f t="shared" ca="1" si="5"/>
        <v>19</v>
      </c>
      <c r="E73" s="188">
        <v>2</v>
      </c>
      <c r="F73" s="188">
        <v>0</v>
      </c>
      <c r="G73" s="188">
        <v>0</v>
      </c>
      <c r="H73" s="180">
        <f t="shared" si="6"/>
        <v>0</v>
      </c>
      <c r="I73" s="189">
        <v>2</v>
      </c>
      <c r="J73" s="189">
        <v>2</v>
      </c>
      <c r="K73" s="189"/>
      <c r="L73" s="189" t="s">
        <v>78</v>
      </c>
      <c r="M73" s="189"/>
      <c r="N73" s="189"/>
      <c r="O73" s="180" t="str">
        <f t="shared" si="7"/>
        <v>3 OZ, 0 (0+0)</v>
      </c>
      <c r="P73" s="180" t="str">
        <f t="shared" si="8"/>
        <v/>
      </c>
      <c r="Q73" s="192" t="s">
        <v>676</v>
      </c>
      <c r="R73" s="191">
        <v>2010</v>
      </c>
      <c r="S73" s="180" t="str">
        <f t="shared" si="9"/>
        <v/>
      </c>
      <c r="T73" s="1" t="str">
        <f t="shared" si="10"/>
        <v>Vyhnánek</v>
      </c>
      <c r="U73" s="1" t="str">
        <f t="shared" si="11"/>
        <v>Vyhnánek</v>
      </c>
      <c r="V73" s="180">
        <f t="shared" si="12"/>
        <v>1</v>
      </c>
      <c r="W73" s="180" t="str">
        <f t="shared" si="13"/>
        <v>Z</v>
      </c>
      <c r="X73" s="139"/>
      <c r="Y73" s="139"/>
      <c r="Z73" s="139"/>
      <c r="AA73" s="138"/>
    </row>
    <row r="74" spans="2:27" ht="15" customHeight="1" x14ac:dyDescent="0.25">
      <c r="B74" s="186" t="s">
        <v>306</v>
      </c>
      <c r="C74" s="185">
        <v>36377</v>
      </c>
      <c r="D74" s="180">
        <f t="shared" ca="1" si="5"/>
        <v>21</v>
      </c>
      <c r="E74" s="188">
        <v>96</v>
      </c>
      <c r="F74" s="188">
        <v>15</v>
      </c>
      <c r="G74" s="188">
        <v>21</v>
      </c>
      <c r="H74" s="180">
        <f t="shared" si="6"/>
        <v>36</v>
      </c>
      <c r="I74" s="189">
        <v>5</v>
      </c>
      <c r="J74" s="189">
        <v>58</v>
      </c>
      <c r="K74" s="189"/>
      <c r="L74" s="189" t="s">
        <v>78</v>
      </c>
      <c r="M74" s="189">
        <v>186</v>
      </c>
      <c r="N74" s="189">
        <v>78</v>
      </c>
      <c r="O74" s="180" t="str">
        <f t="shared" si="7"/>
        <v>122 OZ, 43 (18+25)</v>
      </c>
      <c r="P74" s="180" t="str">
        <f t="shared" si="8"/>
        <v>186/78</v>
      </c>
      <c r="Q74" s="192" t="s">
        <v>671</v>
      </c>
      <c r="R74" s="191">
        <v>2009</v>
      </c>
      <c r="S74" s="180" t="str">
        <f t="shared" si="9"/>
        <v/>
      </c>
      <c r="T74" s="1" t="str">
        <f t="shared" si="10"/>
        <v>Zakonov</v>
      </c>
      <c r="U74" s="1" t="str">
        <f t="shared" si="11"/>
        <v>Zakonov</v>
      </c>
      <c r="V74" s="180">
        <f t="shared" si="12"/>
        <v>1</v>
      </c>
      <c r="W74" s="180" t="str">
        <f t="shared" si="13"/>
        <v>F</v>
      </c>
      <c r="X74" s="139"/>
      <c r="Y74" s="139"/>
      <c r="Z74" s="139"/>
      <c r="AA74" s="138"/>
    </row>
    <row r="75" spans="2:27" ht="15" customHeight="1" x14ac:dyDescent="0.25">
      <c r="B75" s="186" t="s">
        <v>302</v>
      </c>
      <c r="C75" s="185">
        <v>37744</v>
      </c>
      <c r="D75" s="180">
        <f t="shared" ca="1" si="5"/>
        <v>17</v>
      </c>
      <c r="E75" s="188">
        <v>0</v>
      </c>
      <c r="F75" s="188">
        <v>0</v>
      </c>
      <c r="G75" s="188">
        <v>0</v>
      </c>
      <c r="H75" s="180">
        <f t="shared" si="6"/>
        <v>0</v>
      </c>
      <c r="I75" s="189">
        <v>1</v>
      </c>
      <c r="J75" s="189">
        <v>39</v>
      </c>
      <c r="K75" s="189"/>
      <c r="L75" s="189" t="s">
        <v>78</v>
      </c>
      <c r="M75" s="189">
        <v>185</v>
      </c>
      <c r="N75" s="189">
        <v>71</v>
      </c>
      <c r="O75" s="180" t="str">
        <f t="shared" si="7"/>
        <v>25 OZ, 11 (6+5)</v>
      </c>
      <c r="P75" s="180" t="str">
        <f t="shared" si="8"/>
        <v>185/71</v>
      </c>
      <c r="Q75" s="192" t="s">
        <v>671</v>
      </c>
      <c r="R75" s="191">
        <v>2011</v>
      </c>
      <c r="S75" s="180" t="str">
        <f t="shared" si="9"/>
        <v/>
      </c>
      <c r="T75" s="1" t="str">
        <f t="shared" si="10"/>
        <v>Zoufalý</v>
      </c>
      <c r="U75" s="1" t="str">
        <f t="shared" si="11"/>
        <v>Zoufalý</v>
      </c>
      <c r="V75" s="180">
        <f t="shared" si="12"/>
        <v>1</v>
      </c>
      <c r="W75" s="180" t="str">
        <f t="shared" si="13"/>
        <v>J</v>
      </c>
      <c r="X75" s="139"/>
      <c r="Y75" s="139"/>
      <c r="Z75" s="139"/>
      <c r="AA75" s="138"/>
    </row>
    <row r="76" spans="2:27" ht="15" customHeight="1" x14ac:dyDescent="0.25">
      <c r="B76" s="138"/>
      <c r="C76" s="137"/>
      <c r="D76" s="112" t="str">
        <f t="shared" ref="D76:D82" si="14">IF(C76 &lt;&gt; 0,ROUNDDOWN(($A$47-C76)/365.25,0),"")</f>
        <v/>
      </c>
      <c r="E76" s="139"/>
      <c r="F76" s="139"/>
      <c r="G76" s="139"/>
      <c r="H76" s="112" t="str">
        <f t="shared" ref="H76:H82" si="15">IF(B76&lt;&gt;0,F76+G76,"")</f>
        <v/>
      </c>
      <c r="I76" s="139"/>
      <c r="J76" s="139"/>
      <c r="K76" s="139"/>
      <c r="L76" s="139"/>
      <c r="M76" s="139"/>
      <c r="N76" s="139"/>
      <c r="O76" s="119" t="str">
        <f t="shared" ref="O76:O82" si="16">IF(B76&lt;&gt;0,CONCATENATE(E76+IFERROR(VLOOKUP(B76,$B$2:$N$36,4,FALSE),0) + X76, " OZ, ", H76+IFERROR(VLOOKUP(B76,$B$2:$N$36,9,FALSE),0) + Y76+Z76, " (", F76+IFERROR(VLOOKUP(B76,$B$2:$N$36,5,FALSE),0) + Y76, "+",G76+IFERROR(VLOOKUP(B76,$B$2:$N$36,8,FALSE),0) +  Z76, ")"), "")</f>
        <v/>
      </c>
      <c r="P76" s="112" t="str">
        <f t="shared" ref="P76:P82" si="17">IF(M76&lt;&gt;0,CONCATENATE(M76,"/",N76),"")</f>
        <v/>
      </c>
      <c r="Q76" s="140"/>
      <c r="R76" s="139"/>
      <c r="S76" s="11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12" t="str">
        <f t="shared" ref="V76:V82" si="21">IF(B76&lt;&gt;0,COUNTIF($U$48:$U$82,U76),"")</f>
        <v/>
      </c>
      <c r="W76" s="112" t="str">
        <f t="shared" ref="W76:W82" si="22">IFERROR(LEFT(LEFT(B76,SEARCH(" ",B76,1)),1),"")</f>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110" customFormat="1" ht="15" customHeight="1" x14ac:dyDescent="0.25">
      <c r="A84" s="7">
        <f ca="1">TODAY()</f>
        <v>44263</v>
      </c>
      <c r="B84" s="110" t="s">
        <v>59</v>
      </c>
      <c r="C84" s="110" t="s">
        <v>66</v>
      </c>
      <c r="D84" s="110" t="s">
        <v>67</v>
      </c>
      <c r="E84" s="401" t="s">
        <v>94</v>
      </c>
      <c r="F84" s="401"/>
      <c r="G84" s="401" t="s">
        <v>100</v>
      </c>
      <c r="H84" s="401"/>
      <c r="I84" s="401"/>
      <c r="J84" s="401"/>
      <c r="K84" s="401"/>
      <c r="Q84" s="9"/>
    </row>
    <row r="85" spans="1:27" ht="30" customHeight="1" x14ac:dyDescent="0.25">
      <c r="B85" s="138" t="s">
        <v>317</v>
      </c>
      <c r="C85" s="137">
        <v>30091</v>
      </c>
      <c r="D85" s="113">
        <f ca="1">IF(B85&lt;&gt;0,ROUNDDOWN(($A$84-C85)/365.25,0),"")</f>
        <v>38</v>
      </c>
      <c r="E85" s="400" t="s">
        <v>188</v>
      </c>
      <c r="F85" s="400"/>
      <c r="G85" s="400" t="s">
        <v>318</v>
      </c>
      <c r="H85" s="400"/>
      <c r="I85" s="400"/>
      <c r="J85" s="400"/>
      <c r="K85" s="400"/>
    </row>
    <row r="86" spans="1:27" ht="30" customHeight="1" x14ac:dyDescent="0.25">
      <c r="B86" s="138" t="s">
        <v>319</v>
      </c>
      <c r="C86" s="137">
        <v>33197</v>
      </c>
      <c r="D86" s="113">
        <f t="shared" ref="D86:D92" ca="1" si="23">IF(B86&lt;&gt;0,ROUNDDOWN(($A$84-C86)/365.25,0),"")</f>
        <v>30</v>
      </c>
      <c r="E86" s="400" t="s">
        <v>101</v>
      </c>
      <c r="F86" s="400"/>
      <c r="G86" s="400" t="s">
        <v>320</v>
      </c>
      <c r="H86" s="400"/>
      <c r="I86" s="400"/>
      <c r="J86" s="400"/>
      <c r="K86" s="400"/>
    </row>
    <row r="87" spans="1:27" ht="30" customHeight="1" x14ac:dyDescent="0.25">
      <c r="B87" s="138" t="s">
        <v>321</v>
      </c>
      <c r="C87" s="137">
        <v>30597</v>
      </c>
      <c r="D87" s="113">
        <f t="shared" ca="1" si="23"/>
        <v>37</v>
      </c>
      <c r="E87" s="400" t="s">
        <v>191</v>
      </c>
      <c r="F87" s="400"/>
      <c r="G87" s="400" t="s">
        <v>322</v>
      </c>
      <c r="H87" s="400"/>
      <c r="I87" s="400"/>
      <c r="J87" s="400"/>
      <c r="K87" s="400"/>
    </row>
    <row r="88" spans="1:27" ht="30" customHeight="1" x14ac:dyDescent="0.25">
      <c r="B88" s="138" t="s">
        <v>323</v>
      </c>
      <c r="C88" s="137">
        <v>34618</v>
      </c>
      <c r="D88" s="113">
        <f t="shared" ca="1" si="23"/>
        <v>26</v>
      </c>
      <c r="E88" s="400" t="s">
        <v>324</v>
      </c>
      <c r="F88" s="400"/>
      <c r="G88" s="400" t="s">
        <v>325</v>
      </c>
      <c r="H88" s="400"/>
      <c r="I88" s="400"/>
      <c r="J88" s="400"/>
      <c r="K88" s="400"/>
    </row>
    <row r="89" spans="1:27" ht="30" customHeight="1" x14ac:dyDescent="0.25">
      <c r="B89" s="138" t="s">
        <v>326</v>
      </c>
      <c r="C89" s="137">
        <v>33694</v>
      </c>
      <c r="D89" s="113">
        <f t="shared" ca="1" si="23"/>
        <v>28</v>
      </c>
      <c r="E89" s="400" t="s">
        <v>327</v>
      </c>
      <c r="F89" s="400"/>
      <c r="G89" s="400" t="s">
        <v>30</v>
      </c>
      <c r="H89" s="400"/>
      <c r="I89" s="400"/>
      <c r="J89" s="400"/>
      <c r="K89" s="400"/>
    </row>
    <row r="90" spans="1:27" ht="30" customHeight="1" x14ac:dyDescent="0.25">
      <c r="B90" s="138"/>
      <c r="C90" s="138"/>
      <c r="D90" s="113" t="str">
        <f t="shared" si="23"/>
        <v/>
      </c>
      <c r="E90" s="400"/>
      <c r="F90" s="400"/>
      <c r="G90" s="400"/>
      <c r="H90" s="400"/>
      <c r="I90" s="400"/>
      <c r="J90" s="400"/>
      <c r="K90" s="400"/>
    </row>
    <row r="91" spans="1:27" ht="30" customHeight="1" x14ac:dyDescent="0.25">
      <c r="B91" s="138"/>
      <c r="C91" s="138"/>
      <c r="D91" s="113" t="str">
        <f t="shared" si="23"/>
        <v/>
      </c>
      <c r="E91" s="400"/>
      <c r="F91" s="400"/>
      <c r="G91" s="400"/>
      <c r="H91" s="400"/>
      <c r="I91" s="400"/>
      <c r="J91" s="400"/>
      <c r="K91" s="400"/>
    </row>
    <row r="92" spans="1:27" ht="30" customHeight="1" x14ac:dyDescent="0.25">
      <c r="B92" s="138"/>
      <c r="C92" s="138"/>
      <c r="D92" s="113" t="str">
        <f t="shared" si="23"/>
        <v/>
      </c>
      <c r="E92" s="400"/>
      <c r="F92" s="400"/>
      <c r="G92" s="400"/>
      <c r="H92" s="400"/>
      <c r="I92" s="400"/>
      <c r="J92" s="400"/>
      <c r="K92" s="400"/>
    </row>
  </sheetData>
  <sheetProtection algorithmName="SHA-512" hashValue="c486idW3oh9h2d8Vrnssnar0YW5auMMdMu+5YOyJZmKNa6BMdvjxyIMTZ6NZkPlh89JbBv2OIqBva4whdZnt+Q==" saltValue="xKwznTP2Y5chribA+0XooA==" spinCount="100000" sheet="1" objects="1" scenarios="1" selectLockedCells="1"/>
  <sortState ref="B48:AA75">
    <sortCondition ref="U48:U75"/>
    <sortCondition ref="B48:B75"/>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57" priority="1" operator="containsText" text="ANO">
      <formula>NOT(ISERROR(SEARCH("ANO",P2)))</formula>
    </cfRule>
    <cfRule type="containsText" dxfId="5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1" t="s">
        <v>36</v>
      </c>
      <c r="B1" s="1" t="s">
        <v>355</v>
      </c>
      <c r="C1" s="212">
        <v>51</v>
      </c>
      <c r="D1" s="403" t="str">
        <f t="shared" ref="D1:D30" si="0">IFERROR(RIGHT(B1,LEN(B1)-SEARCH(" ",B1)),"")</f>
        <v>Jiří Curney</v>
      </c>
      <c r="E1" s="403"/>
      <c r="F1" s="131"/>
    </row>
    <row r="2" spans="1:6" x14ac:dyDescent="0.25">
      <c r="A2" s="401"/>
      <c r="B2" s="1" t="s">
        <v>864</v>
      </c>
      <c r="C2" s="212">
        <v>44</v>
      </c>
      <c r="D2" s="403" t="str">
        <f t="shared" si="0"/>
        <v>Jakub Bína</v>
      </c>
      <c r="E2" s="403"/>
      <c r="F2" s="131"/>
    </row>
    <row r="3" spans="1:6" x14ac:dyDescent="0.25">
      <c r="A3" s="401"/>
      <c r="B3" s="1" t="s">
        <v>865</v>
      </c>
      <c r="C3" s="212">
        <v>40</v>
      </c>
      <c r="D3" s="403" t="str">
        <f t="shared" si="0"/>
        <v>Jan Natov</v>
      </c>
      <c r="E3" s="403"/>
      <c r="F3" s="131"/>
    </row>
    <row r="4" spans="1:6" x14ac:dyDescent="0.25">
      <c r="A4" s="401"/>
      <c r="B4" s="1" t="s">
        <v>973</v>
      </c>
      <c r="C4" s="212">
        <v>35</v>
      </c>
      <c r="D4" s="403" t="str">
        <f t="shared" si="0"/>
        <v>Milan Tomašík</v>
      </c>
      <c r="E4" s="403"/>
      <c r="F4" s="131"/>
    </row>
    <row r="5" spans="1:6" x14ac:dyDescent="0.25">
      <c r="A5" s="401"/>
      <c r="B5" s="1" t="s">
        <v>974</v>
      </c>
      <c r="C5" s="212">
        <v>34</v>
      </c>
      <c r="D5" s="403" t="str">
        <f t="shared" si="0"/>
        <v>Martin Tokoš</v>
      </c>
      <c r="E5" s="403"/>
      <c r="F5" s="131"/>
    </row>
    <row r="6" spans="1:6" x14ac:dyDescent="0.25">
      <c r="A6" s="401" t="s">
        <v>241</v>
      </c>
      <c r="B6" s="1" t="s">
        <v>357</v>
      </c>
      <c r="C6" s="212" t="s">
        <v>975</v>
      </c>
      <c r="D6" s="403" t="str">
        <f t="shared" si="0"/>
        <v>Lukáš Bauer</v>
      </c>
      <c r="E6" s="403"/>
      <c r="F6" s="131">
        <f t="shared" ref="F6:F10" si="1">IF(B6&lt;&gt;0,_xlfn.NUMBERVALUE(C6,","),"")</f>
        <v>3.12</v>
      </c>
    </row>
    <row r="7" spans="1:6" x14ac:dyDescent="0.25">
      <c r="A7" s="401"/>
      <c r="B7" s="1" t="s">
        <v>358</v>
      </c>
      <c r="C7" s="212" t="s">
        <v>359</v>
      </c>
      <c r="D7" s="403" t="str">
        <f t="shared" si="0"/>
        <v>Petr Musil</v>
      </c>
      <c r="E7" s="403"/>
      <c r="F7" s="131">
        <f t="shared" si="1"/>
        <v>4.74</v>
      </c>
    </row>
    <row r="8" spans="1:6" x14ac:dyDescent="0.25">
      <c r="A8" s="401"/>
      <c r="B8" s="1" t="s">
        <v>360</v>
      </c>
      <c r="C8" s="212" t="s">
        <v>329</v>
      </c>
      <c r="D8" s="403" t="str">
        <f t="shared" si="0"/>
        <v>Marek Macík</v>
      </c>
      <c r="E8" s="403"/>
      <c r="F8" s="131">
        <f t="shared" si="1"/>
        <v>0</v>
      </c>
    </row>
    <row r="9" spans="1:6" x14ac:dyDescent="0.25">
      <c r="A9" s="401"/>
      <c r="B9" s="1" t="s">
        <v>361</v>
      </c>
      <c r="C9" s="212" t="s">
        <v>362</v>
      </c>
      <c r="D9" s="403" t="str">
        <f t="shared" si="0"/>
        <v>Ondřej Tomšík</v>
      </c>
      <c r="E9" s="403"/>
      <c r="F9" s="131">
        <f t="shared" si="1"/>
        <v>15</v>
      </c>
    </row>
    <row r="10" spans="1:6" x14ac:dyDescent="0.25">
      <c r="A10" s="401"/>
      <c r="B10" s="1"/>
      <c r="C10" s="212"/>
      <c r="D10" s="403" t="str">
        <f t="shared" si="0"/>
        <v/>
      </c>
      <c r="E10" s="403"/>
      <c r="F10" s="131" t="str">
        <f t="shared" si="1"/>
        <v/>
      </c>
    </row>
    <row r="11" spans="1:6" x14ac:dyDescent="0.25">
      <c r="A11" s="401" t="s">
        <v>35</v>
      </c>
      <c r="B11" s="1" t="s">
        <v>363</v>
      </c>
      <c r="C11" s="212">
        <v>37</v>
      </c>
      <c r="D11" s="403" t="str">
        <f t="shared" si="0"/>
        <v>Jakub Bína</v>
      </c>
      <c r="E11" s="403"/>
      <c r="F11" s="131"/>
    </row>
    <row r="12" spans="1:6" x14ac:dyDescent="0.25">
      <c r="A12" s="401"/>
      <c r="B12" s="1" t="s">
        <v>356</v>
      </c>
      <c r="C12" s="212">
        <v>26</v>
      </c>
      <c r="D12" s="403" t="str">
        <f t="shared" si="0"/>
        <v>Jan Natov</v>
      </c>
      <c r="E12" s="403"/>
      <c r="F12" s="131"/>
    </row>
    <row r="13" spans="1:6" x14ac:dyDescent="0.25">
      <c r="A13" s="401"/>
      <c r="B13" s="1" t="s">
        <v>636</v>
      </c>
      <c r="C13" s="212">
        <v>24</v>
      </c>
      <c r="D13" s="403" t="str">
        <f t="shared" si="0"/>
        <v>Martin Tokoš</v>
      </c>
      <c r="E13" s="403"/>
      <c r="F13" s="131"/>
    </row>
    <row r="14" spans="1:6" x14ac:dyDescent="0.25">
      <c r="A14" s="401"/>
      <c r="B14" s="1" t="s">
        <v>637</v>
      </c>
      <c r="C14" s="212">
        <v>21</v>
      </c>
      <c r="D14" s="403" t="str">
        <f t="shared" si="0"/>
        <v>Jiří Curney</v>
      </c>
      <c r="E14" s="403"/>
      <c r="F14" s="131"/>
    </row>
    <row r="15" spans="1:6" x14ac:dyDescent="0.25">
      <c r="A15" s="401"/>
      <c r="B15" s="1" t="s">
        <v>638</v>
      </c>
      <c r="C15" s="212">
        <v>15</v>
      </c>
      <c r="D15" s="403" t="str">
        <f t="shared" si="0"/>
        <v>Daniel Šebek</v>
      </c>
      <c r="E15" s="403"/>
      <c r="F15" s="131"/>
    </row>
    <row r="16" spans="1:6" x14ac:dyDescent="0.25">
      <c r="A16" s="401" t="s">
        <v>230</v>
      </c>
      <c r="B16" s="1" t="s">
        <v>357</v>
      </c>
      <c r="C16" s="212">
        <v>22</v>
      </c>
      <c r="D16" s="403" t="str">
        <f t="shared" si="0"/>
        <v>Lukáš Bauer</v>
      </c>
      <c r="E16" s="403"/>
      <c r="F16" s="131">
        <f t="shared" ref="F16:F20" si="2">IF(B16&lt;&gt;0,_xlfn.NUMBERVALUE(C16,","),"")</f>
        <v>22</v>
      </c>
    </row>
    <row r="17" spans="1:6" x14ac:dyDescent="0.25">
      <c r="A17" s="401"/>
      <c r="B17" s="1" t="s">
        <v>358</v>
      </c>
      <c r="C17" s="212">
        <v>3</v>
      </c>
      <c r="D17" s="403" t="str">
        <f t="shared" si="0"/>
        <v>Petr Musil</v>
      </c>
      <c r="E17" s="403"/>
      <c r="F17" s="131">
        <f t="shared" si="2"/>
        <v>3</v>
      </c>
    </row>
    <row r="18" spans="1:6" x14ac:dyDescent="0.25">
      <c r="A18" s="401"/>
      <c r="B18" s="1" t="s">
        <v>360</v>
      </c>
      <c r="C18" s="212">
        <v>1</v>
      </c>
      <c r="D18" s="403" t="str">
        <f t="shared" si="0"/>
        <v>Marek Macík</v>
      </c>
      <c r="E18" s="403"/>
      <c r="F18" s="131">
        <f t="shared" si="2"/>
        <v>1</v>
      </c>
    </row>
    <row r="19" spans="1:6" x14ac:dyDescent="0.25">
      <c r="A19" s="401"/>
      <c r="B19" s="1" t="s">
        <v>361</v>
      </c>
      <c r="C19" s="212">
        <v>1</v>
      </c>
      <c r="D19" s="403" t="str">
        <f t="shared" si="0"/>
        <v>Ondřej Tomšík</v>
      </c>
      <c r="E19" s="403"/>
      <c r="F19" s="131">
        <f t="shared" si="2"/>
        <v>1</v>
      </c>
    </row>
    <row r="20" spans="1:6" x14ac:dyDescent="0.25">
      <c r="A20" s="401"/>
      <c r="B20" s="1"/>
      <c r="C20" s="212"/>
      <c r="D20" s="403" t="str">
        <f t="shared" si="0"/>
        <v/>
      </c>
      <c r="E20" s="403"/>
      <c r="F20" s="131" t="str">
        <f t="shared" si="2"/>
        <v/>
      </c>
    </row>
    <row r="21" spans="1:6" x14ac:dyDescent="0.25">
      <c r="A21" s="401" t="s">
        <v>37</v>
      </c>
      <c r="B21" s="1" t="s">
        <v>355</v>
      </c>
      <c r="C21" s="212">
        <v>30</v>
      </c>
      <c r="D21" s="403" t="str">
        <f>IFERROR(RIGHT(B21,LEN(B21)-SEARCH(" ",B21)),"")</f>
        <v>Jiří Curney</v>
      </c>
      <c r="E21" s="403"/>
      <c r="F21" s="131"/>
    </row>
    <row r="22" spans="1:6" x14ac:dyDescent="0.25">
      <c r="A22" s="401"/>
      <c r="B22" s="1" t="s">
        <v>867</v>
      </c>
      <c r="C22" s="212">
        <v>20</v>
      </c>
      <c r="D22" s="403" t="str">
        <f>IFERROR(RIGHT(B22,LEN(B22)-SEARCH(" ",B22)),"")</f>
        <v>Milan Tomašík</v>
      </c>
      <c r="E22" s="403"/>
      <c r="F22" s="131"/>
    </row>
    <row r="23" spans="1:6" x14ac:dyDescent="0.25">
      <c r="A23" s="401"/>
      <c r="B23" s="1" t="s">
        <v>868</v>
      </c>
      <c r="C23" s="212">
        <v>18</v>
      </c>
      <c r="D23" s="403" t="str">
        <f>IFERROR(RIGHT(B23,LEN(B23)-SEARCH(" ",B23)),"")</f>
        <v>Daniel Šebek</v>
      </c>
      <c r="E23" s="403"/>
      <c r="F23" s="131"/>
    </row>
    <row r="24" spans="1:6" x14ac:dyDescent="0.25">
      <c r="A24" s="401"/>
      <c r="B24" s="1" t="s">
        <v>639</v>
      </c>
      <c r="C24" s="212">
        <v>17</v>
      </c>
      <c r="D24" s="403" t="str">
        <f>IFERROR(RIGHT(B24,LEN(B24)-SEARCH(" ",B24)),"")</f>
        <v>Petr Krzyžanek</v>
      </c>
      <c r="E24" s="403"/>
      <c r="F24" s="131"/>
    </row>
    <row r="25" spans="1:6" x14ac:dyDescent="0.25">
      <c r="A25" s="401"/>
      <c r="B25" s="1" t="s">
        <v>640</v>
      </c>
      <c r="C25" s="212">
        <v>14</v>
      </c>
      <c r="D25" s="403" t="str">
        <f>IFERROR(RIGHT(B25,LEN(B25)-SEARCH(" ",B25)),"")</f>
        <v>Jan Natov</v>
      </c>
      <c r="E25" s="403"/>
      <c r="F25" s="131"/>
    </row>
    <row r="26" spans="1:6" x14ac:dyDescent="0.25">
      <c r="A26" s="401" t="s">
        <v>38</v>
      </c>
      <c r="B26" s="1" t="s">
        <v>696</v>
      </c>
      <c r="C26" s="212">
        <v>26</v>
      </c>
      <c r="D26" s="403" t="str">
        <f t="shared" si="0"/>
        <v>Martin Tokoš</v>
      </c>
      <c r="E26" s="403"/>
      <c r="F26" s="131"/>
    </row>
    <row r="27" spans="1:6" x14ac:dyDescent="0.25">
      <c r="A27" s="401"/>
      <c r="B27" s="1" t="s">
        <v>356</v>
      </c>
      <c r="C27" s="212">
        <v>18</v>
      </c>
      <c r="D27" s="403" t="str">
        <f t="shared" si="0"/>
        <v>Jan Natov</v>
      </c>
      <c r="E27" s="403"/>
      <c r="F27" s="131"/>
    </row>
    <row r="28" spans="1:6" x14ac:dyDescent="0.25">
      <c r="A28" s="401"/>
      <c r="B28" s="1" t="s">
        <v>920</v>
      </c>
      <c r="C28" s="212">
        <v>10</v>
      </c>
      <c r="D28" s="403" t="str">
        <f t="shared" si="0"/>
        <v>Patrik Suchánek</v>
      </c>
      <c r="E28" s="403"/>
      <c r="F28" s="131"/>
    </row>
    <row r="29" spans="1:6" x14ac:dyDescent="0.25">
      <c r="A29" s="401"/>
      <c r="B29" s="1" t="s">
        <v>866</v>
      </c>
      <c r="C29" s="212">
        <v>8</v>
      </c>
      <c r="D29" s="403" t="str">
        <f t="shared" si="0"/>
        <v>Daniel Šebek</v>
      </c>
      <c r="E29" s="403"/>
      <c r="F29" s="131"/>
    </row>
    <row r="30" spans="1:6" x14ac:dyDescent="0.25">
      <c r="A30" s="401"/>
      <c r="B30" s="1" t="s">
        <v>921</v>
      </c>
      <c r="C30" s="212">
        <v>8</v>
      </c>
      <c r="D30" s="403" t="str">
        <f t="shared" si="0"/>
        <v>Jan Řehoř</v>
      </c>
      <c r="E30" s="403"/>
      <c r="F30" s="131"/>
    </row>
    <row r="31" spans="1:6" x14ac:dyDescent="0.25">
      <c r="A31" s="401" t="s">
        <v>331</v>
      </c>
      <c r="B31" s="190" t="s">
        <v>959</v>
      </c>
      <c r="C31" s="190" t="s">
        <v>153</v>
      </c>
      <c r="D31" s="190" t="s">
        <v>634</v>
      </c>
      <c r="E31" s="178" t="str">
        <f>IFERROR(RIGHT(LEFT(D31,LEN(D31)-1),LEN(D31)-2),"")</f>
        <v>7:3</v>
      </c>
    </row>
    <row r="32" spans="1:6" x14ac:dyDescent="0.25">
      <c r="A32" s="401"/>
      <c r="B32" s="190" t="s">
        <v>617</v>
      </c>
      <c r="C32" s="190" t="s">
        <v>142</v>
      </c>
      <c r="D32" s="190" t="s">
        <v>918</v>
      </c>
      <c r="E32" s="178" t="str">
        <f t="shared" ref="E32:E40" si="3">IFERROR(RIGHT(LEFT(D32,LEN(D32)-1),LEN(D32)-2),"")</f>
        <v>7:1</v>
      </c>
    </row>
    <row r="33" spans="1:5" x14ac:dyDescent="0.25">
      <c r="A33" s="401"/>
      <c r="B33" s="190" t="s">
        <v>635</v>
      </c>
      <c r="C33" s="190" t="s">
        <v>148</v>
      </c>
      <c r="D33" s="190" t="s">
        <v>919</v>
      </c>
      <c r="E33" s="178" t="str">
        <f t="shared" si="3"/>
        <v>6:1</v>
      </c>
    </row>
    <row r="34" spans="1:5" x14ac:dyDescent="0.25">
      <c r="A34" s="401"/>
      <c r="B34" s="190" t="s">
        <v>855</v>
      </c>
      <c r="C34" s="190" t="s">
        <v>148</v>
      </c>
      <c r="D34" s="190" t="s">
        <v>862</v>
      </c>
      <c r="E34" s="178" t="str">
        <f t="shared" si="3"/>
        <v>9:1</v>
      </c>
    </row>
    <row r="35" spans="1:5" x14ac:dyDescent="0.25">
      <c r="A35" s="401"/>
      <c r="B35" s="190" t="s">
        <v>474</v>
      </c>
      <c r="C35" s="190" t="s">
        <v>144</v>
      </c>
      <c r="D35" s="190" t="s">
        <v>695</v>
      </c>
      <c r="E35" s="178" t="str">
        <f t="shared" si="3"/>
        <v>9:5</v>
      </c>
    </row>
    <row r="36" spans="1:5" x14ac:dyDescent="0.25">
      <c r="A36" s="401" t="s">
        <v>332</v>
      </c>
      <c r="B36" s="190" t="s">
        <v>897</v>
      </c>
      <c r="C36" s="190" t="s">
        <v>149</v>
      </c>
      <c r="D36" s="190" t="s">
        <v>335</v>
      </c>
      <c r="E36" s="178" t="str">
        <f t="shared" si="3"/>
        <v>-:-</v>
      </c>
    </row>
    <row r="37" spans="1:5" x14ac:dyDescent="0.25">
      <c r="A37" s="401"/>
      <c r="B37" s="190" t="s">
        <v>898</v>
      </c>
      <c r="C37" s="190" t="s">
        <v>149</v>
      </c>
      <c r="D37" s="190" t="s">
        <v>335</v>
      </c>
      <c r="E37" s="178" t="str">
        <f t="shared" si="3"/>
        <v>-:-</v>
      </c>
    </row>
    <row r="38" spans="1:5" x14ac:dyDescent="0.25">
      <c r="A38" s="401"/>
      <c r="B38" s="190" t="s">
        <v>900</v>
      </c>
      <c r="C38" s="190" t="s">
        <v>149</v>
      </c>
      <c r="D38" s="190" t="s">
        <v>335</v>
      </c>
      <c r="E38" s="178" t="str">
        <f t="shared" si="3"/>
        <v>-:-</v>
      </c>
    </row>
    <row r="39" spans="1:5" x14ac:dyDescent="0.25">
      <c r="A39" s="401"/>
      <c r="B39" s="190" t="s">
        <v>901</v>
      </c>
      <c r="C39" s="190" t="s">
        <v>149</v>
      </c>
      <c r="D39" s="190" t="s">
        <v>335</v>
      </c>
      <c r="E39" s="178" t="str">
        <f t="shared" si="3"/>
        <v>-:-</v>
      </c>
    </row>
    <row r="40" spans="1:5" x14ac:dyDescent="0.25">
      <c r="A40" s="401"/>
      <c r="B40" s="190" t="s">
        <v>914</v>
      </c>
      <c r="C40" s="190" t="s">
        <v>149</v>
      </c>
      <c r="D40" s="190" t="s">
        <v>335</v>
      </c>
      <c r="E40" s="178" t="str">
        <f t="shared" si="3"/>
        <v>-:-</v>
      </c>
    </row>
    <row r="41" spans="1:5" x14ac:dyDescent="0.25">
      <c r="A41" s="132" t="s">
        <v>333</v>
      </c>
      <c r="B41" s="207" t="s">
        <v>863</v>
      </c>
      <c r="C41" s="190"/>
      <c r="D41" s="190"/>
    </row>
  </sheetData>
  <sheetProtection algorithmName="SHA-512" hashValue="D8uIJu8/PTevp1JSc3RvA3Ho+zvVzqcb3PKJrEM37JV2MOqwJIE1r+RRtRBN3B7wpPWzuBup6Wr5zOHb5Kw6dA==" saltValue="LEXL/O55B4BakoDSTTW3HA==" spinCount="100000" sheet="1" objects="1" scenarios="1" selectLockedCells="1"/>
  <mergeCells count="38">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4:E24"/>
    <mergeCell ref="D25:E25"/>
    <mergeCell ref="A26:A30"/>
    <mergeCell ref="D26:E26"/>
    <mergeCell ref="D27:E27"/>
    <mergeCell ref="D28:E28"/>
    <mergeCell ref="D29:E29"/>
    <mergeCell ref="D30:E30"/>
    <mergeCell ref="D21:E21"/>
    <mergeCell ref="D22:E22"/>
    <mergeCell ref="D23:E23"/>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zoomScaleNormal="100" workbookViewId="0">
      <selection activeCell="B69" sqref="B69"/>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4" customWidth="1"/>
    <col min="15" max="15" width="22" style="134" bestFit="1" customWidth="1"/>
    <col min="16" max="16" width="9.140625" style="134" customWidth="1"/>
    <col min="17" max="17" width="23.140625" style="136" customWidth="1"/>
    <col min="18" max="18" width="9.140625" style="1" customWidth="1"/>
    <col min="19" max="19" width="12.5703125" style="134" bestFit="1" customWidth="1"/>
    <col min="20" max="20" width="11.85546875" style="1" bestFit="1" customWidth="1"/>
    <col min="21" max="23" width="9.140625" style="1"/>
    <col min="24" max="26" width="10.28515625" style="134" customWidth="1"/>
    <col min="27" max="27" width="10.28515625" style="1" customWidth="1"/>
    <col min="28" max="16384" width="9.140625" style="1"/>
  </cols>
  <sheetData>
    <row r="1" spans="1:26" s="135" customFormat="1" ht="15" customHeight="1" x14ac:dyDescent="0.25">
      <c r="A1" s="8" t="s">
        <v>58</v>
      </c>
      <c r="B1" s="135" t="s">
        <v>59</v>
      </c>
      <c r="D1" s="135" t="s">
        <v>60</v>
      </c>
      <c r="E1" s="135" t="s">
        <v>61</v>
      </c>
      <c r="F1" s="135" t="s">
        <v>35</v>
      </c>
      <c r="G1" s="135" t="s">
        <v>62</v>
      </c>
      <c r="H1" s="135" t="s">
        <v>63</v>
      </c>
      <c r="I1" s="135" t="s">
        <v>37</v>
      </c>
      <c r="J1" s="135" t="s">
        <v>36</v>
      </c>
      <c r="K1" s="135" t="s">
        <v>38</v>
      </c>
      <c r="L1" s="135" t="s">
        <v>64</v>
      </c>
      <c r="M1" s="135" t="s">
        <v>30</v>
      </c>
      <c r="N1" s="3" t="s">
        <v>65</v>
      </c>
      <c r="O1" s="135" t="s">
        <v>80</v>
      </c>
      <c r="P1" s="152" t="s">
        <v>439</v>
      </c>
      <c r="Q1" s="115" t="s">
        <v>47</v>
      </c>
    </row>
    <row r="2" spans="1:26" s="4" customFormat="1" x14ac:dyDescent="0.25">
      <c r="A2" s="53">
        <v>1</v>
      </c>
      <c r="B2" s="4" t="s">
        <v>368</v>
      </c>
      <c r="D2" s="5" t="s">
        <v>51</v>
      </c>
      <c r="E2" s="5">
        <v>26</v>
      </c>
      <c r="F2" s="5">
        <v>28</v>
      </c>
      <c r="G2" s="5">
        <v>6</v>
      </c>
      <c r="H2" s="5">
        <v>2</v>
      </c>
      <c r="I2" s="5">
        <v>34</v>
      </c>
      <c r="J2" s="5">
        <v>62</v>
      </c>
      <c r="K2" s="5">
        <v>18</v>
      </c>
      <c r="L2" s="5">
        <v>88</v>
      </c>
      <c r="M2" s="5">
        <v>21</v>
      </c>
      <c r="N2" s="5">
        <v>67</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62 (28+34), +67 ±</v>
      </c>
      <c r="P2" s="5" t="str">
        <f>IF(B2&lt;&gt;0,IF(IFERROR(VLOOKUP(B2,$B$48:$B$82,1,FALSE)=B2,FALSE),"ANO","NE"),"")</f>
        <v>ANO</v>
      </c>
      <c r="Q2" s="142" t="s">
        <v>402</v>
      </c>
      <c r="S2" s="5"/>
      <c r="X2" s="5"/>
      <c r="Y2" s="5"/>
      <c r="Z2" s="5"/>
    </row>
    <row r="3" spans="1:26" s="4" customFormat="1" x14ac:dyDescent="0.25">
      <c r="A3" s="53">
        <v>2</v>
      </c>
      <c r="B3" s="4" t="s">
        <v>372</v>
      </c>
      <c r="D3" s="5"/>
      <c r="E3" s="5">
        <v>24</v>
      </c>
      <c r="F3" s="5">
        <v>22</v>
      </c>
      <c r="G3" s="5">
        <v>1</v>
      </c>
      <c r="H3" s="5">
        <v>0</v>
      </c>
      <c r="I3" s="5">
        <v>23</v>
      </c>
      <c r="J3" s="5">
        <v>45</v>
      </c>
      <c r="K3" s="5">
        <v>8</v>
      </c>
      <c r="L3" s="5">
        <v>72</v>
      </c>
      <c r="M3" s="5">
        <v>20</v>
      </c>
      <c r="N3" s="5">
        <v>52</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45 (22+23), +52 ±</v>
      </c>
      <c r="P3" s="5" t="str">
        <f t="shared" ref="P3:P36" si="1">IF(B3&lt;&gt;0,IF(IFERROR(VLOOKUP(B3,$B$48:$B$82,1,FALSE)=B3,FALSE),"ANO","NE"),"")</f>
        <v>ANO</v>
      </c>
      <c r="Q3" s="142"/>
      <c r="S3" s="5"/>
      <c r="X3" s="5"/>
      <c r="Y3" s="5"/>
      <c r="Z3" s="5"/>
    </row>
    <row r="4" spans="1:26" s="4" customFormat="1" x14ac:dyDescent="0.25">
      <c r="A4" s="53">
        <v>3</v>
      </c>
      <c r="B4" s="4" t="s">
        <v>370</v>
      </c>
      <c r="D4" s="5" t="s">
        <v>51</v>
      </c>
      <c r="E4" s="5">
        <v>26</v>
      </c>
      <c r="F4" s="5">
        <v>23</v>
      </c>
      <c r="G4" s="5">
        <v>9</v>
      </c>
      <c r="H4" s="5">
        <v>0</v>
      </c>
      <c r="I4" s="5">
        <v>20</v>
      </c>
      <c r="J4" s="5">
        <v>43</v>
      </c>
      <c r="K4" s="5">
        <v>4</v>
      </c>
      <c r="L4" s="5">
        <v>52</v>
      </c>
      <c r="M4" s="5">
        <v>36</v>
      </c>
      <c r="N4" s="5">
        <v>16</v>
      </c>
      <c r="O4" s="161" t="str">
        <f t="shared" si="0"/>
        <v>26 OZ , 43 (23+20), +16 ±</v>
      </c>
      <c r="P4" s="5" t="str">
        <f t="shared" si="1"/>
        <v>ANO</v>
      </c>
      <c r="Q4" s="142"/>
      <c r="S4" s="5"/>
      <c r="X4" s="5"/>
      <c r="Y4" s="5"/>
      <c r="Z4" s="5"/>
    </row>
    <row r="5" spans="1:26" s="4" customFormat="1" x14ac:dyDescent="0.25">
      <c r="A5" s="53">
        <v>4</v>
      </c>
      <c r="B5" s="4" t="s">
        <v>371</v>
      </c>
      <c r="D5" s="5" t="s">
        <v>51</v>
      </c>
      <c r="E5" s="5">
        <v>24</v>
      </c>
      <c r="F5" s="5">
        <v>18</v>
      </c>
      <c r="G5" s="5">
        <v>4</v>
      </c>
      <c r="H5" s="5">
        <v>0</v>
      </c>
      <c r="I5" s="5">
        <v>18</v>
      </c>
      <c r="J5" s="5">
        <v>36</v>
      </c>
      <c r="K5" s="5">
        <v>10</v>
      </c>
      <c r="L5" s="5">
        <v>50</v>
      </c>
      <c r="M5" s="5">
        <v>32</v>
      </c>
      <c r="N5" s="5">
        <v>18</v>
      </c>
      <c r="O5" s="161" t="str">
        <f t="shared" si="0"/>
        <v>24 OZ , 36 (18+18), +18 ±</v>
      </c>
      <c r="P5" s="5" t="str">
        <f t="shared" si="1"/>
        <v>ANO</v>
      </c>
      <c r="Q5" s="142"/>
      <c r="S5" s="5"/>
      <c r="X5" s="5"/>
      <c r="Y5" s="5"/>
      <c r="Z5" s="5"/>
    </row>
    <row r="6" spans="1:26" x14ac:dyDescent="0.25">
      <c r="A6" s="54">
        <v>5</v>
      </c>
      <c r="B6" s="1" t="s">
        <v>373</v>
      </c>
      <c r="D6" s="212"/>
      <c r="E6" s="212">
        <v>26</v>
      </c>
      <c r="F6" s="212">
        <v>26</v>
      </c>
      <c r="G6" s="212">
        <v>0</v>
      </c>
      <c r="H6" s="212">
        <v>0</v>
      </c>
      <c r="I6" s="212">
        <v>9</v>
      </c>
      <c r="J6" s="212">
        <v>35</v>
      </c>
      <c r="K6" s="212">
        <v>12</v>
      </c>
      <c r="L6" s="212">
        <v>75</v>
      </c>
      <c r="M6" s="212">
        <v>20</v>
      </c>
      <c r="N6" s="212">
        <v>55</v>
      </c>
      <c r="O6" s="161" t="str">
        <f t="shared" si="0"/>
        <v>26 OZ , 35 (26+9), +55 ±</v>
      </c>
      <c r="P6" s="5" t="str">
        <f t="shared" si="1"/>
        <v>ANO</v>
      </c>
    </row>
    <row r="7" spans="1:26" x14ac:dyDescent="0.25">
      <c r="A7" s="54">
        <v>6</v>
      </c>
      <c r="B7" s="1" t="s">
        <v>369</v>
      </c>
      <c r="D7" s="212"/>
      <c r="E7" s="212">
        <v>21</v>
      </c>
      <c r="F7" s="212">
        <v>13</v>
      </c>
      <c r="G7" s="212">
        <v>6</v>
      </c>
      <c r="H7" s="212">
        <v>0</v>
      </c>
      <c r="I7" s="212">
        <v>22</v>
      </c>
      <c r="J7" s="212">
        <v>35</v>
      </c>
      <c r="K7" s="212">
        <v>8</v>
      </c>
      <c r="L7" s="212">
        <v>76</v>
      </c>
      <c r="M7" s="212">
        <v>16</v>
      </c>
      <c r="N7" s="212">
        <v>60</v>
      </c>
      <c r="O7" s="161" t="str">
        <f t="shared" si="0"/>
        <v>21 OZ , 35 (13+22), +60 ±</v>
      </c>
      <c r="P7" s="5" t="str">
        <f t="shared" si="1"/>
        <v>ANO</v>
      </c>
    </row>
    <row r="8" spans="1:26" x14ac:dyDescent="0.25">
      <c r="A8" s="54">
        <v>7</v>
      </c>
      <c r="B8" s="1" t="s">
        <v>374</v>
      </c>
      <c r="D8" s="212"/>
      <c r="E8" s="212">
        <v>24</v>
      </c>
      <c r="F8" s="212">
        <v>12</v>
      </c>
      <c r="G8" s="212">
        <v>0</v>
      </c>
      <c r="H8" s="212">
        <v>0</v>
      </c>
      <c r="I8" s="212">
        <v>5</v>
      </c>
      <c r="J8" s="212">
        <v>17</v>
      </c>
      <c r="K8" s="212">
        <v>6</v>
      </c>
      <c r="L8" s="212">
        <v>56</v>
      </c>
      <c r="M8" s="212">
        <v>34</v>
      </c>
      <c r="N8" s="212">
        <v>22</v>
      </c>
      <c r="O8" s="161" t="str">
        <f t="shared" si="0"/>
        <v>24 OZ , 17 (12+5), +22 ±</v>
      </c>
      <c r="P8" s="5" t="str">
        <f t="shared" si="1"/>
        <v>ANO</v>
      </c>
    </row>
    <row r="9" spans="1:26" x14ac:dyDescent="0.25">
      <c r="A9" s="54">
        <v>8</v>
      </c>
      <c r="B9" s="1" t="s">
        <v>376</v>
      </c>
      <c r="D9" s="212"/>
      <c r="E9" s="212">
        <v>18</v>
      </c>
      <c r="F9" s="212">
        <v>4</v>
      </c>
      <c r="G9" s="212">
        <v>3</v>
      </c>
      <c r="H9" s="212">
        <v>0</v>
      </c>
      <c r="I9" s="212">
        <v>10</v>
      </c>
      <c r="J9" s="212">
        <v>14</v>
      </c>
      <c r="K9" s="212">
        <v>0</v>
      </c>
      <c r="L9" s="212">
        <v>46</v>
      </c>
      <c r="M9" s="212">
        <v>9</v>
      </c>
      <c r="N9" s="212">
        <v>37</v>
      </c>
      <c r="O9" s="161" t="str">
        <f t="shared" si="0"/>
        <v>18 OZ , 14 (4+10), +37 ±</v>
      </c>
      <c r="P9" s="5" t="str">
        <f t="shared" si="1"/>
        <v>ANO</v>
      </c>
    </row>
    <row r="10" spans="1:26" x14ac:dyDescent="0.25">
      <c r="A10" s="54">
        <v>9</v>
      </c>
      <c r="B10" s="1" t="s">
        <v>377</v>
      </c>
      <c r="D10" s="212" t="s">
        <v>51</v>
      </c>
      <c r="E10" s="212">
        <v>25</v>
      </c>
      <c r="F10" s="212">
        <v>6</v>
      </c>
      <c r="G10" s="212">
        <v>0</v>
      </c>
      <c r="H10" s="212">
        <v>0</v>
      </c>
      <c r="I10" s="212">
        <v>5</v>
      </c>
      <c r="J10" s="212">
        <v>11</v>
      </c>
      <c r="K10" s="212">
        <v>2</v>
      </c>
      <c r="L10" s="212">
        <v>33</v>
      </c>
      <c r="M10" s="212">
        <v>36</v>
      </c>
      <c r="N10" s="212">
        <v>-3</v>
      </c>
      <c r="O10" s="161" t="str">
        <f t="shared" si="0"/>
        <v>25 OZ , 11 (6+5), -3 ±</v>
      </c>
      <c r="P10" s="5" t="str">
        <f t="shared" si="1"/>
        <v>ANO</v>
      </c>
    </row>
    <row r="11" spans="1:26" x14ac:dyDescent="0.25">
      <c r="A11" s="54">
        <v>10</v>
      </c>
      <c r="B11" s="1" t="s">
        <v>378</v>
      </c>
      <c r="D11" s="212" t="s">
        <v>48</v>
      </c>
      <c r="E11" s="212">
        <v>26</v>
      </c>
      <c r="F11" s="212">
        <v>2</v>
      </c>
      <c r="G11" s="212">
        <v>0</v>
      </c>
      <c r="H11" s="212">
        <v>0</v>
      </c>
      <c r="I11" s="212">
        <v>8</v>
      </c>
      <c r="J11" s="212">
        <v>10</v>
      </c>
      <c r="K11" s="212">
        <v>4</v>
      </c>
      <c r="L11" s="212">
        <v>37</v>
      </c>
      <c r="M11" s="212">
        <v>30</v>
      </c>
      <c r="N11" s="212">
        <v>7</v>
      </c>
      <c r="O11" s="161" t="str">
        <f t="shared" si="0"/>
        <v>26 OZ , 10 (2+8), +7 ±</v>
      </c>
      <c r="P11" s="5" t="str">
        <f t="shared" si="1"/>
        <v>ANO</v>
      </c>
    </row>
    <row r="12" spans="1:26" x14ac:dyDescent="0.25">
      <c r="A12" s="54">
        <v>11</v>
      </c>
      <c r="B12" s="1" t="s">
        <v>375</v>
      </c>
      <c r="D12" s="212" t="s">
        <v>48</v>
      </c>
      <c r="E12" s="212">
        <v>19</v>
      </c>
      <c r="F12" s="212">
        <v>4</v>
      </c>
      <c r="G12" s="212">
        <v>0</v>
      </c>
      <c r="H12" s="212">
        <v>0</v>
      </c>
      <c r="I12" s="212">
        <v>5</v>
      </c>
      <c r="J12" s="212">
        <v>9</v>
      </c>
      <c r="K12" s="212">
        <v>4</v>
      </c>
      <c r="L12" s="212">
        <v>33</v>
      </c>
      <c r="M12" s="212">
        <v>29</v>
      </c>
      <c r="N12" s="212">
        <v>4</v>
      </c>
      <c r="O12" s="161" t="str">
        <f t="shared" si="0"/>
        <v>19 OZ , 9 (4+5), +4 ±</v>
      </c>
      <c r="P12" s="5" t="str">
        <f t="shared" si="1"/>
        <v>ANO</v>
      </c>
    </row>
    <row r="13" spans="1:26" x14ac:dyDescent="0.25">
      <c r="A13" s="54">
        <v>12</v>
      </c>
      <c r="B13" s="1" t="s">
        <v>380</v>
      </c>
      <c r="D13" s="212"/>
      <c r="E13" s="212">
        <v>16</v>
      </c>
      <c r="F13" s="212">
        <v>6</v>
      </c>
      <c r="G13" s="212">
        <v>0</v>
      </c>
      <c r="H13" s="212">
        <v>0</v>
      </c>
      <c r="I13" s="212">
        <v>0</v>
      </c>
      <c r="J13" s="212">
        <v>6</v>
      </c>
      <c r="K13" s="212">
        <v>4</v>
      </c>
      <c r="L13" s="212">
        <v>20</v>
      </c>
      <c r="M13" s="212">
        <v>18</v>
      </c>
      <c r="N13" s="212">
        <v>2</v>
      </c>
      <c r="O13" s="161" t="str">
        <f t="shared" si="0"/>
        <v>16 OZ , 6 (6+0), +2 ±</v>
      </c>
      <c r="P13" s="5" t="str">
        <f t="shared" si="1"/>
        <v>ANO</v>
      </c>
    </row>
    <row r="14" spans="1:26" x14ac:dyDescent="0.25">
      <c r="A14" s="54">
        <v>13</v>
      </c>
      <c r="B14" s="1" t="s">
        <v>379</v>
      </c>
      <c r="D14" s="212" t="s">
        <v>48</v>
      </c>
      <c r="E14" s="212">
        <v>26</v>
      </c>
      <c r="F14" s="212">
        <v>4</v>
      </c>
      <c r="G14" s="212">
        <v>0</v>
      </c>
      <c r="H14" s="212">
        <v>0</v>
      </c>
      <c r="I14" s="212">
        <v>2</v>
      </c>
      <c r="J14" s="212">
        <v>6</v>
      </c>
      <c r="K14" s="212">
        <v>2</v>
      </c>
      <c r="L14" s="212">
        <v>29</v>
      </c>
      <c r="M14" s="212">
        <v>31</v>
      </c>
      <c r="N14" s="212">
        <v>-2</v>
      </c>
      <c r="O14" s="161" t="str">
        <f t="shared" si="0"/>
        <v>26 OZ , 6 (4+2), -2 ±</v>
      </c>
      <c r="P14" s="5" t="str">
        <f t="shared" si="1"/>
        <v>ANO</v>
      </c>
    </row>
    <row r="15" spans="1:26" x14ac:dyDescent="0.25">
      <c r="A15" s="54">
        <v>14</v>
      </c>
      <c r="B15" s="1" t="s">
        <v>317</v>
      </c>
      <c r="D15" s="212"/>
      <c r="E15" s="212">
        <v>17</v>
      </c>
      <c r="F15" s="212">
        <v>2</v>
      </c>
      <c r="G15" s="212">
        <v>0</v>
      </c>
      <c r="H15" s="212">
        <v>0</v>
      </c>
      <c r="I15" s="212">
        <v>4</v>
      </c>
      <c r="J15" s="212">
        <v>6</v>
      </c>
      <c r="K15" s="212">
        <v>14</v>
      </c>
      <c r="L15" s="212">
        <v>11</v>
      </c>
      <c r="M15" s="212">
        <v>15</v>
      </c>
      <c r="N15" s="212">
        <v>-4</v>
      </c>
      <c r="O15" s="161" t="str">
        <f t="shared" si="0"/>
        <v>17 OZ , 6 (2+4), -4 ±</v>
      </c>
      <c r="P15" s="5" t="str">
        <f t="shared" si="1"/>
        <v>ANO</v>
      </c>
    </row>
    <row r="16" spans="1:26" x14ac:dyDescent="0.25">
      <c r="A16" s="54">
        <v>15</v>
      </c>
      <c r="B16" s="1" t="s">
        <v>388</v>
      </c>
      <c r="D16" s="212"/>
      <c r="E16" s="212">
        <v>12</v>
      </c>
      <c r="F16" s="212">
        <v>5</v>
      </c>
      <c r="G16" s="212">
        <v>0</v>
      </c>
      <c r="H16" s="212">
        <v>0</v>
      </c>
      <c r="I16" s="212">
        <v>0</v>
      </c>
      <c r="J16" s="212">
        <v>5</v>
      </c>
      <c r="K16" s="212">
        <v>4</v>
      </c>
      <c r="L16" s="212">
        <v>9</v>
      </c>
      <c r="M16" s="212">
        <v>11</v>
      </c>
      <c r="N16" s="212">
        <v>-2</v>
      </c>
      <c r="O16" s="161" t="str">
        <f t="shared" si="0"/>
        <v>12 OZ , 5 (5+0), -2 ±</v>
      </c>
      <c r="P16" s="5" t="str">
        <f t="shared" si="1"/>
        <v>ANO</v>
      </c>
    </row>
    <row r="17" spans="1:16" x14ac:dyDescent="0.25">
      <c r="A17" s="54">
        <v>16</v>
      </c>
      <c r="B17" s="1" t="s">
        <v>381</v>
      </c>
      <c r="D17" s="212"/>
      <c r="E17" s="212">
        <v>16</v>
      </c>
      <c r="F17" s="212">
        <v>2</v>
      </c>
      <c r="G17" s="212">
        <v>0</v>
      </c>
      <c r="H17" s="212">
        <v>0</v>
      </c>
      <c r="I17" s="212">
        <v>1</v>
      </c>
      <c r="J17" s="212">
        <v>3</v>
      </c>
      <c r="K17" s="212">
        <v>0</v>
      </c>
      <c r="L17" s="212">
        <v>17</v>
      </c>
      <c r="M17" s="212">
        <v>14</v>
      </c>
      <c r="N17" s="212">
        <v>3</v>
      </c>
      <c r="O17" s="161" t="str">
        <f t="shared" si="0"/>
        <v>16 OZ , 3 (2+1), +3 ±</v>
      </c>
      <c r="P17" s="5" t="str">
        <f t="shared" si="1"/>
        <v>ANO</v>
      </c>
    </row>
    <row r="18" spans="1:16" x14ac:dyDescent="0.25">
      <c r="A18" s="54">
        <v>17</v>
      </c>
      <c r="B18" s="1" t="s">
        <v>384</v>
      </c>
      <c r="D18" s="212"/>
      <c r="E18" s="212">
        <v>22</v>
      </c>
      <c r="F18" s="212">
        <v>2</v>
      </c>
      <c r="G18" s="212">
        <v>0</v>
      </c>
      <c r="H18" s="212">
        <v>0</v>
      </c>
      <c r="I18" s="212">
        <v>1</v>
      </c>
      <c r="J18" s="212">
        <v>3</v>
      </c>
      <c r="K18" s="212">
        <v>4</v>
      </c>
      <c r="L18" s="212">
        <v>20</v>
      </c>
      <c r="M18" s="212">
        <v>29</v>
      </c>
      <c r="N18" s="212">
        <v>-9</v>
      </c>
      <c r="O18" s="161" t="str">
        <f t="shared" si="0"/>
        <v>22 OZ , 3 (2+1), -9 ±</v>
      </c>
      <c r="P18" s="5" t="str">
        <f t="shared" si="1"/>
        <v>ANO</v>
      </c>
    </row>
    <row r="19" spans="1:16" x14ac:dyDescent="0.25">
      <c r="A19" s="54">
        <v>18</v>
      </c>
      <c r="B19" s="1" t="s">
        <v>392</v>
      </c>
      <c r="D19" s="212"/>
      <c r="E19" s="212">
        <v>18</v>
      </c>
      <c r="F19" s="212">
        <v>2</v>
      </c>
      <c r="G19" s="212">
        <v>0</v>
      </c>
      <c r="H19" s="212">
        <v>0</v>
      </c>
      <c r="I19" s="212">
        <v>0</v>
      </c>
      <c r="J19" s="212">
        <v>2</v>
      </c>
      <c r="K19" s="212">
        <v>2</v>
      </c>
      <c r="L19" s="212">
        <v>9</v>
      </c>
      <c r="M19" s="212">
        <v>12</v>
      </c>
      <c r="N19" s="212">
        <v>-3</v>
      </c>
      <c r="O19" s="161" t="str">
        <f t="shared" si="0"/>
        <v>18 OZ , 2 (2+0), -3 ±</v>
      </c>
      <c r="P19" s="5" t="str">
        <f t="shared" si="1"/>
        <v>ANO</v>
      </c>
    </row>
    <row r="20" spans="1:16" x14ac:dyDescent="0.25">
      <c r="A20" s="54">
        <v>19</v>
      </c>
      <c r="B20" s="1" t="s">
        <v>382</v>
      </c>
      <c r="D20" s="212" t="s">
        <v>48</v>
      </c>
      <c r="E20" s="212">
        <v>4</v>
      </c>
      <c r="F20" s="212">
        <v>1</v>
      </c>
      <c r="G20" s="212">
        <v>0</v>
      </c>
      <c r="H20" s="212">
        <v>0</v>
      </c>
      <c r="I20" s="212">
        <v>1</v>
      </c>
      <c r="J20" s="212">
        <v>2</v>
      </c>
      <c r="K20" s="212">
        <v>0</v>
      </c>
      <c r="L20" s="212">
        <v>8</v>
      </c>
      <c r="M20" s="212">
        <v>3</v>
      </c>
      <c r="N20" s="212">
        <v>5</v>
      </c>
      <c r="O20" s="161" t="str">
        <f t="shared" si="0"/>
        <v>4 OZ , 2 (1+1), +5 ±</v>
      </c>
      <c r="P20" s="5" t="str">
        <f t="shared" si="1"/>
        <v>ANO</v>
      </c>
    </row>
    <row r="21" spans="1:16" x14ac:dyDescent="0.25">
      <c r="A21" s="54">
        <v>20</v>
      </c>
      <c r="B21" s="1" t="s">
        <v>390</v>
      </c>
      <c r="D21" s="212"/>
      <c r="E21" s="212">
        <v>14</v>
      </c>
      <c r="F21" s="212">
        <v>1</v>
      </c>
      <c r="G21" s="212">
        <v>0</v>
      </c>
      <c r="H21" s="212">
        <v>0</v>
      </c>
      <c r="I21" s="212">
        <v>1</v>
      </c>
      <c r="J21" s="212">
        <v>2</v>
      </c>
      <c r="K21" s="212">
        <v>4</v>
      </c>
      <c r="L21" s="212">
        <v>10</v>
      </c>
      <c r="M21" s="212">
        <v>8</v>
      </c>
      <c r="N21" s="212">
        <v>2</v>
      </c>
      <c r="O21" s="161" t="str">
        <f t="shared" si="0"/>
        <v>14 OZ , 2 (1+1), +2 ±</v>
      </c>
      <c r="P21" s="5" t="str">
        <f t="shared" si="1"/>
        <v>ANO</v>
      </c>
    </row>
    <row r="22" spans="1:16" x14ac:dyDescent="0.25">
      <c r="A22" s="54">
        <v>21</v>
      </c>
      <c r="B22" s="1" t="s">
        <v>383</v>
      </c>
      <c r="D22" s="212"/>
      <c r="E22" s="212">
        <v>16</v>
      </c>
      <c r="F22" s="212">
        <v>1</v>
      </c>
      <c r="G22" s="212">
        <v>0</v>
      </c>
      <c r="H22" s="212">
        <v>0</v>
      </c>
      <c r="I22" s="212">
        <v>1</v>
      </c>
      <c r="J22" s="212">
        <v>2</v>
      </c>
      <c r="K22" s="212">
        <v>2</v>
      </c>
      <c r="L22" s="212">
        <v>9</v>
      </c>
      <c r="M22" s="212">
        <v>10</v>
      </c>
      <c r="N22" s="212">
        <v>-1</v>
      </c>
      <c r="O22" s="161" t="str">
        <f t="shared" si="0"/>
        <v>16 OZ , 2 (1+1), -1 ±</v>
      </c>
      <c r="P22" s="5" t="str">
        <f t="shared" si="1"/>
        <v>ANO</v>
      </c>
    </row>
    <row r="23" spans="1:16" x14ac:dyDescent="0.25">
      <c r="A23" s="54">
        <v>22</v>
      </c>
      <c r="B23" s="1" t="s">
        <v>922</v>
      </c>
      <c r="D23" s="212"/>
      <c r="E23" s="212">
        <v>18</v>
      </c>
      <c r="F23" s="212">
        <v>1</v>
      </c>
      <c r="G23" s="212">
        <v>0</v>
      </c>
      <c r="H23" s="212">
        <v>0</v>
      </c>
      <c r="I23" s="212">
        <v>0</v>
      </c>
      <c r="J23" s="212">
        <v>1</v>
      </c>
      <c r="K23" s="212">
        <v>0</v>
      </c>
      <c r="L23" s="212">
        <v>3</v>
      </c>
      <c r="M23" s="212">
        <v>6</v>
      </c>
      <c r="N23" s="212">
        <v>-3</v>
      </c>
      <c r="O23" s="161" t="str">
        <f t="shared" si="0"/>
        <v>18 OZ , 1 (1+0), -3 ±</v>
      </c>
      <c r="P23" s="5" t="str">
        <f t="shared" si="1"/>
        <v>ANO</v>
      </c>
    </row>
    <row r="24" spans="1:16" x14ac:dyDescent="0.25">
      <c r="A24" s="53">
        <v>23</v>
      </c>
      <c r="B24" s="4" t="s">
        <v>280</v>
      </c>
      <c r="C24" s="4"/>
      <c r="D24" s="5"/>
      <c r="E24" s="5">
        <v>8</v>
      </c>
      <c r="F24" s="5">
        <v>0</v>
      </c>
      <c r="G24" s="5">
        <v>0</v>
      </c>
      <c r="H24" s="5">
        <v>0</v>
      </c>
      <c r="I24" s="5">
        <v>1</v>
      </c>
      <c r="J24" s="5">
        <v>1</v>
      </c>
      <c r="K24" s="5">
        <v>4</v>
      </c>
      <c r="L24" s="5">
        <v>3</v>
      </c>
      <c r="M24" s="5">
        <v>3</v>
      </c>
      <c r="N24" s="5">
        <v>0</v>
      </c>
      <c r="O24" s="161" t="str">
        <f t="shared" si="0"/>
        <v>8 OZ , 1 (0+1), 0 ±</v>
      </c>
      <c r="P24" s="5" t="str">
        <f t="shared" si="1"/>
        <v>ANO</v>
      </c>
    </row>
    <row r="25" spans="1:16" x14ac:dyDescent="0.25">
      <c r="A25" s="53">
        <v>24</v>
      </c>
      <c r="B25" s="4" t="s">
        <v>394</v>
      </c>
      <c r="C25" s="4"/>
      <c r="D25" s="5"/>
      <c r="E25" s="5">
        <v>0</v>
      </c>
      <c r="F25" s="5">
        <v>0</v>
      </c>
      <c r="G25" s="5">
        <v>0</v>
      </c>
      <c r="H25" s="5">
        <v>0</v>
      </c>
      <c r="I25" s="5">
        <v>1</v>
      </c>
      <c r="J25" s="5">
        <v>1</v>
      </c>
      <c r="K25" s="5">
        <v>0</v>
      </c>
      <c r="L25" s="5">
        <v>0</v>
      </c>
      <c r="M25" s="5">
        <v>0</v>
      </c>
      <c r="N25" s="5">
        <v>0</v>
      </c>
      <c r="O25" s="161" t="str">
        <f t="shared" si="0"/>
        <v>0 OZ , 1 (0+1), 0 ±</v>
      </c>
      <c r="P25" s="5" t="str">
        <f t="shared" si="1"/>
        <v>ANO</v>
      </c>
    </row>
    <row r="26" spans="1:16" x14ac:dyDescent="0.25">
      <c r="A26" s="53">
        <v>25</v>
      </c>
      <c r="B26" s="4" t="s">
        <v>386</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387</v>
      </c>
      <c r="C27" s="4"/>
      <c r="D27" s="5" t="s">
        <v>51</v>
      </c>
      <c r="E27" s="5">
        <v>1</v>
      </c>
      <c r="F27" s="5">
        <v>0</v>
      </c>
      <c r="G27" s="5">
        <v>0</v>
      </c>
      <c r="H27" s="5">
        <v>0</v>
      </c>
      <c r="I27" s="5">
        <v>0</v>
      </c>
      <c r="J27" s="5">
        <v>0</v>
      </c>
      <c r="K27" s="5">
        <v>0</v>
      </c>
      <c r="L27" s="5">
        <v>0</v>
      </c>
      <c r="M27" s="5">
        <v>0</v>
      </c>
      <c r="N27" s="5">
        <v>0</v>
      </c>
      <c r="O27" s="161" t="str">
        <f t="shared" si="0"/>
        <v>1 OZ , 0 (0+0), 0 ±</v>
      </c>
      <c r="P27" s="5" t="str">
        <f t="shared" si="1"/>
        <v>ANO</v>
      </c>
    </row>
    <row r="28" spans="1:16" x14ac:dyDescent="0.25">
      <c r="A28" s="53">
        <v>27</v>
      </c>
      <c r="B28" s="4" t="s">
        <v>385</v>
      </c>
      <c r="C28" s="4"/>
      <c r="D28" s="5"/>
      <c r="E28" s="5">
        <v>1</v>
      </c>
      <c r="F28" s="5">
        <v>0</v>
      </c>
      <c r="G28" s="5">
        <v>0</v>
      </c>
      <c r="H28" s="5">
        <v>0</v>
      </c>
      <c r="I28" s="5">
        <v>0</v>
      </c>
      <c r="J28" s="5">
        <v>0</v>
      </c>
      <c r="K28" s="5">
        <v>0</v>
      </c>
      <c r="L28" s="5">
        <v>0</v>
      </c>
      <c r="M28" s="5">
        <v>0</v>
      </c>
      <c r="N28" s="5">
        <v>0</v>
      </c>
      <c r="O28" s="161" t="str">
        <f t="shared" si="0"/>
        <v>1 OZ , 0 (0+0), 0 ±</v>
      </c>
      <c r="P28" s="5" t="str">
        <f t="shared" si="1"/>
        <v>ANO</v>
      </c>
    </row>
    <row r="29" spans="1:16" x14ac:dyDescent="0.25">
      <c r="A29" s="53">
        <v>28</v>
      </c>
      <c r="B29" s="4" t="s">
        <v>389</v>
      </c>
      <c r="C29" s="4"/>
      <c r="D29" s="5" t="s">
        <v>51</v>
      </c>
      <c r="E29" s="5">
        <v>3</v>
      </c>
      <c r="F29" s="5">
        <v>0</v>
      </c>
      <c r="G29" s="5">
        <v>0</v>
      </c>
      <c r="H29" s="5">
        <v>0</v>
      </c>
      <c r="I29" s="5">
        <v>0</v>
      </c>
      <c r="J29" s="5">
        <v>0</v>
      </c>
      <c r="K29" s="5">
        <v>0</v>
      </c>
      <c r="L29" s="5">
        <v>0</v>
      </c>
      <c r="M29" s="5">
        <v>0</v>
      </c>
      <c r="N29" s="5">
        <v>0</v>
      </c>
      <c r="O29" s="161" t="str">
        <f t="shared" si="0"/>
        <v>3 OZ , 0 (0+0), 0 ±</v>
      </c>
      <c r="P29" s="5" t="str">
        <f t="shared" si="1"/>
        <v>ANO</v>
      </c>
    </row>
    <row r="30" spans="1:16" x14ac:dyDescent="0.25">
      <c r="A30" s="54">
        <v>29</v>
      </c>
      <c r="B30" s="1" t="s">
        <v>391</v>
      </c>
      <c r="D30" s="212"/>
      <c r="E30" s="212">
        <v>0</v>
      </c>
      <c r="F30" s="212">
        <v>0</v>
      </c>
      <c r="G30" s="212">
        <v>0</v>
      </c>
      <c r="H30" s="212">
        <v>0</v>
      </c>
      <c r="I30" s="212">
        <v>0</v>
      </c>
      <c r="J30" s="212">
        <v>0</v>
      </c>
      <c r="K30" s="212">
        <v>0</v>
      </c>
      <c r="L30" s="212">
        <v>0</v>
      </c>
      <c r="M30" s="212">
        <v>0</v>
      </c>
      <c r="N30" s="212">
        <v>0</v>
      </c>
      <c r="O30" s="161" t="str">
        <f t="shared" si="0"/>
        <v>0 OZ , 0 (0+0), 0 ±</v>
      </c>
      <c r="P30" s="5" t="str">
        <f t="shared" si="1"/>
        <v>ANO</v>
      </c>
    </row>
    <row r="31" spans="1:16" x14ac:dyDescent="0.25">
      <c r="A31" s="54">
        <v>30</v>
      </c>
      <c r="B31" s="1" t="s">
        <v>393</v>
      </c>
      <c r="D31" s="212" t="s">
        <v>35</v>
      </c>
      <c r="E31" s="212">
        <v>0</v>
      </c>
      <c r="F31" s="212">
        <v>0</v>
      </c>
      <c r="G31" s="212">
        <v>0</v>
      </c>
      <c r="H31" s="212">
        <v>0</v>
      </c>
      <c r="I31" s="212">
        <v>0</v>
      </c>
      <c r="J31" s="212">
        <v>0</v>
      </c>
      <c r="K31" s="212">
        <v>0</v>
      </c>
      <c r="L31" s="212">
        <v>0</v>
      </c>
      <c r="M31" s="212">
        <v>0</v>
      </c>
      <c r="N31" s="212">
        <v>0</v>
      </c>
      <c r="O31" s="161" t="str">
        <f t="shared" si="0"/>
        <v>0 OZ , 0 (0+0), 0 ±</v>
      </c>
      <c r="P31" s="5" t="str">
        <f t="shared" si="1"/>
        <v>ANO</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35" customFormat="1" ht="15" customHeight="1" x14ac:dyDescent="0.25">
      <c r="A38" s="8" t="s">
        <v>58</v>
      </c>
      <c r="B38" s="135" t="s">
        <v>59</v>
      </c>
      <c r="D38" s="135" t="s">
        <v>83</v>
      </c>
      <c r="E38" s="135" t="s">
        <v>84</v>
      </c>
      <c r="F38" s="135" t="s">
        <v>85</v>
      </c>
      <c r="G38" s="135" t="s">
        <v>40</v>
      </c>
      <c r="H38" s="135" t="s">
        <v>86</v>
      </c>
      <c r="I38" s="135" t="s">
        <v>87</v>
      </c>
      <c r="J38" s="135" t="s">
        <v>88</v>
      </c>
      <c r="K38" s="135" t="s">
        <v>79</v>
      </c>
      <c r="L38" s="135" t="s">
        <v>41</v>
      </c>
      <c r="M38" s="135" t="s">
        <v>89</v>
      </c>
      <c r="N38" s="3" t="s">
        <v>37</v>
      </c>
      <c r="O38" s="135" t="s">
        <v>38</v>
      </c>
      <c r="P38" s="135" t="s">
        <v>90</v>
      </c>
      <c r="Q38" s="135" t="s">
        <v>91</v>
      </c>
      <c r="R38" s="135" t="s">
        <v>92</v>
      </c>
    </row>
    <row r="39" spans="1:27" x14ac:dyDescent="0.25">
      <c r="A39" s="54">
        <v>1</v>
      </c>
      <c r="B39" t="s">
        <v>394</v>
      </c>
      <c r="C39"/>
      <c r="D39" s="190">
        <v>24</v>
      </c>
      <c r="E39" s="190">
        <v>18</v>
      </c>
      <c r="F39" s="190">
        <v>967.6</v>
      </c>
      <c r="G39" s="190">
        <v>12</v>
      </c>
      <c r="H39" s="190">
        <v>72</v>
      </c>
      <c r="I39" s="190">
        <v>0</v>
      </c>
      <c r="J39" s="190">
        <v>286</v>
      </c>
      <c r="K39" s="190">
        <v>0</v>
      </c>
      <c r="L39" s="190">
        <v>6</v>
      </c>
      <c r="M39" s="190">
        <v>214</v>
      </c>
      <c r="N39" s="190">
        <v>1</v>
      </c>
      <c r="O39" s="190">
        <v>0</v>
      </c>
      <c r="P39" s="11">
        <f>IF(B39&lt;&gt;0,IFERROR(H39/(F39/60),0),"")</f>
        <v>4.4646548160396851</v>
      </c>
      <c r="Q39" s="11">
        <f>IF(B39&lt;&gt;0,IFERROR((M39/J39)*100,0),"")</f>
        <v>74.825174825174827</v>
      </c>
      <c r="R39" s="134" t="str">
        <f>IF(B39&lt;&gt;0,CONCATENATE(G39, " V, ",L39," P"),"")</f>
        <v>12 V, 6 P</v>
      </c>
    </row>
    <row r="40" spans="1:27" x14ac:dyDescent="0.25">
      <c r="A40" s="54">
        <v>2</v>
      </c>
      <c r="B40" t="s">
        <v>393</v>
      </c>
      <c r="C40"/>
      <c r="D40" s="190">
        <v>18</v>
      </c>
      <c r="E40" s="190">
        <v>8</v>
      </c>
      <c r="F40" s="190">
        <v>396.66</v>
      </c>
      <c r="G40" s="190">
        <v>5</v>
      </c>
      <c r="H40" s="190">
        <v>26</v>
      </c>
      <c r="I40" s="190">
        <v>1</v>
      </c>
      <c r="J40" s="190">
        <v>114</v>
      </c>
      <c r="K40" s="190">
        <v>0</v>
      </c>
      <c r="L40" s="190">
        <v>3</v>
      </c>
      <c r="M40" s="190">
        <v>88</v>
      </c>
      <c r="N40" s="190">
        <v>0</v>
      </c>
      <c r="O40" s="190">
        <v>0</v>
      </c>
      <c r="P40" s="11">
        <f t="shared" ref="P40:P45" si="2">IF(B40&lt;&gt;0,IFERROR(H40/(F40/60),0),"")</f>
        <v>3.9328392073816363</v>
      </c>
      <c r="Q40" s="11">
        <f t="shared" ref="Q40:Q45" si="3">IF(B40&lt;&gt;0,IFERROR((M40/J40)*100,0),"")</f>
        <v>77.192982456140342</v>
      </c>
      <c r="R40" s="134" t="str">
        <f t="shared" ref="R40:R45" si="4">IF(B40&lt;&gt;0,CONCATENATE(G40, " V, ",L40," P"),"")</f>
        <v>5 V, 3 P</v>
      </c>
    </row>
    <row r="41" spans="1:27" x14ac:dyDescent="0.25">
      <c r="A41" s="54">
        <v>3</v>
      </c>
      <c r="B41" t="s">
        <v>391</v>
      </c>
      <c r="C41"/>
      <c r="D41" s="190">
        <v>10</v>
      </c>
      <c r="E41" s="190">
        <v>4</v>
      </c>
      <c r="F41" s="190">
        <v>182.97</v>
      </c>
      <c r="G41" s="190">
        <v>2</v>
      </c>
      <c r="H41" s="190">
        <v>16</v>
      </c>
      <c r="I41" s="190">
        <v>0</v>
      </c>
      <c r="J41" s="190">
        <v>54</v>
      </c>
      <c r="K41" s="190">
        <v>0</v>
      </c>
      <c r="L41" s="190">
        <v>2</v>
      </c>
      <c r="M41" s="190">
        <v>38</v>
      </c>
      <c r="N41" s="190">
        <v>0</v>
      </c>
      <c r="O41" s="190">
        <v>0</v>
      </c>
      <c r="P41" s="11">
        <f t="shared" si="2"/>
        <v>5.2467617642236428</v>
      </c>
      <c r="Q41" s="11">
        <f t="shared" si="3"/>
        <v>70.370370370370367</v>
      </c>
      <c r="R41" s="134" t="str">
        <f t="shared" si="4"/>
        <v>2 V, 2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34" t="str">
        <f t="shared" si="4"/>
        <v/>
      </c>
    </row>
    <row r="43" spans="1:27" x14ac:dyDescent="0.25">
      <c r="A43" s="54"/>
      <c r="F43" s="11"/>
      <c r="P43" s="11" t="str">
        <f t="shared" si="2"/>
        <v/>
      </c>
      <c r="Q43" s="11" t="str">
        <f t="shared" si="3"/>
        <v/>
      </c>
      <c r="R43" s="134" t="str">
        <f t="shared" si="4"/>
        <v/>
      </c>
    </row>
    <row r="44" spans="1:27" x14ac:dyDescent="0.25">
      <c r="A44" s="54"/>
      <c r="F44" s="11"/>
      <c r="P44" s="11" t="str">
        <f t="shared" si="2"/>
        <v/>
      </c>
      <c r="Q44" s="11" t="str">
        <f t="shared" si="3"/>
        <v/>
      </c>
      <c r="R44" s="134" t="str">
        <f t="shared" si="4"/>
        <v/>
      </c>
    </row>
    <row r="45" spans="1:27" ht="15" customHeight="1" x14ac:dyDescent="0.25">
      <c r="A45" s="118"/>
      <c r="P45" s="11" t="str">
        <f t="shared" si="2"/>
        <v/>
      </c>
      <c r="Q45" s="11" t="str">
        <f t="shared" si="3"/>
        <v/>
      </c>
      <c r="R45" s="134" t="str">
        <f t="shared" si="4"/>
        <v/>
      </c>
    </row>
    <row r="46" spans="1:27" ht="15" customHeight="1" x14ac:dyDescent="0.25">
      <c r="X46" s="402" t="s">
        <v>289</v>
      </c>
      <c r="Y46" s="402"/>
      <c r="Z46" s="402"/>
      <c r="AA46" s="402"/>
    </row>
    <row r="47" spans="1:27" s="135" customFormat="1" ht="15" customHeight="1" x14ac:dyDescent="0.25">
      <c r="A47" s="7">
        <f ca="1">TODAY()</f>
        <v>44263</v>
      </c>
      <c r="B47" s="135" t="s">
        <v>59</v>
      </c>
      <c r="C47" s="135" t="s">
        <v>66</v>
      </c>
      <c r="D47" s="135" t="s">
        <v>67</v>
      </c>
      <c r="E47" s="135" t="s">
        <v>70</v>
      </c>
      <c r="F47" s="135" t="s">
        <v>71</v>
      </c>
      <c r="G47" s="135" t="s">
        <v>72</v>
      </c>
      <c r="H47" s="135" t="s">
        <v>73</v>
      </c>
      <c r="I47" s="135" t="s">
        <v>45</v>
      </c>
      <c r="J47" s="135" t="s">
        <v>58</v>
      </c>
      <c r="K47" s="135" t="s">
        <v>159</v>
      </c>
      <c r="L47" s="135" t="s">
        <v>77</v>
      </c>
      <c r="M47" s="135" t="s">
        <v>68</v>
      </c>
      <c r="N47" s="135" t="s">
        <v>69</v>
      </c>
      <c r="O47" s="135" t="s">
        <v>81</v>
      </c>
      <c r="P47" s="135" t="s">
        <v>82</v>
      </c>
      <c r="Q47" s="135" t="s">
        <v>74</v>
      </c>
      <c r="R47" s="135" t="s">
        <v>75</v>
      </c>
      <c r="S47" s="135" t="s">
        <v>93</v>
      </c>
      <c r="T47" s="135" t="s">
        <v>158</v>
      </c>
      <c r="U47" s="135" t="s">
        <v>281</v>
      </c>
      <c r="V47" s="135" t="s">
        <v>282</v>
      </c>
      <c r="W47" s="135" t="s">
        <v>283</v>
      </c>
      <c r="X47" s="135" t="s">
        <v>288</v>
      </c>
      <c r="Y47" s="135" t="s">
        <v>286</v>
      </c>
      <c r="Z47" s="135" t="s">
        <v>287</v>
      </c>
      <c r="AA47" s="162" t="s">
        <v>462</v>
      </c>
    </row>
    <row r="48" spans="1:27" ht="15" customHeight="1" x14ac:dyDescent="0.25">
      <c r="B48" s="138" t="s">
        <v>373</v>
      </c>
      <c r="C48" s="137"/>
      <c r="D48" s="134" t="str">
        <f t="shared" ref="D48:D77" si="5">IF(C48 &lt;&gt; 0,ROUNDDOWN(($A$47-C48)/365.25,0),"")</f>
        <v/>
      </c>
      <c r="E48" s="139"/>
      <c r="F48" s="139"/>
      <c r="G48" s="139"/>
      <c r="H48" s="134">
        <f t="shared" ref="H48:H77" si="6">IF(B48&lt;&gt;0,F48+G48,"")</f>
        <v>0</v>
      </c>
      <c r="I48" s="139"/>
      <c r="J48" s="139"/>
      <c r="K48" s="139"/>
      <c r="L48" s="139"/>
      <c r="M48" s="139"/>
      <c r="N48" s="139"/>
      <c r="O48" s="134" t="str">
        <f t="shared" ref="O48:O77" si="7">IF(B48&lt;&gt;0,CONCATENATE(E48+IFERROR(VLOOKUP(B48,$B$2:$N$36,4,FALSE),0) + X48, " OZ, ", H48+IFERROR(VLOOKUP(B48,$B$2:$N$36,9,FALSE),0) + Y48+Z48, " (", F48+IFERROR(VLOOKUP(B48,$B$2:$N$36,5,FALSE),0) + Y48, "+",G48+IFERROR(VLOOKUP(B48,$B$2:$N$36,8,FALSE),0) +  Z48, ")"), "")</f>
        <v>26 OZ, 35 (26+9)</v>
      </c>
      <c r="P48" s="134" t="str">
        <f t="shared" ref="P48:P77" si="8">IF(M48&lt;&gt;0,CONCATENATE(M48,"/",N48),"")</f>
        <v/>
      </c>
      <c r="Q48" s="140"/>
      <c r="R48" s="139"/>
      <c r="S48" s="134" t="str">
        <f t="shared" ref="S48:S77" si="9">IFERROR(CONCATENATE(E48+VLOOKUP(B48,$B$39:$R$42,4,FALSE), " OZ, ",G48+VLOOKUP(B48,$B$39:$R$42,13,FALSE), " A"),"")</f>
        <v/>
      </c>
      <c r="T48" s="1" t="str">
        <f t="shared" ref="T48:T77" si="10">IF(B48&lt;&gt;0,IF(V48=1,U48,CONCATENATE(U48," ",W48,".")),"")</f>
        <v>Brautferger</v>
      </c>
      <c r="U48" s="1" t="str">
        <f t="shared" ref="U48:U77" si="11">IFERROR(RIGHT(B48,LEN(B48)-SEARCH(" ", B48,1)),"")</f>
        <v>Brautferger</v>
      </c>
      <c r="V48" s="134">
        <f t="shared" ref="V48:V77" si="12">IF(B48&lt;&gt;0,COUNTIF($U$48:$U$82,U48),"")</f>
        <v>1</v>
      </c>
      <c r="W48" s="134" t="str">
        <f t="shared" ref="W48:W77" si="13">IFERROR(LEFT(LEFT(B48,SEARCH(" ",B48,1)),1),"")</f>
        <v>P</v>
      </c>
      <c r="X48" s="139"/>
      <c r="Y48" s="139"/>
      <c r="Z48" s="139"/>
      <c r="AA48" s="138"/>
    </row>
    <row r="49" spans="2:27" ht="15" customHeight="1" x14ac:dyDescent="0.25">
      <c r="B49" s="141" t="s">
        <v>393</v>
      </c>
      <c r="C49" s="137"/>
      <c r="D49" s="134" t="str">
        <f t="shared" si="5"/>
        <v/>
      </c>
      <c r="E49" s="139"/>
      <c r="F49" s="139"/>
      <c r="G49" s="139"/>
      <c r="H49" s="134">
        <f t="shared" si="6"/>
        <v>0</v>
      </c>
      <c r="I49" s="139"/>
      <c r="J49" s="139"/>
      <c r="K49" s="139"/>
      <c r="L49" s="139"/>
      <c r="M49" s="139"/>
      <c r="N49" s="139"/>
      <c r="O49" s="134" t="str">
        <f t="shared" si="7"/>
        <v>0 OZ, 0 (0+0)</v>
      </c>
      <c r="P49" s="134" t="str">
        <f t="shared" si="8"/>
        <v/>
      </c>
      <c r="Q49" s="140"/>
      <c r="R49" s="139"/>
      <c r="S49" s="134" t="str">
        <f t="shared" si="9"/>
        <v>8 OZ, 0 A</v>
      </c>
      <c r="T49" s="1" t="str">
        <f t="shared" si="10"/>
        <v>Frühbauer</v>
      </c>
      <c r="U49" s="1" t="str">
        <f t="shared" si="11"/>
        <v>Frühbauer</v>
      </c>
      <c r="V49" s="134">
        <f t="shared" si="12"/>
        <v>1</v>
      </c>
      <c r="W49" s="134" t="str">
        <f t="shared" si="13"/>
        <v>M</v>
      </c>
      <c r="X49" s="139"/>
      <c r="Y49" s="139"/>
      <c r="Z49" s="139"/>
      <c r="AA49" s="138"/>
    </row>
    <row r="50" spans="2:27" ht="15" customHeight="1" x14ac:dyDescent="0.25">
      <c r="B50" s="138" t="s">
        <v>372</v>
      </c>
      <c r="C50" s="137"/>
      <c r="D50" s="134" t="str">
        <f t="shared" si="5"/>
        <v/>
      </c>
      <c r="E50" s="139"/>
      <c r="F50" s="139"/>
      <c r="G50" s="139"/>
      <c r="H50" s="134">
        <f t="shared" si="6"/>
        <v>0</v>
      </c>
      <c r="I50" s="139"/>
      <c r="J50" s="139"/>
      <c r="K50" s="139"/>
      <c r="L50" s="139"/>
      <c r="M50" s="139"/>
      <c r="N50" s="139"/>
      <c r="O50" s="134" t="str">
        <f t="shared" si="7"/>
        <v>24 OZ, 45 (22+23)</v>
      </c>
      <c r="P50" s="134" t="str">
        <f t="shared" si="8"/>
        <v/>
      </c>
      <c r="Q50" s="140"/>
      <c r="R50" s="139"/>
      <c r="S50" s="134" t="str">
        <f t="shared" si="9"/>
        <v/>
      </c>
      <c r="T50" s="1" t="str">
        <f t="shared" si="10"/>
        <v>Havlas</v>
      </c>
      <c r="U50" s="1" t="str">
        <f t="shared" si="11"/>
        <v>Havlas</v>
      </c>
      <c r="V50" s="134">
        <f t="shared" si="12"/>
        <v>1</v>
      </c>
      <c r="W50" s="134" t="str">
        <f t="shared" si="13"/>
        <v>M</v>
      </c>
      <c r="X50" s="139"/>
      <c r="Y50" s="139"/>
      <c r="Z50" s="139"/>
      <c r="AA50" s="138"/>
    </row>
    <row r="51" spans="2:27" ht="15" customHeight="1" x14ac:dyDescent="0.25">
      <c r="B51" s="141" t="s">
        <v>391</v>
      </c>
      <c r="C51" s="137"/>
      <c r="D51" s="134" t="str">
        <f t="shared" si="5"/>
        <v/>
      </c>
      <c r="E51" s="139"/>
      <c r="F51" s="139"/>
      <c r="G51" s="139"/>
      <c r="H51" s="134">
        <f t="shared" si="6"/>
        <v>0</v>
      </c>
      <c r="I51" s="139"/>
      <c r="J51" s="139"/>
      <c r="K51" s="139"/>
      <c r="L51" s="139"/>
      <c r="M51" s="139"/>
      <c r="N51" s="139"/>
      <c r="O51" s="134" t="str">
        <f t="shared" si="7"/>
        <v>0 OZ, 0 (0+0)</v>
      </c>
      <c r="P51" s="134" t="str">
        <f t="shared" si="8"/>
        <v/>
      </c>
      <c r="Q51" s="140"/>
      <c r="R51" s="139"/>
      <c r="S51" s="134" t="str">
        <f t="shared" si="9"/>
        <v>4 OZ, 0 A</v>
      </c>
      <c r="T51" s="1" t="str">
        <f t="shared" si="10"/>
        <v>Jurco</v>
      </c>
      <c r="U51" s="1" t="str">
        <f t="shared" si="11"/>
        <v>Jurco</v>
      </c>
      <c r="V51" s="134">
        <f t="shared" si="12"/>
        <v>1</v>
      </c>
      <c r="W51" s="134" t="str">
        <f t="shared" si="13"/>
        <v>T</v>
      </c>
      <c r="X51" s="139"/>
      <c r="Y51" s="139"/>
      <c r="Z51" s="139"/>
      <c r="AA51" s="138"/>
    </row>
    <row r="52" spans="2:27" ht="15" customHeight="1" x14ac:dyDescent="0.25">
      <c r="B52" s="141" t="s">
        <v>389</v>
      </c>
      <c r="C52" s="137"/>
      <c r="D52" s="134" t="str">
        <f t="shared" si="5"/>
        <v/>
      </c>
      <c r="E52" s="139"/>
      <c r="F52" s="139"/>
      <c r="G52" s="139"/>
      <c r="H52" s="134">
        <f t="shared" si="6"/>
        <v>0</v>
      </c>
      <c r="I52" s="139"/>
      <c r="J52" s="139"/>
      <c r="K52" s="139"/>
      <c r="L52" s="139"/>
      <c r="M52" s="139"/>
      <c r="N52" s="139"/>
      <c r="O52" s="134" t="str">
        <f t="shared" si="7"/>
        <v>3 OZ, 0 (0+0)</v>
      </c>
      <c r="P52" s="134" t="str">
        <f t="shared" si="8"/>
        <v/>
      </c>
      <c r="Q52" s="140"/>
      <c r="R52" s="139"/>
      <c r="S52" s="134" t="str">
        <f t="shared" si="9"/>
        <v/>
      </c>
      <c r="T52" s="1" t="str">
        <f t="shared" si="10"/>
        <v>Kerzel</v>
      </c>
      <c r="U52" s="1" t="str">
        <f t="shared" si="11"/>
        <v>Kerzel</v>
      </c>
      <c r="V52" s="134">
        <f t="shared" si="12"/>
        <v>1</v>
      </c>
      <c r="W52" s="134" t="str">
        <f t="shared" si="13"/>
        <v>J</v>
      </c>
      <c r="X52" s="139"/>
      <c r="Y52" s="139"/>
      <c r="Z52" s="139"/>
      <c r="AA52" s="138"/>
    </row>
    <row r="53" spans="2:27" ht="15" customHeight="1" x14ac:dyDescent="0.25">
      <c r="B53" s="138" t="s">
        <v>280</v>
      </c>
      <c r="C53" s="137"/>
      <c r="D53" s="134" t="str">
        <f t="shared" si="5"/>
        <v/>
      </c>
      <c r="E53" s="139"/>
      <c r="F53" s="139"/>
      <c r="G53" s="139"/>
      <c r="H53" s="134">
        <f t="shared" si="6"/>
        <v>0</v>
      </c>
      <c r="I53" s="139"/>
      <c r="J53" s="139"/>
      <c r="K53" s="139"/>
      <c r="L53" s="139"/>
      <c r="M53" s="139"/>
      <c r="N53" s="139"/>
      <c r="O53" s="134" t="str">
        <f t="shared" si="7"/>
        <v>8 OZ, 1 (0+1)</v>
      </c>
      <c r="P53" s="134" t="str">
        <f t="shared" si="8"/>
        <v/>
      </c>
      <c r="Q53" s="140"/>
      <c r="R53" s="139"/>
      <c r="S53" s="134" t="str">
        <f t="shared" si="9"/>
        <v/>
      </c>
      <c r="T53" s="1" t="str">
        <f t="shared" si="10"/>
        <v>Klápa</v>
      </c>
      <c r="U53" s="1" t="str">
        <f t="shared" si="11"/>
        <v>Klápa</v>
      </c>
      <c r="V53" s="134">
        <f t="shared" si="12"/>
        <v>1</v>
      </c>
      <c r="W53" s="134" t="str">
        <f t="shared" si="13"/>
        <v>V</v>
      </c>
      <c r="X53" s="139"/>
      <c r="Y53" s="139"/>
      <c r="Z53" s="139"/>
      <c r="AA53" s="138"/>
    </row>
    <row r="54" spans="2:27" ht="15" customHeight="1" x14ac:dyDescent="0.25">
      <c r="B54" s="138" t="s">
        <v>377</v>
      </c>
      <c r="C54" s="137"/>
      <c r="D54" s="134" t="str">
        <f t="shared" si="5"/>
        <v/>
      </c>
      <c r="E54" s="139"/>
      <c r="F54" s="139"/>
      <c r="G54" s="139"/>
      <c r="H54" s="134">
        <f t="shared" si="6"/>
        <v>0</v>
      </c>
      <c r="I54" s="139"/>
      <c r="J54" s="139"/>
      <c r="K54" s="139"/>
      <c r="L54" s="139"/>
      <c r="M54" s="139"/>
      <c r="N54" s="139"/>
      <c r="O54" s="134" t="str">
        <f t="shared" si="7"/>
        <v>25 OZ, 11 (6+5)</v>
      </c>
      <c r="P54" s="134" t="str">
        <f t="shared" si="8"/>
        <v/>
      </c>
      <c r="Q54" s="140"/>
      <c r="R54" s="139"/>
      <c r="S54" s="134" t="str">
        <f t="shared" si="9"/>
        <v/>
      </c>
      <c r="T54" s="1" t="str">
        <f t="shared" si="10"/>
        <v>Kolísko J.</v>
      </c>
      <c r="U54" s="1" t="str">
        <f t="shared" si="11"/>
        <v>Kolísko</v>
      </c>
      <c r="V54" s="134">
        <f t="shared" si="12"/>
        <v>2</v>
      </c>
      <c r="W54" s="134" t="str">
        <f t="shared" si="13"/>
        <v>J</v>
      </c>
      <c r="X54" s="139"/>
      <c r="Y54" s="139"/>
      <c r="Z54" s="139"/>
      <c r="AA54" s="138"/>
    </row>
    <row r="55" spans="2:27" ht="15" customHeight="1" x14ac:dyDescent="0.25">
      <c r="B55" s="138" t="s">
        <v>381</v>
      </c>
      <c r="C55" s="137"/>
      <c r="D55" s="134" t="str">
        <f t="shared" si="5"/>
        <v/>
      </c>
      <c r="E55" s="139"/>
      <c r="F55" s="139"/>
      <c r="G55" s="139"/>
      <c r="H55" s="134">
        <f t="shared" si="6"/>
        <v>0</v>
      </c>
      <c r="I55" s="139"/>
      <c r="J55" s="139"/>
      <c r="K55" s="139"/>
      <c r="L55" s="139"/>
      <c r="M55" s="139"/>
      <c r="N55" s="139"/>
      <c r="O55" s="134" t="str">
        <f t="shared" si="7"/>
        <v>16 OZ, 3 (2+1)</v>
      </c>
      <c r="P55" s="134" t="str">
        <f t="shared" si="8"/>
        <v/>
      </c>
      <c r="Q55" s="140"/>
      <c r="R55" s="139"/>
      <c r="S55" s="134" t="str">
        <f t="shared" si="9"/>
        <v/>
      </c>
      <c r="T55" s="1" t="str">
        <f t="shared" si="10"/>
        <v>Kolísko J.</v>
      </c>
      <c r="U55" s="1" t="str">
        <f t="shared" si="11"/>
        <v>Kolísko</v>
      </c>
      <c r="V55" s="134">
        <f t="shared" si="12"/>
        <v>2</v>
      </c>
      <c r="W55" s="134" t="str">
        <f t="shared" si="13"/>
        <v>J</v>
      </c>
      <c r="X55" s="139"/>
      <c r="Y55" s="139"/>
      <c r="Z55" s="139"/>
      <c r="AA55" s="138"/>
    </row>
    <row r="56" spans="2:27" ht="15" customHeight="1" x14ac:dyDescent="0.25">
      <c r="B56" s="141" t="s">
        <v>388</v>
      </c>
      <c r="C56" s="137"/>
      <c r="D56" s="134" t="str">
        <f t="shared" si="5"/>
        <v/>
      </c>
      <c r="E56" s="139"/>
      <c r="F56" s="139"/>
      <c r="G56" s="139"/>
      <c r="H56" s="134">
        <f t="shared" si="6"/>
        <v>0</v>
      </c>
      <c r="I56" s="139"/>
      <c r="J56" s="139"/>
      <c r="K56" s="139"/>
      <c r="L56" s="139"/>
      <c r="M56" s="139"/>
      <c r="N56" s="139"/>
      <c r="O56" s="134" t="str">
        <f t="shared" si="7"/>
        <v>12 OZ, 5 (5+0)</v>
      </c>
      <c r="P56" s="134" t="str">
        <f t="shared" si="8"/>
        <v/>
      </c>
      <c r="Q56" s="140"/>
      <c r="R56" s="139"/>
      <c r="S56" s="134" t="str">
        <f t="shared" si="9"/>
        <v/>
      </c>
      <c r="T56" s="1" t="str">
        <f t="shared" si="10"/>
        <v>Kreysa</v>
      </c>
      <c r="U56" s="1" t="str">
        <f t="shared" si="11"/>
        <v>Kreysa</v>
      </c>
      <c r="V56" s="134">
        <f t="shared" si="12"/>
        <v>1</v>
      </c>
      <c r="W56" s="134" t="str">
        <f t="shared" si="13"/>
        <v>J</v>
      </c>
      <c r="X56" s="139"/>
      <c r="Y56" s="139"/>
      <c r="Z56" s="139"/>
      <c r="AA56" s="138"/>
    </row>
    <row r="57" spans="2:27" ht="15" customHeight="1" x14ac:dyDescent="0.25">
      <c r="B57" s="138" t="s">
        <v>394</v>
      </c>
      <c r="C57" s="137"/>
      <c r="D57" s="134" t="str">
        <f t="shared" si="5"/>
        <v/>
      </c>
      <c r="E57" s="139"/>
      <c r="F57" s="139"/>
      <c r="G57" s="139"/>
      <c r="H57" s="134">
        <f t="shared" si="6"/>
        <v>0</v>
      </c>
      <c r="I57" s="139"/>
      <c r="J57" s="139"/>
      <c r="K57" s="139"/>
      <c r="L57" s="139"/>
      <c r="M57" s="139"/>
      <c r="N57" s="139"/>
      <c r="O57" s="134" t="str">
        <f t="shared" si="7"/>
        <v>0 OZ, 1 (0+1)</v>
      </c>
      <c r="P57" s="134" t="str">
        <f t="shared" si="8"/>
        <v/>
      </c>
      <c r="Q57" s="140"/>
      <c r="R57" s="139"/>
      <c r="S57" s="134" t="str">
        <f t="shared" si="9"/>
        <v>18 OZ, 1 A</v>
      </c>
      <c r="T57" s="1" t="str">
        <f t="shared" si="10"/>
        <v>Kříž</v>
      </c>
      <c r="U57" s="1" t="str">
        <f t="shared" si="11"/>
        <v>Kříž</v>
      </c>
      <c r="V57" s="134">
        <f t="shared" si="12"/>
        <v>1</v>
      </c>
      <c r="W57" s="134" t="str">
        <f t="shared" si="13"/>
        <v>L</v>
      </c>
      <c r="X57" s="139"/>
      <c r="Y57" s="139"/>
      <c r="Z57" s="139"/>
      <c r="AA57" s="138"/>
    </row>
    <row r="58" spans="2:27" ht="15" customHeight="1" x14ac:dyDescent="0.25">
      <c r="B58" s="141" t="s">
        <v>368</v>
      </c>
      <c r="C58" s="137"/>
      <c r="D58" s="134" t="str">
        <f t="shared" si="5"/>
        <v/>
      </c>
      <c r="E58" s="139"/>
      <c r="F58" s="139"/>
      <c r="G58" s="139"/>
      <c r="H58" s="134">
        <f t="shared" si="6"/>
        <v>0</v>
      </c>
      <c r="I58" s="139"/>
      <c r="J58" s="139"/>
      <c r="K58" s="139"/>
      <c r="L58" s="139"/>
      <c r="M58" s="139"/>
      <c r="N58" s="139"/>
      <c r="O58" s="134" t="str">
        <f t="shared" si="7"/>
        <v>26 OZ, 62 (28+34)</v>
      </c>
      <c r="P58" s="134" t="str">
        <f t="shared" si="8"/>
        <v/>
      </c>
      <c r="Q58" s="140"/>
      <c r="R58" s="139"/>
      <c r="S58" s="134" t="str">
        <f t="shared" si="9"/>
        <v/>
      </c>
      <c r="T58" s="1" t="str">
        <f t="shared" si="10"/>
        <v>Langer</v>
      </c>
      <c r="U58" s="1" t="str">
        <f t="shared" si="11"/>
        <v>Langer</v>
      </c>
      <c r="V58" s="134">
        <f t="shared" si="12"/>
        <v>1</v>
      </c>
      <c r="W58" s="134" t="str">
        <f t="shared" si="13"/>
        <v>F</v>
      </c>
      <c r="X58" s="139"/>
      <c r="Y58" s="139"/>
      <c r="Z58" s="139"/>
      <c r="AA58" s="138"/>
    </row>
    <row r="59" spans="2:27" ht="15" customHeight="1" x14ac:dyDescent="0.25">
      <c r="B59" s="141" t="s">
        <v>370</v>
      </c>
      <c r="C59" s="137"/>
      <c r="D59" s="134" t="str">
        <f t="shared" si="5"/>
        <v/>
      </c>
      <c r="E59" s="139"/>
      <c r="F59" s="139"/>
      <c r="G59" s="139"/>
      <c r="H59" s="134">
        <f t="shared" si="6"/>
        <v>0</v>
      </c>
      <c r="I59" s="139"/>
      <c r="J59" s="139"/>
      <c r="K59" s="139"/>
      <c r="L59" s="139"/>
      <c r="M59" s="139"/>
      <c r="N59" s="139"/>
      <c r="O59" s="134" t="str">
        <f t="shared" si="7"/>
        <v>26 OZ, 43 (23+20)</v>
      </c>
      <c r="P59" s="134" t="str">
        <f t="shared" si="8"/>
        <v/>
      </c>
      <c r="Q59" s="140"/>
      <c r="R59" s="139"/>
      <c r="S59" s="134" t="str">
        <f t="shared" si="9"/>
        <v/>
      </c>
      <c r="T59" s="1" t="str">
        <f t="shared" si="10"/>
        <v>Meliš</v>
      </c>
      <c r="U59" s="1" t="str">
        <f t="shared" si="11"/>
        <v>Meliš</v>
      </c>
      <c r="V59" s="134">
        <f t="shared" si="12"/>
        <v>1</v>
      </c>
      <c r="W59" s="134" t="str">
        <f t="shared" si="13"/>
        <v>M</v>
      </c>
      <c r="X59" s="139"/>
      <c r="Y59" s="139"/>
      <c r="Z59" s="139"/>
      <c r="AA59" s="138"/>
    </row>
    <row r="60" spans="2:27" ht="15" customHeight="1" x14ac:dyDescent="0.25">
      <c r="B60" s="138" t="s">
        <v>379</v>
      </c>
      <c r="C60" s="137"/>
      <c r="D60" s="134" t="str">
        <f t="shared" si="5"/>
        <v/>
      </c>
      <c r="E60" s="139"/>
      <c r="F60" s="139"/>
      <c r="G60" s="139"/>
      <c r="H60" s="134">
        <f t="shared" si="6"/>
        <v>0</v>
      </c>
      <c r="I60" s="139"/>
      <c r="J60" s="139"/>
      <c r="K60" s="139"/>
      <c r="L60" s="139"/>
      <c r="M60" s="139"/>
      <c r="N60" s="139"/>
      <c r="O60" s="134" t="str">
        <f t="shared" si="7"/>
        <v>26 OZ, 6 (4+2)</v>
      </c>
      <c r="P60" s="134" t="str">
        <f t="shared" si="8"/>
        <v/>
      </c>
      <c r="Q60" s="140"/>
      <c r="R60" s="139"/>
      <c r="S60" s="134" t="str">
        <f t="shared" si="9"/>
        <v/>
      </c>
      <c r="T60" s="1" t="str">
        <f t="shared" si="10"/>
        <v>Mühlfait</v>
      </c>
      <c r="U60" s="1" t="str">
        <f t="shared" si="11"/>
        <v>Mühlfait</v>
      </c>
      <c r="V60" s="134">
        <f t="shared" si="12"/>
        <v>1</v>
      </c>
      <c r="W60" s="134" t="str">
        <f t="shared" si="13"/>
        <v>M</v>
      </c>
      <c r="X60" s="139"/>
      <c r="Y60" s="139"/>
      <c r="Z60" s="139"/>
      <c r="AA60" s="138"/>
    </row>
    <row r="61" spans="2:27" ht="15" customHeight="1" x14ac:dyDescent="0.25">
      <c r="B61" s="138" t="s">
        <v>383</v>
      </c>
      <c r="C61" s="137"/>
      <c r="D61" s="134" t="str">
        <f t="shared" si="5"/>
        <v/>
      </c>
      <c r="E61" s="139"/>
      <c r="F61" s="139"/>
      <c r="G61" s="139"/>
      <c r="H61" s="134">
        <f t="shared" si="6"/>
        <v>0</v>
      </c>
      <c r="I61" s="139"/>
      <c r="J61" s="139"/>
      <c r="K61" s="139"/>
      <c r="L61" s="139"/>
      <c r="M61" s="139"/>
      <c r="N61" s="139"/>
      <c r="O61" s="134" t="str">
        <f t="shared" si="7"/>
        <v>16 OZ, 2 (1+1)</v>
      </c>
      <c r="P61" s="134" t="str">
        <f t="shared" si="8"/>
        <v/>
      </c>
      <c r="Q61" s="140"/>
      <c r="R61" s="139"/>
      <c r="S61" s="134" t="str">
        <f t="shared" si="9"/>
        <v/>
      </c>
      <c r="T61" s="1" t="str">
        <f t="shared" si="10"/>
        <v>Navrátil</v>
      </c>
      <c r="U61" s="1" t="str">
        <f t="shared" si="11"/>
        <v>Navrátil</v>
      </c>
      <c r="V61" s="134">
        <f t="shared" si="12"/>
        <v>1</v>
      </c>
      <c r="W61" s="134" t="str">
        <f t="shared" si="13"/>
        <v>T</v>
      </c>
      <c r="X61" s="139"/>
      <c r="Y61" s="139"/>
      <c r="Z61" s="139"/>
      <c r="AA61" s="138"/>
    </row>
    <row r="62" spans="2:27" ht="15" customHeight="1" x14ac:dyDescent="0.25">
      <c r="B62" s="141" t="s">
        <v>369</v>
      </c>
      <c r="C62" s="137"/>
      <c r="D62" s="134" t="str">
        <f t="shared" si="5"/>
        <v/>
      </c>
      <c r="E62" s="139"/>
      <c r="F62" s="139"/>
      <c r="G62" s="139"/>
      <c r="H62" s="134">
        <f t="shared" si="6"/>
        <v>0</v>
      </c>
      <c r="I62" s="139"/>
      <c r="J62" s="139"/>
      <c r="K62" s="139"/>
      <c r="L62" s="139"/>
      <c r="M62" s="139"/>
      <c r="N62" s="139"/>
      <c r="O62" s="134" t="str">
        <f t="shared" si="7"/>
        <v>21 OZ, 35 (13+22)</v>
      </c>
      <c r="P62" s="134" t="str">
        <f t="shared" si="8"/>
        <v/>
      </c>
      <c r="Q62" s="140"/>
      <c r="R62" s="139"/>
      <c r="S62" s="134" t="str">
        <f t="shared" si="9"/>
        <v/>
      </c>
      <c r="T62" s="1" t="str">
        <f t="shared" si="10"/>
        <v>Němeček</v>
      </c>
      <c r="U62" s="1" t="str">
        <f t="shared" si="11"/>
        <v>Němeček</v>
      </c>
      <c r="V62" s="134">
        <f t="shared" si="12"/>
        <v>1</v>
      </c>
      <c r="W62" s="134" t="str">
        <f t="shared" si="13"/>
        <v>O</v>
      </c>
      <c r="X62" s="139"/>
      <c r="Y62" s="139"/>
      <c r="Z62" s="139"/>
      <c r="AA62" s="138"/>
    </row>
    <row r="63" spans="2:27" ht="15" customHeight="1" x14ac:dyDescent="0.25">
      <c r="B63" s="138" t="s">
        <v>317</v>
      </c>
      <c r="C63" s="137"/>
      <c r="D63" s="134" t="str">
        <f t="shared" si="5"/>
        <v/>
      </c>
      <c r="E63" s="139"/>
      <c r="F63" s="139"/>
      <c r="G63" s="139"/>
      <c r="H63" s="134">
        <f t="shared" si="6"/>
        <v>0</v>
      </c>
      <c r="I63" s="139"/>
      <c r="J63" s="139"/>
      <c r="K63" s="139"/>
      <c r="L63" s="139"/>
      <c r="M63" s="139"/>
      <c r="N63" s="139"/>
      <c r="O63" s="134" t="str">
        <f t="shared" si="7"/>
        <v>17 OZ, 6 (2+4)</v>
      </c>
      <c r="P63" s="134" t="str">
        <f t="shared" si="8"/>
        <v/>
      </c>
      <c r="Q63" s="140"/>
      <c r="R63" s="139"/>
      <c r="S63" s="134" t="str">
        <f t="shared" si="9"/>
        <v/>
      </c>
      <c r="T63" s="1" t="str">
        <f t="shared" si="10"/>
        <v>Novotný</v>
      </c>
      <c r="U63" s="1" t="str">
        <f t="shared" si="11"/>
        <v>Novotný</v>
      </c>
      <c r="V63" s="134">
        <f t="shared" si="12"/>
        <v>1</v>
      </c>
      <c r="W63" s="134" t="str">
        <f t="shared" si="13"/>
        <v>P</v>
      </c>
      <c r="X63" s="139"/>
      <c r="Y63" s="139"/>
      <c r="Z63" s="139"/>
      <c r="AA63" s="138"/>
    </row>
    <row r="64" spans="2:27" ht="15" customHeight="1" x14ac:dyDescent="0.25">
      <c r="B64" s="138" t="s">
        <v>375</v>
      </c>
      <c r="C64" s="137"/>
      <c r="D64" s="134" t="str">
        <f t="shared" si="5"/>
        <v/>
      </c>
      <c r="E64" s="139"/>
      <c r="F64" s="139"/>
      <c r="G64" s="139"/>
      <c r="H64" s="134">
        <f t="shared" si="6"/>
        <v>0</v>
      </c>
      <c r="I64" s="139"/>
      <c r="J64" s="139"/>
      <c r="K64" s="139"/>
      <c r="L64" s="139"/>
      <c r="M64" s="139"/>
      <c r="N64" s="139"/>
      <c r="O64" s="134" t="str">
        <f t="shared" si="7"/>
        <v>19 OZ, 9 (4+5)</v>
      </c>
      <c r="P64" s="134" t="str">
        <f t="shared" si="8"/>
        <v/>
      </c>
      <c r="Q64" s="140"/>
      <c r="R64" s="139"/>
      <c r="S64" s="134" t="str">
        <f t="shared" si="9"/>
        <v/>
      </c>
      <c r="T64" s="1" t="str">
        <f t="shared" si="10"/>
        <v>Pánek</v>
      </c>
      <c r="U64" s="1" t="str">
        <f t="shared" si="11"/>
        <v>Pánek</v>
      </c>
      <c r="V64" s="134">
        <f t="shared" si="12"/>
        <v>1</v>
      </c>
      <c r="W64" s="134" t="str">
        <f t="shared" si="13"/>
        <v>M</v>
      </c>
      <c r="X64" s="139"/>
      <c r="Y64" s="139"/>
      <c r="Z64" s="139"/>
      <c r="AA64" s="138"/>
    </row>
    <row r="65" spans="2:27" ht="15" customHeight="1" x14ac:dyDescent="0.25">
      <c r="B65" s="141" t="s">
        <v>392</v>
      </c>
      <c r="C65" s="137"/>
      <c r="D65" s="134" t="str">
        <f t="shared" si="5"/>
        <v/>
      </c>
      <c r="E65" s="139"/>
      <c r="F65" s="139"/>
      <c r="G65" s="139"/>
      <c r="H65" s="134">
        <f t="shared" si="6"/>
        <v>0</v>
      </c>
      <c r="I65" s="139"/>
      <c r="J65" s="139"/>
      <c r="K65" s="139"/>
      <c r="L65" s="139"/>
      <c r="M65" s="139"/>
      <c r="N65" s="139"/>
      <c r="O65" s="134" t="str">
        <f t="shared" si="7"/>
        <v>18 OZ, 2 (2+0)</v>
      </c>
      <c r="P65" s="134" t="str">
        <f t="shared" si="8"/>
        <v/>
      </c>
      <c r="Q65" s="140"/>
      <c r="R65" s="139"/>
      <c r="S65" s="134" t="str">
        <f t="shared" si="9"/>
        <v/>
      </c>
      <c r="T65" s="1" t="str">
        <f t="shared" si="10"/>
        <v>Papoušek</v>
      </c>
      <c r="U65" s="1" t="str">
        <f t="shared" si="11"/>
        <v>Papoušek</v>
      </c>
      <c r="V65" s="134">
        <f t="shared" si="12"/>
        <v>1</v>
      </c>
      <c r="W65" s="134" t="str">
        <f t="shared" si="13"/>
        <v>O</v>
      </c>
      <c r="X65" s="139"/>
      <c r="Y65" s="139"/>
      <c r="Z65" s="139"/>
      <c r="AA65" s="138"/>
    </row>
    <row r="66" spans="2:27" ht="15" customHeight="1" x14ac:dyDescent="0.25">
      <c r="B66" s="138" t="s">
        <v>380</v>
      </c>
      <c r="C66" s="137"/>
      <c r="D66" s="134" t="str">
        <f t="shared" si="5"/>
        <v/>
      </c>
      <c r="E66" s="139"/>
      <c r="F66" s="139"/>
      <c r="G66" s="139"/>
      <c r="H66" s="134">
        <f t="shared" si="6"/>
        <v>0</v>
      </c>
      <c r="I66" s="139"/>
      <c r="J66" s="139"/>
      <c r="K66" s="139"/>
      <c r="L66" s="139"/>
      <c r="M66" s="139"/>
      <c r="N66" s="139"/>
      <c r="O66" s="134" t="str">
        <f t="shared" si="7"/>
        <v>16 OZ, 6 (6+0)</v>
      </c>
      <c r="P66" s="134" t="str">
        <f t="shared" si="8"/>
        <v/>
      </c>
      <c r="Q66" s="140"/>
      <c r="R66" s="139"/>
      <c r="S66" s="134" t="str">
        <f t="shared" si="9"/>
        <v/>
      </c>
      <c r="T66" s="1" t="str">
        <f t="shared" si="10"/>
        <v>Piskáček</v>
      </c>
      <c r="U66" s="1" t="str">
        <f t="shared" si="11"/>
        <v>Piskáček</v>
      </c>
      <c r="V66" s="134">
        <f t="shared" si="12"/>
        <v>1</v>
      </c>
      <c r="W66" s="134" t="str">
        <f t="shared" si="13"/>
        <v>B</v>
      </c>
      <c r="X66" s="139"/>
      <c r="Y66" s="139"/>
      <c r="Z66" s="139"/>
      <c r="AA66" s="138"/>
    </row>
    <row r="67" spans="2:27" ht="15" customHeight="1" x14ac:dyDescent="0.25">
      <c r="B67" s="138" t="s">
        <v>386</v>
      </c>
      <c r="C67" s="137"/>
      <c r="D67" s="134" t="str">
        <f t="shared" si="5"/>
        <v/>
      </c>
      <c r="E67" s="139"/>
      <c r="F67" s="139"/>
      <c r="G67" s="139"/>
      <c r="H67" s="134">
        <f t="shared" si="6"/>
        <v>0</v>
      </c>
      <c r="I67" s="139"/>
      <c r="J67" s="139"/>
      <c r="K67" s="139"/>
      <c r="L67" s="139"/>
      <c r="M67" s="139"/>
      <c r="N67" s="139"/>
      <c r="O67" s="134" t="str">
        <f t="shared" si="7"/>
        <v>1 OZ, 0 (0+0)</v>
      </c>
      <c r="P67" s="134" t="str">
        <f t="shared" si="8"/>
        <v/>
      </c>
      <c r="Q67" s="140"/>
      <c r="R67" s="139"/>
      <c r="S67" s="134" t="str">
        <f t="shared" si="9"/>
        <v/>
      </c>
      <c r="T67" s="1" t="str">
        <f t="shared" si="10"/>
        <v>Pretl</v>
      </c>
      <c r="U67" s="1" t="str">
        <f t="shared" si="11"/>
        <v>Pretl</v>
      </c>
      <c r="V67" s="134">
        <f t="shared" si="12"/>
        <v>1</v>
      </c>
      <c r="W67" s="134" t="str">
        <f t="shared" si="13"/>
        <v>M</v>
      </c>
      <c r="X67" s="139"/>
      <c r="Y67" s="139"/>
      <c r="Z67" s="139"/>
      <c r="AA67" s="138"/>
    </row>
    <row r="68" spans="2:27" ht="15" customHeight="1" x14ac:dyDescent="0.25">
      <c r="B68" s="138" t="s">
        <v>922</v>
      </c>
      <c r="C68" s="137"/>
      <c r="D68" s="134" t="str">
        <f t="shared" si="5"/>
        <v/>
      </c>
      <c r="E68" s="139"/>
      <c r="F68" s="139"/>
      <c r="G68" s="139"/>
      <c r="H68" s="134">
        <f t="shared" si="6"/>
        <v>0</v>
      </c>
      <c r="I68" s="139"/>
      <c r="J68" s="139"/>
      <c r="K68" s="139"/>
      <c r="L68" s="139"/>
      <c r="M68" s="139"/>
      <c r="N68" s="139"/>
      <c r="O68" s="134" t="str">
        <f t="shared" si="7"/>
        <v>18 OZ, 1 (1+0)</v>
      </c>
      <c r="P68" s="134" t="str">
        <f t="shared" si="8"/>
        <v/>
      </c>
      <c r="Q68" s="140"/>
      <c r="R68" s="139"/>
      <c r="S68" s="134" t="str">
        <f t="shared" si="9"/>
        <v/>
      </c>
      <c r="T68" s="1" t="str">
        <f t="shared" si="10"/>
        <v>Rod</v>
      </c>
      <c r="U68" s="1" t="str">
        <f t="shared" si="11"/>
        <v>Rod</v>
      </c>
      <c r="V68" s="134">
        <f t="shared" si="12"/>
        <v>1</v>
      </c>
      <c r="W68" s="134" t="str">
        <f t="shared" si="13"/>
        <v>S</v>
      </c>
      <c r="X68" s="139"/>
      <c r="Y68" s="139"/>
      <c r="Z68" s="139"/>
      <c r="AA68" s="138"/>
    </row>
    <row r="69" spans="2:27" ht="15" customHeight="1" x14ac:dyDescent="0.25">
      <c r="B69" s="138" t="s">
        <v>384</v>
      </c>
      <c r="C69" s="137"/>
      <c r="D69" s="134" t="str">
        <f t="shared" si="5"/>
        <v/>
      </c>
      <c r="E69" s="139"/>
      <c r="F69" s="139"/>
      <c r="G69" s="139"/>
      <c r="H69" s="134">
        <f t="shared" si="6"/>
        <v>0</v>
      </c>
      <c r="I69" s="139"/>
      <c r="J69" s="139"/>
      <c r="K69" s="139"/>
      <c r="L69" s="139"/>
      <c r="M69" s="139"/>
      <c r="N69" s="139"/>
      <c r="O69" s="134" t="str">
        <f t="shared" si="7"/>
        <v>22 OZ, 3 (2+1)</v>
      </c>
      <c r="P69" s="134" t="str">
        <f t="shared" si="8"/>
        <v/>
      </c>
      <c r="Q69" s="140"/>
      <c r="R69" s="139"/>
      <c r="S69" s="134" t="str">
        <f t="shared" si="9"/>
        <v/>
      </c>
      <c r="T69" s="1" t="str">
        <f t="shared" si="10"/>
        <v>Sádlo</v>
      </c>
      <c r="U69" s="1" t="str">
        <f t="shared" si="11"/>
        <v>Sádlo</v>
      </c>
      <c r="V69" s="134">
        <f t="shared" si="12"/>
        <v>1</v>
      </c>
      <c r="W69" s="134" t="str">
        <f t="shared" si="13"/>
        <v>O</v>
      </c>
      <c r="X69" s="139"/>
      <c r="Y69" s="139"/>
      <c r="Z69" s="139"/>
      <c r="AA69" s="138"/>
    </row>
    <row r="70" spans="2:27" ht="15" customHeight="1" x14ac:dyDescent="0.25">
      <c r="B70" s="138" t="s">
        <v>374</v>
      </c>
      <c r="C70" s="137"/>
      <c r="D70" s="134" t="str">
        <f t="shared" si="5"/>
        <v/>
      </c>
      <c r="E70" s="139"/>
      <c r="F70" s="139"/>
      <c r="G70" s="139"/>
      <c r="H70" s="134">
        <f t="shared" si="6"/>
        <v>0</v>
      </c>
      <c r="I70" s="139"/>
      <c r="J70" s="139"/>
      <c r="K70" s="139"/>
      <c r="L70" s="139"/>
      <c r="M70" s="139"/>
      <c r="N70" s="139"/>
      <c r="O70" s="134" t="str">
        <f t="shared" si="7"/>
        <v>24 OZ, 17 (12+5)</v>
      </c>
      <c r="P70" s="134" t="str">
        <f t="shared" si="8"/>
        <v/>
      </c>
      <c r="Q70" s="140"/>
      <c r="R70" s="139"/>
      <c r="S70" s="134" t="str">
        <f t="shared" si="9"/>
        <v/>
      </c>
      <c r="T70" s="1" t="str">
        <f t="shared" si="10"/>
        <v>Sládeček</v>
      </c>
      <c r="U70" s="1" t="str">
        <f t="shared" si="11"/>
        <v>Sládeček</v>
      </c>
      <c r="V70" s="134">
        <f t="shared" si="12"/>
        <v>1</v>
      </c>
      <c r="W70" s="134" t="str">
        <f t="shared" si="13"/>
        <v>P</v>
      </c>
      <c r="X70" s="139"/>
      <c r="Y70" s="139"/>
      <c r="Z70" s="139"/>
      <c r="AA70" s="138"/>
    </row>
    <row r="71" spans="2:27" ht="15" customHeight="1" x14ac:dyDescent="0.25">
      <c r="B71" s="141" t="s">
        <v>371</v>
      </c>
      <c r="C71" s="137"/>
      <c r="D71" s="134" t="str">
        <f t="shared" si="5"/>
        <v/>
      </c>
      <c r="E71" s="139"/>
      <c r="F71" s="139"/>
      <c r="G71" s="139"/>
      <c r="H71" s="134">
        <f t="shared" si="6"/>
        <v>0</v>
      </c>
      <c r="I71" s="139"/>
      <c r="J71" s="139"/>
      <c r="K71" s="139"/>
      <c r="L71" s="139"/>
      <c r="M71" s="139"/>
      <c r="N71" s="139"/>
      <c r="O71" s="134" t="str">
        <f t="shared" si="7"/>
        <v>24 OZ, 36 (18+18)</v>
      </c>
      <c r="P71" s="134" t="str">
        <f t="shared" si="8"/>
        <v/>
      </c>
      <c r="Q71" s="140"/>
      <c r="R71" s="139"/>
      <c r="S71" s="134" t="str">
        <f t="shared" si="9"/>
        <v/>
      </c>
      <c r="T71" s="1" t="str">
        <f t="shared" si="10"/>
        <v>Šindelář</v>
      </c>
      <c r="U71" s="1" t="str">
        <f t="shared" si="11"/>
        <v>Šindelář</v>
      </c>
      <c r="V71" s="134">
        <f t="shared" si="12"/>
        <v>1</v>
      </c>
      <c r="W71" s="134" t="str">
        <f t="shared" si="13"/>
        <v>M</v>
      </c>
      <c r="X71" s="139"/>
      <c r="Y71" s="139"/>
      <c r="Z71" s="139"/>
      <c r="AA71" s="138"/>
    </row>
    <row r="72" spans="2:27" ht="15" customHeight="1" x14ac:dyDescent="0.25">
      <c r="B72" s="138" t="s">
        <v>385</v>
      </c>
      <c r="C72" s="137"/>
      <c r="D72" s="134" t="str">
        <f t="shared" si="5"/>
        <v/>
      </c>
      <c r="E72" s="139"/>
      <c r="F72" s="139"/>
      <c r="G72" s="139"/>
      <c r="H72" s="134">
        <f t="shared" si="6"/>
        <v>0</v>
      </c>
      <c r="I72" s="139"/>
      <c r="J72" s="139"/>
      <c r="K72" s="139"/>
      <c r="L72" s="139"/>
      <c r="M72" s="139"/>
      <c r="N72" s="139"/>
      <c r="O72" s="134" t="str">
        <f t="shared" si="7"/>
        <v>1 OZ, 0 (0+0)</v>
      </c>
      <c r="P72" s="134" t="str">
        <f t="shared" si="8"/>
        <v/>
      </c>
      <c r="Q72" s="140"/>
      <c r="R72" s="139"/>
      <c r="S72" s="134" t="str">
        <f t="shared" si="9"/>
        <v/>
      </c>
      <c r="T72" s="1" t="str">
        <f t="shared" si="10"/>
        <v>Švarc</v>
      </c>
      <c r="U72" s="1" t="str">
        <f t="shared" si="11"/>
        <v>Švarc</v>
      </c>
      <c r="V72" s="134">
        <f t="shared" si="12"/>
        <v>1</v>
      </c>
      <c r="W72" s="134" t="str">
        <f t="shared" si="13"/>
        <v>M</v>
      </c>
      <c r="X72" s="139"/>
      <c r="Y72" s="139"/>
      <c r="Z72" s="139"/>
      <c r="AA72" s="138"/>
    </row>
    <row r="73" spans="2:27" ht="15" customHeight="1" x14ac:dyDescent="0.25">
      <c r="B73" s="141" t="s">
        <v>390</v>
      </c>
      <c r="C73" s="137"/>
      <c r="D73" s="134" t="str">
        <f t="shared" si="5"/>
        <v/>
      </c>
      <c r="E73" s="139"/>
      <c r="F73" s="139"/>
      <c r="G73" s="139"/>
      <c r="H73" s="134">
        <f t="shared" si="6"/>
        <v>0</v>
      </c>
      <c r="I73" s="139"/>
      <c r="J73" s="139"/>
      <c r="K73" s="139"/>
      <c r="L73" s="139"/>
      <c r="M73" s="139"/>
      <c r="N73" s="139"/>
      <c r="O73" s="134" t="str">
        <f t="shared" si="7"/>
        <v>14 OZ, 2 (1+1)</v>
      </c>
      <c r="P73" s="134" t="str">
        <f t="shared" si="8"/>
        <v/>
      </c>
      <c r="Q73" s="140"/>
      <c r="R73" s="139"/>
      <c r="S73" s="134" t="str">
        <f t="shared" si="9"/>
        <v/>
      </c>
      <c r="T73" s="1" t="str">
        <f t="shared" si="10"/>
        <v>Švéda</v>
      </c>
      <c r="U73" s="1" t="str">
        <f t="shared" si="11"/>
        <v>Švéda</v>
      </c>
      <c r="V73" s="134">
        <f t="shared" si="12"/>
        <v>1</v>
      </c>
      <c r="W73" s="134" t="str">
        <f t="shared" si="13"/>
        <v>D</v>
      </c>
      <c r="X73" s="139"/>
      <c r="Y73" s="139"/>
      <c r="Z73" s="139"/>
      <c r="AA73" s="138"/>
    </row>
    <row r="74" spans="2:27" ht="15" customHeight="1" x14ac:dyDescent="0.25">
      <c r="B74" s="138" t="s">
        <v>378</v>
      </c>
      <c r="C74" s="137"/>
      <c r="D74" s="134" t="str">
        <f t="shared" si="5"/>
        <v/>
      </c>
      <c r="E74" s="139"/>
      <c r="F74" s="139"/>
      <c r="G74" s="139"/>
      <c r="H74" s="134">
        <f t="shared" si="6"/>
        <v>0</v>
      </c>
      <c r="I74" s="139"/>
      <c r="J74" s="139"/>
      <c r="K74" s="139"/>
      <c r="L74" s="139"/>
      <c r="M74" s="139"/>
      <c r="N74" s="139"/>
      <c r="O74" s="134" t="str">
        <f t="shared" si="7"/>
        <v>26 OZ, 10 (2+8)</v>
      </c>
      <c r="P74" s="134" t="str">
        <f t="shared" si="8"/>
        <v/>
      </c>
      <c r="Q74" s="140"/>
      <c r="R74" s="139"/>
      <c r="S74" s="134" t="str">
        <f t="shared" si="9"/>
        <v/>
      </c>
      <c r="T74" s="1" t="str">
        <f t="shared" si="10"/>
        <v>Tlapák</v>
      </c>
      <c r="U74" s="1" t="str">
        <f t="shared" si="11"/>
        <v>Tlapák</v>
      </c>
      <c r="V74" s="134">
        <f t="shared" si="12"/>
        <v>1</v>
      </c>
      <c r="W74" s="134" t="str">
        <f t="shared" si="13"/>
        <v>A</v>
      </c>
      <c r="X74" s="139"/>
      <c r="Y74" s="139"/>
      <c r="Z74" s="139"/>
      <c r="AA74" s="138"/>
    </row>
    <row r="75" spans="2:27" ht="15" customHeight="1" x14ac:dyDescent="0.25">
      <c r="B75" s="138" t="s">
        <v>382</v>
      </c>
      <c r="C75" s="137"/>
      <c r="D75" s="134" t="str">
        <f t="shared" si="5"/>
        <v/>
      </c>
      <c r="E75" s="139"/>
      <c r="F75" s="139"/>
      <c r="G75" s="139"/>
      <c r="H75" s="134">
        <f t="shared" si="6"/>
        <v>0</v>
      </c>
      <c r="I75" s="139"/>
      <c r="J75" s="139"/>
      <c r="K75" s="139"/>
      <c r="L75" s="139"/>
      <c r="M75" s="139"/>
      <c r="N75" s="139"/>
      <c r="O75" s="134" t="str">
        <f t="shared" si="7"/>
        <v>4 OZ, 2 (1+1)</v>
      </c>
      <c r="P75" s="134" t="str">
        <f t="shared" si="8"/>
        <v/>
      </c>
      <c r="Q75" s="140"/>
      <c r="R75" s="139"/>
      <c r="S75" s="134" t="str">
        <f t="shared" si="9"/>
        <v/>
      </c>
      <c r="T75" s="1" t="str">
        <f t="shared" si="10"/>
        <v>Ullmann</v>
      </c>
      <c r="U75" s="1" t="str">
        <f t="shared" si="11"/>
        <v>Ullmann</v>
      </c>
      <c r="V75" s="134">
        <f t="shared" si="12"/>
        <v>1</v>
      </c>
      <c r="W75" s="134" t="str">
        <f t="shared" si="13"/>
        <v>F</v>
      </c>
      <c r="X75" s="139"/>
      <c r="Y75" s="139"/>
      <c r="Z75" s="139"/>
      <c r="AA75" s="138"/>
    </row>
    <row r="76" spans="2:27" ht="15" customHeight="1" x14ac:dyDescent="0.25">
      <c r="B76" s="138" t="s">
        <v>387</v>
      </c>
      <c r="C76" s="137"/>
      <c r="D76" s="134" t="str">
        <f t="shared" si="5"/>
        <v/>
      </c>
      <c r="E76" s="139"/>
      <c r="F76" s="139"/>
      <c r="G76" s="139"/>
      <c r="H76" s="134">
        <f t="shared" si="6"/>
        <v>0</v>
      </c>
      <c r="I76" s="139"/>
      <c r="J76" s="139"/>
      <c r="K76" s="139"/>
      <c r="L76" s="139"/>
      <c r="M76" s="139"/>
      <c r="N76" s="139"/>
      <c r="O76" s="134" t="str">
        <f t="shared" si="7"/>
        <v>1 OZ, 0 (0+0)</v>
      </c>
      <c r="P76" s="134" t="str">
        <f t="shared" si="8"/>
        <v/>
      </c>
      <c r="Q76" s="140"/>
      <c r="R76" s="139"/>
      <c r="S76" s="134" t="str">
        <f t="shared" si="9"/>
        <v/>
      </c>
      <c r="T76" s="1" t="str">
        <f t="shared" si="10"/>
        <v>Vavroušek</v>
      </c>
      <c r="U76" s="1" t="str">
        <f t="shared" si="11"/>
        <v>Vavroušek</v>
      </c>
      <c r="V76" s="134">
        <f t="shared" si="12"/>
        <v>1</v>
      </c>
      <c r="W76" s="134" t="str">
        <f t="shared" si="13"/>
        <v>M</v>
      </c>
      <c r="X76" s="139"/>
      <c r="Y76" s="139"/>
      <c r="Z76" s="139"/>
      <c r="AA76" s="138"/>
    </row>
    <row r="77" spans="2:27" ht="15" customHeight="1" x14ac:dyDescent="0.25">
      <c r="B77" s="138" t="s">
        <v>376</v>
      </c>
      <c r="C77" s="137"/>
      <c r="D77" s="134" t="str">
        <f t="shared" si="5"/>
        <v/>
      </c>
      <c r="E77" s="139"/>
      <c r="F77" s="139"/>
      <c r="G77" s="139"/>
      <c r="H77" s="134">
        <f t="shared" si="6"/>
        <v>0</v>
      </c>
      <c r="I77" s="139"/>
      <c r="J77" s="139"/>
      <c r="K77" s="139"/>
      <c r="L77" s="139"/>
      <c r="M77" s="139"/>
      <c r="N77" s="139"/>
      <c r="O77" s="134" t="str">
        <f t="shared" si="7"/>
        <v>18 OZ, 14 (4+10)</v>
      </c>
      <c r="P77" s="134" t="str">
        <f t="shared" si="8"/>
        <v/>
      </c>
      <c r="Q77" s="140"/>
      <c r="R77" s="139"/>
      <c r="S77" s="134" t="str">
        <f t="shared" si="9"/>
        <v/>
      </c>
      <c r="T77" s="1" t="str">
        <f t="shared" si="10"/>
        <v>Vítovec</v>
      </c>
      <c r="U77" s="1" t="str">
        <f t="shared" si="11"/>
        <v>Vítovec</v>
      </c>
      <c r="V77" s="134">
        <f t="shared" si="12"/>
        <v>1</v>
      </c>
      <c r="W77" s="134" t="str">
        <f t="shared" si="13"/>
        <v>O</v>
      </c>
      <c r="X77" s="139"/>
      <c r="Y77" s="139"/>
      <c r="Z77" s="139"/>
      <c r="AA77" s="138"/>
    </row>
    <row r="78" spans="2:27" ht="15" customHeight="1" x14ac:dyDescent="0.25">
      <c r="B78" s="138"/>
      <c r="C78" s="137"/>
      <c r="D78" s="134" t="str">
        <f t="shared" ref="D78:D82" si="14">IF(C78 &lt;&gt; 0,ROUNDDOWN(($A$47-C78)/365.25,0),"")</f>
        <v/>
      </c>
      <c r="E78" s="139"/>
      <c r="F78" s="139"/>
      <c r="G78" s="139"/>
      <c r="H78" s="134" t="str">
        <f t="shared" ref="H78:H82" si="15">IF(B78&lt;&gt;0,F78+G78,"")</f>
        <v/>
      </c>
      <c r="I78" s="139"/>
      <c r="J78" s="139"/>
      <c r="K78" s="139"/>
      <c r="L78" s="139"/>
      <c r="M78" s="139"/>
      <c r="N78" s="139"/>
      <c r="O78" s="134" t="str">
        <f t="shared" ref="O78:O82" si="16">IF(B78&lt;&gt;0,CONCATENATE(E78+IFERROR(VLOOKUP(B78,$B$2:$N$36,4,FALSE),0) + X78, " OZ, ", H78+IFERROR(VLOOKUP(B78,$B$2:$N$36,9,FALSE),0) + Y78+Z78, " (", F78+IFERROR(VLOOKUP(B78,$B$2:$N$36,5,FALSE),0) + Y78, "+",G78+IFERROR(VLOOKUP(B78,$B$2:$N$36,8,FALSE),0) +  Z78, ")"), "")</f>
        <v/>
      </c>
      <c r="P78" s="134" t="str">
        <f t="shared" ref="P78:P82" si="17">IF(M78&lt;&gt;0,CONCATENATE(M78,"/",N78),"")</f>
        <v/>
      </c>
      <c r="Q78" s="140"/>
      <c r="R78" s="139"/>
      <c r="S78" s="134" t="str">
        <f t="shared" ref="S78:S82" si="18">IFERROR(CONCATENATE(E78+VLOOKUP(B78,$B$39:$R$42,4,FALSE), " OZ, ",G78+VLOOKUP(B78,$B$39:$R$42,13,FALSE), " A"),"")</f>
        <v/>
      </c>
      <c r="T78" s="1" t="str">
        <f t="shared" ref="T78:T82" si="19">IF(B78&lt;&gt;0,IF(V78=1,U78,CONCATENATE(U78," ",W78,".")),"")</f>
        <v/>
      </c>
      <c r="U78" s="1" t="str">
        <f t="shared" ref="U78:U82" si="20">IFERROR(RIGHT(B78,LEN(B78)-SEARCH(" ", B78,1)),"")</f>
        <v/>
      </c>
      <c r="V78" s="134" t="str">
        <f t="shared" ref="V78:V82" si="21">IF(B78&lt;&gt;0,COUNTIF($U$48:$U$82,U78),"")</f>
        <v/>
      </c>
      <c r="W78" s="134" t="str">
        <f t="shared" ref="W78:W82" si="22">IFERROR(LEFT(LEFT(B78,SEARCH(" ",B78,1)),1),"")</f>
        <v/>
      </c>
      <c r="X78" s="139"/>
      <c r="Y78" s="139"/>
      <c r="Z78" s="139"/>
      <c r="AA78" s="138"/>
    </row>
    <row r="79" spans="2:27" ht="15" customHeight="1" x14ac:dyDescent="0.25">
      <c r="B79" s="138"/>
      <c r="C79" s="137"/>
      <c r="D79" s="134" t="str">
        <f t="shared" si="14"/>
        <v/>
      </c>
      <c r="E79" s="139"/>
      <c r="F79" s="139"/>
      <c r="G79" s="139"/>
      <c r="H79" s="134" t="str">
        <f t="shared" si="15"/>
        <v/>
      </c>
      <c r="I79" s="139"/>
      <c r="J79" s="139"/>
      <c r="K79" s="139"/>
      <c r="L79" s="139"/>
      <c r="M79" s="139"/>
      <c r="N79" s="139"/>
      <c r="O79" s="134" t="str">
        <f t="shared" si="16"/>
        <v/>
      </c>
      <c r="P79" s="134" t="str">
        <f t="shared" si="17"/>
        <v/>
      </c>
      <c r="Q79" s="140"/>
      <c r="R79" s="139"/>
      <c r="S79" s="134" t="str">
        <f t="shared" si="18"/>
        <v/>
      </c>
      <c r="T79" s="1" t="str">
        <f t="shared" si="19"/>
        <v/>
      </c>
      <c r="U79" s="1" t="str">
        <f t="shared" si="20"/>
        <v/>
      </c>
      <c r="V79" s="134" t="str">
        <f t="shared" si="21"/>
        <v/>
      </c>
      <c r="W79" s="134" t="str">
        <f t="shared" si="22"/>
        <v/>
      </c>
      <c r="X79" s="139"/>
      <c r="Y79" s="139"/>
      <c r="Z79" s="139"/>
      <c r="AA79" s="138"/>
    </row>
    <row r="80" spans="2:27" ht="15" customHeight="1" x14ac:dyDescent="0.25">
      <c r="B80" s="138"/>
      <c r="C80" s="137"/>
      <c r="D80" s="134" t="str">
        <f t="shared" si="14"/>
        <v/>
      </c>
      <c r="E80" s="139"/>
      <c r="F80" s="139"/>
      <c r="G80" s="139"/>
      <c r="H80" s="134" t="str">
        <f t="shared" si="15"/>
        <v/>
      </c>
      <c r="I80" s="139"/>
      <c r="J80" s="139"/>
      <c r="K80" s="139"/>
      <c r="L80" s="139"/>
      <c r="M80" s="139"/>
      <c r="N80" s="139"/>
      <c r="O80" s="134" t="str">
        <f t="shared" si="16"/>
        <v/>
      </c>
      <c r="P80" s="134" t="str">
        <f t="shared" si="17"/>
        <v/>
      </c>
      <c r="Q80" s="140"/>
      <c r="R80" s="139"/>
      <c r="S80" s="134" t="str">
        <f t="shared" si="18"/>
        <v/>
      </c>
      <c r="T80" s="1" t="str">
        <f t="shared" si="19"/>
        <v/>
      </c>
      <c r="U80" s="1" t="str">
        <f t="shared" si="20"/>
        <v/>
      </c>
      <c r="V80" s="134" t="str">
        <f t="shared" si="21"/>
        <v/>
      </c>
      <c r="W80" s="134" t="str">
        <f t="shared" si="22"/>
        <v/>
      </c>
      <c r="X80" s="139"/>
      <c r="Y80" s="139"/>
      <c r="Z80" s="139"/>
      <c r="AA80" s="138"/>
    </row>
    <row r="81" spans="1:27" ht="15" customHeight="1" x14ac:dyDescent="0.25">
      <c r="B81" s="138"/>
      <c r="C81" s="137"/>
      <c r="D81" s="134" t="str">
        <f t="shared" si="14"/>
        <v/>
      </c>
      <c r="E81" s="139"/>
      <c r="F81" s="139"/>
      <c r="G81" s="139"/>
      <c r="H81" s="134" t="str">
        <f t="shared" si="15"/>
        <v/>
      </c>
      <c r="I81" s="139"/>
      <c r="J81" s="139"/>
      <c r="K81" s="139"/>
      <c r="L81" s="139"/>
      <c r="M81" s="139"/>
      <c r="N81" s="139"/>
      <c r="O81" s="134" t="str">
        <f t="shared" si="16"/>
        <v/>
      </c>
      <c r="P81" s="134" t="str">
        <f t="shared" si="17"/>
        <v/>
      </c>
      <c r="Q81" s="140"/>
      <c r="R81" s="139"/>
      <c r="S81" s="134" t="str">
        <f t="shared" si="18"/>
        <v/>
      </c>
      <c r="T81" s="1" t="str">
        <f t="shared" si="19"/>
        <v/>
      </c>
      <c r="U81" s="1" t="str">
        <f t="shared" si="20"/>
        <v/>
      </c>
      <c r="V81" s="134" t="str">
        <f t="shared" si="21"/>
        <v/>
      </c>
      <c r="W81" s="134" t="str">
        <f t="shared" si="22"/>
        <v/>
      </c>
      <c r="X81" s="139"/>
      <c r="Y81" s="139"/>
      <c r="Z81" s="139"/>
      <c r="AA81" s="138"/>
    </row>
    <row r="82" spans="1:27" ht="15" customHeight="1" x14ac:dyDescent="0.25">
      <c r="B82" s="138"/>
      <c r="C82" s="137"/>
      <c r="D82" s="134" t="str">
        <f t="shared" si="14"/>
        <v/>
      </c>
      <c r="E82" s="139"/>
      <c r="F82" s="139"/>
      <c r="G82" s="139"/>
      <c r="H82" s="134" t="str">
        <f t="shared" si="15"/>
        <v/>
      </c>
      <c r="I82" s="139"/>
      <c r="J82" s="139"/>
      <c r="K82" s="139"/>
      <c r="L82" s="139"/>
      <c r="M82" s="139"/>
      <c r="N82" s="139"/>
      <c r="O82" s="134" t="str">
        <f t="shared" si="16"/>
        <v/>
      </c>
      <c r="P82" s="134" t="str">
        <f t="shared" si="17"/>
        <v/>
      </c>
      <c r="Q82" s="140"/>
      <c r="R82" s="139"/>
      <c r="S82" s="134" t="str">
        <f t="shared" si="18"/>
        <v/>
      </c>
      <c r="T82" s="1" t="str">
        <f t="shared" si="19"/>
        <v/>
      </c>
      <c r="U82" s="1" t="str">
        <f t="shared" si="20"/>
        <v/>
      </c>
      <c r="V82" s="134" t="str">
        <f t="shared" si="21"/>
        <v/>
      </c>
      <c r="W82" s="134" t="str">
        <f t="shared" si="22"/>
        <v/>
      </c>
      <c r="X82" s="139"/>
      <c r="Y82" s="139"/>
      <c r="Z82" s="139"/>
      <c r="AA82" s="138"/>
    </row>
    <row r="84" spans="1:27" s="135" customFormat="1" ht="15" customHeight="1" x14ac:dyDescent="0.25">
      <c r="A84" s="7">
        <f ca="1">TODAY()</f>
        <v>44263</v>
      </c>
      <c r="B84" s="135" t="s">
        <v>59</v>
      </c>
      <c r="C84" s="135" t="s">
        <v>66</v>
      </c>
      <c r="D84" s="135" t="s">
        <v>67</v>
      </c>
      <c r="E84" s="401" t="s">
        <v>94</v>
      </c>
      <c r="F84" s="401"/>
      <c r="G84" s="401" t="s">
        <v>100</v>
      </c>
      <c r="H84" s="401"/>
      <c r="I84" s="401"/>
      <c r="J84" s="401"/>
      <c r="K84" s="401"/>
      <c r="Q84" s="9"/>
    </row>
    <row r="85" spans="1:27" ht="30" customHeight="1" x14ac:dyDescent="0.25">
      <c r="B85" s="138"/>
      <c r="C85" s="137"/>
      <c r="D85" s="134" t="str">
        <f>IF(B85&lt;&gt;0,ROUNDDOWN(($A$84-C85)/365.25,0),"")</f>
        <v/>
      </c>
      <c r="E85" s="400"/>
      <c r="F85" s="400"/>
      <c r="G85" s="400"/>
      <c r="H85" s="400"/>
      <c r="I85" s="400"/>
      <c r="J85" s="400"/>
      <c r="K85" s="400"/>
    </row>
    <row r="86" spans="1:27" ht="30" customHeight="1" x14ac:dyDescent="0.25">
      <c r="B86" s="138"/>
      <c r="C86" s="137"/>
      <c r="D86" s="134" t="str">
        <f t="shared" ref="D86:D92" si="23">IF(B86&lt;&gt;0,ROUNDDOWN(($A$84-C86)/365.25,0),"")</f>
        <v/>
      </c>
      <c r="E86" s="400"/>
      <c r="F86" s="400"/>
      <c r="G86" s="400"/>
      <c r="H86" s="400"/>
      <c r="I86" s="400"/>
      <c r="J86" s="400"/>
      <c r="K86" s="400"/>
    </row>
    <row r="87" spans="1:27" ht="30" customHeight="1" x14ac:dyDescent="0.25">
      <c r="B87" s="138"/>
      <c r="C87" s="137"/>
      <c r="D87" s="134" t="str">
        <f t="shared" si="23"/>
        <v/>
      </c>
      <c r="E87" s="400"/>
      <c r="F87" s="400"/>
      <c r="G87" s="400"/>
      <c r="H87" s="400"/>
      <c r="I87" s="400"/>
      <c r="J87" s="400"/>
      <c r="K87" s="400"/>
    </row>
    <row r="88" spans="1:27" ht="30" customHeight="1" x14ac:dyDescent="0.25">
      <c r="B88" s="138"/>
      <c r="C88" s="137"/>
      <c r="D88" s="134" t="str">
        <f t="shared" si="23"/>
        <v/>
      </c>
      <c r="E88" s="400"/>
      <c r="F88" s="400"/>
      <c r="G88" s="400"/>
      <c r="H88" s="400"/>
      <c r="I88" s="400"/>
      <c r="J88" s="400"/>
      <c r="K88" s="400"/>
    </row>
    <row r="89" spans="1:27" ht="30" customHeight="1" x14ac:dyDescent="0.25">
      <c r="B89" s="138"/>
      <c r="C89" s="137"/>
      <c r="D89" s="134" t="str">
        <f t="shared" si="23"/>
        <v/>
      </c>
      <c r="E89" s="400"/>
      <c r="F89" s="400"/>
      <c r="G89" s="400"/>
      <c r="H89" s="400"/>
      <c r="I89" s="400"/>
      <c r="J89" s="400"/>
      <c r="K89" s="400"/>
    </row>
    <row r="90" spans="1:27" ht="30" customHeight="1" x14ac:dyDescent="0.25">
      <c r="B90" s="138"/>
      <c r="C90" s="138"/>
      <c r="D90" s="134" t="str">
        <f t="shared" si="23"/>
        <v/>
      </c>
      <c r="E90" s="400"/>
      <c r="F90" s="400"/>
      <c r="G90" s="400"/>
      <c r="H90" s="400"/>
      <c r="I90" s="400"/>
      <c r="J90" s="400"/>
      <c r="K90" s="400"/>
    </row>
    <row r="91" spans="1:27" ht="30" customHeight="1" x14ac:dyDescent="0.25">
      <c r="B91" s="138"/>
      <c r="C91" s="138"/>
      <c r="D91" s="134" t="str">
        <f t="shared" si="23"/>
        <v/>
      </c>
      <c r="E91" s="400"/>
      <c r="F91" s="400"/>
      <c r="G91" s="400"/>
      <c r="H91" s="400"/>
      <c r="I91" s="400"/>
      <c r="J91" s="400"/>
      <c r="K91" s="400"/>
    </row>
    <row r="92" spans="1:27" ht="30" customHeight="1" x14ac:dyDescent="0.25">
      <c r="B92" s="138"/>
      <c r="C92" s="138"/>
      <c r="D92" s="134" t="str">
        <f t="shared" si="23"/>
        <v/>
      </c>
      <c r="E92" s="400"/>
      <c r="F92" s="400"/>
      <c r="G92" s="400"/>
      <c r="H92" s="400"/>
      <c r="I92" s="400"/>
      <c r="J92" s="400"/>
      <c r="K92" s="400"/>
    </row>
  </sheetData>
  <sheetProtection algorithmName="SHA-512" hashValue="2Z3HYAK5trDJ/HVKGRKjjOyE83SDvRix/ZV+/hweERgqAL/fL6iVmxx6lsR9qx2fk5INxw2vQMlc5wkI9NUbzQ==" saltValue="ix1hFzghQBZDuXTo5CQpNQ==" spinCount="100000" sheet="1" objects="1" scenarios="1" selectLockedCells="1"/>
  <sortState ref="B48:AA77">
    <sortCondition ref="U48:U77"/>
    <sortCondition ref="B48:B77"/>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X46:AA46"/>
    <mergeCell ref="E86:F86"/>
    <mergeCell ref="G86:K86"/>
    <mergeCell ref="E84:F84"/>
    <mergeCell ref="G84:K84"/>
    <mergeCell ref="E85:F85"/>
    <mergeCell ref="G85:K85"/>
  </mergeCells>
  <conditionalFormatting sqref="P2:P36">
    <cfRule type="containsText" dxfId="55" priority="1" operator="containsText" text="ANO">
      <formula>NOT(ISERROR(SEARCH("ANO",P2)))</formula>
    </cfRule>
    <cfRule type="containsText" dxfId="5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1" t="s">
        <v>36</v>
      </c>
      <c r="B1" s="1" t="s">
        <v>395</v>
      </c>
      <c r="C1" s="212">
        <v>62</v>
      </c>
      <c r="D1" s="403" t="str">
        <f t="shared" ref="D1:D30" si="0">IFERROR(RIGHT(B1,LEN(B1)-SEARCH(" ",B1)),"")</f>
        <v>Filip Langer</v>
      </c>
      <c r="E1" s="403"/>
      <c r="F1" s="134"/>
    </row>
    <row r="2" spans="1:6" x14ac:dyDescent="0.25">
      <c r="A2" s="401"/>
      <c r="B2" s="1" t="s">
        <v>397</v>
      </c>
      <c r="C2" s="212">
        <v>45</v>
      </c>
      <c r="D2" s="403" t="str">
        <f t="shared" si="0"/>
        <v>Matěj Havlas</v>
      </c>
      <c r="E2" s="403"/>
      <c r="F2" s="134"/>
    </row>
    <row r="3" spans="1:6" x14ac:dyDescent="0.25">
      <c r="A3" s="401"/>
      <c r="B3" s="1" t="s">
        <v>697</v>
      </c>
      <c r="C3" s="212">
        <v>43</v>
      </c>
      <c r="D3" s="403" t="str">
        <f t="shared" si="0"/>
        <v>Milan Meliš</v>
      </c>
      <c r="E3" s="403"/>
      <c r="F3" s="134"/>
    </row>
    <row r="4" spans="1:6" x14ac:dyDescent="0.25">
      <c r="A4" s="401"/>
      <c r="B4" s="1" t="s">
        <v>698</v>
      </c>
      <c r="C4" s="212">
        <v>36</v>
      </c>
      <c r="D4" s="403" t="str">
        <f t="shared" si="0"/>
        <v>Martin Šindelář</v>
      </c>
      <c r="E4" s="403"/>
      <c r="F4" s="134"/>
    </row>
    <row r="5" spans="1:6" x14ac:dyDescent="0.25">
      <c r="A5" s="401"/>
      <c r="B5" s="1" t="s">
        <v>699</v>
      </c>
      <c r="C5" s="212">
        <v>35</v>
      </c>
      <c r="D5" s="403" t="str">
        <f t="shared" si="0"/>
        <v>Petr Brautferger</v>
      </c>
      <c r="E5" s="403"/>
      <c r="F5" s="134"/>
    </row>
    <row r="6" spans="1:6" x14ac:dyDescent="0.25">
      <c r="A6" s="401" t="s">
        <v>241</v>
      </c>
      <c r="B6" s="1" t="s">
        <v>396</v>
      </c>
      <c r="C6" s="212" t="s">
        <v>977</v>
      </c>
      <c r="D6" s="403" t="str">
        <f t="shared" si="0"/>
        <v>Lukáš Kříž</v>
      </c>
      <c r="E6" s="403"/>
      <c r="F6" s="134">
        <f t="shared" ref="F6:F10" si="1">IF(B6&lt;&gt;0,_xlfn.NUMBERVALUE(C6,","),"")</f>
        <v>4.46</v>
      </c>
    </row>
    <row r="7" spans="1:6" x14ac:dyDescent="0.25">
      <c r="A7" s="401"/>
      <c r="B7" s="1" t="s">
        <v>551</v>
      </c>
      <c r="C7" s="212" t="s">
        <v>926</v>
      </c>
      <c r="D7" s="403" t="str">
        <f t="shared" si="0"/>
        <v>Martin Frühbauer</v>
      </c>
      <c r="E7" s="403"/>
      <c r="F7" s="134">
        <f t="shared" si="1"/>
        <v>3.93</v>
      </c>
    </row>
    <row r="8" spans="1:6" x14ac:dyDescent="0.25">
      <c r="A8" s="401"/>
      <c r="B8" s="1" t="s">
        <v>552</v>
      </c>
      <c r="C8" s="212" t="s">
        <v>642</v>
      </c>
      <c r="D8" s="403" t="str">
        <f t="shared" si="0"/>
        <v>Tomáš Jurco</v>
      </c>
      <c r="E8" s="403"/>
      <c r="F8" s="134">
        <f t="shared" si="1"/>
        <v>5.25</v>
      </c>
    </row>
    <row r="9" spans="1:6" x14ac:dyDescent="0.25">
      <c r="A9" s="401"/>
      <c r="B9" s="1"/>
      <c r="C9" s="212"/>
      <c r="D9" s="403" t="str">
        <f t="shared" si="0"/>
        <v/>
      </c>
      <c r="E9" s="403"/>
      <c r="F9" s="134" t="str">
        <f t="shared" si="1"/>
        <v/>
      </c>
    </row>
    <row r="10" spans="1:6" x14ac:dyDescent="0.25">
      <c r="A10" s="401"/>
      <c r="B10" s="1"/>
      <c r="C10" s="212"/>
      <c r="D10" s="403" t="str">
        <f t="shared" si="0"/>
        <v/>
      </c>
      <c r="E10" s="403"/>
      <c r="F10" s="134" t="str">
        <f t="shared" si="1"/>
        <v/>
      </c>
    </row>
    <row r="11" spans="1:6" x14ac:dyDescent="0.25">
      <c r="A11" s="401" t="s">
        <v>35</v>
      </c>
      <c r="B11" s="1" t="s">
        <v>395</v>
      </c>
      <c r="C11" s="212">
        <v>28</v>
      </c>
      <c r="D11" s="403" t="str">
        <f t="shared" si="0"/>
        <v>Filip Langer</v>
      </c>
      <c r="E11" s="403"/>
      <c r="F11" s="134"/>
    </row>
    <row r="12" spans="1:6" x14ac:dyDescent="0.25">
      <c r="A12" s="401"/>
      <c r="B12" s="1" t="s">
        <v>643</v>
      </c>
      <c r="C12" s="212">
        <v>26</v>
      </c>
      <c r="D12" s="403" t="str">
        <f t="shared" si="0"/>
        <v>Petr Brautferger</v>
      </c>
      <c r="E12" s="403"/>
      <c r="F12" s="134"/>
    </row>
    <row r="13" spans="1:6" x14ac:dyDescent="0.25">
      <c r="A13" s="401"/>
      <c r="B13" s="1" t="s">
        <v>697</v>
      </c>
      <c r="C13" s="212">
        <v>23</v>
      </c>
      <c r="D13" s="403" t="str">
        <f t="shared" si="0"/>
        <v>Milan Meliš</v>
      </c>
      <c r="E13" s="403"/>
      <c r="F13" s="134"/>
    </row>
    <row r="14" spans="1:6" x14ac:dyDescent="0.25">
      <c r="A14" s="401"/>
      <c r="B14" s="1" t="s">
        <v>927</v>
      </c>
      <c r="C14" s="212">
        <v>22</v>
      </c>
      <c r="D14" s="403" t="str">
        <f t="shared" si="0"/>
        <v>Matěj Havlas</v>
      </c>
      <c r="E14" s="403"/>
      <c r="F14" s="134"/>
    </row>
    <row r="15" spans="1:6" x14ac:dyDescent="0.25">
      <c r="A15" s="401"/>
      <c r="B15" s="1" t="s">
        <v>550</v>
      </c>
      <c r="C15" s="212">
        <v>18</v>
      </c>
      <c r="D15" s="403" t="str">
        <f t="shared" si="0"/>
        <v>Martin Šindelář</v>
      </c>
      <c r="E15" s="403"/>
      <c r="F15" s="134"/>
    </row>
    <row r="16" spans="1:6" x14ac:dyDescent="0.25">
      <c r="A16" s="401" t="s">
        <v>230</v>
      </c>
      <c r="B16" s="1" t="s">
        <v>396</v>
      </c>
      <c r="C16" s="212">
        <v>12</v>
      </c>
      <c r="D16" s="403" t="str">
        <f t="shared" si="0"/>
        <v>Lukáš Kříž</v>
      </c>
      <c r="E16" s="403"/>
      <c r="F16" s="134">
        <f t="shared" ref="F16:F20" si="2">IF(B16&lt;&gt;0,_xlfn.NUMBERVALUE(C16,","),"")</f>
        <v>12</v>
      </c>
    </row>
    <row r="17" spans="1:6" x14ac:dyDescent="0.25">
      <c r="A17" s="401"/>
      <c r="B17" s="1" t="s">
        <v>551</v>
      </c>
      <c r="C17" s="212">
        <v>5</v>
      </c>
      <c r="D17" s="403" t="str">
        <f t="shared" si="0"/>
        <v>Martin Frühbauer</v>
      </c>
      <c r="E17" s="403"/>
      <c r="F17" s="134">
        <f t="shared" si="2"/>
        <v>5</v>
      </c>
    </row>
    <row r="18" spans="1:6" x14ac:dyDescent="0.25">
      <c r="A18" s="401"/>
      <c r="B18" s="1" t="s">
        <v>552</v>
      </c>
      <c r="C18" s="212">
        <v>2</v>
      </c>
      <c r="D18" s="403" t="str">
        <f t="shared" si="0"/>
        <v>Tomáš Jurco</v>
      </c>
      <c r="E18" s="403"/>
      <c r="F18" s="134">
        <f t="shared" si="2"/>
        <v>2</v>
      </c>
    </row>
    <row r="19" spans="1:6" x14ac:dyDescent="0.25">
      <c r="A19" s="401"/>
      <c r="B19" s="1"/>
      <c r="C19" s="212"/>
      <c r="D19" s="403" t="str">
        <f t="shared" si="0"/>
        <v/>
      </c>
      <c r="E19" s="403"/>
      <c r="F19" s="134" t="str">
        <f t="shared" si="2"/>
        <v/>
      </c>
    </row>
    <row r="20" spans="1:6" x14ac:dyDescent="0.25">
      <c r="A20" s="401"/>
      <c r="B20" s="1"/>
      <c r="C20" s="212"/>
      <c r="D20" s="403" t="str">
        <f t="shared" si="0"/>
        <v/>
      </c>
      <c r="E20" s="403"/>
      <c r="F20" s="134" t="str">
        <f t="shared" si="2"/>
        <v/>
      </c>
    </row>
    <row r="21" spans="1:6" x14ac:dyDescent="0.25">
      <c r="A21" s="401" t="s">
        <v>37</v>
      </c>
      <c r="B21" s="1" t="s">
        <v>395</v>
      </c>
      <c r="C21" s="212">
        <v>34</v>
      </c>
      <c r="D21" s="403" t="str">
        <f>IFERROR(RIGHT(B21,LEN(B21)-SEARCH(" ",B21)),"")</f>
        <v>Filip Langer</v>
      </c>
      <c r="E21" s="403"/>
      <c r="F21" s="134"/>
    </row>
    <row r="22" spans="1:6" x14ac:dyDescent="0.25">
      <c r="A22" s="401"/>
      <c r="B22" s="1" t="s">
        <v>397</v>
      </c>
      <c r="C22" s="212">
        <v>23</v>
      </c>
      <c r="D22" s="403" t="str">
        <f>IFERROR(RIGHT(B22,LEN(B22)-SEARCH(" ",B22)),"")</f>
        <v>Matěj Havlas</v>
      </c>
      <c r="E22" s="403"/>
      <c r="F22" s="134"/>
    </row>
    <row r="23" spans="1:6" x14ac:dyDescent="0.25">
      <c r="A23" s="401"/>
      <c r="B23" s="1" t="s">
        <v>928</v>
      </c>
      <c r="C23" s="212">
        <v>22</v>
      </c>
      <c r="D23" s="403" t="str">
        <f>IFERROR(RIGHT(B23,LEN(B23)-SEARCH(" ",B23)),"")</f>
        <v>Ondřej Němeček</v>
      </c>
      <c r="E23" s="403"/>
      <c r="F23" s="134"/>
    </row>
    <row r="24" spans="1:6" x14ac:dyDescent="0.25">
      <c r="A24" s="401"/>
      <c r="B24" s="1" t="s">
        <v>398</v>
      </c>
      <c r="C24" s="212">
        <v>20</v>
      </c>
      <c r="D24" s="403" t="str">
        <f>IFERROR(RIGHT(B24,LEN(B24)-SEARCH(" ",B24)),"")</f>
        <v>Milan Meliš</v>
      </c>
      <c r="E24" s="403"/>
      <c r="F24" s="134"/>
    </row>
    <row r="25" spans="1:6" x14ac:dyDescent="0.25">
      <c r="A25" s="401"/>
      <c r="B25" s="1" t="s">
        <v>550</v>
      </c>
      <c r="C25" s="212">
        <v>18</v>
      </c>
      <c r="D25" s="403" t="str">
        <f>IFERROR(RIGHT(B25,LEN(B25)-SEARCH(" ",B25)),"")</f>
        <v>Martin Šindelář</v>
      </c>
      <c r="E25" s="403"/>
      <c r="F25" s="134"/>
    </row>
    <row r="26" spans="1:6" x14ac:dyDescent="0.25">
      <c r="A26" s="401" t="s">
        <v>38</v>
      </c>
      <c r="B26" s="1" t="s">
        <v>395</v>
      </c>
      <c r="C26" s="212">
        <v>18</v>
      </c>
      <c r="D26" s="403" t="str">
        <f t="shared" si="0"/>
        <v>Filip Langer</v>
      </c>
      <c r="E26" s="403"/>
      <c r="F26" s="134"/>
    </row>
    <row r="27" spans="1:6" x14ac:dyDescent="0.25">
      <c r="A27" s="401"/>
      <c r="B27" s="1" t="s">
        <v>644</v>
      </c>
      <c r="C27" s="212">
        <v>14</v>
      </c>
      <c r="D27" s="403" t="str">
        <f t="shared" si="0"/>
        <v>Petr Novotný</v>
      </c>
      <c r="E27" s="403"/>
      <c r="F27" s="134"/>
    </row>
    <row r="28" spans="1:6" x14ac:dyDescent="0.25">
      <c r="A28" s="401"/>
      <c r="B28" s="1" t="s">
        <v>929</v>
      </c>
      <c r="C28" s="212">
        <v>12</v>
      </c>
      <c r="D28" s="403" t="str">
        <f t="shared" si="0"/>
        <v>Petr Brautferger</v>
      </c>
      <c r="E28" s="403"/>
      <c r="F28" s="134"/>
    </row>
    <row r="29" spans="1:6" x14ac:dyDescent="0.25">
      <c r="A29" s="401"/>
      <c r="B29" s="1" t="s">
        <v>698</v>
      </c>
      <c r="C29" s="212">
        <v>10</v>
      </c>
      <c r="D29" s="403" t="str">
        <f t="shared" si="0"/>
        <v>Martin Šindelář</v>
      </c>
      <c r="E29" s="403"/>
      <c r="F29" s="134"/>
    </row>
    <row r="30" spans="1:6" x14ac:dyDescent="0.25">
      <c r="A30" s="401"/>
      <c r="B30" s="1" t="s">
        <v>978</v>
      </c>
      <c r="C30" s="212">
        <v>8</v>
      </c>
      <c r="D30" s="403" t="str">
        <f t="shared" si="0"/>
        <v>Matěj Havlas</v>
      </c>
      <c r="E30" s="403"/>
      <c r="F30" s="134"/>
    </row>
    <row r="31" spans="1:6" x14ac:dyDescent="0.25">
      <c r="A31" s="401" t="s">
        <v>331</v>
      </c>
      <c r="B31" s="190" t="s">
        <v>959</v>
      </c>
      <c r="C31" s="190" t="s">
        <v>148</v>
      </c>
      <c r="D31" s="190" t="s">
        <v>894</v>
      </c>
      <c r="E31" s="178" t="str">
        <f>IFERROR(RIGHT(LEFT(D31,LEN(D31)-1),LEN(D31)-2),"")</f>
        <v>5:6p</v>
      </c>
    </row>
    <row r="32" spans="1:6" x14ac:dyDescent="0.25">
      <c r="A32" s="401"/>
      <c r="B32" s="190" t="s">
        <v>641</v>
      </c>
      <c r="C32" s="190" t="s">
        <v>147</v>
      </c>
      <c r="D32" s="190" t="s">
        <v>923</v>
      </c>
      <c r="E32" s="178" t="str">
        <f t="shared" ref="E32:E40" si="3">IFERROR(RIGHT(LEFT(D32,LEN(D32)-1),LEN(D32)-2),"")</f>
        <v>17:1</v>
      </c>
    </row>
    <row r="33" spans="1:5" x14ac:dyDescent="0.25">
      <c r="A33" s="401"/>
      <c r="B33" s="190" t="s">
        <v>617</v>
      </c>
      <c r="C33" s="190" t="s">
        <v>150</v>
      </c>
      <c r="D33" s="190" t="s">
        <v>924</v>
      </c>
      <c r="E33" s="178" t="str">
        <f t="shared" si="3"/>
        <v>1:7</v>
      </c>
    </row>
    <row r="34" spans="1:5" x14ac:dyDescent="0.25">
      <c r="A34" s="401"/>
      <c r="B34" s="190" t="s">
        <v>895</v>
      </c>
      <c r="C34" s="190" t="s">
        <v>149</v>
      </c>
      <c r="D34" s="190" t="s">
        <v>925</v>
      </c>
      <c r="E34" s="178" t="str">
        <f t="shared" si="3"/>
        <v>4:5</v>
      </c>
    </row>
    <row r="35" spans="1:5" x14ac:dyDescent="0.25">
      <c r="A35" s="401"/>
      <c r="B35" s="190" t="s">
        <v>474</v>
      </c>
      <c r="C35" s="190" t="s">
        <v>152</v>
      </c>
      <c r="D35" s="190" t="s">
        <v>790</v>
      </c>
      <c r="E35" s="178" t="str">
        <f t="shared" si="3"/>
        <v>8:2</v>
      </c>
    </row>
    <row r="36" spans="1:5" x14ac:dyDescent="0.25">
      <c r="A36" s="401" t="s">
        <v>332</v>
      </c>
      <c r="B36" s="190" t="s">
        <v>897</v>
      </c>
      <c r="C36" s="190" t="s">
        <v>148</v>
      </c>
      <c r="D36" s="190" t="s">
        <v>335</v>
      </c>
      <c r="E36" s="178" t="str">
        <f t="shared" si="3"/>
        <v>-:-</v>
      </c>
    </row>
    <row r="37" spans="1:5" x14ac:dyDescent="0.25">
      <c r="A37" s="401"/>
      <c r="B37" s="190" t="s">
        <v>898</v>
      </c>
      <c r="C37" s="190" t="s">
        <v>148</v>
      </c>
      <c r="D37" s="190" t="s">
        <v>335</v>
      </c>
      <c r="E37" s="178" t="str">
        <f t="shared" si="3"/>
        <v>-:-</v>
      </c>
    </row>
    <row r="38" spans="1:5" x14ac:dyDescent="0.25">
      <c r="A38" s="401"/>
      <c r="B38" s="190" t="s">
        <v>900</v>
      </c>
      <c r="C38" s="190" t="s">
        <v>148</v>
      </c>
      <c r="D38" s="190" t="s">
        <v>335</v>
      </c>
      <c r="E38" s="178" t="str">
        <f t="shared" si="3"/>
        <v>-:-</v>
      </c>
    </row>
    <row r="39" spans="1:5" x14ac:dyDescent="0.25">
      <c r="A39" s="401"/>
      <c r="B39" s="190" t="s">
        <v>901</v>
      </c>
      <c r="C39" s="190" t="s">
        <v>148</v>
      </c>
      <c r="D39" s="190" t="s">
        <v>335</v>
      </c>
      <c r="E39" s="178" t="str">
        <f t="shared" si="3"/>
        <v>-:-</v>
      </c>
    </row>
    <row r="40" spans="1:5" x14ac:dyDescent="0.25">
      <c r="A40" s="401"/>
      <c r="B40" s="190" t="s">
        <v>914</v>
      </c>
      <c r="C40" s="190" t="s">
        <v>148</v>
      </c>
      <c r="D40" s="190" t="s">
        <v>335</v>
      </c>
      <c r="E40" s="178" t="str">
        <f t="shared" si="3"/>
        <v>-:-</v>
      </c>
    </row>
    <row r="41" spans="1:5" x14ac:dyDescent="0.25">
      <c r="A41" s="135" t="s">
        <v>333</v>
      </c>
      <c r="B41" s="207" t="s">
        <v>976</v>
      </c>
      <c r="C41" s="190"/>
      <c r="D41" s="190"/>
    </row>
  </sheetData>
  <sheetProtection algorithmName="SHA-512" hashValue="mmpP5TRdYOEMpZVBJeuzvSLMugfGA6PXDw56ToWeH+shtmMXA9E+Ir1LeoO5WefPFbi+h0KdF33p1Z5zdQlR3A==" saltValue="g/9GeXFGls2P/zuNCj5OPA=="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51" customWidth="1"/>
    <col min="15" max="15" width="22" style="151" bestFit="1" customWidth="1"/>
    <col min="16" max="16" width="9.140625" style="151" customWidth="1"/>
    <col min="17" max="17" width="23.140625" style="153" customWidth="1"/>
    <col min="18" max="18" width="9.140625" style="1" customWidth="1"/>
    <col min="19" max="19" width="12.5703125" style="151" bestFit="1" customWidth="1"/>
    <col min="20" max="20" width="11.85546875" style="1" bestFit="1" customWidth="1"/>
    <col min="21" max="23" width="9.140625" style="1"/>
    <col min="24" max="26" width="10.28515625" style="151" customWidth="1"/>
    <col min="27" max="27" width="10.28515625" style="1" customWidth="1"/>
    <col min="28" max="16384" width="9.140625" style="1"/>
  </cols>
  <sheetData>
    <row r="1" spans="1:26" s="152" customFormat="1" ht="15" customHeight="1" x14ac:dyDescent="0.25">
      <c r="A1" s="8" t="s">
        <v>58</v>
      </c>
      <c r="B1" s="152" t="s">
        <v>59</v>
      </c>
      <c r="D1" s="152" t="s">
        <v>60</v>
      </c>
      <c r="E1" s="152" t="s">
        <v>61</v>
      </c>
      <c r="F1" s="152" t="s">
        <v>35</v>
      </c>
      <c r="G1" s="152" t="s">
        <v>62</v>
      </c>
      <c r="H1" s="152" t="s">
        <v>63</v>
      </c>
      <c r="I1" s="152" t="s">
        <v>37</v>
      </c>
      <c r="J1" s="152" t="s">
        <v>36</v>
      </c>
      <c r="K1" s="152" t="s">
        <v>38</v>
      </c>
      <c r="L1" s="152" t="s">
        <v>64</v>
      </c>
      <c r="M1" s="152" t="s">
        <v>30</v>
      </c>
      <c r="N1" s="3" t="s">
        <v>65</v>
      </c>
      <c r="O1" s="152" t="s">
        <v>80</v>
      </c>
      <c r="P1" s="152" t="s">
        <v>439</v>
      </c>
      <c r="Q1" s="115" t="s">
        <v>47</v>
      </c>
    </row>
    <row r="2" spans="1:26" s="4" customFormat="1" x14ac:dyDescent="0.25">
      <c r="A2" s="53">
        <v>1</v>
      </c>
      <c r="B2" s="4" t="s">
        <v>404</v>
      </c>
      <c r="D2" s="5" t="s">
        <v>51</v>
      </c>
      <c r="E2" s="5">
        <v>26</v>
      </c>
      <c r="F2" s="5">
        <v>15</v>
      </c>
      <c r="G2" s="5">
        <v>4</v>
      </c>
      <c r="H2" s="5">
        <v>1</v>
      </c>
      <c r="I2" s="5">
        <v>9</v>
      </c>
      <c r="J2" s="5">
        <v>24</v>
      </c>
      <c r="K2" s="5">
        <v>8</v>
      </c>
      <c r="L2" s="5">
        <v>28</v>
      </c>
      <c r="M2" s="5">
        <v>58</v>
      </c>
      <c r="N2" s="5">
        <v>-30</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24 (15+9), -30 ±</v>
      </c>
      <c r="P2" s="5" t="str">
        <f>IF(B2&lt;&gt;0,IF(IFERROR(VLOOKUP(B2,$B$48:$B$82,1,FALSE)=B2,FALSE),"ANO","NE"),"")</f>
        <v>ANO</v>
      </c>
      <c r="Q2" s="142" t="s">
        <v>563</v>
      </c>
      <c r="S2" s="5"/>
      <c r="X2" s="5"/>
      <c r="Y2" s="5"/>
      <c r="Z2" s="5"/>
    </row>
    <row r="3" spans="1:26" s="4" customFormat="1" x14ac:dyDescent="0.25">
      <c r="A3" s="53">
        <v>2</v>
      </c>
      <c r="B3" s="4" t="s">
        <v>406</v>
      </c>
      <c r="D3" s="5" t="s">
        <v>51</v>
      </c>
      <c r="E3" s="5">
        <v>24</v>
      </c>
      <c r="F3" s="5">
        <v>12</v>
      </c>
      <c r="G3" s="5">
        <v>0</v>
      </c>
      <c r="H3" s="5">
        <v>0</v>
      </c>
      <c r="I3" s="5">
        <v>3</v>
      </c>
      <c r="J3" s="5">
        <v>15</v>
      </c>
      <c r="K3" s="5">
        <v>8</v>
      </c>
      <c r="L3" s="5">
        <v>30</v>
      </c>
      <c r="M3" s="5">
        <v>52</v>
      </c>
      <c r="N3" s="5">
        <v>-22</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15 (12+3), -22 ±</v>
      </c>
      <c r="P3" s="5" t="str">
        <f t="shared" ref="P3:P36" si="1">IF(B3&lt;&gt;0,IF(IFERROR(VLOOKUP(B3,$B$48:$B$82,1,FALSE)=B3,FALSE),"ANO","NE"),"")</f>
        <v>ANO</v>
      </c>
      <c r="Q3" s="142" t="s">
        <v>564</v>
      </c>
      <c r="S3" s="5"/>
      <c r="X3" s="5"/>
      <c r="Y3" s="5"/>
      <c r="Z3" s="5"/>
    </row>
    <row r="4" spans="1:26" s="4" customFormat="1" x14ac:dyDescent="0.25">
      <c r="A4" s="53">
        <v>3</v>
      </c>
      <c r="B4" s="4" t="s">
        <v>405</v>
      </c>
      <c r="D4" s="5"/>
      <c r="E4" s="5">
        <v>18</v>
      </c>
      <c r="F4" s="5">
        <v>6</v>
      </c>
      <c r="G4" s="5">
        <v>0</v>
      </c>
      <c r="H4" s="5">
        <v>1</v>
      </c>
      <c r="I4" s="5">
        <v>9</v>
      </c>
      <c r="J4" s="5">
        <v>15</v>
      </c>
      <c r="K4" s="5">
        <v>4</v>
      </c>
      <c r="L4" s="5">
        <v>23</v>
      </c>
      <c r="M4" s="5">
        <v>40</v>
      </c>
      <c r="N4" s="5">
        <v>-17</v>
      </c>
      <c r="O4" s="161" t="str">
        <f t="shared" si="0"/>
        <v>18 OZ , 15 (6+9), -17 ±</v>
      </c>
      <c r="P4" s="5" t="str">
        <f t="shared" si="1"/>
        <v>ANO</v>
      </c>
      <c r="Q4" s="142" t="s">
        <v>565</v>
      </c>
      <c r="S4" s="5"/>
      <c r="X4" s="5"/>
      <c r="Y4" s="5"/>
      <c r="Z4" s="5"/>
    </row>
    <row r="5" spans="1:26" s="4" customFormat="1" x14ac:dyDescent="0.25">
      <c r="A5" s="53">
        <v>4</v>
      </c>
      <c r="B5" s="4" t="s">
        <v>409</v>
      </c>
      <c r="D5" s="5"/>
      <c r="E5" s="5">
        <v>23</v>
      </c>
      <c r="F5" s="5">
        <v>10</v>
      </c>
      <c r="G5" s="5">
        <v>0</v>
      </c>
      <c r="H5" s="5">
        <v>0</v>
      </c>
      <c r="I5" s="5">
        <v>4</v>
      </c>
      <c r="J5" s="5">
        <v>14</v>
      </c>
      <c r="K5" s="5">
        <v>2</v>
      </c>
      <c r="L5" s="5">
        <v>17</v>
      </c>
      <c r="M5" s="5">
        <v>37</v>
      </c>
      <c r="N5" s="5">
        <v>-20</v>
      </c>
      <c r="O5" s="161" t="str">
        <f t="shared" si="0"/>
        <v>23 OZ , 14 (10+4), -20 ±</v>
      </c>
      <c r="P5" s="5" t="str">
        <f t="shared" si="1"/>
        <v>ANO</v>
      </c>
      <c r="Q5" s="142" t="s">
        <v>566</v>
      </c>
      <c r="S5" s="5"/>
      <c r="X5" s="5"/>
      <c r="Y5" s="5"/>
      <c r="Z5" s="5"/>
    </row>
    <row r="6" spans="1:26" x14ac:dyDescent="0.25">
      <c r="A6" s="54">
        <v>5</v>
      </c>
      <c r="B6" s="1" t="s">
        <v>415</v>
      </c>
      <c r="D6" s="212" t="s">
        <v>48</v>
      </c>
      <c r="E6" s="212">
        <v>20</v>
      </c>
      <c r="F6" s="212">
        <v>7</v>
      </c>
      <c r="G6" s="212">
        <v>1</v>
      </c>
      <c r="H6" s="212">
        <v>0</v>
      </c>
      <c r="I6" s="212">
        <v>7</v>
      </c>
      <c r="J6" s="212">
        <v>14</v>
      </c>
      <c r="K6" s="212">
        <v>14</v>
      </c>
      <c r="L6" s="212">
        <v>24</v>
      </c>
      <c r="M6" s="212">
        <v>52</v>
      </c>
      <c r="N6" s="212">
        <v>-28</v>
      </c>
      <c r="O6" s="161" t="str">
        <f t="shared" si="0"/>
        <v>20 OZ , 14 (7+7), -28 ±</v>
      </c>
      <c r="P6" s="5" t="str">
        <f t="shared" si="1"/>
        <v>ANO</v>
      </c>
    </row>
    <row r="7" spans="1:26" x14ac:dyDescent="0.25">
      <c r="A7" s="54">
        <v>6</v>
      </c>
      <c r="B7" s="1" t="s">
        <v>412</v>
      </c>
      <c r="D7" s="212" t="s">
        <v>51</v>
      </c>
      <c r="E7" s="212">
        <v>22</v>
      </c>
      <c r="F7" s="212">
        <v>5</v>
      </c>
      <c r="G7" s="212">
        <v>0</v>
      </c>
      <c r="H7" s="212">
        <v>0</v>
      </c>
      <c r="I7" s="212">
        <v>7</v>
      </c>
      <c r="J7" s="212">
        <v>12</v>
      </c>
      <c r="K7" s="212">
        <v>6</v>
      </c>
      <c r="L7" s="212">
        <v>28</v>
      </c>
      <c r="M7" s="212">
        <v>41</v>
      </c>
      <c r="N7" s="212">
        <v>-13</v>
      </c>
      <c r="O7" s="161" t="str">
        <f t="shared" si="0"/>
        <v>22 OZ , 12 (5+7), -13 ±</v>
      </c>
      <c r="P7" s="5" t="str">
        <f t="shared" si="1"/>
        <v>ANO</v>
      </c>
    </row>
    <row r="8" spans="1:26" x14ac:dyDescent="0.25">
      <c r="A8" s="54">
        <v>7</v>
      </c>
      <c r="B8" s="1" t="s">
        <v>407</v>
      </c>
      <c r="D8" s="212" t="s">
        <v>51</v>
      </c>
      <c r="E8" s="212">
        <v>21</v>
      </c>
      <c r="F8" s="212">
        <v>7</v>
      </c>
      <c r="G8" s="212">
        <v>2</v>
      </c>
      <c r="H8" s="212">
        <v>0</v>
      </c>
      <c r="I8" s="212">
        <v>4</v>
      </c>
      <c r="J8" s="212">
        <v>11</v>
      </c>
      <c r="K8" s="212">
        <v>2</v>
      </c>
      <c r="L8" s="212">
        <v>20</v>
      </c>
      <c r="M8" s="212">
        <v>46</v>
      </c>
      <c r="N8" s="212">
        <v>-26</v>
      </c>
      <c r="O8" s="161" t="str">
        <f t="shared" si="0"/>
        <v>21 OZ , 11 (7+4), -26 ±</v>
      </c>
      <c r="P8" s="5" t="str">
        <f t="shared" si="1"/>
        <v>ANO</v>
      </c>
    </row>
    <row r="9" spans="1:26" x14ac:dyDescent="0.25">
      <c r="A9" s="54">
        <v>8</v>
      </c>
      <c r="B9" s="1" t="s">
        <v>411</v>
      </c>
      <c r="D9" s="212" t="s">
        <v>51</v>
      </c>
      <c r="E9" s="212">
        <v>25</v>
      </c>
      <c r="F9" s="212">
        <v>5</v>
      </c>
      <c r="G9" s="212">
        <v>1</v>
      </c>
      <c r="H9" s="212">
        <v>0</v>
      </c>
      <c r="I9" s="212">
        <v>6</v>
      </c>
      <c r="J9" s="212">
        <v>11</v>
      </c>
      <c r="K9" s="212">
        <v>0</v>
      </c>
      <c r="L9" s="212">
        <v>23</v>
      </c>
      <c r="M9" s="212">
        <v>64</v>
      </c>
      <c r="N9" s="212">
        <v>-41</v>
      </c>
      <c r="O9" s="161" t="str">
        <f t="shared" si="0"/>
        <v>25 OZ , 11 (5+6), -41 ±</v>
      </c>
      <c r="P9" s="5" t="str">
        <f t="shared" si="1"/>
        <v>ANO</v>
      </c>
    </row>
    <row r="10" spans="1:26" x14ac:dyDescent="0.25">
      <c r="A10" s="54">
        <v>9</v>
      </c>
      <c r="B10" s="1" t="s">
        <v>410</v>
      </c>
      <c r="D10" s="212" t="s">
        <v>48</v>
      </c>
      <c r="E10" s="212">
        <v>19</v>
      </c>
      <c r="F10" s="212">
        <v>6</v>
      </c>
      <c r="G10" s="212">
        <v>1</v>
      </c>
      <c r="H10" s="212">
        <v>0</v>
      </c>
      <c r="I10" s="212">
        <v>4</v>
      </c>
      <c r="J10" s="212">
        <v>10</v>
      </c>
      <c r="K10" s="212">
        <v>12</v>
      </c>
      <c r="L10" s="212">
        <v>29</v>
      </c>
      <c r="M10" s="212">
        <v>47</v>
      </c>
      <c r="N10" s="212">
        <v>-18</v>
      </c>
      <c r="O10" s="161" t="str">
        <f t="shared" si="0"/>
        <v>19 OZ , 10 (6+4), -18 ±</v>
      </c>
      <c r="P10" s="5" t="str">
        <f t="shared" si="1"/>
        <v>ANO</v>
      </c>
    </row>
    <row r="11" spans="1:26" x14ac:dyDescent="0.25">
      <c r="A11" s="54">
        <v>10</v>
      </c>
      <c r="B11" s="1" t="s">
        <v>408</v>
      </c>
      <c r="D11" s="212" t="s">
        <v>48</v>
      </c>
      <c r="E11" s="212">
        <v>26</v>
      </c>
      <c r="F11" s="212">
        <v>5</v>
      </c>
      <c r="G11" s="212">
        <v>1</v>
      </c>
      <c r="H11" s="212">
        <v>0</v>
      </c>
      <c r="I11" s="212">
        <v>5</v>
      </c>
      <c r="J11" s="212">
        <v>10</v>
      </c>
      <c r="K11" s="212">
        <v>18</v>
      </c>
      <c r="L11" s="212">
        <v>31</v>
      </c>
      <c r="M11" s="212">
        <v>48</v>
      </c>
      <c r="N11" s="212">
        <v>-17</v>
      </c>
      <c r="O11" s="161" t="str">
        <f t="shared" si="0"/>
        <v>26 OZ , 10 (5+5), -17 ±</v>
      </c>
      <c r="P11" s="5" t="str">
        <f t="shared" si="1"/>
        <v>ANO</v>
      </c>
    </row>
    <row r="12" spans="1:26" x14ac:dyDescent="0.25">
      <c r="A12" s="54">
        <v>11</v>
      </c>
      <c r="B12" s="1" t="s">
        <v>417</v>
      </c>
      <c r="D12" s="212" t="s">
        <v>51</v>
      </c>
      <c r="E12" s="212">
        <v>17</v>
      </c>
      <c r="F12" s="212">
        <v>4</v>
      </c>
      <c r="G12" s="212">
        <v>0</v>
      </c>
      <c r="H12" s="212">
        <v>0</v>
      </c>
      <c r="I12" s="212">
        <v>3</v>
      </c>
      <c r="J12" s="212">
        <v>7</v>
      </c>
      <c r="K12" s="212">
        <v>8</v>
      </c>
      <c r="L12" s="212">
        <v>13</v>
      </c>
      <c r="M12" s="212">
        <v>37</v>
      </c>
      <c r="N12" s="212">
        <v>-24</v>
      </c>
      <c r="O12" s="161" t="str">
        <f t="shared" si="0"/>
        <v>17 OZ , 7 (4+3), -24 ±</v>
      </c>
      <c r="P12" s="5" t="str">
        <f t="shared" si="1"/>
        <v>ANO</v>
      </c>
    </row>
    <row r="13" spans="1:26" x14ac:dyDescent="0.25">
      <c r="A13" s="54">
        <v>12</v>
      </c>
      <c r="B13" s="1" t="s">
        <v>413</v>
      </c>
      <c r="D13" s="212" t="s">
        <v>51</v>
      </c>
      <c r="E13" s="212">
        <v>9</v>
      </c>
      <c r="F13" s="212">
        <v>2</v>
      </c>
      <c r="G13" s="212">
        <v>0</v>
      </c>
      <c r="H13" s="212">
        <v>0</v>
      </c>
      <c r="I13" s="212">
        <v>3</v>
      </c>
      <c r="J13" s="212">
        <v>5</v>
      </c>
      <c r="K13" s="212">
        <v>0</v>
      </c>
      <c r="L13" s="212">
        <v>13</v>
      </c>
      <c r="M13" s="212">
        <v>12</v>
      </c>
      <c r="N13" s="212">
        <v>1</v>
      </c>
      <c r="O13" s="161" t="str">
        <f t="shared" si="0"/>
        <v>9 OZ , 5 (2+3), +1 ±</v>
      </c>
      <c r="P13" s="5" t="str">
        <f t="shared" si="1"/>
        <v>ANO</v>
      </c>
    </row>
    <row r="14" spans="1:26" x14ac:dyDescent="0.25">
      <c r="A14" s="54">
        <v>13</v>
      </c>
      <c r="B14" s="1" t="s">
        <v>414</v>
      </c>
      <c r="D14" s="212" t="s">
        <v>48</v>
      </c>
      <c r="E14" s="212">
        <v>14</v>
      </c>
      <c r="F14" s="212">
        <v>2</v>
      </c>
      <c r="G14" s="212">
        <v>0</v>
      </c>
      <c r="H14" s="212">
        <v>0</v>
      </c>
      <c r="I14" s="212">
        <v>3</v>
      </c>
      <c r="J14" s="212">
        <v>5</v>
      </c>
      <c r="K14" s="212">
        <v>4</v>
      </c>
      <c r="L14" s="212">
        <v>27</v>
      </c>
      <c r="M14" s="212">
        <v>37</v>
      </c>
      <c r="N14" s="212">
        <v>-10</v>
      </c>
      <c r="O14" s="161" t="str">
        <f t="shared" si="0"/>
        <v>14 OZ , 5 (2+3), -10 ±</v>
      </c>
      <c r="P14" s="5" t="str">
        <f t="shared" si="1"/>
        <v>ANO</v>
      </c>
    </row>
    <row r="15" spans="1:26" x14ac:dyDescent="0.25">
      <c r="A15" s="54">
        <v>14</v>
      </c>
      <c r="B15" s="1" t="s">
        <v>647</v>
      </c>
      <c r="D15" s="212"/>
      <c r="E15" s="212">
        <v>9</v>
      </c>
      <c r="F15" s="212">
        <v>1</v>
      </c>
      <c r="G15" s="212">
        <v>0</v>
      </c>
      <c r="H15" s="212">
        <v>0</v>
      </c>
      <c r="I15" s="212">
        <v>3</v>
      </c>
      <c r="J15" s="212">
        <v>4</v>
      </c>
      <c r="K15" s="212">
        <v>2</v>
      </c>
      <c r="L15" s="212">
        <v>8</v>
      </c>
      <c r="M15" s="212">
        <v>20</v>
      </c>
      <c r="N15" s="212">
        <v>-12</v>
      </c>
      <c r="O15" s="161" t="str">
        <f t="shared" si="0"/>
        <v>9 OZ , 4 (1+3), -12 ±</v>
      </c>
      <c r="P15" s="5" t="str">
        <f t="shared" si="1"/>
        <v>ANO</v>
      </c>
    </row>
    <row r="16" spans="1:26" x14ac:dyDescent="0.25">
      <c r="A16" s="54">
        <v>15</v>
      </c>
      <c r="B16" s="1" t="s">
        <v>416</v>
      </c>
      <c r="D16" s="212" t="s">
        <v>48</v>
      </c>
      <c r="E16" s="212">
        <v>23</v>
      </c>
      <c r="F16" s="212">
        <v>1</v>
      </c>
      <c r="G16" s="212">
        <v>1</v>
      </c>
      <c r="H16" s="212">
        <v>0</v>
      </c>
      <c r="I16" s="212">
        <v>3</v>
      </c>
      <c r="J16" s="212">
        <v>4</v>
      </c>
      <c r="K16" s="212">
        <v>6</v>
      </c>
      <c r="L16" s="212">
        <v>25</v>
      </c>
      <c r="M16" s="212">
        <v>56</v>
      </c>
      <c r="N16" s="212">
        <v>-31</v>
      </c>
      <c r="O16" s="161" t="str">
        <f t="shared" si="0"/>
        <v>23 OZ , 4 (1+3), -31 ±</v>
      </c>
      <c r="P16" s="5" t="str">
        <f t="shared" si="1"/>
        <v>ANO</v>
      </c>
    </row>
    <row r="17" spans="1:16" x14ac:dyDescent="0.25">
      <c r="A17" s="54">
        <v>16</v>
      </c>
      <c r="B17" s="1" t="s">
        <v>419</v>
      </c>
      <c r="D17" s="212"/>
      <c r="E17" s="212">
        <v>24</v>
      </c>
      <c r="F17" s="212">
        <v>3</v>
      </c>
      <c r="G17" s="212">
        <v>0</v>
      </c>
      <c r="H17" s="212">
        <v>0</v>
      </c>
      <c r="I17" s="212">
        <v>0</v>
      </c>
      <c r="J17" s="212">
        <v>3</v>
      </c>
      <c r="K17" s="212">
        <v>4</v>
      </c>
      <c r="L17" s="212">
        <v>18</v>
      </c>
      <c r="M17" s="212">
        <v>20</v>
      </c>
      <c r="N17" s="212">
        <v>-2</v>
      </c>
      <c r="O17" s="161" t="str">
        <f t="shared" si="0"/>
        <v>24 OZ , 3 (3+0), -2 ±</v>
      </c>
      <c r="P17" s="5" t="str">
        <f t="shared" si="1"/>
        <v>ANO</v>
      </c>
    </row>
    <row r="18" spans="1:16" x14ac:dyDescent="0.25">
      <c r="A18" s="54">
        <v>17</v>
      </c>
      <c r="B18" s="1" t="s">
        <v>426</v>
      </c>
      <c r="D18" s="212" t="s">
        <v>51</v>
      </c>
      <c r="E18" s="212">
        <v>12</v>
      </c>
      <c r="F18" s="212">
        <v>1</v>
      </c>
      <c r="G18" s="212">
        <v>0</v>
      </c>
      <c r="H18" s="212">
        <v>0</v>
      </c>
      <c r="I18" s="212">
        <v>2</v>
      </c>
      <c r="J18" s="212">
        <v>3</v>
      </c>
      <c r="K18" s="212">
        <v>11</v>
      </c>
      <c r="L18" s="212">
        <v>6</v>
      </c>
      <c r="M18" s="212">
        <v>22</v>
      </c>
      <c r="N18" s="212">
        <v>-16</v>
      </c>
      <c r="O18" s="161" t="str">
        <f t="shared" si="0"/>
        <v>12 OZ , 3 (1+2), -16 ±</v>
      </c>
      <c r="P18" s="5" t="str">
        <f t="shared" si="1"/>
        <v>ANO</v>
      </c>
    </row>
    <row r="19" spans="1:16" x14ac:dyDescent="0.25">
      <c r="A19" s="54">
        <v>18</v>
      </c>
      <c r="B19" s="1" t="s">
        <v>418</v>
      </c>
      <c r="D19" s="212" t="s">
        <v>51</v>
      </c>
      <c r="E19" s="212">
        <v>9</v>
      </c>
      <c r="F19" s="212">
        <v>0</v>
      </c>
      <c r="G19" s="212">
        <v>0</v>
      </c>
      <c r="H19" s="212">
        <v>0</v>
      </c>
      <c r="I19" s="212">
        <v>2</v>
      </c>
      <c r="J19" s="212">
        <v>2</v>
      </c>
      <c r="K19" s="212">
        <v>2</v>
      </c>
      <c r="L19" s="212">
        <v>4</v>
      </c>
      <c r="M19" s="212">
        <v>7</v>
      </c>
      <c r="N19" s="212">
        <v>-3</v>
      </c>
      <c r="O19" s="161" t="str">
        <f t="shared" si="0"/>
        <v>9 OZ , 2 (0+2), -3 ±</v>
      </c>
      <c r="P19" s="5" t="str">
        <f t="shared" si="1"/>
        <v>ANO</v>
      </c>
    </row>
    <row r="20" spans="1:16" x14ac:dyDescent="0.25">
      <c r="A20" s="54">
        <v>19</v>
      </c>
      <c r="B20" s="1" t="s">
        <v>421</v>
      </c>
      <c r="D20" s="212" t="s">
        <v>48</v>
      </c>
      <c r="E20" s="212">
        <v>21</v>
      </c>
      <c r="F20" s="212">
        <v>0</v>
      </c>
      <c r="G20" s="212">
        <v>0</v>
      </c>
      <c r="H20" s="212">
        <v>0</v>
      </c>
      <c r="I20" s="212">
        <v>2</v>
      </c>
      <c r="J20" s="212">
        <v>2</v>
      </c>
      <c r="K20" s="212">
        <v>2</v>
      </c>
      <c r="L20" s="212">
        <v>8</v>
      </c>
      <c r="M20" s="212">
        <v>29</v>
      </c>
      <c r="N20" s="212">
        <v>-21</v>
      </c>
      <c r="O20" s="161" t="str">
        <f t="shared" si="0"/>
        <v>21 OZ , 2 (0+2), -21 ±</v>
      </c>
      <c r="P20" s="5" t="str">
        <f t="shared" si="1"/>
        <v>ANO</v>
      </c>
    </row>
    <row r="21" spans="1:16" x14ac:dyDescent="0.25">
      <c r="A21" s="54">
        <v>20</v>
      </c>
      <c r="B21" s="1" t="s">
        <v>263</v>
      </c>
      <c r="D21" s="212"/>
      <c r="E21" s="212">
        <v>3</v>
      </c>
      <c r="F21" s="212">
        <v>1</v>
      </c>
      <c r="G21" s="212">
        <v>0</v>
      </c>
      <c r="H21" s="212">
        <v>0</v>
      </c>
      <c r="I21" s="212">
        <v>0</v>
      </c>
      <c r="J21" s="212">
        <v>1</v>
      </c>
      <c r="K21" s="212">
        <v>0</v>
      </c>
      <c r="L21" s="212">
        <v>1</v>
      </c>
      <c r="M21" s="212">
        <v>4</v>
      </c>
      <c r="N21" s="212">
        <v>-3</v>
      </c>
      <c r="O21" s="161" t="str">
        <f t="shared" si="0"/>
        <v>3 OZ , 1 (1+0), -3 ±</v>
      </c>
      <c r="P21" s="5" t="str">
        <f t="shared" si="1"/>
        <v>ANO</v>
      </c>
    </row>
    <row r="22" spans="1:16" x14ac:dyDescent="0.25">
      <c r="A22" s="54">
        <v>21</v>
      </c>
      <c r="B22" s="1" t="s">
        <v>646</v>
      </c>
      <c r="D22" s="212"/>
      <c r="E22" s="212">
        <v>2</v>
      </c>
      <c r="F22" s="212">
        <v>0</v>
      </c>
      <c r="G22" s="212">
        <v>0</v>
      </c>
      <c r="H22" s="212">
        <v>0</v>
      </c>
      <c r="I22" s="212">
        <v>1</v>
      </c>
      <c r="J22" s="212">
        <v>1</v>
      </c>
      <c r="K22" s="212">
        <v>0</v>
      </c>
      <c r="L22" s="212">
        <v>1</v>
      </c>
      <c r="M22" s="212">
        <v>1</v>
      </c>
      <c r="N22" s="212">
        <v>0</v>
      </c>
      <c r="O22" s="161" t="str">
        <f t="shared" si="0"/>
        <v>2 OZ , 1 (0+1), 0 ±</v>
      </c>
      <c r="P22" s="5" t="str">
        <f t="shared" si="1"/>
        <v>ANO</v>
      </c>
    </row>
    <row r="23" spans="1:16" x14ac:dyDescent="0.25">
      <c r="A23" s="54">
        <v>22</v>
      </c>
      <c r="B23" s="1" t="s">
        <v>649</v>
      </c>
      <c r="D23" s="212"/>
      <c r="E23" s="212">
        <v>9</v>
      </c>
      <c r="F23" s="212">
        <v>0</v>
      </c>
      <c r="G23" s="212">
        <v>0</v>
      </c>
      <c r="H23" s="212">
        <v>0</v>
      </c>
      <c r="I23" s="212">
        <v>1</v>
      </c>
      <c r="J23" s="212">
        <v>1</v>
      </c>
      <c r="K23" s="212">
        <v>0</v>
      </c>
      <c r="L23" s="212">
        <v>4</v>
      </c>
      <c r="M23" s="212">
        <v>13</v>
      </c>
      <c r="N23" s="212">
        <v>-9</v>
      </c>
      <c r="O23" s="161" t="str">
        <f t="shared" si="0"/>
        <v>9 OZ , 1 (0+1), -9 ±</v>
      </c>
      <c r="P23" s="5" t="str">
        <f t="shared" si="1"/>
        <v>ANO</v>
      </c>
    </row>
    <row r="24" spans="1:16" x14ac:dyDescent="0.25">
      <c r="A24" s="53">
        <v>23</v>
      </c>
      <c r="B24" s="4" t="s">
        <v>420</v>
      </c>
      <c r="C24" s="4"/>
      <c r="D24" s="5" t="s">
        <v>51</v>
      </c>
      <c r="E24" s="5">
        <v>19</v>
      </c>
      <c r="F24" s="5">
        <v>0</v>
      </c>
      <c r="G24" s="5">
        <v>0</v>
      </c>
      <c r="H24" s="5">
        <v>0</v>
      </c>
      <c r="I24" s="5">
        <v>1</v>
      </c>
      <c r="J24" s="5">
        <v>1</v>
      </c>
      <c r="K24" s="5">
        <v>2</v>
      </c>
      <c r="L24" s="5">
        <v>5</v>
      </c>
      <c r="M24" s="5">
        <v>27</v>
      </c>
      <c r="N24" s="5">
        <v>-22</v>
      </c>
      <c r="O24" s="161" t="str">
        <f t="shared" si="0"/>
        <v>19 OZ , 1 (0+1), -22 ±</v>
      </c>
      <c r="P24" s="5" t="str">
        <f t="shared" si="1"/>
        <v>ANO</v>
      </c>
    </row>
    <row r="25" spans="1:16" x14ac:dyDescent="0.25">
      <c r="A25" s="53">
        <v>24</v>
      </c>
      <c r="B25" s="4" t="s">
        <v>432</v>
      </c>
      <c r="C25" s="4"/>
      <c r="D25" s="5" t="s">
        <v>35</v>
      </c>
      <c r="E25" s="5">
        <v>0</v>
      </c>
      <c r="F25" s="5">
        <v>0</v>
      </c>
      <c r="G25" s="5">
        <v>0</v>
      </c>
      <c r="H25" s="5">
        <v>0</v>
      </c>
      <c r="I25" s="5">
        <v>1</v>
      </c>
      <c r="J25" s="5">
        <v>1</v>
      </c>
      <c r="K25" s="5">
        <v>0</v>
      </c>
      <c r="L25" s="5">
        <v>0</v>
      </c>
      <c r="M25" s="5">
        <v>2</v>
      </c>
      <c r="N25" s="5">
        <v>-2</v>
      </c>
      <c r="O25" s="161" t="str">
        <f t="shared" si="0"/>
        <v>0 OZ , 1 (0+1), -2 ±</v>
      </c>
      <c r="P25" s="5" t="str">
        <f t="shared" si="1"/>
        <v>ANO</v>
      </c>
    </row>
    <row r="26" spans="1:16" x14ac:dyDescent="0.25">
      <c r="A26" s="53">
        <v>25</v>
      </c>
      <c r="B26" s="4" t="s">
        <v>422</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423</v>
      </c>
      <c r="C27" s="4"/>
      <c r="D27" s="5"/>
      <c r="E27" s="5">
        <v>1</v>
      </c>
      <c r="F27" s="5">
        <v>0</v>
      </c>
      <c r="G27" s="5">
        <v>0</v>
      </c>
      <c r="H27" s="5">
        <v>0</v>
      </c>
      <c r="I27" s="5">
        <v>0</v>
      </c>
      <c r="J27" s="5">
        <v>0</v>
      </c>
      <c r="K27" s="5">
        <v>0</v>
      </c>
      <c r="L27" s="5">
        <v>0</v>
      </c>
      <c r="M27" s="5">
        <v>0</v>
      </c>
      <c r="N27" s="5">
        <v>0</v>
      </c>
      <c r="O27" s="161" t="str">
        <f t="shared" si="0"/>
        <v>1 OZ , 0 (0+0), 0 ±</v>
      </c>
      <c r="P27" s="5" t="str">
        <f t="shared" si="1"/>
        <v>ANO</v>
      </c>
    </row>
    <row r="28" spans="1:16" x14ac:dyDescent="0.25">
      <c r="A28" s="53">
        <v>27</v>
      </c>
      <c r="B28" s="4" t="s">
        <v>424</v>
      </c>
      <c r="C28" s="4"/>
      <c r="D28" s="5" t="s">
        <v>48</v>
      </c>
      <c r="E28" s="5">
        <v>2</v>
      </c>
      <c r="F28" s="5">
        <v>0</v>
      </c>
      <c r="G28" s="5">
        <v>0</v>
      </c>
      <c r="H28" s="5">
        <v>0</v>
      </c>
      <c r="I28" s="5">
        <v>0</v>
      </c>
      <c r="J28" s="5">
        <v>0</v>
      </c>
      <c r="K28" s="5">
        <v>0</v>
      </c>
      <c r="L28" s="5">
        <v>0</v>
      </c>
      <c r="M28" s="5">
        <v>0</v>
      </c>
      <c r="N28" s="5">
        <v>0</v>
      </c>
      <c r="O28" s="161" t="str">
        <f t="shared" si="0"/>
        <v>2 OZ , 0 (0+0), 0 ±</v>
      </c>
      <c r="P28" s="5" t="str">
        <f t="shared" si="1"/>
        <v>ANO</v>
      </c>
    </row>
    <row r="29" spans="1:16" x14ac:dyDescent="0.25">
      <c r="A29" s="53">
        <v>28</v>
      </c>
      <c r="B29" s="4" t="s">
        <v>648</v>
      </c>
      <c r="C29" s="4"/>
      <c r="D29" s="5"/>
      <c r="E29" s="5">
        <v>3</v>
      </c>
      <c r="F29" s="5">
        <v>0</v>
      </c>
      <c r="G29" s="5">
        <v>0</v>
      </c>
      <c r="H29" s="5">
        <v>0</v>
      </c>
      <c r="I29" s="5">
        <v>0</v>
      </c>
      <c r="J29" s="5">
        <v>0</v>
      </c>
      <c r="K29" s="5">
        <v>2</v>
      </c>
      <c r="L29" s="5">
        <v>2</v>
      </c>
      <c r="M29" s="5">
        <v>5</v>
      </c>
      <c r="N29" s="5">
        <v>-3</v>
      </c>
      <c r="O29" s="161" t="str">
        <f t="shared" si="0"/>
        <v>3 OZ , 0 (0+0), -3 ±</v>
      </c>
      <c r="P29" s="5" t="str">
        <f t="shared" si="1"/>
        <v>ANO</v>
      </c>
    </row>
    <row r="30" spans="1:16" x14ac:dyDescent="0.25">
      <c r="A30" s="54">
        <v>29</v>
      </c>
      <c r="B30" s="1" t="s">
        <v>425</v>
      </c>
      <c r="D30" s="212"/>
      <c r="E30" s="212">
        <v>5</v>
      </c>
      <c r="F30" s="212">
        <v>0</v>
      </c>
      <c r="G30" s="212">
        <v>0</v>
      </c>
      <c r="H30" s="212">
        <v>0</v>
      </c>
      <c r="I30" s="212">
        <v>0</v>
      </c>
      <c r="J30" s="212">
        <v>0</v>
      </c>
      <c r="K30" s="212">
        <v>0</v>
      </c>
      <c r="L30" s="212">
        <v>0</v>
      </c>
      <c r="M30" s="212">
        <v>4</v>
      </c>
      <c r="N30" s="212">
        <v>-4</v>
      </c>
      <c r="O30" s="161" t="str">
        <f t="shared" si="0"/>
        <v>5 OZ , 0 (0+0), -4 ±</v>
      </c>
      <c r="P30" s="5" t="str">
        <f t="shared" si="1"/>
        <v>ANO</v>
      </c>
    </row>
    <row r="31" spans="1:16" x14ac:dyDescent="0.25">
      <c r="A31" s="53">
        <v>30</v>
      </c>
      <c r="B31" s="4" t="s">
        <v>428</v>
      </c>
      <c r="C31" s="4"/>
      <c r="D31" s="5" t="s">
        <v>48</v>
      </c>
      <c r="E31" s="5">
        <v>5</v>
      </c>
      <c r="F31" s="5">
        <v>0</v>
      </c>
      <c r="G31" s="5">
        <v>0</v>
      </c>
      <c r="H31" s="5">
        <v>0</v>
      </c>
      <c r="I31" s="5">
        <v>0</v>
      </c>
      <c r="J31" s="5">
        <v>0</v>
      </c>
      <c r="K31" s="5">
        <v>2</v>
      </c>
      <c r="L31" s="5">
        <v>5</v>
      </c>
      <c r="M31" s="5">
        <v>14</v>
      </c>
      <c r="N31" s="5">
        <v>-9</v>
      </c>
      <c r="O31" s="161" t="str">
        <f t="shared" si="0"/>
        <v>5 OZ , 0 (0+0), -9 ±</v>
      </c>
      <c r="P31" s="5" t="str">
        <f t="shared" si="1"/>
        <v>ANO</v>
      </c>
    </row>
    <row r="32" spans="1:16" x14ac:dyDescent="0.25">
      <c r="A32" s="53">
        <v>31</v>
      </c>
      <c r="B32" s="4" t="s">
        <v>645</v>
      </c>
      <c r="C32" s="4"/>
      <c r="D32" s="5" t="s">
        <v>35</v>
      </c>
      <c r="E32" s="5">
        <v>0</v>
      </c>
      <c r="F32" s="5">
        <v>0</v>
      </c>
      <c r="G32" s="5">
        <v>0</v>
      </c>
      <c r="H32" s="5">
        <v>0</v>
      </c>
      <c r="I32" s="5">
        <v>0</v>
      </c>
      <c r="J32" s="5">
        <v>0</v>
      </c>
      <c r="K32" s="5">
        <v>0</v>
      </c>
      <c r="L32" s="5">
        <v>0</v>
      </c>
      <c r="M32" s="5">
        <v>0</v>
      </c>
      <c r="N32" s="5">
        <v>0</v>
      </c>
      <c r="O32" s="161" t="str">
        <f t="shared" si="0"/>
        <v>0 OZ , 0 (0+0), 0 ±</v>
      </c>
      <c r="P32" s="5" t="str">
        <f t="shared" si="1"/>
        <v>ANO</v>
      </c>
    </row>
    <row r="33" spans="1:27" x14ac:dyDescent="0.25">
      <c r="A33" s="53">
        <v>32</v>
      </c>
      <c r="B33" s="4" t="s">
        <v>429</v>
      </c>
      <c r="C33" s="4"/>
      <c r="D33" s="5"/>
      <c r="E33" s="5">
        <v>8</v>
      </c>
      <c r="F33" s="5">
        <v>0</v>
      </c>
      <c r="G33" s="5">
        <v>0</v>
      </c>
      <c r="H33" s="5">
        <v>0</v>
      </c>
      <c r="I33" s="5">
        <v>0</v>
      </c>
      <c r="J33" s="5">
        <v>0</v>
      </c>
      <c r="K33" s="5">
        <v>6</v>
      </c>
      <c r="L33" s="5">
        <v>3</v>
      </c>
      <c r="M33" s="5">
        <v>12</v>
      </c>
      <c r="N33" s="5">
        <v>-9</v>
      </c>
      <c r="O33" s="161" t="str">
        <f t="shared" si="0"/>
        <v>8 OZ , 0 (0+0), -9 ±</v>
      </c>
      <c r="P33" s="5" t="str">
        <f t="shared" si="1"/>
        <v>ANO</v>
      </c>
    </row>
    <row r="34" spans="1:27" x14ac:dyDescent="0.25">
      <c r="A34" s="53">
        <v>33</v>
      </c>
      <c r="B34" s="4" t="s">
        <v>430</v>
      </c>
      <c r="C34" s="4"/>
      <c r="D34" s="5"/>
      <c r="E34" s="5">
        <v>1</v>
      </c>
      <c r="F34" s="5">
        <v>0</v>
      </c>
      <c r="G34" s="5">
        <v>0</v>
      </c>
      <c r="H34" s="5">
        <v>0</v>
      </c>
      <c r="I34" s="5">
        <v>0</v>
      </c>
      <c r="J34" s="5">
        <v>0</v>
      </c>
      <c r="K34" s="5">
        <v>0</v>
      </c>
      <c r="L34" s="5">
        <v>0</v>
      </c>
      <c r="M34" s="5">
        <v>0</v>
      </c>
      <c r="N34" s="5">
        <v>0</v>
      </c>
      <c r="O34" s="161" t="str">
        <f t="shared" si="0"/>
        <v>1 OZ , 0 (0+0), 0 ±</v>
      </c>
      <c r="P34" s="5" t="str">
        <f t="shared" si="1"/>
        <v>ANO</v>
      </c>
    </row>
    <row r="35" spans="1:27" x14ac:dyDescent="0.25">
      <c r="A35" s="53">
        <v>34</v>
      </c>
      <c r="B35" s="4" t="s">
        <v>427</v>
      </c>
      <c r="C35" s="4"/>
      <c r="D35" s="5"/>
      <c r="E35" s="5">
        <v>9</v>
      </c>
      <c r="F35" s="5">
        <v>0</v>
      </c>
      <c r="G35" s="5">
        <v>0</v>
      </c>
      <c r="H35" s="5">
        <v>0</v>
      </c>
      <c r="I35" s="5">
        <v>0</v>
      </c>
      <c r="J35" s="5">
        <v>0</v>
      </c>
      <c r="K35" s="5">
        <v>2</v>
      </c>
      <c r="L35" s="5">
        <v>1</v>
      </c>
      <c r="M35" s="5">
        <v>3</v>
      </c>
      <c r="N35" s="5">
        <v>-2</v>
      </c>
      <c r="O35" s="161" t="str">
        <f t="shared" si="0"/>
        <v>9 OZ , 0 (0+0), -2 ±</v>
      </c>
      <c r="P35" s="5" t="str">
        <f t="shared" si="1"/>
        <v>ANO</v>
      </c>
    </row>
    <row r="36" spans="1:27" x14ac:dyDescent="0.25">
      <c r="A36" s="53">
        <v>35</v>
      </c>
      <c r="B36" s="4" t="s">
        <v>431</v>
      </c>
      <c r="C36" s="4"/>
      <c r="D36" s="5"/>
      <c r="E36" s="5">
        <v>1</v>
      </c>
      <c r="F36" s="5">
        <v>0</v>
      </c>
      <c r="G36" s="5">
        <v>0</v>
      </c>
      <c r="H36" s="5">
        <v>0</v>
      </c>
      <c r="I36" s="5">
        <v>0</v>
      </c>
      <c r="J36" s="5">
        <v>0</v>
      </c>
      <c r="K36" s="5">
        <v>0</v>
      </c>
      <c r="L36" s="5">
        <v>0</v>
      </c>
      <c r="M36" s="5">
        <v>1</v>
      </c>
      <c r="N36" s="5">
        <v>-1</v>
      </c>
      <c r="O36" s="161" t="str">
        <f t="shared" si="0"/>
        <v>1 OZ , 0 (0+0), -1 ±</v>
      </c>
      <c r="P36" s="5" t="str">
        <f t="shared" si="1"/>
        <v>ANO</v>
      </c>
    </row>
    <row r="38" spans="1:27" s="152" customFormat="1" ht="15" customHeight="1" x14ac:dyDescent="0.25">
      <c r="A38" s="8" t="s">
        <v>58</v>
      </c>
      <c r="B38" s="152" t="s">
        <v>59</v>
      </c>
      <c r="D38" s="152" t="s">
        <v>83</v>
      </c>
      <c r="E38" s="152" t="s">
        <v>84</v>
      </c>
      <c r="F38" s="152" t="s">
        <v>85</v>
      </c>
      <c r="G38" s="152" t="s">
        <v>40</v>
      </c>
      <c r="H38" s="152" t="s">
        <v>86</v>
      </c>
      <c r="I38" s="152" t="s">
        <v>87</v>
      </c>
      <c r="J38" s="152" t="s">
        <v>88</v>
      </c>
      <c r="K38" s="152" t="s">
        <v>79</v>
      </c>
      <c r="L38" s="152" t="s">
        <v>41</v>
      </c>
      <c r="M38" s="152" t="s">
        <v>89</v>
      </c>
      <c r="N38" s="3" t="s">
        <v>37</v>
      </c>
      <c r="O38" s="152" t="s">
        <v>38</v>
      </c>
      <c r="P38" s="152" t="s">
        <v>90</v>
      </c>
      <c r="Q38" s="152" t="s">
        <v>91</v>
      </c>
      <c r="R38" s="152" t="s">
        <v>92</v>
      </c>
    </row>
    <row r="39" spans="1:27" x14ac:dyDescent="0.25">
      <c r="A39" s="54">
        <v>1</v>
      </c>
      <c r="B39" t="s">
        <v>432</v>
      </c>
      <c r="C39"/>
      <c r="D39" s="190">
        <v>26</v>
      </c>
      <c r="E39" s="190">
        <v>24</v>
      </c>
      <c r="F39" s="190">
        <v>1342.12</v>
      </c>
      <c r="G39" s="190">
        <v>2</v>
      </c>
      <c r="H39" s="190">
        <v>151</v>
      </c>
      <c r="I39" s="190">
        <v>0</v>
      </c>
      <c r="J39" s="190">
        <v>507</v>
      </c>
      <c r="K39" s="190">
        <v>0</v>
      </c>
      <c r="L39" s="190">
        <v>22</v>
      </c>
      <c r="M39" s="190">
        <v>356</v>
      </c>
      <c r="N39" s="190">
        <v>1</v>
      </c>
      <c r="O39" s="190">
        <v>0</v>
      </c>
      <c r="P39" s="11">
        <f>IF(B39&lt;&gt;0,IFERROR(H39/(F39/60),0),"")</f>
        <v>6.7505141120019072</v>
      </c>
      <c r="Q39" s="11">
        <f>IF(B39&lt;&gt;0,IFERROR((M39/J39)*100,0),"")</f>
        <v>70.216962524654832</v>
      </c>
      <c r="R39" s="151" t="str">
        <f>IF(B39&lt;&gt;0,CONCATENATE(G39, " V, ",L39," P"),"")</f>
        <v>2 V, 22 P</v>
      </c>
    </row>
    <row r="40" spans="1:27" x14ac:dyDescent="0.25">
      <c r="A40" s="54">
        <v>2</v>
      </c>
      <c r="B40" t="s">
        <v>431</v>
      </c>
      <c r="C40"/>
      <c r="D40" s="190">
        <v>9</v>
      </c>
      <c r="E40" s="190">
        <v>2</v>
      </c>
      <c r="F40" s="190">
        <v>80</v>
      </c>
      <c r="G40" s="190">
        <v>0</v>
      </c>
      <c r="H40" s="190">
        <v>14</v>
      </c>
      <c r="I40" s="190">
        <v>0</v>
      </c>
      <c r="J40" s="190">
        <v>48</v>
      </c>
      <c r="K40" s="190">
        <v>0</v>
      </c>
      <c r="L40" s="190">
        <v>2</v>
      </c>
      <c r="M40" s="190">
        <v>34</v>
      </c>
      <c r="N40" s="190">
        <v>0</v>
      </c>
      <c r="O40" s="190">
        <v>0</v>
      </c>
      <c r="P40" s="11">
        <f t="shared" ref="P40:P45" si="2">IF(B40&lt;&gt;0,IFERROR(H40/(F40/60),0),"")</f>
        <v>10.5</v>
      </c>
      <c r="Q40" s="11">
        <f t="shared" ref="Q40:Q45" si="3">IF(B40&lt;&gt;0,IFERROR((M40/J40)*100,0),"")</f>
        <v>70.833333333333343</v>
      </c>
      <c r="R40" s="151" t="str">
        <f t="shared" ref="R40:R45" si="4">IF(B40&lt;&gt;0,CONCATENATE(G40, " V, ",L40," P"),"")</f>
        <v>0 V, 2 P</v>
      </c>
    </row>
    <row r="41" spans="1:27" x14ac:dyDescent="0.25">
      <c r="A41" s="54">
        <v>3</v>
      </c>
      <c r="B41" t="s">
        <v>430</v>
      </c>
      <c r="C41"/>
      <c r="D41" s="190">
        <v>8</v>
      </c>
      <c r="E41" s="190">
        <v>2</v>
      </c>
      <c r="F41" s="190">
        <v>80</v>
      </c>
      <c r="G41" s="190">
        <v>0</v>
      </c>
      <c r="H41" s="190">
        <v>13</v>
      </c>
      <c r="I41" s="190">
        <v>0</v>
      </c>
      <c r="J41" s="190">
        <v>36</v>
      </c>
      <c r="K41" s="190">
        <v>0</v>
      </c>
      <c r="L41" s="190">
        <v>2</v>
      </c>
      <c r="M41" s="190">
        <v>23</v>
      </c>
      <c r="N41" s="190">
        <v>0</v>
      </c>
      <c r="O41" s="190">
        <v>0</v>
      </c>
      <c r="P41" s="11">
        <f t="shared" si="2"/>
        <v>9.75</v>
      </c>
      <c r="Q41" s="11">
        <f t="shared" si="3"/>
        <v>63.888888888888886</v>
      </c>
      <c r="R41" s="151" t="str">
        <f t="shared" si="4"/>
        <v>0 V, 2 P</v>
      </c>
    </row>
    <row r="42" spans="1:27" x14ac:dyDescent="0.25">
      <c r="A42" s="54">
        <v>4</v>
      </c>
      <c r="B42" t="s">
        <v>645</v>
      </c>
      <c r="C42"/>
      <c r="D42" s="190">
        <v>7</v>
      </c>
      <c r="E42" s="190">
        <v>1</v>
      </c>
      <c r="F42" s="123">
        <v>54.28</v>
      </c>
      <c r="G42" s="190">
        <v>0</v>
      </c>
      <c r="H42" s="190">
        <v>11</v>
      </c>
      <c r="I42" s="190">
        <v>0</v>
      </c>
      <c r="J42" s="190">
        <v>22</v>
      </c>
      <c r="K42" s="190">
        <v>0</v>
      </c>
      <c r="L42" s="190">
        <v>1</v>
      </c>
      <c r="M42" s="190">
        <v>11</v>
      </c>
      <c r="N42" s="190">
        <v>0</v>
      </c>
      <c r="O42" s="190">
        <v>0</v>
      </c>
      <c r="P42" s="11">
        <f t="shared" si="2"/>
        <v>12.159174649963154</v>
      </c>
      <c r="Q42" s="11">
        <f t="shared" si="3"/>
        <v>50</v>
      </c>
      <c r="R42" s="151" t="str">
        <f t="shared" si="4"/>
        <v>0 V, 1 P</v>
      </c>
    </row>
    <row r="43" spans="1:27" x14ac:dyDescent="0.25">
      <c r="A43" s="54"/>
      <c r="F43" s="11"/>
      <c r="P43" s="11" t="str">
        <f t="shared" si="2"/>
        <v/>
      </c>
      <c r="Q43" s="11" t="str">
        <f t="shared" si="3"/>
        <v/>
      </c>
      <c r="R43" s="151" t="str">
        <f t="shared" si="4"/>
        <v/>
      </c>
    </row>
    <row r="44" spans="1:27" x14ac:dyDescent="0.25">
      <c r="A44" s="54"/>
      <c r="F44" s="11"/>
      <c r="P44" s="11" t="str">
        <f t="shared" si="2"/>
        <v/>
      </c>
      <c r="Q44" s="11" t="str">
        <f t="shared" si="3"/>
        <v/>
      </c>
      <c r="R44" s="151" t="str">
        <f t="shared" si="4"/>
        <v/>
      </c>
    </row>
    <row r="45" spans="1:27" ht="15" customHeight="1" x14ac:dyDescent="0.25">
      <c r="A45" s="118"/>
      <c r="P45" s="11" t="str">
        <f t="shared" si="2"/>
        <v/>
      </c>
      <c r="Q45" s="11" t="str">
        <f t="shared" si="3"/>
        <v/>
      </c>
      <c r="R45" s="151" t="str">
        <f t="shared" si="4"/>
        <v/>
      </c>
    </row>
    <row r="46" spans="1:27" ht="15" customHeight="1" x14ac:dyDescent="0.25">
      <c r="X46" s="402" t="s">
        <v>289</v>
      </c>
      <c r="Y46" s="402"/>
      <c r="Z46" s="402"/>
      <c r="AA46" s="402"/>
    </row>
    <row r="47" spans="1:27" s="152" customFormat="1" ht="15" customHeight="1" x14ac:dyDescent="0.25">
      <c r="A47" s="7">
        <f ca="1">TODAY()</f>
        <v>44263</v>
      </c>
      <c r="B47" s="152" t="s">
        <v>59</v>
      </c>
      <c r="C47" s="152" t="s">
        <v>66</v>
      </c>
      <c r="D47" s="152" t="s">
        <v>67</v>
      </c>
      <c r="E47" s="152" t="s">
        <v>70</v>
      </c>
      <c r="F47" s="152" t="s">
        <v>71</v>
      </c>
      <c r="G47" s="152" t="s">
        <v>72</v>
      </c>
      <c r="H47" s="152" t="s">
        <v>73</v>
      </c>
      <c r="I47" s="152" t="s">
        <v>45</v>
      </c>
      <c r="J47" s="152" t="s">
        <v>58</v>
      </c>
      <c r="K47" s="152" t="s">
        <v>159</v>
      </c>
      <c r="L47" s="152" t="s">
        <v>77</v>
      </c>
      <c r="M47" s="152" t="s">
        <v>68</v>
      </c>
      <c r="N47" s="152" t="s">
        <v>69</v>
      </c>
      <c r="O47" s="152" t="s">
        <v>81</v>
      </c>
      <c r="P47" s="152" t="s">
        <v>82</v>
      </c>
      <c r="Q47" s="152" t="s">
        <v>74</v>
      </c>
      <c r="R47" s="152" t="s">
        <v>75</v>
      </c>
      <c r="S47" s="152" t="s">
        <v>93</v>
      </c>
      <c r="T47" s="152" t="s">
        <v>158</v>
      </c>
      <c r="U47" s="152" t="s">
        <v>281</v>
      </c>
      <c r="V47" s="152" t="s">
        <v>282</v>
      </c>
      <c r="W47" s="152" t="s">
        <v>283</v>
      </c>
      <c r="X47" s="152" t="s">
        <v>288</v>
      </c>
      <c r="Y47" s="152" t="s">
        <v>286</v>
      </c>
      <c r="Z47" s="152" t="s">
        <v>287</v>
      </c>
      <c r="AA47" s="162" t="s">
        <v>462</v>
      </c>
    </row>
    <row r="48" spans="1:27" ht="15" customHeight="1" x14ac:dyDescent="0.25">
      <c r="B48" s="138" t="s">
        <v>423</v>
      </c>
      <c r="C48" s="137">
        <v>36671</v>
      </c>
      <c r="D48" s="151">
        <f ca="1">IF(C48 &lt;&gt; 0,ROUNDDOWN(($A$47-C48)/365.25,0),"")</f>
        <v>20</v>
      </c>
      <c r="E48" s="139">
        <v>3</v>
      </c>
      <c r="F48" s="139">
        <v>0</v>
      </c>
      <c r="G48" s="139">
        <v>0</v>
      </c>
      <c r="H48" s="151">
        <f>IF(B48&lt;&gt;0,F48+G48,"")</f>
        <v>0</v>
      </c>
      <c r="I48" s="139">
        <v>2</v>
      </c>
      <c r="J48" s="139">
        <v>9</v>
      </c>
      <c r="K48" s="139"/>
      <c r="L48" s="139" t="s">
        <v>41</v>
      </c>
      <c r="M48" s="139">
        <v>187</v>
      </c>
      <c r="N48" s="139">
        <v>77</v>
      </c>
      <c r="O48" s="151" t="str">
        <f>IF(B48&lt;&gt;0,CONCATENATE(E48+IFERROR(VLOOKUP(B48,$B$2:$N$36,4,FALSE),0) + X48, " OZ, ", H48+IFERROR(VLOOKUP(B48,$B$2:$N$36,9,FALSE),0) + Y48+Z48, " (", F48+IFERROR(VLOOKUP(B48,$B$2:$N$36,5,FALSE),0) + Y48, "+",G48+IFERROR(VLOOKUP(B48,$B$2:$N$36,8,FALSE),0) +  Z48, ")"), "")</f>
        <v>4 OZ, 0 (0+0)</v>
      </c>
      <c r="P48" s="151" t="str">
        <f>IF(M48&lt;&gt;0,CONCATENATE(M48,"/",N48),"")</f>
        <v>187/77</v>
      </c>
      <c r="Q48" s="140" t="s">
        <v>458</v>
      </c>
      <c r="R48" s="139">
        <v>2010</v>
      </c>
      <c r="S48" s="151" t="str">
        <f>IFERROR(CONCATENATE(E48+VLOOKUP(B48,$B$39:$R$42,4,FALSE), " OZ, ",G48+VLOOKUP(B48,$B$39:$R$42,13,FALSE), " A"),"")</f>
        <v/>
      </c>
      <c r="T48" s="1" t="str">
        <f>IF(B48&lt;&gt;0,IF(V48=1,U48,CONCATENATE(U48," ",W48,".")),"")</f>
        <v>Blažek</v>
      </c>
      <c r="U48" s="1" t="str">
        <f>IFERROR(RIGHT(B48,LEN(B48)-SEARCH(" ", B48,1)),"")</f>
        <v>Blažek</v>
      </c>
      <c r="V48" s="151">
        <f>IF(B48&lt;&gt;0,COUNTIF($U$48:$U$82,U48),"")</f>
        <v>1</v>
      </c>
      <c r="W48" s="151" t="str">
        <f>IFERROR(LEFT(LEFT(B48,SEARCH(" ",B48,1)),1),"")</f>
        <v>V</v>
      </c>
      <c r="X48" s="139"/>
      <c r="Y48" s="139"/>
      <c r="Z48" s="139"/>
      <c r="AA48" s="138"/>
    </row>
    <row r="49" spans="2:27" ht="15" customHeight="1" x14ac:dyDescent="0.25">
      <c r="B49" s="138" t="s">
        <v>412</v>
      </c>
      <c r="C49" s="137">
        <v>36468</v>
      </c>
      <c r="D49" s="151">
        <f ca="1">IF(C49 &lt;&gt; 0,ROUNDDOWN(($A$47-C49)/365.25,0),"")</f>
        <v>21</v>
      </c>
      <c r="E49" s="139">
        <v>26</v>
      </c>
      <c r="F49" s="139">
        <v>4</v>
      </c>
      <c r="G49" s="139">
        <v>4</v>
      </c>
      <c r="H49" s="151">
        <f>IF(B49&lt;&gt;0,F49+G49,"")</f>
        <v>8</v>
      </c>
      <c r="I49" s="139">
        <v>2</v>
      </c>
      <c r="J49" s="139">
        <v>6</v>
      </c>
      <c r="K49" s="139"/>
      <c r="L49" s="139" t="s">
        <v>78</v>
      </c>
      <c r="M49" s="139">
        <v>177</v>
      </c>
      <c r="N49" s="139">
        <v>70</v>
      </c>
      <c r="O49" s="151" t="str">
        <f>IF(B49&lt;&gt;0,CONCATENATE(E49+IFERROR(VLOOKUP(B49,$B$2:$N$36,4,FALSE),0) + X49, " OZ, ", H49+IFERROR(VLOOKUP(B49,$B$2:$N$36,9,FALSE),0) + Y49+Z49, " (", F49+IFERROR(VLOOKUP(B49,$B$2:$N$36,5,FALSE),0) + Y49, "+",G49+IFERROR(VLOOKUP(B49,$B$2:$N$36,8,FALSE),0) +  Z49, ")"), "")</f>
        <v>48 OZ, 20 (9+11)</v>
      </c>
      <c r="P49" s="151" t="str">
        <f>IF(M49&lt;&gt;0,CONCATENATE(M49,"/",N49),"")</f>
        <v>177/70</v>
      </c>
      <c r="Q49" s="140" t="s">
        <v>454</v>
      </c>
      <c r="R49" s="139">
        <v>2015</v>
      </c>
      <c r="S49" s="151" t="str">
        <f>IFERROR(CONCATENATE(E49+VLOOKUP(B49,$B$39:$R$42,4,FALSE), " OZ, ",G49+VLOOKUP(B49,$B$39:$R$42,13,FALSE), " A"),"")</f>
        <v/>
      </c>
      <c r="T49" s="1" t="str">
        <f>IF(B49&lt;&gt;0,IF(V49=1,U49,CONCATENATE(U49," ",W49,".")),"")</f>
        <v>Červenka</v>
      </c>
      <c r="U49" s="1" t="str">
        <f>IFERROR(RIGHT(B49,LEN(B49)-SEARCH(" ", B49,1)),"")</f>
        <v>Červenka</v>
      </c>
      <c r="V49" s="151">
        <f>IF(B49&lt;&gt;0,COUNTIF($U$48:$U$82,U49),"")</f>
        <v>1</v>
      </c>
      <c r="W49" s="151" t="str">
        <f>IFERROR(LEFT(LEFT(B49,SEARCH(" ",B49,1)),1),"")</f>
        <v>V</v>
      </c>
      <c r="X49" s="139"/>
      <c r="Y49" s="139"/>
      <c r="Z49" s="139"/>
      <c r="AA49" s="138"/>
    </row>
    <row r="50" spans="2:27" ht="15" customHeight="1" x14ac:dyDescent="0.25">
      <c r="B50" s="141" t="s">
        <v>407</v>
      </c>
      <c r="C50" s="137">
        <v>34115</v>
      </c>
      <c r="D50" s="151">
        <f ca="1">IF(C50 &lt;&gt; 0,ROUNDDOWN(($A$47-C50)/365.25,0),"")</f>
        <v>27</v>
      </c>
      <c r="E50" s="139">
        <v>135</v>
      </c>
      <c r="F50" s="139">
        <v>50</v>
      </c>
      <c r="G50" s="139">
        <v>38</v>
      </c>
      <c r="H50" s="151">
        <f>IF(B50&lt;&gt;0,F50+G50,"")</f>
        <v>88</v>
      </c>
      <c r="I50" s="139">
        <v>8</v>
      </c>
      <c r="J50" s="139">
        <v>33</v>
      </c>
      <c r="K50" s="139"/>
      <c r="L50" s="139" t="s">
        <v>78</v>
      </c>
      <c r="M50" s="139">
        <v>177</v>
      </c>
      <c r="N50" s="139">
        <v>77</v>
      </c>
      <c r="O50" s="151" t="str">
        <f>IF(B50&lt;&gt;0,CONCATENATE(E50+IFERROR(VLOOKUP(B50,$B$2:$N$36,4,FALSE),0) + X50, " OZ, ", H50+IFERROR(VLOOKUP(B50,$B$2:$N$36,9,FALSE),0) + Y50+Z50, " (", F50+IFERROR(VLOOKUP(B50,$B$2:$N$36,5,FALSE),0) + Y50, "+",G50+IFERROR(VLOOKUP(B50,$B$2:$N$36,8,FALSE),0) +  Z50, ")"), "")</f>
        <v>156 OZ, 99 (57+42)</v>
      </c>
      <c r="P50" s="151" t="str">
        <f>IF(M50&lt;&gt;0,CONCATENATE(M50,"/",N50),"")</f>
        <v>177/77</v>
      </c>
      <c r="Q50" s="140" t="s">
        <v>446</v>
      </c>
      <c r="R50" s="139">
        <v>2005</v>
      </c>
      <c r="S50" s="151" t="str">
        <f>IFERROR(CONCATENATE(E50+VLOOKUP(B50,$B$39:$R$42,4,FALSE), " OZ, ",G50+VLOOKUP(B50,$B$39:$R$42,13,FALSE), " A"),"")</f>
        <v/>
      </c>
      <c r="T50" s="1" t="str">
        <f>IF(B50&lt;&gt;0,IF(V50=1,U50,CONCATENATE(U50," ",W50,".")),"")</f>
        <v>Gál</v>
      </c>
      <c r="U50" s="1" t="str">
        <f>IFERROR(RIGHT(B50,LEN(B50)-SEARCH(" ", B50,1)),"")</f>
        <v>Gál</v>
      </c>
      <c r="V50" s="151">
        <f>IF(B50&lt;&gt;0,COUNTIF($U$48:$U$82,U50),"")</f>
        <v>1</v>
      </c>
      <c r="W50" s="151" t="str">
        <f>IFERROR(LEFT(LEFT(B50,SEARCH(" ",B50,1)),1),"")</f>
        <v>L</v>
      </c>
      <c r="X50" s="139"/>
      <c r="Y50" s="139"/>
      <c r="Z50" s="139"/>
      <c r="AA50" s="138"/>
    </row>
    <row r="51" spans="2:27" ht="15" customHeight="1" x14ac:dyDescent="0.25">
      <c r="B51" s="138" t="s">
        <v>413</v>
      </c>
      <c r="C51" s="137">
        <v>35326</v>
      </c>
      <c r="D51" s="151">
        <f ca="1">IF(C51 &lt;&gt; 0,ROUNDDOWN(($A$47-C51)/365.25,0),"")</f>
        <v>24</v>
      </c>
      <c r="E51" s="139">
        <v>53</v>
      </c>
      <c r="F51" s="139">
        <v>12</v>
      </c>
      <c r="G51" s="139">
        <v>29</v>
      </c>
      <c r="H51" s="151">
        <f>IF(B51&lt;&gt;0,F51+G51,"")</f>
        <v>41</v>
      </c>
      <c r="I51" s="139">
        <v>4</v>
      </c>
      <c r="J51" s="139">
        <v>12</v>
      </c>
      <c r="K51" s="139"/>
      <c r="L51" s="139" t="s">
        <v>78</v>
      </c>
      <c r="M51" s="139">
        <v>193</v>
      </c>
      <c r="N51" s="139">
        <v>77</v>
      </c>
      <c r="O51" s="151" t="str">
        <f>IF(B51&lt;&gt;0,CONCATENATE(E51+IFERROR(VLOOKUP(B51,$B$2:$N$36,4,FALSE),0) + X51, " OZ, ", H51+IFERROR(VLOOKUP(B51,$B$2:$N$36,9,FALSE),0) + Y51+Z51, " (", F51+IFERROR(VLOOKUP(B51,$B$2:$N$36,5,FALSE),0) + Y51, "+",G51+IFERROR(VLOOKUP(B51,$B$2:$N$36,8,FALSE),0) +  Z51, ")"), "")</f>
        <v>62 OZ, 46 (14+32)</v>
      </c>
      <c r="P51" s="151" t="str">
        <f>IF(M51&lt;&gt;0,CONCATENATE(M51,"/",N51),"")</f>
        <v>193/77</v>
      </c>
      <c r="Q51" s="140" t="s">
        <v>449</v>
      </c>
      <c r="R51" s="139"/>
      <c r="S51" s="151" t="str">
        <f>IFERROR(CONCATENATE(E51+VLOOKUP(B51,$B$39:$R$42,4,FALSE), " OZ, ",G51+VLOOKUP(B51,$B$39:$R$42,13,FALSE), " A"),"")</f>
        <v/>
      </c>
      <c r="T51" s="1" t="str">
        <f>IF(B51&lt;&gt;0,IF(V51=1,U51,CONCATENATE(U51," ",W51,".")),"")</f>
        <v>Grlický</v>
      </c>
      <c r="U51" s="1" t="str">
        <f>IFERROR(RIGHT(B51,LEN(B51)-SEARCH(" ", B51,1)),"")</f>
        <v>Grlický</v>
      </c>
      <c r="V51" s="151">
        <f>IF(B51&lt;&gt;0,COUNTIF($U$48:$U$82,U51),"")</f>
        <v>1</v>
      </c>
      <c r="W51" s="151" t="str">
        <f>IFERROR(LEFT(LEFT(B51,SEARCH(" ",B51,1)),1),"")</f>
        <v>M</v>
      </c>
      <c r="X51" s="139"/>
      <c r="Y51" s="139"/>
      <c r="Z51" s="139"/>
      <c r="AA51" s="138"/>
    </row>
    <row r="52" spans="2:27" ht="15" customHeight="1" x14ac:dyDescent="0.25">
      <c r="B52" s="141" t="s">
        <v>429</v>
      </c>
      <c r="C52" s="137">
        <v>37454</v>
      </c>
      <c r="D52" s="151">
        <f ca="1">IF(C52 &lt;&gt; 0,ROUNDDOWN(($A$47-C52)/365.25,0),"")</f>
        <v>18</v>
      </c>
      <c r="E52" s="139">
        <v>2</v>
      </c>
      <c r="F52" s="139">
        <v>0</v>
      </c>
      <c r="G52" s="139">
        <v>0</v>
      </c>
      <c r="H52" s="151">
        <f>IF(B52&lt;&gt;0,F52+G52,"")</f>
        <v>0</v>
      </c>
      <c r="I52" s="139">
        <v>2</v>
      </c>
      <c r="J52" s="139">
        <v>49</v>
      </c>
      <c r="K52" s="139"/>
      <c r="L52" s="139" t="s">
        <v>78</v>
      </c>
      <c r="M52" s="139">
        <v>180</v>
      </c>
      <c r="N52" s="139">
        <v>80</v>
      </c>
      <c r="O52" s="151" t="str">
        <f>IF(B52&lt;&gt;0,CONCATENATE(E52+IFERROR(VLOOKUP(B52,$B$2:$N$36,4,FALSE),0) + X52, " OZ, ", H52+IFERROR(VLOOKUP(B52,$B$2:$N$36,9,FALSE),0) + Y52+Z52, " (", F52+IFERROR(VLOOKUP(B52,$B$2:$N$36,5,FALSE),0) + Y52, "+",G52+IFERROR(VLOOKUP(B52,$B$2:$N$36,8,FALSE),0) +  Z52, ")"), "")</f>
        <v>10 OZ, 0 (0+0)</v>
      </c>
      <c r="P52" s="151" t="str">
        <f>IF(M52&lt;&gt;0,CONCATENATE(M52,"/",N52),"")</f>
        <v>180/80</v>
      </c>
      <c r="Q52" s="140" t="s">
        <v>454</v>
      </c>
      <c r="R52" s="139">
        <v>2015</v>
      </c>
      <c r="S52" s="151" t="str">
        <f>IFERROR(CONCATENATE(E52+VLOOKUP(B52,$B$39:$R$42,4,FALSE), " OZ, ",G52+VLOOKUP(B52,$B$39:$R$42,13,FALSE), " A"),"")</f>
        <v/>
      </c>
      <c r="T52" s="1" t="str">
        <f>IF(B52&lt;&gt;0,IF(V52=1,U52,CONCATENATE(U52," ",W52,".")),"")</f>
        <v>Hájek</v>
      </c>
      <c r="U52" s="1" t="str">
        <f>IFERROR(RIGHT(B52,LEN(B52)-SEARCH(" ", B52,1)),"")</f>
        <v>Hájek</v>
      </c>
      <c r="V52" s="151">
        <f>IF(B52&lt;&gt;0,COUNTIF($U$48:$U$82,U52),"")</f>
        <v>1</v>
      </c>
      <c r="W52" s="151" t="str">
        <f>IFERROR(LEFT(LEFT(B52,SEARCH(" ",B52,1)),1),"")</f>
        <v>K</v>
      </c>
      <c r="X52" s="139"/>
      <c r="Y52" s="139"/>
      <c r="Z52" s="139"/>
      <c r="AA52" s="138"/>
    </row>
    <row r="53" spans="2:27" ht="15" customHeight="1" x14ac:dyDescent="0.25">
      <c r="B53" s="141" t="s">
        <v>406</v>
      </c>
      <c r="C53" s="137">
        <v>34470</v>
      </c>
      <c r="D53" s="151">
        <f ca="1">IF(C53 &lt;&gt; 0,ROUNDDOWN(($A$47-C53)/365.25,0),"")</f>
        <v>26</v>
      </c>
      <c r="E53" s="139">
        <v>147</v>
      </c>
      <c r="F53" s="139">
        <v>87</v>
      </c>
      <c r="G53" s="139">
        <v>58</v>
      </c>
      <c r="H53" s="151">
        <f>IF(B53&lt;&gt;0,F53+G53,"")</f>
        <v>145</v>
      </c>
      <c r="I53" s="139">
        <v>10</v>
      </c>
      <c r="J53" s="139">
        <v>97</v>
      </c>
      <c r="K53" s="139"/>
      <c r="L53" s="139" t="s">
        <v>78</v>
      </c>
      <c r="M53" s="139">
        <v>174</v>
      </c>
      <c r="N53" s="139">
        <v>73</v>
      </c>
      <c r="O53" s="151" t="str">
        <f>IF(B53&lt;&gt;0,CONCATENATE(E53+IFERROR(VLOOKUP(B53,$B$2:$N$36,4,FALSE),0) + X53, " OZ, ", H53+IFERROR(VLOOKUP(B53,$B$2:$N$36,9,FALSE),0) + Y53+Z53, " (", F53+IFERROR(VLOOKUP(B53,$B$2:$N$36,5,FALSE),0) + Y53, "+",G53+IFERROR(VLOOKUP(B53,$B$2:$N$36,8,FALSE),0) +  Z53, ")"), "")</f>
        <v>171 OZ, 160 (99+61)</v>
      </c>
      <c r="P53" s="151" t="str">
        <f>IF(M53&lt;&gt;0,CONCATENATE(M53,"/",N53),"")</f>
        <v>174/73</v>
      </c>
      <c r="Q53" s="140" t="s">
        <v>442</v>
      </c>
      <c r="R53" s="139">
        <v>2003</v>
      </c>
      <c r="S53" s="151" t="str">
        <f>IFERROR(CONCATENATE(E53+VLOOKUP(B53,$B$39:$R$42,4,FALSE), " OZ, ",G53+VLOOKUP(B53,$B$39:$R$42,13,FALSE), " A"),"")</f>
        <v/>
      </c>
      <c r="T53" s="1" t="str">
        <f>IF(B53&lt;&gt;0,IF(V53=1,U53,CONCATENATE(U53," ",W53,".")),"")</f>
        <v>Hrabal</v>
      </c>
      <c r="U53" s="1" t="str">
        <f>IFERROR(RIGHT(B53,LEN(B53)-SEARCH(" ", B53,1)),"")</f>
        <v>Hrabal</v>
      </c>
      <c r="V53" s="151">
        <f>IF(B53&lt;&gt;0,COUNTIF($U$48:$U$82,U53),"")</f>
        <v>1</v>
      </c>
      <c r="W53" s="151" t="str">
        <f>IFERROR(LEFT(LEFT(B53,SEARCH(" ",B53,1)),1),"")</f>
        <v>F</v>
      </c>
      <c r="X53" s="139"/>
      <c r="Y53" s="139"/>
      <c r="Z53" s="139"/>
      <c r="AA53" s="138"/>
    </row>
    <row r="54" spans="2:27" ht="15" customHeight="1" x14ac:dyDescent="0.25">
      <c r="B54" s="141" t="s">
        <v>405</v>
      </c>
      <c r="C54" s="137">
        <v>35893</v>
      </c>
      <c r="D54" s="151">
        <f ca="1">IF(C54 &lt;&gt; 0,ROUNDDOWN(($A$47-C54)/365.25,0),"")</f>
        <v>22</v>
      </c>
      <c r="E54" s="139">
        <v>26</v>
      </c>
      <c r="F54" s="139">
        <v>6</v>
      </c>
      <c r="G54" s="139">
        <v>8</v>
      </c>
      <c r="H54" s="151">
        <f>IF(B54&lt;&gt;0,F54+G54,"")</f>
        <v>14</v>
      </c>
      <c r="I54" s="139">
        <v>5</v>
      </c>
      <c r="J54" s="139">
        <v>70</v>
      </c>
      <c r="K54" s="139"/>
      <c r="L54" s="139" t="s">
        <v>78</v>
      </c>
      <c r="M54" s="139">
        <v>185</v>
      </c>
      <c r="N54" s="139">
        <v>75</v>
      </c>
      <c r="O54" s="151" t="str">
        <f>IF(B54&lt;&gt;0,CONCATENATE(E54+IFERROR(VLOOKUP(B54,$B$2:$N$36,4,FALSE),0) + X54, " OZ, ", H54+IFERROR(VLOOKUP(B54,$B$2:$N$36,9,FALSE),0) + Y54+Z54, " (", F54+IFERROR(VLOOKUP(B54,$B$2:$N$36,5,FALSE),0) + Y54, "+",G54+IFERROR(VLOOKUP(B54,$B$2:$N$36,8,FALSE),0) +  Z54, ")"), "")</f>
        <v>44 OZ, 29 (12+17)</v>
      </c>
      <c r="P54" s="151" t="str">
        <f>IF(M54&lt;&gt;0,CONCATENATE(M54,"/",N54),"")</f>
        <v>185/75</v>
      </c>
      <c r="Q54" s="140" t="s">
        <v>451</v>
      </c>
      <c r="R54" s="139">
        <v>2008</v>
      </c>
      <c r="S54" s="151" t="str">
        <f>IFERROR(CONCATENATE(E54+VLOOKUP(B54,$B$39:$R$42,4,FALSE), " OZ, ",G54+VLOOKUP(B54,$B$39:$R$42,13,FALSE), " A"),"")</f>
        <v/>
      </c>
      <c r="T54" s="1" t="str">
        <f>IF(B54&lt;&gt;0,IF(V54=1,U54,CONCATENATE(U54," ",W54,".")),"")</f>
        <v>Hronek</v>
      </c>
      <c r="U54" s="1" t="str">
        <f>IFERROR(RIGHT(B54,LEN(B54)-SEARCH(" ", B54,1)),"")</f>
        <v>Hronek</v>
      </c>
      <c r="V54" s="151">
        <f>IF(B54&lt;&gt;0,COUNTIF($U$48:$U$82,U54),"")</f>
        <v>1</v>
      </c>
      <c r="W54" s="151" t="str">
        <f>IFERROR(LEFT(LEFT(B54,SEARCH(" ",B54,1)),1),"")</f>
        <v>M</v>
      </c>
      <c r="X54" s="139"/>
      <c r="Y54" s="139"/>
      <c r="Z54" s="139"/>
      <c r="AA54" s="138"/>
    </row>
    <row r="55" spans="2:27" ht="15" customHeight="1" x14ac:dyDescent="0.25">
      <c r="B55" s="138" t="s">
        <v>419</v>
      </c>
      <c r="C55" s="137">
        <v>37306</v>
      </c>
      <c r="D55" s="151">
        <f ca="1">IF(C55 &lt;&gt; 0,ROUNDDOWN(($A$47-C55)/365.25,0),"")</f>
        <v>19</v>
      </c>
      <c r="E55" s="139">
        <v>1</v>
      </c>
      <c r="F55" s="139">
        <v>0</v>
      </c>
      <c r="G55" s="139">
        <v>0</v>
      </c>
      <c r="H55" s="151">
        <f>IF(B55&lt;&gt;0,F55+G55,"")</f>
        <v>0</v>
      </c>
      <c r="I55" s="139">
        <v>2</v>
      </c>
      <c r="J55" s="139">
        <v>55</v>
      </c>
      <c r="K55" s="139"/>
      <c r="L55" s="139" t="s">
        <v>78</v>
      </c>
      <c r="M55" s="139">
        <v>193</v>
      </c>
      <c r="N55" s="139">
        <v>90</v>
      </c>
      <c r="O55" s="151" t="str">
        <f>IF(B55&lt;&gt;0,CONCATENATE(E55+IFERROR(VLOOKUP(B55,$B$2:$N$36,4,FALSE),0) + X55, " OZ, ", H55+IFERROR(VLOOKUP(B55,$B$2:$N$36,9,FALSE),0) + Y55+Z55, " (", F55+IFERROR(VLOOKUP(B55,$B$2:$N$36,5,FALSE),0) + Y55, "+",G55+IFERROR(VLOOKUP(B55,$B$2:$N$36,8,FALSE),0) +  Z55, ")"), "")</f>
        <v>25 OZ, 3 (3+0)</v>
      </c>
      <c r="P55" s="151" t="str">
        <f>IF(M55&lt;&gt;0,CONCATENATE(M55,"/",N55),"")</f>
        <v>193/90</v>
      </c>
      <c r="Q55" s="140" t="s">
        <v>444</v>
      </c>
      <c r="R55" s="139">
        <v>2016</v>
      </c>
      <c r="S55" s="151" t="str">
        <f>IFERROR(CONCATENATE(E55+VLOOKUP(B55,$B$39:$R$42,4,FALSE), " OZ, ",G55+VLOOKUP(B55,$B$39:$R$42,13,FALSE), " A"),"")</f>
        <v/>
      </c>
      <c r="T55" s="1" t="str">
        <f>IF(B55&lt;&gt;0,IF(V55=1,U55,CONCATENATE(U55," ",W55,".")),"")</f>
        <v>Hrtús</v>
      </c>
      <c r="U55" s="1" t="str">
        <f>IFERROR(RIGHT(B55,LEN(B55)-SEARCH(" ", B55,1)),"")</f>
        <v>Hrtús</v>
      </c>
      <c r="V55" s="151">
        <f>IF(B55&lt;&gt;0,COUNTIF($U$48:$U$82,U55),"")</f>
        <v>1</v>
      </c>
      <c r="W55" s="151" t="str">
        <f>IFERROR(LEFT(LEFT(B55,SEARCH(" ",B55,1)),1),"")</f>
        <v>J</v>
      </c>
      <c r="X55" s="139"/>
      <c r="Y55" s="139"/>
      <c r="Z55" s="139"/>
      <c r="AA55" s="138"/>
    </row>
    <row r="56" spans="2:27" ht="15" customHeight="1" x14ac:dyDescent="0.25">
      <c r="B56" s="186" t="s">
        <v>263</v>
      </c>
      <c r="C56" s="137"/>
      <c r="D56" s="151" t="str">
        <f>IF(C56 &lt;&gt; 0,ROUNDDOWN(($A$47-C56)/365.25,0),"")</f>
        <v/>
      </c>
      <c r="E56" s="139"/>
      <c r="F56" s="139"/>
      <c r="G56" s="139"/>
      <c r="H56" s="151">
        <f>IF(B56&lt;&gt;0,F56+G56,"")</f>
        <v>0</v>
      </c>
      <c r="I56" s="139"/>
      <c r="J56" s="139"/>
      <c r="K56" s="139"/>
      <c r="L56" s="139"/>
      <c r="M56" s="139"/>
      <c r="N56" s="139"/>
      <c r="O56" s="151" t="str">
        <f>IF(B56&lt;&gt;0,CONCATENATE(E56+IFERROR(VLOOKUP(B56,$B$2:$N$36,4,FALSE),0) + X56, " OZ, ", H56+IFERROR(VLOOKUP(B56,$B$2:$N$36,9,FALSE),0) + Y56+Z56, " (", F56+IFERROR(VLOOKUP(B56,$B$2:$N$36,5,FALSE),0) + Y56, "+",G56+IFERROR(VLOOKUP(B56,$B$2:$N$36,8,FALSE),0) +  Z56, ")"), "")</f>
        <v>3 OZ, 1 (1+0)</v>
      </c>
      <c r="P56" s="151" t="str">
        <f>IF(M56&lt;&gt;0,CONCATENATE(M56,"/",N56),"")</f>
        <v/>
      </c>
      <c r="Q56" s="140"/>
      <c r="R56" s="139"/>
      <c r="S56" s="151" t="str">
        <f>IFERROR(CONCATENATE(E56+VLOOKUP(B56,$B$39:$R$42,4,FALSE), " OZ, ",G56+VLOOKUP(B56,$B$39:$R$42,13,FALSE), " A"),"")</f>
        <v/>
      </c>
      <c r="T56" s="1" t="str">
        <f>IF(B56&lt;&gt;0,IF(V56=1,U56,CONCATENATE(U56," ",W56,".")),"")</f>
        <v>Janis Anis</v>
      </c>
      <c r="U56" s="1" t="str">
        <f>IFERROR(RIGHT(B56,LEN(B56)-SEARCH(" ", B56,1)),"")</f>
        <v>Janis Anis</v>
      </c>
      <c r="V56" s="151">
        <f>IF(B56&lt;&gt;0,COUNTIF($U$48:$U$82,U56),"")</f>
        <v>1</v>
      </c>
      <c r="W56" s="151" t="str">
        <f>IFERROR(LEFT(LEFT(B56,SEARCH(" ",B56,1)),1),"")</f>
        <v>D</v>
      </c>
      <c r="X56" s="139"/>
      <c r="Y56" s="139"/>
      <c r="Z56" s="139"/>
      <c r="AA56" s="138"/>
    </row>
    <row r="57" spans="2:27" ht="15" customHeight="1" x14ac:dyDescent="0.25">
      <c r="B57" s="187" t="s">
        <v>427</v>
      </c>
      <c r="C57" s="137">
        <v>37547</v>
      </c>
      <c r="D57" s="151">
        <f ca="1">IF(C57 &lt;&gt; 0,ROUNDDOWN(($A$47-C57)/365.25,0),"")</f>
        <v>18</v>
      </c>
      <c r="E57" s="139">
        <v>0</v>
      </c>
      <c r="F57" s="139">
        <v>0</v>
      </c>
      <c r="G57" s="139">
        <v>0</v>
      </c>
      <c r="H57" s="151">
        <f>IF(B57&lt;&gt;0,F57+G57,"")</f>
        <v>0</v>
      </c>
      <c r="I57" s="139">
        <v>1</v>
      </c>
      <c r="J57" s="139">
        <v>99</v>
      </c>
      <c r="K57" s="139"/>
      <c r="L57" s="139" t="s">
        <v>78</v>
      </c>
      <c r="M57" s="139">
        <v>188</v>
      </c>
      <c r="N57" s="139">
        <v>78</v>
      </c>
      <c r="O57" s="151" t="str">
        <f>IF(B57&lt;&gt;0,CONCATENATE(E57+IFERROR(VLOOKUP(B57,$B$2:$N$36,4,FALSE),0) + X57, " OZ, ", H57+IFERROR(VLOOKUP(B57,$B$2:$N$36,9,FALSE),0) + Y57+Z57, " (", F57+IFERROR(VLOOKUP(B57,$B$2:$N$36,5,FALSE),0) + Y57, "+",G57+IFERROR(VLOOKUP(B57,$B$2:$N$36,8,FALSE),0) +  Z57, ")"), "")</f>
        <v>9 OZ, 0 (0+0)</v>
      </c>
      <c r="P57" s="151" t="str">
        <f>IF(M57&lt;&gt;0,CONCATENATE(M57,"/",N57),"")</f>
        <v>188/78</v>
      </c>
      <c r="Q57" s="140" t="s">
        <v>454</v>
      </c>
      <c r="R57" s="139">
        <v>2014</v>
      </c>
      <c r="S57" s="151" t="str">
        <f>IFERROR(CONCATENATE(E57+VLOOKUP(B57,$B$39:$R$42,4,FALSE), " OZ, ",G57+VLOOKUP(B57,$B$39:$R$42,13,FALSE), " A"),"")</f>
        <v/>
      </c>
      <c r="T57" s="1" t="str">
        <f>IF(B57&lt;&gt;0,IF(V57=1,U57,CONCATENATE(U57," ",W57,".")),"")</f>
        <v>Javořík</v>
      </c>
      <c r="U57" s="1" t="str">
        <f>IFERROR(RIGHT(B57,LEN(B57)-SEARCH(" ", B57,1)),"")</f>
        <v>Javořík</v>
      </c>
      <c r="V57" s="151">
        <f>IF(B57&lt;&gt;0,COUNTIF($U$48:$U$82,U57),"")</f>
        <v>1</v>
      </c>
      <c r="W57" s="151" t="str">
        <f>IFERROR(LEFT(LEFT(B57,SEARCH(" ",B57,1)),1),"")</f>
        <v>A</v>
      </c>
      <c r="X57" s="139"/>
      <c r="Y57" s="139"/>
      <c r="Z57" s="139"/>
      <c r="AA57" s="138"/>
    </row>
    <row r="58" spans="2:27" ht="15" customHeight="1" x14ac:dyDescent="0.25">
      <c r="B58" s="138" t="s">
        <v>418</v>
      </c>
      <c r="C58" s="137">
        <v>34470</v>
      </c>
      <c r="D58" s="151">
        <f ca="1">IF(C58 &lt;&gt; 0,ROUNDDOWN(($A$47-C58)/365.25,0),"")</f>
        <v>26</v>
      </c>
      <c r="E58" s="139">
        <v>132</v>
      </c>
      <c r="F58" s="139">
        <v>41</v>
      </c>
      <c r="G58" s="139">
        <v>18</v>
      </c>
      <c r="H58" s="151">
        <f>IF(B58&lt;&gt;0,F58+G58,"")</f>
        <v>59</v>
      </c>
      <c r="I58" s="139">
        <v>9</v>
      </c>
      <c r="J58" s="139">
        <v>21</v>
      </c>
      <c r="K58" s="139"/>
      <c r="L58" s="139" t="s">
        <v>41</v>
      </c>
      <c r="M58" s="139">
        <v>176</v>
      </c>
      <c r="N58" s="139">
        <v>80</v>
      </c>
      <c r="O58" s="151" t="str">
        <f>IF(B58&lt;&gt;0,CONCATENATE(E58+IFERROR(VLOOKUP(B58,$B$2:$N$36,4,FALSE),0) + X58, " OZ, ", H58+IFERROR(VLOOKUP(B58,$B$2:$N$36,9,FALSE),0) + Y58+Z58, " (", F58+IFERROR(VLOOKUP(B58,$B$2:$N$36,5,FALSE),0) + Y58, "+",G58+IFERROR(VLOOKUP(B58,$B$2:$N$36,8,FALSE),0) +  Z58, ")"), "")</f>
        <v>141 OZ, 61 (41+20)</v>
      </c>
      <c r="P58" s="151" t="str">
        <f>IF(M58&lt;&gt;0,CONCATENATE(M58,"/",N58),"")</f>
        <v>176/80</v>
      </c>
      <c r="Q58" s="140" t="s">
        <v>456</v>
      </c>
      <c r="R58" s="139">
        <v>2005</v>
      </c>
      <c r="S58" s="151" t="str">
        <f>IFERROR(CONCATENATE(E58+VLOOKUP(B58,$B$39:$R$42,4,FALSE), " OZ, ",G58+VLOOKUP(B58,$B$39:$R$42,13,FALSE), " A"),"")</f>
        <v/>
      </c>
      <c r="T58" s="1" t="str">
        <f>IF(B58&lt;&gt;0,IF(V58=1,U58,CONCATENATE(U58," ",W58,".")),"")</f>
        <v>Jurčík</v>
      </c>
      <c r="U58" s="1" t="str">
        <f>IFERROR(RIGHT(B58,LEN(B58)-SEARCH(" ", B58,1)),"")</f>
        <v>Jurčík</v>
      </c>
      <c r="V58" s="151">
        <f>IF(B58&lt;&gt;0,COUNTIF($U$48:$U$82,U58),"")</f>
        <v>1</v>
      </c>
      <c r="W58" s="151" t="str">
        <f>IFERROR(LEFT(LEFT(B58,SEARCH(" ",B58,1)),1),"")</f>
        <v>P</v>
      </c>
      <c r="X58" s="139"/>
      <c r="Y58" s="139"/>
      <c r="Z58" s="139"/>
      <c r="AA58" s="138"/>
    </row>
    <row r="59" spans="2:27" ht="15" customHeight="1" x14ac:dyDescent="0.25">
      <c r="B59" s="186" t="s">
        <v>422</v>
      </c>
      <c r="C59" s="137">
        <v>37776</v>
      </c>
      <c r="D59" s="151">
        <f ca="1">IF(C59 &lt;&gt; 0,ROUNDDOWN(($A$47-C59)/365.25,0),"")</f>
        <v>17</v>
      </c>
      <c r="E59" s="139">
        <v>0</v>
      </c>
      <c r="F59" s="139">
        <v>0</v>
      </c>
      <c r="G59" s="139">
        <v>0</v>
      </c>
      <c r="H59" s="151">
        <f>IF(B59&lt;&gt;0,F59+G59,"")</f>
        <v>0</v>
      </c>
      <c r="I59" s="139">
        <v>1</v>
      </c>
      <c r="J59" s="139">
        <v>49</v>
      </c>
      <c r="K59" s="139"/>
      <c r="L59" s="139" t="s">
        <v>78</v>
      </c>
      <c r="M59" s="139">
        <v>172</v>
      </c>
      <c r="N59" s="139">
        <v>67</v>
      </c>
      <c r="O59" s="151" t="str">
        <f>IF(B59&lt;&gt;0,CONCATENATE(E59+IFERROR(VLOOKUP(B59,$B$2:$N$36,4,FALSE),0) + X59, " OZ, ", H59+IFERROR(VLOOKUP(B59,$B$2:$N$36,9,FALSE),0) + Y59+Z59, " (", F59+IFERROR(VLOOKUP(B59,$B$2:$N$36,5,FALSE),0) + Y59, "+",G59+IFERROR(VLOOKUP(B59,$B$2:$N$36,8,FALSE),0) +  Z59, ")"), "")</f>
        <v>1 OZ, 0 (0+0)</v>
      </c>
      <c r="P59" s="151" t="str">
        <f>IF(M59&lt;&gt;0,CONCATENATE(M59,"/",N59),"")</f>
        <v>172/67</v>
      </c>
      <c r="Q59" s="140" t="s">
        <v>444</v>
      </c>
      <c r="R59" s="139">
        <v>2014</v>
      </c>
      <c r="S59" s="151" t="str">
        <f>IFERROR(CONCATENATE(E59+VLOOKUP(B59,$B$39:$R$42,4,FALSE), " OZ, ",G59+VLOOKUP(B59,$B$39:$R$42,13,FALSE), " A"),"")</f>
        <v/>
      </c>
      <c r="T59" s="1" t="str">
        <f>IF(B59&lt;&gt;0,IF(V59=1,U59,CONCATENATE(U59," ",W59,".")),"")</f>
        <v>Kahoun</v>
      </c>
      <c r="U59" s="1" t="str">
        <f>IFERROR(RIGHT(B59,LEN(B59)-SEARCH(" ", B59,1)),"")</f>
        <v>Kahoun</v>
      </c>
      <c r="V59" s="151">
        <f>IF(B59&lt;&gt;0,COUNTIF($U$48:$U$82,U59),"")</f>
        <v>1</v>
      </c>
      <c r="W59" s="151" t="str">
        <f>IFERROR(LEFT(LEFT(B59,SEARCH(" ",B59,1)),1),"")</f>
        <v>O</v>
      </c>
      <c r="X59" s="139"/>
      <c r="Y59" s="139"/>
      <c r="Z59" s="139"/>
      <c r="AA59" s="138"/>
    </row>
    <row r="60" spans="2:27" ht="15" customHeight="1" x14ac:dyDescent="0.25">
      <c r="B60" s="187" t="s">
        <v>428</v>
      </c>
      <c r="C60" s="137">
        <v>35541</v>
      </c>
      <c r="D60" s="151">
        <f ca="1">IF(C60 &lt;&gt; 0,ROUNDDOWN(($A$47-C60)/365.25,0),"")</f>
        <v>23</v>
      </c>
      <c r="E60" s="139">
        <v>80</v>
      </c>
      <c r="F60" s="139">
        <v>10</v>
      </c>
      <c r="G60" s="139">
        <v>10</v>
      </c>
      <c r="H60" s="151">
        <f>IF(B60&lt;&gt;0,F60+G60,"")</f>
        <v>20</v>
      </c>
      <c r="I60" s="139">
        <v>6</v>
      </c>
      <c r="J60" s="139">
        <v>12</v>
      </c>
      <c r="K60" s="139"/>
      <c r="L60" s="139" t="s">
        <v>78</v>
      </c>
      <c r="M60" s="139">
        <v>181</v>
      </c>
      <c r="N60" s="139">
        <v>80</v>
      </c>
      <c r="O60" s="151" t="str">
        <f>IF(B60&lt;&gt;0,CONCATENATE(E60+IFERROR(VLOOKUP(B60,$B$2:$N$36,4,FALSE),0) + X60, " OZ, ", H60+IFERROR(VLOOKUP(B60,$B$2:$N$36,9,FALSE),0) + Y60+Z60, " (", F60+IFERROR(VLOOKUP(B60,$B$2:$N$36,5,FALSE),0) + Y60, "+",G60+IFERROR(VLOOKUP(B60,$B$2:$N$36,8,FALSE),0) +  Z60, ")"), "")</f>
        <v>85 OZ, 20 (10+10)</v>
      </c>
      <c r="P60" s="151" t="str">
        <f>IF(M60&lt;&gt;0,CONCATENATE(M60,"/",N60),"")</f>
        <v>181/80</v>
      </c>
      <c r="Q60" s="140" t="s">
        <v>455</v>
      </c>
      <c r="R60" s="139">
        <v>2007</v>
      </c>
      <c r="S60" s="151" t="str">
        <f>IFERROR(CONCATENATE(E60+VLOOKUP(B60,$B$39:$R$42,4,FALSE), " OZ, ",G60+VLOOKUP(B60,$B$39:$R$42,13,FALSE), " A"),"")</f>
        <v/>
      </c>
      <c r="T60" s="1" t="str">
        <f>IF(B60&lt;&gt;0,IF(V60=1,U60,CONCATENATE(U60," ",W60,".")),"")</f>
        <v>Kladivo</v>
      </c>
      <c r="U60" s="1" t="str">
        <f>IFERROR(RIGHT(B60,LEN(B60)-SEARCH(" ", B60,1)),"")</f>
        <v>Kladivo</v>
      </c>
      <c r="V60" s="151">
        <f>IF(B60&lt;&gt;0,COUNTIF($U$48:$U$82,U60),"")</f>
        <v>1</v>
      </c>
      <c r="W60" s="151" t="str">
        <f>IFERROR(LEFT(LEFT(B60,SEARCH(" ",B60,1)),1),"")</f>
        <v>M</v>
      </c>
      <c r="X60" s="139"/>
      <c r="Y60" s="139"/>
      <c r="Z60" s="139"/>
      <c r="AA60" s="138"/>
    </row>
    <row r="61" spans="2:27" ht="15" customHeight="1" x14ac:dyDescent="0.25">
      <c r="B61" s="138" t="s">
        <v>415</v>
      </c>
      <c r="C61" s="137">
        <v>36648</v>
      </c>
      <c r="D61" s="151">
        <f ca="1">IF(C61 &lt;&gt; 0,ROUNDDOWN(($A$47-C61)/365.25,0),"")</f>
        <v>20</v>
      </c>
      <c r="E61" s="139">
        <v>71</v>
      </c>
      <c r="F61" s="139">
        <v>29</v>
      </c>
      <c r="G61" s="139">
        <v>21</v>
      </c>
      <c r="H61" s="151">
        <f>IF(B61&lt;&gt;0,F61+G61,"")</f>
        <v>50</v>
      </c>
      <c r="I61" s="139">
        <v>4</v>
      </c>
      <c r="J61" s="139">
        <v>25</v>
      </c>
      <c r="K61" s="139"/>
      <c r="L61" s="139" t="s">
        <v>78</v>
      </c>
      <c r="M61" s="139">
        <v>185</v>
      </c>
      <c r="N61" s="139">
        <v>77</v>
      </c>
      <c r="O61" s="151" t="str">
        <f>IF(B61&lt;&gt;0,CONCATENATE(E61+IFERROR(VLOOKUP(B61,$B$2:$N$36,4,FALSE),0) + X61, " OZ, ", H61+IFERROR(VLOOKUP(B61,$B$2:$N$36,9,FALSE),0) + Y61+Z61, " (", F61+IFERROR(VLOOKUP(B61,$B$2:$N$36,5,FALSE),0) + Y61, "+",G61+IFERROR(VLOOKUP(B61,$B$2:$N$36,8,FALSE),0) +  Z61, ")"), "")</f>
        <v>91 OZ, 64 (36+28)</v>
      </c>
      <c r="P61" s="151" t="str">
        <f>IF(M61&lt;&gt;0,CONCATENATE(M61,"/",N61),"")</f>
        <v>185/77</v>
      </c>
      <c r="Q61" s="140" t="s">
        <v>27</v>
      </c>
      <c r="R61" s="139">
        <v>2008</v>
      </c>
      <c r="S61" s="151" t="str">
        <f>IFERROR(CONCATENATE(E61+VLOOKUP(B61,$B$39:$R$42,4,FALSE), " OZ, ",G61+VLOOKUP(B61,$B$39:$R$42,13,FALSE), " A"),"")</f>
        <v/>
      </c>
      <c r="T61" s="1" t="str">
        <f>IF(B61&lt;&gt;0,IF(V61=1,U61,CONCATENATE(U61," ",W61,".")),"")</f>
        <v>Koláčný</v>
      </c>
      <c r="U61" s="1" t="str">
        <f>IFERROR(RIGHT(B61,LEN(B61)-SEARCH(" ", B61,1)),"")</f>
        <v>Koláčný</v>
      </c>
      <c r="V61" s="151">
        <f>IF(B61&lt;&gt;0,COUNTIF($U$48:$U$82,U61),"")</f>
        <v>1</v>
      </c>
      <c r="W61" s="151" t="str">
        <f>IFERROR(LEFT(LEFT(B61,SEARCH(" ",B61,1)),1),"")</f>
        <v>P</v>
      </c>
      <c r="X61" s="139"/>
      <c r="Y61" s="139"/>
      <c r="Z61" s="139"/>
      <c r="AA61" s="138"/>
    </row>
    <row r="62" spans="2:27" ht="15" customHeight="1" x14ac:dyDescent="0.25">
      <c r="B62" s="186" t="s">
        <v>425</v>
      </c>
      <c r="C62" s="137">
        <v>37962</v>
      </c>
      <c r="D62" s="151">
        <f ca="1">IF(C62 &lt;&gt; 0,ROUNDDOWN(($A$47-C62)/365.25,0),"")</f>
        <v>17</v>
      </c>
      <c r="E62" s="139">
        <v>0</v>
      </c>
      <c r="F62" s="139">
        <v>0</v>
      </c>
      <c r="G62" s="139">
        <v>0</v>
      </c>
      <c r="H62" s="151">
        <f>IF(B62&lt;&gt;0,F62+G62,"")</f>
        <v>0</v>
      </c>
      <c r="I62" s="139">
        <v>1</v>
      </c>
      <c r="J62" s="139">
        <v>55</v>
      </c>
      <c r="K62" s="139"/>
      <c r="L62" s="139" t="s">
        <v>78</v>
      </c>
      <c r="M62" s="139">
        <v>196</v>
      </c>
      <c r="N62" s="139">
        <v>91</v>
      </c>
      <c r="O62" s="151" t="str">
        <f>IF(B62&lt;&gt;0,CONCATENATE(E62+IFERROR(VLOOKUP(B62,$B$2:$N$36,4,FALSE),0) + X62, " OZ, ", H62+IFERROR(VLOOKUP(B62,$B$2:$N$36,9,FALSE),0) + Y62+Z62, " (", F62+IFERROR(VLOOKUP(B62,$B$2:$N$36,5,FALSE),0) + Y62, "+",G62+IFERROR(VLOOKUP(B62,$B$2:$N$36,8,FALSE),0) +  Z62, ")"), "")</f>
        <v>5 OZ, 0 (0+0)</v>
      </c>
      <c r="P62" s="151" t="str">
        <f>IF(M62&lt;&gt;0,CONCATENATE(M62,"/",N62),"")</f>
        <v>196/91</v>
      </c>
      <c r="Q62" s="140" t="s">
        <v>444</v>
      </c>
      <c r="R62" s="139">
        <v>2013</v>
      </c>
      <c r="S62" s="151" t="str">
        <f>IFERROR(CONCATENATE(E62+VLOOKUP(B62,$B$39:$R$42,4,FALSE), " OZ, ",G62+VLOOKUP(B62,$B$39:$R$42,13,FALSE), " A"),"")</f>
        <v/>
      </c>
      <c r="T62" s="1" t="str">
        <f>IF(B62&lt;&gt;0,IF(V62=1,U62,CONCATENATE(U62," ",W62,".")),"")</f>
        <v>Kopecký</v>
      </c>
      <c r="U62" s="1" t="str">
        <f>IFERROR(RIGHT(B62,LEN(B62)-SEARCH(" ", B62,1)),"")</f>
        <v>Kopecký</v>
      </c>
      <c r="V62" s="151">
        <f>IF(B62&lt;&gt;0,COUNTIF($U$48:$U$82,U62),"")</f>
        <v>1</v>
      </c>
      <c r="W62" s="151" t="str">
        <f>IFERROR(LEFT(LEFT(B62,SEARCH(" ",B62,1)),1),"")</f>
        <v>P</v>
      </c>
      <c r="X62" s="139"/>
      <c r="Y62" s="139"/>
      <c r="Z62" s="139"/>
      <c r="AA62" s="138"/>
    </row>
    <row r="63" spans="2:27" ht="15" customHeight="1" x14ac:dyDescent="0.25">
      <c r="B63" s="187" t="s">
        <v>431</v>
      </c>
      <c r="C63" s="137">
        <v>36933</v>
      </c>
      <c r="D63" s="151">
        <f ca="1">IF(C63 &lt;&gt; 0,ROUNDDOWN(($A$47-C63)/365.25,0),"")</f>
        <v>20</v>
      </c>
      <c r="E63" s="139">
        <v>0</v>
      </c>
      <c r="F63" s="139">
        <v>0</v>
      </c>
      <c r="G63" s="139">
        <v>0</v>
      </c>
      <c r="H63" s="151">
        <f>IF(B63&lt;&gt;0,F63+G63,"")</f>
        <v>0</v>
      </c>
      <c r="I63" s="139">
        <v>1</v>
      </c>
      <c r="J63" s="139">
        <v>89</v>
      </c>
      <c r="K63" s="139"/>
      <c r="L63" s="139" t="s">
        <v>30</v>
      </c>
      <c r="M63" s="139">
        <v>187</v>
      </c>
      <c r="N63" s="139">
        <v>83</v>
      </c>
      <c r="O63" s="151" t="str">
        <f>IF(B63&lt;&gt;0,CONCATENATE(E63+IFERROR(VLOOKUP(B63,$B$2:$N$36,4,FALSE),0) + X63, " OZ, ", H63+IFERROR(VLOOKUP(B63,$B$2:$N$36,9,FALSE),0) + Y63+Z63, " (", F63+IFERROR(VLOOKUP(B63,$B$2:$N$36,5,FALSE),0) + Y63, "+",G63+IFERROR(VLOOKUP(B63,$B$2:$N$36,8,FALSE),0) +  Z63, ")"), "")</f>
        <v>1 OZ, 0 (0+0)</v>
      </c>
      <c r="P63" s="151" t="str">
        <f>IF(M63&lt;&gt;0,CONCATENATE(M63,"/",N63),"")</f>
        <v>187/83</v>
      </c>
      <c r="Q63" s="140" t="s">
        <v>452</v>
      </c>
      <c r="R63" s="139">
        <v>2018</v>
      </c>
      <c r="S63" s="151" t="str">
        <f>IFERROR(CONCATENATE(E63+VLOOKUP(B63,$B$39:$R$42,4,FALSE), " OZ, ",G63+VLOOKUP(B63,$B$39:$R$42,13,FALSE), " A"),"")</f>
        <v>2 OZ, 0 A</v>
      </c>
      <c r="T63" s="1" t="str">
        <f>IF(B63&lt;&gt;0,IF(V63=1,U63,CONCATENATE(U63," ",W63,".")),"")</f>
        <v>Kubíček</v>
      </c>
      <c r="U63" s="1" t="str">
        <f>IFERROR(RIGHT(B63,LEN(B63)-SEARCH(" ", B63,1)),"")</f>
        <v>Kubíček</v>
      </c>
      <c r="V63" s="151">
        <f>IF(B63&lt;&gt;0,COUNTIF($U$48:$U$82,U63),"")</f>
        <v>1</v>
      </c>
      <c r="W63" s="151" t="str">
        <f>IFERROR(LEFT(LEFT(B63,SEARCH(" ",B63,1)),1),"")</f>
        <v>M</v>
      </c>
      <c r="X63" s="139"/>
      <c r="Y63" s="139"/>
      <c r="Z63" s="139"/>
      <c r="AA63" s="138"/>
    </row>
    <row r="64" spans="2:27" ht="15" customHeight="1" x14ac:dyDescent="0.25">
      <c r="B64" s="138" t="s">
        <v>416</v>
      </c>
      <c r="C64" s="137">
        <v>36427</v>
      </c>
      <c r="D64" s="151">
        <f ca="1">IF(C64 &lt;&gt; 0,ROUNDDOWN(($A$47-C64)/365.25,0),"")</f>
        <v>21</v>
      </c>
      <c r="E64" s="139">
        <v>65</v>
      </c>
      <c r="F64" s="139">
        <v>13</v>
      </c>
      <c r="G64" s="139">
        <v>8</v>
      </c>
      <c r="H64" s="151">
        <f>IF(B64&lt;&gt;0,F64+G64,"")</f>
        <v>21</v>
      </c>
      <c r="I64" s="139">
        <v>4</v>
      </c>
      <c r="J64" s="139">
        <v>74</v>
      </c>
      <c r="K64" s="139" t="s">
        <v>222</v>
      </c>
      <c r="L64" s="139" t="s">
        <v>41</v>
      </c>
      <c r="M64" s="139">
        <v>181</v>
      </c>
      <c r="N64" s="139">
        <v>72</v>
      </c>
      <c r="O64" s="151" t="str">
        <f>IF(B64&lt;&gt;0,CONCATENATE(E64+IFERROR(VLOOKUP(B64,$B$2:$N$36,4,FALSE),0) + X64, " OZ, ", H64+IFERROR(VLOOKUP(B64,$B$2:$N$36,9,FALSE),0) + Y64+Z64, " (", F64+IFERROR(VLOOKUP(B64,$B$2:$N$36,5,FALSE),0) + Y64, "+",G64+IFERROR(VLOOKUP(B64,$B$2:$N$36,8,FALSE),0) +  Z64, ")"), "")</f>
        <v>88 OZ, 25 (14+11)</v>
      </c>
      <c r="P64" s="151" t="str">
        <f>IF(M64&lt;&gt;0,CONCATENATE(M64,"/",N64),"")</f>
        <v>181/72</v>
      </c>
      <c r="Q64" s="140" t="s">
        <v>448</v>
      </c>
      <c r="R64" s="139">
        <v>2004</v>
      </c>
      <c r="S64" s="151" t="str">
        <f>IFERROR(CONCATENATE(E64+VLOOKUP(B64,$B$39:$R$42,4,FALSE), " OZ, ",G64+VLOOKUP(B64,$B$39:$R$42,13,FALSE), " A"),"")</f>
        <v/>
      </c>
      <c r="T64" s="1" t="str">
        <f>IF(B64&lt;&gt;0,IF(V64=1,U64,CONCATENATE(U64," ",W64,".")),"")</f>
        <v>Kvapil</v>
      </c>
      <c r="U64" s="1" t="str">
        <f>IFERROR(RIGHT(B64,LEN(B64)-SEARCH(" ", B64,1)),"")</f>
        <v>Kvapil</v>
      </c>
      <c r="V64" s="151">
        <f>IF(B64&lt;&gt;0,COUNTIF($U$48:$U$82,U64),"")</f>
        <v>1</v>
      </c>
      <c r="W64" s="151" t="str">
        <f>IFERROR(LEFT(LEFT(B64,SEARCH(" ",B64,1)),1),"")</f>
        <v>L</v>
      </c>
      <c r="X64" s="139"/>
      <c r="Y64" s="139"/>
      <c r="Z64" s="139"/>
      <c r="AA64" s="138"/>
    </row>
    <row r="65" spans="2:27" ht="15" customHeight="1" x14ac:dyDescent="0.25">
      <c r="B65" s="138" t="s">
        <v>647</v>
      </c>
      <c r="C65" s="137"/>
      <c r="D65" s="151" t="str">
        <f>IF(C65 &lt;&gt; 0,ROUNDDOWN(($A$47-C65)/365.25,0),"")</f>
        <v/>
      </c>
      <c r="E65" s="139"/>
      <c r="F65" s="139"/>
      <c r="G65" s="139"/>
      <c r="H65" s="151">
        <f>IF(B65&lt;&gt;0,F65+G65,"")</f>
        <v>0</v>
      </c>
      <c r="I65" s="139"/>
      <c r="J65" s="139"/>
      <c r="K65" s="139"/>
      <c r="L65" s="139"/>
      <c r="M65" s="139"/>
      <c r="N65" s="139"/>
      <c r="O65" s="151" t="str">
        <f>IF(B65&lt;&gt;0,CONCATENATE(E65+IFERROR(VLOOKUP(B65,$B$2:$N$36,4,FALSE),0) + X65, " OZ, ", H65+IFERROR(VLOOKUP(B65,$B$2:$N$36,9,FALSE),0) + Y65+Z65, " (", F65+IFERROR(VLOOKUP(B65,$B$2:$N$36,5,FALSE),0) + Y65, "+",G65+IFERROR(VLOOKUP(B65,$B$2:$N$36,8,FALSE),0) +  Z65, ")"), "")</f>
        <v>9 OZ, 4 (1+3)</v>
      </c>
      <c r="P65" s="151" t="str">
        <f>IF(M65&lt;&gt;0,CONCATENATE(M65,"/",N65),"")</f>
        <v/>
      </c>
      <c r="Q65" s="140"/>
      <c r="R65" s="139"/>
      <c r="S65" s="151" t="str">
        <f>IFERROR(CONCATENATE(E65+VLOOKUP(B65,$B$39:$R$42,4,FALSE), " OZ, ",G65+VLOOKUP(B65,$B$39:$R$42,13,FALSE), " A"),"")</f>
        <v/>
      </c>
      <c r="T65" s="1" t="str">
        <f>IF(B65&lt;&gt;0,IF(V65=1,U65,CONCATENATE(U65," ",W65,".")),"")</f>
        <v>Lapinš</v>
      </c>
      <c r="U65" s="1" t="str">
        <f>IFERROR(RIGHT(B65,LEN(B65)-SEARCH(" ", B65,1)),"")</f>
        <v>Lapinš</v>
      </c>
      <c r="V65" s="151">
        <f>IF(B65&lt;&gt;0,COUNTIF($U$48:$U$82,U65),"")</f>
        <v>1</v>
      </c>
      <c r="W65" s="151" t="str">
        <f>IFERROR(LEFT(LEFT(B65,SEARCH(" ",B65,1)),1),"")</f>
        <v>V</v>
      </c>
      <c r="X65" s="139"/>
      <c r="Y65" s="139"/>
      <c r="Z65" s="139"/>
      <c r="AA65" s="138"/>
    </row>
    <row r="66" spans="2:27" ht="15" customHeight="1" x14ac:dyDescent="0.25">
      <c r="B66" s="138" t="s">
        <v>432</v>
      </c>
      <c r="C66" s="137">
        <v>35838</v>
      </c>
      <c r="D66" s="151">
        <f ca="1">IF(C66 &lt;&gt; 0,ROUNDDOWN(($A$47-C66)/365.25,0),"")</f>
        <v>23</v>
      </c>
      <c r="E66" s="139">
        <v>10</v>
      </c>
      <c r="F66" s="139">
        <v>0</v>
      </c>
      <c r="G66" s="139">
        <v>0</v>
      </c>
      <c r="H66" s="151">
        <f>IF(B66&lt;&gt;0,F66+G66,"")</f>
        <v>0</v>
      </c>
      <c r="I66" s="139">
        <v>5</v>
      </c>
      <c r="J66" s="139">
        <v>29</v>
      </c>
      <c r="K66" s="139"/>
      <c r="L66" s="139" t="s">
        <v>30</v>
      </c>
      <c r="M66" s="139">
        <v>181</v>
      </c>
      <c r="N66" s="139">
        <v>76</v>
      </c>
      <c r="O66" s="151" t="str">
        <f>IF(B66&lt;&gt;0,CONCATENATE(E66+IFERROR(VLOOKUP(B66,$B$2:$N$36,4,FALSE),0) + X66, " OZ, ", H66+IFERROR(VLOOKUP(B66,$B$2:$N$36,9,FALSE),0) + Y66+Z66, " (", F66+IFERROR(VLOOKUP(B66,$B$2:$N$36,5,FALSE),0) + Y66, "+",G66+IFERROR(VLOOKUP(B66,$B$2:$N$36,8,FALSE),0) +  Z66, ")"), "")</f>
        <v>10 OZ, 1 (0+1)</v>
      </c>
      <c r="P66" s="151" t="str">
        <f>IF(M66&lt;&gt;0,CONCATENATE(M66,"/",N66),"")</f>
        <v>181/76</v>
      </c>
      <c r="Q66" s="140" t="s">
        <v>445</v>
      </c>
      <c r="R66" s="139">
        <v>2012</v>
      </c>
      <c r="S66" s="151" t="str">
        <f>IFERROR(CONCATENATE(E66+VLOOKUP(B66,$B$39:$R$42,4,FALSE), " OZ, ",G66+VLOOKUP(B66,$B$39:$R$42,13,FALSE), " A"),"")</f>
        <v>34 OZ, 1 A</v>
      </c>
      <c r="T66" s="1" t="str">
        <f>IF(B66&lt;&gt;0,IF(V66=1,U66,CONCATENATE(U66," ",W66,".")),"")</f>
        <v>Majrich</v>
      </c>
      <c r="U66" s="1" t="str">
        <f>IFERROR(RIGHT(B66,LEN(B66)-SEARCH(" ", B66,1)),"")</f>
        <v>Majrich</v>
      </c>
      <c r="V66" s="151">
        <f>IF(B66&lt;&gt;0,COUNTIF($U$48:$U$82,U66),"")</f>
        <v>1</v>
      </c>
      <c r="W66" s="151" t="str">
        <f>IFERROR(LEFT(LEFT(B66,SEARCH(" ",B66,1)),1),"")</f>
        <v>K</v>
      </c>
      <c r="X66" s="139"/>
      <c r="Y66" s="139"/>
      <c r="Z66" s="139"/>
      <c r="AA66" s="138"/>
    </row>
    <row r="67" spans="2:27" ht="15" customHeight="1" x14ac:dyDescent="0.25">
      <c r="B67" s="138" t="s">
        <v>414</v>
      </c>
      <c r="C67" s="137">
        <v>35695</v>
      </c>
      <c r="D67" s="151">
        <f ca="1">IF(C67 &lt;&gt; 0,ROUNDDOWN(($A$47-C67)/365.25,0),"")</f>
        <v>23</v>
      </c>
      <c r="E67" s="139">
        <v>24</v>
      </c>
      <c r="F67" s="139">
        <v>0</v>
      </c>
      <c r="G67" s="139">
        <v>6</v>
      </c>
      <c r="H67" s="151">
        <f>IF(B67&lt;&gt;0,F67+G67,"")</f>
        <v>6</v>
      </c>
      <c r="I67" s="139">
        <v>4</v>
      </c>
      <c r="J67" s="139">
        <v>13</v>
      </c>
      <c r="K67" s="139"/>
      <c r="L67" s="139" t="s">
        <v>78</v>
      </c>
      <c r="M67" s="139">
        <v>182</v>
      </c>
      <c r="N67" s="139">
        <v>74</v>
      </c>
      <c r="O67" s="151" t="str">
        <f>IF(B67&lt;&gt;0,CONCATENATE(E67+IFERROR(VLOOKUP(B67,$B$2:$N$36,4,FALSE),0) + X67, " OZ, ", H67+IFERROR(VLOOKUP(B67,$B$2:$N$36,9,FALSE),0) + Y67+Z67, " (", F67+IFERROR(VLOOKUP(B67,$B$2:$N$36,5,FALSE),0) + Y67, "+",G67+IFERROR(VLOOKUP(B67,$B$2:$N$36,8,FALSE),0) +  Z67, ")"), "")</f>
        <v>38 OZ, 11 (2+9)</v>
      </c>
      <c r="P67" s="151" t="str">
        <f>IF(M67&lt;&gt;0,CONCATENATE(M67,"/",N67),"")</f>
        <v>182/74</v>
      </c>
      <c r="Q67" s="140" t="s">
        <v>440</v>
      </c>
      <c r="R67" s="139">
        <v>2008</v>
      </c>
      <c r="S67" s="151" t="str">
        <f>IFERROR(CONCATENATE(E67+VLOOKUP(B67,$B$39:$R$42,4,FALSE), " OZ, ",G67+VLOOKUP(B67,$B$39:$R$42,13,FALSE), " A"),"")</f>
        <v/>
      </c>
      <c r="T67" s="1" t="str">
        <f>IF(B67&lt;&gt;0,IF(V67=1,U67,CONCATENATE(U67," ",W67,".")),"")</f>
        <v>Medek</v>
      </c>
      <c r="U67" s="1" t="str">
        <f>IFERROR(RIGHT(B67,LEN(B67)-SEARCH(" ", B67,1)),"")</f>
        <v>Medek</v>
      </c>
      <c r="V67" s="151">
        <f>IF(B67&lt;&gt;0,COUNTIF($U$48:$U$82,U67),"")</f>
        <v>1</v>
      </c>
      <c r="W67" s="151" t="str">
        <f>IFERROR(LEFT(LEFT(B67,SEARCH(" ",B67,1)),1),"")</f>
        <v>D</v>
      </c>
      <c r="X67" s="139"/>
      <c r="Y67" s="139"/>
      <c r="Z67" s="139"/>
      <c r="AA67" s="138"/>
    </row>
    <row r="68" spans="2:27" ht="15" customHeight="1" x14ac:dyDescent="0.25">
      <c r="B68" s="138" t="s">
        <v>410</v>
      </c>
      <c r="C68" s="137">
        <v>32521</v>
      </c>
      <c r="D68" s="151">
        <f ca="1">IF(C68 &lt;&gt; 0,ROUNDDOWN(($A$47-C68)/365.25,0),"")</f>
        <v>32</v>
      </c>
      <c r="E68" s="139">
        <v>205</v>
      </c>
      <c r="F68" s="139">
        <v>41</v>
      </c>
      <c r="G68" s="139">
        <v>64</v>
      </c>
      <c r="H68" s="151">
        <f>IF(B68&lt;&gt;0,F68+G68,"")</f>
        <v>105</v>
      </c>
      <c r="I68" s="139">
        <v>11</v>
      </c>
      <c r="J68" s="139">
        <v>56</v>
      </c>
      <c r="K68" s="139"/>
      <c r="L68" s="139" t="s">
        <v>78</v>
      </c>
      <c r="M68" s="139">
        <v>182</v>
      </c>
      <c r="N68" s="139">
        <v>79</v>
      </c>
      <c r="O68" s="151" t="str">
        <f>IF(B68&lt;&gt;0,CONCATENATE(E68+IFERROR(VLOOKUP(B68,$B$2:$N$36,4,FALSE),0) + X68, " OZ, ", H68+IFERROR(VLOOKUP(B68,$B$2:$N$36,9,FALSE),0) + Y68+Z68, " (", F68+IFERROR(VLOOKUP(B68,$B$2:$N$36,5,FALSE),0) + Y68, "+",G68+IFERROR(VLOOKUP(B68,$B$2:$N$36,8,FALSE),0) +  Z68, ")"), "")</f>
        <v>224 OZ, 115 (47+68)</v>
      </c>
      <c r="P68" s="151" t="str">
        <f>IF(M68&lt;&gt;0,CONCATENATE(M68,"/",N68),"")</f>
        <v>182/79</v>
      </c>
      <c r="Q68" s="140" t="s">
        <v>444</v>
      </c>
      <c r="R68" s="139">
        <v>1998</v>
      </c>
      <c r="S68" s="151" t="str">
        <f>IFERROR(CONCATENATE(E68+VLOOKUP(B68,$B$39:$R$42,4,FALSE), " OZ, ",G68+VLOOKUP(B68,$B$39:$R$42,13,FALSE), " A"),"")</f>
        <v/>
      </c>
      <c r="T68" s="1" t="str">
        <f>IF(B68&lt;&gt;0,IF(V68=1,U68,CONCATENATE(U68," ",W68,".")),"")</f>
        <v>Nagy</v>
      </c>
      <c r="U68" s="1" t="str">
        <f>IFERROR(RIGHT(B68,LEN(B68)-SEARCH(" ", B68,1)),"")</f>
        <v>Nagy</v>
      </c>
      <c r="V68" s="151">
        <f>IF(B68&lt;&gt;0,COUNTIF($U$48:$U$82,U68),"")</f>
        <v>1</v>
      </c>
      <c r="W68" s="151" t="str">
        <f>IFERROR(LEFT(LEFT(B68,SEARCH(" ",B68,1)),1),"")</f>
        <v>M</v>
      </c>
      <c r="X68" s="139"/>
      <c r="Y68" s="139"/>
      <c r="Z68" s="139"/>
      <c r="AA68" s="138"/>
    </row>
    <row r="69" spans="2:27" ht="15" customHeight="1" x14ac:dyDescent="0.25">
      <c r="B69" s="138" t="s">
        <v>409</v>
      </c>
      <c r="C69" s="137">
        <v>34858</v>
      </c>
      <c r="D69" s="151">
        <f ca="1">IF(C69 &lt;&gt; 0,ROUNDDOWN(($A$47-C69)/365.25,0),"")</f>
        <v>25</v>
      </c>
      <c r="E69" s="139">
        <v>39</v>
      </c>
      <c r="F69" s="139">
        <v>9</v>
      </c>
      <c r="G69" s="139">
        <v>10</v>
      </c>
      <c r="H69" s="151">
        <f>IF(B69&lt;&gt;0,F69+G69,"")</f>
        <v>19</v>
      </c>
      <c r="I69" s="139">
        <v>4</v>
      </c>
      <c r="J69" s="139">
        <v>99</v>
      </c>
      <c r="K69" s="139"/>
      <c r="L69" s="139" t="s">
        <v>78</v>
      </c>
      <c r="M69" s="139">
        <v>179</v>
      </c>
      <c r="N69" s="139">
        <v>77</v>
      </c>
      <c r="O69" s="151" t="str">
        <f>IF(B69&lt;&gt;0,CONCATENATE(E69+IFERROR(VLOOKUP(B69,$B$2:$N$36,4,FALSE),0) + X69, " OZ, ", H69+IFERROR(VLOOKUP(B69,$B$2:$N$36,9,FALSE),0) + Y69+Z69, " (", F69+IFERROR(VLOOKUP(B69,$B$2:$N$36,5,FALSE),0) + Y69, "+",G69+IFERROR(VLOOKUP(B69,$B$2:$N$36,8,FALSE),0) +  Z69, ")"), "")</f>
        <v>62 OZ, 33 (19+14)</v>
      </c>
      <c r="P69" s="151" t="str">
        <f>IF(M69&lt;&gt;0,CONCATENATE(M69,"/",N69),"")</f>
        <v>179/77</v>
      </c>
      <c r="Q69" s="140" t="s">
        <v>579</v>
      </c>
      <c r="R69" s="139">
        <v>2007</v>
      </c>
      <c r="S69" s="151" t="str">
        <f>IFERROR(CONCATENATE(E69+VLOOKUP(B69,$B$39:$R$42,4,FALSE), " OZ, ",G69+VLOOKUP(B69,$B$39:$R$42,13,FALSE), " A"),"")</f>
        <v/>
      </c>
      <c r="T69" s="1" t="str">
        <f>IF(B69&lt;&gt;0,IF(V69=1,U69,CONCATENATE(U69," ",W69,".")),"")</f>
        <v>Nehila</v>
      </c>
      <c r="U69" s="1" t="str">
        <f>IFERROR(RIGHT(B69,LEN(B69)-SEARCH(" ", B69,1)),"")</f>
        <v>Nehila</v>
      </c>
      <c r="V69" s="151">
        <f>IF(B69&lt;&gt;0,COUNTIF($U$48:$U$82,U69),"")</f>
        <v>1</v>
      </c>
      <c r="W69" s="151" t="str">
        <f>IFERROR(LEFT(LEFT(B69,SEARCH(" ",B69,1)),1),"")</f>
        <v>P</v>
      </c>
      <c r="X69" s="139"/>
      <c r="Y69" s="139"/>
      <c r="Z69" s="139"/>
      <c r="AA69" s="138"/>
    </row>
    <row r="70" spans="2:27" ht="15" customHeight="1" x14ac:dyDescent="0.25">
      <c r="B70" s="186" t="s">
        <v>411</v>
      </c>
      <c r="C70" s="137">
        <v>30807</v>
      </c>
      <c r="D70" s="151">
        <f ca="1">IF(C70 &lt;&gt; 0,ROUNDDOWN(($A$47-C70)/365.25,0),"")</f>
        <v>36</v>
      </c>
      <c r="E70" s="139">
        <v>281</v>
      </c>
      <c r="F70" s="139">
        <v>116</v>
      </c>
      <c r="G70" s="139">
        <v>135</v>
      </c>
      <c r="H70" s="151">
        <f>IF(B70&lt;&gt;0,F70+G70,"")</f>
        <v>251</v>
      </c>
      <c r="I70" s="139">
        <v>14</v>
      </c>
      <c r="J70" s="139">
        <v>91</v>
      </c>
      <c r="K70" s="139"/>
      <c r="L70" s="139" t="s">
        <v>78</v>
      </c>
      <c r="M70" s="139">
        <v>192</v>
      </c>
      <c r="N70" s="139">
        <v>81</v>
      </c>
      <c r="O70" s="151" t="str">
        <f>IF(B70&lt;&gt;0,CONCATENATE(E70+IFERROR(VLOOKUP(B70,$B$2:$N$36,4,FALSE),0) + X70, " OZ, ", H70+IFERROR(VLOOKUP(B70,$B$2:$N$36,9,FALSE),0) + Y70+Z70, " (", F70+IFERROR(VLOOKUP(B70,$B$2:$N$36,5,FALSE),0) + Y70, "+",G70+IFERROR(VLOOKUP(B70,$B$2:$N$36,8,FALSE),0) +  Z70, ")"), "")</f>
        <v>306 OZ, 262 (121+141)</v>
      </c>
      <c r="P70" s="151" t="str">
        <f>IF(M70&lt;&gt;0,CONCATENATE(M70,"/",N70),"")</f>
        <v>192/81</v>
      </c>
      <c r="Q70" s="140" t="s">
        <v>447</v>
      </c>
      <c r="R70" s="139">
        <v>1999</v>
      </c>
      <c r="S70" s="151" t="str">
        <f>IFERROR(CONCATENATE(E70+VLOOKUP(B70,$B$39:$R$42,4,FALSE), " OZ, ",G70+VLOOKUP(B70,$B$39:$R$42,13,FALSE), " A"),"")</f>
        <v/>
      </c>
      <c r="T70" s="1" t="str">
        <f>IF(B70&lt;&gt;0,IF(V70=1,U70,CONCATENATE(U70," ",W70,".")),"")</f>
        <v>Petřík</v>
      </c>
      <c r="U70" s="1" t="str">
        <f>IFERROR(RIGHT(B70,LEN(B70)-SEARCH(" ", B70,1)),"")</f>
        <v>Petřík</v>
      </c>
      <c r="V70" s="151">
        <f>IF(B70&lt;&gt;0,COUNTIF($U$48:$U$82,U70),"")</f>
        <v>1</v>
      </c>
      <c r="W70" s="151" t="str">
        <f>IFERROR(LEFT(LEFT(B70,SEARCH(" ",B70,1)),1),"")</f>
        <v>L</v>
      </c>
      <c r="X70" s="139"/>
      <c r="Y70" s="139"/>
      <c r="Z70" s="139"/>
      <c r="AA70" s="138"/>
    </row>
    <row r="71" spans="2:27" ht="15" customHeight="1" x14ac:dyDescent="0.25">
      <c r="B71" s="186" t="s">
        <v>421</v>
      </c>
      <c r="C71" s="137">
        <v>37544</v>
      </c>
      <c r="D71" s="151">
        <f ca="1">IF(C71 &lt;&gt; 0,ROUNDDOWN(($A$47-C71)/365.25,0),"")</f>
        <v>18</v>
      </c>
      <c r="E71" s="139">
        <v>12</v>
      </c>
      <c r="F71" s="139">
        <v>0</v>
      </c>
      <c r="G71" s="139">
        <v>1</v>
      </c>
      <c r="H71" s="151">
        <f>IF(B71&lt;&gt;0,F71+G71,"")</f>
        <v>1</v>
      </c>
      <c r="I71" s="139">
        <v>2</v>
      </c>
      <c r="J71" s="139">
        <v>82</v>
      </c>
      <c r="K71" s="139"/>
      <c r="L71" s="139" t="s">
        <v>78</v>
      </c>
      <c r="M71" s="139">
        <v>187</v>
      </c>
      <c r="N71" s="139">
        <v>78</v>
      </c>
      <c r="O71" s="151" t="str">
        <f>IF(B71&lt;&gt;0,CONCATENATE(E71+IFERROR(VLOOKUP(B71,$B$2:$N$36,4,FALSE),0) + X71, " OZ, ", H71+IFERROR(VLOOKUP(B71,$B$2:$N$36,9,FALSE),0) + Y71+Z71, " (", F71+IFERROR(VLOOKUP(B71,$B$2:$N$36,5,FALSE),0) + Y71, "+",G71+IFERROR(VLOOKUP(B71,$B$2:$N$36,8,FALSE),0) +  Z71, ")"), "")</f>
        <v>33 OZ, 3 (0+3)</v>
      </c>
      <c r="P71" s="151" t="str">
        <f>IF(M71&lt;&gt;0,CONCATENATE(M71,"/",N71),"")</f>
        <v>187/78</v>
      </c>
      <c r="Q71" s="140" t="s">
        <v>444</v>
      </c>
      <c r="R71" s="139">
        <v>2012</v>
      </c>
      <c r="S71" s="151" t="str">
        <f>IFERROR(CONCATENATE(E71+VLOOKUP(B71,$B$39:$R$42,4,FALSE), " OZ, ",G71+VLOOKUP(B71,$B$39:$R$42,13,FALSE), " A"),"")</f>
        <v/>
      </c>
      <c r="T71" s="1" t="str">
        <f>IF(B71&lt;&gt;0,IF(V71=1,U71,CONCATENATE(U71," ",W71,".")),"")</f>
        <v>Pšenčík</v>
      </c>
      <c r="U71" s="1" t="str">
        <f>IFERROR(RIGHT(B71,LEN(B71)-SEARCH(" ", B71,1)),"")</f>
        <v>Pšenčík</v>
      </c>
      <c r="V71" s="151">
        <f>IF(B71&lt;&gt;0,COUNTIF($U$48:$U$82,U71),"")</f>
        <v>1</v>
      </c>
      <c r="W71" s="151" t="str">
        <f>IFERROR(LEFT(LEFT(B71,SEARCH(" ",B71,1)),1),"")</f>
        <v>P</v>
      </c>
      <c r="X71" s="139"/>
      <c r="Y71" s="139"/>
      <c r="Z71" s="139"/>
      <c r="AA71" s="138"/>
    </row>
    <row r="72" spans="2:27" ht="15" customHeight="1" x14ac:dyDescent="0.25">
      <c r="B72" s="187" t="s">
        <v>430</v>
      </c>
      <c r="C72" s="137">
        <v>36002</v>
      </c>
      <c r="D72" s="151">
        <f ca="1">IF(C72 &lt;&gt; 0,ROUNDDOWN(($A$47-C72)/365.25,0),"")</f>
        <v>22</v>
      </c>
      <c r="E72" s="139">
        <v>0</v>
      </c>
      <c r="F72" s="139">
        <v>0</v>
      </c>
      <c r="G72" s="139">
        <v>0</v>
      </c>
      <c r="H72" s="151">
        <f>IF(B72&lt;&gt;0,F72+G72,"")</f>
        <v>0</v>
      </c>
      <c r="I72" s="139">
        <v>1</v>
      </c>
      <c r="J72" s="139">
        <v>30</v>
      </c>
      <c r="K72" s="139"/>
      <c r="L72" s="139" t="s">
        <v>30</v>
      </c>
      <c r="M72" s="139">
        <v>183</v>
      </c>
      <c r="N72" s="139">
        <v>93</v>
      </c>
      <c r="O72" s="151" t="str">
        <f>IF(B72&lt;&gt;0,CONCATENATE(E72+IFERROR(VLOOKUP(B72,$B$2:$N$36,4,FALSE),0) + X72, " OZ, ", H72+IFERROR(VLOOKUP(B72,$B$2:$N$36,9,FALSE),0) + Y72+Z72, " (", F72+IFERROR(VLOOKUP(B72,$B$2:$N$36,5,FALSE),0) + Y72, "+",G72+IFERROR(VLOOKUP(B72,$B$2:$N$36,8,FALSE),0) +  Z72, ")"), "")</f>
        <v>1 OZ, 0 (0+0)</v>
      </c>
      <c r="P72" s="151" t="str">
        <f>IF(M72&lt;&gt;0,CONCATENATE(M72,"/",N72),"")</f>
        <v>183/93</v>
      </c>
      <c r="Q72" s="140" t="s">
        <v>453</v>
      </c>
      <c r="R72" s="139">
        <v>2002</v>
      </c>
      <c r="S72" s="151" t="str">
        <f>IFERROR(CONCATENATE(E72+VLOOKUP(B72,$B$39:$R$42,4,FALSE), " OZ, ",G72+VLOOKUP(B72,$B$39:$R$42,13,FALSE), " A"),"")</f>
        <v>2 OZ, 0 A</v>
      </c>
      <c r="T72" s="1" t="str">
        <f>IF(B72&lt;&gt;0,IF(V72=1,U72,CONCATENATE(U72," ",W72,".")),"")</f>
        <v>Raška</v>
      </c>
      <c r="U72" s="1" t="str">
        <f>IFERROR(RIGHT(B72,LEN(B72)-SEARCH(" ", B72,1)),"")</f>
        <v>Raška</v>
      </c>
      <c r="V72" s="151">
        <f>IF(B72&lt;&gt;0,COUNTIF($U$48:$U$82,U72),"")</f>
        <v>1</v>
      </c>
      <c r="W72" s="151" t="str">
        <f>IFERROR(LEFT(LEFT(B72,SEARCH(" ",B72,1)),1),"")</f>
        <v>Z</v>
      </c>
      <c r="X72" s="139"/>
      <c r="Y72" s="139"/>
      <c r="Z72" s="139"/>
      <c r="AA72" s="138"/>
    </row>
    <row r="73" spans="2:27" ht="15" customHeight="1" x14ac:dyDescent="0.25">
      <c r="B73" s="1" t="s">
        <v>646</v>
      </c>
      <c r="C73" s="137"/>
      <c r="D73" s="151" t="str">
        <f>IF(C73 &lt;&gt; 0,ROUNDDOWN(($A$47-C73)/365.25,0),"")</f>
        <v/>
      </c>
      <c r="E73" s="139"/>
      <c r="F73" s="139"/>
      <c r="G73" s="139"/>
      <c r="H73" s="151">
        <f>IF(B73&lt;&gt;0,F73+G73,"")</f>
        <v>0</v>
      </c>
      <c r="I73" s="139"/>
      <c r="J73" s="139"/>
      <c r="K73" s="139"/>
      <c r="L73" s="139"/>
      <c r="M73" s="139"/>
      <c r="N73" s="139"/>
      <c r="O73" s="151" t="str">
        <f>IF(B73&lt;&gt;0,CONCATENATE(E73+IFERROR(VLOOKUP(B73,$B$2:$N$36,4,FALSE),0) + X73, " OZ, ", H73+IFERROR(VLOOKUP(B73,$B$2:$N$36,9,FALSE),0) + Y73+Z73, " (", F73+IFERROR(VLOOKUP(B73,$B$2:$N$36,5,FALSE),0) + Y73, "+",G73+IFERROR(VLOOKUP(B73,$B$2:$N$36,8,FALSE),0) +  Z73, ")"), "")</f>
        <v>2 OZ, 1 (0+1)</v>
      </c>
      <c r="P73" s="151" t="str">
        <f>IF(M73&lt;&gt;0,CONCATENATE(M73,"/",N73),"")</f>
        <v/>
      </c>
      <c r="Q73" s="140"/>
      <c r="R73" s="139"/>
      <c r="S73" s="151" t="str">
        <f>IFERROR(CONCATENATE(E73+VLOOKUP(B73,$B$39:$R$42,4,FALSE), " OZ, ",G73+VLOOKUP(B73,$B$39:$R$42,13,FALSE), " A"),"")</f>
        <v/>
      </c>
      <c r="T73" s="1" t="str">
        <f>IF(B73&lt;&gt;0,IF(V73=1,U73,CONCATENATE(U73," ",W73,".")),"")</f>
        <v>Rudzītis</v>
      </c>
      <c r="U73" s="1" t="str">
        <f>IFERROR(RIGHT(B73,LEN(B73)-SEARCH(" ", B73,1)),"")</f>
        <v>Rudzītis</v>
      </c>
      <c r="V73" s="151">
        <f>IF(B73&lt;&gt;0,COUNTIF($U$48:$U$82,U73),"")</f>
        <v>1</v>
      </c>
      <c r="W73" s="151" t="str">
        <f>IFERROR(LEFT(LEFT(B73,SEARCH(" ",B73,1)),1),"")</f>
        <v>R</v>
      </c>
      <c r="X73" s="139"/>
      <c r="Y73" s="139"/>
      <c r="Z73" s="139"/>
      <c r="AA73" s="138"/>
    </row>
    <row r="74" spans="2:27" ht="15" customHeight="1" x14ac:dyDescent="0.25">
      <c r="B74" s="141" t="s">
        <v>426</v>
      </c>
      <c r="C74" s="137">
        <v>33031</v>
      </c>
      <c r="D74" s="151">
        <f ca="1">IF(C74 &lt;&gt; 0,ROUNDDOWN(($A$47-C74)/365.25,0),"")</f>
        <v>30</v>
      </c>
      <c r="E74" s="139">
        <v>197</v>
      </c>
      <c r="F74" s="139">
        <v>106</v>
      </c>
      <c r="G74" s="139">
        <v>61</v>
      </c>
      <c r="H74" s="151">
        <f>IF(B74&lt;&gt;0,F74+G74,"")</f>
        <v>167</v>
      </c>
      <c r="I74" s="139">
        <v>10</v>
      </c>
      <c r="J74" s="139">
        <v>7</v>
      </c>
      <c r="K74" s="139"/>
      <c r="L74" s="139" t="s">
        <v>78</v>
      </c>
      <c r="M74" s="139">
        <v>190</v>
      </c>
      <c r="N74" s="139">
        <v>82</v>
      </c>
      <c r="O74" s="151" t="str">
        <f>IF(B74&lt;&gt;0,CONCATENATE(E74+IFERROR(VLOOKUP(B74,$B$2:$N$36,4,FALSE),0) + X74, " OZ, ", H74+IFERROR(VLOOKUP(B74,$B$2:$N$36,9,FALSE),0) + Y74+Z74, " (", F74+IFERROR(VLOOKUP(B74,$B$2:$N$36,5,FALSE),0) + Y74, "+",G74+IFERROR(VLOOKUP(B74,$B$2:$N$36,8,FALSE),0) +  Z74, ")"), "")</f>
        <v>209 OZ, 170 (107+63)</v>
      </c>
      <c r="P74" s="151" t="str">
        <f>IF(M74&lt;&gt;0,CONCATENATE(M74,"/",N74),"")</f>
        <v>190/82</v>
      </c>
      <c r="Q74" s="140" t="s">
        <v>444</v>
      </c>
      <c r="R74" s="139">
        <v>2004</v>
      </c>
      <c r="S74" s="151" t="str">
        <f>IFERROR(CONCATENATE(E74+VLOOKUP(B74,$B$39:$R$42,4,FALSE), " OZ, ",G74+VLOOKUP(B74,$B$39:$R$42,13,FALSE), " A"),"")</f>
        <v/>
      </c>
      <c r="T74" s="1" t="str">
        <f>IF(B74&lt;&gt;0,IF(V74=1,U74,CONCATENATE(U74," ",W74,".")),"")</f>
        <v>Sovják</v>
      </c>
      <c r="U74" s="1" t="str">
        <f>IFERROR(RIGHT(B74,LEN(B74)-SEARCH(" ", B74,1)),"")</f>
        <v>Sovják</v>
      </c>
      <c r="V74" s="151">
        <f>IF(B74&lt;&gt;0,COUNTIF($U$48:$U$82,U74),"")</f>
        <v>1</v>
      </c>
      <c r="W74" s="151" t="str">
        <f>IFERROR(LEFT(LEFT(B74,SEARCH(" ",B74,1)),1),"")</f>
        <v>T</v>
      </c>
      <c r="X74" s="139"/>
      <c r="Y74" s="139"/>
      <c r="Z74" s="139"/>
      <c r="AA74" s="138"/>
    </row>
    <row r="75" spans="2:27" ht="15" customHeight="1" x14ac:dyDescent="0.25">
      <c r="B75" s="138" t="s">
        <v>408</v>
      </c>
      <c r="C75" s="137">
        <v>35449</v>
      </c>
      <c r="D75" s="151">
        <f ca="1">IF(C75 &lt;&gt; 0,ROUNDDOWN(($A$47-C75)/365.25,0),"")</f>
        <v>24</v>
      </c>
      <c r="E75" s="139">
        <v>95</v>
      </c>
      <c r="F75" s="139">
        <v>20</v>
      </c>
      <c r="G75" s="139">
        <v>14</v>
      </c>
      <c r="H75" s="151">
        <f>IF(B75&lt;&gt;0,F75+G75,"")</f>
        <v>34</v>
      </c>
      <c r="I75" s="139">
        <v>5</v>
      </c>
      <c r="J75" s="139">
        <v>23</v>
      </c>
      <c r="K75" s="139"/>
      <c r="L75" s="139" t="s">
        <v>78</v>
      </c>
      <c r="M75" s="139">
        <v>185</v>
      </c>
      <c r="N75" s="139">
        <v>78</v>
      </c>
      <c r="O75" s="151" t="str">
        <f>IF(B75&lt;&gt;0,CONCATENATE(E75+IFERROR(VLOOKUP(B75,$B$2:$N$36,4,FALSE),0) + X75, " OZ, ", H75+IFERROR(VLOOKUP(B75,$B$2:$N$36,9,FALSE),0) + Y75+Z75, " (", F75+IFERROR(VLOOKUP(B75,$B$2:$N$36,5,FALSE),0) + Y75, "+",G75+IFERROR(VLOOKUP(B75,$B$2:$N$36,8,FALSE),0) +  Z75, ")"), "")</f>
        <v>121 OZ, 44 (25+19)</v>
      </c>
      <c r="P75" s="151" t="str">
        <f>IF(M75&lt;&gt;0,CONCATENATE(M75,"/",N75),"")</f>
        <v>185/78</v>
      </c>
      <c r="Q75" s="140" t="s">
        <v>450</v>
      </c>
      <c r="R75" s="139">
        <v>2007</v>
      </c>
      <c r="S75" s="151" t="str">
        <f>IFERROR(CONCATENATE(E75+VLOOKUP(B75,$B$39:$R$42,4,FALSE), " OZ, ",G75+VLOOKUP(B75,$B$39:$R$42,13,FALSE), " A"),"")</f>
        <v/>
      </c>
      <c r="T75" s="1" t="str">
        <f>IF(B75&lt;&gt;0,IF(V75=1,U75,CONCATENATE(U75," ",W75,".")),"")</f>
        <v>Szweda</v>
      </c>
      <c r="U75" s="1" t="str">
        <f>IFERROR(RIGHT(B75,LEN(B75)-SEARCH(" ", B75,1)),"")</f>
        <v>Szweda</v>
      </c>
      <c r="V75" s="151">
        <f>IF(B75&lt;&gt;0,COUNTIF($U$48:$U$82,U75),"")</f>
        <v>1</v>
      </c>
      <c r="W75" s="151" t="str">
        <f>IFERROR(LEFT(LEFT(B75,SEARCH(" ",B75,1)),1),"")</f>
        <v>M</v>
      </c>
      <c r="X75" s="139"/>
      <c r="Y75" s="139"/>
      <c r="Z75" s="139"/>
      <c r="AA75" s="138"/>
    </row>
    <row r="76" spans="2:27" ht="15" customHeight="1" x14ac:dyDescent="0.25">
      <c r="B76" s="1" t="s">
        <v>649</v>
      </c>
      <c r="C76" s="137"/>
      <c r="D76" s="151" t="str">
        <f>IF(C76 &lt;&gt; 0,ROUNDDOWN(($A$47-C76)/365.25,0),"")</f>
        <v/>
      </c>
      <c r="E76" s="139"/>
      <c r="F76" s="139"/>
      <c r="G76" s="139"/>
      <c r="H76" s="151">
        <f>IF(B76&lt;&gt;0,F76+G76,"")</f>
        <v>0</v>
      </c>
      <c r="I76" s="139"/>
      <c r="J76" s="139"/>
      <c r="K76" s="139"/>
      <c r="L76" s="139"/>
      <c r="M76" s="139"/>
      <c r="N76" s="139"/>
      <c r="O76" s="151" t="str">
        <f>IF(B76&lt;&gt;0,CONCATENATE(E76+IFERROR(VLOOKUP(B76,$B$2:$N$36,4,FALSE),0) + X76, " OZ, ", H76+IFERROR(VLOOKUP(B76,$B$2:$N$36,9,FALSE),0) + Y76+Z76, " (", F76+IFERROR(VLOOKUP(B76,$B$2:$N$36,5,FALSE),0) + Y76, "+",G76+IFERROR(VLOOKUP(B76,$B$2:$N$36,8,FALSE),0) +  Z76, ")"), "")</f>
        <v>9 OZ, 1 (0+1)</v>
      </c>
      <c r="P76" s="151" t="str">
        <f>IF(M76&lt;&gt;0,CONCATENATE(M76,"/",N76),"")</f>
        <v/>
      </c>
      <c r="Q76" s="140"/>
      <c r="R76" s="139"/>
      <c r="S76" s="151" t="str">
        <f>IFERROR(CONCATENATE(E76+VLOOKUP(B76,$B$39:$R$42,4,FALSE), " OZ, ",G76+VLOOKUP(B76,$B$39:$R$42,13,FALSE), " A"),"")</f>
        <v/>
      </c>
      <c r="T76" s="1" t="str">
        <f>IF(B76&lt;&gt;0,IF(V76=1,U76,CONCATENATE(U76," ",W76,".")),"")</f>
        <v>Šmajda</v>
      </c>
      <c r="U76" s="1" t="str">
        <f>IFERROR(RIGHT(B76,LEN(B76)-SEARCH(" ", B76,1)),"")</f>
        <v>Šmajda</v>
      </c>
      <c r="V76" s="151">
        <f>IF(B76&lt;&gt;0,COUNTIF($U$48:$U$82,U76),"")</f>
        <v>1</v>
      </c>
      <c r="W76" s="151" t="str">
        <f>IFERROR(LEFT(LEFT(B76,SEARCH(" ",B76,1)),1),"")</f>
        <v>Š</v>
      </c>
      <c r="X76" s="139"/>
      <c r="Y76" s="139"/>
      <c r="Z76" s="139"/>
      <c r="AA76" s="138"/>
    </row>
    <row r="77" spans="2:27" ht="15" customHeight="1" x14ac:dyDescent="0.25">
      <c r="B77" s="138" t="s">
        <v>420</v>
      </c>
      <c r="C77" s="137">
        <v>37660</v>
      </c>
      <c r="D77" s="151">
        <f ca="1">IF(C77 &lt;&gt; 0,ROUNDDOWN(($A$47-C77)/365.25,0),"")</f>
        <v>18</v>
      </c>
      <c r="E77" s="139">
        <v>0</v>
      </c>
      <c r="F77" s="139">
        <v>0</v>
      </c>
      <c r="G77" s="139">
        <v>0</v>
      </c>
      <c r="H77" s="151">
        <f>IF(B77&lt;&gt;0,F77+G77,"")</f>
        <v>0</v>
      </c>
      <c r="I77" s="139">
        <v>1</v>
      </c>
      <c r="J77" s="139">
        <v>61</v>
      </c>
      <c r="K77" s="139"/>
      <c r="L77" s="139" t="s">
        <v>78</v>
      </c>
      <c r="M77" s="139">
        <v>184</v>
      </c>
      <c r="N77" s="139">
        <v>72</v>
      </c>
      <c r="O77" s="151" t="str">
        <f>IF(B77&lt;&gt;0,CONCATENATE(E77+IFERROR(VLOOKUP(B77,$B$2:$N$36,4,FALSE),0) + X77, " OZ, ", H77+IFERROR(VLOOKUP(B77,$B$2:$N$36,9,FALSE),0) + Y77+Z77, " (", F77+IFERROR(VLOOKUP(B77,$B$2:$N$36,5,FALSE),0) + Y77, "+",G77+IFERROR(VLOOKUP(B77,$B$2:$N$36,8,FALSE),0) +  Z77, ")"), "")</f>
        <v>19 OZ, 1 (0+1)</v>
      </c>
      <c r="P77" s="151" t="str">
        <f>IF(M77&lt;&gt;0,CONCATENATE(M77,"/",N77),"")</f>
        <v>184/72</v>
      </c>
      <c r="Q77" s="140" t="s">
        <v>444</v>
      </c>
      <c r="R77" s="139">
        <v>2013</v>
      </c>
      <c r="S77" s="151" t="str">
        <f>IFERROR(CONCATENATE(E77+VLOOKUP(B77,$B$39:$R$42,4,FALSE), " OZ, ",G77+VLOOKUP(B77,$B$39:$R$42,13,FALSE), " A"),"")</f>
        <v/>
      </c>
      <c r="T77" s="1" t="str">
        <f>IF(B77&lt;&gt;0,IF(V77=1,U77,CONCATENATE(U77," ",W77,".")),"")</f>
        <v>Štourač</v>
      </c>
      <c r="U77" s="1" t="str">
        <f>IFERROR(RIGHT(B77,LEN(B77)-SEARCH(" ", B77,1)),"")</f>
        <v>Štourač</v>
      </c>
      <c r="V77" s="151">
        <f>IF(B77&lt;&gt;0,COUNTIF($U$48:$U$82,U77),"")</f>
        <v>1</v>
      </c>
      <c r="W77" s="151" t="str">
        <f>IFERROR(LEFT(LEFT(B77,SEARCH(" ",B77,1)),1),"")</f>
        <v>J</v>
      </c>
      <c r="X77" s="139"/>
      <c r="Y77" s="139"/>
      <c r="Z77" s="139"/>
      <c r="AA77" s="138"/>
    </row>
    <row r="78" spans="2:27" ht="15" customHeight="1" x14ac:dyDescent="0.25">
      <c r="B78" s="4" t="s">
        <v>648</v>
      </c>
      <c r="C78" s="137"/>
      <c r="D78" s="151" t="str">
        <f>IF(C78 &lt;&gt; 0,ROUNDDOWN(($A$47-C78)/365.25,0),"")</f>
        <v/>
      </c>
      <c r="E78" s="139"/>
      <c r="F78" s="139"/>
      <c r="G78" s="139"/>
      <c r="H78" s="151">
        <f>IF(B78&lt;&gt;0,F78+G78,"")</f>
        <v>0</v>
      </c>
      <c r="I78" s="139"/>
      <c r="J78" s="139"/>
      <c r="K78" s="139"/>
      <c r="L78" s="139"/>
      <c r="M78" s="139"/>
      <c r="N78" s="139"/>
      <c r="O78" s="151" t="str">
        <f>IF(B78&lt;&gt;0,CONCATENATE(E78+IFERROR(VLOOKUP(B78,$B$2:$N$36,4,FALSE),0) + X78, " OZ, ", H78+IFERROR(VLOOKUP(B78,$B$2:$N$36,9,FALSE),0) + Y78+Z78, " (", F78+IFERROR(VLOOKUP(B78,$B$2:$N$36,5,FALSE),0) + Y78, "+",G78+IFERROR(VLOOKUP(B78,$B$2:$N$36,8,FALSE),0) +  Z78, ")"), "")</f>
        <v>3 OZ, 0 (0+0)</v>
      </c>
      <c r="P78" s="151" t="str">
        <f>IF(M78&lt;&gt;0,CONCATENATE(M78,"/",N78),"")</f>
        <v/>
      </c>
      <c r="Q78" s="140"/>
      <c r="R78" s="139"/>
      <c r="S78" s="151" t="str">
        <f>IFERROR(CONCATENATE(E78+VLOOKUP(B78,$B$39:$R$42,4,FALSE), " OZ, ",G78+VLOOKUP(B78,$B$39:$R$42,13,FALSE), " A"),"")</f>
        <v/>
      </c>
      <c r="T78" s="1" t="str">
        <f>IF(B78&lt;&gt;0,IF(V78=1,U78,CONCATENATE(U78," ",W78,".")),"")</f>
        <v>Vilmanis</v>
      </c>
      <c r="U78" s="1" t="str">
        <f>IFERROR(RIGHT(B78,LEN(B78)-SEARCH(" ", B78,1)),"")</f>
        <v>Vilmanis</v>
      </c>
      <c r="V78" s="151">
        <f>IF(B78&lt;&gt;0,COUNTIF($U$48:$U$82,U78),"")</f>
        <v>1</v>
      </c>
      <c r="W78" s="151" t="str">
        <f>IFERROR(LEFT(LEFT(B78,SEARCH(" ",B78,1)),1),"")</f>
        <v>R</v>
      </c>
      <c r="X78" s="139"/>
      <c r="Y78" s="139"/>
      <c r="Z78" s="139"/>
      <c r="AA78" s="138"/>
    </row>
    <row r="79" spans="2:27" ht="15" customHeight="1" x14ac:dyDescent="0.25">
      <c r="B79" s="4" t="s">
        <v>645</v>
      </c>
      <c r="C79" s="137"/>
      <c r="D79" s="151" t="str">
        <f>IF(C79 &lt;&gt; 0,ROUNDDOWN(($A$47-C79)/365.25,0),"")</f>
        <v/>
      </c>
      <c r="E79" s="139"/>
      <c r="F79" s="139"/>
      <c r="G79" s="139"/>
      <c r="H79" s="151">
        <f>IF(B79&lt;&gt;0,F79+G79,"")</f>
        <v>0</v>
      </c>
      <c r="I79" s="139"/>
      <c r="J79" s="139"/>
      <c r="K79" s="139"/>
      <c r="L79" s="139"/>
      <c r="M79" s="139"/>
      <c r="N79" s="139"/>
      <c r="O79" s="151" t="str">
        <f>IF(B79&lt;&gt;0,CONCATENATE(E79+IFERROR(VLOOKUP(B79,$B$2:$N$36,4,FALSE),0) + X79, " OZ, ", H79+IFERROR(VLOOKUP(B79,$B$2:$N$36,9,FALSE),0) + Y79+Z79, " (", F79+IFERROR(VLOOKUP(B79,$B$2:$N$36,5,FALSE),0) + Y79, "+",G79+IFERROR(VLOOKUP(B79,$B$2:$N$36,8,FALSE),0) +  Z79, ")"), "")</f>
        <v>0 OZ, 0 (0+0)</v>
      </c>
      <c r="P79" s="151" t="str">
        <f>IF(M79&lt;&gt;0,CONCATENATE(M79,"/",N79),"")</f>
        <v/>
      </c>
      <c r="Q79" s="140"/>
      <c r="R79" s="139"/>
      <c r="S79" s="151" t="str">
        <f>IFERROR(CONCATENATE(E79+VLOOKUP(B79,$B$39:$R$42,4,FALSE), " OZ, ",G79+VLOOKUP(B79,$B$39:$R$42,13,FALSE), " A"),"")</f>
        <v>1 OZ, 0 A</v>
      </c>
      <c r="T79" s="1" t="str">
        <f>IF(B79&lt;&gt;0,IF(V79=1,U79,CONCATENATE(U79," ",W79,".")),"")</f>
        <v>Vorálek</v>
      </c>
      <c r="U79" s="1" t="str">
        <f>IFERROR(RIGHT(B79,LEN(B79)-SEARCH(" ", B79,1)),"")</f>
        <v>Vorálek</v>
      </c>
      <c r="V79" s="151">
        <f>IF(B79&lt;&gt;0,COUNTIF($U$48:$U$82,U79),"")</f>
        <v>1</v>
      </c>
      <c r="W79" s="151" t="str">
        <f>IFERROR(LEFT(LEFT(B79,SEARCH(" ",B79,1)),1),"")</f>
        <v>J</v>
      </c>
      <c r="X79" s="139"/>
      <c r="Y79" s="139"/>
      <c r="Z79" s="139"/>
      <c r="AA79" s="138"/>
    </row>
    <row r="80" spans="2:27" ht="15" customHeight="1" x14ac:dyDescent="0.25">
      <c r="B80" s="187" t="s">
        <v>404</v>
      </c>
      <c r="C80" s="137">
        <v>36144</v>
      </c>
      <c r="D80" s="151">
        <f ca="1">IF(C80 &lt;&gt; 0,ROUNDDOWN(($A$47-C80)/365.25,0),"")</f>
        <v>22</v>
      </c>
      <c r="E80" s="139">
        <v>73</v>
      </c>
      <c r="F80" s="139">
        <v>26</v>
      </c>
      <c r="G80" s="139">
        <v>20</v>
      </c>
      <c r="H80" s="151">
        <f>IF(B80&lt;&gt;0,F80+G80,"")</f>
        <v>46</v>
      </c>
      <c r="I80" s="139">
        <v>4</v>
      </c>
      <c r="J80" s="139">
        <v>88</v>
      </c>
      <c r="K80" s="139"/>
      <c r="L80" s="139" t="s">
        <v>41</v>
      </c>
      <c r="M80" s="139">
        <v>180</v>
      </c>
      <c r="N80" s="139">
        <v>73</v>
      </c>
      <c r="O80" s="151" t="str">
        <f>IF(B80&lt;&gt;0,CONCATENATE(E80+IFERROR(VLOOKUP(B80,$B$2:$N$36,4,FALSE),0) + X80, " OZ, ", H80+IFERROR(VLOOKUP(B80,$B$2:$N$36,9,FALSE),0) + Y80+Z80, " (", F80+IFERROR(VLOOKUP(B80,$B$2:$N$36,5,FALSE),0) + Y80, "+",G80+IFERROR(VLOOKUP(B80,$B$2:$N$36,8,FALSE),0) +  Z80, ")"), "")</f>
        <v>99 OZ, 70 (41+29)</v>
      </c>
      <c r="P80" s="151" t="str">
        <f>IF(M80&lt;&gt;0,CONCATENATE(M80,"/",N80),"")</f>
        <v>180/73</v>
      </c>
      <c r="Q80" s="140" t="s">
        <v>443</v>
      </c>
      <c r="R80" s="139">
        <v>2005</v>
      </c>
      <c r="S80" s="151" t="str">
        <f>IFERROR(CONCATENATE(E80+VLOOKUP(B80,$B$39:$R$42,4,FALSE), " OZ, ",G80+VLOOKUP(B80,$B$39:$R$42,13,FALSE), " A"),"")</f>
        <v/>
      </c>
      <c r="T80" s="1" t="str">
        <f>IF(B80&lt;&gt;0,IF(V80=1,U80,CONCATENATE(U80," ",W80,".")),"")</f>
        <v>Vykopal</v>
      </c>
      <c r="U80" s="1" t="str">
        <f>IFERROR(RIGHT(B80,LEN(B80)-SEARCH(" ", B80,1)),"")</f>
        <v>Vykopal</v>
      </c>
      <c r="V80" s="151">
        <f>IF(B80&lt;&gt;0,COUNTIF($U$48:$U$82,U80),"")</f>
        <v>1</v>
      </c>
      <c r="W80" s="151" t="str">
        <f>IFERROR(LEFT(LEFT(B80,SEARCH(" ",B80,1)),1),"")</f>
        <v>F</v>
      </c>
      <c r="X80" s="139"/>
      <c r="Y80" s="139"/>
      <c r="Z80" s="139"/>
      <c r="AA80" s="138"/>
    </row>
    <row r="81" spans="1:27" ht="15" customHeight="1" x14ac:dyDescent="0.25">
      <c r="B81" s="186" t="s">
        <v>417</v>
      </c>
      <c r="C81" s="137">
        <v>30515</v>
      </c>
      <c r="D81" s="151">
        <f ca="1">IF(C81 &lt;&gt; 0,ROUNDDOWN(($A$47-C81)/365.25,0),"")</f>
        <v>37</v>
      </c>
      <c r="E81" s="139">
        <v>184</v>
      </c>
      <c r="F81" s="139">
        <v>72</v>
      </c>
      <c r="G81" s="139">
        <v>40</v>
      </c>
      <c r="H81" s="151">
        <f>IF(B81&lt;&gt;0,F81+G81,"")</f>
        <v>112</v>
      </c>
      <c r="I81" s="139">
        <v>10</v>
      </c>
      <c r="J81" s="139">
        <v>22</v>
      </c>
      <c r="K81" s="139"/>
      <c r="L81" s="139" t="s">
        <v>41</v>
      </c>
      <c r="M81" s="139">
        <v>180</v>
      </c>
      <c r="N81" s="139">
        <v>80</v>
      </c>
      <c r="O81" s="151" t="str">
        <f>IF(B81&lt;&gt;0,CONCATENATE(E81+IFERROR(VLOOKUP(B81,$B$2:$N$36,4,FALSE),0) + X81, " OZ, ", H81+IFERROR(VLOOKUP(B81,$B$2:$N$36,9,FALSE),0) + Y81+Z81, " (", F81+IFERROR(VLOOKUP(B81,$B$2:$N$36,5,FALSE),0) + Y81, "+",G81+IFERROR(VLOOKUP(B81,$B$2:$N$36,8,FALSE),0) +  Z81, ")"), "")</f>
        <v>201 OZ, 119 (76+43)</v>
      </c>
      <c r="P81" s="151" t="str">
        <f>IF(M81&lt;&gt;0,CONCATENATE(M81,"/",N81),"")</f>
        <v>180/80</v>
      </c>
      <c r="Q81" s="140" t="s">
        <v>457</v>
      </c>
      <c r="R81" s="139">
        <v>1998</v>
      </c>
      <c r="S81" s="151" t="str">
        <f>IFERROR(CONCATENATE(E81+VLOOKUP(B81,$B$39:$R$42,4,FALSE), " OZ, ",G81+VLOOKUP(B81,$B$39:$R$42,13,FALSE), " A"),"")</f>
        <v/>
      </c>
      <c r="T81" s="1" t="str">
        <f>IF(B81&lt;&gt;0,IF(V81=1,U81,CONCATENATE(U81," ",W81,".")),"")</f>
        <v>Zapletal</v>
      </c>
      <c r="U81" s="1" t="str">
        <f>IFERROR(RIGHT(B81,LEN(B81)-SEARCH(" ", B81,1)),"")</f>
        <v>Zapletal</v>
      </c>
      <c r="V81" s="151">
        <f>IF(B81&lt;&gt;0,COUNTIF($U$48:$U$82,U81),"")</f>
        <v>1</v>
      </c>
      <c r="W81" s="151" t="str">
        <f>IFERROR(LEFT(LEFT(B81,SEARCH(" ",B81,1)),1),"")</f>
        <v>M</v>
      </c>
      <c r="X81" s="139"/>
      <c r="Y81" s="139"/>
      <c r="Z81" s="139"/>
      <c r="AA81" s="138"/>
    </row>
    <row r="82" spans="1:27" ht="15" customHeight="1" x14ac:dyDescent="0.25">
      <c r="B82" s="186" t="s">
        <v>424</v>
      </c>
      <c r="C82" s="137">
        <v>35465</v>
      </c>
      <c r="D82" s="151">
        <f ca="1">IF(C82 &lt;&gt; 0,ROUNDDOWN(($A$47-C82)/365.25,0),"")</f>
        <v>24</v>
      </c>
      <c r="E82" s="139">
        <v>52</v>
      </c>
      <c r="F82" s="139">
        <v>0</v>
      </c>
      <c r="G82" s="139">
        <v>8</v>
      </c>
      <c r="H82" s="151">
        <f>IF(B82&lt;&gt;0,F82+G82,"")</f>
        <v>8</v>
      </c>
      <c r="I82" s="139">
        <v>3</v>
      </c>
      <c r="J82" s="139">
        <v>42</v>
      </c>
      <c r="K82" s="139"/>
      <c r="L82" s="139" t="s">
        <v>78</v>
      </c>
      <c r="M82" s="139">
        <v>188</v>
      </c>
      <c r="N82" s="139">
        <v>85</v>
      </c>
      <c r="O82" s="151" t="str">
        <f>IF(B82&lt;&gt;0,CONCATENATE(E82+IFERROR(VLOOKUP(B82,$B$2:$N$36,4,FALSE),0) + X82, " OZ, ", H82+IFERROR(VLOOKUP(B82,$B$2:$N$36,9,FALSE),0) + Y82+Z82, " (", F82+IFERROR(VLOOKUP(B82,$B$2:$N$36,5,FALSE),0) + Y82, "+",G82+IFERROR(VLOOKUP(B82,$B$2:$N$36,8,FALSE),0) +  Z82, ")"), "")</f>
        <v>54 OZ, 8 (0+8)</v>
      </c>
      <c r="P82" s="151" t="str">
        <f>IF(M82&lt;&gt;0,CONCATENATE(M82,"/",N82),"")</f>
        <v>188/85</v>
      </c>
      <c r="Q82" s="140" t="s">
        <v>441</v>
      </c>
      <c r="R82" s="139">
        <v>2004</v>
      </c>
      <c r="S82" s="151" t="str">
        <f>IFERROR(CONCATENATE(E82+VLOOKUP(B82,$B$39:$R$42,4,FALSE), " OZ, ",G82+VLOOKUP(B82,$B$39:$R$42,13,FALSE), " A"),"")</f>
        <v/>
      </c>
      <c r="T82" s="1" t="str">
        <f>IF(B82&lt;&gt;0,IF(V82=1,U82,CONCATENATE(U82," ",W82,".")),"")</f>
        <v>Zimmer</v>
      </c>
      <c r="U82" s="1" t="str">
        <f>IFERROR(RIGHT(B82,LEN(B82)-SEARCH(" ", B82,1)),"")</f>
        <v>Zimmer</v>
      </c>
      <c r="V82" s="151">
        <f>IF(B82&lt;&gt;0,COUNTIF($U$48:$U$82,U82),"")</f>
        <v>1</v>
      </c>
      <c r="W82" s="151" t="str">
        <f>IFERROR(LEFT(LEFT(B82,SEARCH(" ",B82,1)),1),"")</f>
        <v>D</v>
      </c>
      <c r="X82" s="139"/>
      <c r="Y82" s="139"/>
      <c r="Z82" s="139"/>
      <c r="AA82" s="138"/>
    </row>
    <row r="84" spans="1:27" s="152" customFormat="1" ht="15" customHeight="1" x14ac:dyDescent="0.25">
      <c r="A84" s="7">
        <f ca="1">TODAY()</f>
        <v>44263</v>
      </c>
      <c r="B84" s="152" t="s">
        <v>59</v>
      </c>
      <c r="C84" s="152" t="s">
        <v>66</v>
      </c>
      <c r="D84" s="152" t="s">
        <v>67</v>
      </c>
      <c r="E84" s="401" t="s">
        <v>94</v>
      </c>
      <c r="F84" s="401"/>
      <c r="G84" s="401" t="s">
        <v>100</v>
      </c>
      <c r="H84" s="401"/>
      <c r="I84" s="401"/>
      <c r="J84" s="401"/>
      <c r="K84" s="401"/>
      <c r="Q84" s="9"/>
    </row>
    <row r="85" spans="1:27" ht="30" customHeight="1" x14ac:dyDescent="0.25">
      <c r="B85" s="138" t="s">
        <v>459</v>
      </c>
      <c r="C85" s="137">
        <v>27314</v>
      </c>
      <c r="D85" s="151">
        <f ca="1">IF(B85&lt;&gt;0,ROUNDDOWN(($A$84-C85)/365.25,0),"")</f>
        <v>46</v>
      </c>
      <c r="E85" s="400" t="s">
        <v>188</v>
      </c>
      <c r="F85" s="400"/>
      <c r="G85" s="400" t="s">
        <v>30</v>
      </c>
      <c r="H85" s="400"/>
      <c r="I85" s="400"/>
      <c r="J85" s="400"/>
      <c r="K85" s="400"/>
    </row>
    <row r="86" spans="1:27" ht="30" customHeight="1" x14ac:dyDescent="0.25">
      <c r="B86" s="138" t="s">
        <v>460</v>
      </c>
      <c r="C86" s="137">
        <v>33731</v>
      </c>
      <c r="D86" s="151">
        <f t="shared" ref="D86:D92" ca="1" si="5">IF(B86&lt;&gt;0,ROUNDDOWN(($A$84-C86)/365.25,0),"")</f>
        <v>28</v>
      </c>
      <c r="E86" s="400" t="s">
        <v>191</v>
      </c>
      <c r="F86" s="400"/>
      <c r="G86" s="400" t="s">
        <v>30</v>
      </c>
      <c r="H86" s="400"/>
      <c r="I86" s="400"/>
      <c r="J86" s="400"/>
      <c r="K86" s="400"/>
    </row>
    <row r="87" spans="1:27" ht="30" customHeight="1" x14ac:dyDescent="0.25">
      <c r="B87" s="138" t="s">
        <v>461</v>
      </c>
      <c r="C87" s="137">
        <v>25991</v>
      </c>
      <c r="D87" s="151">
        <f t="shared" ca="1" si="5"/>
        <v>50</v>
      </c>
      <c r="E87" s="400" t="s">
        <v>101</v>
      </c>
      <c r="F87" s="400"/>
      <c r="G87" s="400" t="s">
        <v>30</v>
      </c>
      <c r="H87" s="400"/>
      <c r="I87" s="400"/>
      <c r="J87" s="400"/>
      <c r="K87" s="400"/>
    </row>
    <row r="88" spans="1:27" ht="30" customHeight="1" x14ac:dyDescent="0.25">
      <c r="B88" s="138"/>
      <c r="C88" s="137"/>
      <c r="D88" s="151" t="str">
        <f t="shared" si="5"/>
        <v/>
      </c>
      <c r="E88" s="400"/>
      <c r="F88" s="400"/>
      <c r="G88" s="400"/>
      <c r="H88" s="400"/>
      <c r="I88" s="400"/>
      <c r="J88" s="400"/>
      <c r="K88" s="400"/>
    </row>
    <row r="89" spans="1:27" ht="30" customHeight="1" x14ac:dyDescent="0.25">
      <c r="B89" s="138"/>
      <c r="C89" s="137"/>
      <c r="D89" s="151" t="str">
        <f t="shared" si="5"/>
        <v/>
      </c>
      <c r="E89" s="400"/>
      <c r="F89" s="400"/>
      <c r="G89" s="400"/>
      <c r="H89" s="400"/>
      <c r="I89" s="400"/>
      <c r="J89" s="400"/>
      <c r="K89" s="400"/>
    </row>
    <row r="90" spans="1:27" ht="30" customHeight="1" x14ac:dyDescent="0.25">
      <c r="B90" s="138"/>
      <c r="C90" s="138"/>
      <c r="D90" s="151" t="str">
        <f t="shared" si="5"/>
        <v/>
      </c>
      <c r="E90" s="400"/>
      <c r="F90" s="400"/>
      <c r="G90" s="400"/>
      <c r="H90" s="400"/>
      <c r="I90" s="400"/>
      <c r="J90" s="400"/>
      <c r="K90" s="400"/>
    </row>
    <row r="91" spans="1:27" ht="30" customHeight="1" x14ac:dyDescent="0.25">
      <c r="B91" s="138"/>
      <c r="C91" s="138"/>
      <c r="D91" s="151" t="str">
        <f t="shared" si="5"/>
        <v/>
      </c>
      <c r="E91" s="400"/>
      <c r="F91" s="400"/>
      <c r="G91" s="400"/>
      <c r="H91" s="400"/>
      <c r="I91" s="400"/>
      <c r="J91" s="400"/>
      <c r="K91" s="400"/>
    </row>
    <row r="92" spans="1:27" ht="30" customHeight="1" x14ac:dyDescent="0.25">
      <c r="B92" s="138"/>
      <c r="C92" s="138"/>
      <c r="D92" s="151" t="str">
        <f t="shared" si="5"/>
        <v/>
      </c>
      <c r="E92" s="400"/>
      <c r="F92" s="400"/>
      <c r="G92" s="400"/>
      <c r="H92" s="400"/>
      <c r="I92" s="400"/>
      <c r="J92" s="400"/>
      <c r="K92" s="400"/>
    </row>
  </sheetData>
  <sheetProtection algorithmName="SHA-512" hashValue="/mEK2Nh/afQgh6LuoOrJs7bbVpNya670UAtSrkwAuwC6wp87R5CKgElPKjB4BOueAHO5RhfpE4hokskudBA9vA==" saltValue="X7FnExD5SN6dG6KXVsovWQ==" spinCount="100000" sheet="1" objects="1" scenarios="1" selectLockedCells="1"/>
  <sortState ref="B48:AA82">
    <sortCondition ref="U48:U82"/>
    <sortCondition ref="B48:B82"/>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53" priority="1" operator="containsText" text="ANO">
      <formula>NOT(ISERROR(SEARCH("ANO",P2)))</formula>
    </cfRule>
    <cfRule type="containsText" dxfId="5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1" t="s">
        <v>36</v>
      </c>
      <c r="B1" s="1" t="s">
        <v>433</v>
      </c>
      <c r="C1" s="212">
        <v>24</v>
      </c>
      <c r="D1" s="403" t="str">
        <f t="shared" ref="D1" si="0">IFERROR(RIGHT(B1,LEN(B1)-SEARCH(" ",B1)),"")</f>
        <v>František Vykopal</v>
      </c>
      <c r="E1" s="403"/>
      <c r="F1" s="151"/>
    </row>
    <row r="2" spans="1:6" x14ac:dyDescent="0.25">
      <c r="A2" s="401"/>
      <c r="B2" s="1" t="s">
        <v>652</v>
      </c>
      <c r="C2" s="212">
        <v>15</v>
      </c>
      <c r="D2" s="403" t="str">
        <f t="shared" ref="D2:D30" si="1">IFERROR(RIGHT(B2,LEN(B2)-SEARCH(" ",B2)),"")</f>
        <v>Filip Hrabal</v>
      </c>
      <c r="E2" s="403"/>
      <c r="F2" s="151"/>
    </row>
    <row r="3" spans="1:6" x14ac:dyDescent="0.25">
      <c r="A3" s="401"/>
      <c r="B3" s="1" t="s">
        <v>700</v>
      </c>
      <c r="C3" s="212">
        <v>15</v>
      </c>
      <c r="D3" s="403" t="str">
        <f t="shared" si="1"/>
        <v>Matěj Hronek</v>
      </c>
      <c r="E3" s="403"/>
      <c r="F3" s="151"/>
    </row>
    <row r="4" spans="1:6" x14ac:dyDescent="0.25">
      <c r="A4" s="401"/>
      <c r="B4" s="1" t="s">
        <v>650</v>
      </c>
      <c r="C4" s="212">
        <v>14</v>
      </c>
      <c r="D4" s="403" t="str">
        <f t="shared" si="1"/>
        <v>Peter Nehila</v>
      </c>
      <c r="E4" s="403"/>
      <c r="F4" s="151"/>
    </row>
    <row r="5" spans="1:6" x14ac:dyDescent="0.25">
      <c r="A5" s="401"/>
      <c r="B5" s="1" t="s">
        <v>701</v>
      </c>
      <c r="C5" s="212">
        <v>14</v>
      </c>
      <c r="D5" s="403" t="str">
        <f t="shared" si="1"/>
        <v>Petr Koláčný</v>
      </c>
      <c r="E5" s="403"/>
      <c r="F5" s="151"/>
    </row>
    <row r="6" spans="1:6" x14ac:dyDescent="0.25">
      <c r="A6" s="401" t="s">
        <v>241</v>
      </c>
      <c r="B6" s="1" t="s">
        <v>436</v>
      </c>
      <c r="C6" s="212" t="s">
        <v>979</v>
      </c>
      <c r="D6" s="403" t="str">
        <f t="shared" si="1"/>
        <v>Kevin Majrich</v>
      </c>
      <c r="E6" s="403"/>
      <c r="F6" s="151">
        <f t="shared" ref="F6:F10" si="2">IF(B6&lt;&gt;0,_xlfn.NUMBERVALUE(C6,","),"")</f>
        <v>6.75</v>
      </c>
    </row>
    <row r="7" spans="1:6" x14ac:dyDescent="0.25">
      <c r="A7" s="401"/>
      <c r="B7" s="1" t="s">
        <v>930</v>
      </c>
      <c r="C7" s="212" t="s">
        <v>437</v>
      </c>
      <c r="D7" s="403" t="str">
        <f t="shared" si="1"/>
        <v>Zdeněk Raška</v>
      </c>
      <c r="E7" s="403"/>
      <c r="F7" s="151">
        <f t="shared" si="2"/>
        <v>9.75</v>
      </c>
    </row>
    <row r="8" spans="1:6" x14ac:dyDescent="0.25">
      <c r="A8" s="401"/>
      <c r="B8" s="1" t="s">
        <v>438</v>
      </c>
      <c r="C8" s="212" t="s">
        <v>931</v>
      </c>
      <c r="D8" s="403" t="str">
        <f t="shared" si="1"/>
        <v>Matěj Kubíček</v>
      </c>
      <c r="E8" s="403"/>
      <c r="F8" s="151">
        <f t="shared" si="2"/>
        <v>10.5</v>
      </c>
    </row>
    <row r="9" spans="1:6" x14ac:dyDescent="0.25">
      <c r="A9" s="401"/>
      <c r="B9" s="1" t="s">
        <v>932</v>
      </c>
      <c r="C9" s="212" t="s">
        <v>933</v>
      </c>
      <c r="D9" s="403" t="str">
        <f t="shared" si="1"/>
        <v>Jan Vorálek</v>
      </c>
      <c r="E9" s="403"/>
      <c r="F9" s="151">
        <f t="shared" si="2"/>
        <v>12.16</v>
      </c>
    </row>
    <row r="10" spans="1:6" x14ac:dyDescent="0.25">
      <c r="A10" s="401"/>
      <c r="B10" s="1"/>
      <c r="C10" s="212"/>
      <c r="D10" s="403" t="str">
        <f t="shared" si="1"/>
        <v/>
      </c>
      <c r="E10" s="403"/>
      <c r="F10" s="151" t="str">
        <f t="shared" si="2"/>
        <v/>
      </c>
    </row>
    <row r="11" spans="1:6" x14ac:dyDescent="0.25">
      <c r="A11" s="401" t="s">
        <v>35</v>
      </c>
      <c r="B11" s="1" t="s">
        <v>433</v>
      </c>
      <c r="C11" s="212">
        <v>15</v>
      </c>
      <c r="D11" s="403" t="str">
        <f t="shared" si="1"/>
        <v>František Vykopal</v>
      </c>
      <c r="E11" s="403"/>
      <c r="F11" s="151"/>
    </row>
    <row r="12" spans="1:6" x14ac:dyDescent="0.25">
      <c r="A12" s="401"/>
      <c r="B12" s="1" t="s">
        <v>652</v>
      </c>
      <c r="C12" s="212">
        <v>12</v>
      </c>
      <c r="D12" s="403" t="str">
        <f t="shared" si="1"/>
        <v>Filip Hrabal</v>
      </c>
      <c r="E12" s="403"/>
      <c r="F12" s="151"/>
    </row>
    <row r="13" spans="1:6" x14ac:dyDescent="0.25">
      <c r="A13" s="401"/>
      <c r="B13" s="1" t="s">
        <v>570</v>
      </c>
      <c r="C13" s="212">
        <v>10</v>
      </c>
      <c r="D13" s="403" t="str">
        <f t="shared" si="1"/>
        <v>Peter Nehila</v>
      </c>
      <c r="E13" s="403"/>
      <c r="F13" s="151"/>
    </row>
    <row r="14" spans="1:6" x14ac:dyDescent="0.25">
      <c r="A14" s="401"/>
      <c r="B14" s="1" t="s">
        <v>435</v>
      </c>
      <c r="C14" s="212">
        <v>7</v>
      </c>
      <c r="D14" s="403" t="str">
        <f t="shared" si="1"/>
        <v>Ladislav Gál</v>
      </c>
      <c r="E14" s="403"/>
      <c r="F14" s="151"/>
    </row>
    <row r="15" spans="1:6" x14ac:dyDescent="0.25">
      <c r="A15" s="401"/>
      <c r="B15" s="1" t="s">
        <v>701</v>
      </c>
      <c r="C15" s="212">
        <v>7</v>
      </c>
      <c r="D15" s="403" t="str">
        <f t="shared" si="1"/>
        <v>Petr Koláčný</v>
      </c>
      <c r="E15" s="403"/>
      <c r="F15" s="151"/>
    </row>
    <row r="16" spans="1:6" x14ac:dyDescent="0.25">
      <c r="A16" s="401" t="s">
        <v>230</v>
      </c>
      <c r="B16" s="1" t="s">
        <v>436</v>
      </c>
      <c r="C16" s="212">
        <v>2</v>
      </c>
      <c r="D16" s="403" t="str">
        <f t="shared" si="1"/>
        <v>Kevin Majrich</v>
      </c>
      <c r="E16" s="403"/>
      <c r="F16" s="151">
        <f t="shared" ref="F16:F20" si="3">IF(B16&lt;&gt;0,_xlfn.NUMBERVALUE(C16,","),"")</f>
        <v>2</v>
      </c>
    </row>
    <row r="17" spans="1:6" x14ac:dyDescent="0.25">
      <c r="A17" s="401"/>
      <c r="B17" s="1" t="s">
        <v>651</v>
      </c>
      <c r="C17" s="212">
        <v>0</v>
      </c>
      <c r="D17" s="403" t="str">
        <f t="shared" si="1"/>
        <v>Jan Vorálek</v>
      </c>
      <c r="E17" s="403"/>
      <c r="F17" s="151">
        <f t="shared" si="3"/>
        <v>0</v>
      </c>
    </row>
    <row r="18" spans="1:6" x14ac:dyDescent="0.25">
      <c r="A18" s="401"/>
      <c r="B18" s="1" t="s">
        <v>438</v>
      </c>
      <c r="C18" s="212">
        <v>0</v>
      </c>
      <c r="D18" s="403" t="str">
        <f t="shared" si="1"/>
        <v>Matěj Kubíček</v>
      </c>
      <c r="E18" s="403"/>
      <c r="F18" s="151">
        <f t="shared" si="3"/>
        <v>0</v>
      </c>
    </row>
    <row r="19" spans="1:6" x14ac:dyDescent="0.25">
      <c r="A19" s="401"/>
      <c r="B19" s="1" t="s">
        <v>653</v>
      </c>
      <c r="C19" s="212">
        <v>0</v>
      </c>
      <c r="D19" s="403" t="str">
        <f t="shared" si="1"/>
        <v>Zdeněk Raška</v>
      </c>
      <c r="E19" s="403"/>
      <c r="F19" s="151">
        <f t="shared" si="3"/>
        <v>0</v>
      </c>
    </row>
    <row r="20" spans="1:6" x14ac:dyDescent="0.25">
      <c r="A20" s="401"/>
      <c r="B20" s="1"/>
      <c r="C20" s="212"/>
      <c r="D20" s="403" t="str">
        <f t="shared" si="1"/>
        <v/>
      </c>
      <c r="E20" s="403"/>
      <c r="F20" s="151" t="str">
        <f t="shared" si="3"/>
        <v/>
      </c>
    </row>
    <row r="21" spans="1:6" x14ac:dyDescent="0.25">
      <c r="A21" s="401" t="s">
        <v>37</v>
      </c>
      <c r="B21" s="1" t="s">
        <v>433</v>
      </c>
      <c r="C21" s="212">
        <v>9</v>
      </c>
      <c r="D21" s="403" t="str">
        <f t="shared" si="1"/>
        <v>František Vykopal</v>
      </c>
      <c r="E21" s="403"/>
      <c r="F21" s="151"/>
    </row>
    <row r="22" spans="1:6" x14ac:dyDescent="0.25">
      <c r="A22" s="401"/>
      <c r="B22" s="1" t="s">
        <v>434</v>
      </c>
      <c r="C22" s="212">
        <v>9</v>
      </c>
      <c r="D22" s="403" t="str">
        <f t="shared" si="1"/>
        <v>Matěj Hronek</v>
      </c>
      <c r="E22" s="403"/>
      <c r="F22" s="151"/>
    </row>
    <row r="23" spans="1:6" x14ac:dyDescent="0.25">
      <c r="A23" s="401"/>
      <c r="B23" s="1" t="s">
        <v>654</v>
      </c>
      <c r="C23" s="212">
        <v>7</v>
      </c>
      <c r="D23" s="403" t="str">
        <f t="shared" si="1"/>
        <v>Petr Koláčný</v>
      </c>
      <c r="E23" s="403"/>
      <c r="F23" s="151"/>
    </row>
    <row r="24" spans="1:6" x14ac:dyDescent="0.25">
      <c r="A24" s="401"/>
      <c r="B24" s="1" t="s">
        <v>693</v>
      </c>
      <c r="C24" s="212">
        <v>7</v>
      </c>
      <c r="D24" s="403" t="str">
        <f t="shared" si="1"/>
        <v>Vlastimil Červenka</v>
      </c>
      <c r="E24" s="403"/>
      <c r="F24" s="151"/>
    </row>
    <row r="25" spans="1:6" x14ac:dyDescent="0.25">
      <c r="A25" s="401"/>
      <c r="B25" s="1" t="s">
        <v>980</v>
      </c>
      <c r="C25" s="212">
        <v>6</v>
      </c>
      <c r="D25" s="403" t="str">
        <f t="shared" si="1"/>
        <v>Lukáš Petřík</v>
      </c>
      <c r="E25" s="403"/>
      <c r="F25" s="151"/>
    </row>
    <row r="26" spans="1:6" x14ac:dyDescent="0.25">
      <c r="A26" s="401" t="s">
        <v>38</v>
      </c>
      <c r="B26" s="1" t="s">
        <v>655</v>
      </c>
      <c r="C26" s="212">
        <v>18</v>
      </c>
      <c r="D26" s="403" t="str">
        <f t="shared" si="1"/>
        <v>Martin Szweda</v>
      </c>
      <c r="E26" s="403"/>
      <c r="F26" s="151"/>
    </row>
    <row r="27" spans="1:6" x14ac:dyDescent="0.25">
      <c r="A27" s="401"/>
      <c r="B27" s="1" t="s">
        <v>656</v>
      </c>
      <c r="C27" s="212">
        <v>14</v>
      </c>
      <c r="D27" s="403" t="str">
        <f t="shared" si="1"/>
        <v>Petr Koláčný</v>
      </c>
      <c r="E27" s="403"/>
      <c r="F27" s="151"/>
    </row>
    <row r="28" spans="1:6" x14ac:dyDescent="0.25">
      <c r="A28" s="401"/>
      <c r="B28" s="1" t="s">
        <v>657</v>
      </c>
      <c r="C28" s="212">
        <v>12</v>
      </c>
      <c r="D28" s="403" t="str">
        <f t="shared" si="1"/>
        <v>Michal Nagy</v>
      </c>
      <c r="E28" s="403"/>
      <c r="F28" s="151"/>
    </row>
    <row r="29" spans="1:6" x14ac:dyDescent="0.25">
      <c r="A29" s="401"/>
      <c r="B29" s="1" t="s">
        <v>981</v>
      </c>
      <c r="C29" s="212">
        <v>11</v>
      </c>
      <c r="D29" s="403" t="str">
        <f t="shared" si="1"/>
        <v>Tomáš Sovják</v>
      </c>
      <c r="E29" s="403"/>
      <c r="F29" s="151"/>
    </row>
    <row r="30" spans="1:6" x14ac:dyDescent="0.25">
      <c r="A30" s="401"/>
      <c r="B30" s="1" t="s">
        <v>982</v>
      </c>
      <c r="C30" s="212">
        <v>8</v>
      </c>
      <c r="D30" s="403" t="str">
        <f t="shared" si="1"/>
        <v>Filip Hrabal</v>
      </c>
      <c r="E30" s="403"/>
      <c r="F30" s="151"/>
    </row>
    <row r="31" spans="1:6" x14ac:dyDescent="0.25">
      <c r="A31" s="401" t="s">
        <v>331</v>
      </c>
      <c r="B31" s="190" t="s">
        <v>959</v>
      </c>
      <c r="C31" s="190" t="s">
        <v>150</v>
      </c>
      <c r="D31" s="190" t="s">
        <v>788</v>
      </c>
      <c r="E31" s="178" t="str">
        <f>IFERROR(RIGHT(LEFT(D31,LEN(D31)-1),LEN(D31)-2),"")</f>
        <v>3:7</v>
      </c>
    </row>
    <row r="32" spans="1:6" x14ac:dyDescent="0.25">
      <c r="A32" s="401"/>
      <c r="B32" s="190" t="s">
        <v>617</v>
      </c>
      <c r="C32" s="190" t="s">
        <v>149</v>
      </c>
      <c r="D32" s="190" t="s">
        <v>934</v>
      </c>
      <c r="E32" s="178" t="str">
        <f t="shared" ref="E32:E40" si="4">IFERROR(RIGHT(LEFT(D32,LEN(D32)-1),LEN(D32)-2),"")</f>
        <v>3:9</v>
      </c>
    </row>
    <row r="33" spans="1:5" x14ac:dyDescent="0.25">
      <c r="A33" s="401"/>
      <c r="B33" s="190" t="s">
        <v>895</v>
      </c>
      <c r="C33" s="190" t="s">
        <v>145</v>
      </c>
      <c r="D33" s="190" t="s">
        <v>935</v>
      </c>
      <c r="E33" s="178" t="str">
        <f t="shared" si="4"/>
        <v>3:12</v>
      </c>
    </row>
    <row r="34" spans="1:5" x14ac:dyDescent="0.25">
      <c r="A34" s="401"/>
      <c r="B34" s="190" t="s">
        <v>474</v>
      </c>
      <c r="C34" s="190" t="s">
        <v>143</v>
      </c>
      <c r="D34" s="190" t="s">
        <v>399</v>
      </c>
      <c r="E34" s="178" t="str">
        <f t="shared" si="4"/>
        <v>3:8</v>
      </c>
    </row>
    <row r="35" spans="1:5" x14ac:dyDescent="0.25">
      <c r="A35" s="401"/>
      <c r="B35" s="190" t="s">
        <v>547</v>
      </c>
      <c r="C35" s="190" t="s">
        <v>148</v>
      </c>
      <c r="D35" s="190" t="s">
        <v>399</v>
      </c>
      <c r="E35" s="178" t="str">
        <f t="shared" si="4"/>
        <v>3:8</v>
      </c>
    </row>
    <row r="36" spans="1:5" x14ac:dyDescent="0.25">
      <c r="A36" s="401" t="s">
        <v>332</v>
      </c>
      <c r="B36" s="190" t="s">
        <v>897</v>
      </c>
      <c r="C36" s="190" t="s">
        <v>147</v>
      </c>
      <c r="D36" s="190" t="s">
        <v>335</v>
      </c>
      <c r="E36" s="178" t="str">
        <f t="shared" si="4"/>
        <v>-:-</v>
      </c>
    </row>
    <row r="37" spans="1:5" x14ac:dyDescent="0.25">
      <c r="A37" s="401"/>
      <c r="B37" s="190" t="s">
        <v>898</v>
      </c>
      <c r="C37" s="190" t="s">
        <v>147</v>
      </c>
      <c r="D37" s="190" t="s">
        <v>335</v>
      </c>
      <c r="E37" s="178" t="str">
        <f t="shared" si="4"/>
        <v>-:-</v>
      </c>
    </row>
    <row r="38" spans="1:5" x14ac:dyDescent="0.25">
      <c r="A38" s="401"/>
      <c r="B38" s="190" t="s">
        <v>899</v>
      </c>
      <c r="C38" s="190" t="s">
        <v>147</v>
      </c>
      <c r="D38" s="190" t="s">
        <v>335</v>
      </c>
      <c r="E38" s="178" t="str">
        <f t="shared" si="4"/>
        <v>-:-</v>
      </c>
    </row>
    <row r="39" spans="1:5" x14ac:dyDescent="0.25">
      <c r="A39" s="401"/>
      <c r="B39" s="190" t="s">
        <v>900</v>
      </c>
      <c r="C39" s="190" t="s">
        <v>147</v>
      </c>
      <c r="D39" s="190" t="s">
        <v>335</v>
      </c>
      <c r="E39" s="178" t="str">
        <f t="shared" si="4"/>
        <v>-:-</v>
      </c>
    </row>
    <row r="40" spans="1:5" x14ac:dyDescent="0.25">
      <c r="A40" s="401"/>
      <c r="B40" s="190" t="s">
        <v>901</v>
      </c>
      <c r="C40" s="190" t="s">
        <v>147</v>
      </c>
      <c r="D40" s="190" t="s">
        <v>335</v>
      </c>
      <c r="E40" s="178" t="str">
        <f t="shared" si="4"/>
        <v>-:-</v>
      </c>
    </row>
    <row r="41" spans="1:5" x14ac:dyDescent="0.25">
      <c r="A41" s="152" t="s">
        <v>333</v>
      </c>
      <c r="B41" s="207" t="s">
        <v>983</v>
      </c>
      <c r="C41" s="190"/>
      <c r="D41" s="190"/>
    </row>
  </sheetData>
  <sheetProtection algorithmName="SHA-512" hashValue="Wipf7pkEIru14+t5V3pOVMAzNeANTXVyeNVmywg58uPFg5xZdwkB5fYIA8ASkppRV9tzfsOxO3Y4wrWUsUhMQA==" saltValue="Z6mauBPCSi2/YovCt7LccQ=="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topLeftCell="A44"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439</v>
      </c>
      <c r="Q1" s="115" t="s">
        <v>47</v>
      </c>
    </row>
    <row r="2" spans="1:26" s="4" customFormat="1" x14ac:dyDescent="0.25">
      <c r="A2" s="53">
        <v>1</v>
      </c>
      <c r="B2" s="4" t="s">
        <v>475</v>
      </c>
      <c r="D2" s="5"/>
      <c r="E2" s="5">
        <v>26</v>
      </c>
      <c r="F2" s="5">
        <v>18</v>
      </c>
      <c r="G2" s="5">
        <v>5</v>
      </c>
      <c r="H2" s="5">
        <v>0</v>
      </c>
      <c r="I2" s="5">
        <v>37</v>
      </c>
      <c r="J2" s="5">
        <v>55</v>
      </c>
      <c r="K2" s="5">
        <v>41</v>
      </c>
      <c r="L2" s="5">
        <v>84</v>
      </c>
      <c r="M2" s="5">
        <v>58</v>
      </c>
      <c r="N2" s="5">
        <v>26</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55 (18+37), +26 ±</v>
      </c>
      <c r="P2" s="5" t="str">
        <f>IF(B2&lt;&gt;0,IF(IFERROR(VLOOKUP(B2,$B$48:$B$82,1,FALSE)=B2,FALSE),"ANO","NE"),"")</f>
        <v>ANO</v>
      </c>
      <c r="Q2" s="142" t="s">
        <v>593</v>
      </c>
      <c r="S2" s="5"/>
      <c r="X2" s="5"/>
      <c r="Y2" s="5"/>
      <c r="Z2" s="5"/>
    </row>
    <row r="3" spans="1:26" s="4" customFormat="1" x14ac:dyDescent="0.25">
      <c r="A3" s="53">
        <v>2</v>
      </c>
      <c r="B3" s="4" t="s">
        <v>478</v>
      </c>
      <c r="D3" s="5"/>
      <c r="E3" s="5">
        <v>26</v>
      </c>
      <c r="F3" s="5">
        <v>30</v>
      </c>
      <c r="G3" s="5">
        <v>9</v>
      </c>
      <c r="H3" s="5">
        <v>0</v>
      </c>
      <c r="I3" s="5">
        <v>15</v>
      </c>
      <c r="J3" s="5">
        <v>45</v>
      </c>
      <c r="K3" s="5">
        <v>4</v>
      </c>
      <c r="L3" s="5">
        <v>66</v>
      </c>
      <c r="M3" s="5">
        <v>48</v>
      </c>
      <c r="N3" s="5">
        <v>18</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45 (30+15), +18 ±</v>
      </c>
      <c r="P3" s="5" t="str">
        <f t="shared" ref="P3:P36" si="1">IF(B3&lt;&gt;0,IF(IFERROR(VLOOKUP(B3,$B$48:$B$82,1,FALSE)=B3,FALSE),"ANO","NE"),"")</f>
        <v>ANO</v>
      </c>
      <c r="Q3" s="142" t="s">
        <v>594</v>
      </c>
      <c r="S3" s="5"/>
      <c r="X3" s="5"/>
      <c r="Y3" s="5"/>
      <c r="Z3" s="5"/>
    </row>
    <row r="4" spans="1:26" s="4" customFormat="1" x14ac:dyDescent="0.25">
      <c r="A4" s="53">
        <v>3</v>
      </c>
      <c r="B4" s="4" t="s">
        <v>477</v>
      </c>
      <c r="D4" s="5" t="s">
        <v>51</v>
      </c>
      <c r="E4" s="5">
        <v>26</v>
      </c>
      <c r="F4" s="5">
        <v>21</v>
      </c>
      <c r="G4" s="5">
        <v>4</v>
      </c>
      <c r="H4" s="5">
        <v>0</v>
      </c>
      <c r="I4" s="5">
        <v>22</v>
      </c>
      <c r="J4" s="5">
        <v>43</v>
      </c>
      <c r="K4" s="5">
        <v>4</v>
      </c>
      <c r="L4" s="5">
        <v>62</v>
      </c>
      <c r="M4" s="5">
        <v>51</v>
      </c>
      <c r="N4" s="5">
        <v>11</v>
      </c>
      <c r="O4" s="166" t="str">
        <f t="shared" si="0"/>
        <v>26 OZ , 43 (21+22), +11 ±</v>
      </c>
      <c r="P4" s="5" t="str">
        <f t="shared" si="1"/>
        <v>ANO</v>
      </c>
      <c r="Q4" s="142" t="s">
        <v>595</v>
      </c>
      <c r="S4" s="5"/>
      <c r="X4" s="5"/>
      <c r="Y4" s="5"/>
      <c r="Z4" s="5"/>
    </row>
    <row r="5" spans="1:26" s="4" customFormat="1" x14ac:dyDescent="0.25">
      <c r="A5" s="53">
        <v>4</v>
      </c>
      <c r="B5" s="4" t="s">
        <v>476</v>
      </c>
      <c r="D5" s="5"/>
      <c r="E5" s="5">
        <v>26</v>
      </c>
      <c r="F5" s="5">
        <v>13</v>
      </c>
      <c r="G5" s="5">
        <v>6</v>
      </c>
      <c r="H5" s="5">
        <v>0</v>
      </c>
      <c r="I5" s="5">
        <v>18</v>
      </c>
      <c r="J5" s="5">
        <v>31</v>
      </c>
      <c r="K5" s="5">
        <v>22</v>
      </c>
      <c r="L5" s="5">
        <v>75</v>
      </c>
      <c r="M5" s="5">
        <v>52</v>
      </c>
      <c r="N5" s="5">
        <v>23</v>
      </c>
      <c r="O5" s="166" t="str">
        <f t="shared" si="0"/>
        <v>26 OZ , 31 (13+18), +23 ±</v>
      </c>
      <c r="P5" s="5" t="str">
        <f t="shared" si="1"/>
        <v>ANO</v>
      </c>
      <c r="Q5" s="142" t="s">
        <v>596</v>
      </c>
      <c r="S5" s="5"/>
      <c r="X5" s="5"/>
      <c r="Y5" s="5"/>
      <c r="Z5" s="5"/>
    </row>
    <row r="6" spans="1:26" x14ac:dyDescent="0.25">
      <c r="A6" s="54">
        <v>5</v>
      </c>
      <c r="B6" s="1" t="s">
        <v>480</v>
      </c>
      <c r="D6" s="212"/>
      <c r="E6" s="212">
        <v>26</v>
      </c>
      <c r="F6" s="212">
        <v>19</v>
      </c>
      <c r="G6" s="212">
        <v>0</v>
      </c>
      <c r="H6" s="212">
        <v>3</v>
      </c>
      <c r="I6" s="212">
        <v>11</v>
      </c>
      <c r="J6" s="212">
        <v>30</v>
      </c>
      <c r="K6" s="212">
        <v>6</v>
      </c>
      <c r="L6" s="212">
        <v>52</v>
      </c>
      <c r="M6" s="212">
        <v>46</v>
      </c>
      <c r="N6" s="212">
        <v>6</v>
      </c>
      <c r="O6" s="166" t="str">
        <f t="shared" si="0"/>
        <v>26 OZ , 30 (19+11), +6 ±</v>
      </c>
      <c r="P6" s="5" t="str">
        <f t="shared" si="1"/>
        <v>ANO</v>
      </c>
    </row>
    <row r="7" spans="1:26" x14ac:dyDescent="0.25">
      <c r="A7" s="54">
        <v>6</v>
      </c>
      <c r="B7" s="1" t="s">
        <v>479</v>
      </c>
      <c r="D7" s="212"/>
      <c r="E7" s="212">
        <v>23</v>
      </c>
      <c r="F7" s="212">
        <v>21</v>
      </c>
      <c r="G7" s="212">
        <v>10</v>
      </c>
      <c r="H7" s="212">
        <v>0</v>
      </c>
      <c r="I7" s="212">
        <v>6</v>
      </c>
      <c r="J7" s="212">
        <v>27</v>
      </c>
      <c r="K7" s="212">
        <v>2</v>
      </c>
      <c r="L7" s="212">
        <v>43</v>
      </c>
      <c r="M7" s="212">
        <v>34</v>
      </c>
      <c r="N7" s="212">
        <v>9</v>
      </c>
      <c r="O7" s="166" t="str">
        <f t="shared" si="0"/>
        <v>23 OZ , 27 (21+6), +9 ±</v>
      </c>
      <c r="P7" s="5" t="str">
        <f t="shared" si="1"/>
        <v>ANO</v>
      </c>
    </row>
    <row r="8" spans="1:26" x14ac:dyDescent="0.25">
      <c r="A8" s="54">
        <v>7</v>
      </c>
      <c r="B8" s="1" t="s">
        <v>483</v>
      </c>
      <c r="D8" s="212"/>
      <c r="E8" s="212">
        <v>24</v>
      </c>
      <c r="F8" s="212">
        <v>15</v>
      </c>
      <c r="G8" s="212">
        <v>0</v>
      </c>
      <c r="H8" s="212">
        <v>0</v>
      </c>
      <c r="I8" s="212">
        <v>8</v>
      </c>
      <c r="J8" s="212">
        <v>23</v>
      </c>
      <c r="K8" s="212">
        <v>6</v>
      </c>
      <c r="L8" s="212">
        <v>33</v>
      </c>
      <c r="M8" s="212">
        <v>21</v>
      </c>
      <c r="N8" s="212">
        <v>12</v>
      </c>
      <c r="O8" s="166" t="str">
        <f t="shared" si="0"/>
        <v>24 OZ , 23 (15+8), +12 ±</v>
      </c>
      <c r="P8" s="5" t="str">
        <f t="shared" si="1"/>
        <v>ANO</v>
      </c>
    </row>
    <row r="9" spans="1:26" x14ac:dyDescent="0.25">
      <c r="A9" s="54">
        <v>8</v>
      </c>
      <c r="B9" s="1" t="s">
        <v>482</v>
      </c>
      <c r="D9" s="212" t="s">
        <v>51</v>
      </c>
      <c r="E9" s="212">
        <v>25</v>
      </c>
      <c r="F9" s="212">
        <v>10</v>
      </c>
      <c r="G9" s="212">
        <v>1</v>
      </c>
      <c r="H9" s="212">
        <v>0</v>
      </c>
      <c r="I9" s="212">
        <v>13</v>
      </c>
      <c r="J9" s="212">
        <v>23</v>
      </c>
      <c r="K9" s="212">
        <v>2</v>
      </c>
      <c r="L9" s="212">
        <v>59</v>
      </c>
      <c r="M9" s="212">
        <v>48</v>
      </c>
      <c r="N9" s="212">
        <v>11</v>
      </c>
      <c r="O9" s="166" t="str">
        <f t="shared" si="0"/>
        <v>25 OZ , 23 (10+13), +11 ±</v>
      </c>
      <c r="P9" s="5" t="str">
        <f t="shared" si="1"/>
        <v>ANO</v>
      </c>
    </row>
    <row r="10" spans="1:26" x14ac:dyDescent="0.25">
      <c r="A10" s="54">
        <v>9</v>
      </c>
      <c r="B10" s="1" t="s">
        <v>481</v>
      </c>
      <c r="D10" s="212" t="s">
        <v>48</v>
      </c>
      <c r="E10" s="212">
        <v>26</v>
      </c>
      <c r="F10" s="212">
        <v>12</v>
      </c>
      <c r="G10" s="212">
        <v>0</v>
      </c>
      <c r="H10" s="212">
        <v>0</v>
      </c>
      <c r="I10" s="212">
        <v>9</v>
      </c>
      <c r="J10" s="212">
        <v>21</v>
      </c>
      <c r="K10" s="212">
        <v>4</v>
      </c>
      <c r="L10" s="212">
        <v>55</v>
      </c>
      <c r="M10" s="212">
        <v>39</v>
      </c>
      <c r="N10" s="212">
        <v>16</v>
      </c>
      <c r="O10" s="166" t="str">
        <f t="shared" si="0"/>
        <v>26 OZ , 21 (12+9), +16 ±</v>
      </c>
      <c r="P10" s="5" t="str">
        <f t="shared" si="1"/>
        <v>ANO</v>
      </c>
    </row>
    <row r="11" spans="1:26" x14ac:dyDescent="0.25">
      <c r="A11" s="54">
        <v>10</v>
      </c>
      <c r="B11" s="1" t="s">
        <v>486</v>
      </c>
      <c r="D11" s="212" t="s">
        <v>48</v>
      </c>
      <c r="E11" s="212">
        <v>26</v>
      </c>
      <c r="F11" s="212">
        <v>6</v>
      </c>
      <c r="G11" s="212">
        <v>1</v>
      </c>
      <c r="H11" s="212">
        <v>0</v>
      </c>
      <c r="I11" s="212">
        <v>7</v>
      </c>
      <c r="J11" s="212">
        <v>13</v>
      </c>
      <c r="K11" s="212">
        <v>2</v>
      </c>
      <c r="L11" s="212">
        <v>51</v>
      </c>
      <c r="M11" s="212">
        <v>40</v>
      </c>
      <c r="N11" s="212">
        <v>11</v>
      </c>
      <c r="O11" s="166" t="str">
        <f t="shared" si="0"/>
        <v>26 OZ , 13 (6+7), +11 ±</v>
      </c>
      <c r="P11" s="5" t="str">
        <f t="shared" si="1"/>
        <v>ANO</v>
      </c>
    </row>
    <row r="12" spans="1:26" x14ac:dyDescent="0.25">
      <c r="A12" s="54">
        <v>11</v>
      </c>
      <c r="B12" s="1" t="s">
        <v>488</v>
      </c>
      <c r="D12" s="212" t="s">
        <v>48</v>
      </c>
      <c r="E12" s="212">
        <v>23</v>
      </c>
      <c r="F12" s="212">
        <v>3</v>
      </c>
      <c r="G12" s="212">
        <v>0</v>
      </c>
      <c r="H12" s="212">
        <v>0</v>
      </c>
      <c r="I12" s="212">
        <v>10</v>
      </c>
      <c r="J12" s="212">
        <v>13</v>
      </c>
      <c r="K12" s="212">
        <v>4</v>
      </c>
      <c r="L12" s="212">
        <v>27</v>
      </c>
      <c r="M12" s="212">
        <v>33</v>
      </c>
      <c r="N12" s="212">
        <v>-6</v>
      </c>
      <c r="O12" s="166" t="str">
        <f t="shared" si="0"/>
        <v>23 OZ , 13 (3+10), -6 ±</v>
      </c>
      <c r="P12" s="5" t="str">
        <f t="shared" si="1"/>
        <v>ANO</v>
      </c>
    </row>
    <row r="13" spans="1:26" x14ac:dyDescent="0.25">
      <c r="A13" s="54">
        <v>12</v>
      </c>
      <c r="B13" s="1" t="s">
        <v>484</v>
      </c>
      <c r="D13" s="212" t="s">
        <v>48</v>
      </c>
      <c r="E13" s="212">
        <v>23</v>
      </c>
      <c r="F13" s="212">
        <v>9</v>
      </c>
      <c r="G13" s="212">
        <v>0</v>
      </c>
      <c r="H13" s="212">
        <v>0</v>
      </c>
      <c r="I13" s="212">
        <v>3</v>
      </c>
      <c r="J13" s="212">
        <v>12</v>
      </c>
      <c r="K13" s="212">
        <v>4</v>
      </c>
      <c r="L13" s="212">
        <v>17</v>
      </c>
      <c r="M13" s="212">
        <v>12</v>
      </c>
      <c r="N13" s="212">
        <v>5</v>
      </c>
      <c r="O13" s="166" t="str">
        <f t="shared" si="0"/>
        <v>23 OZ , 12 (9+3), +5 ±</v>
      </c>
      <c r="P13" s="5" t="str">
        <f t="shared" si="1"/>
        <v>ANO</v>
      </c>
    </row>
    <row r="14" spans="1:26" x14ac:dyDescent="0.25">
      <c r="A14" s="54">
        <v>13</v>
      </c>
      <c r="B14" s="1" t="s">
        <v>485</v>
      </c>
      <c r="D14" s="212" t="s">
        <v>51</v>
      </c>
      <c r="E14" s="212">
        <v>11</v>
      </c>
      <c r="F14" s="212">
        <v>4</v>
      </c>
      <c r="G14" s="212">
        <v>0</v>
      </c>
      <c r="H14" s="212">
        <v>0</v>
      </c>
      <c r="I14" s="212">
        <v>5</v>
      </c>
      <c r="J14" s="212">
        <v>9</v>
      </c>
      <c r="K14" s="212">
        <v>0</v>
      </c>
      <c r="L14" s="212">
        <v>17</v>
      </c>
      <c r="M14" s="212">
        <v>14</v>
      </c>
      <c r="N14" s="212">
        <v>3</v>
      </c>
      <c r="O14" s="166" t="str">
        <f t="shared" si="0"/>
        <v>11 OZ , 9 (4+5), +3 ±</v>
      </c>
      <c r="P14" s="5" t="str">
        <f t="shared" si="1"/>
        <v>ANO</v>
      </c>
    </row>
    <row r="15" spans="1:26" x14ac:dyDescent="0.25">
      <c r="A15" s="54">
        <v>14</v>
      </c>
      <c r="B15" s="1" t="s">
        <v>491</v>
      </c>
      <c r="D15" s="212"/>
      <c r="E15" s="212">
        <v>15</v>
      </c>
      <c r="F15" s="212">
        <v>4</v>
      </c>
      <c r="G15" s="212">
        <v>0</v>
      </c>
      <c r="H15" s="212">
        <v>0</v>
      </c>
      <c r="I15" s="212">
        <v>3</v>
      </c>
      <c r="J15" s="212">
        <v>7</v>
      </c>
      <c r="K15" s="212">
        <v>2</v>
      </c>
      <c r="L15" s="212">
        <v>27</v>
      </c>
      <c r="M15" s="212">
        <v>14</v>
      </c>
      <c r="N15" s="212">
        <v>13</v>
      </c>
      <c r="O15" s="166" t="str">
        <f t="shared" si="0"/>
        <v>15 OZ , 7 (4+3), +13 ±</v>
      </c>
      <c r="P15" s="5" t="str">
        <f t="shared" si="1"/>
        <v>ANO</v>
      </c>
    </row>
    <row r="16" spans="1:26" x14ac:dyDescent="0.25">
      <c r="A16" s="54">
        <v>15</v>
      </c>
      <c r="B16" s="1" t="s">
        <v>489</v>
      </c>
      <c r="D16" s="212" t="s">
        <v>48</v>
      </c>
      <c r="E16" s="212">
        <v>23</v>
      </c>
      <c r="F16" s="212">
        <v>2</v>
      </c>
      <c r="G16" s="212">
        <v>0</v>
      </c>
      <c r="H16" s="212">
        <v>1</v>
      </c>
      <c r="I16" s="212">
        <v>5</v>
      </c>
      <c r="J16" s="212">
        <v>7</v>
      </c>
      <c r="K16" s="212">
        <v>2</v>
      </c>
      <c r="L16" s="212">
        <v>45</v>
      </c>
      <c r="M16" s="212">
        <v>44</v>
      </c>
      <c r="N16" s="212">
        <v>1</v>
      </c>
      <c r="O16" s="166" t="str">
        <f t="shared" si="0"/>
        <v>23 OZ , 7 (2+5), +1 ±</v>
      </c>
      <c r="P16" s="5" t="str">
        <f t="shared" si="1"/>
        <v>ANO</v>
      </c>
    </row>
    <row r="17" spans="1:16" x14ac:dyDescent="0.25">
      <c r="A17" s="54">
        <v>16</v>
      </c>
      <c r="B17" s="1" t="s">
        <v>487</v>
      </c>
      <c r="D17" s="212" t="s">
        <v>51</v>
      </c>
      <c r="E17" s="212">
        <v>21</v>
      </c>
      <c r="F17" s="212">
        <v>5</v>
      </c>
      <c r="G17" s="212">
        <v>0</v>
      </c>
      <c r="H17" s="212">
        <v>0</v>
      </c>
      <c r="I17" s="212">
        <v>1</v>
      </c>
      <c r="J17" s="212">
        <v>6</v>
      </c>
      <c r="K17" s="212">
        <v>2</v>
      </c>
      <c r="L17" s="212">
        <v>23</v>
      </c>
      <c r="M17" s="212">
        <v>14</v>
      </c>
      <c r="N17" s="212">
        <v>9</v>
      </c>
      <c r="O17" s="166" t="str">
        <f t="shared" si="0"/>
        <v>21 OZ , 6 (5+1), +9 ±</v>
      </c>
      <c r="P17" s="5" t="str">
        <f t="shared" si="1"/>
        <v>ANO</v>
      </c>
    </row>
    <row r="18" spans="1:16" x14ac:dyDescent="0.25">
      <c r="A18" s="54">
        <v>17</v>
      </c>
      <c r="B18" s="1" t="s">
        <v>493</v>
      </c>
      <c r="D18" s="212"/>
      <c r="E18" s="212">
        <v>14</v>
      </c>
      <c r="F18" s="212">
        <v>2</v>
      </c>
      <c r="G18" s="212">
        <v>0</v>
      </c>
      <c r="H18" s="212">
        <v>0</v>
      </c>
      <c r="I18" s="212">
        <v>2</v>
      </c>
      <c r="J18" s="212">
        <v>4</v>
      </c>
      <c r="K18" s="212">
        <v>0</v>
      </c>
      <c r="L18" s="212">
        <v>13</v>
      </c>
      <c r="M18" s="212">
        <v>9</v>
      </c>
      <c r="N18" s="212">
        <v>4</v>
      </c>
      <c r="O18" s="166" t="str">
        <f t="shared" si="0"/>
        <v>14 OZ , 4 (2+2), +4 ±</v>
      </c>
      <c r="P18" s="5" t="str">
        <f t="shared" si="1"/>
        <v>ANO</v>
      </c>
    </row>
    <row r="19" spans="1:16" x14ac:dyDescent="0.25">
      <c r="A19" s="54">
        <v>18</v>
      </c>
      <c r="B19" s="1" t="s">
        <v>496</v>
      </c>
      <c r="D19" s="212" t="s">
        <v>51</v>
      </c>
      <c r="E19" s="212">
        <v>22</v>
      </c>
      <c r="F19" s="212">
        <v>2</v>
      </c>
      <c r="G19" s="212">
        <v>0</v>
      </c>
      <c r="H19" s="212">
        <v>0</v>
      </c>
      <c r="I19" s="212">
        <v>1</v>
      </c>
      <c r="J19" s="212">
        <v>3</v>
      </c>
      <c r="K19" s="212">
        <v>0</v>
      </c>
      <c r="L19" s="212">
        <v>15</v>
      </c>
      <c r="M19" s="212">
        <v>12</v>
      </c>
      <c r="N19" s="212">
        <v>3</v>
      </c>
      <c r="O19" s="166" t="str">
        <f t="shared" si="0"/>
        <v>22 OZ , 3 (2+1), +3 ±</v>
      </c>
      <c r="P19" s="5" t="str">
        <f t="shared" si="1"/>
        <v>ANO</v>
      </c>
    </row>
    <row r="20" spans="1:16" x14ac:dyDescent="0.25">
      <c r="A20" s="54">
        <v>19</v>
      </c>
      <c r="B20" s="1" t="s">
        <v>494</v>
      </c>
      <c r="D20" s="212"/>
      <c r="E20" s="212">
        <v>20</v>
      </c>
      <c r="F20" s="212">
        <v>2</v>
      </c>
      <c r="G20" s="212">
        <v>0</v>
      </c>
      <c r="H20" s="212">
        <v>0</v>
      </c>
      <c r="I20" s="212">
        <v>0</v>
      </c>
      <c r="J20" s="212">
        <v>2</v>
      </c>
      <c r="K20" s="212">
        <v>2</v>
      </c>
      <c r="L20" s="212">
        <v>5</v>
      </c>
      <c r="M20" s="212">
        <v>5</v>
      </c>
      <c r="N20" s="212">
        <v>0</v>
      </c>
      <c r="O20" s="166" t="str">
        <f t="shared" si="0"/>
        <v>20 OZ , 2 (2+0), 0 ±</v>
      </c>
      <c r="P20" s="5" t="str">
        <f t="shared" si="1"/>
        <v>ANO</v>
      </c>
    </row>
    <row r="21" spans="1:16" x14ac:dyDescent="0.25">
      <c r="A21" s="54">
        <v>20</v>
      </c>
      <c r="B21" s="1" t="s">
        <v>490</v>
      </c>
      <c r="D21" s="212"/>
      <c r="E21" s="212">
        <v>2</v>
      </c>
      <c r="F21" s="212">
        <v>1</v>
      </c>
      <c r="G21" s="212">
        <v>0</v>
      </c>
      <c r="H21" s="212">
        <v>0</v>
      </c>
      <c r="I21" s="212">
        <v>1</v>
      </c>
      <c r="J21" s="212">
        <v>2</v>
      </c>
      <c r="K21" s="212">
        <v>0</v>
      </c>
      <c r="L21" s="212">
        <v>6</v>
      </c>
      <c r="M21" s="212">
        <v>3</v>
      </c>
      <c r="N21" s="212">
        <v>3</v>
      </c>
      <c r="O21" s="166" t="str">
        <f t="shared" si="0"/>
        <v>2 OZ , 2 (1+1), +3 ±</v>
      </c>
      <c r="P21" s="5" t="str">
        <f t="shared" si="1"/>
        <v>ANO</v>
      </c>
    </row>
    <row r="22" spans="1:16" x14ac:dyDescent="0.25">
      <c r="A22" s="54">
        <v>21</v>
      </c>
      <c r="B22" s="1" t="s">
        <v>492</v>
      </c>
      <c r="D22" s="212" t="s">
        <v>48</v>
      </c>
      <c r="E22" s="212">
        <v>1</v>
      </c>
      <c r="F22" s="212">
        <v>1</v>
      </c>
      <c r="G22" s="212">
        <v>0</v>
      </c>
      <c r="H22" s="212">
        <v>0</v>
      </c>
      <c r="I22" s="212">
        <v>0</v>
      </c>
      <c r="J22" s="212">
        <v>1</v>
      </c>
      <c r="K22" s="212">
        <v>0</v>
      </c>
      <c r="L22" s="212">
        <v>5</v>
      </c>
      <c r="M22" s="212">
        <v>2</v>
      </c>
      <c r="N22" s="212">
        <v>3</v>
      </c>
      <c r="O22" s="166" t="str">
        <f t="shared" si="0"/>
        <v>1 OZ , 1 (1+0), +3 ±</v>
      </c>
      <c r="P22" s="5" t="str">
        <f t="shared" si="1"/>
        <v>ANO</v>
      </c>
    </row>
    <row r="23" spans="1:16" x14ac:dyDescent="0.25">
      <c r="A23" s="54">
        <v>22</v>
      </c>
      <c r="B23" s="1" t="s">
        <v>0</v>
      </c>
      <c r="D23" s="212" t="s">
        <v>48</v>
      </c>
      <c r="E23" s="212">
        <v>4</v>
      </c>
      <c r="F23" s="212">
        <v>0</v>
      </c>
      <c r="G23" s="212">
        <v>0</v>
      </c>
      <c r="H23" s="212">
        <v>0</v>
      </c>
      <c r="I23" s="212">
        <v>1</v>
      </c>
      <c r="J23" s="212">
        <v>1</v>
      </c>
      <c r="K23" s="212">
        <v>0</v>
      </c>
      <c r="L23" s="212">
        <v>1</v>
      </c>
      <c r="M23" s="212">
        <v>0</v>
      </c>
      <c r="N23" s="212">
        <v>1</v>
      </c>
      <c r="O23" s="166" t="str">
        <f t="shared" si="0"/>
        <v>4 OZ , 1 (0+1), +1 ±</v>
      </c>
      <c r="P23" s="5" t="str">
        <f t="shared" si="1"/>
        <v>ANO</v>
      </c>
    </row>
    <row r="24" spans="1:16" x14ac:dyDescent="0.25">
      <c r="A24" s="53">
        <v>23</v>
      </c>
      <c r="B24" s="4" t="s">
        <v>495</v>
      </c>
      <c r="C24" s="4"/>
      <c r="D24" s="5"/>
      <c r="E24" s="5">
        <v>0</v>
      </c>
      <c r="F24" s="5">
        <v>0</v>
      </c>
      <c r="G24" s="5">
        <v>0</v>
      </c>
      <c r="H24" s="5">
        <v>0</v>
      </c>
      <c r="I24" s="5">
        <v>1</v>
      </c>
      <c r="J24" s="5">
        <v>1</v>
      </c>
      <c r="K24" s="5">
        <v>0</v>
      </c>
      <c r="L24" s="5">
        <v>0</v>
      </c>
      <c r="M24" s="5">
        <v>0</v>
      </c>
      <c r="N24" s="5">
        <v>0</v>
      </c>
      <c r="O24" s="166" t="str">
        <f t="shared" si="0"/>
        <v>0 OZ , 1 (0+1), 0 ±</v>
      </c>
      <c r="P24" s="5" t="str">
        <f t="shared" si="1"/>
        <v>ANO</v>
      </c>
    </row>
    <row r="25" spans="1:16" x14ac:dyDescent="0.25">
      <c r="A25" s="53">
        <v>24</v>
      </c>
      <c r="B25" s="4" t="s">
        <v>497</v>
      </c>
      <c r="C25" s="4"/>
      <c r="D25" s="5"/>
      <c r="E25" s="5">
        <v>1</v>
      </c>
      <c r="F25" s="5">
        <v>0</v>
      </c>
      <c r="G25" s="5">
        <v>0</v>
      </c>
      <c r="H25" s="5">
        <v>0</v>
      </c>
      <c r="I25" s="5">
        <v>0</v>
      </c>
      <c r="J25" s="5">
        <v>0</v>
      </c>
      <c r="K25" s="5">
        <v>0</v>
      </c>
      <c r="L25" s="5">
        <v>0</v>
      </c>
      <c r="M25" s="5">
        <v>0</v>
      </c>
      <c r="N25" s="5">
        <v>0</v>
      </c>
      <c r="O25" s="166" t="str">
        <f t="shared" si="0"/>
        <v>1 OZ , 0 (0+0), 0 ±</v>
      </c>
      <c r="P25" s="5" t="str">
        <f t="shared" si="1"/>
        <v>ANO</v>
      </c>
    </row>
    <row r="26" spans="1:16" x14ac:dyDescent="0.25">
      <c r="A26" s="53">
        <v>25</v>
      </c>
      <c r="B26" s="4" t="s">
        <v>498</v>
      </c>
      <c r="C26" s="4"/>
      <c r="D26" s="5"/>
      <c r="E26" s="5">
        <v>1</v>
      </c>
      <c r="F26" s="5">
        <v>0</v>
      </c>
      <c r="G26" s="5">
        <v>0</v>
      </c>
      <c r="H26" s="5">
        <v>0</v>
      </c>
      <c r="I26" s="5">
        <v>0</v>
      </c>
      <c r="J26" s="5">
        <v>0</v>
      </c>
      <c r="K26" s="5">
        <v>0</v>
      </c>
      <c r="L26" s="5">
        <v>0</v>
      </c>
      <c r="M26" s="5">
        <v>0</v>
      </c>
      <c r="N26" s="5">
        <v>0</v>
      </c>
      <c r="O26" s="166" t="str">
        <f t="shared" si="0"/>
        <v>1 OZ , 0 (0+0), 0 ±</v>
      </c>
      <c r="P26" s="5" t="str">
        <f t="shared" si="1"/>
        <v>ANO</v>
      </c>
    </row>
    <row r="27" spans="1:16" x14ac:dyDescent="0.25">
      <c r="A27" s="53">
        <v>26</v>
      </c>
      <c r="B27" s="4" t="s">
        <v>936</v>
      </c>
      <c r="C27" s="4"/>
      <c r="D27" s="5" t="s">
        <v>48</v>
      </c>
      <c r="E27" s="5">
        <v>2</v>
      </c>
      <c r="F27" s="5">
        <v>0</v>
      </c>
      <c r="G27" s="5">
        <v>0</v>
      </c>
      <c r="H27" s="5">
        <v>0</v>
      </c>
      <c r="I27" s="5">
        <v>0</v>
      </c>
      <c r="J27" s="5">
        <v>0</v>
      </c>
      <c r="K27" s="5">
        <v>0</v>
      </c>
      <c r="L27" s="5">
        <v>0</v>
      </c>
      <c r="M27" s="5">
        <v>0</v>
      </c>
      <c r="N27" s="5">
        <v>0</v>
      </c>
      <c r="O27" s="166" t="str">
        <f t="shared" si="0"/>
        <v>2 OZ , 0 (0+0), 0 ±</v>
      </c>
      <c r="P27" s="5" t="str">
        <f t="shared" si="1"/>
        <v>ANO</v>
      </c>
    </row>
    <row r="28" spans="1:16" x14ac:dyDescent="0.25">
      <c r="A28" s="53">
        <v>27</v>
      </c>
      <c r="B28" s="4" t="s">
        <v>500</v>
      </c>
      <c r="C28" s="4"/>
      <c r="D28" s="5"/>
      <c r="E28" s="5">
        <v>0</v>
      </c>
      <c r="F28" s="5">
        <v>0</v>
      </c>
      <c r="G28" s="5">
        <v>0</v>
      </c>
      <c r="H28" s="5">
        <v>0</v>
      </c>
      <c r="I28" s="5">
        <v>0</v>
      </c>
      <c r="J28" s="5">
        <v>0</v>
      </c>
      <c r="K28" s="5">
        <v>0</v>
      </c>
      <c r="L28" s="5">
        <v>0</v>
      </c>
      <c r="M28" s="5">
        <v>0</v>
      </c>
      <c r="N28" s="5">
        <v>0</v>
      </c>
      <c r="O28" s="166" t="str">
        <f t="shared" si="0"/>
        <v>0 OZ , 0 (0+0), 0 ±</v>
      </c>
      <c r="P28" s="5" t="str">
        <f t="shared" si="1"/>
        <v>ANO</v>
      </c>
    </row>
    <row r="29" spans="1:16" ht="15" customHeight="1" x14ac:dyDescent="0.25">
      <c r="A29" s="53">
        <v>28</v>
      </c>
      <c r="B29" s="4" t="s">
        <v>499</v>
      </c>
      <c r="C29" s="4"/>
      <c r="D29" s="5" t="s">
        <v>48</v>
      </c>
      <c r="E29" s="5">
        <v>23</v>
      </c>
      <c r="F29" s="5">
        <v>0</v>
      </c>
      <c r="G29" s="5">
        <v>0</v>
      </c>
      <c r="H29" s="5">
        <v>0</v>
      </c>
      <c r="I29" s="5">
        <v>0</v>
      </c>
      <c r="J29" s="5">
        <v>0</v>
      </c>
      <c r="K29" s="5">
        <v>6</v>
      </c>
      <c r="L29" s="5">
        <v>14</v>
      </c>
      <c r="M29" s="5">
        <v>10</v>
      </c>
      <c r="N29" s="5">
        <v>4</v>
      </c>
      <c r="O29" s="166" t="str">
        <f t="shared" si="0"/>
        <v>23 OZ , 0 (0+0), +4 ±</v>
      </c>
      <c r="P29" s="5" t="str">
        <f t="shared" si="1"/>
        <v>ANO</v>
      </c>
    </row>
    <row r="30" spans="1:16" ht="30" x14ac:dyDescent="0.25">
      <c r="A30" s="53">
        <v>29</v>
      </c>
      <c r="B30" s="4" t="s">
        <v>501</v>
      </c>
      <c r="C30" s="4"/>
      <c r="D30" s="5" t="s">
        <v>35</v>
      </c>
      <c r="E30" s="5">
        <v>0</v>
      </c>
      <c r="F30" s="5">
        <v>0</v>
      </c>
      <c r="G30" s="5">
        <v>0</v>
      </c>
      <c r="H30" s="5">
        <v>0</v>
      </c>
      <c r="I30" s="5">
        <v>0</v>
      </c>
      <c r="J30" s="5">
        <v>0</v>
      </c>
      <c r="K30" s="5">
        <v>0</v>
      </c>
      <c r="L30" s="5">
        <v>0</v>
      </c>
      <c r="M30" s="5">
        <v>0</v>
      </c>
      <c r="N30" s="5">
        <v>0</v>
      </c>
      <c r="O30" s="166" t="str">
        <f t="shared" si="0"/>
        <v>0 OZ , 0 (0+0), 0 ±</v>
      </c>
      <c r="P30" s="5" t="str">
        <f t="shared" si="1"/>
        <v>ANO</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501</v>
      </c>
      <c r="C39"/>
      <c r="D39" s="190">
        <v>25</v>
      </c>
      <c r="E39" s="190">
        <v>23</v>
      </c>
      <c r="F39" s="190">
        <v>1366.54</v>
      </c>
      <c r="G39" s="190">
        <v>15</v>
      </c>
      <c r="H39" s="190">
        <v>117</v>
      </c>
      <c r="I39" s="190">
        <v>0</v>
      </c>
      <c r="J39" s="190">
        <v>553</v>
      </c>
      <c r="K39" s="190">
        <v>0</v>
      </c>
      <c r="L39" s="190">
        <v>8</v>
      </c>
      <c r="M39" s="190">
        <v>436</v>
      </c>
      <c r="N39" s="190">
        <v>0</v>
      </c>
      <c r="O39" s="190">
        <v>0</v>
      </c>
      <c r="P39" s="11">
        <f>IF(B39&lt;&gt;0,IFERROR(H39/(F39/60),0),"")</f>
        <v>5.1370614837472743</v>
      </c>
      <c r="Q39" s="11">
        <f>IF(B39&lt;&gt;0,IFERROR((M39/J39)*100,0),"")</f>
        <v>78.842676311030743</v>
      </c>
      <c r="R39" s="166" t="str">
        <f>IF(B39&lt;&gt;0,CONCATENATE(G39, " V, ",L39," P"),"")</f>
        <v>15 V, 8 P</v>
      </c>
    </row>
    <row r="40" spans="1:27" x14ac:dyDescent="0.25">
      <c r="A40" s="54">
        <v>2</v>
      </c>
      <c r="B40" t="s">
        <v>495</v>
      </c>
      <c r="C40"/>
      <c r="D40" s="190">
        <v>6</v>
      </c>
      <c r="E40" s="190">
        <v>3</v>
      </c>
      <c r="F40" s="190">
        <v>141.6</v>
      </c>
      <c r="G40" s="190">
        <v>3</v>
      </c>
      <c r="H40" s="190">
        <v>10</v>
      </c>
      <c r="I40" s="190">
        <v>0</v>
      </c>
      <c r="J40" s="190">
        <v>40</v>
      </c>
      <c r="K40" s="190">
        <v>0</v>
      </c>
      <c r="L40" s="190">
        <v>0</v>
      </c>
      <c r="M40" s="190">
        <v>30</v>
      </c>
      <c r="N40" s="190">
        <v>1</v>
      </c>
      <c r="O40" s="190">
        <v>0</v>
      </c>
      <c r="P40" s="11">
        <f t="shared" ref="P40:P45" si="2">IF(B40&lt;&gt;0,IFERROR(H40/(F40/60),0),"")</f>
        <v>4.2372881355932206</v>
      </c>
      <c r="Q40" s="11">
        <f t="shared" ref="Q40:Q45" si="3">IF(B40&lt;&gt;0,IFERROR((M40/J40)*100,0),"")</f>
        <v>75</v>
      </c>
      <c r="R40" s="166" t="str">
        <f t="shared" ref="R40:R45" si="4">IF(B40&lt;&gt;0,CONCATENATE(G40, " V, ",L40," P"),"")</f>
        <v>3 V, 0 P</v>
      </c>
    </row>
    <row r="41" spans="1:27" x14ac:dyDescent="0.25">
      <c r="A41" s="54">
        <v>3</v>
      </c>
      <c r="B41" t="s">
        <v>500</v>
      </c>
      <c r="C41"/>
      <c r="D41" s="190">
        <v>21</v>
      </c>
      <c r="E41" s="190">
        <v>3</v>
      </c>
      <c r="F41" s="190">
        <v>39.32</v>
      </c>
      <c r="G41" s="190">
        <v>2</v>
      </c>
      <c r="H41" s="190">
        <v>9</v>
      </c>
      <c r="I41" s="190">
        <v>0</v>
      </c>
      <c r="J41" s="190">
        <v>19</v>
      </c>
      <c r="K41" s="190">
        <v>0</v>
      </c>
      <c r="L41" s="190">
        <v>1</v>
      </c>
      <c r="M41" s="190">
        <v>10</v>
      </c>
      <c r="N41" s="190">
        <v>0</v>
      </c>
      <c r="O41" s="190">
        <v>0</v>
      </c>
      <c r="P41" s="11">
        <f t="shared" si="2"/>
        <v>13.733468972533062</v>
      </c>
      <c r="Q41" s="11">
        <f t="shared" si="3"/>
        <v>52.631578947368418</v>
      </c>
      <c r="R41" s="166"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402" t="s">
        <v>289</v>
      </c>
      <c r="Y46" s="402"/>
      <c r="Z46" s="402"/>
      <c r="AA46" s="402"/>
    </row>
    <row r="47" spans="1:27" s="167" customFormat="1" ht="15" customHeight="1" x14ac:dyDescent="0.25">
      <c r="A47" s="7">
        <f ca="1">TODAY()</f>
        <v>44263</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281</v>
      </c>
      <c r="V47" s="167" t="s">
        <v>282</v>
      </c>
      <c r="W47" s="167" t="s">
        <v>283</v>
      </c>
      <c r="X47" s="167" t="s">
        <v>288</v>
      </c>
      <c r="Y47" s="167" t="s">
        <v>286</v>
      </c>
      <c r="Z47" s="167" t="s">
        <v>287</v>
      </c>
      <c r="AA47" s="167" t="s">
        <v>462</v>
      </c>
    </row>
    <row r="48" spans="1:27" ht="15" customHeight="1" x14ac:dyDescent="0.25">
      <c r="B48" s="1" t="s">
        <v>480</v>
      </c>
      <c r="C48" s="137">
        <v>36990</v>
      </c>
      <c r="D48" s="166">
        <f ca="1">IF(C48 &lt;&gt; 0,ROUNDDOWN(($A$47-C48)/365.25,0),"")</f>
        <v>19</v>
      </c>
      <c r="E48" s="139">
        <v>46</v>
      </c>
      <c r="F48" s="139">
        <v>43</v>
      </c>
      <c r="G48" s="139">
        <v>22</v>
      </c>
      <c r="H48" s="166">
        <f>IF(B48&lt;&gt;0,F48+G48,"")</f>
        <v>65</v>
      </c>
      <c r="I48" s="139">
        <v>3</v>
      </c>
      <c r="J48" s="139">
        <v>21</v>
      </c>
      <c r="K48" s="139"/>
      <c r="L48" s="139" t="s">
        <v>78</v>
      </c>
      <c r="M48" s="139">
        <v>183</v>
      </c>
      <c r="N48" s="139">
        <v>67</v>
      </c>
      <c r="O48" s="166" t="str">
        <f>IF(B48&lt;&gt;0,CONCATENATE(E48+IFERROR(VLOOKUP(B48,$B$2:$N$36,4,FALSE),0) + X48, " OZ, ", H48+IFERROR(VLOOKUP(B48,$B$2:$N$36,9,FALSE),0) + Y48+Z48, " (", F48+IFERROR(VLOOKUP(B48,$B$2:$N$36,5,FALSE),0) + Y48, "+",G48+IFERROR(VLOOKUP(B48,$B$2:$N$36,8,FALSE),0) +  Z48, ")"), "")</f>
        <v>72 OZ, 95 (62+33)</v>
      </c>
      <c r="P48" s="166" t="str">
        <f>IF(M48&lt;&gt;0,CONCATENATE(M48,"/",N48),"")</f>
        <v>183/67</v>
      </c>
      <c r="Q48" s="140" t="s">
        <v>107</v>
      </c>
      <c r="R48" s="139">
        <v>2006</v>
      </c>
      <c r="S48" s="166" t="str">
        <f>IFERROR(CONCATENATE(E48+VLOOKUP(B48,$B$39:$R$42,4,FALSE), " OZ, ",G48+VLOOKUP(B48,$B$39:$R$42,13,FALSE), " A"),"")</f>
        <v/>
      </c>
      <c r="T48" s="1" t="str">
        <f>IF(B48&lt;&gt;0,IF(V48=1,U48,CONCATENATE(U48," ",W48,".")),"")</f>
        <v>Buršík</v>
      </c>
      <c r="U48" s="1" t="str">
        <f>IFERROR(RIGHT(B48,LEN(B48)-SEARCH(" ", B48,1)),"")</f>
        <v>Buršík</v>
      </c>
      <c r="V48" s="166">
        <f>IF(B48&lt;&gt;0,COUNTIF($U$48:$U$82,U48),"")</f>
        <v>1</v>
      </c>
      <c r="W48" s="166" t="str">
        <f>IFERROR(LEFT(LEFT(B48,SEARCH(" ",B48,1)),1),"")</f>
        <v>J</v>
      </c>
      <c r="X48" s="139"/>
      <c r="Y48" s="139"/>
      <c r="Z48" s="139"/>
      <c r="AA48" s="138"/>
    </row>
    <row r="49" spans="2:27" ht="15" customHeight="1" x14ac:dyDescent="0.25">
      <c r="B49" s="1" t="s">
        <v>0</v>
      </c>
      <c r="C49" s="137">
        <v>36257</v>
      </c>
      <c r="D49" s="166">
        <f ca="1">IF(C49 &lt;&gt; 0,ROUNDDOWN(($A$47-C49)/365.25,0),"")</f>
        <v>21</v>
      </c>
      <c r="E49" s="139">
        <v>93</v>
      </c>
      <c r="F49" s="139">
        <v>35</v>
      </c>
      <c r="G49" s="139">
        <v>25</v>
      </c>
      <c r="H49" s="166">
        <f>IF(B49&lt;&gt;0,F49+G49,"")</f>
        <v>60</v>
      </c>
      <c r="I49" s="139">
        <v>5</v>
      </c>
      <c r="J49" s="139">
        <v>77</v>
      </c>
      <c r="K49" s="139"/>
      <c r="L49" s="139" t="s">
        <v>78</v>
      </c>
      <c r="M49" s="139">
        <v>184</v>
      </c>
      <c r="N49" s="139">
        <v>81</v>
      </c>
      <c r="O49" s="166" t="str">
        <f>IF(B49&lt;&gt;0,CONCATENATE(E49+IFERROR(VLOOKUP(B49,$B$2:$N$36,4,FALSE),0) + X49, " OZ, ", H49+IFERROR(VLOOKUP(B49,$B$2:$N$36,9,FALSE),0) + Y49+Z49, " (", F49+IFERROR(VLOOKUP(B49,$B$2:$N$36,5,FALSE),0) + Y49, "+",G49+IFERROR(VLOOKUP(B49,$B$2:$N$36,8,FALSE),0) +  Z49, ")"), "")</f>
        <v>97 OZ, 61 (35+26)</v>
      </c>
      <c r="P49" s="166" t="str">
        <f>IF(M49&lt;&gt;0,CONCATENATE(M49,"/",N49),"")</f>
        <v>184/81</v>
      </c>
      <c r="Q49" s="140" t="s">
        <v>1</v>
      </c>
      <c r="R49" s="139">
        <v>2008</v>
      </c>
      <c r="S49" s="166" t="str">
        <f>IFERROR(CONCATENATE(E49+VLOOKUP(B49,$B$39:$R$42,4,FALSE), " OZ, ",G49+VLOOKUP(B49,$B$39:$R$42,13,FALSE), " A"),"")</f>
        <v/>
      </c>
      <c r="T49" s="1" t="str">
        <f>IF(B49&lt;&gt;0,IF(V49=1,U49,CONCATENATE(U49," ",W49,".")),"")</f>
        <v>Cabejšek</v>
      </c>
      <c r="U49" s="1" t="str">
        <f>IFERROR(RIGHT(B49,LEN(B49)-SEARCH(" ", B49,1)),"")</f>
        <v>Cabejšek</v>
      </c>
      <c r="V49" s="166">
        <f>IF(B49&lt;&gt;0,COUNTIF($U$48:$U$82,U49),"")</f>
        <v>1</v>
      </c>
      <c r="W49" s="166" t="str">
        <f>IFERROR(LEFT(LEFT(B49,SEARCH(" ",B49,1)),1),"")</f>
        <v>D</v>
      </c>
      <c r="X49" s="139"/>
      <c r="Y49" s="139"/>
      <c r="Z49" s="139"/>
      <c r="AA49" s="138"/>
    </row>
    <row r="50" spans="2:27" ht="15" customHeight="1" x14ac:dyDescent="0.25">
      <c r="B50" s="1" t="s">
        <v>488</v>
      </c>
      <c r="C50" s="137">
        <v>33767</v>
      </c>
      <c r="D50" s="166">
        <f ca="1">IF(C50 &lt;&gt; 0,ROUNDDOWN(($A$47-C50)/365.25,0),"")</f>
        <v>28</v>
      </c>
      <c r="E50" s="139">
        <v>220</v>
      </c>
      <c r="F50" s="139">
        <v>66</v>
      </c>
      <c r="G50" s="139">
        <v>56</v>
      </c>
      <c r="H50" s="166">
        <f>IF(B50&lt;&gt;0,F50+G50,"")</f>
        <v>122</v>
      </c>
      <c r="I50" s="139">
        <v>11</v>
      </c>
      <c r="J50" s="139">
        <v>44</v>
      </c>
      <c r="K50" s="139"/>
      <c r="L50" s="139" t="s">
        <v>41</v>
      </c>
      <c r="M50" s="139">
        <v>184</v>
      </c>
      <c r="N50" s="139">
        <v>84</v>
      </c>
      <c r="O50" s="166" t="str">
        <f>IF(B50&lt;&gt;0,CONCATENATE(E50+IFERROR(VLOOKUP(B50,$B$2:$N$36,4,FALSE),0) + X50, " OZ, ", H50+IFERROR(VLOOKUP(B50,$B$2:$N$36,9,FALSE),0) + Y50+Z50, " (", F50+IFERROR(VLOOKUP(B50,$B$2:$N$36,5,FALSE),0) + Y50, "+",G50+IFERROR(VLOOKUP(B50,$B$2:$N$36,8,FALSE),0) +  Z50, ")"), "")</f>
        <v>243 OZ, 135 (69+66)</v>
      </c>
      <c r="P50" s="166" t="str">
        <f>IF(M50&lt;&gt;0,CONCATENATE(M50,"/",N50),"")</f>
        <v>184/84</v>
      </c>
      <c r="Q50" s="140" t="s">
        <v>575</v>
      </c>
      <c r="R50" s="139">
        <v>2002</v>
      </c>
      <c r="S50" s="166" t="str">
        <f>IFERROR(CONCATENATE(E50+VLOOKUP(B50,$B$39:$R$42,4,FALSE), " OZ, ",G50+VLOOKUP(B50,$B$39:$R$42,13,FALSE), " A"),"")</f>
        <v/>
      </c>
      <c r="T50" s="1" t="str">
        <f>IF(B50&lt;&gt;0,IF(V50=1,U50,CONCATENATE(U50," ",W50,".")),"")</f>
        <v>Čihák</v>
      </c>
      <c r="U50" s="1" t="str">
        <f>IFERROR(RIGHT(B50,LEN(B50)-SEARCH(" ", B50,1)),"")</f>
        <v>Čihák</v>
      </c>
      <c r="V50" s="166">
        <f>IF(B50&lt;&gt;0,COUNTIF($U$48:$U$82,U50),"")</f>
        <v>1</v>
      </c>
      <c r="W50" s="166" t="str">
        <f>IFERROR(LEFT(LEFT(B50,SEARCH(" ",B50,1)),1),"")</f>
        <v>P</v>
      </c>
      <c r="X50" s="139"/>
      <c r="Y50" s="139"/>
      <c r="Z50" s="139"/>
      <c r="AA50" s="138"/>
    </row>
    <row r="51" spans="2:27" ht="15" customHeight="1" x14ac:dyDescent="0.25">
      <c r="B51" s="1" t="s">
        <v>487</v>
      </c>
      <c r="C51" s="137">
        <v>36370</v>
      </c>
      <c r="D51" s="166">
        <f ca="1">IF(C51 &lt;&gt; 0,ROUNDDOWN(($A$47-C51)/365.25,0),"")</f>
        <v>21</v>
      </c>
      <c r="E51" s="139">
        <v>84</v>
      </c>
      <c r="F51" s="139">
        <v>11</v>
      </c>
      <c r="G51" s="139">
        <v>14</v>
      </c>
      <c r="H51" s="166">
        <f>IF(B51&lt;&gt;0,F51+G51,"")</f>
        <v>25</v>
      </c>
      <c r="I51" s="139">
        <v>5</v>
      </c>
      <c r="J51" s="139">
        <v>8</v>
      </c>
      <c r="K51" s="139"/>
      <c r="L51" s="139" t="s">
        <v>78</v>
      </c>
      <c r="M51" s="139">
        <v>186</v>
      </c>
      <c r="N51" s="139">
        <v>73</v>
      </c>
      <c r="O51" s="166" t="str">
        <f>IF(B51&lt;&gt;0,CONCATENATE(E51+IFERROR(VLOOKUP(B51,$B$2:$N$36,4,FALSE),0) + X51, " OZ, ", H51+IFERROR(VLOOKUP(B51,$B$2:$N$36,9,FALSE),0) + Y51+Z51, " (", F51+IFERROR(VLOOKUP(B51,$B$2:$N$36,5,FALSE),0) + Y51, "+",G51+IFERROR(VLOOKUP(B51,$B$2:$N$36,8,FALSE),0) +  Z51, ")"), "")</f>
        <v>105 OZ, 31 (16+15)</v>
      </c>
      <c r="P51" s="166" t="str">
        <f>IF(M51&lt;&gt;0,CONCATENATE(M51,"/",N51),"")</f>
        <v>186/73</v>
      </c>
      <c r="Q51" s="140" t="s">
        <v>107</v>
      </c>
      <c r="R51" s="139">
        <v>2009</v>
      </c>
      <c r="S51" s="166" t="str">
        <f>IFERROR(CONCATENATE(E51+VLOOKUP(B51,$B$39:$R$42,4,FALSE), " OZ, ",G51+VLOOKUP(B51,$B$39:$R$42,13,FALSE), " A"),"")</f>
        <v/>
      </c>
      <c r="T51" s="1" t="str">
        <f>IF(B51&lt;&gt;0,IF(V51=1,U51,CONCATENATE(U51," ",W51,".")),"")</f>
        <v>Dobisík</v>
      </c>
      <c r="U51" s="1" t="str">
        <f>IFERROR(RIGHT(B51,LEN(B51)-SEARCH(" ", B51,1)),"")</f>
        <v>Dobisík</v>
      </c>
      <c r="V51" s="166">
        <f>IF(B51&lt;&gt;0,COUNTIF($U$48:$U$82,U51),"")</f>
        <v>1</v>
      </c>
      <c r="W51" s="166" t="str">
        <f>IFERROR(LEFT(LEFT(B51,SEARCH(" ",B51,1)),1),"")</f>
        <v>J</v>
      </c>
      <c r="X51" s="139"/>
      <c r="Y51" s="139"/>
      <c r="Z51" s="139"/>
      <c r="AA51" s="138"/>
    </row>
    <row r="52" spans="2:27" ht="15" customHeight="1" x14ac:dyDescent="0.25">
      <c r="B52" s="1" t="s">
        <v>492</v>
      </c>
      <c r="C52" s="137">
        <v>34316</v>
      </c>
      <c r="D52" s="166">
        <f ca="1">IF(C52 &lt;&gt; 0,ROUNDDOWN(($A$47-C52)/365.25,0),"")</f>
        <v>27</v>
      </c>
      <c r="E52" s="139">
        <v>188</v>
      </c>
      <c r="F52" s="139">
        <v>48</v>
      </c>
      <c r="G52" s="139">
        <v>81</v>
      </c>
      <c r="H52" s="166">
        <f>IF(B52&lt;&gt;0,F52+G52,"")</f>
        <v>129</v>
      </c>
      <c r="I52" s="139">
        <v>10</v>
      </c>
      <c r="J52" s="139">
        <v>84</v>
      </c>
      <c r="K52" s="139"/>
      <c r="L52" s="139" t="s">
        <v>41</v>
      </c>
      <c r="M52" s="139">
        <v>188</v>
      </c>
      <c r="N52" s="139">
        <v>86</v>
      </c>
      <c r="O52" s="166" t="str">
        <f>IF(B52&lt;&gt;0,CONCATENATE(E52+IFERROR(VLOOKUP(B52,$B$2:$N$36,4,FALSE),0) + X52, " OZ, ", H52+IFERROR(VLOOKUP(B52,$B$2:$N$36,9,FALSE),0) + Y52+Z52, " (", F52+IFERROR(VLOOKUP(B52,$B$2:$N$36,5,FALSE),0) + Y52, "+",G52+IFERROR(VLOOKUP(B52,$B$2:$N$36,8,FALSE),0) +  Z52, ")"), "")</f>
        <v>189 OZ, 130 (49+81)</v>
      </c>
      <c r="P52" s="166" t="str">
        <f>IF(M52&lt;&gt;0,CONCATENATE(M52,"/",N52),"")</f>
        <v>188/86</v>
      </c>
      <c r="Q52" s="140" t="s">
        <v>573</v>
      </c>
      <c r="R52" s="139" t="s">
        <v>30</v>
      </c>
      <c r="S52" s="166" t="str">
        <f>IFERROR(CONCATENATE(E52+VLOOKUP(B52,$B$39:$R$42,4,FALSE), " OZ, ",G52+VLOOKUP(B52,$B$39:$R$42,13,FALSE), " A"),"")</f>
        <v/>
      </c>
      <c r="T52" s="1" t="str">
        <f>IF(B52&lt;&gt;0,IF(V52=1,U52,CONCATENATE(U52," ",W52,".")),"")</f>
        <v>Ďopan</v>
      </c>
      <c r="U52" s="1" t="str">
        <f>IFERROR(RIGHT(B52,LEN(B52)-SEARCH(" ", B52,1)),"")</f>
        <v>Ďopan</v>
      </c>
      <c r="V52" s="166">
        <f>IF(B52&lt;&gt;0,COUNTIF($U$48:$U$82,U52),"")</f>
        <v>1</v>
      </c>
      <c r="W52" s="166" t="str">
        <f>IFERROR(LEFT(LEFT(B52,SEARCH(" ",B52,1)),1),"")</f>
        <v>M</v>
      </c>
      <c r="X52" s="139"/>
      <c r="Y52" s="139"/>
      <c r="Z52" s="139"/>
      <c r="AA52" s="138"/>
    </row>
    <row r="53" spans="2:27" ht="15" customHeight="1" x14ac:dyDescent="0.25">
      <c r="B53" s="4" t="s">
        <v>498</v>
      </c>
      <c r="C53" s="137">
        <v>37464</v>
      </c>
      <c r="D53" s="166">
        <f ca="1">IF(C53 &lt;&gt; 0,ROUNDDOWN(($A$47-C53)/365.25,0),"")</f>
        <v>18</v>
      </c>
      <c r="E53" s="139">
        <v>13</v>
      </c>
      <c r="F53" s="139">
        <v>1</v>
      </c>
      <c r="G53" s="139">
        <v>0</v>
      </c>
      <c r="H53" s="166">
        <f>IF(B53&lt;&gt;0,F53+G53,"")</f>
        <v>1</v>
      </c>
      <c r="I53" s="139">
        <v>2</v>
      </c>
      <c r="J53" s="139">
        <v>23</v>
      </c>
      <c r="K53" s="139"/>
      <c r="L53" s="139" t="s">
        <v>41</v>
      </c>
      <c r="M53" s="139" t="s">
        <v>30</v>
      </c>
      <c r="N53" s="139" t="s">
        <v>30</v>
      </c>
      <c r="O53" s="166" t="str">
        <f>IF(B53&lt;&gt;0,CONCATENATE(E53+IFERROR(VLOOKUP(B53,$B$2:$N$36,4,FALSE),0) + X53, " OZ, ", H53+IFERROR(VLOOKUP(B53,$B$2:$N$36,9,FALSE),0) + Y53+Z53, " (", F53+IFERROR(VLOOKUP(B53,$B$2:$N$36,5,FALSE),0) + Y53, "+",G53+IFERROR(VLOOKUP(B53,$B$2:$N$36,8,FALSE),0) +  Z53, ")"), "")</f>
        <v>14 OZ, 1 (1+0)</v>
      </c>
      <c r="P53" s="166" t="str">
        <f>IF(M53&lt;&gt;0,CONCATENATE(M53,"/",N53),"")</f>
        <v>-/-</v>
      </c>
      <c r="Q53" s="140" t="s">
        <v>1</v>
      </c>
      <c r="R53" s="139">
        <v>2011</v>
      </c>
      <c r="S53" s="166" t="str">
        <f>IFERROR(CONCATENATE(E53+VLOOKUP(B53,$B$39:$R$42,4,FALSE), " OZ, ",G53+VLOOKUP(B53,$B$39:$R$42,13,FALSE), " A"),"")</f>
        <v/>
      </c>
      <c r="T53" s="1" t="str">
        <f>IF(B53&lt;&gt;0,IF(V53=1,U53,CONCATENATE(U53," ",W53,".")),"")</f>
        <v>Folauf</v>
      </c>
      <c r="U53" s="1" t="str">
        <f>IFERROR(RIGHT(B53,LEN(B53)-SEARCH(" ", B53,1)),"")</f>
        <v>Folauf</v>
      </c>
      <c r="V53" s="166">
        <f>IF(B53&lt;&gt;0,COUNTIF($U$48:$U$82,U53),"")</f>
        <v>1</v>
      </c>
      <c r="W53" s="166" t="str">
        <f>IFERROR(LEFT(LEFT(B53,SEARCH(" ",B53,1)),1),"")</f>
        <v>F</v>
      </c>
      <c r="X53" s="139"/>
      <c r="Y53" s="139"/>
      <c r="Z53" s="139"/>
      <c r="AA53" s="138"/>
    </row>
    <row r="54" spans="2:27" ht="15" customHeight="1" x14ac:dyDescent="0.25">
      <c r="B54" s="4" t="s">
        <v>475</v>
      </c>
      <c r="C54" s="137">
        <v>34968</v>
      </c>
      <c r="D54" s="166">
        <f ca="1">IF(C54 &lt;&gt; 0,ROUNDDOWN(($A$47-C54)/365.25,0),"")</f>
        <v>25</v>
      </c>
      <c r="E54" s="139">
        <v>116</v>
      </c>
      <c r="F54" s="139">
        <v>17</v>
      </c>
      <c r="G54" s="139">
        <v>8</v>
      </c>
      <c r="H54" s="166">
        <f>IF(B54&lt;&gt;0,F54+G54,"")</f>
        <v>25</v>
      </c>
      <c r="I54" s="139">
        <v>8</v>
      </c>
      <c r="J54" s="139">
        <v>12</v>
      </c>
      <c r="K54" s="139"/>
      <c r="L54" s="139" t="s">
        <v>41</v>
      </c>
      <c r="M54" s="139">
        <v>175</v>
      </c>
      <c r="N54" s="139">
        <v>72</v>
      </c>
      <c r="O54" s="166" t="str">
        <f>IF(B54&lt;&gt;0,CONCATENATE(E54+IFERROR(VLOOKUP(B54,$B$2:$N$36,4,FALSE),0) + X54, " OZ, ", H54+IFERROR(VLOOKUP(B54,$B$2:$N$36,9,FALSE),0) + Y54+Z54, " (", F54+IFERROR(VLOOKUP(B54,$B$2:$N$36,5,FALSE),0) + Y54, "+",G54+IFERROR(VLOOKUP(B54,$B$2:$N$36,8,FALSE),0) +  Z54, ")"), "")</f>
        <v>142 OZ, 80 (35+45)</v>
      </c>
      <c r="P54" s="166" t="str">
        <f>IF(M54&lt;&gt;0,CONCATENATE(M54,"/",N54),"")</f>
        <v>175/72</v>
      </c>
      <c r="Q54" s="140" t="s">
        <v>107</v>
      </c>
      <c r="R54" s="139">
        <v>2010</v>
      </c>
      <c r="S54" s="166" t="str">
        <f>IFERROR(CONCATENATE(E54+VLOOKUP(B54,$B$39:$R$42,4,FALSE), " OZ, ",G54+VLOOKUP(B54,$B$39:$R$42,13,FALSE), " A"),"")</f>
        <v/>
      </c>
      <c r="T54" s="1" t="str">
        <f>IF(B54&lt;&gt;0,IF(V54=1,U54,CONCATENATE(U54," ",W54,".")),"")</f>
        <v>Forman F.</v>
      </c>
      <c r="U54" s="1" t="str">
        <f>IFERROR(RIGHT(B54,LEN(B54)-SEARCH(" ", B54,1)),"")</f>
        <v>Forman</v>
      </c>
      <c r="V54" s="166">
        <f>IF(B54&lt;&gt;0,COUNTIF($U$48:$U$82,U54),"")</f>
        <v>2</v>
      </c>
      <c r="W54" s="166" t="str">
        <f>IFERROR(LEFT(LEFT(B54,SEARCH(" ",B54,1)),1),"")</f>
        <v>F</v>
      </c>
      <c r="X54" s="139"/>
      <c r="Y54" s="139"/>
      <c r="Z54" s="139"/>
      <c r="AA54" s="138"/>
    </row>
    <row r="55" spans="2:27" ht="15" customHeight="1" x14ac:dyDescent="0.25">
      <c r="B55" s="1" t="s">
        <v>484</v>
      </c>
      <c r="C55" s="137">
        <v>34968</v>
      </c>
      <c r="D55" s="166">
        <f ca="1">IF(C55 &lt;&gt; 0,ROUNDDOWN(($A$47-C55)/365.25,0),"")</f>
        <v>25</v>
      </c>
      <c r="E55" s="139">
        <v>116</v>
      </c>
      <c r="F55" s="139">
        <v>17</v>
      </c>
      <c r="G55" s="139">
        <v>8</v>
      </c>
      <c r="H55" s="166">
        <f>IF(B55&lt;&gt;0,F55+G55,"")</f>
        <v>25</v>
      </c>
      <c r="I55" s="139">
        <v>8</v>
      </c>
      <c r="J55" s="139">
        <v>12</v>
      </c>
      <c r="K55" s="139"/>
      <c r="L55" s="139" t="s">
        <v>41</v>
      </c>
      <c r="M55" s="139">
        <v>175</v>
      </c>
      <c r="N55" s="139">
        <v>72</v>
      </c>
      <c r="O55" s="166" t="str">
        <f>IF(B55&lt;&gt;0,CONCATENATE(E55+IFERROR(VLOOKUP(B55,$B$2:$N$36,4,FALSE),0) + X55, " OZ, ", H55+IFERROR(VLOOKUP(B55,$B$2:$N$36,9,FALSE),0) + Y55+Z55, " (", F55+IFERROR(VLOOKUP(B55,$B$2:$N$36,5,FALSE),0) + Y55, "+",G55+IFERROR(VLOOKUP(B55,$B$2:$N$36,8,FALSE),0) +  Z55, ")"), "")</f>
        <v>139 OZ, 37 (26+11)</v>
      </c>
      <c r="P55" s="166" t="str">
        <f>IF(M55&lt;&gt;0,CONCATENATE(M55,"/",N55),"")</f>
        <v>175/72</v>
      </c>
      <c r="Q55" s="140" t="s">
        <v>107</v>
      </c>
      <c r="R55" s="139" t="s">
        <v>30</v>
      </c>
      <c r="S55" s="166" t="str">
        <f>IFERROR(CONCATENATE(E55+VLOOKUP(B55,$B$39:$R$42,4,FALSE), " OZ, ",G55+VLOOKUP(B55,$B$39:$R$42,13,FALSE), " A"),"")</f>
        <v/>
      </c>
      <c r="T55" s="1" t="str">
        <f>IF(B55&lt;&gt;0,IF(V55=1,U55,CONCATENATE(U55," ",W55,".")),"")</f>
        <v>Forman M.</v>
      </c>
      <c r="U55" s="1" t="str">
        <f>IFERROR(RIGHT(B55,LEN(B55)-SEARCH(" ", B55,1)),"")</f>
        <v>Forman</v>
      </c>
      <c r="V55" s="166">
        <f>IF(B55&lt;&gt;0,COUNTIF($U$48:$U$82,U55),"")</f>
        <v>2</v>
      </c>
      <c r="W55" s="166" t="str">
        <f>IFERROR(LEFT(LEFT(B55,SEARCH(" ",B55,1)),1),"")</f>
        <v>M</v>
      </c>
      <c r="X55" s="139"/>
      <c r="Y55" s="139"/>
      <c r="Z55" s="139"/>
      <c r="AA55" s="138"/>
    </row>
    <row r="56" spans="2:27" ht="15" customHeight="1" x14ac:dyDescent="0.25">
      <c r="B56" s="4" t="s">
        <v>500</v>
      </c>
      <c r="C56" s="137">
        <v>34531</v>
      </c>
      <c r="D56" s="166">
        <f ca="1">IF(C56 &lt;&gt; 0,ROUNDDOWN(($A$47-C56)/365.25,0),"")</f>
        <v>26</v>
      </c>
      <c r="E56" s="139">
        <v>23</v>
      </c>
      <c r="F56" s="139">
        <v>0</v>
      </c>
      <c r="G56" s="139">
        <v>0</v>
      </c>
      <c r="H56" s="166">
        <f>IF(B56&lt;&gt;0,F56+G56,"")</f>
        <v>0</v>
      </c>
      <c r="I56" s="139">
        <v>6</v>
      </c>
      <c r="J56" s="139">
        <v>30</v>
      </c>
      <c r="K56" s="139"/>
      <c r="L56" s="139" t="s">
        <v>30</v>
      </c>
      <c r="M56" s="139">
        <v>185</v>
      </c>
      <c r="N56" s="139">
        <v>75</v>
      </c>
      <c r="O56" s="166" t="str">
        <f>IF(B56&lt;&gt;0,CONCATENATE(E56+IFERROR(VLOOKUP(B56,$B$2:$N$36,4,FALSE),0) + X56, " OZ, ", H56+IFERROR(VLOOKUP(B56,$B$2:$N$36,9,FALSE),0) + Y56+Z56, " (", F56+IFERROR(VLOOKUP(B56,$B$2:$N$36,5,FALSE),0) + Y56, "+",G56+IFERROR(VLOOKUP(B56,$B$2:$N$36,8,FALSE),0) +  Z56, ")"), "")</f>
        <v>23 OZ, 0 (0+0)</v>
      </c>
      <c r="P56" s="166" t="str">
        <f>IF(M56&lt;&gt;0,CONCATENATE(M56,"/",N56),"")</f>
        <v>185/75</v>
      </c>
      <c r="Q56" s="140" t="s">
        <v>107</v>
      </c>
      <c r="R56" s="139" t="s">
        <v>30</v>
      </c>
      <c r="S56" s="166" t="str">
        <f>IFERROR(CONCATENATE(E56+VLOOKUP(B56,$B$39:$R$42,4,FALSE), " OZ, ",G56+VLOOKUP(B56,$B$39:$R$42,13,FALSE), " A"),"")</f>
        <v>26 OZ, 0 A</v>
      </c>
      <c r="T56" s="1" t="str">
        <f>IF(B56&lt;&gt;0,IF(V56=1,U56,CONCATENATE(U56," ",W56,".")),"")</f>
        <v>Hyršl</v>
      </c>
      <c r="U56" s="1" t="str">
        <f>IFERROR(RIGHT(B56,LEN(B56)-SEARCH(" ", B56,1)),"")</f>
        <v>Hyršl</v>
      </c>
      <c r="V56" s="166">
        <f>IF(B56&lt;&gt;0,COUNTIF($U$48:$U$82,U56),"")</f>
        <v>1</v>
      </c>
      <c r="W56" s="166" t="str">
        <f>IFERROR(LEFT(LEFT(B56,SEARCH(" ",B56,1)),1),"")</f>
        <v>T</v>
      </c>
      <c r="X56" s="139"/>
      <c r="Y56" s="139"/>
      <c r="Z56" s="139"/>
      <c r="AA56" s="138"/>
    </row>
    <row r="57" spans="2:27" ht="15" customHeight="1" x14ac:dyDescent="0.25">
      <c r="B57" s="1" t="s">
        <v>493</v>
      </c>
      <c r="C57" s="137">
        <v>37548</v>
      </c>
      <c r="D57" s="166">
        <f ca="1">IF(C57 &lt;&gt; 0,ROUNDDOWN(($A$47-C57)/365.25,0),"")</f>
        <v>18</v>
      </c>
      <c r="E57" s="139">
        <v>0</v>
      </c>
      <c r="F57" s="139">
        <v>0</v>
      </c>
      <c r="G57" s="139">
        <v>0</v>
      </c>
      <c r="H57" s="166">
        <f>IF(B57&lt;&gt;0,F57+G57,"")</f>
        <v>0</v>
      </c>
      <c r="I57" s="139">
        <v>1</v>
      </c>
      <c r="J57" s="139">
        <v>50</v>
      </c>
      <c r="K57" s="139"/>
      <c r="L57" s="139" t="s">
        <v>41</v>
      </c>
      <c r="M57" s="139">
        <v>180</v>
      </c>
      <c r="N57" s="139">
        <v>65</v>
      </c>
      <c r="O57" s="166" t="str">
        <f>IF(B57&lt;&gt;0,CONCATENATE(E57+IFERROR(VLOOKUP(B57,$B$2:$N$36,4,FALSE),0) + X57, " OZ, ", H57+IFERROR(VLOOKUP(B57,$B$2:$N$36,9,FALSE),0) + Y57+Z57, " (", F57+IFERROR(VLOOKUP(B57,$B$2:$N$36,5,FALSE),0) + Y57, "+",G57+IFERROR(VLOOKUP(B57,$B$2:$N$36,8,FALSE),0) +  Z57, ")"), "")</f>
        <v>14 OZ, 4 (2+2)</v>
      </c>
      <c r="P57" s="166" t="str">
        <f>IF(M57&lt;&gt;0,CONCATENATE(M57,"/",N57),"")</f>
        <v>180/65</v>
      </c>
      <c r="Q57" s="140" t="s">
        <v>574</v>
      </c>
      <c r="R57" s="139">
        <v>2011</v>
      </c>
      <c r="S57" s="166" t="str">
        <f>IFERROR(CONCATENATE(E57+VLOOKUP(B57,$B$39:$R$42,4,FALSE), " OZ, ",G57+VLOOKUP(B57,$B$39:$R$42,13,FALSE), " A"),"")</f>
        <v/>
      </c>
      <c r="T57" s="1" t="str">
        <f>IF(B57&lt;&gt;0,IF(V57=1,U57,CONCATENATE(U57," ",W57,".")),"")</f>
        <v>Kawulok</v>
      </c>
      <c r="U57" s="1" t="str">
        <f>IFERROR(RIGHT(B57,LEN(B57)-SEARCH(" ", B57,1)),"")</f>
        <v>Kawulok</v>
      </c>
      <c r="V57" s="166">
        <f>IF(B57&lt;&gt;0,COUNTIF($U$48:$U$82,U57),"")</f>
        <v>1</v>
      </c>
      <c r="W57" s="166" t="str">
        <f>IFERROR(LEFT(LEFT(B57,SEARCH(" ",B57,1)),1),"")</f>
        <v>O</v>
      </c>
      <c r="X57" s="139"/>
      <c r="Y57" s="139"/>
      <c r="Z57" s="139"/>
      <c r="AA57" s="138"/>
    </row>
    <row r="58" spans="2:27" ht="15" customHeight="1" x14ac:dyDescent="0.25">
      <c r="B58" s="1" t="s">
        <v>490</v>
      </c>
      <c r="C58" s="137">
        <v>34592</v>
      </c>
      <c r="D58" s="166">
        <f ca="1">IF(C58 &lt;&gt; 0,ROUNDDOWN(($A$47-C58)/365.25,0),"")</f>
        <v>26</v>
      </c>
      <c r="E58" s="139">
        <v>96</v>
      </c>
      <c r="F58" s="139">
        <v>39</v>
      </c>
      <c r="G58" s="139">
        <v>57</v>
      </c>
      <c r="H58" s="166">
        <f>IF(B58&lt;&gt;0,F58+G58,"")</f>
        <v>96</v>
      </c>
      <c r="I58" s="139">
        <v>6</v>
      </c>
      <c r="J58" s="139">
        <v>5</v>
      </c>
      <c r="K58" s="139"/>
      <c r="L58" s="139" t="s">
        <v>78</v>
      </c>
      <c r="M58" s="139">
        <v>184</v>
      </c>
      <c r="N58" s="139">
        <v>85</v>
      </c>
      <c r="O58" s="166" t="str">
        <f>IF(B58&lt;&gt;0,CONCATENATE(E58+IFERROR(VLOOKUP(B58,$B$2:$N$36,4,FALSE),0) + X58, " OZ, ", H58+IFERROR(VLOOKUP(B58,$B$2:$N$36,9,FALSE),0) + Y58+Z58, " (", F58+IFERROR(VLOOKUP(B58,$B$2:$N$36,5,FALSE),0) + Y58, "+",G58+IFERROR(VLOOKUP(B58,$B$2:$N$36,8,FALSE),0) +  Z58, ")"), "")</f>
        <v>98 OZ, 98 (40+58)</v>
      </c>
      <c r="P58" s="166" t="str">
        <f>IF(M58&lt;&gt;0,CONCATENATE(M58,"/",N58),"")</f>
        <v>184/85</v>
      </c>
      <c r="Q58" s="140" t="s">
        <v>107</v>
      </c>
      <c r="R58" s="139">
        <v>2008</v>
      </c>
      <c r="S58" s="166" t="str">
        <f>IFERROR(CONCATENATE(E58+VLOOKUP(B58,$B$39:$R$42,4,FALSE), " OZ, ",G58+VLOOKUP(B58,$B$39:$R$42,13,FALSE), " A"),"")</f>
        <v/>
      </c>
      <c r="T58" s="1" t="str">
        <f>IF(B58&lt;&gt;0,IF(V58=1,U58,CONCATENATE(U58," ",W58,".")),"")</f>
        <v>Kisugite</v>
      </c>
      <c r="U58" s="1" t="str">
        <f>IFERROR(RIGHT(B58,LEN(B58)-SEARCH(" ", B58,1)),"")</f>
        <v>Kisugite</v>
      </c>
      <c r="V58" s="166">
        <f>IF(B58&lt;&gt;0,COUNTIF($U$48:$U$82,U58),"")</f>
        <v>1</v>
      </c>
      <c r="W58" s="166" t="str">
        <f>IFERROR(LEFT(LEFT(B58,SEARCH(" ",B58,1)),1),"")</f>
        <v>M</v>
      </c>
      <c r="X58" s="139"/>
      <c r="Y58" s="139"/>
      <c r="Z58" s="139"/>
      <c r="AA58" s="138"/>
    </row>
    <row r="59" spans="2:27" ht="15" customHeight="1" x14ac:dyDescent="0.25">
      <c r="B59" s="1" t="s">
        <v>485</v>
      </c>
      <c r="C59" s="137">
        <v>34883</v>
      </c>
      <c r="D59" s="166">
        <f ca="1">IF(C59 &lt;&gt; 0,ROUNDDOWN(($A$47-C59)/365.25,0),"")</f>
        <v>25</v>
      </c>
      <c r="E59" s="139">
        <v>81</v>
      </c>
      <c r="F59" s="139">
        <v>55</v>
      </c>
      <c r="G59" s="139">
        <v>26</v>
      </c>
      <c r="H59" s="166">
        <f>IF(B59&lt;&gt;0,F59+G59,"")</f>
        <v>81</v>
      </c>
      <c r="I59" s="139">
        <v>7</v>
      </c>
      <c r="J59" s="139">
        <v>61</v>
      </c>
      <c r="K59" s="139"/>
      <c r="L59" s="139" t="s">
        <v>78</v>
      </c>
      <c r="M59" s="139">
        <v>191</v>
      </c>
      <c r="N59" s="139">
        <v>78</v>
      </c>
      <c r="O59" s="166" t="str">
        <f>IF(B59&lt;&gt;0,CONCATENATE(E59+IFERROR(VLOOKUP(B59,$B$2:$N$36,4,FALSE),0) + X59, " OZ, ", H59+IFERROR(VLOOKUP(B59,$B$2:$N$36,9,FALSE),0) + Y59+Z59, " (", F59+IFERROR(VLOOKUP(B59,$B$2:$N$36,5,FALSE),0) + Y59, "+",G59+IFERROR(VLOOKUP(B59,$B$2:$N$36,8,FALSE),0) +  Z59, ")"), "")</f>
        <v>92 OZ, 90 (59+31)</v>
      </c>
      <c r="P59" s="166" t="str">
        <f>IF(M59&lt;&gt;0,CONCATENATE(M59,"/",N59),"")</f>
        <v>191/78</v>
      </c>
      <c r="Q59" s="140" t="s">
        <v>574</v>
      </c>
      <c r="R59" s="139" t="s">
        <v>30</v>
      </c>
      <c r="S59" s="166" t="str">
        <f>IFERROR(CONCATENATE(E59+VLOOKUP(B59,$B$39:$R$42,4,FALSE), " OZ, ",G59+VLOOKUP(B59,$B$39:$R$42,13,FALSE), " A"),"")</f>
        <v/>
      </c>
      <c r="T59" s="1" t="str">
        <f>IF(B59&lt;&gt;0,IF(V59=1,U59,CONCATENATE(U59," ",W59,".")),"")</f>
        <v>Kopecký</v>
      </c>
      <c r="U59" s="1" t="str">
        <f>IFERROR(RIGHT(B59,LEN(B59)-SEARCH(" ", B59,1)),"")</f>
        <v>Kopecký</v>
      </c>
      <c r="V59" s="166">
        <f>IF(B59&lt;&gt;0,COUNTIF($U$48:$U$82,U59),"")</f>
        <v>1</v>
      </c>
      <c r="W59" s="166" t="str">
        <f>IFERROR(LEFT(LEFT(B59,SEARCH(" ",B59,1)),1),"")</f>
        <v>V</v>
      </c>
      <c r="X59" s="139"/>
      <c r="Y59" s="139"/>
      <c r="Z59" s="139"/>
      <c r="AA59" s="138"/>
    </row>
    <row r="60" spans="2:27" ht="15" customHeight="1" x14ac:dyDescent="0.25">
      <c r="B60" s="1" t="s">
        <v>494</v>
      </c>
      <c r="C60" s="137">
        <v>37049</v>
      </c>
      <c r="D60" s="166">
        <f ca="1">IF(C60 &lt;&gt; 0,ROUNDDOWN(($A$47-C60)/365.25,0),"")</f>
        <v>19</v>
      </c>
      <c r="E60" s="139">
        <v>0</v>
      </c>
      <c r="F60" s="139">
        <v>0</v>
      </c>
      <c r="G60" s="139">
        <v>0</v>
      </c>
      <c r="H60" s="166">
        <f>IF(B60&lt;&gt;0,F60+G60,"")</f>
        <v>0</v>
      </c>
      <c r="I60" s="139">
        <v>1</v>
      </c>
      <c r="J60" s="139">
        <v>74</v>
      </c>
      <c r="K60" s="139"/>
      <c r="L60" s="139" t="s">
        <v>30</v>
      </c>
      <c r="M60" s="139" t="s">
        <v>30</v>
      </c>
      <c r="N60" s="139" t="s">
        <v>30</v>
      </c>
      <c r="O60" s="166" t="str">
        <f>IF(B60&lt;&gt;0,CONCATENATE(E60+IFERROR(VLOOKUP(B60,$B$2:$N$36,4,FALSE),0) + X60, " OZ, ", H60+IFERROR(VLOOKUP(B60,$B$2:$N$36,9,FALSE),0) + Y60+Z60, " (", F60+IFERROR(VLOOKUP(B60,$B$2:$N$36,5,FALSE),0) + Y60, "+",G60+IFERROR(VLOOKUP(B60,$B$2:$N$36,8,FALSE),0) +  Z60, ")"), "")</f>
        <v>20 OZ, 2 (2+0)</v>
      </c>
      <c r="P60" s="166" t="str">
        <f>IF(M60&lt;&gt;0,CONCATENATE(M60,"/",N60),"")</f>
        <v>-/-</v>
      </c>
      <c r="Q60" s="140" t="s">
        <v>107</v>
      </c>
      <c r="R60" s="139">
        <v>2009</v>
      </c>
      <c r="S60" s="166" t="str">
        <f>IFERROR(CONCATENATE(E60+VLOOKUP(B60,$B$39:$R$42,4,FALSE), " OZ, ",G60+VLOOKUP(B60,$B$39:$R$42,13,FALSE), " A"),"")</f>
        <v/>
      </c>
      <c r="T60" s="1" t="str">
        <f>IF(B60&lt;&gt;0,IF(V60=1,U60,CONCATENATE(U60," ",W60,".")),"")</f>
        <v>Kratina</v>
      </c>
      <c r="U60" s="1" t="str">
        <f>IFERROR(RIGHT(B60,LEN(B60)-SEARCH(" ", B60,1)),"")</f>
        <v>Kratina</v>
      </c>
      <c r="V60" s="166">
        <f>IF(B60&lt;&gt;0,COUNTIF($U$48:$U$82,U60),"")</f>
        <v>1</v>
      </c>
      <c r="W60" s="166" t="str">
        <f>IFERROR(LEFT(LEFT(B60,SEARCH(" ",B60,1)),1),"")</f>
        <v>J</v>
      </c>
      <c r="X60" s="139"/>
      <c r="Y60" s="139"/>
      <c r="Z60" s="139"/>
      <c r="AA60" s="138"/>
    </row>
    <row r="61" spans="2:27" ht="15" customHeight="1" x14ac:dyDescent="0.25">
      <c r="B61" s="1" t="s">
        <v>489</v>
      </c>
      <c r="C61" s="137">
        <v>36111</v>
      </c>
      <c r="D61" s="166">
        <f ca="1">IF(C61 &lt;&gt; 0,ROUNDDOWN(($A$47-C61)/365.25,0),"")</f>
        <v>22</v>
      </c>
      <c r="E61" s="139">
        <v>118</v>
      </c>
      <c r="F61" s="139">
        <v>22</v>
      </c>
      <c r="G61" s="139">
        <v>24</v>
      </c>
      <c r="H61" s="166">
        <f>IF(B61&lt;&gt;0,F61+G61,"")</f>
        <v>46</v>
      </c>
      <c r="I61" s="139">
        <v>6</v>
      </c>
      <c r="J61" s="139">
        <v>98</v>
      </c>
      <c r="K61" s="139"/>
      <c r="L61" s="139" t="s">
        <v>78</v>
      </c>
      <c r="M61" s="139">
        <v>183</v>
      </c>
      <c r="N61" s="139">
        <v>73</v>
      </c>
      <c r="O61" s="166" t="str">
        <f>IF(B61&lt;&gt;0,CONCATENATE(E61+IFERROR(VLOOKUP(B61,$B$2:$N$36,4,FALSE),0) + X61, " OZ, ", H61+IFERROR(VLOOKUP(B61,$B$2:$N$36,9,FALSE),0) + Y61+Z61, " (", F61+IFERROR(VLOOKUP(B61,$B$2:$N$36,5,FALSE),0) + Y61, "+",G61+IFERROR(VLOOKUP(B61,$B$2:$N$36,8,FALSE),0) +  Z61, ")"), "")</f>
        <v>141 OZ, 53 (24+29)</v>
      </c>
      <c r="P61" s="166" t="str">
        <f>IF(M61&lt;&gt;0,CONCATENATE(M61,"/",N61),"")</f>
        <v>183/73</v>
      </c>
      <c r="Q61" s="140" t="s">
        <v>107</v>
      </c>
      <c r="R61" s="139">
        <v>2006</v>
      </c>
      <c r="S61" s="166" t="str">
        <f>IFERROR(CONCATENATE(E61+VLOOKUP(B61,$B$39:$R$42,4,FALSE), " OZ, ",G61+VLOOKUP(B61,$B$39:$R$42,13,FALSE), " A"),"")</f>
        <v/>
      </c>
      <c r="T61" s="1" t="str">
        <f>IF(B61&lt;&gt;0,IF(V61=1,U61,CONCATENATE(U61," ",W61,".")),"")</f>
        <v>Krbec</v>
      </c>
      <c r="U61" s="1" t="str">
        <f>IFERROR(RIGHT(B61,LEN(B61)-SEARCH(" ", B61,1)),"")</f>
        <v>Krbec</v>
      </c>
      <c r="V61" s="166">
        <f>IF(B61&lt;&gt;0,COUNTIF($U$48:$U$82,U61),"")</f>
        <v>1</v>
      </c>
      <c r="W61" s="166" t="str">
        <f>IFERROR(LEFT(LEFT(B61,SEARCH(" ",B61,1)),1),"")</f>
        <v>K</v>
      </c>
      <c r="X61" s="139"/>
      <c r="Y61" s="139"/>
      <c r="Z61" s="139"/>
      <c r="AA61" s="138"/>
    </row>
    <row r="62" spans="2:27" ht="15" customHeight="1" x14ac:dyDescent="0.25">
      <c r="B62" s="4" t="s">
        <v>477</v>
      </c>
      <c r="C62" s="137">
        <v>36331</v>
      </c>
      <c r="D62" s="166">
        <f ca="1">IF(C62 &lt;&gt; 0,ROUNDDOWN(($A$47-C62)/365.25,0),"")</f>
        <v>21</v>
      </c>
      <c r="E62" s="139">
        <v>91</v>
      </c>
      <c r="F62" s="139">
        <v>62</v>
      </c>
      <c r="G62" s="139">
        <v>62</v>
      </c>
      <c r="H62" s="166">
        <f>IF(B62&lt;&gt;0,F62+G62,"")</f>
        <v>124</v>
      </c>
      <c r="I62" s="139">
        <v>5</v>
      </c>
      <c r="J62" s="139">
        <v>9</v>
      </c>
      <c r="K62" s="139"/>
      <c r="L62" s="139" t="s">
        <v>78</v>
      </c>
      <c r="M62" s="139">
        <v>186</v>
      </c>
      <c r="N62" s="139">
        <v>95</v>
      </c>
      <c r="O62" s="166" t="str">
        <f>IF(B62&lt;&gt;0,CONCATENATE(E62+IFERROR(VLOOKUP(B62,$B$2:$N$36,4,FALSE),0) + X62, " OZ, ", H62+IFERROR(VLOOKUP(B62,$B$2:$N$36,9,FALSE),0) + Y62+Z62, " (", F62+IFERROR(VLOOKUP(B62,$B$2:$N$36,5,FALSE),0) + Y62, "+",G62+IFERROR(VLOOKUP(B62,$B$2:$N$36,8,FALSE),0) +  Z62, ")"), "")</f>
        <v>117 OZ, 167 (83+84)</v>
      </c>
      <c r="P62" s="166" t="str">
        <f>IF(M62&lt;&gt;0,CONCATENATE(M62,"/",N62),"")</f>
        <v>186/95</v>
      </c>
      <c r="Q62" s="140" t="s">
        <v>107</v>
      </c>
      <c r="R62" s="139">
        <v>2008</v>
      </c>
      <c r="S62" s="166" t="str">
        <f>IFERROR(CONCATENATE(E62+VLOOKUP(B62,$B$39:$R$42,4,FALSE), " OZ, ",G62+VLOOKUP(B62,$B$39:$R$42,13,FALSE), " A"),"")</f>
        <v/>
      </c>
      <c r="T62" s="1" t="str">
        <f>IF(B62&lt;&gt;0,IF(V62=1,U62,CONCATENATE(U62," ",W62,".")),"")</f>
        <v>Krebner</v>
      </c>
      <c r="U62" s="1" t="str">
        <f>IFERROR(RIGHT(B62,LEN(B62)-SEARCH(" ", B62,1)),"")</f>
        <v>Krebner</v>
      </c>
      <c r="V62" s="166">
        <f>IF(B62&lt;&gt;0,COUNTIF($U$48:$U$82,U62),"")</f>
        <v>1</v>
      </c>
      <c r="W62" s="166" t="str">
        <f>IFERROR(LEFT(LEFT(B62,SEARCH(" ",B62,1)),1),"")</f>
        <v>M</v>
      </c>
      <c r="X62" s="139"/>
      <c r="Y62" s="139"/>
      <c r="Z62" s="139"/>
      <c r="AA62" s="138"/>
    </row>
    <row r="63" spans="2:27" ht="15" customHeight="1" x14ac:dyDescent="0.25">
      <c r="B63" s="4" t="s">
        <v>499</v>
      </c>
      <c r="C63" s="137">
        <v>32940</v>
      </c>
      <c r="D63" s="166">
        <f ca="1">IF(C63 &lt;&gt; 0,ROUNDDOWN(($A$47-C63)/365.25,0),"")</f>
        <v>31</v>
      </c>
      <c r="E63" s="139">
        <v>155</v>
      </c>
      <c r="F63" s="139">
        <v>32</v>
      </c>
      <c r="G63" s="139">
        <v>36</v>
      </c>
      <c r="H63" s="166">
        <f>IF(B63&lt;&gt;0,F63+G63,"")</f>
        <v>68</v>
      </c>
      <c r="I63" s="139">
        <v>10</v>
      </c>
      <c r="J63" s="139">
        <v>39</v>
      </c>
      <c r="K63" s="139"/>
      <c r="L63" s="139" t="s">
        <v>41</v>
      </c>
      <c r="M63" s="139">
        <v>184</v>
      </c>
      <c r="N63" s="139">
        <v>90</v>
      </c>
      <c r="O63" s="166" t="str">
        <f>IF(B63&lt;&gt;0,CONCATENATE(E63+IFERROR(VLOOKUP(B63,$B$2:$N$36,4,FALSE),0) + X63, " OZ, ", H63+IFERROR(VLOOKUP(B63,$B$2:$N$36,9,FALSE),0) + Y63+Z63, " (", F63+IFERROR(VLOOKUP(B63,$B$2:$N$36,5,FALSE),0) + Y63, "+",G63+IFERROR(VLOOKUP(B63,$B$2:$N$36,8,FALSE),0) +  Z63, ")"), "")</f>
        <v>178 OZ, 68 (32+36)</v>
      </c>
      <c r="P63" s="166" t="str">
        <f>IF(M63&lt;&gt;0,CONCATENATE(M63,"/",N63),"")</f>
        <v>184/90</v>
      </c>
      <c r="Q63" s="140" t="s">
        <v>107</v>
      </c>
      <c r="R63" s="139" t="s">
        <v>30</v>
      </c>
      <c r="S63" s="166" t="str">
        <f>IFERROR(CONCATENATE(E63+VLOOKUP(B63,$B$39:$R$42,4,FALSE), " OZ, ",G63+VLOOKUP(B63,$B$39:$R$42,13,FALSE), " A"),"")</f>
        <v/>
      </c>
      <c r="T63" s="1" t="str">
        <f>IF(B63&lt;&gt;0,IF(V63=1,U63,CONCATENATE(U63," ",W63,".")),"")</f>
        <v>Kuncman</v>
      </c>
      <c r="U63" s="1" t="str">
        <f>IFERROR(RIGHT(B63,LEN(B63)-SEARCH(" ", B63,1)),"")</f>
        <v>Kuncman</v>
      </c>
      <c r="V63" s="166">
        <f>IF(B63&lt;&gt;0,COUNTIF($U$48:$U$82,U63),"")</f>
        <v>1</v>
      </c>
      <c r="W63" s="166" t="str">
        <f>IFERROR(LEFT(LEFT(B63,SEARCH(" ",B63,1)),1),"")</f>
        <v>L</v>
      </c>
      <c r="X63" s="139"/>
      <c r="Y63" s="139"/>
      <c r="Z63" s="139"/>
      <c r="AA63" s="138"/>
    </row>
    <row r="64" spans="2:27" ht="15" customHeight="1" x14ac:dyDescent="0.25">
      <c r="B64" s="4" t="s">
        <v>476</v>
      </c>
      <c r="C64" s="137">
        <v>37650</v>
      </c>
      <c r="D64" s="166">
        <f ca="1">IF(C64 &lt;&gt; 0,ROUNDDOWN(($A$47-C64)/365.25,0),"")</f>
        <v>18</v>
      </c>
      <c r="E64" s="139">
        <v>0</v>
      </c>
      <c r="F64" s="139">
        <v>0</v>
      </c>
      <c r="G64" s="139">
        <v>0</v>
      </c>
      <c r="H64" s="166">
        <f>IF(B64&lt;&gt;0,F64+G64,"")</f>
        <v>0</v>
      </c>
      <c r="I64" s="139">
        <v>1</v>
      </c>
      <c r="J64" s="139">
        <v>38</v>
      </c>
      <c r="K64" s="139"/>
      <c r="L64" s="139" t="s">
        <v>78</v>
      </c>
      <c r="M64" s="139">
        <v>175</v>
      </c>
      <c r="N64" s="139">
        <v>65</v>
      </c>
      <c r="O64" s="166" t="str">
        <f>IF(B64&lt;&gt;0,CONCATENATE(E64+IFERROR(VLOOKUP(B64,$B$2:$N$36,4,FALSE),0) + X64, " OZ, ", H64+IFERROR(VLOOKUP(B64,$B$2:$N$36,9,FALSE),0) + Y64+Z64, " (", F64+IFERROR(VLOOKUP(B64,$B$2:$N$36,5,FALSE),0) + Y64, "+",G64+IFERROR(VLOOKUP(B64,$B$2:$N$36,8,FALSE),0) +  Z64, ")"), "")</f>
        <v>26 OZ, 31 (13+18)</v>
      </c>
      <c r="P64" s="166" t="str">
        <f>IF(M64&lt;&gt;0,CONCATENATE(M64,"/",N64),"")</f>
        <v>175/65</v>
      </c>
      <c r="Q64" s="140" t="s">
        <v>1</v>
      </c>
      <c r="R64" s="139">
        <v>2009</v>
      </c>
      <c r="S64" s="166" t="str">
        <f>IFERROR(CONCATENATE(E64+VLOOKUP(B64,$B$39:$R$42,4,FALSE), " OZ, ",G64+VLOOKUP(B64,$B$39:$R$42,13,FALSE), " A"),"")</f>
        <v/>
      </c>
      <c r="T64" s="1" t="str">
        <f>IF(B64&lt;&gt;0,IF(V64=1,U64,CONCATENATE(U64," ",W64,".")),"")</f>
        <v>Malič</v>
      </c>
      <c r="U64" s="1" t="str">
        <f>IFERROR(RIGHT(B64,LEN(B64)-SEARCH(" ", B64,1)),"")</f>
        <v>Malič</v>
      </c>
      <c r="V64" s="166">
        <f>IF(B64&lt;&gt;0,COUNTIF($U$48:$U$82,U64),"")</f>
        <v>1</v>
      </c>
      <c r="W64" s="166" t="str">
        <f>IFERROR(LEFT(LEFT(B64,SEARCH(" ",B64,1)),1),"")</f>
        <v>J</v>
      </c>
      <c r="X64" s="139"/>
      <c r="Y64" s="139"/>
      <c r="Z64" s="139"/>
      <c r="AA64" s="138"/>
    </row>
    <row r="65" spans="2:27" ht="15" customHeight="1" x14ac:dyDescent="0.25">
      <c r="B65" s="4" t="s">
        <v>501</v>
      </c>
      <c r="C65" s="137">
        <v>31624</v>
      </c>
      <c r="D65" s="166">
        <f ca="1">IF(C65 &lt;&gt; 0,ROUNDDOWN(($A$47-C65)/365.25,0),"")</f>
        <v>34</v>
      </c>
      <c r="E65" s="139">
        <v>172</v>
      </c>
      <c r="F65" s="139">
        <v>0</v>
      </c>
      <c r="G65" s="139">
        <v>4</v>
      </c>
      <c r="H65" s="166">
        <f>IF(B65&lt;&gt;0,F65+G65,"")</f>
        <v>4</v>
      </c>
      <c r="I65" s="139">
        <v>10</v>
      </c>
      <c r="J65" s="139">
        <v>1</v>
      </c>
      <c r="K65" s="139"/>
      <c r="L65" s="139" t="s">
        <v>30</v>
      </c>
      <c r="M65" s="139">
        <v>175</v>
      </c>
      <c r="N65" s="139">
        <v>75</v>
      </c>
      <c r="O65" s="166" t="str">
        <f>IF(B65&lt;&gt;0,CONCATENATE(E65+IFERROR(VLOOKUP(B65,$B$2:$N$36,4,FALSE),0) + X65, " OZ, ", H65+IFERROR(VLOOKUP(B65,$B$2:$N$36,9,FALSE),0) + Y65+Z65, " (", F65+IFERROR(VLOOKUP(B65,$B$2:$N$36,5,FALSE),0) + Y65, "+",G65+IFERROR(VLOOKUP(B65,$B$2:$N$36,8,FALSE),0) +  Z65, ")"), "")</f>
        <v>172 OZ, 4 (0+4)</v>
      </c>
      <c r="P65" s="166" t="str">
        <f>IF(M65&lt;&gt;0,CONCATENATE(M65,"/",N65),"")</f>
        <v>175/75</v>
      </c>
      <c r="Q65" s="140" t="s">
        <v>576</v>
      </c>
      <c r="R65" s="139">
        <v>2000</v>
      </c>
      <c r="S65" s="166" t="str">
        <f>IFERROR(CONCATENATE(E65+VLOOKUP(B65,$B$39:$R$42,4,FALSE), " OZ, ",G65+VLOOKUP(B65,$B$39:$R$42,13,FALSE), " A"),"")</f>
        <v>195 OZ, 4 A</v>
      </c>
      <c r="T65" s="1" t="str">
        <f>IF(B65&lt;&gt;0,IF(V65=1,U65,CONCATENATE(U65," ",W65,".")),"")</f>
        <v>Michajlovič</v>
      </c>
      <c r="U65" s="1" t="str">
        <f>IFERROR(RIGHT(B65,LEN(B65)-SEARCH(" ", B65,1)),"")</f>
        <v>Michajlovič</v>
      </c>
      <c r="V65" s="166">
        <f>IF(B65&lt;&gt;0,COUNTIF($U$48:$U$82,U65),"")</f>
        <v>1</v>
      </c>
      <c r="W65" s="166" t="str">
        <f>IFERROR(LEFT(LEFT(B65,SEARCH(" ",B65,1)),1),"")</f>
        <v>R</v>
      </c>
      <c r="X65" s="139"/>
      <c r="Y65" s="139"/>
      <c r="Z65" s="139"/>
      <c r="AA65" s="138"/>
    </row>
    <row r="66" spans="2:27" ht="15" customHeight="1" x14ac:dyDescent="0.25">
      <c r="B66" s="4" t="s">
        <v>497</v>
      </c>
      <c r="C66" s="137">
        <v>37315</v>
      </c>
      <c r="D66" s="166">
        <f ca="1">IF(C66 &lt;&gt; 0,ROUNDDOWN(($A$47-C66)/365.25,0),"")</f>
        <v>19</v>
      </c>
      <c r="E66" s="139">
        <v>0</v>
      </c>
      <c r="F66" s="139">
        <v>0</v>
      </c>
      <c r="G66" s="139">
        <v>0</v>
      </c>
      <c r="H66" s="166">
        <f>IF(B66&lt;&gt;0,F66+G66,"")</f>
        <v>0</v>
      </c>
      <c r="I66" s="139">
        <v>1</v>
      </c>
      <c r="J66" s="139">
        <v>71</v>
      </c>
      <c r="K66" s="139"/>
      <c r="L66" s="139" t="s">
        <v>78</v>
      </c>
      <c r="M66" s="139" t="s">
        <v>30</v>
      </c>
      <c r="N66" s="139" t="s">
        <v>30</v>
      </c>
      <c r="O66" s="166" t="str">
        <f>IF(B66&lt;&gt;0,CONCATENATE(E66+IFERROR(VLOOKUP(B66,$B$2:$N$36,4,FALSE),0) + X66, " OZ, ", H66+IFERROR(VLOOKUP(B66,$B$2:$N$36,9,FALSE),0) + Y66+Z66, " (", F66+IFERROR(VLOOKUP(B66,$B$2:$N$36,5,FALSE),0) + Y66, "+",G66+IFERROR(VLOOKUP(B66,$B$2:$N$36,8,FALSE),0) +  Z66, ")"), "")</f>
        <v>1 OZ, 0 (0+0)</v>
      </c>
      <c r="P66" s="166" t="str">
        <f>IF(M66&lt;&gt;0,CONCATENATE(M66,"/",N66),"")</f>
        <v>-/-</v>
      </c>
      <c r="Q66" s="140" t="s">
        <v>577</v>
      </c>
      <c r="R66" s="139">
        <v>2010</v>
      </c>
      <c r="S66" s="166" t="str">
        <f>IFERROR(CONCATENATE(E66+VLOOKUP(B66,$B$39:$R$42,4,FALSE), " OZ, ",G66+VLOOKUP(B66,$B$39:$R$42,13,FALSE), " A"),"")</f>
        <v/>
      </c>
      <c r="T66" s="1" t="str">
        <f>IF(B66&lt;&gt;0,IF(V66=1,U66,CONCATENATE(U66," ",W66,".")),"")</f>
        <v>Otcovský</v>
      </c>
      <c r="U66" s="1" t="str">
        <f>IFERROR(RIGHT(B66,LEN(B66)-SEARCH(" ", B66,1)),"")</f>
        <v>Otcovský</v>
      </c>
      <c r="V66" s="166">
        <f>IF(B66&lt;&gt;0,COUNTIF($U$48:$U$82,U66),"")</f>
        <v>1</v>
      </c>
      <c r="W66" s="166" t="str">
        <f>IFERROR(LEFT(LEFT(B66,SEARCH(" ",B66,1)),1),"")</f>
        <v>T</v>
      </c>
      <c r="X66" s="139"/>
      <c r="Y66" s="139"/>
      <c r="Z66" s="139"/>
      <c r="AA66" s="138"/>
    </row>
    <row r="67" spans="2:27" ht="15" customHeight="1" x14ac:dyDescent="0.25">
      <c r="B67" s="4" t="s">
        <v>478</v>
      </c>
      <c r="C67" s="137">
        <v>37358</v>
      </c>
      <c r="D67" s="166">
        <f ca="1">IF(C67 &lt;&gt; 0,ROUNDDOWN(($A$47-C67)/365.25,0),"")</f>
        <v>18</v>
      </c>
      <c r="E67" s="139">
        <v>7</v>
      </c>
      <c r="F67" s="139">
        <v>1</v>
      </c>
      <c r="G67" s="139">
        <v>0</v>
      </c>
      <c r="H67" s="166">
        <f>IF(B67&lt;&gt;0,F67+G67,"")</f>
        <v>1</v>
      </c>
      <c r="I67" s="139">
        <v>2</v>
      </c>
      <c r="J67" s="139">
        <v>41</v>
      </c>
      <c r="K67" s="139"/>
      <c r="L67" s="139" t="s">
        <v>41</v>
      </c>
      <c r="M67" s="139">
        <v>168</v>
      </c>
      <c r="N67" s="139">
        <v>70</v>
      </c>
      <c r="O67" s="166" t="str">
        <f>IF(B67&lt;&gt;0,CONCATENATE(E67+IFERROR(VLOOKUP(B67,$B$2:$N$36,4,FALSE),0) + X67, " OZ, ", H67+IFERROR(VLOOKUP(B67,$B$2:$N$36,9,FALSE),0) + Y67+Z67, " (", F67+IFERROR(VLOOKUP(B67,$B$2:$N$36,5,FALSE),0) + Y67, "+",G67+IFERROR(VLOOKUP(B67,$B$2:$N$36,8,FALSE),0) +  Z67, ")"), "")</f>
        <v>33 OZ, 46 (31+15)</v>
      </c>
      <c r="P67" s="166" t="str">
        <f>IF(M67&lt;&gt;0,CONCATENATE(M67,"/",N67),"")</f>
        <v>168/70</v>
      </c>
      <c r="Q67" s="140" t="s">
        <v>213</v>
      </c>
      <c r="R67" s="139" t="s">
        <v>30</v>
      </c>
      <c r="S67" s="166" t="str">
        <f>IFERROR(CONCATENATE(E67+VLOOKUP(B67,$B$39:$R$42,4,FALSE), " OZ, ",G67+VLOOKUP(B67,$B$39:$R$42,13,FALSE), " A"),"")</f>
        <v/>
      </c>
      <c r="T67" s="1" t="str">
        <f>IF(B67&lt;&gt;0,IF(V67=1,U67,CONCATENATE(U67," ",W67,".")),"")</f>
        <v>Pěnička</v>
      </c>
      <c r="U67" s="1" t="str">
        <f>IFERROR(RIGHT(B67,LEN(B67)-SEARCH(" ", B67,1)),"")</f>
        <v>Pěnička</v>
      </c>
      <c r="V67" s="166">
        <f>IF(B67&lt;&gt;0,COUNTIF($U$48:$U$82,U67),"")</f>
        <v>1</v>
      </c>
      <c r="W67" s="166" t="str">
        <f>IFERROR(LEFT(LEFT(B67,SEARCH(" ",B67,1)),1),"")</f>
        <v>M</v>
      </c>
      <c r="X67" s="139"/>
      <c r="Y67" s="139"/>
      <c r="Z67" s="139"/>
      <c r="AA67" s="138"/>
    </row>
    <row r="68" spans="2:27" ht="15" customHeight="1" x14ac:dyDescent="0.25">
      <c r="B68" s="1" t="s">
        <v>491</v>
      </c>
      <c r="C68" s="137">
        <v>37578</v>
      </c>
      <c r="D68" s="166">
        <f ca="1">IF(C68 &lt;&gt; 0,ROUNDDOWN(($A$47-C68)/365.25,0),"")</f>
        <v>18</v>
      </c>
      <c r="E68" s="139">
        <v>0</v>
      </c>
      <c r="F68" s="139">
        <v>0</v>
      </c>
      <c r="G68" s="139">
        <v>0</v>
      </c>
      <c r="H68" s="166">
        <f>IF(B68&lt;&gt;0,F68+G68,"")</f>
        <v>0</v>
      </c>
      <c r="I68" s="139">
        <v>1</v>
      </c>
      <c r="J68" s="139">
        <v>80</v>
      </c>
      <c r="K68" s="139"/>
      <c r="L68" s="139" t="s">
        <v>78</v>
      </c>
      <c r="M68" s="139">
        <v>187</v>
      </c>
      <c r="N68" s="139">
        <v>73</v>
      </c>
      <c r="O68" s="166" t="str">
        <f>IF(B68&lt;&gt;0,CONCATENATE(E68+IFERROR(VLOOKUP(B68,$B$2:$N$36,4,FALSE),0) + X68, " OZ, ", H68+IFERROR(VLOOKUP(B68,$B$2:$N$36,9,FALSE),0) + Y68+Z68, " (", F68+IFERROR(VLOOKUP(B68,$B$2:$N$36,5,FALSE),0) + Y68, "+",G68+IFERROR(VLOOKUP(B68,$B$2:$N$36,8,FALSE),0) +  Z68, ")"), "")</f>
        <v>15 OZ, 7 (4+3)</v>
      </c>
      <c r="P68" s="166" t="str">
        <f>IF(M68&lt;&gt;0,CONCATENATE(M68,"/",N68),"")</f>
        <v>187/73</v>
      </c>
      <c r="Q68" s="140" t="s">
        <v>27</v>
      </c>
      <c r="R68" s="139">
        <v>2014</v>
      </c>
      <c r="S68" s="166" t="str">
        <f>IFERROR(CONCATENATE(E68+VLOOKUP(B68,$B$39:$R$42,4,FALSE), " OZ, ",G68+VLOOKUP(B68,$B$39:$R$42,13,FALSE), " A"),"")</f>
        <v/>
      </c>
      <c r="T68" s="1" t="str">
        <f>IF(B68&lt;&gt;0,IF(V68=1,U68,CONCATENATE(U68," ",W68,".")),"")</f>
        <v>Punčochář</v>
      </c>
      <c r="U68" s="1" t="str">
        <f>IFERROR(RIGHT(B68,LEN(B68)-SEARCH(" ", B68,1)),"")</f>
        <v>Punčochář</v>
      </c>
      <c r="V68" s="166">
        <f>IF(B68&lt;&gt;0,COUNTIF($U$48:$U$82,U68),"")</f>
        <v>1</v>
      </c>
      <c r="W68" s="166" t="str">
        <f>IFERROR(LEFT(LEFT(B68,SEARCH(" ",B68,1)),1),"")</f>
        <v>L</v>
      </c>
      <c r="X68" s="139"/>
      <c r="Y68" s="139"/>
      <c r="Z68" s="139"/>
      <c r="AA68" s="138"/>
    </row>
    <row r="69" spans="2:27" ht="15" customHeight="1" x14ac:dyDescent="0.25">
      <c r="B69" s="4" t="s">
        <v>496</v>
      </c>
      <c r="C69" s="137">
        <v>33400</v>
      </c>
      <c r="D69" s="166">
        <f ca="1">IF(C69 &lt;&gt; 0,ROUNDDOWN(($A$47-C69)/365.25,0),"")</f>
        <v>29</v>
      </c>
      <c r="E69" s="139">
        <v>188</v>
      </c>
      <c r="F69" s="139">
        <v>42</v>
      </c>
      <c r="G69" s="139">
        <v>55</v>
      </c>
      <c r="H69" s="166">
        <f>IF(B69&lt;&gt;0,F69+G69,"")</f>
        <v>97</v>
      </c>
      <c r="I69" s="139">
        <v>13</v>
      </c>
      <c r="J69" s="139">
        <v>88</v>
      </c>
      <c r="K69" s="139"/>
      <c r="L69" s="139" t="s">
        <v>41</v>
      </c>
      <c r="M69" s="139">
        <v>175</v>
      </c>
      <c r="N69" s="139">
        <v>85</v>
      </c>
      <c r="O69" s="166" t="str">
        <f>IF(B69&lt;&gt;0,CONCATENATE(E69+IFERROR(VLOOKUP(B69,$B$2:$N$36,4,FALSE),0) + X69, " OZ, ", H69+IFERROR(VLOOKUP(B69,$B$2:$N$36,9,FALSE),0) + Y69+Z69, " (", F69+IFERROR(VLOOKUP(B69,$B$2:$N$36,5,FALSE),0) + Y69, "+",G69+IFERROR(VLOOKUP(B69,$B$2:$N$36,8,FALSE),0) +  Z69, ")"), "")</f>
        <v>210 OZ, 100 (44+56)</v>
      </c>
      <c r="P69" s="166" t="str">
        <f>IF(M69&lt;&gt;0,CONCATENATE(M69,"/",N69),"")</f>
        <v>175/85</v>
      </c>
      <c r="Q69" s="140" t="s">
        <v>571</v>
      </c>
      <c r="R69" s="139" t="s">
        <v>30</v>
      </c>
      <c r="S69" s="166" t="str">
        <f>IFERROR(CONCATENATE(E69+VLOOKUP(B69,$B$39:$R$42,4,FALSE), " OZ, ",G69+VLOOKUP(B69,$B$39:$R$42,13,FALSE), " A"),"")</f>
        <v/>
      </c>
      <c r="T69" s="1" t="str">
        <f>IF(B69&lt;&gt;0,IF(V69=1,U69,CONCATENATE(U69," ",W69,".")),"")</f>
        <v>Růžek</v>
      </c>
      <c r="U69" s="1" t="str">
        <f>IFERROR(RIGHT(B69,LEN(B69)-SEARCH(" ", B69,1)),"")</f>
        <v>Růžek</v>
      </c>
      <c r="V69" s="166">
        <f>IF(B69&lt;&gt;0,COUNTIF($U$48:$U$82,U69),"")</f>
        <v>1</v>
      </c>
      <c r="W69" s="166" t="str">
        <f>IFERROR(LEFT(LEFT(B69,SEARCH(" ",B69,1)),1),"")</f>
        <v>A</v>
      </c>
      <c r="X69" s="139"/>
      <c r="Y69" s="139"/>
      <c r="Z69" s="139"/>
      <c r="AA69" s="138"/>
    </row>
    <row r="70" spans="2:27" ht="15" customHeight="1" x14ac:dyDescent="0.25">
      <c r="B70" s="1" t="s">
        <v>479</v>
      </c>
      <c r="C70" s="137">
        <v>34443</v>
      </c>
      <c r="D70" s="166">
        <f ca="1">IF(C70 &lt;&gt; 0,ROUNDDOWN(($A$47-C70)/365.25,0),"")</f>
        <v>26</v>
      </c>
      <c r="E70" s="139">
        <v>163</v>
      </c>
      <c r="F70" s="139">
        <v>135</v>
      </c>
      <c r="G70" s="139">
        <v>84</v>
      </c>
      <c r="H70" s="166">
        <f>IF(B70&lt;&gt;0,F70+G70,"")</f>
        <v>219</v>
      </c>
      <c r="I70" s="139">
        <v>9</v>
      </c>
      <c r="J70" s="139">
        <v>91</v>
      </c>
      <c r="K70" s="139"/>
      <c r="L70" s="139" t="s">
        <v>41</v>
      </c>
      <c r="M70" s="139">
        <v>185</v>
      </c>
      <c r="N70" s="139">
        <v>82</v>
      </c>
      <c r="O70" s="166" t="str">
        <f>IF(B70&lt;&gt;0,CONCATENATE(E70+IFERROR(VLOOKUP(B70,$B$2:$N$36,4,FALSE),0) + X70, " OZ, ", H70+IFERROR(VLOOKUP(B70,$B$2:$N$36,9,FALSE),0) + Y70+Z70, " (", F70+IFERROR(VLOOKUP(B70,$B$2:$N$36,5,FALSE),0) + Y70, "+",G70+IFERROR(VLOOKUP(B70,$B$2:$N$36,8,FALSE),0) +  Z70, ")"), "")</f>
        <v>186 OZ, 246 (156+90)</v>
      </c>
      <c r="P70" s="166" t="str">
        <f>IF(M70&lt;&gt;0,CONCATENATE(M70,"/",N70),"")</f>
        <v>185/82</v>
      </c>
      <c r="Q70" s="140" t="s">
        <v>211</v>
      </c>
      <c r="R70" s="139">
        <v>2007</v>
      </c>
      <c r="S70" s="166" t="str">
        <f>IFERROR(CONCATENATE(E70+VLOOKUP(B70,$B$39:$R$42,4,FALSE), " OZ, ",G70+VLOOKUP(B70,$B$39:$R$42,13,FALSE), " A"),"")</f>
        <v/>
      </c>
      <c r="T70" s="1" t="str">
        <f>IF(B70&lt;&gt;0,IF(V70=1,U70,CONCATENATE(U70," ",W70,".")),"")</f>
        <v>Šárka</v>
      </c>
      <c r="U70" s="1" t="str">
        <f>IFERROR(RIGHT(B70,LEN(B70)-SEARCH(" ", B70,1)),"")</f>
        <v>Šárka</v>
      </c>
      <c r="V70" s="166">
        <f>IF(B70&lt;&gt;0,COUNTIF($U$48:$U$82,U70),"")</f>
        <v>1</v>
      </c>
      <c r="W70" s="166" t="str">
        <f>IFERROR(LEFT(LEFT(B70,SEARCH(" ",B70,1)),1),"")</f>
        <v>J</v>
      </c>
      <c r="X70" s="139"/>
      <c r="Y70" s="139"/>
      <c r="Z70" s="139"/>
      <c r="AA70" s="138"/>
    </row>
    <row r="71" spans="2:27" ht="15" customHeight="1" x14ac:dyDescent="0.25">
      <c r="B71" s="1" t="s">
        <v>482</v>
      </c>
      <c r="C71" s="137">
        <v>36777</v>
      </c>
      <c r="D71" s="166">
        <f ca="1">IF(C71 &lt;&gt; 0,ROUNDDOWN(($A$47-C71)/365.25,0),"")</f>
        <v>20</v>
      </c>
      <c r="E71" s="139">
        <v>70</v>
      </c>
      <c r="F71" s="139">
        <v>37</v>
      </c>
      <c r="G71" s="139">
        <v>34</v>
      </c>
      <c r="H71" s="166">
        <f>IF(B71&lt;&gt;0,F71+G71,"")</f>
        <v>71</v>
      </c>
      <c r="I71" s="139">
        <v>4</v>
      </c>
      <c r="J71" s="139">
        <v>7</v>
      </c>
      <c r="K71" s="139"/>
      <c r="L71" s="139" t="s">
        <v>41</v>
      </c>
      <c r="M71" s="139">
        <v>190</v>
      </c>
      <c r="N71" s="139">
        <v>76</v>
      </c>
      <c r="O71" s="166" t="str">
        <f>IF(B71&lt;&gt;0,CONCATENATE(E71+IFERROR(VLOOKUP(B71,$B$2:$N$36,4,FALSE),0) + X71, " OZ, ", H71+IFERROR(VLOOKUP(B71,$B$2:$N$36,9,FALSE),0) + Y71+Z71, " (", F71+IFERROR(VLOOKUP(B71,$B$2:$N$36,5,FALSE),0) + Y71, "+",G71+IFERROR(VLOOKUP(B71,$B$2:$N$36,8,FALSE),0) +  Z71, ")"), "")</f>
        <v>95 OZ, 94 (47+47)</v>
      </c>
      <c r="P71" s="166" t="str">
        <f>IF(M71&lt;&gt;0,CONCATENATE(M71,"/",N71),"")</f>
        <v>190/76</v>
      </c>
      <c r="Q71" s="140" t="s">
        <v>107</v>
      </c>
      <c r="R71" s="139">
        <v>2011</v>
      </c>
      <c r="S71" s="166" t="str">
        <f>IFERROR(CONCATENATE(E71+VLOOKUP(B71,$B$39:$R$42,4,FALSE), " OZ, ",G71+VLOOKUP(B71,$B$39:$R$42,13,FALSE), " A"),"")</f>
        <v/>
      </c>
      <c r="T71" s="1" t="str">
        <f>IF(B71&lt;&gt;0,IF(V71=1,U71,CONCATENATE(U71," ",W71,".")),"")</f>
        <v>Šebek</v>
      </c>
      <c r="U71" s="1" t="str">
        <f>IFERROR(RIGHT(B71,LEN(B71)-SEARCH(" ", B71,1)),"")</f>
        <v>Šebek</v>
      </c>
      <c r="V71" s="166">
        <f>IF(B71&lt;&gt;0,COUNTIF($U$48:$U$82,U71),"")</f>
        <v>1</v>
      </c>
      <c r="W71" s="166" t="str">
        <f>IFERROR(LEFT(LEFT(B71,SEARCH(" ",B71,1)),1),"")</f>
        <v>P</v>
      </c>
      <c r="X71" s="139"/>
      <c r="Y71" s="139"/>
      <c r="Z71" s="139"/>
      <c r="AA71" s="138"/>
    </row>
    <row r="72" spans="2:27" ht="15" customHeight="1" x14ac:dyDescent="0.25">
      <c r="B72" s="4" t="s">
        <v>936</v>
      </c>
      <c r="C72" s="137"/>
      <c r="D72" s="166" t="str">
        <f>IF(C72 &lt;&gt; 0,ROUNDDOWN(($A$47-C72)/365.25,0),"")</f>
        <v/>
      </c>
      <c r="E72" s="139"/>
      <c r="F72" s="139"/>
      <c r="G72" s="139"/>
      <c r="H72" s="166">
        <f>IF(B72&lt;&gt;0,F72+G72,"")</f>
        <v>0</v>
      </c>
      <c r="I72" s="139"/>
      <c r="J72" s="139"/>
      <c r="K72" s="139"/>
      <c r="L72" s="139"/>
      <c r="M72" s="139"/>
      <c r="N72" s="139"/>
      <c r="O72" s="166" t="str">
        <f>IF(B72&lt;&gt;0,CONCATENATE(E72+IFERROR(VLOOKUP(B72,$B$2:$N$36,4,FALSE),0) + X72, " OZ, ", H72+IFERROR(VLOOKUP(B72,$B$2:$N$36,9,FALSE),0) + Y72+Z72, " (", F72+IFERROR(VLOOKUP(B72,$B$2:$N$36,5,FALSE),0) + Y72, "+",G72+IFERROR(VLOOKUP(B72,$B$2:$N$36,8,FALSE),0) +  Z72, ")"), "")</f>
        <v>2 OZ, 0 (0+0)</v>
      </c>
      <c r="P72" s="166" t="str">
        <f>IF(M72&lt;&gt;0,CONCATENATE(M72,"/",N72),"")</f>
        <v/>
      </c>
      <c r="Q72" s="140"/>
      <c r="R72" s="139"/>
      <c r="S72" s="166" t="str">
        <f>IFERROR(CONCATENATE(E72+VLOOKUP(B72,$B$39:$R$42,4,FALSE), " OZ, ",G72+VLOOKUP(B72,$B$39:$R$42,13,FALSE), " A"),"")</f>
        <v/>
      </c>
      <c r="T72" s="1" t="str">
        <f>IF(B72&lt;&gt;0,IF(V72=1,U72,CONCATENATE(U72," ",W72,".")),"")</f>
        <v>Šimáně</v>
      </c>
      <c r="U72" s="1" t="str">
        <f>IFERROR(RIGHT(B72,LEN(B72)-SEARCH(" ", B72,1)),"")</f>
        <v>Šimáně</v>
      </c>
      <c r="V72" s="166">
        <f>IF(B72&lt;&gt;0,COUNTIF($U$48:$U$82,U72),"")</f>
        <v>1</v>
      </c>
      <c r="W72" s="166" t="str">
        <f>IFERROR(LEFT(LEFT(B72,SEARCH(" ",B72,1)),1),"")</f>
        <v>D</v>
      </c>
      <c r="X72" s="139"/>
      <c r="Y72" s="139"/>
      <c r="Z72" s="139"/>
      <c r="AA72" s="138"/>
    </row>
    <row r="73" spans="2:27" ht="15" customHeight="1" x14ac:dyDescent="0.25">
      <c r="B73" s="1" t="s">
        <v>483</v>
      </c>
      <c r="C73" s="137">
        <v>37331</v>
      </c>
      <c r="D73" s="166">
        <f ca="1">IF(C73 &lt;&gt; 0,ROUNDDOWN(($A$47-C73)/365.25,0),"")</f>
        <v>18</v>
      </c>
      <c r="E73" s="139">
        <v>13</v>
      </c>
      <c r="F73" s="139">
        <v>1</v>
      </c>
      <c r="G73" s="139">
        <v>1</v>
      </c>
      <c r="H73" s="166">
        <f>IF(B73&lt;&gt;0,F73+G73,"")</f>
        <v>2</v>
      </c>
      <c r="I73" s="139">
        <v>2</v>
      </c>
      <c r="J73" s="139">
        <v>99</v>
      </c>
      <c r="K73" s="139"/>
      <c r="L73" s="139" t="s">
        <v>78</v>
      </c>
      <c r="M73" s="139">
        <v>180</v>
      </c>
      <c r="N73" s="139">
        <v>71</v>
      </c>
      <c r="O73" s="166" t="str">
        <f>IF(B73&lt;&gt;0,CONCATENATE(E73+IFERROR(VLOOKUP(B73,$B$2:$N$36,4,FALSE),0) + X73, " OZ, ", H73+IFERROR(VLOOKUP(B73,$B$2:$N$36,9,FALSE),0) + Y73+Z73, " (", F73+IFERROR(VLOOKUP(B73,$B$2:$N$36,5,FALSE),0) + Y73, "+",G73+IFERROR(VLOOKUP(B73,$B$2:$N$36,8,FALSE),0) +  Z73, ")"), "")</f>
        <v>37 OZ, 25 (16+9)</v>
      </c>
      <c r="P73" s="166" t="str">
        <f>IF(M73&lt;&gt;0,CONCATENATE(M73,"/",N73),"")</f>
        <v>180/71</v>
      </c>
      <c r="Q73" s="140" t="s">
        <v>572</v>
      </c>
      <c r="R73" s="139" t="s">
        <v>30</v>
      </c>
      <c r="S73" s="166" t="str">
        <f>IFERROR(CONCATENATE(E73+VLOOKUP(B73,$B$39:$R$42,4,FALSE), " OZ, ",G73+VLOOKUP(B73,$B$39:$R$42,13,FALSE), " A"),"")</f>
        <v/>
      </c>
      <c r="T73" s="1" t="str">
        <f>IF(B73&lt;&gt;0,IF(V73=1,U73,CONCATENATE(U73," ",W73,".")),"")</f>
        <v>Tomčo</v>
      </c>
      <c r="U73" s="1" t="str">
        <f>IFERROR(RIGHT(B73,LEN(B73)-SEARCH(" ", B73,1)),"")</f>
        <v>Tomčo</v>
      </c>
      <c r="V73" s="166">
        <f>IF(B73&lt;&gt;0,COUNTIF($U$48:$U$82,U73),"")</f>
        <v>1</v>
      </c>
      <c r="W73" s="166" t="str">
        <f>IFERROR(LEFT(LEFT(B73,SEARCH(" ",B73,1)),1),"")</f>
        <v>I</v>
      </c>
      <c r="X73" s="139"/>
      <c r="Y73" s="139"/>
      <c r="Z73" s="139"/>
      <c r="AA73" s="138"/>
    </row>
    <row r="74" spans="2:27" ht="15" customHeight="1" x14ac:dyDescent="0.25">
      <c r="B74" s="1" t="s">
        <v>481</v>
      </c>
      <c r="C74" s="137">
        <v>37356</v>
      </c>
      <c r="D74" s="166">
        <f ca="1">IF(C74 &lt;&gt; 0,ROUNDDOWN(($A$47-C74)/365.25,0),"")</f>
        <v>18</v>
      </c>
      <c r="E74" s="139">
        <v>22</v>
      </c>
      <c r="F74" s="139">
        <v>2</v>
      </c>
      <c r="G74" s="139">
        <v>2</v>
      </c>
      <c r="H74" s="166">
        <f>IF(B74&lt;&gt;0,F74+G74,"")</f>
        <v>4</v>
      </c>
      <c r="I74" s="139">
        <v>2</v>
      </c>
      <c r="J74" s="139">
        <v>13</v>
      </c>
      <c r="K74" s="139"/>
      <c r="L74" s="139" t="s">
        <v>41</v>
      </c>
      <c r="M74" s="139">
        <v>179</v>
      </c>
      <c r="N74" s="139">
        <v>73</v>
      </c>
      <c r="O74" s="166" t="str">
        <f>IF(B74&lt;&gt;0,CONCATENATE(E74+IFERROR(VLOOKUP(B74,$B$2:$N$36,4,FALSE),0) + X74, " OZ, ", H74+IFERROR(VLOOKUP(B74,$B$2:$N$36,9,FALSE),0) + Y74+Z74, " (", F74+IFERROR(VLOOKUP(B74,$B$2:$N$36,5,FALSE),0) + Y74, "+",G74+IFERROR(VLOOKUP(B74,$B$2:$N$36,8,FALSE),0) +  Z74, ")"), "")</f>
        <v>48 OZ, 25 (14+11)</v>
      </c>
      <c r="P74" s="166" t="str">
        <f>IF(M74&lt;&gt;0,CONCATENATE(M74,"/",N74),"")</f>
        <v>179/73</v>
      </c>
      <c r="Q74" s="140" t="s">
        <v>284</v>
      </c>
      <c r="R74" s="139" t="s">
        <v>30</v>
      </c>
      <c r="S74" s="166" t="str">
        <f>IFERROR(CONCATENATE(E74+VLOOKUP(B74,$B$39:$R$42,4,FALSE), " OZ, ",G74+VLOOKUP(B74,$B$39:$R$42,13,FALSE), " A"),"")</f>
        <v/>
      </c>
      <c r="T74" s="1" t="str">
        <f>IF(B74&lt;&gt;0,IF(V74=1,U74,CONCATENATE(U74," ",W74,".")),"")</f>
        <v>Vojtíšek</v>
      </c>
      <c r="U74" s="1" t="str">
        <f>IFERROR(RIGHT(B74,LEN(B74)-SEARCH(" ", B74,1)),"")</f>
        <v>Vojtíšek</v>
      </c>
      <c r="V74" s="166">
        <f>IF(B74&lt;&gt;0,COUNTIF($U$48:$U$82,U74),"")</f>
        <v>1</v>
      </c>
      <c r="W74" s="166" t="str">
        <f>IFERROR(LEFT(LEFT(B74,SEARCH(" ",B74,1)),1),"")</f>
        <v>M</v>
      </c>
      <c r="X74" s="139"/>
      <c r="Y74" s="139"/>
      <c r="Z74" s="139"/>
      <c r="AA74" s="138"/>
    </row>
    <row r="75" spans="2:27" ht="15" customHeight="1" x14ac:dyDescent="0.25">
      <c r="B75" s="1" t="s">
        <v>495</v>
      </c>
      <c r="C75" s="137">
        <v>37384</v>
      </c>
      <c r="D75" s="166">
        <f ca="1">IF(C75 &lt;&gt; 0,ROUNDDOWN(($A$47-C75)/365.25,0),"")</f>
        <v>18</v>
      </c>
      <c r="E75" s="139">
        <v>7</v>
      </c>
      <c r="F75" s="139">
        <v>0</v>
      </c>
      <c r="G75" s="139">
        <v>1</v>
      </c>
      <c r="H75" s="166">
        <f>IF(B75&lt;&gt;0,F75+G75,"")</f>
        <v>1</v>
      </c>
      <c r="I75" s="139">
        <v>2</v>
      </c>
      <c r="J75" s="139">
        <v>94</v>
      </c>
      <c r="K75" s="139"/>
      <c r="L75" s="139" t="s">
        <v>30</v>
      </c>
      <c r="M75" s="139">
        <v>173</v>
      </c>
      <c r="N75" s="139">
        <v>70</v>
      </c>
      <c r="O75" s="166" t="str">
        <f>IF(B75&lt;&gt;0,CONCATENATE(E75+IFERROR(VLOOKUP(B75,$B$2:$N$36,4,FALSE),0) + X75, " OZ, ", H75+IFERROR(VLOOKUP(B75,$B$2:$N$36,9,FALSE),0) + Y75+Z75, " (", F75+IFERROR(VLOOKUP(B75,$B$2:$N$36,5,FALSE),0) + Y75, "+",G75+IFERROR(VLOOKUP(B75,$B$2:$N$36,8,FALSE),0) +  Z75, ")"), "")</f>
        <v>7 OZ, 2 (0+2)</v>
      </c>
      <c r="P75" s="166" t="str">
        <f>IF(M75&lt;&gt;0,CONCATENATE(M75,"/",N75),"")</f>
        <v>173/70</v>
      </c>
      <c r="Q75" s="140" t="s">
        <v>107</v>
      </c>
      <c r="R75" s="139" t="s">
        <v>30</v>
      </c>
      <c r="S75" s="166" t="str">
        <f>IFERROR(CONCATENATE(E75+VLOOKUP(B75,$B$39:$R$42,4,FALSE), " OZ, ",G75+VLOOKUP(B75,$B$39:$R$42,13,FALSE), " A"),"")</f>
        <v>10 OZ, 2 A</v>
      </c>
      <c r="T75" s="1" t="str">
        <f>IF(B75&lt;&gt;0,IF(V75=1,U75,CONCATENATE(U75," ",W75,".")),"")</f>
        <v>Zavřel</v>
      </c>
      <c r="U75" s="1" t="str">
        <f>IFERROR(RIGHT(B75,LEN(B75)-SEARCH(" ", B75,1)),"")</f>
        <v>Zavřel</v>
      </c>
      <c r="V75" s="166">
        <f>IF(B75&lt;&gt;0,COUNTIF($U$48:$U$82,U75),"")</f>
        <v>1</v>
      </c>
      <c r="W75" s="166" t="str">
        <f>IFERROR(LEFT(LEFT(B75,SEARCH(" ",B75,1)),1),"")</f>
        <v>J</v>
      </c>
      <c r="X75" s="139"/>
      <c r="Y75" s="139"/>
      <c r="Z75" s="139"/>
      <c r="AA75" s="138"/>
    </row>
    <row r="76" spans="2:27" ht="15" customHeight="1" x14ac:dyDescent="0.25">
      <c r="B76" s="1" t="s">
        <v>486</v>
      </c>
      <c r="C76" s="137">
        <v>33195</v>
      </c>
      <c r="D76" s="166">
        <f ca="1">IF(C76 &lt;&gt; 0,ROUNDDOWN(($A$47-C76)/365.25,0),"")</f>
        <v>30</v>
      </c>
      <c r="E76" s="139">
        <v>250</v>
      </c>
      <c r="F76" s="139">
        <v>23</v>
      </c>
      <c r="G76" s="139">
        <v>47</v>
      </c>
      <c r="H76" s="166">
        <f>IF(B76&lt;&gt;0,F76+G76,"")</f>
        <v>70</v>
      </c>
      <c r="I76" s="139">
        <v>13</v>
      </c>
      <c r="J76" s="139">
        <v>3</v>
      </c>
      <c r="K76" s="139" t="s">
        <v>222</v>
      </c>
      <c r="L76" s="139" t="s">
        <v>78</v>
      </c>
      <c r="M76" s="139">
        <v>186</v>
      </c>
      <c r="N76" s="139">
        <v>88</v>
      </c>
      <c r="O76" s="166" t="str">
        <f>IF(B76&lt;&gt;0,CONCATENATE(E76+IFERROR(VLOOKUP(B76,$B$2:$N$36,4,FALSE),0) + X76, " OZ, ", H76+IFERROR(VLOOKUP(B76,$B$2:$N$36,9,FALSE),0) + Y76+Z76, " (", F76+IFERROR(VLOOKUP(B76,$B$2:$N$36,5,FALSE),0) + Y76, "+",G76+IFERROR(VLOOKUP(B76,$B$2:$N$36,8,FALSE),0) +  Z76, ")"), "")</f>
        <v>276 OZ, 83 (29+54)</v>
      </c>
      <c r="P76" s="166" t="str">
        <f>IF(M76&lt;&gt;0,CONCATENATE(M76,"/",N76),"")</f>
        <v>186/88</v>
      </c>
      <c r="Q76" s="140" t="s">
        <v>578</v>
      </c>
      <c r="R76" s="139" t="s">
        <v>30</v>
      </c>
      <c r="S76" s="166" t="str">
        <f>IFERROR(CONCATENATE(E76+VLOOKUP(B76,$B$39:$R$42,4,FALSE), " OZ, ",G76+VLOOKUP(B76,$B$39:$R$42,13,FALSE), " A"),"")</f>
        <v/>
      </c>
      <c r="T76" s="1" t="str">
        <f>IF(B76&lt;&gt;0,IF(V76=1,U76,CONCATENATE(U76," ",W76,".")),"")</f>
        <v>Zezulka</v>
      </c>
      <c r="U76" s="1" t="str">
        <f>IFERROR(RIGHT(B76,LEN(B76)-SEARCH(" ", B76,1)),"")</f>
        <v>Zezulka</v>
      </c>
      <c r="V76" s="166">
        <f>IF(B76&lt;&gt;0,COUNTIF($U$48:$U$82,U76),"")</f>
        <v>1</v>
      </c>
      <c r="W76" s="166" t="str">
        <f>IFERROR(LEFT(LEFT(B76,SEARCH(" ",B76,1)),1),"")</f>
        <v>V</v>
      </c>
      <c r="X76" s="139"/>
      <c r="Y76" s="139"/>
      <c r="Z76" s="139"/>
      <c r="AA76" s="138"/>
    </row>
    <row r="77" spans="2:27" ht="15" customHeight="1" x14ac:dyDescent="0.25">
      <c r="B77" s="138"/>
      <c r="C77" s="137"/>
      <c r="D77" s="166" t="str">
        <f t="shared" ref="D76:D82" si="5">IF(C77 &lt;&gt; 0,ROUNDDOWN(($A$47-C77)/365.25,0),"")</f>
        <v/>
      </c>
      <c r="E77" s="139"/>
      <c r="F77" s="139"/>
      <c r="G77" s="139"/>
      <c r="H77" s="166" t="str">
        <f t="shared" ref="H76:H82" si="6">IF(B77&lt;&gt;0,F77+G77,"")</f>
        <v/>
      </c>
      <c r="I77" s="139"/>
      <c r="J77" s="139"/>
      <c r="K77" s="139"/>
      <c r="L77" s="139"/>
      <c r="M77" s="139"/>
      <c r="N77" s="139"/>
      <c r="O77" s="166" t="str">
        <f t="shared" ref="O76:O82" si="7">IF(B77&lt;&gt;0,CONCATENATE(E77+IFERROR(VLOOKUP(B77,$B$2:$N$36,4,FALSE),0) + X77, " OZ, ", H77+IFERROR(VLOOKUP(B77,$B$2:$N$36,9,FALSE),0) + Y77+Z77, " (", F77+IFERROR(VLOOKUP(B77,$B$2:$N$36,5,FALSE),0) + Y77, "+",G77+IFERROR(VLOOKUP(B77,$B$2:$N$36,8,FALSE),0) +  Z77, ")"), "")</f>
        <v/>
      </c>
      <c r="P77" s="166" t="str">
        <f t="shared" ref="P76:P82" si="8">IF(M77&lt;&gt;0,CONCATENATE(M77,"/",N77),"")</f>
        <v/>
      </c>
      <c r="Q77" s="140"/>
      <c r="R77" s="139"/>
      <c r="S77" s="166" t="str">
        <f t="shared" ref="S76:S82" si="9">IFERROR(CONCATENATE(E77+VLOOKUP(B77,$B$39:$R$42,4,FALSE), " OZ, ",G77+VLOOKUP(B77,$B$39:$R$42,13,FALSE), " A"),"")</f>
        <v/>
      </c>
      <c r="T77" s="1" t="str">
        <f t="shared" ref="T76:T82" si="10">IF(B77&lt;&gt;0,IF(V77=1,U77,CONCATENATE(U77," ",W77,".")),"")</f>
        <v/>
      </c>
      <c r="U77" s="1" t="str">
        <f t="shared" ref="U76:U82" si="11">IFERROR(RIGHT(B77,LEN(B77)-SEARCH(" ", B77,1)),"")</f>
        <v/>
      </c>
      <c r="V77" s="166" t="str">
        <f t="shared" ref="V76:V82" si="12">IF(B77&lt;&gt;0,COUNTIF($U$48:$U$82,U77),"")</f>
        <v/>
      </c>
      <c r="W77" s="166" t="str">
        <f t="shared" ref="W76:W82" si="13">IFERROR(LEFT(LEFT(B77,SEARCH(" ",B77,1)),1),"")</f>
        <v/>
      </c>
      <c r="X77" s="139"/>
      <c r="Y77" s="139"/>
      <c r="Z77" s="139"/>
      <c r="AA77" s="138"/>
    </row>
    <row r="78" spans="2:27" ht="15" customHeight="1" x14ac:dyDescent="0.25">
      <c r="B78" s="138"/>
      <c r="C78" s="137"/>
      <c r="D78" s="166" t="str">
        <f t="shared" si="5"/>
        <v/>
      </c>
      <c r="E78" s="139"/>
      <c r="F78" s="139"/>
      <c r="G78" s="139"/>
      <c r="H78" s="166" t="str">
        <f t="shared" si="6"/>
        <v/>
      </c>
      <c r="I78" s="139"/>
      <c r="J78" s="139"/>
      <c r="K78" s="139"/>
      <c r="L78" s="139"/>
      <c r="M78" s="139"/>
      <c r="N78" s="139"/>
      <c r="O78" s="166" t="str">
        <f t="shared" si="7"/>
        <v/>
      </c>
      <c r="P78" s="166" t="str">
        <f t="shared" si="8"/>
        <v/>
      </c>
      <c r="Q78" s="140"/>
      <c r="R78" s="139"/>
      <c r="S78" s="166" t="str">
        <f t="shared" si="9"/>
        <v/>
      </c>
      <c r="T78" s="1" t="str">
        <f t="shared" si="10"/>
        <v/>
      </c>
      <c r="U78" s="1" t="str">
        <f t="shared" si="11"/>
        <v/>
      </c>
      <c r="V78" s="166" t="str">
        <f t="shared" si="12"/>
        <v/>
      </c>
      <c r="W78" s="166" t="str">
        <f t="shared" si="13"/>
        <v/>
      </c>
      <c r="X78" s="139"/>
      <c r="Y78" s="139"/>
      <c r="Z78" s="139"/>
      <c r="AA78" s="138"/>
    </row>
    <row r="79" spans="2:27" ht="15" customHeight="1" x14ac:dyDescent="0.25">
      <c r="B79" s="138"/>
      <c r="C79" s="137"/>
      <c r="D79" s="166" t="str">
        <f t="shared" si="5"/>
        <v/>
      </c>
      <c r="E79" s="139"/>
      <c r="F79" s="139"/>
      <c r="G79" s="139"/>
      <c r="H79" s="166" t="str">
        <f t="shared" si="6"/>
        <v/>
      </c>
      <c r="I79" s="139"/>
      <c r="J79" s="139"/>
      <c r="K79" s="139"/>
      <c r="L79" s="139"/>
      <c r="M79" s="139"/>
      <c r="N79" s="139"/>
      <c r="O79" s="166" t="str">
        <f t="shared" si="7"/>
        <v/>
      </c>
      <c r="P79" s="166" t="str">
        <f t="shared" si="8"/>
        <v/>
      </c>
      <c r="Q79" s="140"/>
      <c r="R79" s="139"/>
      <c r="S79" s="166" t="str">
        <f t="shared" si="9"/>
        <v/>
      </c>
      <c r="T79" s="1" t="str">
        <f t="shared" si="10"/>
        <v/>
      </c>
      <c r="U79" s="1" t="str">
        <f t="shared" si="11"/>
        <v/>
      </c>
      <c r="V79" s="166" t="str">
        <f t="shared" si="12"/>
        <v/>
      </c>
      <c r="W79" s="166" t="str">
        <f t="shared" si="13"/>
        <v/>
      </c>
      <c r="X79" s="139"/>
      <c r="Y79" s="139"/>
      <c r="Z79" s="139"/>
      <c r="AA79" s="138"/>
    </row>
    <row r="80" spans="2:27" ht="15" customHeight="1" x14ac:dyDescent="0.25">
      <c r="B80" s="138"/>
      <c r="C80" s="137"/>
      <c r="D80" s="166" t="str">
        <f t="shared" si="5"/>
        <v/>
      </c>
      <c r="E80" s="139"/>
      <c r="F80" s="139"/>
      <c r="G80" s="139"/>
      <c r="H80" s="166" t="str">
        <f t="shared" si="6"/>
        <v/>
      </c>
      <c r="I80" s="139"/>
      <c r="J80" s="139"/>
      <c r="K80" s="139"/>
      <c r="L80" s="139"/>
      <c r="M80" s="139"/>
      <c r="N80" s="139"/>
      <c r="O80" s="166" t="str">
        <f t="shared" si="7"/>
        <v/>
      </c>
      <c r="P80" s="166" t="str">
        <f t="shared" si="8"/>
        <v/>
      </c>
      <c r="Q80" s="140"/>
      <c r="R80" s="139"/>
      <c r="S80" s="166" t="str">
        <f t="shared" si="9"/>
        <v/>
      </c>
      <c r="T80" s="1" t="str">
        <f t="shared" si="10"/>
        <v/>
      </c>
      <c r="U80" s="1" t="str">
        <f t="shared" si="11"/>
        <v/>
      </c>
      <c r="V80" s="166" t="str">
        <f t="shared" si="12"/>
        <v/>
      </c>
      <c r="W80" s="166" t="str">
        <f t="shared" si="13"/>
        <v/>
      </c>
      <c r="X80" s="139"/>
      <c r="Y80" s="139"/>
      <c r="Z80" s="139"/>
      <c r="AA80" s="138"/>
    </row>
    <row r="81" spans="1:27" ht="15" customHeight="1" x14ac:dyDescent="0.25">
      <c r="B81" s="138"/>
      <c r="C81" s="137"/>
      <c r="D81" s="166" t="str">
        <f t="shared" si="5"/>
        <v/>
      </c>
      <c r="E81" s="139"/>
      <c r="F81" s="139"/>
      <c r="G81" s="139"/>
      <c r="H81" s="166" t="str">
        <f t="shared" si="6"/>
        <v/>
      </c>
      <c r="I81" s="139"/>
      <c r="J81" s="139"/>
      <c r="K81" s="139"/>
      <c r="L81" s="139"/>
      <c r="M81" s="139"/>
      <c r="N81" s="139"/>
      <c r="O81" s="166" t="str">
        <f t="shared" si="7"/>
        <v/>
      </c>
      <c r="P81" s="166" t="str">
        <f t="shared" si="8"/>
        <v/>
      </c>
      <c r="Q81" s="140"/>
      <c r="R81" s="139"/>
      <c r="S81" s="166" t="str">
        <f t="shared" si="9"/>
        <v/>
      </c>
      <c r="T81" s="1" t="str">
        <f t="shared" si="10"/>
        <v/>
      </c>
      <c r="U81" s="1" t="str">
        <f t="shared" si="11"/>
        <v/>
      </c>
      <c r="V81" s="166" t="str">
        <f t="shared" si="12"/>
        <v/>
      </c>
      <c r="W81" s="166" t="str">
        <f t="shared" si="13"/>
        <v/>
      </c>
      <c r="X81" s="139"/>
      <c r="Y81" s="139"/>
      <c r="Z81" s="139"/>
      <c r="AA81" s="138"/>
    </row>
    <row r="82" spans="1:27" ht="15" customHeight="1" x14ac:dyDescent="0.25">
      <c r="B82" s="138"/>
      <c r="C82" s="137"/>
      <c r="D82" s="166" t="str">
        <f t="shared" si="5"/>
        <v/>
      </c>
      <c r="E82" s="139"/>
      <c r="F82" s="139"/>
      <c r="G82" s="139"/>
      <c r="H82" s="166" t="str">
        <f t="shared" si="6"/>
        <v/>
      </c>
      <c r="I82" s="139"/>
      <c r="J82" s="139"/>
      <c r="K82" s="139"/>
      <c r="L82" s="139"/>
      <c r="M82" s="139"/>
      <c r="N82" s="139"/>
      <c r="O82" s="166" t="str">
        <f t="shared" si="7"/>
        <v/>
      </c>
      <c r="P82" s="166" t="str">
        <f t="shared" si="8"/>
        <v/>
      </c>
      <c r="Q82" s="140"/>
      <c r="R82" s="139"/>
      <c r="S82" s="166" t="str">
        <f t="shared" si="9"/>
        <v/>
      </c>
      <c r="T82" s="1" t="str">
        <f t="shared" si="10"/>
        <v/>
      </c>
      <c r="U82" s="1" t="str">
        <f t="shared" si="11"/>
        <v/>
      </c>
      <c r="V82" s="166" t="str">
        <f t="shared" si="12"/>
        <v/>
      </c>
      <c r="W82" s="166" t="str">
        <f t="shared" si="13"/>
        <v/>
      </c>
      <c r="X82" s="139"/>
      <c r="Y82" s="139"/>
      <c r="Z82" s="139"/>
      <c r="AA82" s="138"/>
    </row>
    <row r="84" spans="1:27" s="167" customFormat="1" ht="15" customHeight="1" x14ac:dyDescent="0.25">
      <c r="A84" s="7">
        <f ca="1">TODAY()</f>
        <v>44263</v>
      </c>
      <c r="B84" s="167" t="s">
        <v>59</v>
      </c>
      <c r="C84" s="167" t="s">
        <v>66</v>
      </c>
      <c r="D84" s="167" t="s">
        <v>67</v>
      </c>
      <c r="E84" s="401" t="s">
        <v>94</v>
      </c>
      <c r="F84" s="401"/>
      <c r="G84" s="401" t="s">
        <v>100</v>
      </c>
      <c r="H84" s="401"/>
      <c r="I84" s="401"/>
      <c r="J84" s="401"/>
      <c r="K84" s="401"/>
      <c r="Q84" s="9"/>
    </row>
    <row r="85" spans="1:27" ht="30" customHeight="1" x14ac:dyDescent="0.25">
      <c r="B85" s="138" t="s">
        <v>580</v>
      </c>
      <c r="C85" s="137">
        <v>29350</v>
      </c>
      <c r="D85" s="166">
        <f ca="1">IF(B85&lt;&gt;0,ROUNDDOWN(($A$84-C85)/365.25,0),"")</f>
        <v>40</v>
      </c>
      <c r="E85" s="400" t="s">
        <v>188</v>
      </c>
      <c r="F85" s="400"/>
      <c r="G85" s="400" t="s">
        <v>581</v>
      </c>
      <c r="H85" s="400"/>
      <c r="I85" s="400"/>
      <c r="J85" s="400"/>
      <c r="K85" s="400"/>
    </row>
    <row r="86" spans="1:27" ht="30" customHeight="1" x14ac:dyDescent="0.25">
      <c r="B86" s="138" t="s">
        <v>582</v>
      </c>
      <c r="C86" s="137">
        <v>33849</v>
      </c>
      <c r="D86" s="166">
        <f t="shared" ref="D86:D92" ca="1" si="14">IF(B86&lt;&gt;0,ROUNDDOWN(($A$84-C86)/365.25,0),"")</f>
        <v>28</v>
      </c>
      <c r="E86" s="400" t="s">
        <v>191</v>
      </c>
      <c r="F86" s="400"/>
      <c r="G86" s="400" t="s">
        <v>583</v>
      </c>
      <c r="H86" s="400"/>
      <c r="I86" s="400"/>
      <c r="J86" s="400"/>
      <c r="K86" s="400"/>
    </row>
    <row r="87" spans="1:27" ht="30" customHeight="1" x14ac:dyDescent="0.25">
      <c r="B87" s="138" t="s">
        <v>584</v>
      </c>
      <c r="C87" s="137">
        <v>28301</v>
      </c>
      <c r="D87" s="166">
        <f t="shared" ca="1" si="14"/>
        <v>43</v>
      </c>
      <c r="E87" s="400" t="s">
        <v>191</v>
      </c>
      <c r="F87" s="400"/>
      <c r="G87" s="400" t="s">
        <v>30</v>
      </c>
      <c r="H87" s="400"/>
      <c r="I87" s="400"/>
      <c r="J87" s="400"/>
      <c r="K87" s="400"/>
    </row>
    <row r="88" spans="1:27" ht="30" customHeight="1" x14ac:dyDescent="0.25">
      <c r="B88" s="138" t="s">
        <v>585</v>
      </c>
      <c r="C88" s="137">
        <v>24059</v>
      </c>
      <c r="D88" s="166">
        <f t="shared" ca="1" si="14"/>
        <v>55</v>
      </c>
      <c r="E88" s="400" t="s">
        <v>277</v>
      </c>
      <c r="F88" s="400"/>
      <c r="G88" s="400" t="s">
        <v>30</v>
      </c>
      <c r="H88" s="400"/>
      <c r="I88" s="400"/>
      <c r="J88" s="400"/>
      <c r="K88" s="400"/>
    </row>
    <row r="89" spans="1:27" ht="30" customHeight="1" x14ac:dyDescent="0.25">
      <c r="B89" s="138" t="s">
        <v>586</v>
      </c>
      <c r="C89" s="137">
        <v>33657</v>
      </c>
      <c r="D89" s="166">
        <f t="shared" ca="1" si="14"/>
        <v>29</v>
      </c>
      <c r="E89" s="400" t="s">
        <v>324</v>
      </c>
      <c r="F89" s="400"/>
      <c r="G89" s="400" t="s">
        <v>30</v>
      </c>
      <c r="H89" s="400"/>
      <c r="I89" s="400"/>
      <c r="J89" s="400"/>
      <c r="K89" s="400"/>
    </row>
    <row r="90" spans="1:27" ht="30" customHeight="1" x14ac:dyDescent="0.25">
      <c r="B90" s="138"/>
      <c r="C90" s="138"/>
      <c r="D90" s="166" t="str">
        <f t="shared" si="14"/>
        <v/>
      </c>
      <c r="E90" s="400"/>
      <c r="F90" s="400"/>
      <c r="G90" s="400"/>
      <c r="H90" s="400"/>
      <c r="I90" s="400"/>
      <c r="J90" s="400"/>
      <c r="K90" s="400"/>
    </row>
    <row r="91" spans="1:27" ht="30" customHeight="1" x14ac:dyDescent="0.25">
      <c r="B91" s="138"/>
      <c r="C91" s="138"/>
      <c r="D91" s="166" t="str">
        <f t="shared" si="14"/>
        <v/>
      </c>
      <c r="E91" s="400"/>
      <c r="F91" s="400"/>
      <c r="G91" s="400"/>
      <c r="H91" s="400"/>
      <c r="I91" s="400"/>
      <c r="J91" s="400"/>
      <c r="K91" s="400"/>
    </row>
    <row r="92" spans="1:27" ht="30" customHeight="1" x14ac:dyDescent="0.25">
      <c r="B92" s="138"/>
      <c r="C92" s="138"/>
      <c r="D92" s="166" t="str">
        <f t="shared" si="14"/>
        <v/>
      </c>
      <c r="E92" s="400"/>
      <c r="F92" s="400"/>
      <c r="G92" s="400"/>
      <c r="H92" s="400"/>
      <c r="I92" s="400"/>
      <c r="J92" s="400"/>
      <c r="K92" s="400"/>
    </row>
  </sheetData>
  <sheetProtection algorithmName="SHA-512" hashValue="h1ynsZ6Z1xNIaFRsOJfUajHgiJ5pTv7O6kvP0LB6fk23IbQmVmQQ2Fat5eWKTPNzMfufbaL14RONPE4Wx+mA7w==" saltValue="wlUQKEH90PZdMi43eAPzJg==" spinCount="100000" sheet="1" objects="1" scenarios="1" selectLockedCells="1"/>
  <sortState ref="B48:AA76">
    <sortCondition ref="U48:U76"/>
    <sortCondition ref="B48:B76"/>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51" priority="1" operator="containsText" text="ANO">
      <formula>NOT(ISERROR(SEARCH("ANO",P2)))</formula>
    </cfRule>
    <cfRule type="containsText" dxfId="5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topLeftCell="A7" workbookViewId="0">
      <selection activeCell="B41" sqref="B41"/>
    </sheetView>
  </sheetViews>
  <sheetFormatPr defaultRowHeight="15" x14ac:dyDescent="0.25"/>
  <cols>
    <col min="2" max="2" width="18.85546875" bestFit="1" customWidth="1"/>
  </cols>
  <sheetData>
    <row r="1" spans="1:6" x14ac:dyDescent="0.25">
      <c r="A1" s="401" t="s">
        <v>36</v>
      </c>
      <c r="B1" s="1" t="s">
        <v>502</v>
      </c>
      <c r="C1" s="212">
        <v>55</v>
      </c>
      <c r="D1" s="403" t="str">
        <f t="shared" ref="D1:D30" si="0">IFERROR(RIGHT(B1,LEN(B1)-SEARCH(" ",B1)),"")</f>
        <v>Filip Forman</v>
      </c>
      <c r="E1" s="403"/>
      <c r="F1" s="166"/>
    </row>
    <row r="2" spans="1:6" x14ac:dyDescent="0.25">
      <c r="A2" s="401"/>
      <c r="B2" s="1" t="s">
        <v>658</v>
      </c>
      <c r="C2" s="212">
        <v>45</v>
      </c>
      <c r="D2" s="403" t="str">
        <f t="shared" si="0"/>
        <v>Matěj Pěnička</v>
      </c>
      <c r="E2" s="403"/>
      <c r="F2" s="166"/>
    </row>
    <row r="3" spans="1:6" x14ac:dyDescent="0.25">
      <c r="A3" s="401"/>
      <c r="B3" s="1" t="s">
        <v>659</v>
      </c>
      <c r="C3" s="212">
        <v>43</v>
      </c>
      <c r="D3" s="403" t="str">
        <f t="shared" si="0"/>
        <v>Matyáš Krebner</v>
      </c>
      <c r="E3" s="403"/>
      <c r="F3" s="166"/>
    </row>
    <row r="4" spans="1:6" x14ac:dyDescent="0.25">
      <c r="A4" s="401"/>
      <c r="B4" s="1" t="s">
        <v>870</v>
      </c>
      <c r="C4" s="212">
        <v>31</v>
      </c>
      <c r="D4" s="403" t="str">
        <f t="shared" si="0"/>
        <v>Jan Malič</v>
      </c>
      <c r="E4" s="403"/>
      <c r="F4" s="166"/>
    </row>
    <row r="5" spans="1:6" x14ac:dyDescent="0.25">
      <c r="A5" s="401"/>
      <c r="B5" s="1" t="s">
        <v>871</v>
      </c>
      <c r="C5" s="212">
        <v>30</v>
      </c>
      <c r="D5" s="403" t="str">
        <f t="shared" si="0"/>
        <v>Jakub Buršík</v>
      </c>
      <c r="E5" s="403"/>
      <c r="F5" s="166"/>
    </row>
    <row r="6" spans="1:6" x14ac:dyDescent="0.25">
      <c r="A6" s="401" t="s">
        <v>241</v>
      </c>
      <c r="B6" s="1" t="s">
        <v>503</v>
      </c>
      <c r="C6" s="212" t="s">
        <v>938</v>
      </c>
      <c r="D6" s="403" t="str">
        <f t="shared" si="0"/>
        <v>Radovan Michajlovič</v>
      </c>
      <c r="E6" s="403"/>
      <c r="F6" s="166">
        <f t="shared" ref="F6:F10" si="1">IF(B6&lt;&gt;0,_xlfn.NUMBERVALUE(C6,","),"")</f>
        <v>5.14</v>
      </c>
    </row>
    <row r="7" spans="1:6" x14ac:dyDescent="0.25">
      <c r="A7" s="401"/>
      <c r="B7" s="1" t="s">
        <v>504</v>
      </c>
      <c r="C7" s="212" t="s">
        <v>702</v>
      </c>
      <c r="D7" s="403" t="str">
        <f t="shared" si="0"/>
        <v>Jakub Zavřel</v>
      </c>
      <c r="E7" s="403"/>
      <c r="F7" s="166">
        <f t="shared" si="1"/>
        <v>4.24</v>
      </c>
    </row>
    <row r="8" spans="1:6" x14ac:dyDescent="0.25">
      <c r="A8" s="401"/>
      <c r="B8" s="1" t="s">
        <v>505</v>
      </c>
      <c r="C8" s="212" t="s">
        <v>506</v>
      </c>
      <c r="D8" s="403" t="str">
        <f t="shared" si="0"/>
        <v>Tomáš Hyršl</v>
      </c>
      <c r="E8" s="403"/>
      <c r="F8" s="166">
        <f t="shared" si="1"/>
        <v>13.73</v>
      </c>
    </row>
    <row r="9" spans="1:6" x14ac:dyDescent="0.25">
      <c r="A9" s="401"/>
      <c r="B9" s="1"/>
      <c r="C9" s="212"/>
      <c r="D9" s="403" t="str">
        <f t="shared" si="0"/>
        <v/>
      </c>
      <c r="E9" s="403"/>
      <c r="F9" s="166" t="str">
        <f t="shared" si="1"/>
        <v/>
      </c>
    </row>
    <row r="10" spans="1:6" x14ac:dyDescent="0.25">
      <c r="A10" s="401"/>
      <c r="B10" s="1"/>
      <c r="C10" s="212"/>
      <c r="D10" s="403" t="str">
        <f t="shared" si="0"/>
        <v/>
      </c>
      <c r="E10" s="403"/>
      <c r="F10" s="166" t="str">
        <f t="shared" si="1"/>
        <v/>
      </c>
    </row>
    <row r="11" spans="1:6" x14ac:dyDescent="0.25">
      <c r="A11" s="401" t="s">
        <v>35</v>
      </c>
      <c r="B11" s="1" t="s">
        <v>507</v>
      </c>
      <c r="C11" s="212">
        <v>30</v>
      </c>
      <c r="D11" s="403" t="str">
        <f t="shared" si="0"/>
        <v>Matěj Pěnička</v>
      </c>
      <c r="E11" s="403"/>
      <c r="F11" s="166"/>
    </row>
    <row r="12" spans="1:6" x14ac:dyDescent="0.25">
      <c r="A12" s="401"/>
      <c r="B12" s="1" t="s">
        <v>872</v>
      </c>
      <c r="C12" s="212">
        <v>21</v>
      </c>
      <c r="D12" s="403" t="str">
        <f t="shared" si="0"/>
        <v>Jakub Šárka</v>
      </c>
      <c r="E12" s="403"/>
      <c r="F12" s="166"/>
    </row>
    <row r="13" spans="1:6" x14ac:dyDescent="0.25">
      <c r="A13" s="401"/>
      <c r="B13" s="1" t="s">
        <v>659</v>
      </c>
      <c r="C13" s="212">
        <v>21</v>
      </c>
      <c r="D13" s="403" t="str">
        <f t="shared" si="0"/>
        <v>Matyáš Krebner</v>
      </c>
      <c r="E13" s="403"/>
      <c r="F13" s="166"/>
    </row>
    <row r="14" spans="1:6" x14ac:dyDescent="0.25">
      <c r="A14" s="401"/>
      <c r="B14" s="1" t="s">
        <v>939</v>
      </c>
      <c r="C14" s="212">
        <v>19</v>
      </c>
      <c r="D14" s="403" t="str">
        <f t="shared" si="0"/>
        <v>Jakub Buršík</v>
      </c>
      <c r="E14" s="403"/>
      <c r="F14" s="166"/>
    </row>
    <row r="15" spans="1:6" x14ac:dyDescent="0.25">
      <c r="A15" s="401"/>
      <c r="B15" s="1" t="s">
        <v>660</v>
      </c>
      <c r="C15" s="212">
        <v>18</v>
      </c>
      <c r="D15" s="403" t="str">
        <f t="shared" si="0"/>
        <v>Filip Forman</v>
      </c>
      <c r="E15" s="403"/>
      <c r="F15" s="166"/>
    </row>
    <row r="16" spans="1:6" x14ac:dyDescent="0.25">
      <c r="A16" s="401" t="s">
        <v>230</v>
      </c>
      <c r="B16" s="1" t="s">
        <v>503</v>
      </c>
      <c r="C16" s="212">
        <v>15</v>
      </c>
      <c r="D16" s="403" t="str">
        <f t="shared" si="0"/>
        <v>Radovan Michajlovič</v>
      </c>
      <c r="E16" s="403"/>
      <c r="F16" s="166">
        <f t="shared" ref="F16:F20" si="2">IF(B16&lt;&gt;0,_xlfn.NUMBERVALUE(C16,","),"")</f>
        <v>15</v>
      </c>
    </row>
    <row r="17" spans="1:6" x14ac:dyDescent="0.25">
      <c r="A17" s="401"/>
      <c r="B17" s="1" t="s">
        <v>504</v>
      </c>
      <c r="C17" s="212">
        <v>3</v>
      </c>
      <c r="D17" s="403" t="str">
        <f t="shared" si="0"/>
        <v>Jakub Zavřel</v>
      </c>
      <c r="E17" s="403"/>
      <c r="F17" s="166">
        <f t="shared" si="2"/>
        <v>3</v>
      </c>
    </row>
    <row r="18" spans="1:6" x14ac:dyDescent="0.25">
      <c r="A18" s="401"/>
      <c r="B18" s="1" t="s">
        <v>505</v>
      </c>
      <c r="C18" s="212">
        <v>2</v>
      </c>
      <c r="D18" s="403" t="str">
        <f t="shared" si="0"/>
        <v>Tomáš Hyršl</v>
      </c>
      <c r="E18" s="403"/>
      <c r="F18" s="166">
        <f t="shared" si="2"/>
        <v>2</v>
      </c>
    </row>
    <row r="19" spans="1:6" x14ac:dyDescent="0.25">
      <c r="A19" s="401"/>
      <c r="B19" s="1"/>
      <c r="C19" s="212"/>
      <c r="D19" s="403" t="str">
        <f t="shared" si="0"/>
        <v/>
      </c>
      <c r="E19" s="403"/>
      <c r="F19" s="166" t="str">
        <f t="shared" si="2"/>
        <v/>
      </c>
    </row>
    <row r="20" spans="1:6" x14ac:dyDescent="0.25">
      <c r="A20" s="401"/>
      <c r="B20" s="1"/>
      <c r="C20" s="212"/>
      <c r="D20" s="403" t="str">
        <f t="shared" si="0"/>
        <v/>
      </c>
      <c r="E20" s="403"/>
      <c r="F20" s="166" t="str">
        <f t="shared" si="2"/>
        <v/>
      </c>
    </row>
    <row r="21" spans="1:6" x14ac:dyDescent="0.25">
      <c r="A21" s="401" t="s">
        <v>37</v>
      </c>
      <c r="B21" s="1" t="s">
        <v>502</v>
      </c>
      <c r="C21" s="212">
        <v>37</v>
      </c>
      <c r="D21" s="403" t="str">
        <f t="shared" si="0"/>
        <v>Filip Forman</v>
      </c>
      <c r="E21" s="403"/>
      <c r="F21" s="166"/>
    </row>
    <row r="22" spans="1:6" x14ac:dyDescent="0.25">
      <c r="A22" s="401"/>
      <c r="B22" s="1" t="s">
        <v>612</v>
      </c>
      <c r="C22" s="212">
        <v>22</v>
      </c>
      <c r="D22" s="403" t="str">
        <f t="shared" si="0"/>
        <v>Matyáš Krebner</v>
      </c>
      <c r="E22" s="403"/>
      <c r="F22" s="166"/>
    </row>
    <row r="23" spans="1:6" x14ac:dyDescent="0.25">
      <c r="A23" s="401"/>
      <c r="B23" s="1" t="s">
        <v>613</v>
      </c>
      <c r="C23" s="212">
        <v>18</v>
      </c>
      <c r="D23" s="403" t="str">
        <f t="shared" si="0"/>
        <v>Jan Malič</v>
      </c>
      <c r="E23" s="403"/>
      <c r="F23" s="166"/>
    </row>
    <row r="24" spans="1:6" x14ac:dyDescent="0.25">
      <c r="A24" s="401"/>
      <c r="B24" s="1" t="s">
        <v>661</v>
      </c>
      <c r="C24" s="212">
        <v>15</v>
      </c>
      <c r="D24" s="403" t="str">
        <f t="shared" si="0"/>
        <v>Matěj Pěnička</v>
      </c>
      <c r="E24" s="403"/>
      <c r="F24" s="166"/>
    </row>
    <row r="25" spans="1:6" x14ac:dyDescent="0.25">
      <c r="A25" s="401"/>
      <c r="B25" s="1" t="s">
        <v>940</v>
      </c>
      <c r="C25" s="212">
        <v>13</v>
      </c>
      <c r="D25" s="403" t="str">
        <f t="shared" si="0"/>
        <v>Patrik Šebek</v>
      </c>
      <c r="E25" s="403"/>
      <c r="F25" s="166"/>
    </row>
    <row r="26" spans="1:6" x14ac:dyDescent="0.25">
      <c r="A26" s="401" t="s">
        <v>38</v>
      </c>
      <c r="B26" s="1" t="s">
        <v>502</v>
      </c>
      <c r="C26" s="212">
        <v>41</v>
      </c>
      <c r="D26" s="403" t="str">
        <f t="shared" si="0"/>
        <v>Filip Forman</v>
      </c>
      <c r="E26" s="403"/>
      <c r="F26" s="166"/>
    </row>
    <row r="27" spans="1:6" x14ac:dyDescent="0.25">
      <c r="A27" s="401"/>
      <c r="B27" s="1" t="s">
        <v>941</v>
      </c>
      <c r="C27" s="212">
        <v>22</v>
      </c>
      <c r="D27" s="403" t="str">
        <f t="shared" si="0"/>
        <v>Jan Malič</v>
      </c>
      <c r="E27" s="403"/>
      <c r="F27" s="166"/>
    </row>
    <row r="28" spans="1:6" x14ac:dyDescent="0.25">
      <c r="A28" s="401"/>
      <c r="B28" s="1" t="s">
        <v>942</v>
      </c>
      <c r="C28" s="212">
        <v>6</v>
      </c>
      <c r="D28" s="403" t="str">
        <f t="shared" si="0"/>
        <v>Ivan Tomčo</v>
      </c>
      <c r="E28" s="403"/>
      <c r="F28" s="166"/>
    </row>
    <row r="29" spans="1:6" x14ac:dyDescent="0.25">
      <c r="A29" s="401"/>
      <c r="B29" s="1" t="s">
        <v>939</v>
      </c>
      <c r="C29" s="212">
        <v>6</v>
      </c>
      <c r="D29" s="403" t="str">
        <f t="shared" si="0"/>
        <v>Jakub Buršík</v>
      </c>
      <c r="E29" s="403"/>
      <c r="F29" s="166"/>
    </row>
    <row r="30" spans="1:6" x14ac:dyDescent="0.25">
      <c r="A30" s="401"/>
      <c r="B30" s="1" t="s">
        <v>943</v>
      </c>
      <c r="C30" s="212">
        <v>6</v>
      </c>
      <c r="D30" s="403" t="str">
        <f t="shared" si="0"/>
        <v>Lukáš Kuncman</v>
      </c>
      <c r="E30" s="403"/>
      <c r="F30" s="166"/>
    </row>
    <row r="31" spans="1:6" x14ac:dyDescent="0.25">
      <c r="A31" s="401" t="s">
        <v>331</v>
      </c>
      <c r="B31" s="190" t="s">
        <v>620</v>
      </c>
      <c r="C31" s="190" t="s">
        <v>145</v>
      </c>
      <c r="D31" s="190" t="s">
        <v>400</v>
      </c>
      <c r="E31" s="178" t="str">
        <f>IFERROR(RIGHT(LEFT(D31,LEN(D31)-1),LEN(D31)-2),"")</f>
        <v>6:4</v>
      </c>
    </row>
    <row r="32" spans="1:6" x14ac:dyDescent="0.25">
      <c r="A32" s="401"/>
      <c r="B32" s="190" t="s">
        <v>617</v>
      </c>
      <c r="C32" s="190" t="s">
        <v>151</v>
      </c>
      <c r="D32" s="190" t="s">
        <v>619</v>
      </c>
      <c r="E32" s="178" t="str">
        <f t="shared" ref="E32:E40" si="3">IFERROR(RIGHT(LEFT(D32,LEN(D32)-1),LEN(D32)-2),"")</f>
        <v>6:5</v>
      </c>
    </row>
    <row r="33" spans="1:5" x14ac:dyDescent="0.25">
      <c r="A33" s="401"/>
      <c r="B33" s="190" t="s">
        <v>855</v>
      </c>
      <c r="C33" s="190" t="s">
        <v>146</v>
      </c>
      <c r="D33" s="190" t="s">
        <v>869</v>
      </c>
      <c r="E33" s="178" t="str">
        <f t="shared" si="3"/>
        <v>11:4</v>
      </c>
    </row>
    <row r="34" spans="1:5" x14ac:dyDescent="0.25">
      <c r="A34" s="401"/>
      <c r="B34" s="190" t="s">
        <v>474</v>
      </c>
      <c r="C34" s="190" t="s">
        <v>153</v>
      </c>
      <c r="D34" s="190" t="s">
        <v>353</v>
      </c>
      <c r="E34" s="178" t="str">
        <f t="shared" si="3"/>
        <v>8:3</v>
      </c>
    </row>
    <row r="35" spans="1:5" x14ac:dyDescent="0.25">
      <c r="A35" s="401"/>
      <c r="B35" s="190" t="s">
        <v>591</v>
      </c>
      <c r="C35" s="190" t="s">
        <v>148</v>
      </c>
      <c r="D35" s="190" t="s">
        <v>792</v>
      </c>
      <c r="E35" s="178" t="str">
        <f t="shared" si="3"/>
        <v>5:10</v>
      </c>
    </row>
    <row r="36" spans="1:5" x14ac:dyDescent="0.25">
      <c r="A36" s="401" t="s">
        <v>332</v>
      </c>
      <c r="B36" s="190" t="s">
        <v>897</v>
      </c>
      <c r="C36" s="190" t="s">
        <v>145</v>
      </c>
      <c r="D36" s="190" t="s">
        <v>335</v>
      </c>
      <c r="E36" s="178" t="str">
        <f t="shared" si="3"/>
        <v>-:-</v>
      </c>
    </row>
    <row r="37" spans="1:5" x14ac:dyDescent="0.25">
      <c r="A37" s="401"/>
      <c r="B37" s="190" t="s">
        <v>898</v>
      </c>
      <c r="C37" s="190" t="s">
        <v>145</v>
      </c>
      <c r="D37" s="190" t="s">
        <v>335</v>
      </c>
      <c r="E37" s="178" t="str">
        <f t="shared" si="3"/>
        <v>-:-</v>
      </c>
    </row>
    <row r="38" spans="1:5" x14ac:dyDescent="0.25">
      <c r="A38" s="401"/>
      <c r="B38" s="190" t="s">
        <v>900</v>
      </c>
      <c r="C38" s="190" t="s">
        <v>145</v>
      </c>
      <c r="D38" s="190" t="s">
        <v>335</v>
      </c>
      <c r="E38" s="178" t="str">
        <f t="shared" si="3"/>
        <v>-:-</v>
      </c>
    </row>
    <row r="39" spans="1:5" x14ac:dyDescent="0.25">
      <c r="A39" s="401"/>
      <c r="B39" s="190" t="s">
        <v>901</v>
      </c>
      <c r="C39" s="190" t="s">
        <v>145</v>
      </c>
      <c r="D39" s="190" t="s">
        <v>335</v>
      </c>
      <c r="E39" s="178" t="str">
        <f t="shared" si="3"/>
        <v>-:-</v>
      </c>
    </row>
    <row r="40" spans="1:5" x14ac:dyDescent="0.25">
      <c r="A40" s="401"/>
      <c r="B40" s="190" t="s">
        <v>914</v>
      </c>
      <c r="C40" s="190" t="s">
        <v>145</v>
      </c>
      <c r="D40" s="190" t="s">
        <v>335</v>
      </c>
      <c r="E40" s="178" t="str">
        <f t="shared" si="3"/>
        <v>-:-</v>
      </c>
    </row>
    <row r="41" spans="1:5" x14ac:dyDescent="0.25">
      <c r="A41" s="167" t="s">
        <v>333</v>
      </c>
      <c r="B41" s="207" t="s">
        <v>937</v>
      </c>
      <c r="C41" s="190"/>
      <c r="D41" s="190"/>
    </row>
  </sheetData>
  <sheetProtection algorithmName="SHA-512" hashValue="0XdZIYdJM6azVqY5zB9Bbol3td+tGvoBcWzIFdZJzfu35/KTsdXbcI0qgxwE03GNSGUl4qqWmAPu51R16fIcOA==" saltValue="Py1MP/D0XrbhQOU6uWgTX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topLeftCell="A31"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439</v>
      </c>
      <c r="Q1" s="115" t="s">
        <v>47</v>
      </c>
    </row>
    <row r="2" spans="1:26" s="4" customFormat="1" x14ac:dyDescent="0.25">
      <c r="A2" s="53">
        <v>1</v>
      </c>
      <c r="B2" s="4" t="s">
        <v>509</v>
      </c>
      <c r="D2" s="5" t="s">
        <v>51</v>
      </c>
      <c r="E2" s="5">
        <v>26</v>
      </c>
      <c r="F2" s="5">
        <v>18</v>
      </c>
      <c r="G2" s="5">
        <v>2</v>
      </c>
      <c r="H2" s="5">
        <v>0</v>
      </c>
      <c r="I2" s="5">
        <v>26</v>
      </c>
      <c r="J2" s="5">
        <v>44</v>
      </c>
      <c r="K2" s="5">
        <v>6</v>
      </c>
      <c r="L2" s="5">
        <v>66</v>
      </c>
      <c r="M2" s="5">
        <v>46</v>
      </c>
      <c r="N2" s="5">
        <v>20</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44 (18+26), +20 ±</v>
      </c>
      <c r="P2" s="5" t="str">
        <f>IF(B2&lt;&gt;0,IF(IFERROR(VLOOKUP(B2,$B$48:$B$82,1,FALSE)=B2,FALSE),"ANO","NE"),"")</f>
        <v>ANO</v>
      </c>
      <c r="Q2" s="142"/>
      <c r="S2" s="5"/>
      <c r="X2" s="5"/>
      <c r="Y2" s="5"/>
      <c r="Z2" s="5"/>
    </row>
    <row r="3" spans="1:26" s="4" customFormat="1" x14ac:dyDescent="0.25">
      <c r="A3" s="53">
        <v>2</v>
      </c>
      <c r="B3" s="4" t="s">
        <v>510</v>
      </c>
      <c r="D3" s="5" t="s">
        <v>51</v>
      </c>
      <c r="E3" s="5">
        <v>25</v>
      </c>
      <c r="F3" s="5">
        <v>24</v>
      </c>
      <c r="G3" s="5">
        <v>5</v>
      </c>
      <c r="H3" s="5">
        <v>2</v>
      </c>
      <c r="I3" s="5">
        <v>14</v>
      </c>
      <c r="J3" s="5">
        <v>38</v>
      </c>
      <c r="K3" s="5">
        <v>0</v>
      </c>
      <c r="L3" s="5">
        <v>60</v>
      </c>
      <c r="M3" s="5">
        <v>43</v>
      </c>
      <c r="N3" s="5">
        <v>17</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25 OZ , 38 (24+14), +17 ±</v>
      </c>
      <c r="P3" s="5" t="str">
        <f t="shared" ref="P3:P36" si="1">IF(B3&lt;&gt;0,IF(IFERROR(VLOOKUP(B3,$B$48:$B$82,1,FALSE)=B3,FALSE),"ANO","NE"),"")</f>
        <v>ANO</v>
      </c>
      <c r="Q3" s="142"/>
      <c r="S3" s="5"/>
      <c r="X3" s="5"/>
      <c r="Y3" s="5"/>
      <c r="Z3" s="5"/>
    </row>
    <row r="4" spans="1:26" s="4" customFormat="1" x14ac:dyDescent="0.25">
      <c r="A4" s="53">
        <v>3</v>
      </c>
      <c r="B4" s="4" t="s">
        <v>512</v>
      </c>
      <c r="D4" s="5" t="s">
        <v>51</v>
      </c>
      <c r="E4" s="5">
        <v>26</v>
      </c>
      <c r="F4" s="5">
        <v>19</v>
      </c>
      <c r="G4" s="5">
        <v>1</v>
      </c>
      <c r="H4" s="5">
        <v>0</v>
      </c>
      <c r="I4" s="5">
        <v>8</v>
      </c>
      <c r="J4" s="5">
        <v>27</v>
      </c>
      <c r="K4" s="5">
        <v>6</v>
      </c>
      <c r="L4" s="5">
        <v>64</v>
      </c>
      <c r="M4" s="5">
        <v>40</v>
      </c>
      <c r="N4" s="5">
        <v>24</v>
      </c>
      <c r="O4" s="166" t="str">
        <f t="shared" si="0"/>
        <v>26 OZ , 27 (19+8), +24 ±</v>
      </c>
      <c r="P4" s="5" t="str">
        <f t="shared" si="1"/>
        <v>ANO</v>
      </c>
      <c r="Q4" s="142"/>
      <c r="S4" s="5"/>
      <c r="X4" s="5"/>
      <c r="Y4" s="5"/>
      <c r="Z4" s="5"/>
    </row>
    <row r="5" spans="1:26" s="4" customFormat="1" x14ac:dyDescent="0.25">
      <c r="A5" s="53">
        <v>4</v>
      </c>
      <c r="B5" s="4" t="s">
        <v>511</v>
      </c>
      <c r="D5" s="5"/>
      <c r="E5" s="5">
        <v>26</v>
      </c>
      <c r="F5" s="5">
        <v>12</v>
      </c>
      <c r="G5" s="5">
        <v>0</v>
      </c>
      <c r="H5" s="5">
        <v>0</v>
      </c>
      <c r="I5" s="5">
        <v>11</v>
      </c>
      <c r="J5" s="5">
        <v>23</v>
      </c>
      <c r="K5" s="5">
        <v>4</v>
      </c>
      <c r="L5" s="5">
        <v>44</v>
      </c>
      <c r="M5" s="5">
        <v>33</v>
      </c>
      <c r="N5" s="5">
        <v>11</v>
      </c>
      <c r="O5" s="166" t="str">
        <f t="shared" si="0"/>
        <v>26 OZ , 23 (12+11), +11 ±</v>
      </c>
      <c r="P5" s="5" t="str">
        <f t="shared" si="1"/>
        <v>ANO</v>
      </c>
      <c r="Q5" s="142"/>
      <c r="S5" s="5"/>
      <c r="X5" s="5"/>
      <c r="Y5" s="5"/>
      <c r="Z5" s="5"/>
    </row>
    <row r="6" spans="1:26" x14ac:dyDescent="0.25">
      <c r="A6" s="54">
        <v>5</v>
      </c>
      <c r="B6" s="1" t="s">
        <v>514</v>
      </c>
      <c r="D6" s="212" t="s">
        <v>51</v>
      </c>
      <c r="E6" s="212">
        <v>26</v>
      </c>
      <c r="F6" s="212">
        <v>9</v>
      </c>
      <c r="G6" s="212">
        <v>0</v>
      </c>
      <c r="H6" s="212">
        <v>0</v>
      </c>
      <c r="I6" s="212">
        <v>14</v>
      </c>
      <c r="J6" s="212">
        <v>23</v>
      </c>
      <c r="K6" s="212">
        <v>6</v>
      </c>
      <c r="L6" s="212">
        <v>39</v>
      </c>
      <c r="M6" s="212">
        <v>28</v>
      </c>
      <c r="N6" s="212">
        <v>11</v>
      </c>
      <c r="O6" s="166" t="str">
        <f t="shared" si="0"/>
        <v>26 OZ , 23 (9+14), +11 ±</v>
      </c>
      <c r="P6" s="5" t="str">
        <f t="shared" si="1"/>
        <v>ANO</v>
      </c>
    </row>
    <row r="7" spans="1:26" x14ac:dyDescent="0.25">
      <c r="A7" s="54">
        <v>6</v>
      </c>
      <c r="B7" s="1" t="s">
        <v>516</v>
      </c>
      <c r="D7" s="212"/>
      <c r="E7" s="212">
        <v>21</v>
      </c>
      <c r="F7" s="212">
        <v>16</v>
      </c>
      <c r="G7" s="212">
        <v>2</v>
      </c>
      <c r="H7" s="212">
        <v>1</v>
      </c>
      <c r="I7" s="212">
        <v>6</v>
      </c>
      <c r="J7" s="212">
        <v>22</v>
      </c>
      <c r="K7" s="212">
        <v>2</v>
      </c>
      <c r="L7" s="212">
        <v>49</v>
      </c>
      <c r="M7" s="212">
        <v>29</v>
      </c>
      <c r="N7" s="212">
        <v>20</v>
      </c>
      <c r="O7" s="166" t="str">
        <f t="shared" si="0"/>
        <v>21 OZ , 22 (16+6), +20 ±</v>
      </c>
      <c r="P7" s="5" t="str">
        <f t="shared" si="1"/>
        <v>ANO</v>
      </c>
    </row>
    <row r="8" spans="1:26" x14ac:dyDescent="0.25">
      <c r="A8" s="54">
        <v>7</v>
      </c>
      <c r="B8" s="1" t="s">
        <v>515</v>
      </c>
      <c r="D8" s="212" t="s">
        <v>48</v>
      </c>
      <c r="E8" s="212">
        <v>26</v>
      </c>
      <c r="F8" s="212">
        <v>9</v>
      </c>
      <c r="G8" s="212">
        <v>4</v>
      </c>
      <c r="H8" s="212">
        <v>0</v>
      </c>
      <c r="I8" s="212">
        <v>11</v>
      </c>
      <c r="J8" s="212">
        <v>20</v>
      </c>
      <c r="K8" s="212">
        <v>8</v>
      </c>
      <c r="L8" s="212">
        <v>64</v>
      </c>
      <c r="M8" s="212">
        <v>38</v>
      </c>
      <c r="N8" s="212">
        <v>26</v>
      </c>
      <c r="O8" s="166" t="str">
        <f t="shared" si="0"/>
        <v>26 OZ , 20 (9+11), +26 ±</v>
      </c>
      <c r="P8" s="5" t="str">
        <f t="shared" si="1"/>
        <v>ANO</v>
      </c>
    </row>
    <row r="9" spans="1:26" x14ac:dyDescent="0.25">
      <c r="A9" s="54">
        <v>8</v>
      </c>
      <c r="B9" s="1" t="s">
        <v>513</v>
      </c>
      <c r="D9" s="212"/>
      <c r="E9" s="212">
        <v>23</v>
      </c>
      <c r="F9" s="212">
        <v>9</v>
      </c>
      <c r="G9" s="212">
        <v>0</v>
      </c>
      <c r="H9" s="212">
        <v>0</v>
      </c>
      <c r="I9" s="212">
        <v>8</v>
      </c>
      <c r="J9" s="212">
        <v>17</v>
      </c>
      <c r="K9" s="212">
        <v>8</v>
      </c>
      <c r="L9" s="212">
        <v>22</v>
      </c>
      <c r="M9" s="212">
        <v>28</v>
      </c>
      <c r="N9" s="212">
        <v>-6</v>
      </c>
      <c r="O9" s="166" t="str">
        <f t="shared" si="0"/>
        <v>23 OZ , 17 (9+8), -6 ±</v>
      </c>
      <c r="P9" s="5" t="str">
        <f t="shared" si="1"/>
        <v>ANO</v>
      </c>
    </row>
    <row r="10" spans="1:26" x14ac:dyDescent="0.25">
      <c r="A10" s="54">
        <v>9</v>
      </c>
      <c r="B10" s="1" t="s">
        <v>518</v>
      </c>
      <c r="D10" s="212" t="s">
        <v>48</v>
      </c>
      <c r="E10" s="212">
        <v>26</v>
      </c>
      <c r="F10" s="212">
        <v>7</v>
      </c>
      <c r="G10" s="212">
        <v>0</v>
      </c>
      <c r="H10" s="212">
        <v>0</v>
      </c>
      <c r="I10" s="212">
        <v>6</v>
      </c>
      <c r="J10" s="212">
        <v>13</v>
      </c>
      <c r="K10" s="212">
        <v>6</v>
      </c>
      <c r="L10" s="212">
        <v>49</v>
      </c>
      <c r="M10" s="212">
        <v>32</v>
      </c>
      <c r="N10" s="212">
        <v>17</v>
      </c>
      <c r="O10" s="166" t="str">
        <f t="shared" si="0"/>
        <v>26 OZ , 13 (7+6), +17 ±</v>
      </c>
      <c r="P10" s="5" t="str">
        <f t="shared" si="1"/>
        <v>ANO</v>
      </c>
    </row>
    <row r="11" spans="1:26" x14ac:dyDescent="0.25">
      <c r="A11" s="54">
        <v>10</v>
      </c>
      <c r="B11" s="1" t="s">
        <v>519</v>
      </c>
      <c r="D11" s="212" t="s">
        <v>48</v>
      </c>
      <c r="E11" s="212">
        <v>20</v>
      </c>
      <c r="F11" s="212">
        <v>5</v>
      </c>
      <c r="G11" s="212">
        <v>1</v>
      </c>
      <c r="H11" s="212">
        <v>0</v>
      </c>
      <c r="I11" s="212">
        <v>5</v>
      </c>
      <c r="J11" s="212">
        <v>10</v>
      </c>
      <c r="K11" s="212">
        <v>4</v>
      </c>
      <c r="L11" s="212">
        <v>24</v>
      </c>
      <c r="M11" s="212">
        <v>24</v>
      </c>
      <c r="N11" s="212">
        <v>0</v>
      </c>
      <c r="O11" s="166" t="str">
        <f t="shared" si="0"/>
        <v>20 OZ , 10 (5+5), 0 ±</v>
      </c>
      <c r="P11" s="5" t="str">
        <f t="shared" si="1"/>
        <v>ANO</v>
      </c>
    </row>
    <row r="12" spans="1:26" x14ac:dyDescent="0.25">
      <c r="A12" s="54">
        <v>11</v>
      </c>
      <c r="B12" s="1" t="s">
        <v>517</v>
      </c>
      <c r="D12" s="212"/>
      <c r="E12" s="212">
        <v>15</v>
      </c>
      <c r="F12" s="212">
        <v>6</v>
      </c>
      <c r="G12" s="212">
        <v>0</v>
      </c>
      <c r="H12" s="212">
        <v>0</v>
      </c>
      <c r="I12" s="212">
        <v>3</v>
      </c>
      <c r="J12" s="212">
        <v>9</v>
      </c>
      <c r="K12" s="212">
        <v>4</v>
      </c>
      <c r="L12" s="212">
        <v>26</v>
      </c>
      <c r="M12" s="212">
        <v>19</v>
      </c>
      <c r="N12" s="212">
        <v>7</v>
      </c>
      <c r="O12" s="166" t="str">
        <f t="shared" si="0"/>
        <v>15 OZ , 9 (6+3), +7 ±</v>
      </c>
      <c r="P12" s="5" t="str">
        <f t="shared" si="1"/>
        <v>ANO</v>
      </c>
    </row>
    <row r="13" spans="1:26" x14ac:dyDescent="0.25">
      <c r="A13" s="54">
        <v>12</v>
      </c>
      <c r="B13" s="1" t="s">
        <v>529</v>
      </c>
      <c r="D13" s="212" t="s">
        <v>51</v>
      </c>
      <c r="E13" s="212">
        <v>19</v>
      </c>
      <c r="F13" s="212">
        <v>3</v>
      </c>
      <c r="G13" s="212">
        <v>0</v>
      </c>
      <c r="H13" s="212">
        <v>0</v>
      </c>
      <c r="I13" s="212">
        <v>5</v>
      </c>
      <c r="J13" s="212">
        <v>8</v>
      </c>
      <c r="K13" s="212">
        <v>12</v>
      </c>
      <c r="L13" s="212">
        <v>34</v>
      </c>
      <c r="M13" s="212">
        <v>29</v>
      </c>
      <c r="N13" s="212">
        <v>5</v>
      </c>
      <c r="O13" s="166" t="str">
        <f t="shared" si="0"/>
        <v>19 OZ , 8 (3+5), +5 ±</v>
      </c>
      <c r="P13" s="5" t="str">
        <f t="shared" si="1"/>
        <v>ANO</v>
      </c>
    </row>
    <row r="14" spans="1:26" x14ac:dyDescent="0.25">
      <c r="A14" s="54">
        <v>13</v>
      </c>
      <c r="B14" s="1" t="s">
        <v>522</v>
      </c>
      <c r="D14" s="212" t="s">
        <v>51</v>
      </c>
      <c r="E14" s="212">
        <v>25</v>
      </c>
      <c r="F14" s="212">
        <v>3</v>
      </c>
      <c r="G14" s="212">
        <v>0</v>
      </c>
      <c r="H14" s="212">
        <v>0</v>
      </c>
      <c r="I14" s="212">
        <v>5</v>
      </c>
      <c r="J14" s="212">
        <v>8</v>
      </c>
      <c r="K14" s="212">
        <v>30</v>
      </c>
      <c r="L14" s="212">
        <v>38</v>
      </c>
      <c r="M14" s="212">
        <v>39</v>
      </c>
      <c r="N14" s="212">
        <v>-1</v>
      </c>
      <c r="O14" s="166" t="str">
        <f t="shared" si="0"/>
        <v>25 OZ , 8 (3+5), -1 ±</v>
      </c>
      <c r="P14" s="5" t="str">
        <f t="shared" si="1"/>
        <v>ANO</v>
      </c>
    </row>
    <row r="15" spans="1:26" x14ac:dyDescent="0.25">
      <c r="A15" s="54">
        <v>14</v>
      </c>
      <c r="B15" s="1" t="s">
        <v>523</v>
      </c>
      <c r="D15" s="212" t="s">
        <v>48</v>
      </c>
      <c r="E15" s="212">
        <v>26</v>
      </c>
      <c r="F15" s="212">
        <v>3</v>
      </c>
      <c r="G15" s="212">
        <v>0</v>
      </c>
      <c r="H15" s="212">
        <v>0</v>
      </c>
      <c r="I15" s="212">
        <v>4</v>
      </c>
      <c r="J15" s="212">
        <v>7</v>
      </c>
      <c r="K15" s="212">
        <v>8</v>
      </c>
      <c r="L15" s="212">
        <v>32</v>
      </c>
      <c r="M15" s="212">
        <v>30</v>
      </c>
      <c r="N15" s="212">
        <v>2</v>
      </c>
      <c r="O15" s="166" t="str">
        <f t="shared" si="0"/>
        <v>26 OZ , 7 (3+4), +2 ±</v>
      </c>
      <c r="P15" s="5" t="str">
        <f t="shared" si="1"/>
        <v>ANO</v>
      </c>
    </row>
    <row r="16" spans="1:26" x14ac:dyDescent="0.25">
      <c r="A16" s="54">
        <v>15</v>
      </c>
      <c r="B16" s="1" t="s">
        <v>521</v>
      </c>
      <c r="D16" s="212"/>
      <c r="E16" s="212">
        <v>18</v>
      </c>
      <c r="F16" s="212">
        <v>3</v>
      </c>
      <c r="G16" s="212">
        <v>0</v>
      </c>
      <c r="H16" s="212">
        <v>0</v>
      </c>
      <c r="I16" s="212">
        <v>2</v>
      </c>
      <c r="J16" s="212">
        <v>5</v>
      </c>
      <c r="K16" s="212">
        <v>0</v>
      </c>
      <c r="L16" s="212">
        <v>10</v>
      </c>
      <c r="M16" s="212">
        <v>10</v>
      </c>
      <c r="N16" s="212">
        <v>0</v>
      </c>
      <c r="O16" s="166" t="str">
        <f t="shared" si="0"/>
        <v>18 OZ , 5 (3+2), 0 ±</v>
      </c>
      <c r="P16" s="5" t="str">
        <f t="shared" si="1"/>
        <v>ANO</v>
      </c>
    </row>
    <row r="17" spans="1:16" x14ac:dyDescent="0.25">
      <c r="A17" s="54">
        <v>16</v>
      </c>
      <c r="B17" s="1" t="s">
        <v>530</v>
      </c>
      <c r="D17" s="212" t="s">
        <v>51</v>
      </c>
      <c r="E17" s="212">
        <v>19</v>
      </c>
      <c r="F17" s="212">
        <v>1</v>
      </c>
      <c r="G17" s="212">
        <v>0</v>
      </c>
      <c r="H17" s="212">
        <v>0</v>
      </c>
      <c r="I17" s="212">
        <v>4</v>
      </c>
      <c r="J17" s="212">
        <v>5</v>
      </c>
      <c r="K17" s="212">
        <v>2</v>
      </c>
      <c r="L17" s="212">
        <v>17</v>
      </c>
      <c r="M17" s="212">
        <v>13</v>
      </c>
      <c r="N17" s="212">
        <v>4</v>
      </c>
      <c r="O17" s="166" t="str">
        <f t="shared" si="0"/>
        <v>19 OZ , 5 (1+4), +4 ±</v>
      </c>
      <c r="P17" s="5" t="str">
        <f t="shared" si="1"/>
        <v>ANO</v>
      </c>
    </row>
    <row r="18" spans="1:16" x14ac:dyDescent="0.25">
      <c r="A18" s="54">
        <v>17</v>
      </c>
      <c r="B18" s="1" t="s">
        <v>520</v>
      </c>
      <c r="D18" s="212"/>
      <c r="E18" s="212">
        <v>25</v>
      </c>
      <c r="F18" s="212">
        <v>3</v>
      </c>
      <c r="G18" s="212">
        <v>2</v>
      </c>
      <c r="H18" s="212">
        <v>0</v>
      </c>
      <c r="I18" s="212">
        <v>1</v>
      </c>
      <c r="J18" s="212">
        <v>4</v>
      </c>
      <c r="K18" s="212">
        <v>10</v>
      </c>
      <c r="L18" s="212">
        <v>10</v>
      </c>
      <c r="M18" s="212">
        <v>17</v>
      </c>
      <c r="N18" s="212">
        <v>-7</v>
      </c>
      <c r="O18" s="166" t="str">
        <f t="shared" si="0"/>
        <v>25 OZ , 4 (3+1), -7 ±</v>
      </c>
      <c r="P18" s="5" t="str">
        <f t="shared" si="1"/>
        <v>ANO</v>
      </c>
    </row>
    <row r="19" spans="1:16" x14ac:dyDescent="0.25">
      <c r="A19" s="54">
        <v>18</v>
      </c>
      <c r="B19" s="1" t="s">
        <v>524</v>
      </c>
      <c r="D19" s="212"/>
      <c r="E19" s="212">
        <v>7</v>
      </c>
      <c r="F19" s="212">
        <v>2</v>
      </c>
      <c r="G19" s="212">
        <v>0</v>
      </c>
      <c r="H19" s="212">
        <v>0</v>
      </c>
      <c r="I19" s="212">
        <v>1</v>
      </c>
      <c r="J19" s="212">
        <v>3</v>
      </c>
      <c r="K19" s="212">
        <v>0</v>
      </c>
      <c r="L19" s="212">
        <v>4</v>
      </c>
      <c r="M19" s="212">
        <v>5</v>
      </c>
      <c r="N19" s="212">
        <v>-1</v>
      </c>
      <c r="O19" s="166" t="str">
        <f t="shared" si="0"/>
        <v>7 OZ , 3 (2+1), -1 ±</v>
      </c>
      <c r="P19" s="5" t="str">
        <f t="shared" si="1"/>
        <v>ANO</v>
      </c>
    </row>
    <row r="20" spans="1:16" x14ac:dyDescent="0.25">
      <c r="A20" s="54">
        <v>19</v>
      </c>
      <c r="B20" s="1" t="s">
        <v>525</v>
      </c>
      <c r="D20" s="212" t="s">
        <v>51</v>
      </c>
      <c r="E20" s="212">
        <v>21</v>
      </c>
      <c r="F20" s="212">
        <v>2</v>
      </c>
      <c r="G20" s="212">
        <v>0</v>
      </c>
      <c r="H20" s="212">
        <v>0</v>
      </c>
      <c r="I20" s="212">
        <v>1</v>
      </c>
      <c r="J20" s="212">
        <v>3</v>
      </c>
      <c r="K20" s="212">
        <v>0</v>
      </c>
      <c r="L20" s="212">
        <v>18</v>
      </c>
      <c r="M20" s="212">
        <v>13</v>
      </c>
      <c r="N20" s="212">
        <v>5</v>
      </c>
      <c r="O20" s="166" t="str">
        <f t="shared" si="0"/>
        <v>21 OZ , 3 (2+1), +5 ±</v>
      </c>
      <c r="P20" s="5" t="str">
        <f t="shared" si="1"/>
        <v>ANO</v>
      </c>
    </row>
    <row r="21" spans="1:16" x14ac:dyDescent="0.25">
      <c r="A21" s="54">
        <v>20</v>
      </c>
      <c r="B21" s="1" t="s">
        <v>526</v>
      </c>
      <c r="D21" s="212" t="s">
        <v>51</v>
      </c>
      <c r="E21" s="212">
        <v>3</v>
      </c>
      <c r="F21" s="212">
        <v>1</v>
      </c>
      <c r="G21" s="212">
        <v>0</v>
      </c>
      <c r="H21" s="212">
        <v>0</v>
      </c>
      <c r="I21" s="212">
        <v>2</v>
      </c>
      <c r="J21" s="212">
        <v>3</v>
      </c>
      <c r="K21" s="212">
        <v>0</v>
      </c>
      <c r="L21" s="212">
        <v>10</v>
      </c>
      <c r="M21" s="212">
        <v>6</v>
      </c>
      <c r="N21" s="212">
        <v>4</v>
      </c>
      <c r="O21" s="166" t="str">
        <f t="shared" si="0"/>
        <v>3 OZ , 3 (1+2), +4 ±</v>
      </c>
      <c r="P21" s="5" t="str">
        <f t="shared" si="1"/>
        <v>ANO</v>
      </c>
    </row>
    <row r="22" spans="1:16" x14ac:dyDescent="0.25">
      <c r="A22" s="54">
        <v>21</v>
      </c>
      <c r="B22" s="1" t="s">
        <v>527</v>
      </c>
      <c r="D22" s="212"/>
      <c r="E22" s="212">
        <v>6</v>
      </c>
      <c r="F22" s="212">
        <v>1</v>
      </c>
      <c r="G22" s="212">
        <v>0</v>
      </c>
      <c r="H22" s="212">
        <v>0</v>
      </c>
      <c r="I22" s="212">
        <v>1</v>
      </c>
      <c r="J22" s="212">
        <v>2</v>
      </c>
      <c r="K22" s="212">
        <v>2</v>
      </c>
      <c r="L22" s="212">
        <v>3</v>
      </c>
      <c r="M22" s="212">
        <v>3</v>
      </c>
      <c r="N22" s="212">
        <v>0</v>
      </c>
      <c r="O22" s="166" t="str">
        <f t="shared" si="0"/>
        <v>6 OZ , 2 (1+1), 0 ±</v>
      </c>
      <c r="P22" s="5" t="str">
        <f t="shared" si="1"/>
        <v>ANO</v>
      </c>
    </row>
    <row r="23" spans="1:16" x14ac:dyDescent="0.25">
      <c r="A23" s="54">
        <v>22</v>
      </c>
      <c r="B23" s="1" t="s">
        <v>662</v>
      </c>
      <c r="D23" s="212" t="s">
        <v>48</v>
      </c>
      <c r="E23" s="212">
        <v>11</v>
      </c>
      <c r="F23" s="212">
        <v>1</v>
      </c>
      <c r="G23" s="212">
        <v>0</v>
      </c>
      <c r="H23" s="212">
        <v>0</v>
      </c>
      <c r="I23" s="212">
        <v>1</v>
      </c>
      <c r="J23" s="212">
        <v>2</v>
      </c>
      <c r="K23" s="212">
        <v>2</v>
      </c>
      <c r="L23" s="212">
        <v>4</v>
      </c>
      <c r="M23" s="212">
        <v>9</v>
      </c>
      <c r="N23" s="212">
        <v>-5</v>
      </c>
      <c r="O23" s="166" t="str">
        <f t="shared" si="0"/>
        <v>11 OZ , 2 (1+1), -5 ±</v>
      </c>
      <c r="P23" s="5" t="str">
        <f t="shared" si="1"/>
        <v>ANO</v>
      </c>
    </row>
    <row r="24" spans="1:16" x14ac:dyDescent="0.25">
      <c r="A24" s="53">
        <v>23</v>
      </c>
      <c r="B24" s="4" t="s">
        <v>528</v>
      </c>
      <c r="C24" s="4"/>
      <c r="D24" s="5"/>
      <c r="E24" s="5">
        <v>12</v>
      </c>
      <c r="F24" s="5">
        <v>1</v>
      </c>
      <c r="G24" s="5">
        <v>0</v>
      </c>
      <c r="H24" s="5">
        <v>0</v>
      </c>
      <c r="I24" s="5">
        <v>1</v>
      </c>
      <c r="J24" s="5">
        <v>2</v>
      </c>
      <c r="K24" s="5">
        <v>0</v>
      </c>
      <c r="L24" s="5">
        <v>5</v>
      </c>
      <c r="M24" s="5">
        <v>8</v>
      </c>
      <c r="N24" s="5">
        <v>-3</v>
      </c>
      <c r="O24" s="166" t="str">
        <f t="shared" si="0"/>
        <v>12 OZ , 2 (1+1), -3 ±</v>
      </c>
      <c r="P24" s="5" t="str">
        <f t="shared" si="1"/>
        <v>ANO</v>
      </c>
    </row>
    <row r="25" spans="1:16" x14ac:dyDescent="0.25">
      <c r="A25" s="53">
        <v>24</v>
      </c>
      <c r="B25" s="4" t="s">
        <v>531</v>
      </c>
      <c r="C25" s="4"/>
      <c r="D25" s="5" t="s">
        <v>35</v>
      </c>
      <c r="E25" s="5">
        <v>0</v>
      </c>
      <c r="F25" s="5">
        <v>0</v>
      </c>
      <c r="G25" s="5">
        <v>0</v>
      </c>
      <c r="H25" s="5">
        <v>0</v>
      </c>
      <c r="I25" s="5">
        <v>1</v>
      </c>
      <c r="J25" s="5">
        <v>1</v>
      </c>
      <c r="K25" s="5">
        <v>4</v>
      </c>
      <c r="L25" s="5">
        <v>0</v>
      </c>
      <c r="M25" s="5">
        <v>0</v>
      </c>
      <c r="N25" s="5">
        <v>0</v>
      </c>
      <c r="O25" s="166" t="str">
        <f t="shared" si="0"/>
        <v>0 OZ , 1 (0+1), 0 ±</v>
      </c>
      <c r="P25" s="5" t="str">
        <f t="shared" si="1"/>
        <v>ANO</v>
      </c>
    </row>
    <row r="26" spans="1:16" x14ac:dyDescent="0.25">
      <c r="A26" s="53">
        <v>25</v>
      </c>
      <c r="B26" s="4" t="s">
        <v>533</v>
      </c>
      <c r="C26" s="4"/>
      <c r="D26" s="5"/>
      <c r="E26" s="5">
        <v>4</v>
      </c>
      <c r="F26" s="5">
        <v>0</v>
      </c>
      <c r="G26" s="5">
        <v>0</v>
      </c>
      <c r="H26" s="5">
        <v>0</v>
      </c>
      <c r="I26" s="5">
        <v>0</v>
      </c>
      <c r="J26" s="5">
        <v>0</v>
      </c>
      <c r="K26" s="5">
        <v>0</v>
      </c>
      <c r="L26" s="5">
        <v>0</v>
      </c>
      <c r="M26" s="5">
        <v>0</v>
      </c>
      <c r="N26" s="5">
        <v>0</v>
      </c>
      <c r="O26" s="166" t="str">
        <f t="shared" si="0"/>
        <v>4 OZ , 0 (0+0), 0 ±</v>
      </c>
      <c r="P26" s="5" t="str">
        <f t="shared" si="1"/>
        <v>ANO</v>
      </c>
    </row>
    <row r="27" spans="1:16" x14ac:dyDescent="0.25">
      <c r="A27" s="53">
        <v>26</v>
      </c>
      <c r="B27" s="4" t="s">
        <v>532</v>
      </c>
      <c r="C27" s="4"/>
      <c r="D27" s="5"/>
      <c r="E27" s="5">
        <v>0</v>
      </c>
      <c r="F27" s="5">
        <v>0</v>
      </c>
      <c r="G27" s="5">
        <v>0</v>
      </c>
      <c r="H27" s="5">
        <v>0</v>
      </c>
      <c r="I27" s="5">
        <v>0</v>
      </c>
      <c r="J27" s="5">
        <v>0</v>
      </c>
      <c r="K27" s="5">
        <v>0</v>
      </c>
      <c r="L27" s="5">
        <v>0</v>
      </c>
      <c r="M27" s="5">
        <v>0</v>
      </c>
      <c r="N27" s="5">
        <v>0</v>
      </c>
      <c r="O27" s="166" t="str">
        <f t="shared" si="0"/>
        <v>0 OZ , 0 (0+0), 0 ±</v>
      </c>
      <c r="P27" s="5" t="str">
        <f t="shared" si="1"/>
        <v>ANO</v>
      </c>
    </row>
    <row r="28" spans="1:16" x14ac:dyDescent="0.25">
      <c r="A28" s="53">
        <v>27</v>
      </c>
      <c r="B28" s="4" t="s">
        <v>534</v>
      </c>
      <c r="C28" s="4"/>
      <c r="D28" s="5"/>
      <c r="E28" s="5">
        <v>7</v>
      </c>
      <c r="F28" s="5">
        <v>0</v>
      </c>
      <c r="G28" s="5">
        <v>0</v>
      </c>
      <c r="H28" s="5">
        <v>0</v>
      </c>
      <c r="I28" s="5">
        <v>0</v>
      </c>
      <c r="J28" s="5">
        <v>0</v>
      </c>
      <c r="K28" s="5">
        <v>0</v>
      </c>
      <c r="L28" s="5">
        <v>3</v>
      </c>
      <c r="M28" s="5">
        <v>7</v>
      </c>
      <c r="N28" s="5">
        <v>-4</v>
      </c>
      <c r="O28" s="166" t="str">
        <f t="shared" si="0"/>
        <v>7 OZ , 0 (0+0), -4 ±</v>
      </c>
      <c r="P28" s="5" t="str">
        <f t="shared" si="1"/>
        <v>ANO</v>
      </c>
    </row>
    <row r="29" spans="1:16" ht="15" customHeight="1" x14ac:dyDescent="0.25">
      <c r="A29" s="53">
        <v>28</v>
      </c>
      <c r="B29" s="4" t="s">
        <v>535</v>
      </c>
      <c r="C29" s="4"/>
      <c r="D29" s="5" t="s">
        <v>35</v>
      </c>
      <c r="E29" s="5">
        <v>0</v>
      </c>
      <c r="F29" s="5">
        <v>0</v>
      </c>
      <c r="G29" s="5">
        <v>0</v>
      </c>
      <c r="H29" s="5">
        <v>0</v>
      </c>
      <c r="I29" s="5">
        <v>0</v>
      </c>
      <c r="J29" s="5">
        <v>0</v>
      </c>
      <c r="K29" s="5">
        <v>0</v>
      </c>
      <c r="L29" s="5">
        <v>0</v>
      </c>
      <c r="M29" s="5">
        <v>0</v>
      </c>
      <c r="N29" s="5">
        <v>0</v>
      </c>
      <c r="O29" s="166" t="str">
        <f t="shared" si="0"/>
        <v>0 OZ , 0 (0+0), 0 ±</v>
      </c>
      <c r="P29" s="5" t="str">
        <f t="shared" si="1"/>
        <v>ANO</v>
      </c>
    </row>
    <row r="30" spans="1:16" x14ac:dyDescent="0.25">
      <c r="A30" s="54"/>
      <c r="O30" s="166" t="str">
        <f t="shared" si="0"/>
        <v/>
      </c>
      <c r="P30" s="5" t="str">
        <f t="shared" si="1"/>
        <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531</v>
      </c>
      <c r="C39"/>
      <c r="D39" s="190">
        <v>26</v>
      </c>
      <c r="E39" s="190">
        <v>25</v>
      </c>
      <c r="F39" s="190">
        <v>1479.63</v>
      </c>
      <c r="G39" s="190">
        <v>16</v>
      </c>
      <c r="H39" s="190">
        <v>125</v>
      </c>
      <c r="I39" s="190">
        <v>0</v>
      </c>
      <c r="J39" s="190">
        <v>576</v>
      </c>
      <c r="K39" s="190">
        <v>0</v>
      </c>
      <c r="L39" s="190">
        <v>9</v>
      </c>
      <c r="M39" s="190">
        <v>451</v>
      </c>
      <c r="N39" s="190">
        <v>1</v>
      </c>
      <c r="O39" s="190">
        <v>4</v>
      </c>
      <c r="P39" s="11">
        <f>IF(B39&lt;&gt;0,IFERROR(H39/(F39/60),0),"")</f>
        <v>5.0688347762616326</v>
      </c>
      <c r="Q39" s="11">
        <f>IF(B39&lt;&gt;0,IFERROR((M39/J39)*100,0),"")</f>
        <v>78.298611111111114</v>
      </c>
      <c r="R39" s="166" t="str">
        <f>IF(B39&lt;&gt;0,CONCATENATE(G39, " V, ",L39," P"),"")</f>
        <v>16 V, 9 P</v>
      </c>
    </row>
    <row r="40" spans="1:27" x14ac:dyDescent="0.25">
      <c r="A40" s="54">
        <v>2</v>
      </c>
      <c r="B40" t="s">
        <v>535</v>
      </c>
      <c r="C40"/>
      <c r="D40" s="190">
        <v>21</v>
      </c>
      <c r="E40" s="190">
        <v>3</v>
      </c>
      <c r="F40" s="190">
        <v>77.7</v>
      </c>
      <c r="G40" s="190">
        <v>2</v>
      </c>
      <c r="H40" s="190">
        <v>3</v>
      </c>
      <c r="I40" s="190">
        <v>0</v>
      </c>
      <c r="J40" s="190">
        <v>20</v>
      </c>
      <c r="K40" s="190">
        <v>0</v>
      </c>
      <c r="L40" s="190">
        <v>1</v>
      </c>
      <c r="M40" s="190">
        <v>17</v>
      </c>
      <c r="N40" s="190">
        <v>0</v>
      </c>
      <c r="O40" s="190">
        <v>0</v>
      </c>
      <c r="P40" s="11">
        <f t="shared" ref="P40:P45" si="2">IF(B40&lt;&gt;0,IFERROR(H40/(F40/60),0),"")</f>
        <v>2.3166023166023164</v>
      </c>
      <c r="Q40" s="11">
        <f t="shared" ref="Q40:Q45" si="3">IF(B40&lt;&gt;0,IFERROR((M40/J40)*100,0),"")</f>
        <v>85</v>
      </c>
      <c r="R40" s="166" t="str">
        <f t="shared" ref="R40:R45" si="4">IF(B40&lt;&gt;0,CONCATENATE(G40, " V, ",L40," P"),"")</f>
        <v>2 V, 1 P</v>
      </c>
    </row>
    <row r="41" spans="1:27" x14ac:dyDescent="0.25">
      <c r="A41" s="54">
        <v>3</v>
      </c>
      <c r="B41" t="s">
        <v>532</v>
      </c>
      <c r="C41"/>
      <c r="D41" s="190">
        <v>5</v>
      </c>
      <c r="E41" s="190">
        <v>0</v>
      </c>
      <c r="F41" s="190">
        <v>0</v>
      </c>
      <c r="G41" s="190">
        <v>0</v>
      </c>
      <c r="H41" s="190">
        <v>0</v>
      </c>
      <c r="I41" s="190">
        <v>0</v>
      </c>
      <c r="J41" s="190">
        <v>0</v>
      </c>
      <c r="K41" s="190">
        <v>0</v>
      </c>
      <c r="L41" s="190">
        <v>0</v>
      </c>
      <c r="M41" s="190">
        <v>0</v>
      </c>
      <c r="N41" s="190">
        <v>0</v>
      </c>
      <c r="O41" s="190">
        <v>0</v>
      </c>
      <c r="P41" s="11">
        <f t="shared" si="2"/>
        <v>0</v>
      </c>
      <c r="Q41" s="11">
        <f t="shared" si="3"/>
        <v>0</v>
      </c>
      <c r="R41" s="166" t="str">
        <f t="shared" si="4"/>
        <v>0 V, 0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402" t="s">
        <v>289</v>
      </c>
      <c r="Y46" s="402"/>
      <c r="Z46" s="402"/>
      <c r="AA46" s="402"/>
    </row>
    <row r="47" spans="1:27" s="167" customFormat="1" ht="15" customHeight="1" x14ac:dyDescent="0.25">
      <c r="A47" s="7">
        <f ca="1">TODAY()</f>
        <v>44263</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281</v>
      </c>
      <c r="V47" s="167" t="s">
        <v>282</v>
      </c>
      <c r="W47" s="167" t="s">
        <v>283</v>
      </c>
      <c r="X47" s="167" t="s">
        <v>288</v>
      </c>
      <c r="Y47" s="167" t="s">
        <v>286</v>
      </c>
      <c r="Z47" s="167" t="s">
        <v>287</v>
      </c>
      <c r="AA47" s="167" t="s">
        <v>462</v>
      </c>
    </row>
    <row r="48" spans="1:27" ht="15" customHeight="1" x14ac:dyDescent="0.25">
      <c r="B48" s="1" t="s">
        <v>517</v>
      </c>
      <c r="C48" s="137"/>
      <c r="D48" s="166" t="str">
        <f>IF(C48 &lt;&gt; 0,ROUNDDOWN(($A$47-C48)/365.25,0),"")</f>
        <v/>
      </c>
      <c r="E48" s="139"/>
      <c r="F48" s="139"/>
      <c r="G48" s="139"/>
      <c r="H48" s="166">
        <f>IF(B48&lt;&gt;0,F48+G48,"")</f>
        <v>0</v>
      </c>
      <c r="I48" s="139"/>
      <c r="J48" s="139"/>
      <c r="K48" s="139"/>
      <c r="L48" s="139"/>
      <c r="M48" s="139"/>
      <c r="N48" s="139"/>
      <c r="O48" s="166" t="str">
        <f>IF(B48&lt;&gt;0,CONCATENATE(E48+IFERROR(VLOOKUP(B48,$B$2:$N$36,4,FALSE),0) + X48, " OZ, ", H48+IFERROR(VLOOKUP(B48,$B$2:$N$36,9,FALSE),0) + Y48+Z48, " (", F48+IFERROR(VLOOKUP(B48,$B$2:$N$36,5,FALSE),0) + Y48, "+",G48+IFERROR(VLOOKUP(B48,$B$2:$N$36,8,FALSE),0) +  Z48, ")"), "")</f>
        <v>15 OZ, 9 (6+3)</v>
      </c>
      <c r="P48" s="166" t="str">
        <f>IF(M48&lt;&gt;0,CONCATENATE(M48,"/",N48),"")</f>
        <v/>
      </c>
      <c r="Q48" s="140"/>
      <c r="R48" s="139"/>
      <c r="S48" s="166" t="str">
        <f>IFERROR(CONCATENATE(E48+VLOOKUP(B48,$B$39:$R$42,4,FALSE), " OZ, ",G48+VLOOKUP(B48,$B$39:$R$42,13,FALSE), " A"),"")</f>
        <v/>
      </c>
      <c r="T48" s="1" t="str">
        <f>IF(B48&lt;&gt;0,IF(V48=1,U48,CONCATENATE(U48," ",W48,".")),"")</f>
        <v>Bachmaier</v>
      </c>
      <c r="U48" s="1" t="str">
        <f>IFERROR(RIGHT(B48,LEN(B48)-SEARCH(" ", B48,1)),"")</f>
        <v>Bachmaier</v>
      </c>
      <c r="V48" s="166">
        <f>IF(B48&lt;&gt;0,COUNTIF($U$48:$U$82,U48),"")</f>
        <v>1</v>
      </c>
      <c r="W48" s="166" t="str">
        <f>IFERROR(LEFT(LEFT(B48,SEARCH(" ",B48,1)),1),"")</f>
        <v>M</v>
      </c>
      <c r="X48" s="139"/>
      <c r="Y48" s="139"/>
      <c r="Z48" s="139"/>
      <c r="AA48" s="138"/>
    </row>
    <row r="49" spans="2:27" ht="15" customHeight="1" x14ac:dyDescent="0.25">
      <c r="B49" s="1" t="s">
        <v>523</v>
      </c>
      <c r="C49" s="137"/>
      <c r="D49" s="166" t="str">
        <f>IF(C49 &lt;&gt; 0,ROUNDDOWN(($A$47-C49)/365.25,0),"")</f>
        <v/>
      </c>
      <c r="E49" s="139"/>
      <c r="F49" s="139"/>
      <c r="G49" s="139"/>
      <c r="H49" s="166">
        <f>IF(B49&lt;&gt;0,F49+G49,"")</f>
        <v>0</v>
      </c>
      <c r="I49" s="139"/>
      <c r="J49" s="139"/>
      <c r="K49" s="139"/>
      <c r="L49" s="139"/>
      <c r="M49" s="139"/>
      <c r="N49" s="139"/>
      <c r="O49" s="166" t="str">
        <f>IF(B49&lt;&gt;0,CONCATENATE(E49+IFERROR(VLOOKUP(B49,$B$2:$N$36,4,FALSE),0) + X49, " OZ, ", H49+IFERROR(VLOOKUP(B49,$B$2:$N$36,9,FALSE),0) + Y49+Z49, " (", F49+IFERROR(VLOOKUP(B49,$B$2:$N$36,5,FALSE),0) + Y49, "+",G49+IFERROR(VLOOKUP(B49,$B$2:$N$36,8,FALSE),0) +  Z49, ")"), "")</f>
        <v>26 OZ, 7 (3+4)</v>
      </c>
      <c r="P49" s="166" t="str">
        <f>IF(M49&lt;&gt;0,CONCATENATE(M49,"/",N49),"")</f>
        <v/>
      </c>
      <c r="Q49" s="140"/>
      <c r="R49" s="139"/>
      <c r="S49" s="166" t="str">
        <f>IFERROR(CONCATENATE(E49+VLOOKUP(B49,$B$39:$R$42,4,FALSE), " OZ, ",G49+VLOOKUP(B49,$B$39:$R$42,13,FALSE), " A"),"")</f>
        <v/>
      </c>
      <c r="T49" s="1" t="str">
        <f>IF(B49&lt;&gt;0,IF(V49=1,U49,CONCATENATE(U49," ",W49,".")),"")</f>
        <v>Bartoš</v>
      </c>
      <c r="U49" s="1" t="str">
        <f>IFERROR(RIGHT(B49,LEN(B49)-SEARCH(" ", B49,1)),"")</f>
        <v>Bartoš</v>
      </c>
      <c r="V49" s="166">
        <f>IF(B49&lt;&gt;0,COUNTIF($U$48:$U$82,U49),"")</f>
        <v>1</v>
      </c>
      <c r="W49" s="166" t="str">
        <f>IFERROR(LEFT(LEFT(B49,SEARCH(" ",B49,1)),1),"")</f>
        <v>D</v>
      </c>
      <c r="X49" s="139"/>
      <c r="Y49" s="139"/>
      <c r="Z49" s="139"/>
      <c r="AA49" s="138"/>
    </row>
    <row r="50" spans="2:27" ht="15" customHeight="1" x14ac:dyDescent="0.25">
      <c r="B50" s="1" t="s">
        <v>516</v>
      </c>
      <c r="C50" s="137"/>
      <c r="D50" s="166" t="str">
        <f>IF(C50 &lt;&gt; 0,ROUNDDOWN(($A$47-C50)/365.25,0),"")</f>
        <v/>
      </c>
      <c r="E50" s="139"/>
      <c r="F50" s="139"/>
      <c r="G50" s="139"/>
      <c r="H50" s="166">
        <f>IF(B50&lt;&gt;0,F50+G50,"")</f>
        <v>0</v>
      </c>
      <c r="I50" s="139"/>
      <c r="J50" s="139"/>
      <c r="K50" s="139"/>
      <c r="L50" s="139"/>
      <c r="M50" s="139"/>
      <c r="N50" s="139"/>
      <c r="O50" s="166" t="str">
        <f>IF(B50&lt;&gt;0,CONCATENATE(E50+IFERROR(VLOOKUP(B50,$B$2:$N$36,4,FALSE),0) + X50, " OZ, ", H50+IFERROR(VLOOKUP(B50,$B$2:$N$36,9,FALSE),0) + Y50+Z50, " (", F50+IFERROR(VLOOKUP(B50,$B$2:$N$36,5,FALSE),0) + Y50, "+",G50+IFERROR(VLOOKUP(B50,$B$2:$N$36,8,FALSE),0) +  Z50, ")"), "")</f>
        <v>21 OZ, 22 (16+6)</v>
      </c>
      <c r="P50" s="166" t="str">
        <f>IF(M50&lt;&gt;0,CONCATENATE(M50,"/",N50),"")</f>
        <v/>
      </c>
      <c r="Q50" s="140"/>
      <c r="R50" s="139"/>
      <c r="S50" s="166" t="str">
        <f>IFERROR(CONCATENATE(E50+VLOOKUP(B50,$B$39:$R$42,4,FALSE), " OZ, ",G50+VLOOKUP(B50,$B$39:$R$42,13,FALSE), " A"),"")</f>
        <v/>
      </c>
      <c r="T50" s="1" t="str">
        <f>IF(B50&lt;&gt;0,IF(V50=1,U50,CONCATENATE(U50," ",W50,".")),"")</f>
        <v>Beneš D.</v>
      </c>
      <c r="U50" s="1" t="str">
        <f>IFERROR(RIGHT(B50,LEN(B50)-SEARCH(" ", B50,1)),"")</f>
        <v>Beneš</v>
      </c>
      <c r="V50" s="166">
        <f>IF(B50&lt;&gt;0,COUNTIF($U$48:$U$82,U50),"")</f>
        <v>2</v>
      </c>
      <c r="W50" s="166" t="str">
        <f>IFERROR(LEFT(LEFT(B50,SEARCH(" ",B50,1)),1),"")</f>
        <v>D</v>
      </c>
      <c r="X50" s="139"/>
      <c r="Y50" s="139"/>
      <c r="Z50" s="139"/>
      <c r="AA50" s="138"/>
    </row>
    <row r="51" spans="2:27" ht="15" customHeight="1" x14ac:dyDescent="0.25">
      <c r="B51" s="4" t="s">
        <v>531</v>
      </c>
      <c r="C51" s="137"/>
      <c r="D51" s="166" t="str">
        <f>IF(C51 &lt;&gt; 0,ROUNDDOWN(($A$47-C51)/365.25,0),"")</f>
        <v/>
      </c>
      <c r="E51" s="139"/>
      <c r="F51" s="139"/>
      <c r="G51" s="139"/>
      <c r="H51" s="166">
        <f>IF(B51&lt;&gt;0,F51+G51,"")</f>
        <v>0</v>
      </c>
      <c r="I51" s="139"/>
      <c r="J51" s="139"/>
      <c r="K51" s="139"/>
      <c r="L51" s="139"/>
      <c r="M51" s="139"/>
      <c r="N51" s="139"/>
      <c r="O51" s="166" t="str">
        <f>IF(B51&lt;&gt;0,CONCATENATE(E51+IFERROR(VLOOKUP(B51,$B$2:$N$36,4,FALSE),0) + X51, " OZ, ", H51+IFERROR(VLOOKUP(B51,$B$2:$N$36,9,FALSE),0) + Y51+Z51, " (", F51+IFERROR(VLOOKUP(B51,$B$2:$N$36,5,FALSE),0) + Y51, "+",G51+IFERROR(VLOOKUP(B51,$B$2:$N$36,8,FALSE),0) +  Z51, ")"), "")</f>
        <v>0 OZ, 1 (0+1)</v>
      </c>
      <c r="P51" s="166" t="str">
        <f>IF(M51&lt;&gt;0,CONCATENATE(M51,"/",N51),"")</f>
        <v/>
      </c>
      <c r="Q51" s="140"/>
      <c r="R51" s="139"/>
      <c r="S51" s="166" t="str">
        <f>IFERROR(CONCATENATE(E51+VLOOKUP(B51,$B$39:$R$42,4,FALSE), " OZ, ",G51+VLOOKUP(B51,$B$39:$R$42,13,FALSE), " A"),"")</f>
        <v>25 OZ, 1 A</v>
      </c>
      <c r="T51" s="1" t="str">
        <f>IF(B51&lt;&gt;0,IF(V51=1,U51,CONCATENATE(U51," ",W51,".")),"")</f>
        <v>Beneš M.</v>
      </c>
      <c r="U51" s="1" t="str">
        <f>IFERROR(RIGHT(B51,LEN(B51)-SEARCH(" ", B51,1)),"")</f>
        <v>Beneš</v>
      </c>
      <c r="V51" s="166">
        <f>IF(B51&lt;&gt;0,COUNTIF($U$48:$U$82,U51),"")</f>
        <v>2</v>
      </c>
      <c r="W51" s="166" t="str">
        <f>IFERROR(LEFT(LEFT(B51,SEARCH(" ",B51,1)),1),"")</f>
        <v>M</v>
      </c>
      <c r="X51" s="139"/>
      <c r="Y51" s="139"/>
      <c r="Z51" s="139"/>
      <c r="AA51" s="138"/>
    </row>
    <row r="52" spans="2:27" ht="15" customHeight="1" x14ac:dyDescent="0.25">
      <c r="B52" s="4" t="s">
        <v>511</v>
      </c>
      <c r="C52" s="137"/>
      <c r="D52" s="166" t="str">
        <f>IF(C52 &lt;&gt; 0,ROUNDDOWN(($A$47-C52)/365.25,0),"")</f>
        <v/>
      </c>
      <c r="E52" s="139"/>
      <c r="F52" s="139"/>
      <c r="G52" s="139"/>
      <c r="H52" s="166">
        <f>IF(B52&lt;&gt;0,F52+G52,"")</f>
        <v>0</v>
      </c>
      <c r="I52" s="139"/>
      <c r="J52" s="139"/>
      <c r="K52" s="139"/>
      <c r="L52" s="139"/>
      <c r="M52" s="139"/>
      <c r="N52" s="139"/>
      <c r="O52" s="166" t="str">
        <f>IF(B52&lt;&gt;0,CONCATENATE(E52+IFERROR(VLOOKUP(B52,$B$2:$N$36,4,FALSE),0) + X52, " OZ, ", H52+IFERROR(VLOOKUP(B52,$B$2:$N$36,9,FALSE),0) + Y52+Z52, " (", F52+IFERROR(VLOOKUP(B52,$B$2:$N$36,5,FALSE),0) + Y52, "+",G52+IFERROR(VLOOKUP(B52,$B$2:$N$36,8,FALSE),0) +  Z52, ")"), "")</f>
        <v>26 OZ, 23 (12+11)</v>
      </c>
      <c r="P52" s="166" t="str">
        <f>IF(M52&lt;&gt;0,CONCATENATE(M52,"/",N52),"")</f>
        <v/>
      </c>
      <c r="Q52" s="140"/>
      <c r="R52" s="139"/>
      <c r="S52" s="166" t="str">
        <f>IFERROR(CONCATENATE(E52+VLOOKUP(B52,$B$39:$R$42,4,FALSE), " OZ, ",G52+VLOOKUP(B52,$B$39:$R$42,13,FALSE), " A"),"")</f>
        <v/>
      </c>
      <c r="T52" s="1" t="str">
        <f>IF(B52&lt;&gt;0,IF(V52=1,U52,CONCATENATE(U52," ",W52,".")),"")</f>
        <v>Čermák</v>
      </c>
      <c r="U52" s="1" t="str">
        <f>IFERROR(RIGHT(B52,LEN(B52)-SEARCH(" ", B52,1)),"")</f>
        <v>Čermák</v>
      </c>
      <c r="V52" s="166">
        <f>IF(B52&lt;&gt;0,COUNTIF($U$48:$U$82,U52),"")</f>
        <v>1</v>
      </c>
      <c r="W52" s="166" t="str">
        <f>IFERROR(LEFT(LEFT(B52,SEARCH(" ",B52,1)),1),"")</f>
        <v>M</v>
      </c>
      <c r="X52" s="139"/>
      <c r="Y52" s="139"/>
      <c r="Z52" s="139"/>
      <c r="AA52" s="138"/>
    </row>
    <row r="53" spans="2:27" ht="15" customHeight="1" x14ac:dyDescent="0.25">
      <c r="B53" s="1" t="s">
        <v>524</v>
      </c>
      <c r="C53" s="137"/>
      <c r="D53" s="166" t="str">
        <f>IF(C53 &lt;&gt; 0,ROUNDDOWN(($A$47-C53)/365.25,0),"")</f>
        <v/>
      </c>
      <c r="E53" s="139"/>
      <c r="F53" s="139"/>
      <c r="G53" s="139"/>
      <c r="H53" s="166">
        <f>IF(B53&lt;&gt;0,F53+G53,"")</f>
        <v>0</v>
      </c>
      <c r="I53" s="139"/>
      <c r="J53" s="139"/>
      <c r="K53" s="139"/>
      <c r="L53" s="139"/>
      <c r="M53" s="139"/>
      <c r="N53" s="139"/>
      <c r="O53" s="166" t="str">
        <f>IF(B53&lt;&gt;0,CONCATENATE(E53+IFERROR(VLOOKUP(B53,$B$2:$N$36,4,FALSE),0) + X53, " OZ, ", H53+IFERROR(VLOOKUP(B53,$B$2:$N$36,9,FALSE),0) + Y53+Z53, " (", F53+IFERROR(VLOOKUP(B53,$B$2:$N$36,5,FALSE),0) + Y53, "+",G53+IFERROR(VLOOKUP(B53,$B$2:$N$36,8,FALSE),0) +  Z53, ")"), "")</f>
        <v>7 OZ, 3 (2+1)</v>
      </c>
      <c r="P53" s="166" t="str">
        <f>IF(M53&lt;&gt;0,CONCATENATE(M53,"/",N53),"")</f>
        <v/>
      </c>
      <c r="Q53" s="140"/>
      <c r="R53" s="139"/>
      <c r="S53" s="166" t="str">
        <f>IFERROR(CONCATENATE(E53+VLOOKUP(B53,$B$39:$R$42,4,FALSE), " OZ, ",G53+VLOOKUP(B53,$B$39:$R$42,13,FALSE), " A"),"")</f>
        <v/>
      </c>
      <c r="T53" s="1" t="str">
        <f>IF(B53&lt;&gt;0,IF(V53=1,U53,CONCATENATE(U53," ",W53,".")),"")</f>
        <v>Dibelka</v>
      </c>
      <c r="U53" s="1" t="str">
        <f>IFERROR(RIGHT(B53,LEN(B53)-SEARCH(" ", B53,1)),"")</f>
        <v>Dibelka</v>
      </c>
      <c r="V53" s="166">
        <f>IF(B53&lt;&gt;0,COUNTIF($U$48:$U$82,U53),"")</f>
        <v>1</v>
      </c>
      <c r="W53" s="166" t="str">
        <f>IFERROR(LEFT(LEFT(B53,SEARCH(" ",B53,1)),1),"")</f>
        <v>T</v>
      </c>
      <c r="X53" s="139"/>
      <c r="Y53" s="139"/>
      <c r="Z53" s="139"/>
      <c r="AA53" s="138"/>
    </row>
    <row r="54" spans="2:27" ht="15" customHeight="1" x14ac:dyDescent="0.25">
      <c r="B54" s="1" t="s">
        <v>525</v>
      </c>
      <c r="C54" s="137"/>
      <c r="D54" s="166" t="str">
        <f>IF(C54 &lt;&gt; 0,ROUNDDOWN(($A$47-C54)/365.25,0),"")</f>
        <v/>
      </c>
      <c r="E54" s="139"/>
      <c r="F54" s="139"/>
      <c r="G54" s="139"/>
      <c r="H54" s="166">
        <f>IF(B54&lt;&gt;0,F54+G54,"")</f>
        <v>0</v>
      </c>
      <c r="I54" s="139"/>
      <c r="J54" s="139"/>
      <c r="K54" s="139"/>
      <c r="L54" s="139"/>
      <c r="M54" s="139"/>
      <c r="N54" s="139"/>
      <c r="O54" s="166" t="str">
        <f>IF(B54&lt;&gt;0,CONCATENATE(E54+IFERROR(VLOOKUP(B54,$B$2:$N$36,4,FALSE),0) + X54, " OZ, ", H54+IFERROR(VLOOKUP(B54,$B$2:$N$36,9,FALSE),0) + Y54+Z54, " (", F54+IFERROR(VLOOKUP(B54,$B$2:$N$36,5,FALSE),0) + Y54, "+",G54+IFERROR(VLOOKUP(B54,$B$2:$N$36,8,FALSE),0) +  Z54, ")"), "")</f>
        <v>21 OZ, 3 (2+1)</v>
      </c>
      <c r="P54" s="166" t="str">
        <f>IF(M54&lt;&gt;0,CONCATENATE(M54,"/",N54),"")</f>
        <v/>
      </c>
      <c r="Q54" s="140"/>
      <c r="R54" s="139"/>
      <c r="S54" s="166" t="str">
        <f>IFERROR(CONCATENATE(E54+VLOOKUP(B54,$B$39:$R$42,4,FALSE), " OZ, ",G54+VLOOKUP(B54,$B$39:$R$42,13,FALSE), " A"),"")</f>
        <v/>
      </c>
      <c r="T54" s="1" t="str">
        <f>IF(B54&lt;&gt;0,IF(V54=1,U54,CONCATENATE(U54," ",W54,".")),"")</f>
        <v>Dolejš</v>
      </c>
      <c r="U54" s="1" t="str">
        <f>IFERROR(RIGHT(B54,LEN(B54)-SEARCH(" ", B54,1)),"")</f>
        <v>Dolejš</v>
      </c>
      <c r="V54" s="166">
        <f>IF(B54&lt;&gt;0,COUNTIF($U$48:$U$82,U54),"")</f>
        <v>1</v>
      </c>
      <c r="W54" s="166" t="str">
        <f>IFERROR(LEFT(LEFT(B54,SEARCH(" ",B54,1)),1),"")</f>
        <v>M</v>
      </c>
      <c r="X54" s="139"/>
      <c r="Y54" s="139"/>
      <c r="Z54" s="139"/>
      <c r="AA54" s="138"/>
    </row>
    <row r="55" spans="2:27" ht="15" customHeight="1" x14ac:dyDescent="0.25">
      <c r="B55" s="1" t="s">
        <v>519</v>
      </c>
      <c r="C55" s="137"/>
      <c r="D55" s="166" t="str">
        <f>IF(C55 &lt;&gt; 0,ROUNDDOWN(($A$47-C55)/365.25,0),"")</f>
        <v/>
      </c>
      <c r="E55" s="139"/>
      <c r="F55" s="139"/>
      <c r="G55" s="139"/>
      <c r="H55" s="166">
        <f>IF(B55&lt;&gt;0,F55+G55,"")</f>
        <v>0</v>
      </c>
      <c r="I55" s="139"/>
      <c r="J55" s="139"/>
      <c r="K55" s="139"/>
      <c r="L55" s="139"/>
      <c r="M55" s="139"/>
      <c r="N55" s="139"/>
      <c r="O55" s="166" t="str">
        <f>IF(B55&lt;&gt;0,CONCATENATE(E55+IFERROR(VLOOKUP(B55,$B$2:$N$36,4,FALSE),0) + X55, " OZ, ", H55+IFERROR(VLOOKUP(B55,$B$2:$N$36,9,FALSE),0) + Y55+Z55, " (", F55+IFERROR(VLOOKUP(B55,$B$2:$N$36,5,FALSE),0) + Y55, "+",G55+IFERROR(VLOOKUP(B55,$B$2:$N$36,8,FALSE),0) +  Z55, ")"), "")</f>
        <v>20 OZ, 10 (5+5)</v>
      </c>
      <c r="P55" s="166" t="str">
        <f>IF(M55&lt;&gt;0,CONCATENATE(M55,"/",N55),"")</f>
        <v/>
      </c>
      <c r="Q55" s="140"/>
      <c r="R55" s="139"/>
      <c r="S55" s="166" t="str">
        <f>IFERROR(CONCATENATE(E55+VLOOKUP(B55,$B$39:$R$42,4,FALSE), " OZ, ",G55+VLOOKUP(B55,$B$39:$R$42,13,FALSE), " A"),"")</f>
        <v/>
      </c>
      <c r="T55" s="1" t="str">
        <f>IF(B55&lt;&gt;0,IF(V55=1,U55,CONCATENATE(U55," ",W55,".")),"")</f>
        <v>Garčar</v>
      </c>
      <c r="U55" s="1" t="str">
        <f>IFERROR(RIGHT(B55,LEN(B55)-SEARCH(" ", B55,1)),"")</f>
        <v>Garčar</v>
      </c>
      <c r="V55" s="166">
        <f>IF(B55&lt;&gt;0,COUNTIF($U$48:$U$82,U55),"")</f>
        <v>1</v>
      </c>
      <c r="W55" s="166" t="str">
        <f>IFERROR(LEFT(LEFT(B55,SEARCH(" ",B55,1)),1),"")</f>
        <v>M</v>
      </c>
      <c r="X55" s="139"/>
      <c r="Y55" s="139"/>
      <c r="Z55" s="139"/>
      <c r="AA55" s="138"/>
    </row>
    <row r="56" spans="2:27" ht="15" customHeight="1" x14ac:dyDescent="0.25">
      <c r="B56" s="1" t="s">
        <v>521</v>
      </c>
      <c r="C56" s="137"/>
      <c r="D56" s="166" t="str">
        <f>IF(C56 &lt;&gt; 0,ROUNDDOWN(($A$47-C56)/365.25,0),"")</f>
        <v/>
      </c>
      <c r="E56" s="139"/>
      <c r="F56" s="139"/>
      <c r="G56" s="139"/>
      <c r="H56" s="166">
        <f>IF(B56&lt;&gt;0,F56+G56,"")</f>
        <v>0</v>
      </c>
      <c r="I56" s="139"/>
      <c r="J56" s="139"/>
      <c r="K56" s="139"/>
      <c r="L56" s="139"/>
      <c r="M56" s="139"/>
      <c r="N56" s="139"/>
      <c r="O56" s="166" t="str">
        <f>IF(B56&lt;&gt;0,CONCATENATE(E56+IFERROR(VLOOKUP(B56,$B$2:$N$36,4,FALSE),0) + X56, " OZ, ", H56+IFERROR(VLOOKUP(B56,$B$2:$N$36,9,FALSE),0) + Y56+Z56, " (", F56+IFERROR(VLOOKUP(B56,$B$2:$N$36,5,FALSE),0) + Y56, "+",G56+IFERROR(VLOOKUP(B56,$B$2:$N$36,8,FALSE),0) +  Z56, ")"), "")</f>
        <v>18 OZ, 5 (3+2)</v>
      </c>
      <c r="P56" s="166" t="str">
        <f>IF(M56&lt;&gt;0,CONCATENATE(M56,"/",N56),"")</f>
        <v/>
      </c>
      <c r="Q56" s="140"/>
      <c r="R56" s="139"/>
      <c r="S56" s="166" t="str">
        <f>IFERROR(CONCATENATE(E56+VLOOKUP(B56,$B$39:$R$42,4,FALSE), " OZ, ",G56+VLOOKUP(B56,$B$39:$R$42,13,FALSE), " A"),"")</f>
        <v/>
      </c>
      <c r="T56" s="1" t="str">
        <f>IF(B56&lt;&gt;0,IF(V56=1,U56,CONCATENATE(U56," ",W56,".")),"")</f>
        <v>Hurt</v>
      </c>
      <c r="U56" s="1" t="str">
        <f>IFERROR(RIGHT(B56,LEN(B56)-SEARCH(" ", B56,1)),"")</f>
        <v>Hurt</v>
      </c>
      <c r="V56" s="166">
        <f>IF(B56&lt;&gt;0,COUNTIF($U$48:$U$82,U56),"")</f>
        <v>1</v>
      </c>
      <c r="W56" s="166" t="str">
        <f>IFERROR(LEFT(LEFT(B56,SEARCH(" ",B56,1)),1),"")</f>
        <v>O</v>
      </c>
      <c r="X56" s="139"/>
      <c r="Y56" s="139"/>
      <c r="Z56" s="139"/>
      <c r="AA56" s="138"/>
    </row>
    <row r="57" spans="2:27" ht="15" customHeight="1" x14ac:dyDescent="0.25">
      <c r="B57" s="1" t="s">
        <v>513</v>
      </c>
      <c r="C57" s="137"/>
      <c r="D57" s="166" t="str">
        <f>IF(C57 &lt;&gt; 0,ROUNDDOWN(($A$47-C57)/365.25,0),"")</f>
        <v/>
      </c>
      <c r="E57" s="139"/>
      <c r="F57" s="139"/>
      <c r="G57" s="139"/>
      <c r="H57" s="166">
        <f>IF(B57&lt;&gt;0,F57+G57,"")</f>
        <v>0</v>
      </c>
      <c r="I57" s="139"/>
      <c r="J57" s="139"/>
      <c r="K57" s="139"/>
      <c r="L57" s="139"/>
      <c r="M57" s="139"/>
      <c r="N57" s="139"/>
      <c r="O57" s="166" t="str">
        <f>IF(B57&lt;&gt;0,CONCATENATE(E57+IFERROR(VLOOKUP(B57,$B$2:$N$36,4,FALSE),0) + X57, " OZ, ", H57+IFERROR(VLOOKUP(B57,$B$2:$N$36,9,FALSE),0) + Y57+Z57, " (", F57+IFERROR(VLOOKUP(B57,$B$2:$N$36,5,FALSE),0) + Y57, "+",G57+IFERROR(VLOOKUP(B57,$B$2:$N$36,8,FALSE),0) +  Z57, ")"), "")</f>
        <v>23 OZ, 17 (9+8)</v>
      </c>
      <c r="P57" s="166" t="str">
        <f>IF(M57&lt;&gt;0,CONCATENATE(M57,"/",N57),"")</f>
        <v/>
      </c>
      <c r="Q57" s="140"/>
      <c r="R57" s="139"/>
      <c r="S57" s="166" t="str">
        <f>IFERROR(CONCATENATE(E57+VLOOKUP(B57,$B$39:$R$42,4,FALSE), " OZ, ",G57+VLOOKUP(B57,$B$39:$R$42,13,FALSE), " A"),"")</f>
        <v/>
      </c>
      <c r="T57" s="1" t="str">
        <f>IF(B57&lt;&gt;0,IF(V57=1,U57,CONCATENATE(U57," ",W57,".")),"")</f>
        <v>Juha</v>
      </c>
      <c r="U57" s="1" t="str">
        <f>IFERROR(RIGHT(B57,LEN(B57)-SEARCH(" ", B57,1)),"")</f>
        <v>Juha</v>
      </c>
      <c r="V57" s="166">
        <f>IF(B57&lt;&gt;0,COUNTIF($U$48:$U$82,U57),"")</f>
        <v>1</v>
      </c>
      <c r="W57" s="166" t="str">
        <f>IFERROR(LEFT(LEFT(B57,SEARCH(" ",B57,1)),1),"")</f>
        <v>J</v>
      </c>
      <c r="X57" s="139"/>
      <c r="Y57" s="139"/>
      <c r="Z57" s="139"/>
      <c r="AA57" s="138"/>
    </row>
    <row r="58" spans="2:27" ht="15" customHeight="1" x14ac:dyDescent="0.25">
      <c r="B58" s="1" t="s">
        <v>530</v>
      </c>
      <c r="C58" s="137"/>
      <c r="D58" s="166" t="str">
        <f>IF(C58 &lt;&gt; 0,ROUNDDOWN(($A$47-C58)/365.25,0),"")</f>
        <v/>
      </c>
      <c r="E58" s="139"/>
      <c r="F58" s="139"/>
      <c r="G58" s="139"/>
      <c r="H58" s="166">
        <f>IF(B58&lt;&gt;0,F58+G58,"")</f>
        <v>0</v>
      </c>
      <c r="I58" s="139"/>
      <c r="J58" s="139"/>
      <c r="K58" s="139"/>
      <c r="L58" s="139"/>
      <c r="M58" s="139"/>
      <c r="N58" s="139"/>
      <c r="O58" s="166" t="str">
        <f>IF(B58&lt;&gt;0,CONCATENATE(E58+IFERROR(VLOOKUP(B58,$B$2:$N$36,4,FALSE),0) + X58, " OZ, ", H58+IFERROR(VLOOKUP(B58,$B$2:$N$36,9,FALSE),0) + Y58+Z58, " (", F58+IFERROR(VLOOKUP(B58,$B$2:$N$36,5,FALSE),0) + Y58, "+",G58+IFERROR(VLOOKUP(B58,$B$2:$N$36,8,FALSE),0) +  Z58, ")"), "")</f>
        <v>19 OZ, 5 (1+4)</v>
      </c>
      <c r="P58" s="166" t="str">
        <f>IF(M58&lt;&gt;0,CONCATENATE(M58,"/",N58),"")</f>
        <v/>
      </c>
      <c r="Q58" s="140"/>
      <c r="R58" s="139"/>
      <c r="S58" s="166" t="str">
        <f>IFERROR(CONCATENATE(E58+VLOOKUP(B58,$B$39:$R$42,4,FALSE), " OZ, ",G58+VLOOKUP(B58,$B$39:$R$42,13,FALSE), " A"),"")</f>
        <v/>
      </c>
      <c r="T58" s="1" t="str">
        <f>IF(B58&lt;&gt;0,IF(V58=1,U58,CONCATENATE(U58," ",W58,".")),"")</f>
        <v>Kareš</v>
      </c>
      <c r="U58" s="1" t="str">
        <f>IFERROR(RIGHT(B58,LEN(B58)-SEARCH(" ", B58,1)),"")</f>
        <v>Kareš</v>
      </c>
      <c r="V58" s="166">
        <f>IF(B58&lt;&gt;0,COUNTIF($U$48:$U$82,U58),"")</f>
        <v>1</v>
      </c>
      <c r="W58" s="166" t="str">
        <f>IFERROR(LEFT(LEFT(B58,SEARCH(" ",B58,1)),1),"")</f>
        <v>M</v>
      </c>
      <c r="X58" s="139"/>
      <c r="Y58" s="139"/>
      <c r="Z58" s="139"/>
      <c r="AA58" s="138"/>
    </row>
    <row r="59" spans="2:27" ht="15" customHeight="1" x14ac:dyDescent="0.25">
      <c r="B59" s="4" t="s">
        <v>512</v>
      </c>
      <c r="C59" s="137"/>
      <c r="D59" s="166" t="str">
        <f>IF(C59 &lt;&gt; 0,ROUNDDOWN(($A$47-C59)/365.25,0),"")</f>
        <v/>
      </c>
      <c r="E59" s="139"/>
      <c r="F59" s="139"/>
      <c r="G59" s="139"/>
      <c r="H59" s="166">
        <f>IF(B59&lt;&gt;0,F59+G59,"")</f>
        <v>0</v>
      </c>
      <c r="I59" s="139"/>
      <c r="J59" s="139"/>
      <c r="K59" s="139"/>
      <c r="L59" s="139"/>
      <c r="M59" s="139"/>
      <c r="N59" s="139"/>
      <c r="O59" s="166" t="str">
        <f>IF(B59&lt;&gt;0,CONCATENATE(E59+IFERROR(VLOOKUP(B59,$B$2:$N$36,4,FALSE),0) + X59, " OZ, ", H59+IFERROR(VLOOKUP(B59,$B$2:$N$36,9,FALSE),0) + Y59+Z59, " (", F59+IFERROR(VLOOKUP(B59,$B$2:$N$36,5,FALSE),0) + Y59, "+",G59+IFERROR(VLOOKUP(B59,$B$2:$N$36,8,FALSE),0) +  Z59, ")"), "")</f>
        <v>26 OZ, 27 (19+8)</v>
      </c>
      <c r="P59" s="166" t="str">
        <f>IF(M59&lt;&gt;0,CONCATENATE(M59,"/",N59),"")</f>
        <v/>
      </c>
      <c r="Q59" s="140"/>
      <c r="R59" s="139"/>
      <c r="S59" s="166" t="str">
        <f>IFERROR(CONCATENATE(E59+VLOOKUP(B59,$B$39:$R$42,4,FALSE), " OZ, ",G59+VLOOKUP(B59,$B$39:$R$42,13,FALSE), " A"),"")</f>
        <v/>
      </c>
      <c r="T59" s="1" t="str">
        <f>IF(B59&lt;&gt;0,IF(V59=1,U59,CONCATENATE(U59," ",W59,".")),"")</f>
        <v>Kolstrunk</v>
      </c>
      <c r="U59" s="1" t="str">
        <f>IFERROR(RIGHT(B59,LEN(B59)-SEARCH(" ", B59,1)),"")</f>
        <v>Kolstrunk</v>
      </c>
      <c r="V59" s="166">
        <f>IF(B59&lt;&gt;0,COUNTIF($U$48:$U$82,U59),"")</f>
        <v>1</v>
      </c>
      <c r="W59" s="166" t="str">
        <f>IFERROR(LEFT(LEFT(B59,SEARCH(" ",B59,1)),1),"")</f>
        <v>J</v>
      </c>
      <c r="X59" s="139"/>
      <c r="Y59" s="139"/>
      <c r="Z59" s="139"/>
      <c r="AA59" s="138"/>
    </row>
    <row r="60" spans="2:27" ht="15" customHeight="1" x14ac:dyDescent="0.25">
      <c r="B60" s="1" t="s">
        <v>528</v>
      </c>
      <c r="C60" s="137"/>
      <c r="D60" s="166" t="str">
        <f>IF(C60 &lt;&gt; 0,ROUNDDOWN(($A$47-C60)/365.25,0),"")</f>
        <v/>
      </c>
      <c r="E60" s="139"/>
      <c r="F60" s="139"/>
      <c r="G60" s="139"/>
      <c r="H60" s="166">
        <f>IF(B60&lt;&gt;0,F60+G60,"")</f>
        <v>0</v>
      </c>
      <c r="I60" s="139"/>
      <c r="J60" s="139"/>
      <c r="K60" s="139"/>
      <c r="L60" s="139"/>
      <c r="M60" s="139"/>
      <c r="N60" s="139"/>
      <c r="O60" s="166" t="str">
        <f>IF(B60&lt;&gt;0,CONCATENATE(E60+IFERROR(VLOOKUP(B60,$B$2:$N$36,4,FALSE),0) + X60, " OZ, ", H60+IFERROR(VLOOKUP(B60,$B$2:$N$36,9,FALSE),0) + Y60+Z60, " (", F60+IFERROR(VLOOKUP(B60,$B$2:$N$36,5,FALSE),0) + Y60, "+",G60+IFERROR(VLOOKUP(B60,$B$2:$N$36,8,FALSE),0) +  Z60, ")"), "")</f>
        <v>12 OZ, 2 (1+1)</v>
      </c>
      <c r="P60" s="166" t="str">
        <f>IF(M60&lt;&gt;0,CONCATENATE(M60,"/",N60),"")</f>
        <v/>
      </c>
      <c r="Q60" s="140"/>
      <c r="R60" s="139"/>
      <c r="S60" s="166" t="str">
        <f>IFERROR(CONCATENATE(E60+VLOOKUP(B60,$B$39:$R$42,4,FALSE), " OZ, ",G60+VLOOKUP(B60,$B$39:$R$42,13,FALSE), " A"),"")</f>
        <v/>
      </c>
      <c r="T60" s="1" t="str">
        <f>IF(B60&lt;&gt;0,IF(V60=1,U60,CONCATENATE(U60," ",W60,".")),"")</f>
        <v>Koščo</v>
      </c>
      <c r="U60" s="1" t="str">
        <f>IFERROR(RIGHT(B60,LEN(B60)-SEARCH(" ", B60,1)),"")</f>
        <v>Koščo</v>
      </c>
      <c r="V60" s="166">
        <f>IF(B60&lt;&gt;0,COUNTIF($U$48:$U$82,U60),"")</f>
        <v>1</v>
      </c>
      <c r="W60" s="166" t="str">
        <f>IFERROR(LEFT(LEFT(B60,SEARCH(" ",B60,1)),1),"")</f>
        <v>M</v>
      </c>
      <c r="X60" s="139"/>
      <c r="Y60" s="139"/>
      <c r="Z60" s="139"/>
      <c r="AA60" s="138"/>
    </row>
    <row r="61" spans="2:27" ht="15" customHeight="1" x14ac:dyDescent="0.25">
      <c r="B61" s="1" t="s">
        <v>520</v>
      </c>
      <c r="C61" s="137"/>
      <c r="D61" s="166" t="str">
        <f>IF(C61 &lt;&gt; 0,ROUNDDOWN(($A$47-C61)/365.25,0),"")</f>
        <v/>
      </c>
      <c r="E61" s="139"/>
      <c r="F61" s="139"/>
      <c r="G61" s="139"/>
      <c r="H61" s="166">
        <f>IF(B61&lt;&gt;0,F61+G61,"")</f>
        <v>0</v>
      </c>
      <c r="I61" s="139"/>
      <c r="J61" s="139"/>
      <c r="K61" s="139"/>
      <c r="L61" s="139"/>
      <c r="M61" s="139"/>
      <c r="N61" s="139"/>
      <c r="O61" s="166" t="str">
        <f>IF(B61&lt;&gt;0,CONCATENATE(E61+IFERROR(VLOOKUP(B61,$B$2:$N$36,4,FALSE),0) + X61, " OZ, ", H61+IFERROR(VLOOKUP(B61,$B$2:$N$36,9,FALSE),0) + Y61+Z61, " (", F61+IFERROR(VLOOKUP(B61,$B$2:$N$36,5,FALSE),0) + Y61, "+",G61+IFERROR(VLOOKUP(B61,$B$2:$N$36,8,FALSE),0) +  Z61, ")"), "")</f>
        <v>25 OZ, 4 (3+1)</v>
      </c>
      <c r="P61" s="166" t="str">
        <f>IF(M61&lt;&gt;0,CONCATENATE(M61,"/",N61),"")</f>
        <v/>
      </c>
      <c r="Q61" s="140"/>
      <c r="R61" s="139"/>
      <c r="S61" s="166" t="str">
        <f>IFERROR(CONCATENATE(E61+VLOOKUP(B61,$B$39:$R$42,4,FALSE), " OZ, ",G61+VLOOKUP(B61,$B$39:$R$42,13,FALSE), " A"),"")</f>
        <v/>
      </c>
      <c r="T61" s="1" t="str">
        <f>IF(B61&lt;&gt;0,IF(V61=1,U61,CONCATENATE(U61," ",W61,".")),"")</f>
        <v>Kozák</v>
      </c>
      <c r="U61" s="1" t="str">
        <f>IFERROR(RIGHT(B61,LEN(B61)-SEARCH(" ", B61,1)),"")</f>
        <v>Kozák</v>
      </c>
      <c r="V61" s="166">
        <f>IF(B61&lt;&gt;0,COUNTIF($U$48:$U$82,U61),"")</f>
        <v>1</v>
      </c>
      <c r="W61" s="166" t="str">
        <f>IFERROR(LEFT(LEFT(B61,SEARCH(" ",B61,1)),1),"")</f>
        <v>K</v>
      </c>
      <c r="X61" s="139"/>
      <c r="Y61" s="139"/>
      <c r="Z61" s="139"/>
      <c r="AA61" s="138"/>
    </row>
    <row r="62" spans="2:27" ht="15" customHeight="1" x14ac:dyDescent="0.25">
      <c r="B62" s="4" t="s">
        <v>509</v>
      </c>
      <c r="C62" s="137"/>
      <c r="D62" s="166" t="str">
        <f>IF(C62 &lt;&gt; 0,ROUNDDOWN(($A$47-C62)/365.25,0),"")</f>
        <v/>
      </c>
      <c r="E62" s="139"/>
      <c r="F62" s="139"/>
      <c r="G62" s="139"/>
      <c r="H62" s="166">
        <f>IF(B62&lt;&gt;0,F62+G62,"")</f>
        <v>0</v>
      </c>
      <c r="I62" s="139"/>
      <c r="J62" s="139"/>
      <c r="K62" s="139"/>
      <c r="L62" s="139"/>
      <c r="M62" s="139"/>
      <c r="N62" s="139"/>
      <c r="O62" s="166" t="str">
        <f>IF(B62&lt;&gt;0,CONCATENATE(E62+IFERROR(VLOOKUP(B62,$B$2:$N$36,4,FALSE),0) + X62, " OZ, ", H62+IFERROR(VLOOKUP(B62,$B$2:$N$36,9,FALSE),0) + Y62+Z62, " (", F62+IFERROR(VLOOKUP(B62,$B$2:$N$36,5,FALSE),0) + Y62, "+",G62+IFERROR(VLOOKUP(B62,$B$2:$N$36,8,FALSE),0) +  Z62, ")"), "")</f>
        <v>26 OZ, 44 (18+26)</v>
      </c>
      <c r="P62" s="166" t="str">
        <f>IF(M62&lt;&gt;0,CONCATENATE(M62,"/",N62),"")</f>
        <v/>
      </c>
      <c r="Q62" s="140"/>
      <c r="R62" s="139"/>
      <c r="S62" s="166" t="str">
        <f>IFERROR(CONCATENATE(E62+VLOOKUP(B62,$B$39:$R$42,4,FALSE), " OZ, ",G62+VLOOKUP(B62,$B$39:$R$42,13,FALSE), " A"),"")</f>
        <v/>
      </c>
      <c r="T62" s="1" t="str">
        <f>IF(B62&lt;&gt;0,IF(V62=1,U62,CONCATENATE(U62," ",W62,".")),"")</f>
        <v>Krbec</v>
      </c>
      <c r="U62" s="1" t="str">
        <f>IFERROR(RIGHT(B62,LEN(B62)-SEARCH(" ", B62,1)),"")</f>
        <v>Krbec</v>
      </c>
      <c r="V62" s="166">
        <f>IF(B62&lt;&gt;0,COUNTIF($U$48:$U$82,U62),"")</f>
        <v>1</v>
      </c>
      <c r="W62" s="166" t="str">
        <f>IFERROR(LEFT(LEFT(B62,SEARCH(" ",B62,1)),1),"")</f>
        <v>M</v>
      </c>
      <c r="X62" s="139"/>
      <c r="Y62" s="139"/>
      <c r="Z62" s="139"/>
      <c r="AA62" s="138"/>
    </row>
    <row r="63" spans="2:27" ht="15" customHeight="1" x14ac:dyDescent="0.25">
      <c r="B63" s="1" t="s">
        <v>515</v>
      </c>
      <c r="C63" s="137"/>
      <c r="D63" s="166" t="str">
        <f>IF(C63 &lt;&gt; 0,ROUNDDOWN(($A$47-C63)/365.25,0),"")</f>
        <v/>
      </c>
      <c r="E63" s="139"/>
      <c r="F63" s="139"/>
      <c r="G63" s="139"/>
      <c r="H63" s="166">
        <f>IF(B63&lt;&gt;0,F63+G63,"")</f>
        <v>0</v>
      </c>
      <c r="I63" s="139"/>
      <c r="J63" s="139"/>
      <c r="K63" s="139"/>
      <c r="L63" s="139"/>
      <c r="M63" s="139"/>
      <c r="N63" s="139"/>
      <c r="O63" s="166" t="str">
        <f>IF(B63&lt;&gt;0,CONCATENATE(E63+IFERROR(VLOOKUP(B63,$B$2:$N$36,4,FALSE),0) + X63, " OZ, ", H63+IFERROR(VLOOKUP(B63,$B$2:$N$36,9,FALSE),0) + Y63+Z63, " (", F63+IFERROR(VLOOKUP(B63,$B$2:$N$36,5,FALSE),0) + Y63, "+",G63+IFERROR(VLOOKUP(B63,$B$2:$N$36,8,FALSE),0) +  Z63, ")"), "")</f>
        <v>26 OZ, 20 (9+11)</v>
      </c>
      <c r="P63" s="166" t="str">
        <f>IF(M63&lt;&gt;0,CONCATENATE(M63,"/",N63),"")</f>
        <v/>
      </c>
      <c r="Q63" s="140"/>
      <c r="R63" s="139"/>
      <c r="S63" s="166" t="str">
        <f>IFERROR(CONCATENATE(E63+VLOOKUP(B63,$B$39:$R$42,4,FALSE), " OZ, ",G63+VLOOKUP(B63,$B$39:$R$42,13,FALSE), " A"),"")</f>
        <v/>
      </c>
      <c r="T63" s="1" t="str">
        <f>IF(B63&lt;&gt;0,IF(V63=1,U63,CONCATENATE(U63," ",W63,".")),"")</f>
        <v>Křenek</v>
      </c>
      <c r="U63" s="1" t="str">
        <f>IFERROR(RIGHT(B63,LEN(B63)-SEARCH(" ", B63,1)),"")</f>
        <v>Křenek</v>
      </c>
      <c r="V63" s="166">
        <f>IF(B63&lt;&gt;0,COUNTIF($U$48:$U$82,U63),"")</f>
        <v>1</v>
      </c>
      <c r="W63" s="166" t="str">
        <f>IFERROR(LEFT(LEFT(B63,SEARCH(" ",B63,1)),1),"")</f>
        <v>R</v>
      </c>
      <c r="X63" s="139"/>
      <c r="Y63" s="139"/>
      <c r="Z63" s="139"/>
      <c r="AA63" s="138"/>
    </row>
    <row r="64" spans="2:27" ht="15" customHeight="1" x14ac:dyDescent="0.25">
      <c r="B64" s="1" t="s">
        <v>662</v>
      </c>
      <c r="C64" s="137"/>
      <c r="D64" s="166" t="str">
        <f>IF(C64 &lt;&gt; 0,ROUNDDOWN(($A$47-C64)/365.25,0),"")</f>
        <v/>
      </c>
      <c r="E64" s="139"/>
      <c r="F64" s="139"/>
      <c r="G64" s="139"/>
      <c r="H64" s="166">
        <f>IF(B64&lt;&gt;0,F64+G64,"")</f>
        <v>0</v>
      </c>
      <c r="I64" s="139"/>
      <c r="J64" s="139"/>
      <c r="K64" s="139"/>
      <c r="L64" s="139"/>
      <c r="M64" s="139"/>
      <c r="N64" s="139"/>
      <c r="O64" s="166" t="str">
        <f>IF(B64&lt;&gt;0,CONCATENATE(E64+IFERROR(VLOOKUP(B64,$B$2:$N$36,4,FALSE),0) + X64, " OZ, ", H64+IFERROR(VLOOKUP(B64,$B$2:$N$36,9,FALSE),0) + Y64+Z64, " (", F64+IFERROR(VLOOKUP(B64,$B$2:$N$36,5,FALSE),0) + Y64, "+",G64+IFERROR(VLOOKUP(B64,$B$2:$N$36,8,FALSE),0) +  Z64, ")"), "")</f>
        <v>11 OZ, 2 (1+1)</v>
      </c>
      <c r="P64" s="166" t="str">
        <f>IF(M64&lt;&gt;0,CONCATENATE(M64,"/",N64),"")</f>
        <v/>
      </c>
      <c r="Q64" s="140"/>
      <c r="R64" s="139"/>
      <c r="S64" s="166" t="str">
        <f>IFERROR(CONCATENATE(E64+VLOOKUP(B64,$B$39:$R$42,4,FALSE), " OZ, ",G64+VLOOKUP(B64,$B$39:$R$42,13,FALSE), " A"),"")</f>
        <v/>
      </c>
      <c r="T64" s="1" t="str">
        <f>IF(B64&lt;&gt;0,IF(V64=1,U64,CONCATENATE(U64," ",W64,".")),"")</f>
        <v>Marvánek</v>
      </c>
      <c r="U64" s="1" t="str">
        <f>IFERROR(RIGHT(B64,LEN(B64)-SEARCH(" ", B64,1)),"")</f>
        <v>Marvánek</v>
      </c>
      <c r="V64" s="166">
        <f>IF(B64&lt;&gt;0,COUNTIF($U$48:$U$82,U64),"")</f>
        <v>1</v>
      </c>
      <c r="W64" s="166" t="str">
        <f>IFERROR(LEFT(LEFT(B64,SEARCH(" ",B64,1)),1),"")</f>
        <v>J</v>
      </c>
      <c r="X64" s="139"/>
      <c r="Y64" s="139"/>
      <c r="Z64" s="139"/>
      <c r="AA64" s="138"/>
    </row>
    <row r="65" spans="2:27" ht="15" customHeight="1" x14ac:dyDescent="0.25">
      <c r="B65" s="4" t="s">
        <v>533</v>
      </c>
      <c r="C65" s="137"/>
      <c r="D65" s="166" t="str">
        <f>IF(C65 &lt;&gt; 0,ROUNDDOWN(($A$47-C65)/365.25,0),"")</f>
        <v/>
      </c>
      <c r="E65" s="139"/>
      <c r="F65" s="139"/>
      <c r="G65" s="139"/>
      <c r="H65" s="166">
        <f>IF(B65&lt;&gt;0,F65+G65,"")</f>
        <v>0</v>
      </c>
      <c r="I65" s="139"/>
      <c r="J65" s="139"/>
      <c r="K65" s="139"/>
      <c r="L65" s="139"/>
      <c r="M65" s="139"/>
      <c r="N65" s="139"/>
      <c r="O65" s="166" t="str">
        <f>IF(B65&lt;&gt;0,CONCATENATE(E65+IFERROR(VLOOKUP(B65,$B$2:$N$36,4,FALSE),0) + X65, " OZ, ", H65+IFERROR(VLOOKUP(B65,$B$2:$N$36,9,FALSE),0) + Y65+Z65, " (", F65+IFERROR(VLOOKUP(B65,$B$2:$N$36,5,FALSE),0) + Y65, "+",G65+IFERROR(VLOOKUP(B65,$B$2:$N$36,8,FALSE),0) +  Z65, ")"), "")</f>
        <v>4 OZ, 0 (0+0)</v>
      </c>
      <c r="P65" s="166" t="str">
        <f>IF(M65&lt;&gt;0,CONCATENATE(M65,"/",N65),"")</f>
        <v/>
      </c>
      <c r="Q65" s="140"/>
      <c r="R65" s="139"/>
      <c r="S65" s="166" t="str">
        <f>IFERROR(CONCATENATE(E65+VLOOKUP(B65,$B$39:$R$42,4,FALSE), " OZ, ",G65+VLOOKUP(B65,$B$39:$R$42,13,FALSE), " A"),"")</f>
        <v/>
      </c>
      <c r="T65" s="1" t="str">
        <f>IF(B65&lt;&gt;0,IF(V65=1,U65,CONCATENATE(U65," ",W65,".")),"")</f>
        <v>Masár</v>
      </c>
      <c r="U65" s="1" t="str">
        <f>IFERROR(RIGHT(B65,LEN(B65)-SEARCH(" ", B65,1)),"")</f>
        <v>Masár</v>
      </c>
      <c r="V65" s="166">
        <f>IF(B65&lt;&gt;0,COUNTIF($U$48:$U$82,U65),"")</f>
        <v>1</v>
      </c>
      <c r="W65" s="166" t="str">
        <f>IFERROR(LEFT(LEFT(B65,SEARCH(" ",B65,1)),1),"")</f>
        <v>Š</v>
      </c>
      <c r="X65" s="139"/>
      <c r="Y65" s="139"/>
      <c r="Z65" s="139"/>
      <c r="AA65" s="138"/>
    </row>
    <row r="66" spans="2:27" ht="15" customHeight="1" x14ac:dyDescent="0.25">
      <c r="B66" s="1" t="s">
        <v>529</v>
      </c>
      <c r="C66" s="137"/>
      <c r="D66" s="166" t="str">
        <f>IF(C66 &lt;&gt; 0,ROUNDDOWN(($A$47-C66)/365.25,0),"")</f>
        <v/>
      </c>
      <c r="E66" s="139"/>
      <c r="F66" s="139"/>
      <c r="G66" s="139"/>
      <c r="H66" s="166">
        <f>IF(B66&lt;&gt;0,F66+G66,"")</f>
        <v>0</v>
      </c>
      <c r="I66" s="139"/>
      <c r="J66" s="139"/>
      <c r="K66" s="139"/>
      <c r="L66" s="139"/>
      <c r="M66" s="139"/>
      <c r="N66" s="139"/>
      <c r="O66" s="166" t="str">
        <f>IF(B66&lt;&gt;0,CONCATENATE(E66+IFERROR(VLOOKUP(B66,$B$2:$N$36,4,FALSE),0) + X66, " OZ, ", H66+IFERROR(VLOOKUP(B66,$B$2:$N$36,9,FALSE),0) + Y66+Z66, " (", F66+IFERROR(VLOOKUP(B66,$B$2:$N$36,5,FALSE),0) + Y66, "+",G66+IFERROR(VLOOKUP(B66,$B$2:$N$36,8,FALSE),0) +  Z66, ")"), "")</f>
        <v>19 OZ, 8 (3+5)</v>
      </c>
      <c r="P66" s="166" t="str">
        <f>IF(M66&lt;&gt;0,CONCATENATE(M66,"/",N66),"")</f>
        <v/>
      </c>
      <c r="Q66" s="140"/>
      <c r="R66" s="139"/>
      <c r="S66" s="166" t="str">
        <f>IFERROR(CONCATENATE(E66+VLOOKUP(B66,$B$39:$R$42,4,FALSE), " OZ, ",G66+VLOOKUP(B66,$B$39:$R$42,13,FALSE), " A"),"")</f>
        <v/>
      </c>
      <c r="T66" s="1" t="str">
        <f>IF(B66&lt;&gt;0,IF(V66=1,U66,CONCATENATE(U66," ",W66,".")),"")</f>
        <v>Pažák</v>
      </c>
      <c r="U66" s="1" t="str">
        <f>IFERROR(RIGHT(B66,LEN(B66)-SEARCH(" ", B66,1)),"")</f>
        <v>Pažák</v>
      </c>
      <c r="V66" s="166">
        <f>IF(B66&lt;&gt;0,COUNTIF($U$48:$U$82,U66),"")</f>
        <v>1</v>
      </c>
      <c r="W66" s="166" t="str">
        <f>IFERROR(LEFT(LEFT(B66,SEARCH(" ",B66,1)),1),"")</f>
        <v>M</v>
      </c>
      <c r="X66" s="139"/>
      <c r="Y66" s="139"/>
      <c r="Z66" s="139"/>
      <c r="AA66" s="138"/>
    </row>
    <row r="67" spans="2:27" ht="15" customHeight="1" x14ac:dyDescent="0.25">
      <c r="B67" s="4" t="s">
        <v>532</v>
      </c>
      <c r="C67" s="137"/>
      <c r="D67" s="166" t="str">
        <f>IF(C67 &lt;&gt; 0,ROUNDDOWN(($A$47-C67)/365.25,0),"")</f>
        <v/>
      </c>
      <c r="E67" s="139"/>
      <c r="F67" s="139"/>
      <c r="G67" s="139"/>
      <c r="H67" s="166">
        <f>IF(B67&lt;&gt;0,F67+G67,"")</f>
        <v>0</v>
      </c>
      <c r="I67" s="139"/>
      <c r="J67" s="139"/>
      <c r="K67" s="139"/>
      <c r="L67" s="139"/>
      <c r="M67" s="139"/>
      <c r="N67" s="139"/>
      <c r="O67" s="166" t="str">
        <f>IF(B67&lt;&gt;0,CONCATENATE(E67+IFERROR(VLOOKUP(B67,$B$2:$N$36,4,FALSE),0) + X67, " OZ, ", H67+IFERROR(VLOOKUP(B67,$B$2:$N$36,9,FALSE),0) + Y67+Z67, " (", F67+IFERROR(VLOOKUP(B67,$B$2:$N$36,5,FALSE),0) + Y67, "+",G67+IFERROR(VLOOKUP(B67,$B$2:$N$36,8,FALSE),0) +  Z67, ")"), "")</f>
        <v>0 OZ, 0 (0+0)</v>
      </c>
      <c r="P67" s="166" t="str">
        <f>IF(M67&lt;&gt;0,CONCATENATE(M67,"/",N67),"")</f>
        <v/>
      </c>
      <c r="Q67" s="140"/>
      <c r="R67" s="139"/>
      <c r="S67" s="166" t="str">
        <f>IFERROR(CONCATENATE(E67+VLOOKUP(B67,$B$39:$R$42,4,FALSE), " OZ, ",G67+VLOOKUP(B67,$B$39:$R$42,13,FALSE), " A"),"")</f>
        <v>0 OZ, 0 A</v>
      </c>
      <c r="T67" s="1" t="str">
        <f>IF(B67&lt;&gt;0,IF(V67=1,U67,CONCATENATE(U67," ",W67,".")),"")</f>
        <v>Pelech</v>
      </c>
      <c r="U67" s="1" t="str">
        <f>IFERROR(RIGHT(B67,LEN(B67)-SEARCH(" ", B67,1)),"")</f>
        <v>Pelech</v>
      </c>
      <c r="V67" s="166">
        <f>IF(B67&lt;&gt;0,COUNTIF($U$48:$U$82,U67),"")</f>
        <v>1</v>
      </c>
      <c r="W67" s="166" t="str">
        <f>IFERROR(LEFT(LEFT(B67,SEARCH(" ",B67,1)),1),"")</f>
        <v>O</v>
      </c>
      <c r="X67" s="139"/>
      <c r="Y67" s="139"/>
      <c r="Z67" s="139"/>
      <c r="AA67" s="138"/>
    </row>
    <row r="68" spans="2:27" ht="15" customHeight="1" x14ac:dyDescent="0.25">
      <c r="B68" s="1" t="s">
        <v>522</v>
      </c>
      <c r="C68" s="137"/>
      <c r="D68" s="166" t="str">
        <f>IF(C68 &lt;&gt; 0,ROUNDDOWN(($A$47-C68)/365.25,0),"")</f>
        <v/>
      </c>
      <c r="E68" s="139"/>
      <c r="F68" s="139"/>
      <c r="G68" s="139"/>
      <c r="H68" s="166">
        <f>IF(B68&lt;&gt;0,F68+G68,"")</f>
        <v>0</v>
      </c>
      <c r="I68" s="139"/>
      <c r="J68" s="139"/>
      <c r="K68" s="139"/>
      <c r="L68" s="139"/>
      <c r="M68" s="139"/>
      <c r="N68" s="139"/>
      <c r="O68" s="166" t="str">
        <f>IF(B68&lt;&gt;0,CONCATENATE(E68+IFERROR(VLOOKUP(B68,$B$2:$N$36,4,FALSE),0) + X68, " OZ, ", H68+IFERROR(VLOOKUP(B68,$B$2:$N$36,9,FALSE),0) + Y68+Z68, " (", F68+IFERROR(VLOOKUP(B68,$B$2:$N$36,5,FALSE),0) + Y68, "+",G68+IFERROR(VLOOKUP(B68,$B$2:$N$36,8,FALSE),0) +  Z68, ")"), "")</f>
        <v>25 OZ, 8 (3+5)</v>
      </c>
      <c r="P68" s="166" t="str">
        <f>IF(M68&lt;&gt;0,CONCATENATE(M68,"/",N68),"")</f>
        <v/>
      </c>
      <c r="Q68" s="140"/>
      <c r="R68" s="139"/>
      <c r="S68" s="166" t="str">
        <f>IFERROR(CONCATENATE(E68+VLOOKUP(B68,$B$39:$R$42,4,FALSE), " OZ, ",G68+VLOOKUP(B68,$B$39:$R$42,13,FALSE), " A"),"")</f>
        <v/>
      </c>
      <c r="T68" s="1" t="str">
        <f>IF(B68&lt;&gt;0,IF(V68=1,U68,CONCATENATE(U68," ",W68,".")),"")</f>
        <v>Pruner</v>
      </c>
      <c r="U68" s="1" t="str">
        <f>IFERROR(RIGHT(B68,LEN(B68)-SEARCH(" ", B68,1)),"")</f>
        <v>Pruner</v>
      </c>
      <c r="V68" s="166">
        <f>IF(B68&lt;&gt;0,COUNTIF($U$48:$U$82,U68),"")</f>
        <v>1</v>
      </c>
      <c r="W68" s="166" t="str">
        <f>IFERROR(LEFT(LEFT(B68,SEARCH(" ",B68,1)),1),"")</f>
        <v>M</v>
      </c>
      <c r="X68" s="139"/>
      <c r="Y68" s="139"/>
      <c r="Z68" s="139"/>
      <c r="AA68" s="138"/>
    </row>
    <row r="69" spans="2:27" ht="15" customHeight="1" x14ac:dyDescent="0.25">
      <c r="B69" s="1" t="s">
        <v>526</v>
      </c>
      <c r="C69" s="137"/>
      <c r="D69" s="166" t="str">
        <f>IF(C69 &lt;&gt; 0,ROUNDDOWN(($A$47-C69)/365.25,0),"")</f>
        <v/>
      </c>
      <c r="E69" s="139"/>
      <c r="F69" s="139"/>
      <c r="G69" s="139"/>
      <c r="H69" s="166">
        <f>IF(B69&lt;&gt;0,F69+G69,"")</f>
        <v>0</v>
      </c>
      <c r="I69" s="139"/>
      <c r="J69" s="139"/>
      <c r="K69" s="139"/>
      <c r="L69" s="139"/>
      <c r="M69" s="139"/>
      <c r="N69" s="139"/>
      <c r="O69" s="166" t="str">
        <f>IF(B69&lt;&gt;0,CONCATENATE(E69+IFERROR(VLOOKUP(B69,$B$2:$N$36,4,FALSE),0) + X69, " OZ, ", H69+IFERROR(VLOOKUP(B69,$B$2:$N$36,9,FALSE),0) + Y69+Z69, " (", F69+IFERROR(VLOOKUP(B69,$B$2:$N$36,5,FALSE),0) + Y69, "+",G69+IFERROR(VLOOKUP(B69,$B$2:$N$36,8,FALSE),0) +  Z69, ")"), "")</f>
        <v>3 OZ, 3 (1+2)</v>
      </c>
      <c r="P69" s="166" t="str">
        <f>IF(M69&lt;&gt;0,CONCATENATE(M69,"/",N69),"")</f>
        <v/>
      </c>
      <c r="Q69" s="140"/>
      <c r="R69" s="139"/>
      <c r="S69" s="166" t="str">
        <f>IFERROR(CONCATENATE(E69+VLOOKUP(B69,$B$39:$R$42,4,FALSE), " OZ, ",G69+VLOOKUP(B69,$B$39:$R$42,13,FALSE), " A"),"")</f>
        <v/>
      </c>
      <c r="T69" s="1" t="str">
        <f>IF(B69&lt;&gt;0,IF(V69=1,U69,CONCATENATE(U69," ",W69,".")),"")</f>
        <v>Riebauer</v>
      </c>
      <c r="U69" s="1" t="str">
        <f>IFERROR(RIGHT(B69,LEN(B69)-SEARCH(" ", B69,1)),"")</f>
        <v>Riebauer</v>
      </c>
      <c r="V69" s="166">
        <f>IF(B69&lt;&gt;0,COUNTIF($U$48:$U$82,U69),"")</f>
        <v>1</v>
      </c>
      <c r="W69" s="166" t="str">
        <f>IFERROR(LEFT(LEFT(B69,SEARCH(" ",B69,1)),1),"")</f>
        <v>O</v>
      </c>
      <c r="X69" s="139"/>
      <c r="Y69" s="139"/>
      <c r="Z69" s="139"/>
      <c r="AA69" s="138"/>
    </row>
    <row r="70" spans="2:27" ht="15" customHeight="1" x14ac:dyDescent="0.25">
      <c r="B70" s="4" t="s">
        <v>510</v>
      </c>
      <c r="C70" s="137"/>
      <c r="D70" s="166" t="str">
        <f>IF(C70 &lt;&gt; 0,ROUNDDOWN(($A$47-C70)/365.25,0),"")</f>
        <v/>
      </c>
      <c r="E70" s="139"/>
      <c r="F70" s="139"/>
      <c r="G70" s="139"/>
      <c r="H70" s="166">
        <f>IF(B70&lt;&gt;0,F70+G70,"")</f>
        <v>0</v>
      </c>
      <c r="I70" s="139"/>
      <c r="J70" s="139"/>
      <c r="K70" s="139"/>
      <c r="L70" s="139"/>
      <c r="M70" s="139"/>
      <c r="N70" s="139"/>
      <c r="O70" s="166" t="str">
        <f>IF(B70&lt;&gt;0,CONCATENATE(E70+IFERROR(VLOOKUP(B70,$B$2:$N$36,4,FALSE),0) + X70, " OZ, ", H70+IFERROR(VLOOKUP(B70,$B$2:$N$36,9,FALSE),0) + Y70+Z70, " (", F70+IFERROR(VLOOKUP(B70,$B$2:$N$36,5,FALSE),0) + Y70, "+",G70+IFERROR(VLOOKUP(B70,$B$2:$N$36,8,FALSE),0) +  Z70, ")"), "")</f>
        <v>25 OZ, 38 (24+14)</v>
      </c>
      <c r="P70" s="166" t="str">
        <f>IF(M70&lt;&gt;0,CONCATENATE(M70,"/",N70),"")</f>
        <v/>
      </c>
      <c r="Q70" s="140"/>
      <c r="R70" s="139"/>
      <c r="S70" s="166" t="str">
        <f>IFERROR(CONCATENATE(E70+VLOOKUP(B70,$B$39:$R$42,4,FALSE), " OZ, ",G70+VLOOKUP(B70,$B$39:$R$42,13,FALSE), " A"),"")</f>
        <v/>
      </c>
      <c r="T70" s="1" t="str">
        <f>IF(B70&lt;&gt;0,IF(V70=1,U70,CONCATENATE(U70," ",W70,".")),"")</f>
        <v>Ujhelyi</v>
      </c>
      <c r="U70" s="1" t="str">
        <f>IFERROR(RIGHT(B70,LEN(B70)-SEARCH(" ", B70,1)),"")</f>
        <v>Ujhelyi</v>
      </c>
      <c r="V70" s="166">
        <f>IF(B70&lt;&gt;0,COUNTIF($U$48:$U$82,U70),"")</f>
        <v>1</v>
      </c>
      <c r="W70" s="166" t="str">
        <f>IFERROR(LEFT(LEFT(B70,SEARCH(" ",B70,1)),1),"")</f>
        <v>L</v>
      </c>
      <c r="X70" s="139"/>
      <c r="Y70" s="139"/>
      <c r="Z70" s="139"/>
      <c r="AA70" s="138"/>
    </row>
    <row r="71" spans="2:27" ht="15" customHeight="1" x14ac:dyDescent="0.25">
      <c r="B71" s="1" t="s">
        <v>527</v>
      </c>
      <c r="C71" s="137"/>
      <c r="D71" s="166" t="str">
        <f>IF(C71 &lt;&gt; 0,ROUNDDOWN(($A$47-C71)/365.25,0),"")</f>
        <v/>
      </c>
      <c r="E71" s="139"/>
      <c r="F71" s="139"/>
      <c r="G71" s="139"/>
      <c r="H71" s="166">
        <f>IF(B71&lt;&gt;0,F71+G71,"")</f>
        <v>0</v>
      </c>
      <c r="I71" s="139"/>
      <c r="J71" s="139"/>
      <c r="K71" s="139"/>
      <c r="L71" s="139"/>
      <c r="M71" s="139"/>
      <c r="N71" s="139"/>
      <c r="O71" s="166" t="str">
        <f>IF(B71&lt;&gt;0,CONCATENATE(E71+IFERROR(VLOOKUP(B71,$B$2:$N$36,4,FALSE),0) + X71, " OZ, ", H71+IFERROR(VLOOKUP(B71,$B$2:$N$36,9,FALSE),0) + Y71+Z71, " (", F71+IFERROR(VLOOKUP(B71,$B$2:$N$36,5,FALSE),0) + Y71, "+",G71+IFERROR(VLOOKUP(B71,$B$2:$N$36,8,FALSE),0) +  Z71, ")"), "")</f>
        <v>6 OZ, 2 (1+1)</v>
      </c>
      <c r="P71" s="166" t="str">
        <f>IF(M71&lt;&gt;0,CONCATENATE(M71,"/",N71),"")</f>
        <v/>
      </c>
      <c r="Q71" s="140"/>
      <c r="R71" s="139"/>
      <c r="S71" s="166" t="str">
        <f>IFERROR(CONCATENATE(E71+VLOOKUP(B71,$B$39:$R$42,4,FALSE), " OZ, ",G71+VLOOKUP(B71,$B$39:$R$42,13,FALSE), " A"),"")</f>
        <v/>
      </c>
      <c r="T71" s="1" t="str">
        <f>IF(B71&lt;&gt;0,IF(V71=1,U71,CONCATENATE(U71," ",W71,".")),"")</f>
        <v>Velc</v>
      </c>
      <c r="U71" s="1" t="str">
        <f>IFERROR(RIGHT(B71,LEN(B71)-SEARCH(" ", B71,1)),"")</f>
        <v>Velc</v>
      </c>
      <c r="V71" s="166">
        <f>IF(B71&lt;&gt;0,COUNTIF($U$48:$U$82,U71),"")</f>
        <v>1</v>
      </c>
      <c r="W71" s="166" t="str">
        <f>IFERROR(LEFT(LEFT(B71,SEARCH(" ",B71,1)),1),"")</f>
        <v>M</v>
      </c>
      <c r="X71" s="139"/>
      <c r="Y71" s="139"/>
      <c r="Z71" s="139"/>
      <c r="AA71" s="138"/>
    </row>
    <row r="72" spans="2:27" ht="15" customHeight="1" x14ac:dyDescent="0.25">
      <c r="B72" s="4" t="s">
        <v>534</v>
      </c>
      <c r="C72" s="137"/>
      <c r="D72" s="166" t="str">
        <f>IF(C72 &lt;&gt; 0,ROUNDDOWN(($A$47-C72)/365.25,0),"")</f>
        <v/>
      </c>
      <c r="E72" s="139"/>
      <c r="F72" s="139"/>
      <c r="G72" s="139"/>
      <c r="H72" s="166">
        <f>IF(B72&lt;&gt;0,F72+G72,"")</f>
        <v>0</v>
      </c>
      <c r="I72" s="139"/>
      <c r="J72" s="139"/>
      <c r="K72" s="139"/>
      <c r="L72" s="139"/>
      <c r="M72" s="139"/>
      <c r="N72" s="139"/>
      <c r="O72" s="166" t="str">
        <f>IF(B72&lt;&gt;0,CONCATENATE(E72+IFERROR(VLOOKUP(B72,$B$2:$N$36,4,FALSE),0) + X72, " OZ, ", H72+IFERROR(VLOOKUP(B72,$B$2:$N$36,9,FALSE),0) + Y72+Z72, " (", F72+IFERROR(VLOOKUP(B72,$B$2:$N$36,5,FALSE),0) + Y72, "+",G72+IFERROR(VLOOKUP(B72,$B$2:$N$36,8,FALSE),0) +  Z72, ")"), "")</f>
        <v>7 OZ, 0 (0+0)</v>
      </c>
      <c r="P72" s="166" t="str">
        <f>IF(M72&lt;&gt;0,CONCATENATE(M72,"/",N72),"")</f>
        <v/>
      </c>
      <c r="Q72" s="140"/>
      <c r="R72" s="139"/>
      <c r="S72" s="166" t="str">
        <f>IFERROR(CONCATENATE(E72+VLOOKUP(B72,$B$39:$R$42,4,FALSE), " OZ, ",G72+VLOOKUP(B72,$B$39:$R$42,13,FALSE), " A"),"")</f>
        <v/>
      </c>
      <c r="T72" s="1" t="str">
        <f>IF(B72&lt;&gt;0,IF(V72=1,U72,CONCATENATE(U72," ",W72,".")),"")</f>
        <v>Veselý</v>
      </c>
      <c r="U72" s="1" t="str">
        <f>IFERROR(RIGHT(B72,LEN(B72)-SEARCH(" ", B72,1)),"")</f>
        <v>Veselý</v>
      </c>
      <c r="V72" s="166">
        <f>IF(B72&lt;&gt;0,COUNTIF($U$48:$U$82,U72),"")</f>
        <v>1</v>
      </c>
      <c r="W72" s="166" t="str">
        <f>IFERROR(LEFT(LEFT(B72,SEARCH(" ",B72,1)),1),"")</f>
        <v>M</v>
      </c>
      <c r="X72" s="139"/>
      <c r="Y72" s="139"/>
      <c r="Z72" s="139"/>
      <c r="AA72" s="138"/>
    </row>
    <row r="73" spans="2:27" ht="15" customHeight="1" x14ac:dyDescent="0.25">
      <c r="B73" s="1" t="s">
        <v>518</v>
      </c>
      <c r="C73" s="137"/>
      <c r="D73" s="166" t="str">
        <f>IF(C73 &lt;&gt; 0,ROUNDDOWN(($A$47-C73)/365.25,0),"")</f>
        <v/>
      </c>
      <c r="E73" s="139"/>
      <c r="F73" s="139"/>
      <c r="G73" s="139"/>
      <c r="H73" s="166">
        <f>IF(B73&lt;&gt;0,F73+G73,"")</f>
        <v>0</v>
      </c>
      <c r="I73" s="139"/>
      <c r="J73" s="139"/>
      <c r="K73" s="139"/>
      <c r="L73" s="139"/>
      <c r="M73" s="139"/>
      <c r="N73" s="139"/>
      <c r="O73" s="166" t="str">
        <f>IF(B73&lt;&gt;0,CONCATENATE(E73+IFERROR(VLOOKUP(B73,$B$2:$N$36,4,FALSE),0) + X73, " OZ, ", H73+IFERROR(VLOOKUP(B73,$B$2:$N$36,9,FALSE),0) + Y73+Z73, " (", F73+IFERROR(VLOOKUP(B73,$B$2:$N$36,5,FALSE),0) + Y73, "+",G73+IFERROR(VLOOKUP(B73,$B$2:$N$36,8,FALSE),0) +  Z73, ")"), "")</f>
        <v>26 OZ, 13 (7+6)</v>
      </c>
      <c r="P73" s="166" t="str">
        <f>IF(M73&lt;&gt;0,CONCATENATE(M73,"/",N73),"")</f>
        <v/>
      </c>
      <c r="Q73" s="140"/>
      <c r="R73" s="139"/>
      <c r="S73" s="166" t="str">
        <f>IFERROR(CONCATENATE(E73+VLOOKUP(B73,$B$39:$R$42,4,FALSE), " OZ, ",G73+VLOOKUP(B73,$B$39:$R$42,13,FALSE), " A"),"")</f>
        <v/>
      </c>
      <c r="T73" s="1" t="str">
        <f>IF(B73&lt;&gt;0,IF(V73=1,U73,CONCATENATE(U73," ",W73,".")),"")</f>
        <v>Zeman</v>
      </c>
      <c r="U73" s="1" t="str">
        <f>IFERROR(RIGHT(B73,LEN(B73)-SEARCH(" ", B73,1)),"")</f>
        <v>Zeman</v>
      </c>
      <c r="V73" s="166">
        <f>IF(B73&lt;&gt;0,COUNTIF($U$48:$U$82,U73),"")</f>
        <v>1</v>
      </c>
      <c r="W73" s="166" t="str">
        <f>IFERROR(LEFT(LEFT(B73,SEARCH(" ",B73,1)),1),"")</f>
        <v>M</v>
      </c>
      <c r="X73" s="139"/>
      <c r="Y73" s="139"/>
      <c r="Z73" s="139"/>
      <c r="AA73" s="138"/>
    </row>
    <row r="74" spans="2:27" ht="15" customHeight="1" x14ac:dyDescent="0.25">
      <c r="B74" s="4" t="s">
        <v>535</v>
      </c>
      <c r="C74" s="137"/>
      <c r="D74" s="166" t="str">
        <f>IF(C74 &lt;&gt; 0,ROUNDDOWN(($A$47-C74)/365.25,0),"")</f>
        <v/>
      </c>
      <c r="E74" s="139"/>
      <c r="F74" s="139"/>
      <c r="G74" s="139"/>
      <c r="H74" s="166">
        <f>IF(B74&lt;&gt;0,F74+G74,"")</f>
        <v>0</v>
      </c>
      <c r="I74" s="139"/>
      <c r="J74" s="139"/>
      <c r="K74" s="139"/>
      <c r="L74" s="139"/>
      <c r="M74" s="139"/>
      <c r="N74" s="139"/>
      <c r="O74" s="166" t="str">
        <f>IF(B74&lt;&gt;0,CONCATENATE(E74+IFERROR(VLOOKUP(B74,$B$2:$N$36,4,FALSE),0) + X74, " OZ, ", H74+IFERROR(VLOOKUP(B74,$B$2:$N$36,9,FALSE),0) + Y74+Z74, " (", F74+IFERROR(VLOOKUP(B74,$B$2:$N$36,5,FALSE),0) + Y74, "+",G74+IFERROR(VLOOKUP(B74,$B$2:$N$36,8,FALSE),0) +  Z74, ")"), "")</f>
        <v>0 OZ, 0 (0+0)</v>
      </c>
      <c r="P74" s="166" t="str">
        <f>IF(M74&lt;&gt;0,CONCATENATE(M74,"/",N74),"")</f>
        <v/>
      </c>
      <c r="Q74" s="140"/>
      <c r="R74" s="139"/>
      <c r="S74" s="166" t="str">
        <f>IFERROR(CONCATENATE(E74+VLOOKUP(B74,$B$39:$R$42,4,FALSE), " OZ, ",G74+VLOOKUP(B74,$B$39:$R$42,13,FALSE), " A"),"")</f>
        <v>3 OZ, 0 A</v>
      </c>
      <c r="T74" s="1" t="str">
        <f>IF(B74&lt;&gt;0,IF(V74=1,U74,CONCATENATE(U74," ",W74,".")),"")</f>
        <v>Zítka</v>
      </c>
      <c r="U74" s="1" t="str">
        <f>IFERROR(RIGHT(B74,LEN(B74)-SEARCH(" ", B74,1)),"")</f>
        <v>Zítka</v>
      </c>
      <c r="V74" s="166">
        <f>IF(B74&lt;&gt;0,COUNTIF($U$48:$U$82,U74),"")</f>
        <v>1</v>
      </c>
      <c r="W74" s="166" t="str">
        <f>IFERROR(LEFT(LEFT(B74,SEARCH(" ",B74,1)),1),"")</f>
        <v>P</v>
      </c>
      <c r="X74" s="139"/>
      <c r="Y74" s="139"/>
      <c r="Z74" s="139"/>
      <c r="AA74" s="138"/>
    </row>
    <row r="75" spans="2:27" ht="15" customHeight="1" x14ac:dyDescent="0.25">
      <c r="B75" s="1" t="s">
        <v>514</v>
      </c>
      <c r="C75" s="137"/>
      <c r="D75" s="166" t="str">
        <f>IF(C75 &lt;&gt; 0,ROUNDDOWN(($A$47-C75)/365.25,0),"")</f>
        <v/>
      </c>
      <c r="E75" s="139"/>
      <c r="F75" s="139"/>
      <c r="G75" s="139"/>
      <c r="H75" s="166">
        <f>IF(B75&lt;&gt;0,F75+G75,"")</f>
        <v>0</v>
      </c>
      <c r="I75" s="139"/>
      <c r="J75" s="139"/>
      <c r="K75" s="139"/>
      <c r="L75" s="139"/>
      <c r="M75" s="139"/>
      <c r="N75" s="139"/>
      <c r="O75" s="166" t="str">
        <f>IF(B75&lt;&gt;0,CONCATENATE(E75+IFERROR(VLOOKUP(B75,$B$2:$N$36,4,FALSE),0) + X75, " OZ, ", H75+IFERROR(VLOOKUP(B75,$B$2:$N$36,9,FALSE),0) + Y75+Z75, " (", F75+IFERROR(VLOOKUP(B75,$B$2:$N$36,5,FALSE),0) + Y75, "+",G75+IFERROR(VLOOKUP(B75,$B$2:$N$36,8,FALSE),0) +  Z75, ")"), "")</f>
        <v>26 OZ, 23 (9+14)</v>
      </c>
      <c r="P75" s="166" t="str">
        <f>IF(M75&lt;&gt;0,CONCATENATE(M75,"/",N75),"")</f>
        <v/>
      </c>
      <c r="Q75" s="140"/>
      <c r="R75" s="139"/>
      <c r="S75" s="166" t="str">
        <f>IFERROR(CONCATENATE(E75+VLOOKUP(B75,$B$39:$R$42,4,FALSE), " OZ, ",G75+VLOOKUP(B75,$B$39:$R$42,13,FALSE), " A"),"")</f>
        <v/>
      </c>
      <c r="T75" s="1" t="str">
        <f>IF(B75&lt;&gt;0,IF(V75=1,U75,CONCATENATE(U75," ",W75,".")),"")</f>
        <v>Zouzal</v>
      </c>
      <c r="U75" s="1" t="str">
        <f>IFERROR(RIGHT(B75,LEN(B75)-SEARCH(" ", B75,1)),"")</f>
        <v>Zouzal</v>
      </c>
      <c r="V75" s="166">
        <f>IF(B75&lt;&gt;0,COUNTIF($U$48:$U$82,U75),"")</f>
        <v>1</v>
      </c>
      <c r="W75" s="166" t="str">
        <f>IFERROR(LEFT(LEFT(B75,SEARCH(" ",B75,1)),1),"")</f>
        <v>M</v>
      </c>
      <c r="X75" s="139"/>
      <c r="Y75" s="139"/>
      <c r="Z75" s="139"/>
      <c r="AA75" s="138"/>
    </row>
    <row r="76" spans="2:27" ht="15" customHeight="1" x14ac:dyDescent="0.25">
      <c r="B76" s="141"/>
      <c r="C76" s="137"/>
      <c r="D76" s="166" t="str">
        <f t="shared" ref="D76:D82" si="5">IF(C76 &lt;&gt; 0,ROUNDDOWN(($A$47-C76)/365.25,0),"")</f>
        <v/>
      </c>
      <c r="E76" s="139"/>
      <c r="F76" s="139"/>
      <c r="G76" s="139"/>
      <c r="H76" s="166" t="str">
        <f t="shared" ref="H76:H82" si="6">IF(B76&lt;&gt;0,F76+G76,"")</f>
        <v/>
      </c>
      <c r="I76" s="139"/>
      <c r="J76" s="139"/>
      <c r="K76" s="139"/>
      <c r="L76" s="139"/>
      <c r="M76" s="139"/>
      <c r="N76" s="139"/>
      <c r="O76" s="166" t="str">
        <f t="shared" ref="O76:O82" si="7">IF(B76&lt;&gt;0,CONCATENATE(E76+IFERROR(VLOOKUP(B76,$B$2:$N$36,4,FALSE),0) + X76, " OZ, ", H76+IFERROR(VLOOKUP(B76,$B$2:$N$36,9,FALSE),0) + Y76+Z76, " (", F76+IFERROR(VLOOKUP(B76,$B$2:$N$36,5,FALSE),0) + Y76, "+",G76+IFERROR(VLOOKUP(B76,$B$2:$N$36,8,FALSE),0) +  Z76, ")"), "")</f>
        <v/>
      </c>
      <c r="P76" s="166" t="str">
        <f t="shared" ref="P76:P82" si="8">IF(M76&lt;&gt;0,CONCATENATE(M76,"/",N76),"")</f>
        <v/>
      </c>
      <c r="Q76" s="140"/>
      <c r="R76" s="139"/>
      <c r="S76" s="166" t="str">
        <f t="shared" ref="S76:S82" si="9">IFERROR(CONCATENATE(E76+VLOOKUP(B76,$B$39:$R$42,4,FALSE), " OZ, ",G76+VLOOKUP(B76,$B$39:$R$42,13,FALSE), " A"),"")</f>
        <v/>
      </c>
      <c r="T76" s="1" t="str">
        <f t="shared" ref="T76:T82" si="10">IF(B76&lt;&gt;0,IF(V76=1,U76,CONCATENATE(U76," ",W76,".")),"")</f>
        <v/>
      </c>
      <c r="U76" s="1" t="str">
        <f t="shared" ref="U76:U82" si="11">IFERROR(RIGHT(B76,LEN(B76)-SEARCH(" ", B76,1)),"")</f>
        <v/>
      </c>
      <c r="V76" s="166" t="str">
        <f t="shared" ref="V76:V82" si="12">IF(B76&lt;&gt;0,COUNTIF($U$48:$U$82,U76),"")</f>
        <v/>
      </c>
      <c r="W76" s="166" t="str">
        <f t="shared" ref="W76:W82" si="13">IFERROR(LEFT(LEFT(B76,SEARCH(" ",B76,1)),1),"")</f>
        <v/>
      </c>
      <c r="X76" s="139"/>
      <c r="Y76" s="139"/>
      <c r="Z76" s="139"/>
      <c r="AA76" s="138"/>
    </row>
    <row r="77" spans="2:27" ht="15" customHeight="1" x14ac:dyDescent="0.25">
      <c r="B77" s="138"/>
      <c r="C77" s="137"/>
      <c r="D77" s="166" t="str">
        <f t="shared" si="5"/>
        <v/>
      </c>
      <c r="E77" s="139"/>
      <c r="F77" s="139"/>
      <c r="G77" s="139"/>
      <c r="H77" s="166" t="str">
        <f t="shared" si="6"/>
        <v/>
      </c>
      <c r="I77" s="139"/>
      <c r="J77" s="139"/>
      <c r="K77" s="139"/>
      <c r="L77" s="139"/>
      <c r="M77" s="139"/>
      <c r="N77" s="139"/>
      <c r="O77" s="166" t="str">
        <f t="shared" si="7"/>
        <v/>
      </c>
      <c r="P77" s="166" t="str">
        <f t="shared" si="8"/>
        <v/>
      </c>
      <c r="Q77" s="140"/>
      <c r="R77" s="139"/>
      <c r="S77" s="166" t="str">
        <f t="shared" si="9"/>
        <v/>
      </c>
      <c r="T77" s="1" t="str">
        <f t="shared" si="10"/>
        <v/>
      </c>
      <c r="U77" s="1" t="str">
        <f t="shared" si="11"/>
        <v/>
      </c>
      <c r="V77" s="166" t="str">
        <f t="shared" si="12"/>
        <v/>
      </c>
      <c r="W77" s="166" t="str">
        <f t="shared" si="13"/>
        <v/>
      </c>
      <c r="X77" s="139"/>
      <c r="Y77" s="139"/>
      <c r="Z77" s="139"/>
      <c r="AA77" s="138"/>
    </row>
    <row r="78" spans="2:27" ht="15" customHeight="1" x14ac:dyDescent="0.25">
      <c r="B78" s="138"/>
      <c r="C78" s="137"/>
      <c r="D78" s="166" t="str">
        <f t="shared" si="5"/>
        <v/>
      </c>
      <c r="E78" s="139"/>
      <c r="F78" s="139"/>
      <c r="G78" s="139"/>
      <c r="H78" s="166" t="str">
        <f t="shared" si="6"/>
        <v/>
      </c>
      <c r="I78" s="139"/>
      <c r="J78" s="139"/>
      <c r="K78" s="139"/>
      <c r="L78" s="139"/>
      <c r="M78" s="139"/>
      <c r="N78" s="139"/>
      <c r="O78" s="166" t="str">
        <f t="shared" si="7"/>
        <v/>
      </c>
      <c r="P78" s="166" t="str">
        <f t="shared" si="8"/>
        <v/>
      </c>
      <c r="Q78" s="140"/>
      <c r="R78" s="139"/>
      <c r="S78" s="166" t="str">
        <f t="shared" si="9"/>
        <v/>
      </c>
      <c r="T78" s="1" t="str">
        <f t="shared" si="10"/>
        <v/>
      </c>
      <c r="U78" s="1" t="str">
        <f t="shared" si="11"/>
        <v/>
      </c>
      <c r="V78" s="166" t="str">
        <f t="shared" si="12"/>
        <v/>
      </c>
      <c r="W78" s="166" t="str">
        <f t="shared" si="13"/>
        <v/>
      </c>
      <c r="X78" s="139"/>
      <c r="Y78" s="139"/>
      <c r="Z78" s="139"/>
      <c r="AA78" s="138"/>
    </row>
    <row r="79" spans="2:27" ht="15" customHeight="1" x14ac:dyDescent="0.25">
      <c r="B79" s="138"/>
      <c r="C79" s="137"/>
      <c r="D79" s="166" t="str">
        <f t="shared" si="5"/>
        <v/>
      </c>
      <c r="E79" s="139"/>
      <c r="F79" s="139"/>
      <c r="G79" s="139"/>
      <c r="H79" s="166" t="str">
        <f t="shared" si="6"/>
        <v/>
      </c>
      <c r="I79" s="139"/>
      <c r="J79" s="139"/>
      <c r="K79" s="139"/>
      <c r="L79" s="139"/>
      <c r="M79" s="139"/>
      <c r="N79" s="139"/>
      <c r="O79" s="166" t="str">
        <f t="shared" si="7"/>
        <v/>
      </c>
      <c r="P79" s="166" t="str">
        <f t="shared" si="8"/>
        <v/>
      </c>
      <c r="Q79" s="140"/>
      <c r="R79" s="139"/>
      <c r="S79" s="166" t="str">
        <f t="shared" si="9"/>
        <v/>
      </c>
      <c r="T79" s="1" t="str">
        <f t="shared" si="10"/>
        <v/>
      </c>
      <c r="U79" s="1" t="str">
        <f t="shared" si="11"/>
        <v/>
      </c>
      <c r="V79" s="166" t="str">
        <f t="shared" si="12"/>
        <v/>
      </c>
      <c r="W79" s="166" t="str">
        <f t="shared" si="13"/>
        <v/>
      </c>
      <c r="X79" s="139"/>
      <c r="Y79" s="139"/>
      <c r="Z79" s="139"/>
      <c r="AA79" s="138"/>
    </row>
    <row r="80" spans="2:27" ht="15" customHeight="1" x14ac:dyDescent="0.25">
      <c r="B80" s="138"/>
      <c r="C80" s="137"/>
      <c r="D80" s="166" t="str">
        <f t="shared" si="5"/>
        <v/>
      </c>
      <c r="E80" s="139"/>
      <c r="F80" s="139"/>
      <c r="G80" s="139"/>
      <c r="H80" s="166" t="str">
        <f t="shared" si="6"/>
        <v/>
      </c>
      <c r="I80" s="139"/>
      <c r="J80" s="139"/>
      <c r="K80" s="139"/>
      <c r="L80" s="139"/>
      <c r="M80" s="139"/>
      <c r="N80" s="139"/>
      <c r="O80" s="166" t="str">
        <f t="shared" si="7"/>
        <v/>
      </c>
      <c r="P80" s="166" t="str">
        <f t="shared" si="8"/>
        <v/>
      </c>
      <c r="Q80" s="140"/>
      <c r="R80" s="139"/>
      <c r="S80" s="166" t="str">
        <f t="shared" si="9"/>
        <v/>
      </c>
      <c r="T80" s="1" t="str">
        <f t="shared" si="10"/>
        <v/>
      </c>
      <c r="U80" s="1" t="str">
        <f t="shared" si="11"/>
        <v/>
      </c>
      <c r="V80" s="166" t="str">
        <f t="shared" si="12"/>
        <v/>
      </c>
      <c r="W80" s="166" t="str">
        <f t="shared" si="13"/>
        <v/>
      </c>
      <c r="X80" s="139"/>
      <c r="Y80" s="139"/>
      <c r="Z80" s="139"/>
      <c r="AA80" s="138"/>
    </row>
    <row r="81" spans="1:27" ht="15" customHeight="1" x14ac:dyDescent="0.25">
      <c r="B81" s="138"/>
      <c r="C81" s="137"/>
      <c r="D81" s="166" t="str">
        <f t="shared" si="5"/>
        <v/>
      </c>
      <c r="E81" s="139"/>
      <c r="F81" s="139"/>
      <c r="G81" s="139"/>
      <c r="H81" s="166" t="str">
        <f t="shared" si="6"/>
        <v/>
      </c>
      <c r="I81" s="139"/>
      <c r="J81" s="139"/>
      <c r="K81" s="139"/>
      <c r="L81" s="139"/>
      <c r="M81" s="139"/>
      <c r="N81" s="139"/>
      <c r="O81" s="166" t="str">
        <f t="shared" si="7"/>
        <v/>
      </c>
      <c r="P81" s="166" t="str">
        <f t="shared" si="8"/>
        <v/>
      </c>
      <c r="Q81" s="140"/>
      <c r="R81" s="139"/>
      <c r="S81" s="166" t="str">
        <f t="shared" si="9"/>
        <v/>
      </c>
      <c r="T81" s="1" t="str">
        <f t="shared" si="10"/>
        <v/>
      </c>
      <c r="U81" s="1" t="str">
        <f t="shared" si="11"/>
        <v/>
      </c>
      <c r="V81" s="166" t="str">
        <f t="shared" si="12"/>
        <v/>
      </c>
      <c r="W81" s="166" t="str">
        <f t="shared" si="13"/>
        <v/>
      </c>
      <c r="X81" s="139"/>
      <c r="Y81" s="139"/>
      <c r="Z81" s="139"/>
      <c r="AA81" s="138"/>
    </row>
    <row r="82" spans="1:27" ht="15" customHeight="1" x14ac:dyDescent="0.25">
      <c r="B82" s="138"/>
      <c r="C82" s="137"/>
      <c r="D82" s="166" t="str">
        <f t="shared" si="5"/>
        <v/>
      </c>
      <c r="E82" s="139"/>
      <c r="F82" s="139"/>
      <c r="G82" s="139"/>
      <c r="H82" s="166" t="str">
        <f t="shared" si="6"/>
        <v/>
      </c>
      <c r="I82" s="139"/>
      <c r="J82" s="139"/>
      <c r="K82" s="139"/>
      <c r="L82" s="139"/>
      <c r="M82" s="139"/>
      <c r="N82" s="139"/>
      <c r="O82" s="166" t="str">
        <f t="shared" si="7"/>
        <v/>
      </c>
      <c r="P82" s="166" t="str">
        <f t="shared" si="8"/>
        <v/>
      </c>
      <c r="Q82" s="140"/>
      <c r="R82" s="139"/>
      <c r="S82" s="166" t="str">
        <f t="shared" si="9"/>
        <v/>
      </c>
      <c r="T82" s="1" t="str">
        <f t="shared" si="10"/>
        <v/>
      </c>
      <c r="U82" s="1" t="str">
        <f t="shared" si="11"/>
        <v/>
      </c>
      <c r="V82" s="166" t="str">
        <f t="shared" si="12"/>
        <v/>
      </c>
      <c r="W82" s="166" t="str">
        <f t="shared" si="13"/>
        <v/>
      </c>
      <c r="X82" s="139"/>
      <c r="Y82" s="139"/>
      <c r="Z82" s="139"/>
      <c r="AA82" s="138"/>
    </row>
    <row r="84" spans="1:27" s="167" customFormat="1" ht="15" customHeight="1" x14ac:dyDescent="0.25">
      <c r="A84" s="7">
        <f ca="1">TODAY()</f>
        <v>44263</v>
      </c>
      <c r="B84" s="167" t="s">
        <v>59</v>
      </c>
      <c r="C84" s="167" t="s">
        <v>66</v>
      </c>
      <c r="D84" s="167" t="s">
        <v>67</v>
      </c>
      <c r="E84" s="401" t="s">
        <v>94</v>
      </c>
      <c r="F84" s="401"/>
      <c r="G84" s="401" t="s">
        <v>100</v>
      </c>
      <c r="H84" s="401"/>
      <c r="I84" s="401"/>
      <c r="J84" s="401"/>
      <c r="K84" s="401"/>
      <c r="Q84" s="9"/>
    </row>
    <row r="85" spans="1:27" ht="30" customHeight="1" x14ac:dyDescent="0.25">
      <c r="B85" s="138"/>
      <c r="C85" s="137"/>
      <c r="D85" s="166" t="str">
        <f>IF(B85&lt;&gt;0,ROUNDDOWN(($A$84-C85)/365.25,0),"")</f>
        <v/>
      </c>
      <c r="E85" s="400"/>
      <c r="F85" s="400"/>
      <c r="G85" s="400"/>
      <c r="H85" s="400"/>
      <c r="I85" s="400"/>
      <c r="J85" s="400"/>
      <c r="K85" s="400"/>
    </row>
    <row r="86" spans="1:27" ht="30" customHeight="1" x14ac:dyDescent="0.25">
      <c r="B86" s="138"/>
      <c r="C86" s="137"/>
      <c r="D86" s="166" t="str">
        <f t="shared" ref="D86:D92" si="14">IF(B86&lt;&gt;0,ROUNDDOWN(($A$84-C86)/365.25,0),"")</f>
        <v/>
      </c>
      <c r="E86" s="400"/>
      <c r="F86" s="400"/>
      <c r="G86" s="400"/>
      <c r="H86" s="400"/>
      <c r="I86" s="400"/>
      <c r="J86" s="400"/>
      <c r="K86" s="400"/>
    </row>
    <row r="87" spans="1:27" ht="30" customHeight="1" x14ac:dyDescent="0.25">
      <c r="B87" s="138"/>
      <c r="C87" s="137"/>
      <c r="D87" s="166" t="str">
        <f t="shared" si="14"/>
        <v/>
      </c>
      <c r="E87" s="400"/>
      <c r="F87" s="400"/>
      <c r="G87" s="400"/>
      <c r="H87" s="400"/>
      <c r="I87" s="400"/>
      <c r="J87" s="400"/>
      <c r="K87" s="400"/>
    </row>
    <row r="88" spans="1:27" ht="30" customHeight="1" x14ac:dyDescent="0.25">
      <c r="B88" s="138"/>
      <c r="C88" s="137"/>
      <c r="D88" s="166" t="str">
        <f t="shared" si="14"/>
        <v/>
      </c>
      <c r="E88" s="400"/>
      <c r="F88" s="400"/>
      <c r="G88" s="400"/>
      <c r="H88" s="400"/>
      <c r="I88" s="400"/>
      <c r="J88" s="400"/>
      <c r="K88" s="400"/>
    </row>
    <row r="89" spans="1:27" ht="30" customHeight="1" x14ac:dyDescent="0.25">
      <c r="B89" s="138"/>
      <c r="C89" s="137"/>
      <c r="D89" s="166" t="str">
        <f t="shared" si="14"/>
        <v/>
      </c>
      <c r="E89" s="400"/>
      <c r="F89" s="400"/>
      <c r="G89" s="400"/>
      <c r="H89" s="400"/>
      <c r="I89" s="400"/>
      <c r="J89" s="400"/>
      <c r="K89" s="400"/>
    </row>
    <row r="90" spans="1:27" ht="30" customHeight="1" x14ac:dyDescent="0.25">
      <c r="B90" s="138"/>
      <c r="C90" s="138"/>
      <c r="D90" s="166" t="str">
        <f t="shared" si="14"/>
        <v/>
      </c>
      <c r="E90" s="400"/>
      <c r="F90" s="400"/>
      <c r="G90" s="400"/>
      <c r="H90" s="400"/>
      <c r="I90" s="400"/>
      <c r="J90" s="400"/>
      <c r="K90" s="400"/>
    </row>
    <row r="91" spans="1:27" ht="30" customHeight="1" x14ac:dyDescent="0.25">
      <c r="B91" s="138"/>
      <c r="C91" s="138"/>
      <c r="D91" s="166" t="str">
        <f t="shared" si="14"/>
        <v/>
      </c>
      <c r="E91" s="400"/>
      <c r="F91" s="400"/>
      <c r="G91" s="400"/>
      <c r="H91" s="400"/>
      <c r="I91" s="400"/>
      <c r="J91" s="400"/>
      <c r="K91" s="400"/>
    </row>
    <row r="92" spans="1:27" ht="30" customHeight="1" x14ac:dyDescent="0.25">
      <c r="B92" s="138"/>
      <c r="C92" s="138"/>
      <c r="D92" s="166" t="str">
        <f t="shared" si="14"/>
        <v/>
      </c>
      <c r="E92" s="400"/>
      <c r="F92" s="400"/>
      <c r="G92" s="400"/>
      <c r="H92" s="400"/>
      <c r="I92" s="400"/>
      <c r="J92" s="400"/>
      <c r="K92" s="400"/>
    </row>
  </sheetData>
  <sheetProtection algorithmName="SHA-512" hashValue="Ea5V59AqfoUALqPJ2060fdn3KGxG4B9+SvK5iNaSaqWg9zcXYCt0dQ7YCOPa1E4w+le6xtm7aMQijq/xo0vqPQ==" saltValue="ixPIC0q6NEys6SVJcNh2Hw==" spinCount="100000" sheet="1" objects="1" scenarios="1" selectLockedCells="1"/>
  <sortState ref="B48:AA75">
    <sortCondition ref="U48:U75"/>
    <sortCondition ref="B48:B75"/>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49" priority="1" operator="containsText" text="ANO">
      <formula>NOT(ISERROR(SEARCH("ANO",P2)))</formula>
    </cfRule>
    <cfRule type="containsText" dxfId="4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topLeftCell="A16" workbookViewId="0">
      <selection activeCell="B41" sqref="B41"/>
    </sheetView>
  </sheetViews>
  <sheetFormatPr defaultRowHeight="15" x14ac:dyDescent="0.25"/>
  <cols>
    <col min="2" max="2" width="18.85546875" bestFit="1" customWidth="1"/>
  </cols>
  <sheetData>
    <row r="1" spans="1:6" x14ac:dyDescent="0.25">
      <c r="A1" s="401" t="s">
        <v>36</v>
      </c>
      <c r="B1" s="1" t="s">
        <v>536</v>
      </c>
      <c r="C1" s="212">
        <v>44</v>
      </c>
      <c r="D1" s="403" t="str">
        <f t="shared" ref="D1:D30" si="0">IFERROR(RIGHT(B1,LEN(B1)-SEARCH(" ",B1)),"")</f>
        <v>Mikuláš Krbec</v>
      </c>
      <c r="E1" s="403"/>
      <c r="F1" s="166"/>
    </row>
    <row r="2" spans="1:6" x14ac:dyDescent="0.25">
      <c r="A2" s="401"/>
      <c r="B2" s="1" t="s">
        <v>537</v>
      </c>
      <c r="C2" s="212">
        <v>38</v>
      </c>
      <c r="D2" s="403" t="str">
        <f t="shared" si="0"/>
        <v>Lukáš Ujhelyi</v>
      </c>
      <c r="E2" s="403"/>
      <c r="F2" s="166"/>
    </row>
    <row r="3" spans="1:6" x14ac:dyDescent="0.25">
      <c r="A3" s="401"/>
      <c r="B3" s="1" t="s">
        <v>542</v>
      </c>
      <c r="C3" s="212">
        <v>27</v>
      </c>
      <c r="D3" s="403" t="str">
        <f t="shared" si="0"/>
        <v>Jakub Kolstrunk</v>
      </c>
      <c r="E3" s="403"/>
      <c r="F3" s="166"/>
    </row>
    <row r="4" spans="1:6" x14ac:dyDescent="0.25">
      <c r="A4" s="401"/>
      <c r="B4" s="1" t="s">
        <v>543</v>
      </c>
      <c r="C4" s="212">
        <v>23</v>
      </c>
      <c r="D4" s="403" t="str">
        <f t="shared" si="0"/>
        <v>Matěj Čermák</v>
      </c>
      <c r="E4" s="403"/>
      <c r="F4" s="166"/>
    </row>
    <row r="5" spans="1:6" x14ac:dyDescent="0.25">
      <c r="A5" s="401"/>
      <c r="B5" s="1" t="s">
        <v>985</v>
      </c>
      <c r="C5" s="212">
        <v>23</v>
      </c>
      <c r="D5" s="403" t="str">
        <f t="shared" si="0"/>
        <v>Marek Zouzal</v>
      </c>
      <c r="E5" s="403"/>
      <c r="F5" s="166"/>
    </row>
    <row r="6" spans="1:6" x14ac:dyDescent="0.25">
      <c r="A6" s="401" t="s">
        <v>241</v>
      </c>
      <c r="B6" s="1" t="s">
        <v>538</v>
      </c>
      <c r="C6" s="212" t="s">
        <v>874</v>
      </c>
      <c r="D6" s="403" t="str">
        <f t="shared" si="0"/>
        <v>Martin Beneš</v>
      </c>
      <c r="E6" s="403"/>
      <c r="F6" s="166">
        <f t="shared" ref="F6:F10" si="1">IF(B6&lt;&gt;0,_xlfn.NUMBERVALUE(C6,","),"")</f>
        <v>5.07</v>
      </c>
    </row>
    <row r="7" spans="1:6" x14ac:dyDescent="0.25">
      <c r="A7" s="401"/>
      <c r="B7" s="1" t="s">
        <v>539</v>
      </c>
      <c r="C7" s="212" t="s">
        <v>329</v>
      </c>
      <c r="D7" s="403" t="str">
        <f t="shared" si="0"/>
        <v>Ondřej Pelech</v>
      </c>
      <c r="E7" s="403"/>
      <c r="F7" s="166">
        <f t="shared" si="1"/>
        <v>0</v>
      </c>
    </row>
    <row r="8" spans="1:6" x14ac:dyDescent="0.25">
      <c r="A8" s="401"/>
      <c r="B8" s="1" t="s">
        <v>540</v>
      </c>
      <c r="C8" s="212" t="s">
        <v>875</v>
      </c>
      <c r="D8" s="403" t="str">
        <f t="shared" si="0"/>
        <v>Patrik Zítka</v>
      </c>
      <c r="E8" s="403"/>
      <c r="F8" s="166">
        <f t="shared" si="1"/>
        <v>2.3199999999999998</v>
      </c>
    </row>
    <row r="9" spans="1:6" x14ac:dyDescent="0.25">
      <c r="A9" s="401"/>
      <c r="B9" s="1"/>
      <c r="C9" s="212"/>
      <c r="D9" s="403" t="str">
        <f t="shared" si="0"/>
        <v/>
      </c>
      <c r="E9" s="403"/>
      <c r="F9" s="166" t="str">
        <f t="shared" si="1"/>
        <v/>
      </c>
    </row>
    <row r="10" spans="1:6" x14ac:dyDescent="0.25">
      <c r="A10" s="401"/>
      <c r="B10" s="1"/>
      <c r="C10" s="212"/>
      <c r="D10" s="403" t="str">
        <f t="shared" si="0"/>
        <v/>
      </c>
      <c r="E10" s="403"/>
      <c r="F10" s="166" t="str">
        <f t="shared" si="1"/>
        <v/>
      </c>
    </row>
    <row r="11" spans="1:6" x14ac:dyDescent="0.25">
      <c r="A11" s="401" t="s">
        <v>35</v>
      </c>
      <c r="B11" s="1" t="s">
        <v>541</v>
      </c>
      <c r="C11" s="212">
        <v>24</v>
      </c>
      <c r="D11" s="403" t="str">
        <f t="shared" si="0"/>
        <v>Lukáš Ujhelyi</v>
      </c>
      <c r="E11" s="403"/>
      <c r="F11" s="166"/>
    </row>
    <row r="12" spans="1:6" x14ac:dyDescent="0.25">
      <c r="A12" s="401"/>
      <c r="B12" s="1" t="s">
        <v>946</v>
      </c>
      <c r="C12" s="212">
        <v>19</v>
      </c>
      <c r="D12" s="403" t="str">
        <f t="shared" si="0"/>
        <v>Jakub Kolstrunk</v>
      </c>
      <c r="E12" s="403"/>
      <c r="F12" s="166"/>
    </row>
    <row r="13" spans="1:6" x14ac:dyDescent="0.25">
      <c r="A13" s="401"/>
      <c r="B13" s="1" t="s">
        <v>947</v>
      </c>
      <c r="C13" s="212">
        <v>18</v>
      </c>
      <c r="D13" s="403" t="str">
        <f t="shared" si="0"/>
        <v>Mikuláš Krbec</v>
      </c>
      <c r="E13" s="403"/>
      <c r="F13" s="166"/>
    </row>
    <row r="14" spans="1:6" x14ac:dyDescent="0.25">
      <c r="A14" s="401"/>
      <c r="B14" s="1" t="s">
        <v>664</v>
      </c>
      <c r="C14" s="212">
        <v>16</v>
      </c>
      <c r="D14" s="403" t="str">
        <f t="shared" si="0"/>
        <v>Dominik Beneš</v>
      </c>
      <c r="E14" s="403"/>
      <c r="F14" s="166"/>
    </row>
    <row r="15" spans="1:6" x14ac:dyDescent="0.25">
      <c r="A15" s="401"/>
      <c r="B15" s="1" t="s">
        <v>665</v>
      </c>
      <c r="C15" s="212">
        <v>12</v>
      </c>
      <c r="D15" s="403" t="str">
        <f t="shared" si="0"/>
        <v>Matěj Čermák</v>
      </c>
      <c r="E15" s="403"/>
      <c r="F15" s="166"/>
    </row>
    <row r="16" spans="1:6" x14ac:dyDescent="0.25">
      <c r="A16" s="401" t="s">
        <v>230</v>
      </c>
      <c r="B16" s="1" t="s">
        <v>538</v>
      </c>
      <c r="C16" s="212">
        <v>16</v>
      </c>
      <c r="D16" s="403" t="str">
        <f t="shared" si="0"/>
        <v>Martin Beneš</v>
      </c>
      <c r="E16" s="403"/>
      <c r="F16" s="166">
        <f t="shared" ref="F16:F20" si="2">IF(B16&lt;&gt;0,_xlfn.NUMBERVALUE(C16,","),"")</f>
        <v>16</v>
      </c>
    </row>
    <row r="17" spans="1:6" x14ac:dyDescent="0.25">
      <c r="A17" s="401"/>
      <c r="B17" s="1" t="s">
        <v>544</v>
      </c>
      <c r="C17" s="212">
        <v>2</v>
      </c>
      <c r="D17" s="403" t="str">
        <f t="shared" si="0"/>
        <v>Patrik Zítka</v>
      </c>
      <c r="E17" s="403"/>
      <c r="F17" s="166">
        <f t="shared" si="2"/>
        <v>2</v>
      </c>
    </row>
    <row r="18" spans="1:6" x14ac:dyDescent="0.25">
      <c r="A18" s="401"/>
      <c r="B18" s="1" t="s">
        <v>545</v>
      </c>
      <c r="C18" s="212">
        <v>0</v>
      </c>
      <c r="D18" s="403" t="str">
        <f t="shared" si="0"/>
        <v>Ondřej Pelech</v>
      </c>
      <c r="E18" s="403"/>
      <c r="F18" s="166">
        <f t="shared" si="2"/>
        <v>0</v>
      </c>
    </row>
    <row r="19" spans="1:6" x14ac:dyDescent="0.25">
      <c r="A19" s="401"/>
      <c r="B19" s="1"/>
      <c r="C19" s="212"/>
      <c r="D19" s="403" t="str">
        <f t="shared" si="0"/>
        <v/>
      </c>
      <c r="E19" s="403"/>
      <c r="F19" s="166" t="str">
        <f t="shared" si="2"/>
        <v/>
      </c>
    </row>
    <row r="20" spans="1:6" x14ac:dyDescent="0.25">
      <c r="A20" s="401"/>
      <c r="B20" s="1"/>
      <c r="C20" s="212"/>
      <c r="D20" s="403" t="str">
        <f t="shared" si="0"/>
        <v/>
      </c>
      <c r="E20" s="403"/>
      <c r="F20" s="166" t="str">
        <f t="shared" si="2"/>
        <v/>
      </c>
    </row>
    <row r="21" spans="1:6" x14ac:dyDescent="0.25">
      <c r="A21" s="401" t="s">
        <v>37</v>
      </c>
      <c r="B21" s="1" t="s">
        <v>536</v>
      </c>
      <c r="C21" s="212">
        <v>26</v>
      </c>
      <c r="D21" s="403" t="str">
        <f t="shared" si="0"/>
        <v>Mikuláš Krbec</v>
      </c>
      <c r="E21" s="403"/>
      <c r="F21" s="166"/>
    </row>
    <row r="22" spans="1:6" x14ac:dyDescent="0.25">
      <c r="A22" s="401"/>
      <c r="B22" s="1" t="s">
        <v>537</v>
      </c>
      <c r="C22" s="212">
        <v>14</v>
      </c>
      <c r="D22" s="403" t="str">
        <f t="shared" si="0"/>
        <v>Lukáš Ujhelyi</v>
      </c>
      <c r="E22" s="403"/>
      <c r="F22" s="166"/>
    </row>
    <row r="23" spans="1:6" x14ac:dyDescent="0.25">
      <c r="A23" s="401"/>
      <c r="B23" s="1" t="s">
        <v>986</v>
      </c>
      <c r="C23" s="212">
        <v>14</v>
      </c>
      <c r="D23" s="403" t="str">
        <f t="shared" si="0"/>
        <v>Marek Zouzal</v>
      </c>
      <c r="E23" s="403"/>
      <c r="F23" s="166"/>
    </row>
    <row r="24" spans="1:6" x14ac:dyDescent="0.25">
      <c r="A24" s="401"/>
      <c r="B24" s="1" t="s">
        <v>543</v>
      </c>
      <c r="C24" s="212">
        <v>11</v>
      </c>
      <c r="D24" s="403" t="str">
        <f t="shared" si="0"/>
        <v>Matěj Čermák</v>
      </c>
      <c r="E24" s="403"/>
      <c r="F24" s="166"/>
    </row>
    <row r="25" spans="1:6" x14ac:dyDescent="0.25">
      <c r="A25" s="401"/>
      <c r="B25" s="1" t="s">
        <v>663</v>
      </c>
      <c r="C25" s="212">
        <v>11</v>
      </c>
      <c r="D25" s="403" t="str">
        <f t="shared" si="0"/>
        <v>Radim Křenek</v>
      </c>
      <c r="E25" s="403"/>
      <c r="F25" s="166"/>
    </row>
    <row r="26" spans="1:6" x14ac:dyDescent="0.25">
      <c r="A26" s="401" t="s">
        <v>38</v>
      </c>
      <c r="B26" s="1" t="s">
        <v>546</v>
      </c>
      <c r="C26" s="212">
        <v>30</v>
      </c>
      <c r="D26" s="403" t="str">
        <f t="shared" si="0"/>
        <v>Matěj Pruner</v>
      </c>
      <c r="E26" s="403"/>
      <c r="F26" s="166"/>
    </row>
    <row r="27" spans="1:6" x14ac:dyDescent="0.25">
      <c r="A27" s="401"/>
      <c r="B27" s="1" t="s">
        <v>987</v>
      </c>
      <c r="C27" s="212">
        <v>12</v>
      </c>
      <c r="D27" s="403" t="str">
        <f t="shared" si="0"/>
        <v>Michal Pažák</v>
      </c>
      <c r="E27" s="403"/>
      <c r="F27" s="166"/>
    </row>
    <row r="28" spans="1:6" x14ac:dyDescent="0.25">
      <c r="A28" s="401"/>
      <c r="B28" s="1" t="s">
        <v>988</v>
      </c>
      <c r="C28" s="212">
        <v>10</v>
      </c>
      <c r="D28" s="403" t="str">
        <f t="shared" si="0"/>
        <v>Kristián Kozák</v>
      </c>
      <c r="E28" s="403"/>
      <c r="F28" s="166"/>
    </row>
    <row r="29" spans="1:6" x14ac:dyDescent="0.25">
      <c r="A29" s="401"/>
      <c r="B29" s="1" t="s">
        <v>989</v>
      </c>
      <c r="C29" s="212">
        <v>8</v>
      </c>
      <c r="D29" s="403" t="str">
        <f t="shared" si="0"/>
        <v>Dominik Bartoš</v>
      </c>
      <c r="E29" s="403"/>
      <c r="F29" s="166"/>
    </row>
    <row r="30" spans="1:6" x14ac:dyDescent="0.25">
      <c r="A30" s="401"/>
      <c r="B30" s="1" t="s">
        <v>990</v>
      </c>
      <c r="C30" s="212">
        <v>8</v>
      </c>
      <c r="D30" s="403" t="str">
        <f t="shared" si="0"/>
        <v>Josef Juha</v>
      </c>
      <c r="E30" s="403"/>
      <c r="F30" s="166"/>
    </row>
    <row r="31" spans="1:6" x14ac:dyDescent="0.25">
      <c r="A31" s="401" t="s">
        <v>331</v>
      </c>
      <c r="B31" s="190" t="s">
        <v>959</v>
      </c>
      <c r="C31" s="190" t="s">
        <v>142</v>
      </c>
      <c r="D31" s="190" t="s">
        <v>944</v>
      </c>
      <c r="E31" s="178" t="str">
        <f>IFERROR(RIGHT(LEFT(D31,LEN(D31)-1),LEN(D31)-2),"")</f>
        <v>6:5p</v>
      </c>
    </row>
    <row r="32" spans="1:6" x14ac:dyDescent="0.25">
      <c r="A32" s="401"/>
      <c r="B32" s="190" t="s">
        <v>617</v>
      </c>
      <c r="C32" s="190" t="s">
        <v>29</v>
      </c>
      <c r="D32" s="190" t="s">
        <v>944</v>
      </c>
      <c r="E32" s="178" t="str">
        <f t="shared" ref="E32:E40" si="3">IFERROR(RIGHT(LEFT(D32,LEN(D32)-1),LEN(D32)-2),"")</f>
        <v>6:5p</v>
      </c>
    </row>
    <row r="33" spans="1:5" x14ac:dyDescent="0.25">
      <c r="A33" s="401"/>
      <c r="B33" s="190" t="s">
        <v>628</v>
      </c>
      <c r="C33" s="190" t="s">
        <v>147</v>
      </c>
      <c r="D33" s="190" t="s">
        <v>859</v>
      </c>
      <c r="E33" s="178" t="str">
        <f t="shared" si="3"/>
        <v>8:6</v>
      </c>
    </row>
    <row r="34" spans="1:5" x14ac:dyDescent="0.25">
      <c r="A34" s="401"/>
      <c r="B34" s="190" t="s">
        <v>635</v>
      </c>
      <c r="C34" s="190" t="s">
        <v>150</v>
      </c>
      <c r="D34" s="190" t="s">
        <v>945</v>
      </c>
      <c r="E34" s="178" t="str">
        <f t="shared" si="3"/>
        <v>1:6</v>
      </c>
    </row>
    <row r="35" spans="1:5" x14ac:dyDescent="0.25">
      <c r="A35" s="401"/>
      <c r="B35" s="190" t="s">
        <v>855</v>
      </c>
      <c r="C35" s="190" t="s">
        <v>150</v>
      </c>
      <c r="D35" s="190" t="s">
        <v>873</v>
      </c>
      <c r="E35" s="178" t="str">
        <f t="shared" si="3"/>
        <v>1:9</v>
      </c>
    </row>
    <row r="36" spans="1:5" x14ac:dyDescent="0.25">
      <c r="A36" s="401" t="s">
        <v>332</v>
      </c>
      <c r="B36" s="190" t="s">
        <v>897</v>
      </c>
      <c r="C36" s="190" t="s">
        <v>142</v>
      </c>
      <c r="D36" s="190" t="s">
        <v>335</v>
      </c>
      <c r="E36" s="178" t="str">
        <f t="shared" si="3"/>
        <v>-:-</v>
      </c>
    </row>
    <row r="37" spans="1:5" x14ac:dyDescent="0.25">
      <c r="A37" s="401"/>
      <c r="B37" s="190" t="s">
        <v>898</v>
      </c>
      <c r="C37" s="190" t="s">
        <v>142</v>
      </c>
      <c r="D37" s="190" t="s">
        <v>335</v>
      </c>
      <c r="E37" s="178" t="str">
        <f t="shared" si="3"/>
        <v>-:-</v>
      </c>
    </row>
    <row r="38" spans="1:5" x14ac:dyDescent="0.25">
      <c r="A38" s="401"/>
      <c r="B38" s="190" t="s">
        <v>900</v>
      </c>
      <c r="C38" s="190" t="s">
        <v>142</v>
      </c>
      <c r="D38" s="190" t="s">
        <v>335</v>
      </c>
      <c r="E38" s="178" t="str">
        <f t="shared" si="3"/>
        <v>-:-</v>
      </c>
    </row>
    <row r="39" spans="1:5" x14ac:dyDescent="0.25">
      <c r="A39" s="401"/>
      <c r="B39" s="190" t="s">
        <v>901</v>
      </c>
      <c r="C39" s="190" t="s">
        <v>142</v>
      </c>
      <c r="D39" s="190" t="s">
        <v>335</v>
      </c>
      <c r="E39" s="178" t="str">
        <f t="shared" si="3"/>
        <v>-:-</v>
      </c>
    </row>
    <row r="40" spans="1:5" x14ac:dyDescent="0.25">
      <c r="A40" s="401"/>
      <c r="B40" s="190" t="s">
        <v>914</v>
      </c>
      <c r="C40" s="190" t="s">
        <v>142</v>
      </c>
      <c r="D40" s="190" t="s">
        <v>335</v>
      </c>
      <c r="E40" s="178" t="str">
        <f t="shared" si="3"/>
        <v>-:-</v>
      </c>
    </row>
    <row r="41" spans="1:5" x14ac:dyDescent="0.25">
      <c r="A41" s="167" t="s">
        <v>333</v>
      </c>
      <c r="B41" s="207" t="s">
        <v>984</v>
      </c>
    </row>
  </sheetData>
  <sheetProtection algorithmName="SHA-512" hashValue="VQmfQdBwinkRQUvG8b/cAjKKL4Pw2S4kE5GNZAVfItpqwPkeUfngpONU5I/kv9TR3GBsbwkyAVgi4GVzstPdhw==" saltValue="xx2woHTxfnFMWd0e4QkalQ=="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0"/>
  <dimension ref="A1:AA92"/>
  <sheetViews>
    <sheetView topLeftCell="A28"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6" customWidth="1"/>
    <col min="15" max="15" width="22" style="196" bestFit="1" customWidth="1"/>
    <col min="16" max="16" width="9.140625" style="196" customWidth="1"/>
    <col min="17" max="17" width="23.140625" style="198" customWidth="1"/>
    <col min="18" max="18" width="9.140625" style="1" customWidth="1"/>
    <col min="19" max="19" width="12.5703125" style="196" bestFit="1" customWidth="1"/>
    <col min="20" max="20" width="11.85546875" style="1" bestFit="1" customWidth="1"/>
    <col min="21" max="23" width="9.140625" style="1"/>
    <col min="24" max="26" width="10.28515625" style="196" customWidth="1"/>
    <col min="27" max="27" width="10.28515625" style="205" customWidth="1"/>
    <col min="28" max="16384" width="9.140625" style="1"/>
  </cols>
  <sheetData>
    <row r="1" spans="1:27" s="197" customFormat="1" ht="15" customHeight="1" x14ac:dyDescent="0.25">
      <c r="A1" s="8" t="s">
        <v>58</v>
      </c>
      <c r="B1" s="197" t="s">
        <v>59</v>
      </c>
      <c r="D1" s="197" t="s">
        <v>60</v>
      </c>
      <c r="E1" s="197" t="s">
        <v>61</v>
      </c>
      <c r="F1" s="197" t="s">
        <v>35</v>
      </c>
      <c r="G1" s="197" t="s">
        <v>62</v>
      </c>
      <c r="H1" s="197" t="s">
        <v>63</v>
      </c>
      <c r="I1" s="197" t="s">
        <v>37</v>
      </c>
      <c r="J1" s="197" t="s">
        <v>36</v>
      </c>
      <c r="K1" s="197" t="s">
        <v>38</v>
      </c>
      <c r="L1" s="197" t="s">
        <v>64</v>
      </c>
      <c r="M1" s="197" t="s">
        <v>30</v>
      </c>
      <c r="N1" s="3" t="s">
        <v>65</v>
      </c>
      <c r="O1" s="197" t="s">
        <v>80</v>
      </c>
      <c r="P1" s="197" t="s">
        <v>439</v>
      </c>
      <c r="Q1" s="115" t="s">
        <v>47</v>
      </c>
      <c r="AA1" s="206"/>
    </row>
    <row r="2" spans="1:27" s="4" customFormat="1" x14ac:dyDescent="0.25">
      <c r="A2" s="53">
        <v>1</v>
      </c>
      <c r="B2" s="4" t="s">
        <v>703</v>
      </c>
      <c r="D2" s="5" t="s">
        <v>51</v>
      </c>
      <c r="E2" s="5">
        <v>25</v>
      </c>
      <c r="F2" s="5">
        <v>37</v>
      </c>
      <c r="G2" s="5">
        <v>6</v>
      </c>
      <c r="H2" s="5">
        <v>1</v>
      </c>
      <c r="I2" s="5">
        <v>22</v>
      </c>
      <c r="J2" s="5">
        <v>59</v>
      </c>
      <c r="K2" s="5">
        <v>14</v>
      </c>
      <c r="L2" s="5">
        <v>77</v>
      </c>
      <c r="M2" s="5">
        <v>81</v>
      </c>
      <c r="N2" s="5">
        <v>-4</v>
      </c>
      <c r="O2" s="19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59 (37+22), -4 ±</v>
      </c>
      <c r="P2" s="5" t="str">
        <f>IF(B2&lt;&gt;0,IF(IFERROR(VLOOKUP(B2,$B$48:$B$82,1,FALSE)=B2,FALSE),"ANO","NE"),"")</f>
        <v>ANO</v>
      </c>
      <c r="Q2" s="142"/>
      <c r="S2" s="5"/>
      <c r="X2" s="5"/>
      <c r="Y2" s="5"/>
      <c r="Z2" s="5"/>
      <c r="AA2" s="5"/>
    </row>
    <row r="3" spans="1:27" s="4" customFormat="1" x14ac:dyDescent="0.25">
      <c r="A3" s="53">
        <v>2</v>
      </c>
      <c r="B3" s="4" t="s">
        <v>704</v>
      </c>
      <c r="D3" s="5" t="s">
        <v>51</v>
      </c>
      <c r="E3" s="5">
        <v>26</v>
      </c>
      <c r="F3" s="5">
        <v>16</v>
      </c>
      <c r="G3" s="5">
        <v>0</v>
      </c>
      <c r="H3" s="5">
        <v>0</v>
      </c>
      <c r="I3" s="5">
        <v>20</v>
      </c>
      <c r="J3" s="5">
        <v>36</v>
      </c>
      <c r="K3" s="5">
        <v>4</v>
      </c>
      <c r="L3" s="5">
        <v>62</v>
      </c>
      <c r="M3" s="5">
        <v>84</v>
      </c>
      <c r="N3" s="5">
        <v>-22</v>
      </c>
      <c r="O3" s="19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36 (16+20), -22 ±</v>
      </c>
      <c r="P3" s="5" t="str">
        <f t="shared" ref="P3:P36" si="1">IF(B3&lt;&gt;0,IF(IFERROR(VLOOKUP(B3,$B$48:$B$82,1,FALSE)=B3,FALSE),"ANO","NE"),"")</f>
        <v>ANO</v>
      </c>
      <c r="Q3" s="142"/>
      <c r="S3" s="5"/>
      <c r="X3" s="5"/>
      <c r="Y3" s="5"/>
      <c r="Z3" s="5"/>
      <c r="AA3" s="5"/>
    </row>
    <row r="4" spans="1:27" s="4" customFormat="1" x14ac:dyDescent="0.25">
      <c r="A4" s="53">
        <v>3</v>
      </c>
      <c r="B4" s="4" t="s">
        <v>706</v>
      </c>
      <c r="D4" s="5" t="s">
        <v>48</v>
      </c>
      <c r="E4" s="5">
        <v>26</v>
      </c>
      <c r="F4" s="5">
        <v>8</v>
      </c>
      <c r="G4" s="5">
        <v>1</v>
      </c>
      <c r="H4" s="5">
        <v>0</v>
      </c>
      <c r="I4" s="5">
        <v>17</v>
      </c>
      <c r="J4" s="5">
        <v>25</v>
      </c>
      <c r="K4" s="5">
        <v>6</v>
      </c>
      <c r="L4" s="5">
        <v>61</v>
      </c>
      <c r="M4" s="5">
        <v>75</v>
      </c>
      <c r="N4" s="5">
        <v>-14</v>
      </c>
      <c r="O4" s="196" t="str">
        <f t="shared" si="0"/>
        <v>26 OZ , 25 (8+17), -14 ±</v>
      </c>
      <c r="P4" s="5" t="str">
        <f t="shared" si="1"/>
        <v>ANO</v>
      </c>
      <c r="Q4" s="142"/>
      <c r="S4" s="5"/>
      <c r="X4" s="5"/>
      <c r="Y4" s="5"/>
      <c r="Z4" s="5"/>
      <c r="AA4" s="5"/>
    </row>
    <row r="5" spans="1:27" s="4" customFormat="1" x14ac:dyDescent="0.25">
      <c r="A5" s="53">
        <v>4</v>
      </c>
      <c r="B5" s="4" t="s">
        <v>708</v>
      </c>
      <c r="D5" s="5" t="s">
        <v>48</v>
      </c>
      <c r="E5" s="5">
        <v>26</v>
      </c>
      <c r="F5" s="5">
        <v>7</v>
      </c>
      <c r="G5" s="5">
        <v>2</v>
      </c>
      <c r="H5" s="5">
        <v>0</v>
      </c>
      <c r="I5" s="5">
        <v>16</v>
      </c>
      <c r="J5" s="5">
        <v>23</v>
      </c>
      <c r="K5" s="5">
        <v>12</v>
      </c>
      <c r="L5" s="5">
        <v>54</v>
      </c>
      <c r="M5" s="5">
        <v>80</v>
      </c>
      <c r="N5" s="5">
        <v>-26</v>
      </c>
      <c r="O5" s="196" t="str">
        <f t="shared" si="0"/>
        <v>26 OZ , 23 (7+16), -26 ±</v>
      </c>
      <c r="P5" s="5" t="str">
        <f t="shared" si="1"/>
        <v>ANO</v>
      </c>
      <c r="Q5" s="142"/>
      <c r="S5" s="5"/>
      <c r="X5" s="5"/>
      <c r="Y5" s="5"/>
      <c r="Z5" s="5"/>
      <c r="AA5" s="5"/>
    </row>
    <row r="6" spans="1:27" x14ac:dyDescent="0.25">
      <c r="A6" s="54">
        <v>5</v>
      </c>
      <c r="B6" s="1" t="s">
        <v>707</v>
      </c>
      <c r="D6" s="212" t="s">
        <v>51</v>
      </c>
      <c r="E6" s="212">
        <v>26</v>
      </c>
      <c r="F6" s="212">
        <v>12</v>
      </c>
      <c r="G6" s="212">
        <v>1</v>
      </c>
      <c r="H6" s="212">
        <v>1</v>
      </c>
      <c r="I6" s="212">
        <v>10</v>
      </c>
      <c r="J6" s="212">
        <v>22</v>
      </c>
      <c r="K6" s="212">
        <v>36</v>
      </c>
      <c r="L6" s="212">
        <v>37</v>
      </c>
      <c r="M6" s="212">
        <v>69</v>
      </c>
      <c r="N6" s="212">
        <v>-32</v>
      </c>
      <c r="O6" s="196" t="str">
        <f t="shared" si="0"/>
        <v>26 OZ , 22 (12+10), -32 ±</v>
      </c>
      <c r="P6" s="5" t="str">
        <f t="shared" si="1"/>
        <v>ANO</v>
      </c>
    </row>
    <row r="7" spans="1:27" x14ac:dyDescent="0.25">
      <c r="A7" s="54">
        <v>6</v>
      </c>
      <c r="B7" s="1" t="s">
        <v>705</v>
      </c>
      <c r="D7" s="212"/>
      <c r="E7" s="212">
        <v>24</v>
      </c>
      <c r="F7" s="212">
        <v>14</v>
      </c>
      <c r="G7" s="212">
        <v>1</v>
      </c>
      <c r="H7" s="212">
        <v>0</v>
      </c>
      <c r="I7" s="212">
        <v>7</v>
      </c>
      <c r="J7" s="212">
        <v>21</v>
      </c>
      <c r="K7" s="212">
        <v>8</v>
      </c>
      <c r="L7" s="212">
        <v>53</v>
      </c>
      <c r="M7" s="212">
        <v>58</v>
      </c>
      <c r="N7" s="212">
        <v>-5</v>
      </c>
      <c r="O7" s="196" t="str">
        <f t="shared" si="0"/>
        <v>24 OZ , 21 (14+7), -5 ±</v>
      </c>
      <c r="P7" s="5" t="str">
        <f t="shared" si="1"/>
        <v>ANO</v>
      </c>
    </row>
    <row r="8" spans="1:27" x14ac:dyDescent="0.25">
      <c r="A8" s="54">
        <v>7</v>
      </c>
      <c r="B8" s="1" t="s">
        <v>712</v>
      </c>
      <c r="D8" s="212" t="s">
        <v>48</v>
      </c>
      <c r="E8" s="212">
        <v>26</v>
      </c>
      <c r="F8" s="212">
        <v>6</v>
      </c>
      <c r="G8" s="212">
        <v>0</v>
      </c>
      <c r="H8" s="212">
        <v>0</v>
      </c>
      <c r="I8" s="212">
        <v>7</v>
      </c>
      <c r="J8" s="212">
        <v>13</v>
      </c>
      <c r="K8" s="212">
        <v>8</v>
      </c>
      <c r="L8" s="212">
        <v>52</v>
      </c>
      <c r="M8" s="212">
        <v>68</v>
      </c>
      <c r="N8" s="212">
        <v>-16</v>
      </c>
      <c r="O8" s="196" t="str">
        <f t="shared" si="0"/>
        <v>26 OZ , 13 (6+7), -16 ±</v>
      </c>
      <c r="P8" s="5" t="str">
        <f t="shared" si="1"/>
        <v>ANO</v>
      </c>
    </row>
    <row r="9" spans="1:27" x14ac:dyDescent="0.25">
      <c r="A9" s="54">
        <v>8</v>
      </c>
      <c r="B9" s="1" t="s">
        <v>709</v>
      </c>
      <c r="D9" s="212" t="s">
        <v>51</v>
      </c>
      <c r="E9" s="212">
        <v>22</v>
      </c>
      <c r="F9" s="212">
        <v>4</v>
      </c>
      <c r="G9" s="212">
        <v>0</v>
      </c>
      <c r="H9" s="212">
        <v>0</v>
      </c>
      <c r="I9" s="212">
        <v>7</v>
      </c>
      <c r="J9" s="212">
        <v>11</v>
      </c>
      <c r="K9" s="212">
        <v>4</v>
      </c>
      <c r="L9" s="212">
        <v>14</v>
      </c>
      <c r="M9" s="212">
        <v>25</v>
      </c>
      <c r="N9" s="212">
        <v>-11</v>
      </c>
      <c r="O9" s="196" t="str">
        <f t="shared" si="0"/>
        <v>22 OZ , 11 (4+7), -11 ±</v>
      </c>
      <c r="P9" s="5" t="str">
        <f t="shared" si="1"/>
        <v>ANO</v>
      </c>
    </row>
    <row r="10" spans="1:27" x14ac:dyDescent="0.25">
      <c r="A10" s="54">
        <v>9</v>
      </c>
      <c r="B10" s="1" t="s">
        <v>710</v>
      </c>
      <c r="D10" s="212"/>
      <c r="E10" s="212">
        <v>17</v>
      </c>
      <c r="F10" s="212">
        <v>6</v>
      </c>
      <c r="G10" s="212">
        <v>0</v>
      </c>
      <c r="H10" s="212">
        <v>0</v>
      </c>
      <c r="I10" s="212">
        <v>4</v>
      </c>
      <c r="J10" s="212">
        <v>10</v>
      </c>
      <c r="K10" s="212">
        <v>0</v>
      </c>
      <c r="L10" s="212">
        <v>11</v>
      </c>
      <c r="M10" s="212">
        <v>27</v>
      </c>
      <c r="N10" s="212">
        <v>-16</v>
      </c>
      <c r="O10" s="196" t="str">
        <f t="shared" si="0"/>
        <v>17 OZ , 10 (6+4), -16 ±</v>
      </c>
      <c r="P10" s="5" t="str">
        <f t="shared" si="1"/>
        <v>ANO</v>
      </c>
    </row>
    <row r="11" spans="1:27" x14ac:dyDescent="0.25">
      <c r="A11" s="54">
        <v>10</v>
      </c>
      <c r="B11" s="1" t="s">
        <v>713</v>
      </c>
      <c r="D11" s="212" t="s">
        <v>51</v>
      </c>
      <c r="E11" s="212">
        <v>21</v>
      </c>
      <c r="F11" s="212">
        <v>2</v>
      </c>
      <c r="G11" s="212">
        <v>0</v>
      </c>
      <c r="H11" s="212">
        <v>0</v>
      </c>
      <c r="I11" s="212">
        <v>8</v>
      </c>
      <c r="J11" s="212">
        <v>10</v>
      </c>
      <c r="K11" s="212">
        <v>0</v>
      </c>
      <c r="L11" s="212">
        <v>24</v>
      </c>
      <c r="M11" s="212">
        <v>34</v>
      </c>
      <c r="N11" s="212">
        <v>-10</v>
      </c>
      <c r="O11" s="196" t="str">
        <f t="shared" si="0"/>
        <v>21 OZ , 10 (2+8), -10 ±</v>
      </c>
      <c r="P11" s="5" t="str">
        <f t="shared" si="1"/>
        <v>ANO</v>
      </c>
    </row>
    <row r="12" spans="1:27" x14ac:dyDescent="0.25">
      <c r="A12" s="54">
        <v>11</v>
      </c>
      <c r="B12" s="1" t="s">
        <v>711</v>
      </c>
      <c r="D12" s="212" t="s">
        <v>51</v>
      </c>
      <c r="E12" s="212">
        <v>12</v>
      </c>
      <c r="F12" s="212">
        <v>5</v>
      </c>
      <c r="G12" s="212">
        <v>0</v>
      </c>
      <c r="H12" s="212">
        <v>0</v>
      </c>
      <c r="I12" s="212">
        <v>3</v>
      </c>
      <c r="J12" s="212">
        <v>8</v>
      </c>
      <c r="K12" s="212">
        <v>2</v>
      </c>
      <c r="L12" s="212">
        <v>17</v>
      </c>
      <c r="M12" s="212">
        <v>17</v>
      </c>
      <c r="N12" s="212">
        <v>0</v>
      </c>
      <c r="O12" s="196" t="str">
        <f t="shared" si="0"/>
        <v>12 OZ , 8 (5+3), 0 ±</v>
      </c>
      <c r="P12" s="5" t="str">
        <f t="shared" si="1"/>
        <v>ANO</v>
      </c>
    </row>
    <row r="13" spans="1:27" x14ac:dyDescent="0.25">
      <c r="A13" s="54">
        <v>12</v>
      </c>
      <c r="B13" s="1" t="s">
        <v>714</v>
      </c>
      <c r="D13" s="212" t="s">
        <v>51</v>
      </c>
      <c r="E13" s="212">
        <v>26</v>
      </c>
      <c r="F13" s="212">
        <v>5</v>
      </c>
      <c r="G13" s="212">
        <v>0</v>
      </c>
      <c r="H13" s="212">
        <v>0</v>
      </c>
      <c r="I13" s="212">
        <v>3</v>
      </c>
      <c r="J13" s="212">
        <v>8</v>
      </c>
      <c r="K13" s="212">
        <v>2</v>
      </c>
      <c r="L13" s="212">
        <v>18</v>
      </c>
      <c r="M13" s="212">
        <v>36</v>
      </c>
      <c r="N13" s="212">
        <v>-18</v>
      </c>
      <c r="O13" s="196" t="str">
        <f t="shared" si="0"/>
        <v>26 OZ , 8 (5+3), -18 ±</v>
      </c>
      <c r="P13" s="5" t="str">
        <f t="shared" si="1"/>
        <v>ANO</v>
      </c>
    </row>
    <row r="14" spans="1:27" x14ac:dyDescent="0.25">
      <c r="A14" s="54">
        <v>13</v>
      </c>
      <c r="B14" s="1" t="s">
        <v>304</v>
      </c>
      <c r="D14" s="212" t="s">
        <v>48</v>
      </c>
      <c r="E14" s="212">
        <v>8</v>
      </c>
      <c r="F14" s="212">
        <v>6</v>
      </c>
      <c r="G14" s="212">
        <v>0</v>
      </c>
      <c r="H14" s="212">
        <v>0</v>
      </c>
      <c r="I14" s="212">
        <v>1</v>
      </c>
      <c r="J14" s="212">
        <v>7</v>
      </c>
      <c r="K14" s="212">
        <v>4</v>
      </c>
      <c r="L14" s="212">
        <v>13</v>
      </c>
      <c r="M14" s="212">
        <v>19</v>
      </c>
      <c r="N14" s="212">
        <v>-6</v>
      </c>
      <c r="O14" s="196" t="str">
        <f t="shared" si="0"/>
        <v>14 OZ , 10 (8+2), -2 ±</v>
      </c>
      <c r="P14" s="5" t="str">
        <f t="shared" si="1"/>
        <v>ANO</v>
      </c>
    </row>
    <row r="15" spans="1:27" x14ac:dyDescent="0.25">
      <c r="A15" s="54">
        <v>14</v>
      </c>
      <c r="B15" s="1" t="s">
        <v>720</v>
      </c>
      <c r="D15" s="212"/>
      <c r="E15" s="212">
        <v>7</v>
      </c>
      <c r="F15" s="212">
        <v>5</v>
      </c>
      <c r="G15" s="212">
        <v>0</v>
      </c>
      <c r="H15" s="212">
        <v>0</v>
      </c>
      <c r="I15" s="212">
        <v>2</v>
      </c>
      <c r="J15" s="212">
        <v>7</v>
      </c>
      <c r="K15" s="212">
        <v>4</v>
      </c>
      <c r="L15" s="212">
        <v>12</v>
      </c>
      <c r="M15" s="212">
        <v>15</v>
      </c>
      <c r="N15" s="212">
        <v>-3</v>
      </c>
      <c r="O15" s="196" t="str">
        <f t="shared" si="0"/>
        <v>7 OZ , 7 (5+2), -3 ±</v>
      </c>
      <c r="P15" s="5" t="str">
        <f t="shared" si="1"/>
        <v>ANO</v>
      </c>
    </row>
    <row r="16" spans="1:27" x14ac:dyDescent="0.25">
      <c r="A16" s="54">
        <v>15</v>
      </c>
      <c r="B16" s="1" t="s">
        <v>715</v>
      </c>
      <c r="D16" s="212" t="s">
        <v>48</v>
      </c>
      <c r="E16" s="212">
        <v>15</v>
      </c>
      <c r="F16" s="212">
        <v>1</v>
      </c>
      <c r="G16" s="212">
        <v>0</v>
      </c>
      <c r="H16" s="212">
        <v>0</v>
      </c>
      <c r="I16" s="212">
        <v>4</v>
      </c>
      <c r="J16" s="212">
        <v>5</v>
      </c>
      <c r="K16" s="212">
        <v>8</v>
      </c>
      <c r="L16" s="212">
        <v>23</v>
      </c>
      <c r="M16" s="212">
        <v>31</v>
      </c>
      <c r="N16" s="212">
        <v>-8</v>
      </c>
      <c r="O16" s="196" t="str">
        <f t="shared" si="0"/>
        <v>15 OZ , 5 (1+4), -8 ±</v>
      </c>
      <c r="P16" s="5" t="str">
        <f t="shared" si="1"/>
        <v>ANO</v>
      </c>
    </row>
    <row r="17" spans="1:16" x14ac:dyDescent="0.25">
      <c r="A17" s="54">
        <v>16</v>
      </c>
      <c r="B17" s="1" t="s">
        <v>717</v>
      </c>
      <c r="D17" s="212"/>
      <c r="E17" s="212">
        <v>12</v>
      </c>
      <c r="F17" s="212">
        <v>3</v>
      </c>
      <c r="G17" s="212">
        <v>0</v>
      </c>
      <c r="H17" s="212">
        <v>0</v>
      </c>
      <c r="I17" s="212">
        <v>1</v>
      </c>
      <c r="J17" s="212">
        <v>4</v>
      </c>
      <c r="K17" s="212">
        <v>0</v>
      </c>
      <c r="L17" s="212">
        <v>6</v>
      </c>
      <c r="M17" s="212">
        <v>17</v>
      </c>
      <c r="N17" s="212">
        <v>-11</v>
      </c>
      <c r="O17" s="196" t="str">
        <f t="shared" si="0"/>
        <v>12 OZ , 4 (3+1), -11 ±</v>
      </c>
      <c r="P17" s="5" t="str">
        <f t="shared" si="1"/>
        <v>ANO</v>
      </c>
    </row>
    <row r="18" spans="1:16" x14ac:dyDescent="0.25">
      <c r="A18" s="54">
        <v>17</v>
      </c>
      <c r="B18" s="1" t="s">
        <v>716</v>
      </c>
      <c r="D18" s="212"/>
      <c r="E18" s="212">
        <v>5</v>
      </c>
      <c r="F18" s="212">
        <v>2</v>
      </c>
      <c r="G18" s="212">
        <v>0</v>
      </c>
      <c r="H18" s="212">
        <v>0</v>
      </c>
      <c r="I18" s="212">
        <v>1</v>
      </c>
      <c r="J18" s="212">
        <v>3</v>
      </c>
      <c r="K18" s="212">
        <v>4</v>
      </c>
      <c r="L18" s="212">
        <v>10</v>
      </c>
      <c r="M18" s="212">
        <v>18</v>
      </c>
      <c r="N18" s="212">
        <v>-8</v>
      </c>
      <c r="O18" s="196" t="str">
        <f t="shared" si="0"/>
        <v>5 OZ , 3 (2+1), -8 ±</v>
      </c>
      <c r="P18" s="5" t="str">
        <f t="shared" si="1"/>
        <v>ANO</v>
      </c>
    </row>
    <row r="19" spans="1:16" x14ac:dyDescent="0.25">
      <c r="A19" s="54">
        <v>18</v>
      </c>
      <c r="B19" s="1" t="s">
        <v>718</v>
      </c>
      <c r="D19" s="212" t="s">
        <v>48</v>
      </c>
      <c r="E19" s="212">
        <v>21</v>
      </c>
      <c r="F19" s="212">
        <v>2</v>
      </c>
      <c r="G19" s="212">
        <v>0</v>
      </c>
      <c r="H19" s="212">
        <v>0</v>
      </c>
      <c r="I19" s="212">
        <v>0</v>
      </c>
      <c r="J19" s="212">
        <v>2</v>
      </c>
      <c r="K19" s="212">
        <v>6</v>
      </c>
      <c r="L19" s="212">
        <v>12</v>
      </c>
      <c r="M19" s="212">
        <v>29</v>
      </c>
      <c r="N19" s="212">
        <v>-17</v>
      </c>
      <c r="O19" s="196" t="str">
        <f t="shared" si="0"/>
        <v>21 OZ , 2 (2+0), -17 ±</v>
      </c>
      <c r="P19" s="5" t="str">
        <f t="shared" si="1"/>
        <v>ANO</v>
      </c>
    </row>
    <row r="20" spans="1:16" x14ac:dyDescent="0.25">
      <c r="A20" s="54">
        <v>19</v>
      </c>
      <c r="B20" s="1" t="s">
        <v>719</v>
      </c>
      <c r="D20" s="212"/>
      <c r="E20" s="212">
        <v>4</v>
      </c>
      <c r="F20" s="212">
        <v>1</v>
      </c>
      <c r="G20" s="212">
        <v>0</v>
      </c>
      <c r="H20" s="212">
        <v>0</v>
      </c>
      <c r="I20" s="212">
        <v>1</v>
      </c>
      <c r="J20" s="212">
        <v>2</v>
      </c>
      <c r="K20" s="212">
        <v>0</v>
      </c>
      <c r="L20" s="212">
        <v>13</v>
      </c>
      <c r="M20" s="212">
        <v>8</v>
      </c>
      <c r="N20" s="212">
        <v>5</v>
      </c>
      <c r="O20" s="196" t="str">
        <f t="shared" si="0"/>
        <v>4 OZ , 2 (1+1), +5 ±</v>
      </c>
      <c r="P20" s="5" t="str">
        <f t="shared" si="1"/>
        <v>ANO</v>
      </c>
    </row>
    <row r="21" spans="1:16" x14ac:dyDescent="0.25">
      <c r="A21" s="54">
        <v>20</v>
      </c>
      <c r="B21" s="1" t="s">
        <v>721</v>
      </c>
      <c r="D21" s="212" t="s">
        <v>51</v>
      </c>
      <c r="E21" s="212">
        <v>2</v>
      </c>
      <c r="F21" s="212">
        <v>1</v>
      </c>
      <c r="G21" s="212">
        <v>0</v>
      </c>
      <c r="H21" s="212">
        <v>0</v>
      </c>
      <c r="I21" s="212">
        <v>0</v>
      </c>
      <c r="J21" s="212">
        <v>1</v>
      </c>
      <c r="K21" s="212">
        <v>0</v>
      </c>
      <c r="L21" s="212">
        <v>2</v>
      </c>
      <c r="M21" s="212">
        <v>2</v>
      </c>
      <c r="N21" s="212">
        <v>0</v>
      </c>
      <c r="O21" s="196" t="str">
        <f t="shared" si="0"/>
        <v>2 OZ , 1 (1+0), 0 ±</v>
      </c>
      <c r="P21" s="5" t="str">
        <f t="shared" si="1"/>
        <v>ANO</v>
      </c>
    </row>
    <row r="22" spans="1:16" x14ac:dyDescent="0.25">
      <c r="A22" s="54">
        <v>21</v>
      </c>
      <c r="B22" s="1" t="s">
        <v>722</v>
      </c>
      <c r="D22" s="212"/>
      <c r="E22" s="212">
        <v>3</v>
      </c>
      <c r="F22" s="212">
        <v>1</v>
      </c>
      <c r="G22" s="212">
        <v>0</v>
      </c>
      <c r="H22" s="212">
        <v>0</v>
      </c>
      <c r="I22" s="212">
        <v>0</v>
      </c>
      <c r="J22" s="212">
        <v>1</v>
      </c>
      <c r="K22" s="212">
        <v>0</v>
      </c>
      <c r="L22" s="212">
        <v>1</v>
      </c>
      <c r="M22" s="212">
        <v>3</v>
      </c>
      <c r="N22" s="212">
        <v>-2</v>
      </c>
      <c r="O22" s="196" t="str">
        <f t="shared" si="0"/>
        <v>3 OZ , 1 (1+0), -2 ±</v>
      </c>
      <c r="P22" s="5" t="str">
        <f t="shared" si="1"/>
        <v>ANO</v>
      </c>
    </row>
    <row r="23" spans="1:16" x14ac:dyDescent="0.25">
      <c r="A23" s="54">
        <v>22</v>
      </c>
      <c r="B23" s="1" t="s">
        <v>723</v>
      </c>
      <c r="D23" s="212"/>
      <c r="E23" s="212">
        <v>3</v>
      </c>
      <c r="F23" s="212">
        <v>1</v>
      </c>
      <c r="G23" s="212">
        <v>0</v>
      </c>
      <c r="H23" s="212">
        <v>0</v>
      </c>
      <c r="I23" s="212">
        <v>0</v>
      </c>
      <c r="J23" s="212">
        <v>1</v>
      </c>
      <c r="K23" s="212">
        <v>0</v>
      </c>
      <c r="L23" s="212">
        <v>3</v>
      </c>
      <c r="M23" s="212">
        <v>3</v>
      </c>
      <c r="N23" s="212">
        <v>0</v>
      </c>
      <c r="O23" s="196" t="str">
        <f t="shared" si="0"/>
        <v>3 OZ , 1 (1+0), 0 ±</v>
      </c>
      <c r="P23" s="5" t="str">
        <f t="shared" si="1"/>
        <v>ANO</v>
      </c>
    </row>
    <row r="24" spans="1:16" x14ac:dyDescent="0.25">
      <c r="A24" s="53">
        <v>23</v>
      </c>
      <c r="B24" s="4" t="s">
        <v>724</v>
      </c>
      <c r="C24" s="4"/>
      <c r="D24" s="5"/>
      <c r="E24" s="5">
        <v>5</v>
      </c>
      <c r="F24" s="5">
        <v>1</v>
      </c>
      <c r="G24" s="5">
        <v>0</v>
      </c>
      <c r="H24" s="5">
        <v>0</v>
      </c>
      <c r="I24" s="5">
        <v>0</v>
      </c>
      <c r="J24" s="5">
        <v>1</v>
      </c>
      <c r="K24" s="5">
        <v>0</v>
      </c>
      <c r="L24" s="5">
        <v>2</v>
      </c>
      <c r="M24" s="5">
        <v>5</v>
      </c>
      <c r="N24" s="5">
        <v>-3</v>
      </c>
      <c r="O24" s="196" t="str">
        <f t="shared" si="0"/>
        <v>5 OZ , 1 (1+0), -3 ±</v>
      </c>
      <c r="P24" s="5" t="str">
        <f t="shared" si="1"/>
        <v>ANO</v>
      </c>
    </row>
    <row r="25" spans="1:16" x14ac:dyDescent="0.25">
      <c r="A25" s="53">
        <v>24</v>
      </c>
      <c r="B25" s="4" t="s">
        <v>314</v>
      </c>
      <c r="C25" s="4"/>
      <c r="D25" s="5"/>
      <c r="E25" s="5">
        <v>5</v>
      </c>
      <c r="F25" s="5">
        <v>1</v>
      </c>
      <c r="G25" s="5">
        <v>0</v>
      </c>
      <c r="H25" s="5">
        <v>0</v>
      </c>
      <c r="I25" s="5">
        <v>0</v>
      </c>
      <c r="J25" s="5">
        <v>1</v>
      </c>
      <c r="K25" s="5">
        <v>0</v>
      </c>
      <c r="L25" s="5">
        <v>6</v>
      </c>
      <c r="M25" s="5">
        <v>7</v>
      </c>
      <c r="N25" s="5">
        <v>-1</v>
      </c>
      <c r="O25" s="196" t="str">
        <f t="shared" si="0"/>
        <v>11 OZ , 1 (1+0), -1 ±</v>
      </c>
      <c r="P25" s="5" t="str">
        <f t="shared" si="1"/>
        <v>ANO</v>
      </c>
    </row>
    <row r="26" spans="1:16" x14ac:dyDescent="0.25">
      <c r="A26" s="53">
        <v>25</v>
      </c>
      <c r="B26" s="4" t="s">
        <v>725</v>
      </c>
      <c r="C26" s="4"/>
      <c r="D26" s="5" t="s">
        <v>48</v>
      </c>
      <c r="E26" s="5">
        <v>7</v>
      </c>
      <c r="F26" s="5">
        <v>1</v>
      </c>
      <c r="G26" s="5">
        <v>0</v>
      </c>
      <c r="H26" s="5">
        <v>0</v>
      </c>
      <c r="I26" s="5">
        <v>0</v>
      </c>
      <c r="J26" s="5">
        <v>1</v>
      </c>
      <c r="K26" s="5">
        <v>0</v>
      </c>
      <c r="L26" s="5">
        <v>8</v>
      </c>
      <c r="M26" s="5">
        <v>15</v>
      </c>
      <c r="N26" s="5">
        <v>-7</v>
      </c>
      <c r="O26" s="196" t="str">
        <f t="shared" si="0"/>
        <v>7 OZ , 1 (1+0), -7 ±</v>
      </c>
      <c r="P26" s="5" t="str">
        <f t="shared" si="1"/>
        <v>ANO</v>
      </c>
    </row>
    <row r="27" spans="1:16" x14ac:dyDescent="0.25">
      <c r="A27" s="53">
        <v>26</v>
      </c>
      <c r="B27" s="4" t="s">
        <v>726</v>
      </c>
      <c r="C27" s="4"/>
      <c r="D27" s="5"/>
      <c r="E27" s="5">
        <v>10</v>
      </c>
      <c r="F27" s="5">
        <v>1</v>
      </c>
      <c r="G27" s="5">
        <v>0</v>
      </c>
      <c r="H27" s="5">
        <v>0</v>
      </c>
      <c r="I27" s="5">
        <v>0</v>
      </c>
      <c r="J27" s="5">
        <v>1</v>
      </c>
      <c r="K27" s="5">
        <v>0</v>
      </c>
      <c r="L27" s="5">
        <v>4</v>
      </c>
      <c r="M27" s="5">
        <v>9</v>
      </c>
      <c r="N27" s="5">
        <v>-5</v>
      </c>
      <c r="O27" s="196" t="str">
        <f t="shared" si="0"/>
        <v>10 OZ , 1 (1+0), -5 ±</v>
      </c>
      <c r="P27" s="5" t="str">
        <f t="shared" si="1"/>
        <v>ANO</v>
      </c>
    </row>
    <row r="28" spans="1:16" x14ac:dyDescent="0.25">
      <c r="A28" s="53">
        <v>27</v>
      </c>
      <c r="B28" s="4" t="s">
        <v>730</v>
      </c>
      <c r="C28" s="4"/>
      <c r="D28" s="5"/>
      <c r="E28" s="5">
        <v>6</v>
      </c>
      <c r="F28" s="5">
        <v>0</v>
      </c>
      <c r="G28" s="5">
        <v>0</v>
      </c>
      <c r="H28" s="5">
        <v>0</v>
      </c>
      <c r="I28" s="5">
        <v>1</v>
      </c>
      <c r="J28" s="5">
        <v>1</v>
      </c>
      <c r="K28" s="5">
        <v>0</v>
      </c>
      <c r="L28" s="5">
        <v>3</v>
      </c>
      <c r="M28" s="5">
        <v>6</v>
      </c>
      <c r="N28" s="5">
        <v>-3</v>
      </c>
      <c r="O28" s="196" t="str">
        <f t="shared" si="0"/>
        <v>6 OZ , 1 (0+1), -3 ±</v>
      </c>
      <c r="P28" s="5" t="str">
        <f t="shared" si="1"/>
        <v>ANO</v>
      </c>
    </row>
    <row r="29" spans="1:16" ht="15" customHeight="1" x14ac:dyDescent="0.25">
      <c r="A29" s="53">
        <v>28</v>
      </c>
      <c r="B29" s="4" t="s">
        <v>734</v>
      </c>
      <c r="C29" s="4"/>
      <c r="D29" s="5" t="s">
        <v>35</v>
      </c>
      <c r="E29" s="5">
        <v>0</v>
      </c>
      <c r="F29" s="5">
        <v>0</v>
      </c>
      <c r="G29" s="5">
        <v>0</v>
      </c>
      <c r="H29" s="5">
        <v>0</v>
      </c>
      <c r="I29" s="5">
        <v>1</v>
      </c>
      <c r="J29" s="5">
        <v>1</v>
      </c>
      <c r="K29" s="5">
        <v>0</v>
      </c>
      <c r="L29" s="5">
        <v>0</v>
      </c>
      <c r="M29" s="5">
        <v>0</v>
      </c>
      <c r="N29" s="5">
        <v>0</v>
      </c>
      <c r="O29" s="196" t="str">
        <f t="shared" si="0"/>
        <v>0 OZ , 1 (0+1), 0 ±</v>
      </c>
      <c r="P29" s="5" t="str">
        <f t="shared" si="1"/>
        <v>ANO</v>
      </c>
    </row>
    <row r="30" spans="1:16" x14ac:dyDescent="0.25">
      <c r="A30" s="54">
        <v>29</v>
      </c>
      <c r="B30" s="1" t="s">
        <v>991</v>
      </c>
      <c r="D30" s="212"/>
      <c r="E30" s="212">
        <v>1</v>
      </c>
      <c r="F30" s="212">
        <v>0</v>
      </c>
      <c r="G30" s="212">
        <v>0</v>
      </c>
      <c r="H30" s="212">
        <v>0</v>
      </c>
      <c r="I30" s="212">
        <v>0</v>
      </c>
      <c r="J30" s="212">
        <v>0</v>
      </c>
      <c r="K30" s="212">
        <v>0</v>
      </c>
      <c r="L30" s="212">
        <v>0</v>
      </c>
      <c r="M30" s="212">
        <v>0</v>
      </c>
      <c r="N30" s="212">
        <v>0</v>
      </c>
      <c r="O30" s="196" t="e">
        <f t="shared" si="0"/>
        <v>#VALUE!</v>
      </c>
      <c r="P30" s="5" t="str">
        <f t="shared" si="1"/>
        <v>NE</v>
      </c>
    </row>
    <row r="31" spans="1:16" x14ac:dyDescent="0.25">
      <c r="A31" s="54">
        <v>30</v>
      </c>
      <c r="B31" s="1" t="s">
        <v>727</v>
      </c>
      <c r="D31" s="212" t="s">
        <v>51</v>
      </c>
      <c r="E31" s="212">
        <v>1</v>
      </c>
      <c r="F31" s="212">
        <v>0</v>
      </c>
      <c r="G31" s="212">
        <v>0</v>
      </c>
      <c r="H31" s="212">
        <v>0</v>
      </c>
      <c r="I31" s="212">
        <v>0</v>
      </c>
      <c r="J31" s="212">
        <v>0</v>
      </c>
      <c r="K31" s="212">
        <v>0</v>
      </c>
      <c r="L31" s="212">
        <v>1</v>
      </c>
      <c r="M31" s="212">
        <v>3</v>
      </c>
      <c r="N31" s="212">
        <v>-2</v>
      </c>
      <c r="O31" s="196" t="str">
        <f t="shared" si="0"/>
        <v>1 OZ , 0 (0+0), -2 ±</v>
      </c>
      <c r="P31" s="5" t="str">
        <f t="shared" si="1"/>
        <v>ANO</v>
      </c>
    </row>
    <row r="32" spans="1:16" x14ac:dyDescent="0.25">
      <c r="A32" s="54">
        <v>31</v>
      </c>
      <c r="B32" s="1" t="s">
        <v>992</v>
      </c>
      <c r="D32" s="212" t="s">
        <v>35</v>
      </c>
      <c r="E32" s="212">
        <v>0</v>
      </c>
      <c r="F32" s="212">
        <v>0</v>
      </c>
      <c r="G32" s="212">
        <v>0</v>
      </c>
      <c r="H32" s="212">
        <v>0</v>
      </c>
      <c r="I32" s="212">
        <v>0</v>
      </c>
      <c r="J32" s="212">
        <v>0</v>
      </c>
      <c r="K32" s="212">
        <v>0</v>
      </c>
      <c r="L32" s="212">
        <v>0</v>
      </c>
      <c r="M32" s="212">
        <v>0</v>
      </c>
      <c r="N32" s="212">
        <v>0</v>
      </c>
      <c r="O32" s="196" t="e">
        <f t="shared" si="0"/>
        <v>#VALUE!</v>
      </c>
      <c r="P32" s="5" t="str">
        <f t="shared" si="1"/>
        <v>NE</v>
      </c>
    </row>
    <row r="33" spans="1:27" x14ac:dyDescent="0.25">
      <c r="A33" s="54">
        <v>32</v>
      </c>
      <c r="B33" s="1" t="s">
        <v>843</v>
      </c>
      <c r="D33" s="212"/>
      <c r="E33" s="212">
        <v>1</v>
      </c>
      <c r="F33" s="212">
        <v>0</v>
      </c>
      <c r="G33" s="212">
        <v>0</v>
      </c>
      <c r="H33" s="212">
        <v>0</v>
      </c>
      <c r="I33" s="212">
        <v>0</v>
      </c>
      <c r="J33" s="212">
        <v>0</v>
      </c>
      <c r="K33" s="212">
        <v>0</v>
      </c>
      <c r="L33" s="212">
        <v>0</v>
      </c>
      <c r="M33" s="212">
        <v>0</v>
      </c>
      <c r="N33" s="212">
        <v>0</v>
      </c>
      <c r="O33" s="196" t="e">
        <f t="shared" si="0"/>
        <v>#VALUE!</v>
      </c>
      <c r="P33" s="5" t="str">
        <f t="shared" si="1"/>
        <v>NE</v>
      </c>
    </row>
    <row r="34" spans="1:27" x14ac:dyDescent="0.25">
      <c r="A34" s="54">
        <v>33</v>
      </c>
      <c r="B34" s="1" t="s">
        <v>728</v>
      </c>
      <c r="D34" s="212"/>
      <c r="E34" s="212">
        <v>0</v>
      </c>
      <c r="F34" s="212">
        <v>0</v>
      </c>
      <c r="G34" s="212">
        <v>0</v>
      </c>
      <c r="H34" s="212">
        <v>0</v>
      </c>
      <c r="I34" s="212">
        <v>0</v>
      </c>
      <c r="J34" s="212">
        <v>0</v>
      </c>
      <c r="K34" s="212">
        <v>0</v>
      </c>
      <c r="L34" s="212">
        <v>0</v>
      </c>
      <c r="M34" s="212">
        <v>0</v>
      </c>
      <c r="N34" s="212">
        <v>0</v>
      </c>
      <c r="O34" s="196" t="str">
        <f t="shared" si="0"/>
        <v>0 OZ , 0 (0+0), 0 ±</v>
      </c>
      <c r="P34" s="5" t="str">
        <f t="shared" si="1"/>
        <v>ANO</v>
      </c>
    </row>
    <row r="35" spans="1:27" x14ac:dyDescent="0.25">
      <c r="A35" s="54">
        <v>34</v>
      </c>
      <c r="B35" s="1" t="s">
        <v>729</v>
      </c>
      <c r="D35" s="212"/>
      <c r="E35" s="212">
        <v>2</v>
      </c>
      <c r="F35" s="212">
        <v>0</v>
      </c>
      <c r="G35" s="212">
        <v>0</v>
      </c>
      <c r="H35" s="212">
        <v>0</v>
      </c>
      <c r="I35" s="212">
        <v>0</v>
      </c>
      <c r="J35" s="212">
        <v>0</v>
      </c>
      <c r="K35" s="212">
        <v>0</v>
      </c>
      <c r="L35" s="212">
        <v>0</v>
      </c>
      <c r="M35" s="212">
        <v>2</v>
      </c>
      <c r="N35" s="212">
        <v>-2</v>
      </c>
      <c r="O35" s="196" t="str">
        <f t="shared" si="0"/>
        <v>2 OZ , 0 (0+0), -2 ±</v>
      </c>
      <c r="P35" s="5" t="str">
        <f t="shared" si="1"/>
        <v>ANO</v>
      </c>
    </row>
    <row r="36" spans="1:27" x14ac:dyDescent="0.25">
      <c r="A36" s="54">
        <v>35</v>
      </c>
      <c r="B36" s="1" t="s">
        <v>731</v>
      </c>
      <c r="D36" s="212" t="s">
        <v>48</v>
      </c>
      <c r="E36" s="212">
        <v>3</v>
      </c>
      <c r="F36" s="212">
        <v>0</v>
      </c>
      <c r="G36" s="212">
        <v>0</v>
      </c>
      <c r="H36" s="212">
        <v>0</v>
      </c>
      <c r="I36" s="212">
        <v>0</v>
      </c>
      <c r="J36" s="212">
        <v>0</v>
      </c>
      <c r="K36" s="212">
        <v>0</v>
      </c>
      <c r="L36" s="212">
        <v>0</v>
      </c>
      <c r="M36" s="212">
        <v>0</v>
      </c>
      <c r="N36" s="212">
        <v>0</v>
      </c>
      <c r="O36" s="196" t="str">
        <f t="shared" si="0"/>
        <v>3 OZ , 0 (0+0), 0 ±</v>
      </c>
      <c r="P36" s="5" t="str">
        <f t="shared" si="1"/>
        <v>ANO</v>
      </c>
    </row>
    <row r="37" spans="1:27" ht="15" customHeight="1" x14ac:dyDescent="0.25">
      <c r="A37" s="53">
        <v>36</v>
      </c>
      <c r="B37" s="4" t="s">
        <v>732</v>
      </c>
      <c r="C37" s="4"/>
      <c r="D37" s="5"/>
      <c r="E37" s="5">
        <v>8</v>
      </c>
      <c r="F37" s="5">
        <v>0</v>
      </c>
      <c r="G37" s="5">
        <v>0</v>
      </c>
      <c r="H37" s="5">
        <v>0</v>
      </c>
      <c r="I37" s="5">
        <v>0</v>
      </c>
      <c r="J37" s="5">
        <v>0</v>
      </c>
      <c r="K37" s="5">
        <v>0</v>
      </c>
      <c r="L37" s="5">
        <v>4</v>
      </c>
      <c r="M37" s="5">
        <v>7</v>
      </c>
      <c r="N37" s="5">
        <v>-3</v>
      </c>
    </row>
    <row r="38" spans="1:27" s="197" customFormat="1" ht="15" customHeight="1" x14ac:dyDescent="0.25">
      <c r="A38" s="53">
        <v>37</v>
      </c>
      <c r="B38" s="4" t="s">
        <v>733</v>
      </c>
      <c r="C38" s="4"/>
      <c r="D38" s="5" t="s">
        <v>48</v>
      </c>
      <c r="E38" s="5">
        <v>19</v>
      </c>
      <c r="F38" s="5">
        <v>0</v>
      </c>
      <c r="G38" s="5">
        <v>0</v>
      </c>
      <c r="H38" s="5">
        <v>0</v>
      </c>
      <c r="I38" s="5">
        <v>0</v>
      </c>
      <c r="J38" s="5">
        <v>0</v>
      </c>
      <c r="K38" s="5">
        <v>0</v>
      </c>
      <c r="L38" s="5">
        <v>17</v>
      </c>
      <c r="M38" s="5">
        <v>33</v>
      </c>
      <c r="N38" s="5">
        <v>-16</v>
      </c>
      <c r="O38" s="197" t="s">
        <v>38</v>
      </c>
      <c r="P38" s="197" t="s">
        <v>90</v>
      </c>
      <c r="Q38" s="197" t="s">
        <v>91</v>
      </c>
      <c r="R38" s="197" t="s">
        <v>92</v>
      </c>
      <c r="AA38" s="206"/>
    </row>
    <row r="39" spans="1:27" x14ac:dyDescent="0.25">
      <c r="A39" s="53">
        <v>1</v>
      </c>
      <c r="B39" s="4" t="s">
        <v>734</v>
      </c>
      <c r="C39" s="4"/>
      <c r="D39" s="5">
        <v>24</v>
      </c>
      <c r="E39" s="5">
        <v>19</v>
      </c>
      <c r="F39" s="5">
        <v>1052.19</v>
      </c>
      <c r="G39" s="5">
        <v>8</v>
      </c>
      <c r="H39" s="5">
        <v>118</v>
      </c>
      <c r="I39" s="5">
        <v>0</v>
      </c>
      <c r="J39" s="5">
        <v>472</v>
      </c>
      <c r="K39" s="5">
        <v>0</v>
      </c>
      <c r="L39" s="5">
        <v>11</v>
      </c>
      <c r="M39" s="5">
        <v>354</v>
      </c>
      <c r="N39" s="5">
        <v>1</v>
      </c>
      <c r="O39" s="190">
        <v>0</v>
      </c>
      <c r="P39" s="11">
        <f>IF(B39&lt;&gt;0,IFERROR(H39/(F39/60),0),"")</f>
        <v>6.7288227411399077</v>
      </c>
      <c r="Q39" s="11">
        <f>IF(B39&lt;&gt;0,IFERROR((M39/J39)*100,0),"")</f>
        <v>75</v>
      </c>
      <c r="R39" s="196" t="str">
        <f>IF(B39&lt;&gt;0,CONCATENATE(G39, " V, ",L39," P"),"")</f>
        <v>8 V, 11 P</v>
      </c>
    </row>
    <row r="40" spans="1:27" x14ac:dyDescent="0.25">
      <c r="A40" s="54">
        <v>2</v>
      </c>
      <c r="B40" t="s">
        <v>735</v>
      </c>
      <c r="C40"/>
      <c r="D40" s="190">
        <v>26</v>
      </c>
      <c r="E40" s="190">
        <v>12</v>
      </c>
      <c r="F40" s="190">
        <v>482.9</v>
      </c>
      <c r="G40" s="190">
        <v>2</v>
      </c>
      <c r="H40" s="190">
        <v>85</v>
      </c>
      <c r="I40" s="190">
        <v>0</v>
      </c>
      <c r="J40" s="190">
        <v>256</v>
      </c>
      <c r="K40" s="190">
        <v>0</v>
      </c>
      <c r="L40" s="190">
        <v>10</v>
      </c>
      <c r="M40" s="190">
        <v>171</v>
      </c>
      <c r="N40" s="190">
        <v>0</v>
      </c>
      <c r="O40" s="190">
        <v>0</v>
      </c>
      <c r="P40" s="11">
        <f t="shared" ref="P40:P45" si="2">IF(B40&lt;&gt;0,IFERROR(H40/(F40/60),0),"")</f>
        <v>10.561192793539034</v>
      </c>
      <c r="Q40" s="11">
        <f t="shared" ref="Q40:Q45" si="3">IF(B40&lt;&gt;0,IFERROR((M40/J40)*100,0),"")</f>
        <v>66.796875</v>
      </c>
      <c r="R40" s="196" t="str">
        <f t="shared" ref="R40:R45" si="4">IF(B40&lt;&gt;0,CONCATENATE(G40, " V, ",L40," P"),"")</f>
        <v>2 V, 10 P</v>
      </c>
    </row>
    <row r="41" spans="1:27" x14ac:dyDescent="0.25">
      <c r="A41" s="54">
        <v>3</v>
      </c>
      <c r="B41" t="s">
        <v>992</v>
      </c>
      <c r="C41"/>
      <c r="D41" s="190">
        <v>1</v>
      </c>
      <c r="E41" s="190">
        <v>1</v>
      </c>
      <c r="F41" s="190">
        <v>1.05</v>
      </c>
      <c r="G41" s="190">
        <v>1</v>
      </c>
      <c r="H41" s="190">
        <v>0</v>
      </c>
      <c r="I41" s="190">
        <v>0</v>
      </c>
      <c r="J41" s="190">
        <v>2</v>
      </c>
      <c r="K41" s="190">
        <v>0</v>
      </c>
      <c r="L41" s="190">
        <v>0</v>
      </c>
      <c r="M41" s="190">
        <v>2</v>
      </c>
      <c r="N41" s="190">
        <v>0</v>
      </c>
      <c r="O41" s="190">
        <v>0</v>
      </c>
      <c r="P41" s="11">
        <f t="shared" si="2"/>
        <v>0</v>
      </c>
      <c r="Q41" s="11">
        <f t="shared" si="3"/>
        <v>100</v>
      </c>
      <c r="R41" s="196" t="str">
        <f t="shared" si="4"/>
        <v>1 V, 0 P</v>
      </c>
    </row>
    <row r="42" spans="1:27" x14ac:dyDescent="0.25">
      <c r="A42" s="54">
        <v>4</v>
      </c>
      <c r="B42" t="s">
        <v>728</v>
      </c>
      <c r="C42"/>
      <c r="D42" s="190">
        <v>2</v>
      </c>
      <c r="E42" s="190">
        <v>1</v>
      </c>
      <c r="F42" s="123">
        <v>20</v>
      </c>
      <c r="G42" s="190">
        <v>0</v>
      </c>
      <c r="H42" s="190">
        <v>5</v>
      </c>
      <c r="I42" s="190">
        <v>0</v>
      </c>
      <c r="J42" s="190">
        <v>14</v>
      </c>
      <c r="K42" s="190">
        <v>0</v>
      </c>
      <c r="L42" s="190">
        <v>1</v>
      </c>
      <c r="M42" s="190">
        <v>9</v>
      </c>
      <c r="N42" s="190">
        <v>0</v>
      </c>
      <c r="O42" s="190">
        <v>0</v>
      </c>
      <c r="P42" s="11">
        <f t="shared" si="2"/>
        <v>15</v>
      </c>
      <c r="Q42" s="11">
        <f t="shared" si="3"/>
        <v>64.285714285714292</v>
      </c>
      <c r="R42" s="196" t="str">
        <f t="shared" si="4"/>
        <v>0 V, 1 P</v>
      </c>
    </row>
    <row r="43" spans="1:27" x14ac:dyDescent="0.25">
      <c r="A43" s="54"/>
      <c r="F43" s="11"/>
      <c r="P43" s="11" t="str">
        <f t="shared" si="2"/>
        <v/>
      </c>
      <c r="Q43" s="11" t="str">
        <f t="shared" si="3"/>
        <v/>
      </c>
      <c r="R43" s="196" t="str">
        <f t="shared" si="4"/>
        <v/>
      </c>
    </row>
    <row r="44" spans="1:27" x14ac:dyDescent="0.25">
      <c r="A44" s="54"/>
      <c r="F44" s="11"/>
      <c r="P44" s="11" t="str">
        <f t="shared" si="2"/>
        <v/>
      </c>
      <c r="Q44" s="11" t="str">
        <f t="shared" si="3"/>
        <v/>
      </c>
      <c r="R44" s="196" t="str">
        <f t="shared" si="4"/>
        <v/>
      </c>
    </row>
    <row r="45" spans="1:27" ht="15" customHeight="1" x14ac:dyDescent="0.25">
      <c r="A45" s="118"/>
      <c r="P45" s="11" t="str">
        <f t="shared" si="2"/>
        <v/>
      </c>
      <c r="Q45" s="11" t="str">
        <f t="shared" si="3"/>
        <v/>
      </c>
      <c r="R45" s="196" t="str">
        <f t="shared" si="4"/>
        <v/>
      </c>
    </row>
    <row r="46" spans="1:27" ht="15" customHeight="1" x14ac:dyDescent="0.25">
      <c r="X46" s="402" t="s">
        <v>289</v>
      </c>
      <c r="Y46" s="402"/>
      <c r="Z46" s="402"/>
      <c r="AA46" s="402"/>
    </row>
    <row r="47" spans="1:27" s="197" customFormat="1" ht="15" customHeight="1" x14ac:dyDescent="0.25">
      <c r="A47" s="7">
        <f ca="1">TODAY()</f>
        <v>44263</v>
      </c>
      <c r="B47" s="197" t="s">
        <v>59</v>
      </c>
      <c r="C47" s="197" t="s">
        <v>66</v>
      </c>
      <c r="D47" s="197" t="s">
        <v>67</v>
      </c>
      <c r="E47" s="197" t="s">
        <v>70</v>
      </c>
      <c r="F47" s="197" t="s">
        <v>71</v>
      </c>
      <c r="G47" s="197" t="s">
        <v>72</v>
      </c>
      <c r="H47" s="197" t="s">
        <v>73</v>
      </c>
      <c r="I47" s="197" t="s">
        <v>45</v>
      </c>
      <c r="J47" s="197" t="s">
        <v>58</v>
      </c>
      <c r="K47" s="197" t="s">
        <v>159</v>
      </c>
      <c r="L47" s="197" t="s">
        <v>77</v>
      </c>
      <c r="M47" s="197" t="s">
        <v>68</v>
      </c>
      <c r="N47" s="197" t="s">
        <v>69</v>
      </c>
      <c r="O47" s="197" t="s">
        <v>81</v>
      </c>
      <c r="P47" s="197" t="s">
        <v>82</v>
      </c>
      <c r="Q47" s="197" t="s">
        <v>74</v>
      </c>
      <c r="R47" s="197" t="s">
        <v>75</v>
      </c>
      <c r="S47" s="197" t="s">
        <v>93</v>
      </c>
      <c r="T47" s="197" t="s">
        <v>158</v>
      </c>
      <c r="U47" s="197" t="s">
        <v>281</v>
      </c>
      <c r="V47" s="197" t="s">
        <v>282</v>
      </c>
      <c r="W47" s="197" t="s">
        <v>283</v>
      </c>
      <c r="X47" s="197" t="s">
        <v>288</v>
      </c>
      <c r="Y47" s="197" t="s">
        <v>286</v>
      </c>
      <c r="Z47" s="197" t="s">
        <v>287</v>
      </c>
      <c r="AA47" s="206" t="s">
        <v>462</v>
      </c>
    </row>
    <row r="48" spans="1:27" ht="15" customHeight="1" x14ac:dyDescent="0.25">
      <c r="B48" s="4" t="s">
        <v>724</v>
      </c>
      <c r="C48" s="185"/>
      <c r="D48" s="196" t="str">
        <f t="shared" ref="D48:D82" si="5">IF(C48 &lt;&gt; 0,ROUNDDOWN(($A$47-C48)/365.25,0),"")</f>
        <v/>
      </c>
      <c r="E48" s="191">
        <v>0</v>
      </c>
      <c r="F48" s="191">
        <v>0</v>
      </c>
      <c r="G48" s="191">
        <v>0</v>
      </c>
      <c r="H48" s="196">
        <f t="shared" ref="H48:H82" si="6">IF(B48&lt;&gt;0,F48+G48,"")</f>
        <v>0</v>
      </c>
      <c r="I48" s="191">
        <v>1</v>
      </c>
      <c r="J48" s="191">
        <v>30</v>
      </c>
      <c r="K48" s="191"/>
      <c r="L48" s="191" t="s">
        <v>78</v>
      </c>
      <c r="M48" s="191">
        <v>192</v>
      </c>
      <c r="N48" s="191">
        <v>87</v>
      </c>
      <c r="O48" s="196" t="str">
        <f t="shared" ref="O48:O82" si="7">IF(B48&lt;&gt;0,CONCATENATE(E48+IFERROR(VLOOKUP(B48,$B$2:$N$36,4,FALSE),0) + X48, " OZ, ", H48+IFERROR(VLOOKUP(B48,$B$2:$N$36,9,FALSE),0) + Y48+Z48, " (", F48+IFERROR(VLOOKUP(B48,$B$2:$N$36,5,FALSE),0) + Y48, "+",G48+IFERROR(VLOOKUP(B48,$B$2:$N$36,8,FALSE),0) +  Z48, ")"), "")</f>
        <v>5 OZ, 1 (1+0)</v>
      </c>
      <c r="P48" s="196" t="str">
        <f t="shared" ref="P48:P82" si="8">IF(M48&lt;&gt;0,CONCATENATE(M48,"/",N48),"")</f>
        <v>192/87</v>
      </c>
      <c r="Q48" s="192" t="s">
        <v>840</v>
      </c>
      <c r="R48" s="191">
        <v>2010</v>
      </c>
      <c r="S48" s="196" t="str">
        <f t="shared" ref="S48:S82" si="9">IFERROR(CONCATENATE(E48+VLOOKUP(B48,$B$39:$R$42,4,FALSE), " OZ, ",G48+VLOOKUP(B48,$B$39:$R$42,13,FALSE), " A"),"")</f>
        <v/>
      </c>
      <c r="T48" s="1" t="str">
        <f t="shared" ref="T48:T82" si="10">IF(B48&lt;&gt;0,IF(V48=1,U48,CONCATENATE(U48," ",W48,".")),"")</f>
        <v>Černý</v>
      </c>
      <c r="U48" s="1" t="str">
        <f t="shared" ref="U48:U82" si="11">IFERROR(RIGHT(B48,LEN(B48)-SEARCH(" ", B48,1)),"")</f>
        <v>Černý</v>
      </c>
      <c r="V48" s="196">
        <f t="shared" ref="V48:V82" si="12">IF(B48&lt;&gt;0,COUNTIF($U$48:$U$82,U48),"")</f>
        <v>1</v>
      </c>
      <c r="W48" s="196" t="str">
        <f t="shared" ref="W48:W82" si="13">IFERROR(LEFT(LEFT(B48,SEARCH(" ",B48,1)),1),"")</f>
        <v>J</v>
      </c>
      <c r="X48" s="191"/>
      <c r="Y48" s="191"/>
      <c r="Z48" s="191"/>
      <c r="AA48" s="191"/>
    </row>
    <row r="49" spans="2:27" ht="15" customHeight="1" x14ac:dyDescent="0.25">
      <c r="B49" s="4" t="s">
        <v>728</v>
      </c>
      <c r="C49" s="185">
        <v>37267</v>
      </c>
      <c r="D49" s="196">
        <f t="shared" ca="1" si="5"/>
        <v>19</v>
      </c>
      <c r="E49" s="191">
        <v>0</v>
      </c>
      <c r="F49" s="191">
        <v>0</v>
      </c>
      <c r="G49" s="191">
        <v>0</v>
      </c>
      <c r="H49" s="196">
        <f t="shared" si="6"/>
        <v>0</v>
      </c>
      <c r="I49" s="191">
        <v>1</v>
      </c>
      <c r="J49" s="191">
        <v>94</v>
      </c>
      <c r="K49" s="191"/>
      <c r="L49" s="191" t="s">
        <v>30</v>
      </c>
      <c r="M49" s="191">
        <v>186</v>
      </c>
      <c r="N49" s="191">
        <v>94</v>
      </c>
      <c r="O49" s="196" t="str">
        <f t="shared" si="7"/>
        <v>0 OZ, 0 (0+0)</v>
      </c>
      <c r="P49" s="196" t="str">
        <f t="shared" si="8"/>
        <v>186/94</v>
      </c>
      <c r="Q49" s="192" t="s">
        <v>834</v>
      </c>
      <c r="R49" s="191">
        <v>2009</v>
      </c>
      <c r="S49" s="196" t="str">
        <f t="shared" si="9"/>
        <v>1 OZ, 0 A</v>
      </c>
      <c r="T49" s="1" t="str">
        <f t="shared" si="10"/>
        <v>Dittrich</v>
      </c>
      <c r="U49" s="1" t="str">
        <f t="shared" si="11"/>
        <v>Dittrich</v>
      </c>
      <c r="V49" s="196">
        <f t="shared" si="12"/>
        <v>1</v>
      </c>
      <c r="W49" s="196" t="str">
        <f t="shared" si="13"/>
        <v>T</v>
      </c>
      <c r="X49" s="191"/>
      <c r="Y49" s="191"/>
      <c r="Z49" s="191"/>
      <c r="AA49" s="191"/>
    </row>
    <row r="50" spans="2:27" ht="15" customHeight="1" x14ac:dyDescent="0.25">
      <c r="B50" s="1" t="s">
        <v>734</v>
      </c>
      <c r="C50" s="185">
        <v>35187</v>
      </c>
      <c r="D50" s="196">
        <f t="shared" ca="1" si="5"/>
        <v>24</v>
      </c>
      <c r="E50" s="191">
        <v>38</v>
      </c>
      <c r="F50" s="191">
        <v>0</v>
      </c>
      <c r="G50" s="191">
        <v>1</v>
      </c>
      <c r="H50" s="196">
        <f t="shared" si="6"/>
        <v>1</v>
      </c>
      <c r="I50" s="191">
        <v>5</v>
      </c>
      <c r="J50" s="191">
        <v>1</v>
      </c>
      <c r="K50" s="191"/>
      <c r="L50" s="191" t="s">
        <v>30</v>
      </c>
      <c r="M50" s="191">
        <v>191</v>
      </c>
      <c r="N50" s="191">
        <v>84</v>
      </c>
      <c r="O50" s="196" t="str">
        <f t="shared" si="7"/>
        <v>38 OZ, 2 (0+2)</v>
      </c>
      <c r="P50" s="196" t="str">
        <f t="shared" si="8"/>
        <v>191/84</v>
      </c>
      <c r="Q50" s="192" t="s">
        <v>838</v>
      </c>
      <c r="R50" s="191">
        <v>2002</v>
      </c>
      <c r="S50" s="196" t="str">
        <f t="shared" si="9"/>
        <v>57 OZ, 2 A</v>
      </c>
      <c r="T50" s="1" t="str">
        <f t="shared" si="10"/>
        <v>Dvořák</v>
      </c>
      <c r="U50" s="1" t="str">
        <f t="shared" si="11"/>
        <v>Dvořák</v>
      </c>
      <c r="V50" s="196">
        <f t="shared" si="12"/>
        <v>1</v>
      </c>
      <c r="W50" s="196" t="str">
        <f t="shared" si="13"/>
        <v>J</v>
      </c>
      <c r="X50" s="191"/>
      <c r="Y50" s="191"/>
      <c r="Z50" s="191"/>
      <c r="AA50" s="191"/>
    </row>
    <row r="51" spans="2:27" ht="15" customHeight="1" x14ac:dyDescent="0.25">
      <c r="B51" s="1" t="s">
        <v>714</v>
      </c>
      <c r="C51" s="185">
        <v>31655</v>
      </c>
      <c r="D51" s="196">
        <f t="shared" ca="1" si="5"/>
        <v>34</v>
      </c>
      <c r="E51" s="191">
        <v>77</v>
      </c>
      <c r="F51" s="191">
        <v>26</v>
      </c>
      <c r="G51" s="191">
        <v>16</v>
      </c>
      <c r="H51" s="196">
        <f t="shared" si="6"/>
        <v>42</v>
      </c>
      <c r="I51" s="191">
        <v>4</v>
      </c>
      <c r="J51" s="191">
        <v>9</v>
      </c>
      <c r="K51" s="191"/>
      <c r="L51" s="191" t="s">
        <v>78</v>
      </c>
      <c r="M51" s="191">
        <v>182</v>
      </c>
      <c r="N51" s="191">
        <v>79</v>
      </c>
      <c r="O51" s="196" t="str">
        <f t="shared" si="7"/>
        <v>103 OZ, 50 (31+19)</v>
      </c>
      <c r="P51" s="196" t="str">
        <f t="shared" si="8"/>
        <v>182/79</v>
      </c>
      <c r="Q51" s="192" t="s">
        <v>835</v>
      </c>
      <c r="R51" s="191">
        <v>2005</v>
      </c>
      <c r="S51" s="196" t="str">
        <f t="shared" si="9"/>
        <v/>
      </c>
      <c r="T51" s="1" t="str">
        <f t="shared" si="10"/>
        <v>Dzierža</v>
      </c>
      <c r="U51" s="1" t="str">
        <f t="shared" si="11"/>
        <v>Dzierža</v>
      </c>
      <c r="V51" s="196">
        <f t="shared" si="12"/>
        <v>1</v>
      </c>
      <c r="W51" s="196" t="str">
        <f t="shared" si="13"/>
        <v>M</v>
      </c>
      <c r="X51" s="191"/>
      <c r="Y51" s="191"/>
      <c r="Z51" s="191"/>
      <c r="AA51" s="191"/>
    </row>
    <row r="52" spans="2:27" ht="15" customHeight="1" x14ac:dyDescent="0.25">
      <c r="B52" s="4" t="s">
        <v>704</v>
      </c>
      <c r="C52" s="185">
        <v>32150</v>
      </c>
      <c r="D52" s="196">
        <f t="shared" ca="1" si="5"/>
        <v>33</v>
      </c>
      <c r="E52" s="191">
        <v>281</v>
      </c>
      <c r="F52" s="191">
        <v>160</v>
      </c>
      <c r="G52" s="191">
        <v>97</v>
      </c>
      <c r="H52" s="196">
        <f t="shared" si="6"/>
        <v>257</v>
      </c>
      <c r="I52" s="191">
        <v>16</v>
      </c>
      <c r="J52" s="191">
        <v>88</v>
      </c>
      <c r="K52" s="191"/>
      <c r="L52" s="191" t="s">
        <v>41</v>
      </c>
      <c r="M52" s="191">
        <v>200</v>
      </c>
      <c r="N52" s="191">
        <v>99</v>
      </c>
      <c r="O52" s="196" t="str">
        <f t="shared" si="7"/>
        <v>307 OZ, 293 (176+117)</v>
      </c>
      <c r="P52" s="196" t="str">
        <f t="shared" si="8"/>
        <v>200/99</v>
      </c>
      <c r="Q52" s="192" t="s">
        <v>831</v>
      </c>
      <c r="R52" s="191">
        <v>2007</v>
      </c>
      <c r="S52" s="196" t="str">
        <f t="shared" si="9"/>
        <v/>
      </c>
      <c r="T52" s="1" t="str">
        <f t="shared" si="10"/>
        <v>Ekl</v>
      </c>
      <c r="U52" s="1" t="str">
        <f t="shared" si="11"/>
        <v>Ekl</v>
      </c>
      <c r="V52" s="196">
        <f t="shared" si="12"/>
        <v>1</v>
      </c>
      <c r="W52" s="196" t="str">
        <f t="shared" si="13"/>
        <v>J</v>
      </c>
      <c r="X52" s="191"/>
      <c r="Y52" s="191"/>
      <c r="Z52" s="191"/>
      <c r="AA52" s="191"/>
    </row>
    <row r="53" spans="2:27" ht="15" customHeight="1" x14ac:dyDescent="0.25">
      <c r="B53" s="1" t="s">
        <v>721</v>
      </c>
      <c r="C53" s="185">
        <v>36672</v>
      </c>
      <c r="D53" s="196">
        <f t="shared" ca="1" si="5"/>
        <v>20</v>
      </c>
      <c r="E53" s="191">
        <v>0</v>
      </c>
      <c r="F53" s="191">
        <v>0</v>
      </c>
      <c r="G53" s="191">
        <v>0</v>
      </c>
      <c r="H53" s="196">
        <f t="shared" si="6"/>
        <v>0</v>
      </c>
      <c r="I53" s="191">
        <v>1</v>
      </c>
      <c r="J53" s="191"/>
      <c r="K53" s="191"/>
      <c r="L53" s="191" t="s">
        <v>78</v>
      </c>
      <c r="M53" s="191">
        <v>183</v>
      </c>
      <c r="N53" s="191">
        <v>73</v>
      </c>
      <c r="O53" s="196" t="str">
        <f t="shared" si="7"/>
        <v>2 OZ, 1 (1+0)</v>
      </c>
      <c r="P53" s="196" t="str">
        <f t="shared" si="8"/>
        <v>183/73</v>
      </c>
      <c r="Q53" s="192" t="s">
        <v>834</v>
      </c>
      <c r="R53" s="191">
        <v>2008</v>
      </c>
      <c r="S53" s="196" t="str">
        <f t="shared" si="9"/>
        <v/>
      </c>
      <c r="T53" s="1" t="str">
        <f t="shared" si="10"/>
        <v>Fuchsig</v>
      </c>
      <c r="U53" s="1" t="str">
        <f t="shared" si="11"/>
        <v>Fuchsig</v>
      </c>
      <c r="V53" s="196">
        <f t="shared" si="12"/>
        <v>1</v>
      </c>
      <c r="W53" s="196" t="str">
        <f t="shared" si="13"/>
        <v>M</v>
      </c>
      <c r="X53" s="191"/>
      <c r="Y53" s="191"/>
      <c r="Z53" s="191"/>
      <c r="AA53" s="191"/>
    </row>
    <row r="54" spans="2:27" ht="15" customHeight="1" x14ac:dyDescent="0.25">
      <c r="B54" s="1" t="s">
        <v>711</v>
      </c>
      <c r="C54" s="185">
        <v>35422</v>
      </c>
      <c r="D54" s="196">
        <f t="shared" ca="1" si="5"/>
        <v>24</v>
      </c>
      <c r="E54" s="191">
        <v>57</v>
      </c>
      <c r="F54" s="191">
        <v>11</v>
      </c>
      <c r="G54" s="191">
        <v>17</v>
      </c>
      <c r="H54" s="196">
        <f t="shared" si="6"/>
        <v>28</v>
      </c>
      <c r="I54" s="191">
        <v>5</v>
      </c>
      <c r="J54" s="191">
        <v>26</v>
      </c>
      <c r="K54" s="191"/>
      <c r="L54" s="191" t="s">
        <v>78</v>
      </c>
      <c r="M54" s="191">
        <v>185</v>
      </c>
      <c r="N54" s="191">
        <v>76</v>
      </c>
      <c r="O54" s="196" t="str">
        <f t="shared" si="7"/>
        <v>69 OZ, 36 (16+20)</v>
      </c>
      <c r="P54" s="196" t="str">
        <f t="shared" si="8"/>
        <v>185/76</v>
      </c>
      <c r="Q54" s="192" t="s">
        <v>677</v>
      </c>
      <c r="R54" s="191">
        <v>2011</v>
      </c>
      <c r="S54" s="196" t="str">
        <f t="shared" si="9"/>
        <v/>
      </c>
      <c r="T54" s="1" t="str">
        <f t="shared" si="10"/>
        <v>Hřebřina</v>
      </c>
      <c r="U54" s="1" t="str">
        <f t="shared" si="11"/>
        <v>Hřebřina</v>
      </c>
      <c r="V54" s="196">
        <f t="shared" si="12"/>
        <v>1</v>
      </c>
      <c r="W54" s="196" t="str">
        <f t="shared" si="13"/>
        <v>J</v>
      </c>
      <c r="X54" s="191"/>
      <c r="Y54" s="191"/>
      <c r="Z54" s="191"/>
      <c r="AA54" s="191"/>
    </row>
    <row r="55" spans="2:27" ht="15" customHeight="1" x14ac:dyDescent="0.25">
      <c r="B55" s="1" t="s">
        <v>735</v>
      </c>
      <c r="C55" s="185">
        <v>35663</v>
      </c>
      <c r="D55" s="196">
        <f t="shared" ca="1" si="5"/>
        <v>23</v>
      </c>
      <c r="E55" s="191">
        <v>17</v>
      </c>
      <c r="F55" s="191">
        <v>0</v>
      </c>
      <c r="G55" s="191">
        <v>0</v>
      </c>
      <c r="H55" s="196">
        <f t="shared" si="6"/>
        <v>0</v>
      </c>
      <c r="I55" s="191">
        <v>5</v>
      </c>
      <c r="J55" s="191">
        <v>97</v>
      </c>
      <c r="K55" s="191"/>
      <c r="L55" s="191" t="s">
        <v>30</v>
      </c>
      <c r="M55" s="191">
        <v>181</v>
      </c>
      <c r="N55" s="191">
        <v>79</v>
      </c>
      <c r="O55" s="196" t="str">
        <f t="shared" si="7"/>
        <v>17 OZ, 0 (0+0)</v>
      </c>
      <c r="P55" s="196" t="str">
        <f t="shared" si="8"/>
        <v>181/79</v>
      </c>
      <c r="Q55" s="192" t="s">
        <v>677</v>
      </c>
      <c r="R55" s="191" t="s">
        <v>30</v>
      </c>
      <c r="S55" s="196" t="str">
        <f t="shared" si="9"/>
        <v>29 OZ, 0 A</v>
      </c>
      <c r="T55" s="1" t="str">
        <f t="shared" si="10"/>
        <v>Chyna</v>
      </c>
      <c r="U55" s="1" t="str">
        <f t="shared" si="11"/>
        <v>Chyna</v>
      </c>
      <c r="V55" s="196">
        <f t="shared" si="12"/>
        <v>1</v>
      </c>
      <c r="W55" s="196" t="str">
        <f t="shared" si="13"/>
        <v>L</v>
      </c>
      <c r="X55" s="191"/>
      <c r="Y55" s="191"/>
      <c r="Z55" s="191"/>
      <c r="AA55" s="191"/>
    </row>
    <row r="56" spans="2:27" ht="15" customHeight="1" x14ac:dyDescent="0.25">
      <c r="B56" s="1" t="s">
        <v>710</v>
      </c>
      <c r="C56" s="185">
        <v>36686</v>
      </c>
      <c r="D56" s="196">
        <f t="shared" ca="1" si="5"/>
        <v>20</v>
      </c>
      <c r="E56" s="191">
        <v>8</v>
      </c>
      <c r="F56" s="191">
        <v>2</v>
      </c>
      <c r="G56" s="191">
        <v>0</v>
      </c>
      <c r="H56" s="196">
        <f t="shared" si="6"/>
        <v>2</v>
      </c>
      <c r="I56" s="191">
        <v>2</v>
      </c>
      <c r="J56" s="191">
        <v>8</v>
      </c>
      <c r="K56" s="191"/>
      <c r="L56" s="191" t="s">
        <v>78</v>
      </c>
      <c r="M56" s="191">
        <v>186</v>
      </c>
      <c r="N56" s="191">
        <v>63</v>
      </c>
      <c r="O56" s="196" t="str">
        <f t="shared" si="7"/>
        <v>25 OZ, 12 (8+4)</v>
      </c>
      <c r="P56" s="196" t="str">
        <f t="shared" si="8"/>
        <v>186/63</v>
      </c>
      <c r="Q56" s="192" t="s">
        <v>834</v>
      </c>
      <c r="R56" s="191">
        <v>2008</v>
      </c>
      <c r="S56" s="196" t="str">
        <f t="shared" si="9"/>
        <v/>
      </c>
      <c r="T56" s="1" t="str">
        <f t="shared" si="10"/>
        <v>Jireček</v>
      </c>
      <c r="U56" s="1" t="str">
        <f t="shared" si="11"/>
        <v>Jireček</v>
      </c>
      <c r="V56" s="196">
        <f t="shared" si="12"/>
        <v>1</v>
      </c>
      <c r="W56" s="196" t="str">
        <f t="shared" si="13"/>
        <v>O</v>
      </c>
      <c r="X56" s="191"/>
      <c r="Y56" s="191"/>
      <c r="Z56" s="191"/>
      <c r="AA56" s="191"/>
    </row>
    <row r="57" spans="2:27" ht="15" customHeight="1" x14ac:dyDescent="0.25">
      <c r="B57" s="1" t="s">
        <v>707</v>
      </c>
      <c r="C57" s="185">
        <v>33522</v>
      </c>
      <c r="D57" s="196">
        <f t="shared" ca="1" si="5"/>
        <v>29</v>
      </c>
      <c r="E57" s="191">
        <v>77</v>
      </c>
      <c r="F57" s="191">
        <v>13</v>
      </c>
      <c r="G57" s="191">
        <v>41</v>
      </c>
      <c r="H57" s="196">
        <f t="shared" si="6"/>
        <v>54</v>
      </c>
      <c r="I57" s="191">
        <v>5</v>
      </c>
      <c r="J57" s="191">
        <v>55</v>
      </c>
      <c r="K57" s="191"/>
      <c r="L57" s="191" t="s">
        <v>78</v>
      </c>
      <c r="M57" s="191">
        <v>186</v>
      </c>
      <c r="N57" s="191">
        <v>87</v>
      </c>
      <c r="O57" s="196" t="str">
        <f t="shared" si="7"/>
        <v>103 OZ, 76 (25+51)</v>
      </c>
      <c r="P57" s="196" t="str">
        <f t="shared" si="8"/>
        <v>186/87</v>
      </c>
      <c r="Q57" s="192" t="s">
        <v>677</v>
      </c>
      <c r="R57" s="191">
        <v>2006</v>
      </c>
      <c r="S57" s="196" t="str">
        <f t="shared" si="9"/>
        <v/>
      </c>
      <c r="T57" s="1" t="str">
        <f t="shared" si="10"/>
        <v>Jirsa</v>
      </c>
      <c r="U57" s="1" t="str">
        <f t="shared" si="11"/>
        <v>Jirsa</v>
      </c>
      <c r="V57" s="196">
        <f t="shared" si="12"/>
        <v>1</v>
      </c>
      <c r="W57" s="196" t="str">
        <f t="shared" si="13"/>
        <v>J</v>
      </c>
      <c r="X57" s="191"/>
      <c r="Y57" s="191"/>
      <c r="Z57" s="191"/>
      <c r="AA57" s="191"/>
    </row>
    <row r="58" spans="2:27" ht="15" customHeight="1" x14ac:dyDescent="0.25">
      <c r="B58" s="1" t="s">
        <v>712</v>
      </c>
      <c r="C58" s="185">
        <v>33176</v>
      </c>
      <c r="D58" s="196">
        <f t="shared" ca="1" si="5"/>
        <v>30</v>
      </c>
      <c r="E58" s="191">
        <v>257</v>
      </c>
      <c r="F58" s="191">
        <v>25</v>
      </c>
      <c r="G58" s="191">
        <v>32</v>
      </c>
      <c r="H58" s="196">
        <f t="shared" si="6"/>
        <v>57</v>
      </c>
      <c r="I58" s="191">
        <v>13</v>
      </c>
      <c r="J58" s="191">
        <v>23</v>
      </c>
      <c r="K58" s="191" t="s">
        <v>222</v>
      </c>
      <c r="L58" s="191" t="s">
        <v>78</v>
      </c>
      <c r="M58" s="191">
        <v>176</v>
      </c>
      <c r="N58" s="191">
        <v>80</v>
      </c>
      <c r="O58" s="196" t="str">
        <f t="shared" si="7"/>
        <v>283 OZ, 70 (31+39)</v>
      </c>
      <c r="P58" s="196" t="str">
        <f t="shared" si="8"/>
        <v>176/80</v>
      </c>
      <c r="Q58" s="192" t="s">
        <v>831</v>
      </c>
      <c r="R58" s="191">
        <v>2007</v>
      </c>
      <c r="S58" s="196" t="str">
        <f t="shared" si="9"/>
        <v/>
      </c>
      <c r="T58" s="1" t="str">
        <f t="shared" si="10"/>
        <v>Kadlec</v>
      </c>
      <c r="U58" s="1" t="str">
        <f t="shared" si="11"/>
        <v>Kadlec</v>
      </c>
      <c r="V58" s="196">
        <f t="shared" si="12"/>
        <v>1</v>
      </c>
      <c r="W58" s="196" t="str">
        <f t="shared" si="13"/>
        <v>T</v>
      </c>
      <c r="X58" s="191"/>
      <c r="Y58" s="191"/>
      <c r="Z58" s="191"/>
      <c r="AA58" s="191"/>
    </row>
    <row r="59" spans="2:27" ht="15" customHeight="1" x14ac:dyDescent="0.25">
      <c r="B59" s="1" t="s">
        <v>730</v>
      </c>
      <c r="C59" s="185"/>
      <c r="D59" s="196" t="str">
        <f t="shared" si="5"/>
        <v/>
      </c>
      <c r="E59" s="191">
        <v>6</v>
      </c>
      <c r="F59" s="191">
        <v>0</v>
      </c>
      <c r="G59" s="191">
        <v>0</v>
      </c>
      <c r="H59" s="196">
        <f t="shared" si="6"/>
        <v>0</v>
      </c>
      <c r="I59" s="191">
        <v>3</v>
      </c>
      <c r="J59" s="191"/>
      <c r="K59" s="191"/>
      <c r="L59" s="191" t="s">
        <v>30</v>
      </c>
      <c r="M59" s="191"/>
      <c r="N59" s="191"/>
      <c r="O59" s="196" t="str">
        <f t="shared" si="7"/>
        <v>12 OZ, 1 (0+1)</v>
      </c>
      <c r="P59" s="196" t="str">
        <f t="shared" si="8"/>
        <v/>
      </c>
      <c r="Q59" s="192" t="s">
        <v>840</v>
      </c>
      <c r="R59" s="191">
        <v>2007</v>
      </c>
      <c r="S59" s="196" t="str">
        <f t="shared" si="9"/>
        <v/>
      </c>
      <c r="T59" s="1" t="str">
        <f t="shared" si="10"/>
        <v>Kalina</v>
      </c>
      <c r="U59" s="1" t="str">
        <f t="shared" si="11"/>
        <v>Kalina</v>
      </c>
      <c r="V59" s="196">
        <f t="shared" si="12"/>
        <v>1</v>
      </c>
      <c r="W59" s="196" t="str">
        <f t="shared" si="13"/>
        <v>M</v>
      </c>
      <c r="X59" s="191"/>
      <c r="Y59" s="191"/>
      <c r="Z59" s="191"/>
      <c r="AA59" s="191"/>
    </row>
    <row r="60" spans="2:27" ht="15" customHeight="1" x14ac:dyDescent="0.25">
      <c r="B60" s="1" t="s">
        <v>713</v>
      </c>
      <c r="C60" s="185">
        <v>33030</v>
      </c>
      <c r="D60" s="196">
        <f t="shared" ca="1" si="5"/>
        <v>30</v>
      </c>
      <c r="E60" s="191">
        <v>70</v>
      </c>
      <c r="F60" s="191">
        <v>6</v>
      </c>
      <c r="G60" s="191">
        <v>10</v>
      </c>
      <c r="H60" s="196">
        <f t="shared" si="6"/>
        <v>16</v>
      </c>
      <c r="I60" s="191">
        <v>5</v>
      </c>
      <c r="J60" s="191">
        <v>27</v>
      </c>
      <c r="K60" s="191"/>
      <c r="L60" s="191" t="s">
        <v>78</v>
      </c>
      <c r="M60" s="191">
        <v>186</v>
      </c>
      <c r="N60" s="191">
        <v>86</v>
      </c>
      <c r="O60" s="196" t="str">
        <f t="shared" si="7"/>
        <v>91 OZ, 26 (8+18)</v>
      </c>
      <c r="P60" s="196" t="str">
        <f t="shared" si="8"/>
        <v>186/86</v>
      </c>
      <c r="Q60" s="192" t="s">
        <v>677</v>
      </c>
      <c r="R60" s="191">
        <v>2006</v>
      </c>
      <c r="S60" s="196" t="str">
        <f t="shared" si="9"/>
        <v/>
      </c>
      <c r="T60" s="1" t="str">
        <f t="shared" si="10"/>
        <v>Karel</v>
      </c>
      <c r="U60" s="1" t="str">
        <f t="shared" si="11"/>
        <v>Karel</v>
      </c>
      <c r="V60" s="196">
        <f t="shared" si="12"/>
        <v>1</v>
      </c>
      <c r="W60" s="196" t="str">
        <f t="shared" si="13"/>
        <v>J</v>
      </c>
      <c r="X60" s="191"/>
      <c r="Y60" s="191"/>
      <c r="Z60" s="191"/>
      <c r="AA60" s="191"/>
    </row>
    <row r="61" spans="2:27" ht="15" customHeight="1" x14ac:dyDescent="0.25">
      <c r="B61" s="4" t="s">
        <v>705</v>
      </c>
      <c r="C61" s="185">
        <v>37951</v>
      </c>
      <c r="D61" s="196">
        <f t="shared" ca="1" si="5"/>
        <v>17</v>
      </c>
      <c r="E61" s="191">
        <v>0</v>
      </c>
      <c r="F61" s="191">
        <v>0</v>
      </c>
      <c r="G61" s="191">
        <v>0</v>
      </c>
      <c r="H61" s="196">
        <f t="shared" si="6"/>
        <v>0</v>
      </c>
      <c r="I61" s="191">
        <v>1</v>
      </c>
      <c r="J61" s="191">
        <v>29</v>
      </c>
      <c r="K61" s="191"/>
      <c r="L61" s="191" t="s">
        <v>78</v>
      </c>
      <c r="M61" s="191">
        <v>175</v>
      </c>
      <c r="N61" s="191">
        <v>70</v>
      </c>
      <c r="O61" s="196" t="str">
        <f t="shared" si="7"/>
        <v>24 OZ, 21 (14+7)</v>
      </c>
      <c r="P61" s="196" t="str">
        <f t="shared" si="8"/>
        <v>175/70</v>
      </c>
      <c r="Q61" s="192" t="s">
        <v>677</v>
      </c>
      <c r="R61" s="191" t="s">
        <v>30</v>
      </c>
      <c r="S61" s="196" t="str">
        <f t="shared" si="9"/>
        <v/>
      </c>
      <c r="T61" s="1" t="str">
        <f t="shared" si="10"/>
        <v>Kopič</v>
      </c>
      <c r="U61" s="1" t="str">
        <f t="shared" si="11"/>
        <v>Kopič</v>
      </c>
      <c r="V61" s="196">
        <f t="shared" si="12"/>
        <v>1</v>
      </c>
      <c r="W61" s="196" t="str">
        <f t="shared" si="13"/>
        <v>O</v>
      </c>
      <c r="X61" s="191"/>
      <c r="Y61" s="191"/>
      <c r="Z61" s="191"/>
      <c r="AA61" s="191"/>
    </row>
    <row r="62" spans="2:27" ht="15" customHeight="1" x14ac:dyDescent="0.25">
      <c r="B62" s="1" t="s">
        <v>732</v>
      </c>
      <c r="C62" s="185">
        <v>37944</v>
      </c>
      <c r="D62" s="196">
        <f t="shared" ca="1" si="5"/>
        <v>17</v>
      </c>
      <c r="E62" s="191">
        <v>0</v>
      </c>
      <c r="F62" s="191">
        <v>0</v>
      </c>
      <c r="G62" s="191">
        <v>0</v>
      </c>
      <c r="H62" s="196">
        <f t="shared" si="6"/>
        <v>0</v>
      </c>
      <c r="I62" s="191">
        <v>1</v>
      </c>
      <c r="J62" s="191">
        <v>19</v>
      </c>
      <c r="K62" s="191"/>
      <c r="L62" s="191" t="s">
        <v>78</v>
      </c>
      <c r="M62" s="191">
        <v>170</v>
      </c>
      <c r="N62" s="191">
        <v>62</v>
      </c>
      <c r="O62" s="196" t="str">
        <f t="shared" si="7"/>
        <v>0 OZ, 0 (0+0)</v>
      </c>
      <c r="P62" s="196" t="str">
        <f t="shared" si="8"/>
        <v>170/62</v>
      </c>
      <c r="Q62" s="192" t="s">
        <v>677</v>
      </c>
      <c r="R62" s="191" t="s">
        <v>30</v>
      </c>
      <c r="S62" s="196" t="str">
        <f t="shared" si="9"/>
        <v/>
      </c>
      <c r="T62" s="1" t="str">
        <f t="shared" si="10"/>
        <v>Kouba</v>
      </c>
      <c r="U62" s="1" t="str">
        <f t="shared" si="11"/>
        <v>Kouba</v>
      </c>
      <c r="V62" s="196">
        <f t="shared" si="12"/>
        <v>1</v>
      </c>
      <c r="W62" s="196" t="str">
        <f t="shared" si="13"/>
        <v>A</v>
      </c>
      <c r="X62" s="191"/>
      <c r="Y62" s="191"/>
      <c r="Z62" s="191"/>
      <c r="AA62" s="191"/>
    </row>
    <row r="63" spans="2:27" ht="15" customHeight="1" x14ac:dyDescent="0.25">
      <c r="B63" s="4" t="s">
        <v>703</v>
      </c>
      <c r="C63" s="185">
        <v>33970</v>
      </c>
      <c r="D63" s="196">
        <f t="shared" ca="1" si="5"/>
        <v>28</v>
      </c>
      <c r="E63" s="191">
        <v>169</v>
      </c>
      <c r="F63" s="191">
        <v>197</v>
      </c>
      <c r="G63" s="191">
        <v>71</v>
      </c>
      <c r="H63" s="196">
        <f t="shared" si="6"/>
        <v>268</v>
      </c>
      <c r="I63" s="191">
        <v>9</v>
      </c>
      <c r="J63" s="191">
        <v>77</v>
      </c>
      <c r="K63" s="191"/>
      <c r="L63" s="191" t="s">
        <v>78</v>
      </c>
      <c r="M63" s="191">
        <v>186</v>
      </c>
      <c r="N63" s="191">
        <v>82</v>
      </c>
      <c r="O63" s="196" t="str">
        <f t="shared" si="7"/>
        <v>194 OZ, 327 (234+93)</v>
      </c>
      <c r="P63" s="196" t="str">
        <f t="shared" si="8"/>
        <v>186/82</v>
      </c>
      <c r="Q63" s="192" t="s">
        <v>830</v>
      </c>
      <c r="R63" s="191" t="s">
        <v>30</v>
      </c>
      <c r="S63" s="196" t="str">
        <f t="shared" si="9"/>
        <v/>
      </c>
      <c r="T63" s="1" t="str">
        <f t="shared" si="10"/>
        <v>Krajcigr</v>
      </c>
      <c r="U63" s="1" t="str">
        <f t="shared" si="11"/>
        <v>Krajcigr</v>
      </c>
      <c r="V63" s="196">
        <f t="shared" si="12"/>
        <v>1</v>
      </c>
      <c r="W63" s="196" t="str">
        <f t="shared" si="13"/>
        <v>R</v>
      </c>
      <c r="X63" s="191"/>
      <c r="Y63" s="191"/>
      <c r="Z63" s="191"/>
      <c r="AA63" s="191"/>
    </row>
    <row r="64" spans="2:27" ht="15" customHeight="1" x14ac:dyDescent="0.25">
      <c r="B64" s="4" t="s">
        <v>725</v>
      </c>
      <c r="C64" s="185">
        <v>31959</v>
      </c>
      <c r="D64" s="196">
        <f t="shared" ca="1" si="5"/>
        <v>33</v>
      </c>
      <c r="E64" s="191">
        <v>76</v>
      </c>
      <c r="F64" s="191">
        <v>11</v>
      </c>
      <c r="G64" s="191">
        <v>8</v>
      </c>
      <c r="H64" s="196">
        <f t="shared" si="6"/>
        <v>19</v>
      </c>
      <c r="I64" s="191">
        <v>5</v>
      </c>
      <c r="J64" s="191">
        <v>12</v>
      </c>
      <c r="K64" s="191"/>
      <c r="L64" s="191" t="s">
        <v>78</v>
      </c>
      <c r="M64" s="191">
        <v>185</v>
      </c>
      <c r="N64" s="191">
        <v>85</v>
      </c>
      <c r="O64" s="196" t="str">
        <f t="shared" si="7"/>
        <v>83 OZ, 20 (12+8)</v>
      </c>
      <c r="P64" s="196" t="str">
        <f t="shared" si="8"/>
        <v>185/85</v>
      </c>
      <c r="Q64" s="192" t="s">
        <v>841</v>
      </c>
      <c r="R64" s="191">
        <v>1999</v>
      </c>
      <c r="S64" s="196" t="str">
        <f t="shared" si="9"/>
        <v/>
      </c>
      <c r="T64" s="1" t="str">
        <f t="shared" si="10"/>
        <v>Mlejnek</v>
      </c>
      <c r="U64" s="1" t="str">
        <f t="shared" si="11"/>
        <v>Mlejnek</v>
      </c>
      <c r="V64" s="196">
        <f t="shared" si="12"/>
        <v>1</v>
      </c>
      <c r="W64" s="196" t="str">
        <f t="shared" si="13"/>
        <v>L</v>
      </c>
      <c r="X64" s="191"/>
      <c r="Y64" s="191"/>
      <c r="Z64" s="191"/>
      <c r="AA64" s="191"/>
    </row>
    <row r="65" spans="2:27" ht="15" customHeight="1" x14ac:dyDescent="0.25">
      <c r="B65" s="1" t="s">
        <v>722</v>
      </c>
      <c r="C65" s="185">
        <v>35293</v>
      </c>
      <c r="D65" s="196">
        <f t="shared" ca="1" si="5"/>
        <v>24</v>
      </c>
      <c r="E65" s="191">
        <v>0</v>
      </c>
      <c r="F65" s="191">
        <v>0</v>
      </c>
      <c r="G65" s="191">
        <v>0</v>
      </c>
      <c r="H65" s="196">
        <f t="shared" si="6"/>
        <v>0</v>
      </c>
      <c r="I65" s="191">
        <v>1</v>
      </c>
      <c r="J65" s="191"/>
      <c r="K65" s="191"/>
      <c r="L65" s="191" t="s">
        <v>41</v>
      </c>
      <c r="M65" s="191">
        <v>186</v>
      </c>
      <c r="N65" s="191">
        <v>96</v>
      </c>
      <c r="O65" s="196" t="str">
        <f t="shared" si="7"/>
        <v>3 OZ, 1 (1+0)</v>
      </c>
      <c r="P65" s="196" t="str">
        <f t="shared" si="8"/>
        <v>186/96</v>
      </c>
      <c r="Q65" s="192" t="s">
        <v>839</v>
      </c>
      <c r="R65" s="191">
        <v>2010</v>
      </c>
      <c r="S65" s="196" t="str">
        <f t="shared" si="9"/>
        <v/>
      </c>
      <c r="T65" s="1" t="str">
        <f t="shared" si="10"/>
        <v>Nicklas</v>
      </c>
      <c r="U65" s="1" t="str">
        <f t="shared" si="11"/>
        <v>Nicklas</v>
      </c>
      <c r="V65" s="196">
        <f t="shared" si="12"/>
        <v>1</v>
      </c>
      <c r="W65" s="196" t="str">
        <f t="shared" si="13"/>
        <v>D</v>
      </c>
      <c r="X65" s="191"/>
      <c r="Y65" s="191"/>
      <c r="Z65" s="191"/>
      <c r="AA65" s="191"/>
    </row>
    <row r="66" spans="2:27" ht="15" customHeight="1" x14ac:dyDescent="0.25">
      <c r="B66" s="1" t="s">
        <v>715</v>
      </c>
      <c r="C66" s="185">
        <v>34046</v>
      </c>
      <c r="D66" s="196">
        <f t="shared" ca="1" si="5"/>
        <v>27</v>
      </c>
      <c r="E66" s="191">
        <v>177</v>
      </c>
      <c r="F66" s="191">
        <v>32</v>
      </c>
      <c r="G66" s="191">
        <v>34</v>
      </c>
      <c r="H66" s="196">
        <f t="shared" si="6"/>
        <v>66</v>
      </c>
      <c r="I66" s="191">
        <v>11</v>
      </c>
      <c r="J66" s="191">
        <v>7</v>
      </c>
      <c r="K66" s="191"/>
      <c r="L66" s="191" t="s">
        <v>78</v>
      </c>
      <c r="M66" s="191">
        <v>178</v>
      </c>
      <c r="N66" s="191">
        <v>75</v>
      </c>
      <c r="O66" s="196" t="str">
        <f t="shared" si="7"/>
        <v>192 OZ, 71 (33+38)</v>
      </c>
      <c r="P66" s="196" t="str">
        <f t="shared" si="8"/>
        <v>178/75</v>
      </c>
      <c r="Q66" s="192" t="s">
        <v>831</v>
      </c>
      <c r="R66" s="191">
        <v>2005</v>
      </c>
      <c r="S66" s="196" t="str">
        <f t="shared" si="9"/>
        <v/>
      </c>
      <c r="T66" s="1" t="str">
        <f t="shared" si="10"/>
        <v>Novák</v>
      </c>
      <c r="U66" s="1" t="str">
        <f t="shared" si="11"/>
        <v>Novák</v>
      </c>
      <c r="V66" s="196">
        <f t="shared" si="12"/>
        <v>1</v>
      </c>
      <c r="W66" s="196" t="str">
        <f t="shared" si="13"/>
        <v>T</v>
      </c>
      <c r="X66" s="191"/>
      <c r="Y66" s="191"/>
      <c r="Z66" s="191"/>
      <c r="AA66" s="191"/>
    </row>
    <row r="67" spans="2:27" ht="15" customHeight="1" x14ac:dyDescent="0.25">
      <c r="B67" s="4" t="s">
        <v>314</v>
      </c>
      <c r="C67" s="185"/>
      <c r="D67" s="196" t="str">
        <f t="shared" si="5"/>
        <v/>
      </c>
      <c r="E67" s="191">
        <v>3</v>
      </c>
      <c r="F67" s="191">
        <v>0</v>
      </c>
      <c r="G67" s="191">
        <v>0</v>
      </c>
      <c r="H67" s="196">
        <f t="shared" si="6"/>
        <v>0</v>
      </c>
      <c r="I67" s="191">
        <v>2</v>
      </c>
      <c r="J67" s="191"/>
      <c r="K67" s="191"/>
      <c r="L67" s="191" t="s">
        <v>30</v>
      </c>
      <c r="M67" s="191"/>
      <c r="N67" s="191"/>
      <c r="O67" s="196" t="str">
        <f t="shared" si="7"/>
        <v>14 OZ, 1 (1+0)</v>
      </c>
      <c r="P67" s="196" t="str">
        <f t="shared" si="8"/>
        <v/>
      </c>
      <c r="Q67" s="192" t="s">
        <v>842</v>
      </c>
      <c r="R67" s="191">
        <v>2010</v>
      </c>
      <c r="S67" s="196" t="str">
        <f t="shared" si="9"/>
        <v/>
      </c>
      <c r="T67" s="1" t="str">
        <f t="shared" si="10"/>
        <v>Pařízek</v>
      </c>
      <c r="U67" s="1" t="str">
        <f t="shared" si="11"/>
        <v>Pařízek</v>
      </c>
      <c r="V67" s="196">
        <f t="shared" si="12"/>
        <v>1</v>
      </c>
      <c r="W67" s="196" t="str">
        <f t="shared" si="13"/>
        <v>J</v>
      </c>
      <c r="X67" s="191">
        <v>6</v>
      </c>
      <c r="Y67" s="191">
        <v>0</v>
      </c>
      <c r="Z67" s="191">
        <v>0</v>
      </c>
      <c r="AA67" s="191">
        <v>0</v>
      </c>
    </row>
    <row r="68" spans="2:27" ht="15" customHeight="1" x14ac:dyDescent="0.25">
      <c r="B68" s="1" t="s">
        <v>733</v>
      </c>
      <c r="C68" s="185">
        <v>35331</v>
      </c>
      <c r="D68" s="196">
        <f t="shared" ca="1" si="5"/>
        <v>24</v>
      </c>
      <c r="E68" s="191">
        <v>66</v>
      </c>
      <c r="F68" s="191">
        <v>0</v>
      </c>
      <c r="G68" s="191">
        <v>1</v>
      </c>
      <c r="H68" s="196">
        <f t="shared" si="6"/>
        <v>1</v>
      </c>
      <c r="I68" s="191">
        <v>5</v>
      </c>
      <c r="J68" s="191">
        <v>39</v>
      </c>
      <c r="K68" s="191"/>
      <c r="L68" s="191" t="s">
        <v>78</v>
      </c>
      <c r="M68" s="191">
        <v>185</v>
      </c>
      <c r="N68" s="191">
        <v>88</v>
      </c>
      <c r="O68" s="196" t="str">
        <f t="shared" si="7"/>
        <v>66 OZ, 1 (0+1)</v>
      </c>
      <c r="P68" s="196" t="str">
        <f t="shared" si="8"/>
        <v>185/88</v>
      </c>
      <c r="Q68" s="192" t="s">
        <v>677</v>
      </c>
      <c r="R68" s="191" t="s">
        <v>30</v>
      </c>
      <c r="S68" s="196" t="str">
        <f t="shared" si="9"/>
        <v/>
      </c>
      <c r="T68" s="1" t="str">
        <f t="shared" si="10"/>
        <v>Pastor</v>
      </c>
      <c r="U68" s="1" t="str">
        <f t="shared" si="11"/>
        <v>Pastor</v>
      </c>
      <c r="V68" s="196">
        <f t="shared" si="12"/>
        <v>1</v>
      </c>
      <c r="W68" s="196" t="str">
        <f t="shared" si="13"/>
        <v>D</v>
      </c>
      <c r="X68" s="191"/>
      <c r="Y68" s="191"/>
      <c r="Z68" s="191"/>
      <c r="AA68" s="191"/>
    </row>
    <row r="69" spans="2:27" ht="15" customHeight="1" x14ac:dyDescent="0.25">
      <c r="B69" s="1" t="s">
        <v>731</v>
      </c>
      <c r="C69" s="185"/>
      <c r="D69" s="196" t="str">
        <f t="shared" si="5"/>
        <v/>
      </c>
      <c r="E69" s="191">
        <v>0</v>
      </c>
      <c r="F69" s="191">
        <v>0</v>
      </c>
      <c r="G69" s="191">
        <v>0</v>
      </c>
      <c r="H69" s="196">
        <f t="shared" si="6"/>
        <v>0</v>
      </c>
      <c r="I69" s="191">
        <v>1</v>
      </c>
      <c r="J69" s="191">
        <v>40</v>
      </c>
      <c r="K69" s="191"/>
      <c r="L69" s="191" t="s">
        <v>78</v>
      </c>
      <c r="M69" s="191"/>
      <c r="N69" s="191"/>
      <c r="O69" s="196" t="str">
        <f t="shared" si="7"/>
        <v>3 OZ, 0 (0+0)</v>
      </c>
      <c r="P69" s="196" t="str">
        <f t="shared" si="8"/>
        <v/>
      </c>
      <c r="Q69" s="192" t="s">
        <v>677</v>
      </c>
      <c r="R69" s="191">
        <v>2008</v>
      </c>
      <c r="S69" s="196" t="str">
        <f t="shared" si="9"/>
        <v/>
      </c>
      <c r="T69" s="1" t="str">
        <f t="shared" si="10"/>
        <v>Petříček</v>
      </c>
      <c r="U69" s="1" t="str">
        <f t="shared" si="11"/>
        <v>Petříček</v>
      </c>
      <c r="V69" s="196">
        <f t="shared" si="12"/>
        <v>1</v>
      </c>
      <c r="W69" s="196" t="str">
        <f t="shared" si="13"/>
        <v>J</v>
      </c>
      <c r="X69" s="191"/>
      <c r="Y69" s="191"/>
      <c r="Z69" s="191"/>
      <c r="AA69" s="191"/>
    </row>
    <row r="70" spans="2:27" ht="15" customHeight="1" x14ac:dyDescent="0.25">
      <c r="B70" s="1" t="s">
        <v>716</v>
      </c>
      <c r="C70" s="185">
        <v>34274</v>
      </c>
      <c r="D70" s="196">
        <f t="shared" ca="1" si="5"/>
        <v>27</v>
      </c>
      <c r="E70" s="191">
        <v>269</v>
      </c>
      <c r="F70" s="191">
        <v>55</v>
      </c>
      <c r="G70" s="191">
        <v>74</v>
      </c>
      <c r="H70" s="196">
        <f t="shared" si="6"/>
        <v>129</v>
      </c>
      <c r="I70" s="191">
        <v>10</v>
      </c>
      <c r="J70" s="191"/>
      <c r="K70" s="191"/>
      <c r="L70" s="191" t="s">
        <v>78</v>
      </c>
      <c r="M70" s="191">
        <v>183</v>
      </c>
      <c r="N70" s="191">
        <v>77</v>
      </c>
      <c r="O70" s="196" t="str">
        <f t="shared" si="7"/>
        <v>274 OZ, 132 (57+75)</v>
      </c>
      <c r="P70" s="196" t="str">
        <f t="shared" si="8"/>
        <v>183/77</v>
      </c>
      <c r="Q70" s="192" t="s">
        <v>831</v>
      </c>
      <c r="R70" s="191">
        <v>2004</v>
      </c>
      <c r="S70" s="196" t="str">
        <f t="shared" si="9"/>
        <v/>
      </c>
      <c r="T70" s="1" t="str">
        <f t="shared" si="10"/>
        <v>Pluhař</v>
      </c>
      <c r="U70" s="1" t="str">
        <f t="shared" si="11"/>
        <v>Pluhař</v>
      </c>
      <c r="V70" s="196">
        <f t="shared" si="12"/>
        <v>1</v>
      </c>
      <c r="W70" s="196" t="str">
        <f t="shared" si="13"/>
        <v>J</v>
      </c>
      <c r="X70" s="191"/>
      <c r="Y70" s="191"/>
      <c r="Z70" s="191"/>
      <c r="AA70" s="191"/>
    </row>
    <row r="71" spans="2:27" ht="15" customHeight="1" x14ac:dyDescent="0.25">
      <c r="B71" s="1" t="s">
        <v>723</v>
      </c>
      <c r="C71" s="185"/>
      <c r="D71" s="196" t="str">
        <f t="shared" si="5"/>
        <v/>
      </c>
      <c r="E71" s="191">
        <v>0</v>
      </c>
      <c r="F71" s="191">
        <v>0</v>
      </c>
      <c r="G71" s="191">
        <v>0</v>
      </c>
      <c r="H71" s="196">
        <f t="shared" si="6"/>
        <v>0</v>
      </c>
      <c r="I71" s="191">
        <v>1</v>
      </c>
      <c r="J71" s="191"/>
      <c r="K71" s="191"/>
      <c r="L71" s="191" t="s">
        <v>30</v>
      </c>
      <c r="M71" s="191"/>
      <c r="N71" s="191"/>
      <c r="O71" s="196" t="str">
        <f t="shared" si="7"/>
        <v>3 OZ, 1 (1+0)</v>
      </c>
      <c r="P71" s="196" t="str">
        <f t="shared" si="8"/>
        <v/>
      </c>
      <c r="Q71" s="192" t="s">
        <v>677</v>
      </c>
      <c r="R71" s="191">
        <v>2005</v>
      </c>
      <c r="S71" s="196" t="str">
        <f t="shared" si="9"/>
        <v/>
      </c>
      <c r="T71" s="1" t="str">
        <f t="shared" si="10"/>
        <v>Procházka</v>
      </c>
      <c r="U71" s="1" t="str">
        <f t="shared" si="11"/>
        <v>Procházka</v>
      </c>
      <c r="V71" s="196">
        <f t="shared" si="12"/>
        <v>1</v>
      </c>
      <c r="W71" s="196" t="str">
        <f t="shared" si="13"/>
        <v>P</v>
      </c>
      <c r="X71" s="191"/>
      <c r="Y71" s="191"/>
      <c r="Z71" s="191"/>
      <c r="AA71" s="191"/>
    </row>
    <row r="72" spans="2:27" ht="15" customHeight="1" x14ac:dyDescent="0.25">
      <c r="B72" s="1" t="s">
        <v>717</v>
      </c>
      <c r="C72" s="185">
        <v>37043</v>
      </c>
      <c r="D72" s="196">
        <f t="shared" ca="1" si="5"/>
        <v>19</v>
      </c>
      <c r="E72" s="191">
        <v>0</v>
      </c>
      <c r="F72" s="191">
        <v>0</v>
      </c>
      <c r="G72" s="191">
        <v>0</v>
      </c>
      <c r="H72" s="196">
        <f t="shared" si="6"/>
        <v>0</v>
      </c>
      <c r="I72" s="191">
        <v>1</v>
      </c>
      <c r="J72" s="191">
        <v>70</v>
      </c>
      <c r="K72" s="191"/>
      <c r="L72" s="191" t="s">
        <v>78</v>
      </c>
      <c r="M72" s="191">
        <v>180</v>
      </c>
      <c r="N72" s="191">
        <v>69</v>
      </c>
      <c r="O72" s="196" t="str">
        <f t="shared" si="7"/>
        <v>12 OZ, 4 (3+1)</v>
      </c>
      <c r="P72" s="196" t="str">
        <f t="shared" si="8"/>
        <v>180/69</v>
      </c>
      <c r="Q72" s="192" t="s">
        <v>836</v>
      </c>
      <c r="R72" s="191">
        <v>2011</v>
      </c>
      <c r="S72" s="196" t="str">
        <f t="shared" si="9"/>
        <v/>
      </c>
      <c r="T72" s="1" t="str">
        <f t="shared" si="10"/>
        <v>Semerád</v>
      </c>
      <c r="U72" s="1" t="str">
        <f t="shared" si="11"/>
        <v>Semerád</v>
      </c>
      <c r="V72" s="196">
        <f t="shared" si="12"/>
        <v>1</v>
      </c>
      <c r="W72" s="196" t="str">
        <f t="shared" si="13"/>
        <v>D</v>
      </c>
      <c r="X72" s="191"/>
      <c r="Y72" s="191"/>
      <c r="Z72" s="191"/>
      <c r="AA72" s="191"/>
    </row>
    <row r="73" spans="2:27" ht="15" customHeight="1" x14ac:dyDescent="0.25">
      <c r="B73" s="1" t="s">
        <v>708</v>
      </c>
      <c r="C73" s="185">
        <v>30346</v>
      </c>
      <c r="D73" s="196">
        <f t="shared" ca="1" si="5"/>
        <v>38</v>
      </c>
      <c r="E73" s="191">
        <v>283</v>
      </c>
      <c r="F73" s="191">
        <v>149</v>
      </c>
      <c r="G73" s="191">
        <v>148</v>
      </c>
      <c r="H73" s="196">
        <f t="shared" si="6"/>
        <v>297</v>
      </c>
      <c r="I73" s="191">
        <v>14</v>
      </c>
      <c r="J73" s="191">
        <v>50</v>
      </c>
      <c r="K73" s="191"/>
      <c r="L73" s="191" t="s">
        <v>78</v>
      </c>
      <c r="M73" s="191">
        <v>184</v>
      </c>
      <c r="N73" s="191">
        <v>91</v>
      </c>
      <c r="O73" s="196" t="str">
        <f t="shared" si="7"/>
        <v>309 OZ, 320 (156+164)</v>
      </c>
      <c r="P73" s="196" t="str">
        <f t="shared" si="8"/>
        <v>184/91</v>
      </c>
      <c r="Q73" s="192" t="s">
        <v>832</v>
      </c>
      <c r="R73" s="191">
        <v>1998</v>
      </c>
      <c r="S73" s="196" t="str">
        <f t="shared" si="9"/>
        <v/>
      </c>
      <c r="T73" s="1" t="str">
        <f t="shared" si="10"/>
        <v>Slaný</v>
      </c>
      <c r="U73" s="1" t="str">
        <f t="shared" si="11"/>
        <v>Slaný</v>
      </c>
      <c r="V73" s="196">
        <f t="shared" si="12"/>
        <v>1</v>
      </c>
      <c r="W73" s="196" t="str">
        <f t="shared" si="13"/>
        <v>Š</v>
      </c>
      <c r="X73" s="191"/>
      <c r="Y73" s="191"/>
      <c r="Z73" s="191"/>
      <c r="AA73" s="191"/>
    </row>
    <row r="74" spans="2:27" ht="15" customHeight="1" x14ac:dyDescent="0.25">
      <c r="B74" s="4" t="s">
        <v>727</v>
      </c>
      <c r="C74" s="185">
        <v>36660</v>
      </c>
      <c r="D74" s="196">
        <f t="shared" ca="1" si="5"/>
        <v>20</v>
      </c>
      <c r="E74" s="191">
        <v>68</v>
      </c>
      <c r="F74" s="191">
        <v>18</v>
      </c>
      <c r="G74" s="191">
        <v>7</v>
      </c>
      <c r="H74" s="196">
        <f t="shared" si="6"/>
        <v>25</v>
      </c>
      <c r="I74" s="191">
        <v>4</v>
      </c>
      <c r="J74" s="191">
        <v>18</v>
      </c>
      <c r="K74" s="191"/>
      <c r="L74" s="191" t="s">
        <v>78</v>
      </c>
      <c r="M74" s="191">
        <v>194</v>
      </c>
      <c r="N74" s="191">
        <v>89</v>
      </c>
      <c r="O74" s="196" t="str">
        <f t="shared" si="7"/>
        <v>69 OZ, 25 (18+7)</v>
      </c>
      <c r="P74" s="196" t="str">
        <f t="shared" si="8"/>
        <v>194/89</v>
      </c>
      <c r="Q74" s="192" t="s">
        <v>677</v>
      </c>
      <c r="R74" s="191">
        <v>2007</v>
      </c>
      <c r="S74" s="196" t="str">
        <f t="shared" si="9"/>
        <v/>
      </c>
      <c r="T74" s="1" t="str">
        <f t="shared" si="10"/>
        <v>Spilka</v>
      </c>
      <c r="U74" s="1" t="str">
        <f t="shared" si="11"/>
        <v>Spilka</v>
      </c>
      <c r="V74" s="196">
        <f t="shared" si="12"/>
        <v>1</v>
      </c>
      <c r="W74" s="196" t="str">
        <f t="shared" si="13"/>
        <v>J</v>
      </c>
      <c r="X74" s="191"/>
      <c r="Y74" s="191"/>
      <c r="Z74" s="191"/>
      <c r="AA74" s="191"/>
    </row>
    <row r="75" spans="2:27" ht="15" customHeight="1" x14ac:dyDescent="0.25">
      <c r="B75" s="1" t="s">
        <v>718</v>
      </c>
      <c r="C75" s="185">
        <v>37722</v>
      </c>
      <c r="D75" s="196">
        <f t="shared" ca="1" si="5"/>
        <v>17</v>
      </c>
      <c r="E75" s="191">
        <v>0</v>
      </c>
      <c r="F75" s="191">
        <v>0</v>
      </c>
      <c r="G75" s="191">
        <v>0</v>
      </c>
      <c r="H75" s="196">
        <f t="shared" si="6"/>
        <v>0</v>
      </c>
      <c r="I75" s="191">
        <v>1</v>
      </c>
      <c r="J75" s="191">
        <v>20</v>
      </c>
      <c r="K75" s="191"/>
      <c r="L75" s="191" t="s">
        <v>78</v>
      </c>
      <c r="M75" s="191">
        <v>192</v>
      </c>
      <c r="N75" s="191">
        <v>82</v>
      </c>
      <c r="O75" s="196" t="str">
        <f t="shared" si="7"/>
        <v>21 OZ, 2 (2+0)</v>
      </c>
      <c r="P75" s="196" t="str">
        <f t="shared" si="8"/>
        <v>192/82</v>
      </c>
      <c r="Q75" s="192" t="s">
        <v>677</v>
      </c>
      <c r="R75" s="191" t="s">
        <v>30</v>
      </c>
      <c r="S75" s="196" t="str">
        <f t="shared" si="9"/>
        <v/>
      </c>
      <c r="T75" s="1" t="str">
        <f t="shared" si="10"/>
        <v>Stárek</v>
      </c>
      <c r="U75" s="1" t="str">
        <f t="shared" si="11"/>
        <v>Stárek</v>
      </c>
      <c r="V75" s="196">
        <f t="shared" si="12"/>
        <v>1</v>
      </c>
      <c r="W75" s="196" t="str">
        <f t="shared" si="13"/>
        <v>A</v>
      </c>
      <c r="X75" s="191"/>
      <c r="Y75" s="191"/>
      <c r="Z75" s="191"/>
      <c r="AA75" s="191"/>
    </row>
    <row r="76" spans="2:27" ht="15" customHeight="1" x14ac:dyDescent="0.25">
      <c r="B76" s="4" t="s">
        <v>726</v>
      </c>
      <c r="C76" s="185"/>
      <c r="D76" s="196" t="str">
        <f t="shared" si="5"/>
        <v/>
      </c>
      <c r="E76" s="191"/>
      <c r="F76" s="191"/>
      <c r="G76" s="191"/>
      <c r="H76" s="196">
        <f t="shared" si="6"/>
        <v>0</v>
      </c>
      <c r="I76" s="191"/>
      <c r="J76" s="191">
        <v>96</v>
      </c>
      <c r="K76" s="191"/>
      <c r="L76" s="191" t="s">
        <v>78</v>
      </c>
      <c r="M76" s="191">
        <v>181</v>
      </c>
      <c r="N76" s="191">
        <v>87</v>
      </c>
      <c r="O76" s="196" t="str">
        <f t="shared" si="7"/>
        <v>10 OZ, 1 (1+0)</v>
      </c>
      <c r="P76" s="196" t="str">
        <f t="shared" si="8"/>
        <v>181/87</v>
      </c>
      <c r="Q76" s="192" t="s">
        <v>207</v>
      </c>
      <c r="R76" s="191">
        <v>2007</v>
      </c>
      <c r="S76" s="196" t="str">
        <f t="shared" si="9"/>
        <v/>
      </c>
      <c r="T76" s="1" t="str">
        <f t="shared" si="10"/>
        <v>Studený</v>
      </c>
      <c r="U76" s="1" t="str">
        <f t="shared" si="11"/>
        <v>Studený</v>
      </c>
      <c r="V76" s="196">
        <f t="shared" si="12"/>
        <v>1</v>
      </c>
      <c r="W76" s="196" t="str">
        <f t="shared" si="13"/>
        <v>L</v>
      </c>
      <c r="X76" s="191"/>
      <c r="Y76" s="191"/>
      <c r="Z76" s="191"/>
      <c r="AA76" s="191"/>
    </row>
    <row r="77" spans="2:27" ht="15" customHeight="1" x14ac:dyDescent="0.25">
      <c r="B77" s="4" t="s">
        <v>706</v>
      </c>
      <c r="C77" s="185">
        <v>35199</v>
      </c>
      <c r="D77" s="196">
        <f t="shared" ca="1" si="5"/>
        <v>24</v>
      </c>
      <c r="E77" s="191">
        <v>76</v>
      </c>
      <c r="F77" s="191">
        <v>20</v>
      </c>
      <c r="G77" s="191">
        <v>31</v>
      </c>
      <c r="H77" s="196">
        <f t="shared" si="6"/>
        <v>51</v>
      </c>
      <c r="I77" s="191">
        <v>7</v>
      </c>
      <c r="J77" s="191">
        <v>66</v>
      </c>
      <c r="K77" s="191"/>
      <c r="L77" s="191" t="s">
        <v>41</v>
      </c>
      <c r="M77" s="191">
        <v>185</v>
      </c>
      <c r="N77" s="191">
        <v>85</v>
      </c>
      <c r="O77" s="196" t="str">
        <f t="shared" si="7"/>
        <v>102 OZ, 76 (28+48)</v>
      </c>
      <c r="P77" s="196" t="str">
        <f t="shared" si="8"/>
        <v>185/85</v>
      </c>
      <c r="Q77" s="192" t="s">
        <v>831</v>
      </c>
      <c r="R77" s="191">
        <v>2007</v>
      </c>
      <c r="S77" s="196" t="str">
        <f t="shared" si="9"/>
        <v/>
      </c>
      <c r="T77" s="1" t="str">
        <f t="shared" si="10"/>
        <v>Štěrba</v>
      </c>
      <c r="U77" s="1" t="str">
        <f t="shared" si="11"/>
        <v>Štěrba</v>
      </c>
      <c r="V77" s="196">
        <f t="shared" si="12"/>
        <v>1</v>
      </c>
      <c r="W77" s="196" t="str">
        <f t="shared" si="13"/>
        <v>D</v>
      </c>
      <c r="X77" s="191"/>
      <c r="Y77" s="191"/>
      <c r="Z77" s="191"/>
      <c r="AA77" s="191"/>
    </row>
    <row r="78" spans="2:27" ht="15" customHeight="1" x14ac:dyDescent="0.25">
      <c r="B78" s="1" t="s">
        <v>304</v>
      </c>
      <c r="C78" s="185">
        <v>33976</v>
      </c>
      <c r="D78" s="196">
        <f t="shared" ca="1" si="5"/>
        <v>28</v>
      </c>
      <c r="E78" s="191">
        <v>66</v>
      </c>
      <c r="F78" s="191">
        <v>31</v>
      </c>
      <c r="G78" s="191">
        <v>23</v>
      </c>
      <c r="H78" s="196">
        <f t="shared" si="6"/>
        <v>54</v>
      </c>
      <c r="I78" s="191">
        <v>6</v>
      </c>
      <c r="J78" s="191">
        <v>4</v>
      </c>
      <c r="K78" s="191"/>
      <c r="L78" s="191" t="s">
        <v>78</v>
      </c>
      <c r="M78" s="191">
        <v>192</v>
      </c>
      <c r="N78" s="191">
        <v>90</v>
      </c>
      <c r="O78" s="196" t="str">
        <f t="shared" si="7"/>
        <v>80 OZ, 64 (39+25)</v>
      </c>
      <c r="P78" s="196" t="str">
        <f t="shared" si="8"/>
        <v>192/90</v>
      </c>
      <c r="Q78" s="192" t="s">
        <v>677</v>
      </c>
      <c r="R78" s="191">
        <v>2008</v>
      </c>
      <c r="S78" s="196" t="str">
        <f t="shared" si="9"/>
        <v/>
      </c>
      <c r="T78" s="1" t="str">
        <f t="shared" si="10"/>
        <v>Tichý</v>
      </c>
      <c r="U78" s="1" t="str">
        <f t="shared" si="11"/>
        <v>Tichý</v>
      </c>
      <c r="V78" s="196">
        <f t="shared" si="12"/>
        <v>1</v>
      </c>
      <c r="W78" s="196" t="str">
        <f t="shared" si="13"/>
        <v>M</v>
      </c>
      <c r="X78" s="191">
        <v>6</v>
      </c>
      <c r="Y78" s="191">
        <v>2</v>
      </c>
      <c r="Z78" s="191">
        <v>1</v>
      </c>
      <c r="AA78" s="191">
        <v>4</v>
      </c>
    </row>
    <row r="79" spans="2:27" ht="15" customHeight="1" x14ac:dyDescent="0.25">
      <c r="B79" s="1" t="s">
        <v>729</v>
      </c>
      <c r="C79" s="185">
        <v>37758</v>
      </c>
      <c r="D79" s="196">
        <f t="shared" ca="1" si="5"/>
        <v>17</v>
      </c>
      <c r="E79" s="191">
        <v>0</v>
      </c>
      <c r="F79" s="191">
        <v>0</v>
      </c>
      <c r="G79" s="191">
        <v>0</v>
      </c>
      <c r="H79" s="196">
        <f t="shared" si="6"/>
        <v>0</v>
      </c>
      <c r="I79" s="191">
        <v>1</v>
      </c>
      <c r="J79" s="191"/>
      <c r="K79" s="191"/>
      <c r="L79" s="191" t="s">
        <v>78</v>
      </c>
      <c r="M79" s="191">
        <v>187</v>
      </c>
      <c r="N79" s="191">
        <v>76</v>
      </c>
      <c r="O79" s="196" t="str">
        <f t="shared" si="7"/>
        <v>2 OZ, 0 (0+0)</v>
      </c>
      <c r="P79" s="196" t="str">
        <f t="shared" si="8"/>
        <v>187/76</v>
      </c>
      <c r="Q79" s="192" t="s">
        <v>837</v>
      </c>
      <c r="R79" s="191">
        <v>2011</v>
      </c>
      <c r="S79" s="196" t="str">
        <f t="shared" si="9"/>
        <v/>
      </c>
      <c r="T79" s="1" t="str">
        <f t="shared" si="10"/>
        <v>Trčka</v>
      </c>
      <c r="U79" s="1" t="str">
        <f t="shared" si="11"/>
        <v>Trčka</v>
      </c>
      <c r="V79" s="196">
        <f t="shared" si="12"/>
        <v>1</v>
      </c>
      <c r="W79" s="196" t="str">
        <f t="shared" si="13"/>
        <v>V</v>
      </c>
      <c r="X79" s="191"/>
      <c r="Y79" s="191"/>
      <c r="Z79" s="191"/>
      <c r="AA79" s="191"/>
    </row>
    <row r="80" spans="2:27" ht="15" customHeight="1" x14ac:dyDescent="0.25">
      <c r="B80" s="1" t="s">
        <v>720</v>
      </c>
      <c r="C80" s="185">
        <v>36722</v>
      </c>
      <c r="D80" s="196">
        <f t="shared" ca="1" si="5"/>
        <v>20</v>
      </c>
      <c r="E80" s="191">
        <v>0</v>
      </c>
      <c r="F80" s="191">
        <v>0</v>
      </c>
      <c r="G80" s="191">
        <v>0</v>
      </c>
      <c r="H80" s="196">
        <f t="shared" si="6"/>
        <v>0</v>
      </c>
      <c r="I80" s="191">
        <v>1</v>
      </c>
      <c r="J80" s="191"/>
      <c r="K80" s="191"/>
      <c r="L80" s="191" t="s">
        <v>78</v>
      </c>
      <c r="M80" s="191">
        <v>182</v>
      </c>
      <c r="N80" s="191">
        <v>83</v>
      </c>
      <c r="O80" s="196" t="str">
        <f t="shared" si="7"/>
        <v>7 OZ, 7 (5+2)</v>
      </c>
      <c r="P80" s="196" t="str">
        <f t="shared" si="8"/>
        <v>182/83</v>
      </c>
      <c r="Q80" s="192" t="s">
        <v>838</v>
      </c>
      <c r="R80" s="191">
        <v>2013</v>
      </c>
      <c r="S80" s="196" t="str">
        <f t="shared" si="9"/>
        <v/>
      </c>
      <c r="T80" s="1" t="str">
        <f t="shared" si="10"/>
        <v>Vavruška</v>
      </c>
      <c r="U80" s="1" t="str">
        <f t="shared" si="11"/>
        <v>Vavruška</v>
      </c>
      <c r="V80" s="196">
        <f t="shared" si="12"/>
        <v>1</v>
      </c>
      <c r="W80" s="196" t="str">
        <f t="shared" si="13"/>
        <v>V</v>
      </c>
      <c r="X80" s="191"/>
      <c r="Y80" s="191"/>
      <c r="Z80" s="191"/>
      <c r="AA80" s="191"/>
    </row>
    <row r="81" spans="1:27" ht="15" customHeight="1" x14ac:dyDescent="0.25">
      <c r="B81" s="1" t="s">
        <v>709</v>
      </c>
      <c r="C81" s="185">
        <v>35758</v>
      </c>
      <c r="D81" s="196">
        <f t="shared" ca="1" si="5"/>
        <v>23</v>
      </c>
      <c r="E81" s="191">
        <v>43</v>
      </c>
      <c r="F81" s="191">
        <v>4</v>
      </c>
      <c r="G81" s="191">
        <v>2</v>
      </c>
      <c r="H81" s="196">
        <f t="shared" si="6"/>
        <v>6</v>
      </c>
      <c r="I81" s="191">
        <v>4</v>
      </c>
      <c r="J81" s="191">
        <v>2</v>
      </c>
      <c r="K81" s="191"/>
      <c r="L81" s="191" t="s">
        <v>78</v>
      </c>
      <c r="M81" s="191">
        <v>185</v>
      </c>
      <c r="N81" s="191">
        <v>75</v>
      </c>
      <c r="O81" s="196" t="str">
        <f t="shared" si="7"/>
        <v>65 OZ, 17 (8+9)</v>
      </c>
      <c r="P81" s="196" t="str">
        <f t="shared" si="8"/>
        <v>185/75</v>
      </c>
      <c r="Q81" s="192" t="s">
        <v>833</v>
      </c>
      <c r="R81" s="191" t="s">
        <v>30</v>
      </c>
      <c r="S81" s="196" t="str">
        <f t="shared" si="9"/>
        <v/>
      </c>
      <c r="T81" s="1" t="str">
        <f t="shared" si="10"/>
        <v>Vlček</v>
      </c>
      <c r="U81" s="1" t="str">
        <f t="shared" si="11"/>
        <v>Vlček</v>
      </c>
      <c r="V81" s="196">
        <f t="shared" si="12"/>
        <v>1</v>
      </c>
      <c r="W81" s="196" t="str">
        <f t="shared" si="13"/>
        <v>J</v>
      </c>
      <c r="X81" s="191"/>
      <c r="Y81" s="191"/>
      <c r="Z81" s="191"/>
      <c r="AA81" s="191"/>
    </row>
    <row r="82" spans="1:27" ht="15" customHeight="1" x14ac:dyDescent="0.25">
      <c r="B82" s="1" t="s">
        <v>719</v>
      </c>
      <c r="C82" s="185">
        <v>37245</v>
      </c>
      <c r="D82" s="196">
        <f t="shared" ca="1" si="5"/>
        <v>19</v>
      </c>
      <c r="E82" s="191">
        <v>0</v>
      </c>
      <c r="F82" s="191">
        <v>0</v>
      </c>
      <c r="G82" s="191">
        <v>0</v>
      </c>
      <c r="H82" s="196">
        <f t="shared" si="6"/>
        <v>0</v>
      </c>
      <c r="I82" s="191">
        <v>1</v>
      </c>
      <c r="J82" s="191">
        <v>80</v>
      </c>
      <c r="K82" s="191"/>
      <c r="L82" s="191" t="s">
        <v>78</v>
      </c>
      <c r="M82" s="191">
        <v>184</v>
      </c>
      <c r="N82" s="191">
        <v>76</v>
      </c>
      <c r="O82" s="196" t="str">
        <f t="shared" si="7"/>
        <v>4 OZ, 2 (1+1)</v>
      </c>
      <c r="P82" s="196" t="str">
        <f t="shared" si="8"/>
        <v>184/76</v>
      </c>
      <c r="Q82" s="192" t="s">
        <v>837</v>
      </c>
      <c r="R82" s="191">
        <v>2011</v>
      </c>
      <c r="S82" s="196" t="str">
        <f t="shared" si="9"/>
        <v/>
      </c>
      <c r="T82" s="1" t="str">
        <f t="shared" si="10"/>
        <v>Vybíral</v>
      </c>
      <c r="U82" s="1" t="str">
        <f t="shared" si="11"/>
        <v>Vybíral</v>
      </c>
      <c r="V82" s="196">
        <f t="shared" si="12"/>
        <v>1</v>
      </c>
      <c r="W82" s="196" t="str">
        <f t="shared" si="13"/>
        <v>F</v>
      </c>
      <c r="X82" s="191"/>
      <c r="Y82" s="191"/>
      <c r="Z82" s="191"/>
      <c r="AA82" s="191"/>
    </row>
    <row r="84" spans="1:27" s="197" customFormat="1" ht="15" customHeight="1" x14ac:dyDescent="0.25">
      <c r="A84" s="7">
        <f ca="1">TODAY()</f>
        <v>44263</v>
      </c>
      <c r="B84" s="197" t="s">
        <v>59</v>
      </c>
      <c r="C84" s="197" t="s">
        <v>66</v>
      </c>
      <c r="D84" s="197" t="s">
        <v>67</v>
      </c>
      <c r="E84" s="401" t="s">
        <v>94</v>
      </c>
      <c r="F84" s="401"/>
      <c r="G84" s="401" t="s">
        <v>100</v>
      </c>
      <c r="H84" s="401"/>
      <c r="I84" s="401"/>
      <c r="J84" s="401"/>
      <c r="K84" s="401"/>
      <c r="Q84" s="9"/>
      <c r="AA84" s="206"/>
    </row>
    <row r="85" spans="1:27" ht="30" customHeight="1" x14ac:dyDescent="0.25">
      <c r="B85" s="186" t="s">
        <v>843</v>
      </c>
      <c r="C85" s="185">
        <v>31211</v>
      </c>
      <c r="D85" s="196">
        <f ca="1">IF(B85&lt;&gt;0,ROUNDDOWN(($A$84-C85)/365.25,0),"")</f>
        <v>35</v>
      </c>
      <c r="E85" s="400" t="s">
        <v>99</v>
      </c>
      <c r="F85" s="400"/>
      <c r="G85" s="400" t="s">
        <v>30</v>
      </c>
      <c r="H85" s="400"/>
      <c r="I85" s="400"/>
      <c r="J85" s="400"/>
      <c r="K85" s="400"/>
    </row>
    <row r="86" spans="1:27" ht="30" customHeight="1" x14ac:dyDescent="0.25">
      <c r="B86" s="186" t="s">
        <v>844</v>
      </c>
      <c r="C86" s="185">
        <v>30597</v>
      </c>
      <c r="D86" s="196">
        <f t="shared" ref="D86:D92" ca="1" si="14">IF(B86&lt;&gt;0,ROUNDDOWN(($A$84-C86)/365.25,0),"")</f>
        <v>37</v>
      </c>
      <c r="E86" s="400" t="s">
        <v>191</v>
      </c>
      <c r="F86" s="400"/>
      <c r="G86" s="400" t="s">
        <v>30</v>
      </c>
      <c r="H86" s="400"/>
      <c r="I86" s="400"/>
      <c r="J86" s="400"/>
      <c r="K86" s="400"/>
    </row>
    <row r="87" spans="1:27" ht="30" customHeight="1" x14ac:dyDescent="0.25">
      <c r="B87" s="186" t="s">
        <v>845</v>
      </c>
      <c r="C87" s="185">
        <v>31784</v>
      </c>
      <c r="D87" s="196">
        <f t="shared" ca="1" si="14"/>
        <v>34</v>
      </c>
      <c r="E87" s="400" t="s">
        <v>101</v>
      </c>
      <c r="F87" s="400"/>
      <c r="G87" s="400" t="s">
        <v>30</v>
      </c>
      <c r="H87" s="400"/>
      <c r="I87" s="400"/>
      <c r="J87" s="400"/>
      <c r="K87" s="400"/>
    </row>
    <row r="88" spans="1:27" ht="30" customHeight="1" x14ac:dyDescent="0.25">
      <c r="B88" s="186" t="s">
        <v>846</v>
      </c>
      <c r="C88" s="185">
        <v>29101</v>
      </c>
      <c r="D88" s="196">
        <f t="shared" ca="1" si="14"/>
        <v>41</v>
      </c>
      <c r="E88" s="400" t="s">
        <v>101</v>
      </c>
      <c r="F88" s="400"/>
      <c r="G88" s="400" t="s">
        <v>30</v>
      </c>
      <c r="H88" s="400"/>
      <c r="I88" s="400"/>
      <c r="J88" s="400"/>
      <c r="K88" s="400"/>
    </row>
    <row r="89" spans="1:27" ht="30" customHeight="1" x14ac:dyDescent="0.25">
      <c r="B89" s="186"/>
      <c r="C89" s="185"/>
      <c r="D89" s="196" t="str">
        <f t="shared" si="14"/>
        <v/>
      </c>
      <c r="E89" s="400"/>
      <c r="F89" s="400"/>
      <c r="G89" s="400"/>
      <c r="H89" s="400"/>
      <c r="I89" s="400"/>
      <c r="J89" s="400"/>
      <c r="K89" s="400"/>
    </row>
    <row r="90" spans="1:27" ht="30" customHeight="1" x14ac:dyDescent="0.25">
      <c r="B90" s="186"/>
      <c r="C90" s="186"/>
      <c r="D90" s="196" t="str">
        <f t="shared" si="14"/>
        <v/>
      </c>
      <c r="E90" s="400"/>
      <c r="F90" s="400"/>
      <c r="G90" s="400"/>
      <c r="H90" s="400"/>
      <c r="I90" s="400"/>
      <c r="J90" s="400"/>
      <c r="K90" s="400"/>
    </row>
    <row r="91" spans="1:27" ht="30" customHeight="1" x14ac:dyDescent="0.25">
      <c r="B91" s="186"/>
      <c r="C91" s="186"/>
      <c r="D91" s="196" t="str">
        <f t="shared" si="14"/>
        <v/>
      </c>
      <c r="E91" s="400"/>
      <c r="F91" s="400"/>
      <c r="G91" s="400"/>
      <c r="H91" s="400"/>
      <c r="I91" s="400"/>
      <c r="J91" s="400"/>
      <c r="K91" s="400"/>
    </row>
    <row r="92" spans="1:27" ht="30" customHeight="1" x14ac:dyDescent="0.25">
      <c r="B92" s="186"/>
      <c r="C92" s="186"/>
      <c r="D92" s="196" t="str">
        <f t="shared" si="14"/>
        <v/>
      </c>
      <c r="E92" s="400"/>
      <c r="F92" s="400"/>
      <c r="G92" s="400"/>
      <c r="H92" s="400"/>
      <c r="I92" s="400"/>
      <c r="J92" s="400"/>
      <c r="K92" s="400"/>
    </row>
  </sheetData>
  <sheetProtection algorithmName="SHA-512" hashValue="DRSOjcU12XJmG+OwmQOt6XRaMyjXsM4FoRP1LGpI6LHiYVKx+ZOi25wzPkawN5+iucBWWjFMnD4OiJinKDbuig==" saltValue="GW9WSWDn0fBKmDFY+prcAw==" spinCount="100000" sheet="1" objects="1" scenarios="1" selectLockedCells="1"/>
  <sortState ref="B48:AA82">
    <sortCondition ref="U48:U82"/>
    <sortCondition ref="B48:B82"/>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47" priority="1" operator="containsText" text="ANO">
      <formula>NOT(ISERROR(SEARCH("ANO",P2)))</formula>
    </cfRule>
    <cfRule type="containsText" dxfId="4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1"/>
  <dimension ref="A1:F41"/>
  <sheetViews>
    <sheetView topLeftCell="A19" workbookViewId="0">
      <selection activeCell="B41" sqref="B41"/>
    </sheetView>
  </sheetViews>
  <sheetFormatPr defaultRowHeight="15" x14ac:dyDescent="0.25"/>
  <cols>
    <col min="2" max="2" width="18.85546875" bestFit="1" customWidth="1"/>
  </cols>
  <sheetData>
    <row r="1" spans="1:6" x14ac:dyDescent="0.25">
      <c r="A1" s="401" t="s">
        <v>36</v>
      </c>
      <c r="B1" s="1" t="s">
        <v>736</v>
      </c>
      <c r="C1" s="212">
        <v>59</v>
      </c>
      <c r="D1" s="403" t="str">
        <f t="shared" ref="D1" si="0">IFERROR(RIGHT(B1,LEN(B1)-SEARCH(" ",B1)),"")</f>
        <v>Radek Krajcigr</v>
      </c>
      <c r="E1" s="403"/>
      <c r="F1" s="196"/>
    </row>
    <row r="2" spans="1:6" x14ac:dyDescent="0.25">
      <c r="A2" s="401"/>
      <c r="B2" s="1" t="s">
        <v>737</v>
      </c>
      <c r="C2" s="212">
        <v>36</v>
      </c>
      <c r="D2" s="403" t="str">
        <f t="shared" ref="D2:D30" si="1">IFERROR(RIGHT(B2,LEN(B2)-SEARCH(" ",B2)),"")</f>
        <v>Jaromír Ekl</v>
      </c>
      <c r="E2" s="403"/>
      <c r="F2" s="196"/>
    </row>
    <row r="3" spans="1:6" x14ac:dyDescent="0.25">
      <c r="A3" s="401"/>
      <c r="B3" s="1" t="s">
        <v>744</v>
      </c>
      <c r="C3" s="212">
        <v>25</v>
      </c>
      <c r="D3" s="403" t="str">
        <f t="shared" si="1"/>
        <v>Daniel Štěrba</v>
      </c>
      <c r="E3" s="403"/>
      <c r="F3" s="196"/>
    </row>
    <row r="4" spans="1:6" x14ac:dyDescent="0.25">
      <c r="A4" s="401"/>
      <c r="B4" s="1" t="s">
        <v>995</v>
      </c>
      <c r="C4" s="212">
        <v>23</v>
      </c>
      <c r="D4" s="403" t="str">
        <f t="shared" si="1"/>
        <v>Štěpán Slaný</v>
      </c>
      <c r="E4" s="403"/>
      <c r="F4" s="196"/>
    </row>
    <row r="5" spans="1:6" x14ac:dyDescent="0.25">
      <c r="A5" s="401"/>
      <c r="B5" s="1" t="s">
        <v>739</v>
      </c>
      <c r="C5" s="212">
        <v>22</v>
      </c>
      <c r="D5" s="403" t="str">
        <f t="shared" si="1"/>
        <v>Jakub Jirsa</v>
      </c>
      <c r="E5" s="403"/>
      <c r="F5" s="196"/>
    </row>
    <row r="6" spans="1:6" x14ac:dyDescent="0.25">
      <c r="A6" s="401" t="s">
        <v>241</v>
      </c>
      <c r="B6" s="1" t="s">
        <v>740</v>
      </c>
      <c r="C6" s="212" t="s">
        <v>996</v>
      </c>
      <c r="D6" s="403" t="str">
        <f t="shared" si="1"/>
        <v>Jan Dvořák</v>
      </c>
      <c r="E6" s="403"/>
      <c r="F6" s="196">
        <f t="shared" ref="F6:F10" si="2">IF(B6&lt;&gt;0,_xlfn.NUMBERVALUE(C6,","),"")</f>
        <v>6.73</v>
      </c>
    </row>
    <row r="7" spans="1:6" x14ac:dyDescent="0.25">
      <c r="A7" s="401"/>
      <c r="B7" s="1" t="s">
        <v>741</v>
      </c>
      <c r="C7" s="212" t="s">
        <v>997</v>
      </c>
      <c r="D7" s="403" t="str">
        <f t="shared" si="1"/>
        <v>Lukáš Chyna</v>
      </c>
      <c r="E7" s="403"/>
      <c r="F7" s="196">
        <f t="shared" si="2"/>
        <v>10.56</v>
      </c>
    </row>
    <row r="8" spans="1:6" x14ac:dyDescent="0.25">
      <c r="A8" s="401"/>
      <c r="B8" s="1" t="s">
        <v>998</v>
      </c>
      <c r="C8" s="212" t="s">
        <v>329</v>
      </c>
      <c r="D8" s="403" t="str">
        <f t="shared" si="1"/>
        <v>Vojtěch Jirka</v>
      </c>
      <c r="E8" s="403"/>
      <c r="F8" s="196">
        <f t="shared" si="2"/>
        <v>0</v>
      </c>
    </row>
    <row r="9" spans="1:6" x14ac:dyDescent="0.25">
      <c r="A9" s="401"/>
      <c r="B9" s="1" t="s">
        <v>999</v>
      </c>
      <c r="C9" s="212" t="s">
        <v>362</v>
      </c>
      <c r="D9" s="403" t="str">
        <f t="shared" si="1"/>
        <v>Tadeáš Dittrich</v>
      </c>
      <c r="E9" s="403"/>
      <c r="F9" s="196">
        <f t="shared" si="2"/>
        <v>15</v>
      </c>
    </row>
    <row r="10" spans="1:6" x14ac:dyDescent="0.25">
      <c r="A10" s="401"/>
      <c r="B10" s="1"/>
      <c r="C10" s="212"/>
      <c r="D10" s="403" t="str">
        <f t="shared" si="1"/>
        <v/>
      </c>
      <c r="E10" s="403"/>
      <c r="F10" s="196" t="str">
        <f t="shared" si="2"/>
        <v/>
      </c>
    </row>
    <row r="11" spans="1:6" x14ac:dyDescent="0.25">
      <c r="A11" s="401" t="s">
        <v>35</v>
      </c>
      <c r="B11" s="1" t="s">
        <v>736</v>
      </c>
      <c r="C11" s="212">
        <v>37</v>
      </c>
      <c r="D11" s="403" t="str">
        <f t="shared" si="1"/>
        <v>Radek Krajcigr</v>
      </c>
      <c r="E11" s="403"/>
      <c r="F11" s="196"/>
    </row>
    <row r="12" spans="1:6" x14ac:dyDescent="0.25">
      <c r="A12" s="401"/>
      <c r="B12" s="1" t="s">
        <v>737</v>
      </c>
      <c r="C12" s="212">
        <v>16</v>
      </c>
      <c r="D12" s="403" t="str">
        <f t="shared" si="1"/>
        <v>Jaromír Ekl</v>
      </c>
      <c r="E12" s="403"/>
      <c r="F12" s="196"/>
    </row>
    <row r="13" spans="1:6" x14ac:dyDescent="0.25">
      <c r="A13" s="401"/>
      <c r="B13" s="1" t="s">
        <v>738</v>
      </c>
      <c r="C13" s="212">
        <v>14</v>
      </c>
      <c r="D13" s="403" t="str">
        <f t="shared" si="1"/>
        <v>Ondřej Kopič</v>
      </c>
      <c r="E13" s="403"/>
      <c r="F13" s="196"/>
    </row>
    <row r="14" spans="1:6" x14ac:dyDescent="0.25">
      <c r="A14" s="401"/>
      <c r="B14" s="1" t="s">
        <v>742</v>
      </c>
      <c r="C14" s="212">
        <v>12</v>
      </c>
      <c r="D14" s="403" t="str">
        <f t="shared" si="1"/>
        <v>Jakub Jirsa</v>
      </c>
      <c r="E14" s="403"/>
      <c r="F14" s="196"/>
    </row>
    <row r="15" spans="1:6" x14ac:dyDescent="0.25">
      <c r="A15" s="401"/>
      <c r="B15" s="1" t="s">
        <v>743</v>
      </c>
      <c r="C15" s="212">
        <v>8</v>
      </c>
      <c r="D15" s="403" t="str">
        <f t="shared" si="1"/>
        <v>Daniel Štěrba</v>
      </c>
      <c r="E15" s="403"/>
      <c r="F15" s="196"/>
    </row>
    <row r="16" spans="1:6" x14ac:dyDescent="0.25">
      <c r="A16" s="401" t="s">
        <v>230</v>
      </c>
      <c r="B16" s="1" t="s">
        <v>740</v>
      </c>
      <c r="C16" s="212">
        <v>8</v>
      </c>
      <c r="D16" s="403" t="str">
        <f t="shared" si="1"/>
        <v>Jan Dvořák</v>
      </c>
      <c r="E16" s="403"/>
      <c r="F16" s="196">
        <f t="shared" ref="F16:F20" si="3">IF(B16&lt;&gt;0,_xlfn.NUMBERVALUE(C16,","),"")</f>
        <v>8</v>
      </c>
    </row>
    <row r="17" spans="1:6" x14ac:dyDescent="0.25">
      <c r="A17" s="401"/>
      <c r="B17" s="1" t="s">
        <v>741</v>
      </c>
      <c r="C17" s="212">
        <v>2</v>
      </c>
      <c r="D17" s="403" t="str">
        <f t="shared" si="1"/>
        <v>Lukáš Chyna</v>
      </c>
      <c r="E17" s="403"/>
      <c r="F17" s="196">
        <f t="shared" si="3"/>
        <v>2</v>
      </c>
    </row>
    <row r="18" spans="1:6" x14ac:dyDescent="0.25">
      <c r="A18" s="401"/>
      <c r="B18" s="1" t="s">
        <v>998</v>
      </c>
      <c r="C18" s="212">
        <v>1</v>
      </c>
      <c r="D18" s="403" t="str">
        <f t="shared" si="1"/>
        <v>Vojtěch Jirka</v>
      </c>
      <c r="E18" s="403"/>
      <c r="F18" s="196">
        <f t="shared" si="3"/>
        <v>1</v>
      </c>
    </row>
    <row r="19" spans="1:6" x14ac:dyDescent="0.25">
      <c r="A19" s="401"/>
      <c r="B19" s="1" t="s">
        <v>999</v>
      </c>
      <c r="C19" s="212">
        <v>0</v>
      </c>
      <c r="D19" s="403" t="str">
        <f t="shared" si="1"/>
        <v>Tadeáš Dittrich</v>
      </c>
      <c r="E19" s="403"/>
      <c r="F19" s="196">
        <f t="shared" si="3"/>
        <v>0</v>
      </c>
    </row>
    <row r="20" spans="1:6" x14ac:dyDescent="0.25">
      <c r="A20" s="401"/>
      <c r="B20" s="1"/>
      <c r="C20" s="212"/>
      <c r="D20" s="403" t="str">
        <f t="shared" si="1"/>
        <v/>
      </c>
      <c r="E20" s="403"/>
      <c r="F20" s="196" t="str">
        <f t="shared" si="3"/>
        <v/>
      </c>
    </row>
    <row r="21" spans="1:6" x14ac:dyDescent="0.25">
      <c r="A21" s="401" t="s">
        <v>37</v>
      </c>
      <c r="B21" s="1" t="s">
        <v>736</v>
      </c>
      <c r="C21" s="212">
        <v>22</v>
      </c>
      <c r="D21" s="403" t="str">
        <f t="shared" si="1"/>
        <v>Radek Krajcigr</v>
      </c>
      <c r="E21" s="403"/>
      <c r="F21" s="196"/>
    </row>
    <row r="22" spans="1:6" x14ac:dyDescent="0.25">
      <c r="A22" s="401"/>
      <c r="B22" s="1" t="s">
        <v>737</v>
      </c>
      <c r="C22" s="212">
        <v>20</v>
      </c>
      <c r="D22" s="403" t="str">
        <f t="shared" si="1"/>
        <v>Jaromír Ekl</v>
      </c>
      <c r="E22" s="403"/>
      <c r="F22" s="196"/>
    </row>
    <row r="23" spans="1:6" x14ac:dyDescent="0.25">
      <c r="A23" s="401"/>
      <c r="B23" s="1" t="s">
        <v>744</v>
      </c>
      <c r="C23" s="212">
        <v>17</v>
      </c>
      <c r="D23" s="403" t="str">
        <f t="shared" si="1"/>
        <v>Daniel Štěrba</v>
      </c>
      <c r="E23" s="403"/>
      <c r="F23" s="196"/>
    </row>
    <row r="24" spans="1:6" x14ac:dyDescent="0.25">
      <c r="A24" s="401"/>
      <c r="B24" s="1" t="s">
        <v>995</v>
      </c>
      <c r="C24" s="212">
        <v>16</v>
      </c>
      <c r="D24" s="403" t="str">
        <f t="shared" si="1"/>
        <v>Štěpán Slaný</v>
      </c>
      <c r="E24" s="403"/>
      <c r="F24" s="196"/>
    </row>
    <row r="25" spans="1:6" x14ac:dyDescent="0.25">
      <c r="A25" s="401"/>
      <c r="B25" s="1" t="s">
        <v>739</v>
      </c>
      <c r="C25" s="212">
        <v>10</v>
      </c>
      <c r="D25" s="403" t="str">
        <f t="shared" si="1"/>
        <v>Jakub Jirsa</v>
      </c>
      <c r="E25" s="403"/>
      <c r="F25" s="196"/>
    </row>
    <row r="26" spans="1:6" x14ac:dyDescent="0.25">
      <c r="A26" s="401" t="s">
        <v>38</v>
      </c>
      <c r="B26" s="1" t="s">
        <v>745</v>
      </c>
      <c r="C26" s="212">
        <v>36</v>
      </c>
      <c r="D26" s="403" t="str">
        <f t="shared" si="1"/>
        <v>Jakub Jirsa</v>
      </c>
      <c r="E26" s="403"/>
      <c r="F26" s="196"/>
    </row>
    <row r="27" spans="1:6" x14ac:dyDescent="0.25">
      <c r="A27" s="401"/>
      <c r="B27" s="1" t="s">
        <v>746</v>
      </c>
      <c r="C27" s="212">
        <v>14</v>
      </c>
      <c r="D27" s="403" t="str">
        <f t="shared" si="1"/>
        <v>Radek Krajcigr</v>
      </c>
      <c r="E27" s="403"/>
      <c r="F27" s="196"/>
    </row>
    <row r="28" spans="1:6" x14ac:dyDescent="0.25">
      <c r="A28" s="401"/>
      <c r="B28" s="1" t="s">
        <v>876</v>
      </c>
      <c r="C28" s="212">
        <v>12</v>
      </c>
      <c r="D28" s="403" t="str">
        <f t="shared" si="1"/>
        <v>Štěpán Slaný</v>
      </c>
      <c r="E28" s="403"/>
      <c r="F28" s="196"/>
    </row>
    <row r="29" spans="1:6" x14ac:dyDescent="0.25">
      <c r="A29" s="401"/>
      <c r="B29" s="1" t="s">
        <v>853</v>
      </c>
      <c r="C29" s="212">
        <v>8</v>
      </c>
      <c r="D29" s="403" t="str">
        <f t="shared" si="1"/>
        <v>Ondřej Kopič</v>
      </c>
      <c r="E29" s="403"/>
      <c r="F29" s="196"/>
    </row>
    <row r="30" spans="1:6" x14ac:dyDescent="0.25">
      <c r="A30" s="401"/>
      <c r="B30" s="1" t="s">
        <v>1000</v>
      </c>
      <c r="C30" s="212">
        <v>8</v>
      </c>
      <c r="D30" s="403" t="str">
        <f t="shared" si="1"/>
        <v>Tomáš Kadlec</v>
      </c>
      <c r="E30" s="403"/>
      <c r="F30" s="196"/>
    </row>
    <row r="31" spans="1:6" x14ac:dyDescent="0.25">
      <c r="A31" s="401" t="s">
        <v>331</v>
      </c>
      <c r="B31" s="190" t="s">
        <v>959</v>
      </c>
      <c r="C31" s="190" t="s">
        <v>151</v>
      </c>
      <c r="D31" s="190" t="s">
        <v>695</v>
      </c>
      <c r="E31" s="178" t="str">
        <f>IFERROR(RIGHT(LEFT(D31,LEN(D31)-1),LEN(D31)-2),"")</f>
        <v>9:5</v>
      </c>
    </row>
    <row r="32" spans="1:6" x14ac:dyDescent="0.25">
      <c r="A32" s="401"/>
      <c r="B32" s="190" t="s">
        <v>628</v>
      </c>
      <c r="C32" s="190" t="s">
        <v>146</v>
      </c>
      <c r="D32" s="190" t="s">
        <v>993</v>
      </c>
      <c r="E32" s="178" t="str">
        <f t="shared" ref="E32:E40" si="4">IFERROR(RIGHT(LEFT(D32,LEN(D32)-1),LEN(D32)-2),"")</f>
        <v>4:9</v>
      </c>
    </row>
    <row r="33" spans="1:5" x14ac:dyDescent="0.25">
      <c r="A33" s="401"/>
      <c r="B33" s="190" t="s">
        <v>855</v>
      </c>
      <c r="C33" s="190" t="s">
        <v>144</v>
      </c>
      <c r="D33" s="190" t="s">
        <v>508</v>
      </c>
      <c r="E33" s="178" t="str">
        <f t="shared" si="4"/>
        <v>7:5</v>
      </c>
    </row>
    <row r="34" spans="1:5" x14ac:dyDescent="0.25">
      <c r="A34" s="401"/>
      <c r="B34" s="190" t="s">
        <v>748</v>
      </c>
      <c r="C34" s="190" t="s">
        <v>147</v>
      </c>
      <c r="D34" s="190" t="s">
        <v>852</v>
      </c>
      <c r="E34" s="178" t="str">
        <f t="shared" si="4"/>
        <v>10:6</v>
      </c>
    </row>
    <row r="35" spans="1:5" x14ac:dyDescent="0.25">
      <c r="A35" s="401"/>
      <c r="B35" s="190" t="s">
        <v>474</v>
      </c>
      <c r="C35" s="190" t="s">
        <v>142</v>
      </c>
      <c r="D35" s="190" t="s">
        <v>747</v>
      </c>
      <c r="E35" s="178" t="str">
        <f t="shared" si="4"/>
        <v>2:8</v>
      </c>
    </row>
    <row r="36" spans="1:5" x14ac:dyDescent="0.25">
      <c r="A36" s="401" t="s">
        <v>332</v>
      </c>
      <c r="B36" s="190"/>
      <c r="C36" s="190"/>
      <c r="D36" s="190"/>
      <c r="E36" s="178" t="str">
        <f t="shared" si="4"/>
        <v/>
      </c>
    </row>
    <row r="37" spans="1:5" x14ac:dyDescent="0.25">
      <c r="A37" s="401"/>
      <c r="B37" s="190"/>
      <c r="C37" s="190"/>
      <c r="D37" s="190"/>
      <c r="E37" s="178" t="str">
        <f t="shared" si="4"/>
        <v/>
      </c>
    </row>
    <row r="38" spans="1:5" x14ac:dyDescent="0.25">
      <c r="A38" s="401"/>
      <c r="B38" s="190"/>
      <c r="C38" s="190"/>
      <c r="D38" s="190"/>
      <c r="E38" s="178" t="str">
        <f t="shared" si="4"/>
        <v/>
      </c>
    </row>
    <row r="39" spans="1:5" x14ac:dyDescent="0.25">
      <c r="A39" s="401"/>
      <c r="B39" s="190"/>
      <c r="C39" s="190"/>
      <c r="D39" s="190"/>
      <c r="E39" s="178" t="str">
        <f t="shared" si="4"/>
        <v/>
      </c>
    </row>
    <row r="40" spans="1:5" x14ac:dyDescent="0.25">
      <c r="A40" s="401"/>
      <c r="C40" s="190"/>
      <c r="D40" s="190"/>
      <c r="E40" s="178" t="str">
        <f t="shared" si="4"/>
        <v/>
      </c>
    </row>
    <row r="41" spans="1:5" x14ac:dyDescent="0.25">
      <c r="A41" s="197" t="s">
        <v>333</v>
      </c>
      <c r="B41" s="207" t="s">
        <v>994</v>
      </c>
      <c r="C41" s="190"/>
      <c r="D41" s="190"/>
    </row>
  </sheetData>
  <sheetProtection algorithmName="SHA-512" hashValue="v/c8JscfiTTTlA3aTiH7bIfDFvuTwOxe15p+cDfieAQH09BJI7bHu86iolYFHb79Hs0J+bnz1s7LzLbT6z4fEA==" saltValue="Plq9Mt9rfSh1yisQ6pK14g=="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2"/>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9" customWidth="1"/>
    <col min="15" max="15" width="22" style="199" bestFit="1" customWidth="1"/>
    <col min="16" max="16" width="9.140625" style="199" customWidth="1"/>
    <col min="17" max="17" width="23.140625" style="201" customWidth="1"/>
    <col min="18" max="18" width="9.140625" style="1" customWidth="1"/>
    <col min="19" max="19" width="12.5703125" style="199" bestFit="1" customWidth="1"/>
    <col min="20" max="20" width="11.85546875" style="1" bestFit="1" customWidth="1"/>
    <col min="21" max="23" width="9.140625" style="1"/>
    <col min="24" max="26" width="10.28515625" style="199" customWidth="1"/>
    <col min="27" max="27" width="10.28515625" style="1" customWidth="1"/>
    <col min="28" max="16384" width="9.140625" style="1"/>
  </cols>
  <sheetData>
    <row r="1" spans="1:26" s="200" customFormat="1" ht="15" customHeight="1" x14ac:dyDescent="0.25">
      <c r="A1" s="8" t="s">
        <v>58</v>
      </c>
      <c r="B1" s="200" t="s">
        <v>59</v>
      </c>
      <c r="D1" s="200" t="s">
        <v>60</v>
      </c>
      <c r="E1" s="200" t="s">
        <v>61</v>
      </c>
      <c r="F1" s="200" t="s">
        <v>35</v>
      </c>
      <c r="G1" s="200" t="s">
        <v>62</v>
      </c>
      <c r="H1" s="200" t="s">
        <v>63</v>
      </c>
      <c r="I1" s="200" t="s">
        <v>37</v>
      </c>
      <c r="J1" s="200" t="s">
        <v>36</v>
      </c>
      <c r="K1" s="200" t="s">
        <v>38</v>
      </c>
      <c r="L1" s="200" t="s">
        <v>64</v>
      </c>
      <c r="M1" s="200" t="s">
        <v>30</v>
      </c>
      <c r="N1" s="3" t="s">
        <v>65</v>
      </c>
      <c r="O1" s="200" t="s">
        <v>80</v>
      </c>
      <c r="P1" s="200" t="s">
        <v>439</v>
      </c>
      <c r="Q1" s="115" t="s">
        <v>47</v>
      </c>
    </row>
    <row r="2" spans="1:26" s="4" customFormat="1" x14ac:dyDescent="0.25">
      <c r="A2" s="53">
        <v>1</v>
      </c>
      <c r="B2" s="4" t="s">
        <v>749</v>
      </c>
      <c r="D2" s="5" t="s">
        <v>51</v>
      </c>
      <c r="E2" s="5">
        <v>24</v>
      </c>
      <c r="F2" s="5">
        <v>21</v>
      </c>
      <c r="G2" s="5">
        <v>4</v>
      </c>
      <c r="H2" s="5">
        <v>0</v>
      </c>
      <c r="I2" s="5">
        <v>18</v>
      </c>
      <c r="J2" s="5">
        <v>39</v>
      </c>
      <c r="K2" s="5">
        <v>14</v>
      </c>
      <c r="L2" s="5">
        <v>58</v>
      </c>
      <c r="M2" s="5">
        <v>59</v>
      </c>
      <c r="N2" s="5">
        <v>-1</v>
      </c>
      <c r="O2" s="199"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24 OZ , 39 (21+18), -1 ±</v>
      </c>
      <c r="P2" s="5" t="str">
        <f>IF(B2&lt;&gt;0,IF(IFERROR(VLOOKUP(B2,$B$48:$B$82,1,FALSE)=B2,FALSE),"ANO","NE"),"")</f>
        <v>ANO</v>
      </c>
      <c r="Q2" s="142" t="s">
        <v>30</v>
      </c>
      <c r="S2" s="5"/>
      <c r="X2" s="5"/>
      <c r="Y2" s="5"/>
      <c r="Z2" s="5"/>
    </row>
    <row r="3" spans="1:26" s="4" customFormat="1" x14ac:dyDescent="0.25">
      <c r="A3" s="53">
        <v>2</v>
      </c>
      <c r="B3" s="4" t="s">
        <v>751</v>
      </c>
      <c r="D3" s="5"/>
      <c r="E3" s="5">
        <v>23</v>
      </c>
      <c r="F3" s="5">
        <v>17</v>
      </c>
      <c r="G3" s="5">
        <v>4</v>
      </c>
      <c r="H3" s="5">
        <v>0</v>
      </c>
      <c r="I3" s="5">
        <v>12</v>
      </c>
      <c r="J3" s="5">
        <v>29</v>
      </c>
      <c r="K3" s="5">
        <v>0</v>
      </c>
      <c r="L3" s="5">
        <v>45</v>
      </c>
      <c r="M3" s="5">
        <v>44</v>
      </c>
      <c r="N3" s="5">
        <v>1</v>
      </c>
      <c r="O3" s="199"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29 (17+12), +1 ±</v>
      </c>
      <c r="P3" s="5" t="str">
        <f t="shared" ref="P3:P36" si="1">IF(B3&lt;&gt;0,IF(IFERROR(VLOOKUP(B3,$B$48:$B$82,1,FALSE)=B3,FALSE),"ANO","NE"),"")</f>
        <v>ANO</v>
      </c>
      <c r="Q3" s="142" t="s">
        <v>30</v>
      </c>
      <c r="S3" s="5"/>
      <c r="X3" s="5"/>
      <c r="Y3" s="5"/>
      <c r="Z3" s="5"/>
    </row>
    <row r="4" spans="1:26" s="4" customFormat="1" x14ac:dyDescent="0.25">
      <c r="A4" s="53">
        <v>3</v>
      </c>
      <c r="B4" s="4" t="s">
        <v>750</v>
      </c>
      <c r="D4" s="5" t="s">
        <v>51</v>
      </c>
      <c r="E4" s="5">
        <v>19</v>
      </c>
      <c r="F4" s="5">
        <v>16</v>
      </c>
      <c r="G4" s="5">
        <v>3</v>
      </c>
      <c r="H4" s="5">
        <v>1</v>
      </c>
      <c r="I4" s="5">
        <v>11</v>
      </c>
      <c r="J4" s="5">
        <v>27</v>
      </c>
      <c r="K4" s="5">
        <v>4</v>
      </c>
      <c r="L4" s="5">
        <v>38</v>
      </c>
      <c r="M4" s="5">
        <v>40</v>
      </c>
      <c r="N4" s="5">
        <v>-2</v>
      </c>
      <c r="O4" s="199" t="str">
        <f t="shared" si="0"/>
        <v>19 OZ , 27 (16+11), -2 ±</v>
      </c>
      <c r="P4" s="5" t="str">
        <f t="shared" si="1"/>
        <v>ANO</v>
      </c>
      <c r="Q4" s="142" t="s">
        <v>30</v>
      </c>
      <c r="S4" s="5"/>
      <c r="X4" s="5"/>
      <c r="Y4" s="5"/>
      <c r="Z4" s="5"/>
    </row>
    <row r="5" spans="1:26" s="4" customFormat="1" x14ac:dyDescent="0.25">
      <c r="A5" s="53">
        <v>4</v>
      </c>
      <c r="B5" s="4" t="s">
        <v>753</v>
      </c>
      <c r="D5" s="5"/>
      <c r="E5" s="5">
        <v>22</v>
      </c>
      <c r="F5" s="5">
        <v>9</v>
      </c>
      <c r="G5" s="5">
        <v>0</v>
      </c>
      <c r="H5" s="5">
        <v>0</v>
      </c>
      <c r="I5" s="5">
        <v>17</v>
      </c>
      <c r="J5" s="5">
        <v>26</v>
      </c>
      <c r="K5" s="5">
        <v>4</v>
      </c>
      <c r="L5" s="5">
        <v>50</v>
      </c>
      <c r="M5" s="5">
        <v>44</v>
      </c>
      <c r="N5" s="5">
        <v>6</v>
      </c>
      <c r="O5" s="199" t="str">
        <f t="shared" si="0"/>
        <v>22 OZ , 26 (9+17), +6 ±</v>
      </c>
      <c r="P5" s="5" t="str">
        <f t="shared" si="1"/>
        <v>ANO</v>
      </c>
      <c r="Q5" s="142" t="s">
        <v>30</v>
      </c>
      <c r="S5" s="5"/>
      <c r="X5" s="5"/>
      <c r="Y5" s="5"/>
      <c r="Z5" s="5"/>
    </row>
    <row r="6" spans="1:26" x14ac:dyDescent="0.25">
      <c r="A6" s="54">
        <v>5</v>
      </c>
      <c r="B6" s="1" t="s">
        <v>752</v>
      </c>
      <c r="D6" s="212"/>
      <c r="E6" s="212">
        <v>24</v>
      </c>
      <c r="F6" s="212">
        <v>15</v>
      </c>
      <c r="G6" s="212">
        <v>1</v>
      </c>
      <c r="H6" s="212">
        <v>0</v>
      </c>
      <c r="I6" s="212">
        <v>7</v>
      </c>
      <c r="J6" s="212">
        <v>22</v>
      </c>
      <c r="K6" s="212">
        <v>8</v>
      </c>
      <c r="L6" s="212">
        <v>36</v>
      </c>
      <c r="M6" s="212">
        <v>53</v>
      </c>
      <c r="N6" s="212">
        <v>-17</v>
      </c>
      <c r="O6" s="199" t="str">
        <f t="shared" si="0"/>
        <v>24 OZ , 22 (15+7), -17 ±</v>
      </c>
      <c r="P6" s="5" t="str">
        <f t="shared" si="1"/>
        <v>ANO</v>
      </c>
    </row>
    <row r="7" spans="1:26" x14ac:dyDescent="0.25">
      <c r="A7" s="54">
        <v>6</v>
      </c>
      <c r="B7" s="1" t="s">
        <v>754</v>
      </c>
      <c r="D7" s="212" t="s">
        <v>51</v>
      </c>
      <c r="E7" s="212">
        <v>26</v>
      </c>
      <c r="F7" s="212">
        <v>11</v>
      </c>
      <c r="G7" s="212">
        <v>2</v>
      </c>
      <c r="H7" s="212">
        <v>1</v>
      </c>
      <c r="I7" s="212">
        <v>9</v>
      </c>
      <c r="J7" s="212">
        <v>20</v>
      </c>
      <c r="K7" s="212">
        <v>2</v>
      </c>
      <c r="L7" s="212">
        <v>38</v>
      </c>
      <c r="M7" s="212">
        <v>44</v>
      </c>
      <c r="N7" s="212">
        <v>-6</v>
      </c>
      <c r="O7" s="199" t="str">
        <f t="shared" si="0"/>
        <v>26 OZ , 20 (11+9), -6 ±</v>
      </c>
      <c r="P7" s="5" t="str">
        <f t="shared" si="1"/>
        <v>ANO</v>
      </c>
    </row>
    <row r="8" spans="1:26" x14ac:dyDescent="0.25">
      <c r="A8" s="54">
        <v>7</v>
      </c>
      <c r="B8" s="1" t="s">
        <v>755</v>
      </c>
      <c r="D8" s="212" t="s">
        <v>51</v>
      </c>
      <c r="E8" s="212">
        <v>25</v>
      </c>
      <c r="F8" s="212">
        <v>10</v>
      </c>
      <c r="G8" s="212">
        <v>3</v>
      </c>
      <c r="H8" s="212">
        <v>0</v>
      </c>
      <c r="I8" s="212">
        <v>4</v>
      </c>
      <c r="J8" s="212">
        <v>14</v>
      </c>
      <c r="K8" s="212">
        <v>2</v>
      </c>
      <c r="L8" s="212">
        <v>27</v>
      </c>
      <c r="M8" s="212">
        <v>40</v>
      </c>
      <c r="N8" s="212">
        <v>-13</v>
      </c>
      <c r="O8" s="199" t="str">
        <f t="shared" si="0"/>
        <v>25 OZ , 14 (10+4), -13 ±</v>
      </c>
      <c r="P8" s="5" t="str">
        <f t="shared" si="1"/>
        <v>ANO</v>
      </c>
    </row>
    <row r="9" spans="1:26" x14ac:dyDescent="0.25">
      <c r="A9" s="54">
        <v>8</v>
      </c>
      <c r="B9" s="1" t="s">
        <v>757</v>
      </c>
      <c r="D9" s="212"/>
      <c r="E9" s="212">
        <v>18</v>
      </c>
      <c r="F9" s="212">
        <v>9</v>
      </c>
      <c r="G9" s="212">
        <v>0</v>
      </c>
      <c r="H9" s="212">
        <v>0</v>
      </c>
      <c r="I9" s="212">
        <v>5</v>
      </c>
      <c r="J9" s="212">
        <v>14</v>
      </c>
      <c r="K9" s="212">
        <v>6</v>
      </c>
      <c r="L9" s="212">
        <v>30</v>
      </c>
      <c r="M9" s="212">
        <v>30</v>
      </c>
      <c r="N9" s="212">
        <v>0</v>
      </c>
      <c r="O9" s="199" t="str">
        <f t="shared" si="0"/>
        <v>18 OZ , 14 (9+5), 0 ±</v>
      </c>
      <c r="P9" s="5" t="str">
        <f t="shared" si="1"/>
        <v>ANO</v>
      </c>
    </row>
    <row r="10" spans="1:26" x14ac:dyDescent="0.25">
      <c r="A10" s="54">
        <v>9</v>
      </c>
      <c r="B10" s="1" t="s">
        <v>756</v>
      </c>
      <c r="D10" s="212" t="s">
        <v>48</v>
      </c>
      <c r="E10" s="212">
        <v>25</v>
      </c>
      <c r="F10" s="212">
        <v>1</v>
      </c>
      <c r="G10" s="212">
        <v>0</v>
      </c>
      <c r="H10" s="212">
        <v>0</v>
      </c>
      <c r="I10" s="212">
        <v>12</v>
      </c>
      <c r="J10" s="212">
        <v>13</v>
      </c>
      <c r="K10" s="212">
        <v>8</v>
      </c>
      <c r="L10" s="212">
        <v>54</v>
      </c>
      <c r="M10" s="212">
        <v>54</v>
      </c>
      <c r="N10" s="212">
        <v>0</v>
      </c>
      <c r="O10" s="199" t="str">
        <f t="shared" si="0"/>
        <v>25 OZ , 13 (1+12), 0 ±</v>
      </c>
      <c r="P10" s="5" t="str">
        <f t="shared" si="1"/>
        <v>ANO</v>
      </c>
    </row>
    <row r="11" spans="1:26" x14ac:dyDescent="0.25">
      <c r="A11" s="54">
        <v>10</v>
      </c>
      <c r="B11" s="1" t="s">
        <v>758</v>
      </c>
      <c r="D11" s="212" t="s">
        <v>51</v>
      </c>
      <c r="E11" s="212">
        <v>25</v>
      </c>
      <c r="F11" s="212">
        <v>5</v>
      </c>
      <c r="G11" s="212">
        <v>0</v>
      </c>
      <c r="H11" s="212">
        <v>0</v>
      </c>
      <c r="I11" s="212">
        <v>5</v>
      </c>
      <c r="J11" s="212">
        <v>10</v>
      </c>
      <c r="K11" s="212">
        <v>4</v>
      </c>
      <c r="L11" s="212">
        <v>21</v>
      </c>
      <c r="M11" s="212">
        <v>25</v>
      </c>
      <c r="N11" s="212">
        <v>-4</v>
      </c>
      <c r="O11" s="199" t="str">
        <f t="shared" si="0"/>
        <v>25 OZ , 10 (5+5), -4 ±</v>
      </c>
      <c r="P11" s="5" t="str">
        <f t="shared" si="1"/>
        <v>ANO</v>
      </c>
    </row>
    <row r="12" spans="1:26" x14ac:dyDescent="0.25">
      <c r="A12" s="54">
        <v>11</v>
      </c>
      <c r="B12" s="1" t="s">
        <v>759</v>
      </c>
      <c r="D12" s="212" t="s">
        <v>51</v>
      </c>
      <c r="E12" s="212">
        <v>24</v>
      </c>
      <c r="F12" s="212">
        <v>8</v>
      </c>
      <c r="G12" s="212">
        <v>0</v>
      </c>
      <c r="H12" s="212">
        <v>0</v>
      </c>
      <c r="I12" s="212">
        <v>1</v>
      </c>
      <c r="J12" s="212">
        <v>9</v>
      </c>
      <c r="K12" s="212">
        <v>2</v>
      </c>
      <c r="L12" s="212">
        <v>21</v>
      </c>
      <c r="M12" s="212">
        <v>34</v>
      </c>
      <c r="N12" s="212">
        <v>-13</v>
      </c>
      <c r="O12" s="199" t="str">
        <f t="shared" si="0"/>
        <v>24 OZ , 9 (8+1), -13 ±</v>
      </c>
      <c r="P12" s="5" t="str">
        <f t="shared" si="1"/>
        <v>ANO</v>
      </c>
    </row>
    <row r="13" spans="1:26" x14ac:dyDescent="0.25">
      <c r="A13" s="54">
        <v>12</v>
      </c>
      <c r="B13" s="1" t="s">
        <v>760</v>
      </c>
      <c r="D13" s="212" t="s">
        <v>51</v>
      </c>
      <c r="E13" s="212">
        <v>25</v>
      </c>
      <c r="F13" s="212">
        <v>5</v>
      </c>
      <c r="G13" s="212">
        <v>0</v>
      </c>
      <c r="H13" s="212">
        <v>0</v>
      </c>
      <c r="I13" s="212">
        <v>2</v>
      </c>
      <c r="J13" s="212">
        <v>7</v>
      </c>
      <c r="K13" s="212">
        <v>6</v>
      </c>
      <c r="L13" s="212">
        <v>22</v>
      </c>
      <c r="M13" s="212">
        <v>31</v>
      </c>
      <c r="N13" s="212">
        <v>-9</v>
      </c>
      <c r="O13" s="199" t="str">
        <f t="shared" si="0"/>
        <v>25 OZ , 7 (5+2), -9 ±</v>
      </c>
      <c r="P13" s="5" t="str">
        <f t="shared" si="1"/>
        <v>ANO</v>
      </c>
    </row>
    <row r="14" spans="1:26" x14ac:dyDescent="0.25">
      <c r="A14" s="54">
        <v>13</v>
      </c>
      <c r="B14" s="1" t="s">
        <v>761</v>
      </c>
      <c r="D14" s="212"/>
      <c r="E14" s="212">
        <v>17</v>
      </c>
      <c r="F14" s="212">
        <v>3</v>
      </c>
      <c r="G14" s="212">
        <v>0</v>
      </c>
      <c r="H14" s="212">
        <v>0</v>
      </c>
      <c r="I14" s="212">
        <v>4</v>
      </c>
      <c r="J14" s="212">
        <v>7</v>
      </c>
      <c r="K14" s="212">
        <v>2</v>
      </c>
      <c r="L14" s="212">
        <v>15</v>
      </c>
      <c r="M14" s="212">
        <v>20</v>
      </c>
      <c r="N14" s="212">
        <v>-5</v>
      </c>
      <c r="O14" s="199" t="str">
        <f t="shared" si="0"/>
        <v>17 OZ , 7 (3+4), -5 ±</v>
      </c>
      <c r="P14" s="5" t="str">
        <f t="shared" si="1"/>
        <v>ANO</v>
      </c>
    </row>
    <row r="15" spans="1:26" x14ac:dyDescent="0.25">
      <c r="A15" s="54">
        <v>14</v>
      </c>
      <c r="B15" s="1" t="s">
        <v>762</v>
      </c>
      <c r="D15" s="212" t="s">
        <v>48</v>
      </c>
      <c r="E15" s="212">
        <v>24</v>
      </c>
      <c r="F15" s="212">
        <v>2</v>
      </c>
      <c r="G15" s="212">
        <v>1</v>
      </c>
      <c r="H15" s="212">
        <v>0</v>
      </c>
      <c r="I15" s="212">
        <v>4</v>
      </c>
      <c r="J15" s="212">
        <v>6</v>
      </c>
      <c r="K15" s="212">
        <v>8</v>
      </c>
      <c r="L15" s="212">
        <v>27</v>
      </c>
      <c r="M15" s="212">
        <v>33</v>
      </c>
      <c r="N15" s="212">
        <v>-6</v>
      </c>
      <c r="O15" s="199" t="str">
        <f t="shared" si="0"/>
        <v>24 OZ , 6 (2+4), -6 ±</v>
      </c>
      <c r="P15" s="5" t="str">
        <f t="shared" si="1"/>
        <v>ANO</v>
      </c>
    </row>
    <row r="16" spans="1:26" x14ac:dyDescent="0.25">
      <c r="A16" s="54">
        <v>15</v>
      </c>
      <c r="B16" s="1" t="s">
        <v>763</v>
      </c>
      <c r="D16" s="212"/>
      <c r="E16" s="212">
        <v>14</v>
      </c>
      <c r="F16" s="212">
        <v>3</v>
      </c>
      <c r="G16" s="212">
        <v>2</v>
      </c>
      <c r="H16" s="212">
        <v>0</v>
      </c>
      <c r="I16" s="212">
        <v>2</v>
      </c>
      <c r="J16" s="212">
        <v>5</v>
      </c>
      <c r="K16" s="212">
        <v>4</v>
      </c>
      <c r="L16" s="212">
        <v>18</v>
      </c>
      <c r="M16" s="212">
        <v>20</v>
      </c>
      <c r="N16" s="212">
        <v>-2</v>
      </c>
      <c r="O16" s="199" t="str">
        <f t="shared" si="0"/>
        <v>14 OZ , 5 (3+2), -2 ±</v>
      </c>
      <c r="P16" s="5" t="str">
        <f t="shared" si="1"/>
        <v>ANO</v>
      </c>
    </row>
    <row r="17" spans="1:16" x14ac:dyDescent="0.25">
      <c r="A17" s="54">
        <v>16</v>
      </c>
      <c r="B17" s="1" t="s">
        <v>766</v>
      </c>
      <c r="D17" s="212" t="s">
        <v>48</v>
      </c>
      <c r="E17" s="212">
        <v>22</v>
      </c>
      <c r="F17" s="212">
        <v>2</v>
      </c>
      <c r="G17" s="212">
        <v>0</v>
      </c>
      <c r="H17" s="212">
        <v>0</v>
      </c>
      <c r="I17" s="212">
        <v>2</v>
      </c>
      <c r="J17" s="212">
        <v>4</v>
      </c>
      <c r="K17" s="212">
        <v>4</v>
      </c>
      <c r="L17" s="212">
        <v>28</v>
      </c>
      <c r="M17" s="212">
        <v>37</v>
      </c>
      <c r="N17" s="212">
        <v>-9</v>
      </c>
      <c r="O17" s="199" t="str">
        <f t="shared" si="0"/>
        <v>22 OZ , 4 (2+2), -9 ±</v>
      </c>
      <c r="P17" s="5" t="str">
        <f t="shared" si="1"/>
        <v>ANO</v>
      </c>
    </row>
    <row r="18" spans="1:16" x14ac:dyDescent="0.25">
      <c r="A18" s="54">
        <v>17</v>
      </c>
      <c r="B18" s="1" t="s">
        <v>769</v>
      </c>
      <c r="D18" s="212" t="s">
        <v>51</v>
      </c>
      <c r="E18" s="212">
        <v>8</v>
      </c>
      <c r="F18" s="212">
        <v>1</v>
      </c>
      <c r="G18" s="212">
        <v>0</v>
      </c>
      <c r="H18" s="212">
        <v>0</v>
      </c>
      <c r="I18" s="212">
        <v>3</v>
      </c>
      <c r="J18" s="212">
        <v>4</v>
      </c>
      <c r="K18" s="212">
        <v>4</v>
      </c>
      <c r="L18" s="212">
        <v>5</v>
      </c>
      <c r="M18" s="212">
        <v>8</v>
      </c>
      <c r="N18" s="212">
        <v>-3</v>
      </c>
      <c r="O18" s="199" t="str">
        <f t="shared" si="0"/>
        <v>8 OZ , 4 (1+3), -3 ±</v>
      </c>
      <c r="P18" s="5" t="str">
        <f t="shared" si="1"/>
        <v>ANO</v>
      </c>
    </row>
    <row r="19" spans="1:16" x14ac:dyDescent="0.25">
      <c r="A19" s="54">
        <v>18</v>
      </c>
      <c r="B19" s="1" t="s">
        <v>767</v>
      </c>
      <c r="D19" s="212"/>
      <c r="E19" s="212">
        <v>24</v>
      </c>
      <c r="F19" s="212">
        <v>1</v>
      </c>
      <c r="G19" s="212">
        <v>0</v>
      </c>
      <c r="H19" s="212">
        <v>0</v>
      </c>
      <c r="I19" s="212">
        <v>3</v>
      </c>
      <c r="J19" s="212">
        <v>4</v>
      </c>
      <c r="K19" s="212">
        <v>4</v>
      </c>
      <c r="L19" s="212">
        <v>14</v>
      </c>
      <c r="M19" s="212">
        <v>28</v>
      </c>
      <c r="N19" s="212">
        <v>-14</v>
      </c>
      <c r="O19" s="199" t="str">
        <f t="shared" si="0"/>
        <v>24 OZ , 4 (1+3), -14 ±</v>
      </c>
      <c r="P19" s="5" t="str">
        <f t="shared" si="1"/>
        <v>ANO</v>
      </c>
    </row>
    <row r="20" spans="1:16" x14ac:dyDescent="0.25">
      <c r="A20" s="54">
        <v>19</v>
      </c>
      <c r="B20" s="1" t="s">
        <v>764</v>
      </c>
      <c r="D20" s="212" t="s">
        <v>51</v>
      </c>
      <c r="E20" s="212">
        <v>20</v>
      </c>
      <c r="F20" s="212">
        <v>2</v>
      </c>
      <c r="G20" s="212">
        <v>0</v>
      </c>
      <c r="H20" s="212">
        <v>0</v>
      </c>
      <c r="I20" s="212">
        <v>1</v>
      </c>
      <c r="J20" s="212">
        <v>3</v>
      </c>
      <c r="K20" s="212">
        <v>4</v>
      </c>
      <c r="L20" s="212">
        <v>12</v>
      </c>
      <c r="M20" s="212">
        <v>13</v>
      </c>
      <c r="N20" s="212">
        <v>-1</v>
      </c>
      <c r="O20" s="199" t="str">
        <f t="shared" si="0"/>
        <v>20 OZ , 3 (2+1), -1 ±</v>
      </c>
      <c r="P20" s="5" t="str">
        <f t="shared" si="1"/>
        <v>ANO</v>
      </c>
    </row>
    <row r="21" spans="1:16" x14ac:dyDescent="0.25">
      <c r="A21" s="54">
        <v>20</v>
      </c>
      <c r="B21" s="1" t="s">
        <v>765</v>
      </c>
      <c r="D21" s="212"/>
      <c r="E21" s="212">
        <v>5</v>
      </c>
      <c r="F21" s="212">
        <v>1</v>
      </c>
      <c r="G21" s="212">
        <v>0</v>
      </c>
      <c r="H21" s="212">
        <v>0</v>
      </c>
      <c r="I21" s="212">
        <v>2</v>
      </c>
      <c r="J21" s="212">
        <v>3</v>
      </c>
      <c r="K21" s="212">
        <v>0</v>
      </c>
      <c r="L21" s="212">
        <v>5</v>
      </c>
      <c r="M21" s="212">
        <v>6</v>
      </c>
      <c r="N21" s="212">
        <v>-1</v>
      </c>
      <c r="O21" s="199" t="str">
        <f t="shared" si="0"/>
        <v>5 OZ , 3 (1+2), -1 ±</v>
      </c>
      <c r="P21" s="5" t="str">
        <f t="shared" si="1"/>
        <v>ANO</v>
      </c>
    </row>
    <row r="22" spans="1:16" x14ac:dyDescent="0.25">
      <c r="A22" s="54">
        <v>21</v>
      </c>
      <c r="B22" s="1" t="s">
        <v>768</v>
      </c>
      <c r="D22" s="212" t="s">
        <v>48</v>
      </c>
      <c r="E22" s="212">
        <v>26</v>
      </c>
      <c r="F22" s="212">
        <v>1</v>
      </c>
      <c r="G22" s="212">
        <v>0</v>
      </c>
      <c r="H22" s="212">
        <v>0</v>
      </c>
      <c r="I22" s="212">
        <v>1</v>
      </c>
      <c r="J22" s="212">
        <v>2</v>
      </c>
      <c r="K22" s="212">
        <v>0</v>
      </c>
      <c r="L22" s="212">
        <v>13</v>
      </c>
      <c r="M22" s="212">
        <v>24</v>
      </c>
      <c r="N22" s="212">
        <v>-11</v>
      </c>
      <c r="O22" s="199" t="str">
        <f t="shared" si="0"/>
        <v>26 OZ , 2 (1+1), -11 ±</v>
      </c>
      <c r="P22" s="5" t="str">
        <f t="shared" si="1"/>
        <v>ANO</v>
      </c>
    </row>
    <row r="23" spans="1:16" x14ac:dyDescent="0.25">
      <c r="A23" s="54">
        <v>22</v>
      </c>
      <c r="B23" s="1" t="s">
        <v>957</v>
      </c>
      <c r="D23" s="212" t="s">
        <v>35</v>
      </c>
      <c r="E23" s="212">
        <v>0</v>
      </c>
      <c r="F23" s="212">
        <v>0</v>
      </c>
      <c r="G23" s="212">
        <v>0</v>
      </c>
      <c r="H23" s="212">
        <v>0</v>
      </c>
      <c r="I23" s="212">
        <v>0</v>
      </c>
      <c r="J23" s="212">
        <v>0</v>
      </c>
      <c r="K23" s="212">
        <v>0</v>
      </c>
      <c r="L23" s="212">
        <v>0</v>
      </c>
      <c r="M23" s="212">
        <v>0</v>
      </c>
      <c r="N23" s="212">
        <v>0</v>
      </c>
      <c r="O23" s="199" t="str">
        <f t="shared" si="0"/>
        <v>0 OZ , 0 (0+0), 0 ±</v>
      </c>
      <c r="P23" s="5" t="str">
        <f t="shared" si="1"/>
        <v>ANO</v>
      </c>
    </row>
    <row r="24" spans="1:16" x14ac:dyDescent="0.25">
      <c r="A24" s="53">
        <v>23</v>
      </c>
      <c r="B24" s="4" t="s">
        <v>770</v>
      </c>
      <c r="C24" s="4"/>
      <c r="D24" s="5"/>
      <c r="E24" s="5">
        <v>1</v>
      </c>
      <c r="F24" s="5">
        <v>0</v>
      </c>
      <c r="G24" s="5">
        <v>0</v>
      </c>
      <c r="H24" s="5">
        <v>0</v>
      </c>
      <c r="I24" s="5">
        <v>0</v>
      </c>
      <c r="J24" s="5">
        <v>0</v>
      </c>
      <c r="K24" s="5">
        <v>0</v>
      </c>
      <c r="L24" s="5">
        <v>0</v>
      </c>
      <c r="M24" s="5">
        <v>3</v>
      </c>
      <c r="N24" s="5">
        <v>-3</v>
      </c>
      <c r="O24" s="199" t="str">
        <f t="shared" si="0"/>
        <v>1 OZ , 0 (0+0), -3 ±</v>
      </c>
      <c r="P24" s="5" t="str">
        <f t="shared" si="1"/>
        <v>ANO</v>
      </c>
    </row>
    <row r="25" spans="1:16" x14ac:dyDescent="0.25">
      <c r="A25" s="53">
        <v>24</v>
      </c>
      <c r="B25" s="4" t="s">
        <v>771</v>
      </c>
      <c r="C25" s="4"/>
      <c r="D25" s="5"/>
      <c r="E25" s="5">
        <v>2</v>
      </c>
      <c r="F25" s="5">
        <v>0</v>
      </c>
      <c r="G25" s="5">
        <v>0</v>
      </c>
      <c r="H25" s="5">
        <v>0</v>
      </c>
      <c r="I25" s="5">
        <v>0</v>
      </c>
      <c r="J25" s="5">
        <v>0</v>
      </c>
      <c r="K25" s="5">
        <v>0</v>
      </c>
      <c r="L25" s="5">
        <v>0</v>
      </c>
      <c r="M25" s="5">
        <v>0</v>
      </c>
      <c r="N25" s="5">
        <v>0</v>
      </c>
      <c r="O25" s="199" t="str">
        <f t="shared" si="0"/>
        <v>2 OZ , 0 (0+0), 0 ±</v>
      </c>
      <c r="P25" s="5" t="str">
        <f t="shared" si="1"/>
        <v>ANO</v>
      </c>
    </row>
    <row r="26" spans="1:16" x14ac:dyDescent="0.25">
      <c r="A26" s="53">
        <v>25</v>
      </c>
      <c r="B26" s="4" t="s">
        <v>772</v>
      </c>
      <c r="C26" s="4"/>
      <c r="D26" s="5"/>
      <c r="E26" s="5">
        <v>4</v>
      </c>
      <c r="F26" s="5">
        <v>0</v>
      </c>
      <c r="G26" s="5">
        <v>0</v>
      </c>
      <c r="H26" s="5">
        <v>0</v>
      </c>
      <c r="I26" s="5">
        <v>0</v>
      </c>
      <c r="J26" s="5">
        <v>0</v>
      </c>
      <c r="K26" s="5">
        <v>0</v>
      </c>
      <c r="L26" s="5">
        <v>2</v>
      </c>
      <c r="M26" s="5">
        <v>3</v>
      </c>
      <c r="N26" s="5">
        <v>-1</v>
      </c>
      <c r="O26" s="199" t="str">
        <f t="shared" si="0"/>
        <v>4 OZ , 0 (0+0), -1 ±</v>
      </c>
      <c r="P26" s="5" t="str">
        <f t="shared" si="1"/>
        <v>ANO</v>
      </c>
    </row>
    <row r="27" spans="1:16" x14ac:dyDescent="0.25">
      <c r="A27" s="53">
        <v>26</v>
      </c>
      <c r="B27" s="4" t="s">
        <v>773</v>
      </c>
      <c r="C27" s="4"/>
      <c r="D27" s="5"/>
      <c r="E27" s="5">
        <v>9</v>
      </c>
      <c r="F27" s="5">
        <v>0</v>
      </c>
      <c r="G27" s="5">
        <v>0</v>
      </c>
      <c r="H27" s="5">
        <v>0</v>
      </c>
      <c r="I27" s="5">
        <v>0</v>
      </c>
      <c r="J27" s="5">
        <v>0</v>
      </c>
      <c r="K27" s="5">
        <v>2</v>
      </c>
      <c r="L27" s="5">
        <v>0</v>
      </c>
      <c r="M27" s="5">
        <v>6</v>
      </c>
      <c r="N27" s="5">
        <v>-6</v>
      </c>
      <c r="O27" s="199" t="str">
        <f t="shared" si="0"/>
        <v>9 OZ , 0 (0+0), -6 ±</v>
      </c>
      <c r="P27" s="5" t="str">
        <f t="shared" si="1"/>
        <v>ANO</v>
      </c>
    </row>
    <row r="28" spans="1:16" x14ac:dyDescent="0.25">
      <c r="A28" s="53">
        <v>27</v>
      </c>
      <c r="B28" s="4" t="s">
        <v>774</v>
      </c>
      <c r="C28" s="4"/>
      <c r="D28" s="5" t="s">
        <v>35</v>
      </c>
      <c r="E28" s="5">
        <v>0</v>
      </c>
      <c r="F28" s="5">
        <v>0</v>
      </c>
      <c r="G28" s="5">
        <v>0</v>
      </c>
      <c r="H28" s="5">
        <v>0</v>
      </c>
      <c r="I28" s="5">
        <v>0</v>
      </c>
      <c r="J28" s="5">
        <v>0</v>
      </c>
      <c r="K28" s="5">
        <v>0</v>
      </c>
      <c r="L28" s="5">
        <v>0</v>
      </c>
      <c r="M28" s="5">
        <v>0</v>
      </c>
      <c r="N28" s="5">
        <v>0</v>
      </c>
      <c r="O28" s="199" t="str">
        <f t="shared" si="0"/>
        <v>0 OZ , 0 (0+0), 0 ±</v>
      </c>
      <c r="P28" s="5" t="str">
        <f t="shared" si="1"/>
        <v>ANO</v>
      </c>
    </row>
    <row r="29" spans="1:16" ht="15" customHeight="1" x14ac:dyDescent="0.25">
      <c r="A29" s="53">
        <v>28</v>
      </c>
      <c r="B29" s="4" t="s">
        <v>775</v>
      </c>
      <c r="C29" s="4"/>
      <c r="D29" s="5"/>
      <c r="E29" s="5">
        <v>0</v>
      </c>
      <c r="F29" s="5">
        <v>0</v>
      </c>
      <c r="G29" s="5">
        <v>0</v>
      </c>
      <c r="H29" s="5">
        <v>0</v>
      </c>
      <c r="I29" s="5">
        <v>0</v>
      </c>
      <c r="J29" s="5">
        <v>0</v>
      </c>
      <c r="K29" s="5">
        <v>0</v>
      </c>
      <c r="L29" s="5">
        <v>0</v>
      </c>
      <c r="M29" s="5">
        <v>0</v>
      </c>
      <c r="N29" s="5">
        <v>0</v>
      </c>
      <c r="O29" s="199" t="str">
        <f t="shared" si="0"/>
        <v>0 OZ , 0 (0+0), 0 ±</v>
      </c>
      <c r="P29" s="5" t="str">
        <f t="shared" si="1"/>
        <v>ANO</v>
      </c>
    </row>
    <row r="30" spans="1:16" x14ac:dyDescent="0.25">
      <c r="A30" s="54"/>
      <c r="O30" s="199" t="str">
        <f t="shared" si="0"/>
        <v/>
      </c>
      <c r="P30" s="5" t="str">
        <f t="shared" si="1"/>
        <v/>
      </c>
    </row>
    <row r="31" spans="1:16" x14ac:dyDescent="0.25">
      <c r="A31" s="54"/>
      <c r="O31" s="199" t="str">
        <f t="shared" si="0"/>
        <v/>
      </c>
      <c r="P31" s="5" t="str">
        <f t="shared" si="1"/>
        <v/>
      </c>
    </row>
    <row r="32" spans="1:16" x14ac:dyDescent="0.25">
      <c r="A32" s="54"/>
      <c r="O32" s="199" t="str">
        <f t="shared" si="0"/>
        <v/>
      </c>
      <c r="P32" s="5" t="str">
        <f t="shared" si="1"/>
        <v/>
      </c>
    </row>
    <row r="33" spans="1:27" x14ac:dyDescent="0.25">
      <c r="A33" s="54"/>
      <c r="O33" s="199" t="str">
        <f t="shared" si="0"/>
        <v/>
      </c>
      <c r="P33" s="5" t="str">
        <f t="shared" si="1"/>
        <v/>
      </c>
    </row>
    <row r="34" spans="1:27" x14ac:dyDescent="0.25">
      <c r="A34" s="54"/>
      <c r="O34" s="199" t="str">
        <f t="shared" si="0"/>
        <v/>
      </c>
      <c r="P34" s="5" t="str">
        <f t="shared" si="1"/>
        <v/>
      </c>
    </row>
    <row r="35" spans="1:27" x14ac:dyDescent="0.25">
      <c r="A35" s="54"/>
      <c r="O35" s="199" t="str">
        <f t="shared" si="0"/>
        <v/>
      </c>
      <c r="P35" s="5" t="str">
        <f t="shared" si="1"/>
        <v/>
      </c>
    </row>
    <row r="36" spans="1:27" x14ac:dyDescent="0.25">
      <c r="A36" s="54"/>
      <c r="O36" s="199" t="str">
        <f t="shared" si="0"/>
        <v/>
      </c>
      <c r="P36" s="5" t="str">
        <f t="shared" si="1"/>
        <v/>
      </c>
    </row>
    <row r="38" spans="1:27" s="200" customFormat="1" ht="15" customHeight="1" x14ac:dyDescent="0.25">
      <c r="A38" s="8" t="s">
        <v>58</v>
      </c>
      <c r="B38" s="200" t="s">
        <v>59</v>
      </c>
      <c r="D38" s="200" t="s">
        <v>83</v>
      </c>
      <c r="E38" s="200" t="s">
        <v>84</v>
      </c>
      <c r="F38" s="200" t="s">
        <v>85</v>
      </c>
      <c r="G38" s="200" t="s">
        <v>40</v>
      </c>
      <c r="H38" s="200" t="s">
        <v>86</v>
      </c>
      <c r="I38" s="200" t="s">
        <v>87</v>
      </c>
      <c r="J38" s="200" t="s">
        <v>88</v>
      </c>
      <c r="K38" s="200" t="s">
        <v>79</v>
      </c>
      <c r="L38" s="200" t="s">
        <v>41</v>
      </c>
      <c r="M38" s="200" t="s">
        <v>89</v>
      </c>
      <c r="N38" s="3" t="s">
        <v>37</v>
      </c>
      <c r="O38" s="200" t="s">
        <v>38</v>
      </c>
      <c r="P38" s="200" t="s">
        <v>90</v>
      </c>
      <c r="Q38" s="200" t="s">
        <v>91</v>
      </c>
      <c r="R38" s="200" t="s">
        <v>92</v>
      </c>
    </row>
    <row r="39" spans="1:27" x14ac:dyDescent="0.25">
      <c r="A39" s="54">
        <v>1</v>
      </c>
      <c r="B39" t="s">
        <v>775</v>
      </c>
      <c r="C39"/>
      <c r="D39" s="190">
        <v>26</v>
      </c>
      <c r="E39" s="190">
        <v>23</v>
      </c>
      <c r="F39" s="190">
        <v>1206.03</v>
      </c>
      <c r="G39" s="190">
        <v>11</v>
      </c>
      <c r="H39" s="190">
        <v>115</v>
      </c>
      <c r="I39" s="190">
        <v>1</v>
      </c>
      <c r="J39" s="190">
        <v>507</v>
      </c>
      <c r="K39" s="190">
        <v>0</v>
      </c>
      <c r="L39" s="190">
        <v>12</v>
      </c>
      <c r="M39" s="190">
        <v>392</v>
      </c>
      <c r="N39" s="190">
        <v>0</v>
      </c>
      <c r="O39" s="190">
        <v>0</v>
      </c>
      <c r="P39" s="11">
        <f>IF(B39&lt;&gt;0,IFERROR(H39/(F39/60),0),"")</f>
        <v>5.721250715156339</v>
      </c>
      <c r="Q39" s="11">
        <f>IF(B39&lt;&gt;0,IFERROR((M39/J39)*100,0),"")</f>
        <v>77.317554240631154</v>
      </c>
      <c r="R39" s="199" t="str">
        <f>IF(B39&lt;&gt;0,CONCATENATE(G39, " V, ",L39," P"),"")</f>
        <v>11 V, 12 P</v>
      </c>
    </row>
    <row r="40" spans="1:27" x14ac:dyDescent="0.25">
      <c r="A40" s="54">
        <v>2</v>
      </c>
      <c r="B40" t="s">
        <v>774</v>
      </c>
      <c r="C40"/>
      <c r="D40" s="190">
        <v>25</v>
      </c>
      <c r="E40" s="190">
        <v>8</v>
      </c>
      <c r="F40" s="190">
        <v>356.9</v>
      </c>
      <c r="G40" s="190">
        <v>3</v>
      </c>
      <c r="H40" s="190">
        <v>38</v>
      </c>
      <c r="I40" s="190">
        <v>0</v>
      </c>
      <c r="J40" s="190">
        <v>192</v>
      </c>
      <c r="K40" s="190">
        <v>0</v>
      </c>
      <c r="L40" s="190">
        <v>5</v>
      </c>
      <c r="M40" s="190">
        <v>154</v>
      </c>
      <c r="N40" s="190">
        <v>0</v>
      </c>
      <c r="O40" s="190">
        <v>0</v>
      </c>
      <c r="P40" s="11">
        <f t="shared" ref="P40:P45" si="2">IF(B40&lt;&gt;0,IFERROR(H40/(F40/60),0),"")</f>
        <v>6.3883440739703001</v>
      </c>
      <c r="Q40" s="11">
        <f t="shared" ref="Q40:Q45" si="3">IF(B40&lt;&gt;0,IFERROR((M40/J40)*100,0),"")</f>
        <v>80.208333333333343</v>
      </c>
      <c r="R40" s="199" t="str">
        <f t="shared" ref="R40:R45" si="4">IF(B40&lt;&gt;0,CONCATENATE(G40, " V, ",L40," P"),"")</f>
        <v>3 V, 5 P</v>
      </c>
    </row>
    <row r="41" spans="1:27" x14ac:dyDescent="0.25">
      <c r="A41" s="54">
        <v>3</v>
      </c>
      <c r="B41" t="s">
        <v>957</v>
      </c>
      <c r="C41"/>
      <c r="D41" s="190">
        <v>1</v>
      </c>
      <c r="E41" s="190">
        <v>0</v>
      </c>
      <c r="F41" s="190">
        <v>0</v>
      </c>
      <c r="G41" s="190">
        <v>0</v>
      </c>
      <c r="H41" s="190">
        <v>0</v>
      </c>
      <c r="I41" s="190">
        <v>0</v>
      </c>
      <c r="J41" s="190">
        <v>0</v>
      </c>
      <c r="K41" s="190">
        <v>0</v>
      </c>
      <c r="L41" s="190">
        <v>0</v>
      </c>
      <c r="M41" s="190">
        <v>0</v>
      </c>
      <c r="N41" s="190">
        <v>0</v>
      </c>
      <c r="O41" s="190">
        <v>0</v>
      </c>
      <c r="P41" s="11">
        <f t="shared" si="2"/>
        <v>0</v>
      </c>
      <c r="Q41" s="11">
        <f t="shared" si="3"/>
        <v>0</v>
      </c>
      <c r="R41" s="199" t="str">
        <f t="shared" si="4"/>
        <v>0 V, 0 P</v>
      </c>
    </row>
    <row r="42" spans="1:27" x14ac:dyDescent="0.25">
      <c r="A42" s="54">
        <v>4</v>
      </c>
      <c r="B42" t="s">
        <v>760</v>
      </c>
      <c r="C42"/>
      <c r="D42" s="190">
        <v>1</v>
      </c>
      <c r="E42" s="190">
        <v>0</v>
      </c>
      <c r="F42" s="123">
        <v>0</v>
      </c>
      <c r="G42" s="190">
        <v>0</v>
      </c>
      <c r="H42" s="190">
        <v>0</v>
      </c>
      <c r="I42" s="190">
        <v>0</v>
      </c>
      <c r="J42" s="190">
        <v>0</v>
      </c>
      <c r="K42" s="190">
        <v>0</v>
      </c>
      <c r="L42" s="190">
        <v>0</v>
      </c>
      <c r="M42" s="190">
        <v>0</v>
      </c>
      <c r="N42" s="190">
        <v>0</v>
      </c>
      <c r="O42" s="190">
        <v>2</v>
      </c>
      <c r="P42" s="11">
        <f t="shared" si="2"/>
        <v>0</v>
      </c>
      <c r="Q42" s="11">
        <f t="shared" si="3"/>
        <v>0</v>
      </c>
      <c r="R42" s="199" t="str">
        <f t="shared" si="4"/>
        <v>0 V, 0 P</v>
      </c>
    </row>
    <row r="43" spans="1:27" x14ac:dyDescent="0.25">
      <c r="A43" s="54"/>
      <c r="F43" s="11"/>
      <c r="P43" s="11" t="str">
        <f t="shared" si="2"/>
        <v/>
      </c>
      <c r="Q43" s="11" t="str">
        <f t="shared" si="3"/>
        <v/>
      </c>
      <c r="R43" s="199" t="str">
        <f t="shared" si="4"/>
        <v/>
      </c>
    </row>
    <row r="44" spans="1:27" x14ac:dyDescent="0.25">
      <c r="A44" s="54"/>
      <c r="F44" s="11"/>
      <c r="P44" s="11" t="str">
        <f t="shared" si="2"/>
        <v/>
      </c>
      <c r="Q44" s="11" t="str">
        <f t="shared" si="3"/>
        <v/>
      </c>
      <c r="R44" s="199" t="str">
        <f t="shared" si="4"/>
        <v/>
      </c>
    </row>
    <row r="45" spans="1:27" ht="15" customHeight="1" x14ac:dyDescent="0.25">
      <c r="A45" s="118"/>
      <c r="P45" s="11" t="str">
        <f t="shared" si="2"/>
        <v/>
      </c>
      <c r="Q45" s="11" t="str">
        <f t="shared" si="3"/>
        <v/>
      </c>
      <c r="R45" s="199" t="str">
        <f t="shared" si="4"/>
        <v/>
      </c>
    </row>
    <row r="46" spans="1:27" ht="15" customHeight="1" x14ac:dyDescent="0.25">
      <c r="X46" s="402" t="s">
        <v>289</v>
      </c>
      <c r="Y46" s="402"/>
      <c r="Z46" s="402"/>
      <c r="AA46" s="402"/>
    </row>
    <row r="47" spans="1:27" s="200" customFormat="1" ht="15" customHeight="1" x14ac:dyDescent="0.25">
      <c r="A47" s="7">
        <f ca="1">TODAY()</f>
        <v>44263</v>
      </c>
      <c r="B47" s="200" t="s">
        <v>59</v>
      </c>
      <c r="C47" s="200" t="s">
        <v>66</v>
      </c>
      <c r="D47" s="200" t="s">
        <v>67</v>
      </c>
      <c r="E47" s="200" t="s">
        <v>70</v>
      </c>
      <c r="F47" s="200" t="s">
        <v>71</v>
      </c>
      <c r="G47" s="200" t="s">
        <v>72</v>
      </c>
      <c r="H47" s="200" t="s">
        <v>73</v>
      </c>
      <c r="I47" s="200" t="s">
        <v>45</v>
      </c>
      <c r="J47" s="200" t="s">
        <v>58</v>
      </c>
      <c r="K47" s="200" t="s">
        <v>159</v>
      </c>
      <c r="L47" s="200" t="s">
        <v>77</v>
      </c>
      <c r="M47" s="200" t="s">
        <v>68</v>
      </c>
      <c r="N47" s="200" t="s">
        <v>69</v>
      </c>
      <c r="O47" s="200" t="s">
        <v>81</v>
      </c>
      <c r="P47" s="200" t="s">
        <v>82</v>
      </c>
      <c r="Q47" s="200" t="s">
        <v>74</v>
      </c>
      <c r="R47" s="200" t="s">
        <v>75</v>
      </c>
      <c r="S47" s="200" t="s">
        <v>93</v>
      </c>
      <c r="T47" s="200" t="s">
        <v>158</v>
      </c>
      <c r="U47" s="200" t="s">
        <v>281</v>
      </c>
      <c r="V47" s="200" t="s">
        <v>282</v>
      </c>
      <c r="W47" s="200" t="s">
        <v>283</v>
      </c>
      <c r="X47" s="200" t="s">
        <v>288</v>
      </c>
      <c r="Y47" s="200" t="s">
        <v>286</v>
      </c>
      <c r="Z47" s="200" t="s">
        <v>287</v>
      </c>
      <c r="AA47" s="200" t="s">
        <v>462</v>
      </c>
    </row>
    <row r="48" spans="1:27" ht="15" customHeight="1" x14ac:dyDescent="0.25">
      <c r="B48" s="1" t="s">
        <v>761</v>
      </c>
      <c r="C48" s="185">
        <v>36458</v>
      </c>
      <c r="D48" s="199">
        <f t="shared" ref="D48:D75" ca="1" si="5">IF(C48 &lt;&gt; 0,ROUNDDOWN(($A$47-C48)/365.25,0),"")</f>
        <v>21</v>
      </c>
      <c r="E48" s="191">
        <v>63</v>
      </c>
      <c r="F48" s="191">
        <v>26</v>
      </c>
      <c r="G48" s="191">
        <v>13</v>
      </c>
      <c r="H48" s="199">
        <f t="shared" ref="H48:H75" si="6">IF(B48&lt;&gt;0,F48+G48,"")</f>
        <v>39</v>
      </c>
      <c r="I48" s="191">
        <v>5</v>
      </c>
      <c r="J48" s="191">
        <v>86</v>
      </c>
      <c r="K48" s="191"/>
      <c r="L48" s="191" t="s">
        <v>78</v>
      </c>
      <c r="M48" s="191">
        <v>189</v>
      </c>
      <c r="N48" s="191">
        <v>85</v>
      </c>
      <c r="O48" s="199" t="str">
        <f t="shared" ref="O48:O75" si="7">IF(B48&lt;&gt;0,CONCATENATE(E48+IFERROR(VLOOKUP(B48,$B$2:$N$36,4,FALSE),0) + X48, " OZ, ", H48+IFERROR(VLOOKUP(B48,$B$2:$N$36,9,FALSE),0) + Y48+Z48, " (", F48+IFERROR(VLOOKUP(B48,$B$2:$N$36,5,FALSE),0) + Y48, "+",G48+IFERROR(VLOOKUP(B48,$B$2:$N$36,8,FALSE),0) +  Z48, ")"), "")</f>
        <v>80 OZ, 46 (29+17)</v>
      </c>
      <c r="P48" s="199" t="str">
        <f t="shared" ref="P48:P75" si="8">IF(M48&lt;&gt;0,CONCATENATE(M48,"/",N48),"")</f>
        <v>189/85</v>
      </c>
      <c r="Q48" s="192" t="s">
        <v>817</v>
      </c>
      <c r="R48" s="191">
        <v>2012</v>
      </c>
      <c r="S48" s="199" t="str">
        <f t="shared" ref="S48:S75" si="9">IFERROR(CONCATENATE(E48+VLOOKUP(B48,$B$39:$R$42,4,FALSE), " OZ, ",G48+VLOOKUP(B48,$B$39:$R$42,13,FALSE), " A"),"")</f>
        <v/>
      </c>
      <c r="T48" s="1" t="str">
        <f t="shared" ref="T48:T75" si="10">IF(B48&lt;&gt;0,IF(V48=1,U48,CONCATENATE(U48," ",W48,".")),"")</f>
        <v>Balatka</v>
      </c>
      <c r="U48" s="1" t="str">
        <f t="shared" ref="U48:U75" si="11">IFERROR(RIGHT(B48,LEN(B48)-SEARCH(" ", B48,1)),"")</f>
        <v>Balatka</v>
      </c>
      <c r="V48" s="199">
        <f t="shared" ref="V48:V75" si="12">IF(B48&lt;&gt;0,COUNTIF($U$48:$U$82,U48),"")</f>
        <v>1</v>
      </c>
      <c r="W48" s="199" t="str">
        <f t="shared" ref="W48:W75" si="13">IFERROR(LEFT(LEFT(B48,SEARCH(" ",B48,1)),1),"")</f>
        <v>A</v>
      </c>
      <c r="X48" s="191"/>
      <c r="Y48" s="191"/>
      <c r="Z48" s="191"/>
      <c r="AA48" s="186"/>
    </row>
    <row r="49" spans="2:27" ht="15" customHeight="1" x14ac:dyDescent="0.25">
      <c r="B49" s="1" t="s">
        <v>760</v>
      </c>
      <c r="C49" s="185">
        <v>34442</v>
      </c>
      <c r="D49" s="199">
        <f t="shared" ca="1" si="5"/>
        <v>26</v>
      </c>
      <c r="E49" s="191">
        <v>118</v>
      </c>
      <c r="F49" s="191">
        <v>26</v>
      </c>
      <c r="G49" s="191">
        <v>9</v>
      </c>
      <c r="H49" s="199">
        <f t="shared" si="6"/>
        <v>35</v>
      </c>
      <c r="I49" s="191">
        <v>10</v>
      </c>
      <c r="J49" s="191">
        <v>48</v>
      </c>
      <c r="K49" s="191"/>
      <c r="L49" s="191" t="s">
        <v>78</v>
      </c>
      <c r="M49" s="191">
        <v>185</v>
      </c>
      <c r="N49" s="191">
        <v>86</v>
      </c>
      <c r="O49" s="199" t="str">
        <f t="shared" si="7"/>
        <v>143 OZ, 42 (31+11)</v>
      </c>
      <c r="P49" s="199" t="str">
        <f t="shared" si="8"/>
        <v>185/86</v>
      </c>
      <c r="Q49" s="192" t="s">
        <v>816</v>
      </c>
      <c r="R49" s="191">
        <v>2001</v>
      </c>
      <c r="S49" s="199" t="str">
        <f t="shared" si="9"/>
        <v>118 OZ, 9 A</v>
      </c>
      <c r="T49" s="1" t="str">
        <f t="shared" si="10"/>
        <v>Baudisch</v>
      </c>
      <c r="U49" s="1" t="str">
        <f t="shared" si="11"/>
        <v>Baudisch</v>
      </c>
      <c r="V49" s="199">
        <f t="shared" si="12"/>
        <v>1</v>
      </c>
      <c r="W49" s="199" t="str">
        <f t="shared" si="13"/>
        <v>J</v>
      </c>
      <c r="X49" s="191"/>
      <c r="Y49" s="191"/>
      <c r="Z49" s="191"/>
      <c r="AA49" s="186"/>
    </row>
    <row r="50" spans="2:27" ht="15" customHeight="1" x14ac:dyDescent="0.25">
      <c r="B50" s="1" t="s">
        <v>768</v>
      </c>
      <c r="C50" s="185">
        <v>35107</v>
      </c>
      <c r="D50" s="199">
        <f t="shared" ca="1" si="5"/>
        <v>25</v>
      </c>
      <c r="E50" s="191">
        <v>95</v>
      </c>
      <c r="F50" s="191">
        <v>3</v>
      </c>
      <c r="G50" s="191">
        <v>11</v>
      </c>
      <c r="H50" s="199">
        <f t="shared" si="6"/>
        <v>14</v>
      </c>
      <c r="I50" s="191">
        <v>5</v>
      </c>
      <c r="J50" s="191">
        <v>8</v>
      </c>
      <c r="K50" s="191"/>
      <c r="L50" s="191" t="s">
        <v>78</v>
      </c>
      <c r="M50" s="191">
        <v>180</v>
      </c>
      <c r="N50" s="191">
        <v>73</v>
      </c>
      <c r="O50" s="199" t="str">
        <f t="shared" si="7"/>
        <v>121 OZ, 16 (4+12)</v>
      </c>
      <c r="P50" s="199" t="str">
        <f t="shared" si="8"/>
        <v>180/73</v>
      </c>
      <c r="Q50" s="192" t="s">
        <v>112</v>
      </c>
      <c r="R50" s="191">
        <v>2011</v>
      </c>
      <c r="S50" s="199" t="str">
        <f t="shared" si="9"/>
        <v/>
      </c>
      <c r="T50" s="1" t="str">
        <f t="shared" si="10"/>
        <v>Bitman</v>
      </c>
      <c r="U50" s="1" t="str">
        <f t="shared" si="11"/>
        <v>Bitman</v>
      </c>
      <c r="V50" s="199">
        <f t="shared" si="12"/>
        <v>1</v>
      </c>
      <c r="W50" s="199" t="str">
        <f t="shared" si="13"/>
        <v>J</v>
      </c>
      <c r="X50" s="191"/>
      <c r="Y50" s="191"/>
      <c r="Z50" s="191"/>
      <c r="AA50" s="186"/>
    </row>
    <row r="51" spans="2:27" ht="15" customHeight="1" x14ac:dyDescent="0.25">
      <c r="B51" s="1" t="s">
        <v>765</v>
      </c>
      <c r="C51" s="185">
        <v>37271</v>
      </c>
      <c r="D51" s="199">
        <f t="shared" ca="1" si="5"/>
        <v>19</v>
      </c>
      <c r="E51" s="191">
        <v>0</v>
      </c>
      <c r="F51" s="191">
        <v>0</v>
      </c>
      <c r="G51" s="191">
        <v>0</v>
      </c>
      <c r="H51" s="199">
        <f t="shared" si="6"/>
        <v>0</v>
      </c>
      <c r="I51" s="191">
        <v>1</v>
      </c>
      <c r="J51" s="191">
        <v>89</v>
      </c>
      <c r="K51" s="191"/>
      <c r="L51" s="191" t="s">
        <v>78</v>
      </c>
      <c r="M51" s="191">
        <v>180</v>
      </c>
      <c r="N51" s="191">
        <v>66</v>
      </c>
      <c r="O51" s="199" t="str">
        <f t="shared" si="7"/>
        <v>5 OZ, 3 (1+2)</v>
      </c>
      <c r="P51" s="199" t="str">
        <f t="shared" si="8"/>
        <v>180/66</v>
      </c>
      <c r="Q51" s="192" t="s">
        <v>112</v>
      </c>
      <c r="R51" s="191">
        <v>2009</v>
      </c>
      <c r="S51" s="199" t="str">
        <f t="shared" si="9"/>
        <v/>
      </c>
      <c r="T51" s="1" t="str">
        <f t="shared" si="10"/>
        <v>Blažek</v>
      </c>
      <c r="U51" s="1" t="str">
        <f t="shared" si="11"/>
        <v>Blažek</v>
      </c>
      <c r="V51" s="199">
        <f t="shared" si="12"/>
        <v>1</v>
      </c>
      <c r="W51" s="199" t="str">
        <f t="shared" si="13"/>
        <v>V</v>
      </c>
      <c r="X51" s="191"/>
      <c r="Y51" s="191"/>
      <c r="Z51" s="191"/>
      <c r="AA51" s="186"/>
    </row>
    <row r="52" spans="2:27" ht="15" customHeight="1" x14ac:dyDescent="0.25">
      <c r="B52" s="1" t="s">
        <v>770</v>
      </c>
      <c r="C52" s="185">
        <v>37393</v>
      </c>
      <c r="D52" s="199">
        <f t="shared" ca="1" si="5"/>
        <v>18</v>
      </c>
      <c r="E52" s="191">
        <v>0</v>
      </c>
      <c r="F52" s="191">
        <v>0</v>
      </c>
      <c r="G52" s="191">
        <v>0</v>
      </c>
      <c r="H52" s="199">
        <f t="shared" si="6"/>
        <v>0</v>
      </c>
      <c r="I52" s="191">
        <v>1</v>
      </c>
      <c r="J52" s="191">
        <v>64</v>
      </c>
      <c r="K52" s="191"/>
      <c r="L52" s="191"/>
      <c r="M52" s="191"/>
      <c r="N52" s="191"/>
      <c r="O52" s="199" t="str">
        <f t="shared" si="7"/>
        <v>1 OZ, 0 (0+0)</v>
      </c>
      <c r="P52" s="199" t="str">
        <f t="shared" si="8"/>
        <v/>
      </c>
      <c r="Q52" s="192" t="s">
        <v>112</v>
      </c>
      <c r="R52" s="191">
        <v>2011</v>
      </c>
      <c r="S52" s="199" t="str">
        <f t="shared" si="9"/>
        <v/>
      </c>
      <c r="T52" s="1" t="str">
        <f t="shared" si="10"/>
        <v>Blecha</v>
      </c>
      <c r="U52" s="1" t="str">
        <f t="shared" si="11"/>
        <v>Blecha</v>
      </c>
      <c r="V52" s="199">
        <f t="shared" si="12"/>
        <v>1</v>
      </c>
      <c r="W52" s="199" t="str">
        <f t="shared" si="13"/>
        <v>M</v>
      </c>
      <c r="X52" s="191"/>
      <c r="Y52" s="191"/>
      <c r="Z52" s="191"/>
      <c r="AA52" s="186"/>
    </row>
    <row r="53" spans="2:27" ht="15" customHeight="1" x14ac:dyDescent="0.25">
      <c r="B53" s="4" t="s">
        <v>751</v>
      </c>
      <c r="C53" s="185">
        <v>37448</v>
      </c>
      <c r="D53" s="199">
        <f t="shared" ca="1" si="5"/>
        <v>18</v>
      </c>
      <c r="E53" s="191">
        <v>21</v>
      </c>
      <c r="F53" s="191">
        <v>3</v>
      </c>
      <c r="G53" s="191">
        <v>3</v>
      </c>
      <c r="H53" s="199">
        <f t="shared" si="6"/>
        <v>6</v>
      </c>
      <c r="I53" s="191">
        <v>2</v>
      </c>
      <c r="J53" s="191">
        <v>23</v>
      </c>
      <c r="K53" s="191"/>
      <c r="L53" s="191" t="s">
        <v>41</v>
      </c>
      <c r="M53" s="191">
        <v>183</v>
      </c>
      <c r="N53" s="191">
        <v>74</v>
      </c>
      <c r="O53" s="199" t="str">
        <f t="shared" si="7"/>
        <v>44 OZ, 35 (20+15)</v>
      </c>
      <c r="P53" s="199" t="str">
        <f t="shared" si="8"/>
        <v>183/74</v>
      </c>
      <c r="Q53" s="192" t="s">
        <v>112</v>
      </c>
      <c r="R53" s="191">
        <v>2010</v>
      </c>
      <c r="S53" s="199" t="str">
        <f t="shared" si="9"/>
        <v/>
      </c>
      <c r="T53" s="1" t="str">
        <f t="shared" si="10"/>
        <v>Čermák</v>
      </c>
      <c r="U53" s="1" t="str">
        <f t="shared" si="11"/>
        <v>Čermák</v>
      </c>
      <c r="V53" s="199">
        <f t="shared" si="12"/>
        <v>1</v>
      </c>
      <c r="W53" s="199" t="str">
        <f t="shared" si="13"/>
        <v>M</v>
      </c>
      <c r="X53" s="191"/>
      <c r="Y53" s="191"/>
      <c r="Z53" s="191"/>
      <c r="AA53" s="186"/>
    </row>
    <row r="54" spans="2:27" ht="15" customHeight="1" x14ac:dyDescent="0.25">
      <c r="B54" s="1" t="s">
        <v>754</v>
      </c>
      <c r="C54" s="185">
        <v>34407</v>
      </c>
      <c r="D54" s="199">
        <f t="shared" ca="1" si="5"/>
        <v>26</v>
      </c>
      <c r="E54" s="191">
        <v>168</v>
      </c>
      <c r="F54" s="191">
        <v>39</v>
      </c>
      <c r="G54" s="191">
        <v>57</v>
      </c>
      <c r="H54" s="199">
        <f t="shared" si="6"/>
        <v>96</v>
      </c>
      <c r="I54" s="191">
        <v>10</v>
      </c>
      <c r="J54" s="191">
        <v>24</v>
      </c>
      <c r="K54" s="191"/>
      <c r="L54" s="191" t="s">
        <v>78</v>
      </c>
      <c r="M54" s="191">
        <v>180</v>
      </c>
      <c r="N54" s="191">
        <v>82</v>
      </c>
      <c r="O54" s="199" t="str">
        <f t="shared" si="7"/>
        <v>194 OZ, 116 (50+66)</v>
      </c>
      <c r="P54" s="199" t="str">
        <f t="shared" si="8"/>
        <v>180/82</v>
      </c>
      <c r="Q54" s="192" t="s">
        <v>811</v>
      </c>
      <c r="R54" s="191">
        <v>2009</v>
      </c>
      <c r="S54" s="199" t="str">
        <f t="shared" si="9"/>
        <v/>
      </c>
      <c r="T54" s="1" t="str">
        <f t="shared" si="10"/>
        <v>Dlesk</v>
      </c>
      <c r="U54" s="1" t="str">
        <f t="shared" si="11"/>
        <v>Dlesk</v>
      </c>
      <c r="V54" s="199">
        <f t="shared" si="12"/>
        <v>1</v>
      </c>
      <c r="W54" s="199" t="str">
        <f t="shared" si="13"/>
        <v>T</v>
      </c>
      <c r="X54" s="191"/>
      <c r="Y54" s="191"/>
      <c r="Z54" s="191"/>
      <c r="AA54" s="186"/>
    </row>
    <row r="55" spans="2:27" ht="15" customHeight="1" x14ac:dyDescent="0.25">
      <c r="B55" s="4" t="s">
        <v>772</v>
      </c>
      <c r="C55" s="185"/>
      <c r="D55" s="199" t="str">
        <f t="shared" si="5"/>
        <v/>
      </c>
      <c r="E55" s="191">
        <v>2</v>
      </c>
      <c r="F55" s="191">
        <v>1</v>
      </c>
      <c r="G55" s="191">
        <v>1</v>
      </c>
      <c r="H55" s="199">
        <f t="shared" si="6"/>
        <v>2</v>
      </c>
      <c r="I55" s="191">
        <v>2</v>
      </c>
      <c r="J55" s="191">
        <v>12</v>
      </c>
      <c r="K55" s="191"/>
      <c r="L55" s="191" t="s">
        <v>78</v>
      </c>
      <c r="M55" s="191">
        <v>192</v>
      </c>
      <c r="N55" s="191">
        <v>71</v>
      </c>
      <c r="O55" s="199" t="str">
        <f t="shared" si="7"/>
        <v>6 OZ, 2 (1+1)</v>
      </c>
      <c r="P55" s="199" t="str">
        <f t="shared" si="8"/>
        <v>192/71</v>
      </c>
      <c r="Q55" s="192" t="s">
        <v>810</v>
      </c>
      <c r="R55" s="191">
        <v>2008</v>
      </c>
      <c r="S55" s="199" t="str">
        <f t="shared" si="9"/>
        <v/>
      </c>
      <c r="T55" s="1" t="str">
        <f t="shared" si="10"/>
        <v>Emlar</v>
      </c>
      <c r="U55" s="1" t="str">
        <f t="shared" si="11"/>
        <v>Emlar</v>
      </c>
      <c r="V55" s="199">
        <f t="shared" si="12"/>
        <v>1</v>
      </c>
      <c r="W55" s="199" t="str">
        <f t="shared" si="13"/>
        <v>D</v>
      </c>
      <c r="X55" s="191"/>
      <c r="Y55" s="191"/>
      <c r="Z55" s="191"/>
      <c r="AA55" s="186"/>
    </row>
    <row r="56" spans="2:27" ht="15" customHeight="1" x14ac:dyDescent="0.25">
      <c r="B56" s="4" t="s">
        <v>750</v>
      </c>
      <c r="C56" s="185">
        <v>33683</v>
      </c>
      <c r="D56" s="199">
        <f t="shared" ca="1" si="5"/>
        <v>28</v>
      </c>
      <c r="E56" s="191">
        <v>166</v>
      </c>
      <c r="F56" s="191">
        <v>110</v>
      </c>
      <c r="G56" s="191">
        <v>87</v>
      </c>
      <c r="H56" s="199">
        <f t="shared" si="6"/>
        <v>197</v>
      </c>
      <c r="I56" s="191">
        <v>9</v>
      </c>
      <c r="J56" s="191">
        <v>55</v>
      </c>
      <c r="K56" s="191"/>
      <c r="L56" s="191" t="s">
        <v>41</v>
      </c>
      <c r="M56" s="191">
        <v>176</v>
      </c>
      <c r="N56" s="191">
        <v>74</v>
      </c>
      <c r="O56" s="199" t="str">
        <f t="shared" si="7"/>
        <v>185 OZ, 224 (126+98)</v>
      </c>
      <c r="P56" s="199" t="str">
        <f t="shared" si="8"/>
        <v>176/74</v>
      </c>
      <c r="Q56" s="192" t="s">
        <v>809</v>
      </c>
      <c r="R56" s="191">
        <v>2006</v>
      </c>
      <c r="S56" s="199" t="str">
        <f t="shared" si="9"/>
        <v/>
      </c>
      <c r="T56" s="1" t="str">
        <f t="shared" si="10"/>
        <v>Ferdan</v>
      </c>
      <c r="U56" s="1" t="str">
        <f t="shared" si="11"/>
        <v>Ferdan</v>
      </c>
      <c r="V56" s="199">
        <f t="shared" si="12"/>
        <v>1</v>
      </c>
      <c r="W56" s="199" t="str">
        <f t="shared" si="13"/>
        <v>P</v>
      </c>
      <c r="X56" s="191"/>
      <c r="Y56" s="191"/>
      <c r="Z56" s="191"/>
      <c r="AA56" s="186"/>
    </row>
    <row r="57" spans="2:27" ht="15" customHeight="1" x14ac:dyDescent="0.25">
      <c r="B57" s="4" t="s">
        <v>957</v>
      </c>
      <c r="C57" s="185">
        <v>37023</v>
      </c>
      <c r="D57" s="199">
        <f t="shared" ca="1" si="5"/>
        <v>19</v>
      </c>
      <c r="E57" s="191">
        <v>0</v>
      </c>
      <c r="F57" s="191">
        <v>0</v>
      </c>
      <c r="G57" s="191">
        <v>0</v>
      </c>
      <c r="H57" s="199">
        <f t="shared" si="6"/>
        <v>0</v>
      </c>
      <c r="I57" s="191">
        <v>1</v>
      </c>
      <c r="J57" s="191">
        <v>35</v>
      </c>
      <c r="K57" s="191"/>
      <c r="L57" s="191" t="s">
        <v>30</v>
      </c>
      <c r="M57" s="191"/>
      <c r="N57" s="191"/>
      <c r="O57" s="199" t="str">
        <f t="shared" si="7"/>
        <v>0 OZ, 0 (0+0)</v>
      </c>
      <c r="P57" s="199" t="str">
        <f t="shared" si="8"/>
        <v/>
      </c>
      <c r="Q57" s="192"/>
      <c r="R57" s="191"/>
      <c r="S57" s="199" t="str">
        <f t="shared" si="9"/>
        <v>0 OZ, 0 A</v>
      </c>
      <c r="T57" s="1" t="str">
        <f t="shared" si="10"/>
        <v>Chlad</v>
      </c>
      <c r="U57" s="1" t="str">
        <f t="shared" si="11"/>
        <v>Chlad</v>
      </c>
      <c r="V57" s="199">
        <f t="shared" si="12"/>
        <v>1</v>
      </c>
      <c r="W57" s="199" t="str">
        <f t="shared" si="13"/>
        <v>P</v>
      </c>
      <c r="X57" s="191"/>
      <c r="Y57" s="191"/>
      <c r="Z57" s="191"/>
      <c r="AA57" s="186"/>
    </row>
    <row r="58" spans="2:27" ht="15" customHeight="1" x14ac:dyDescent="0.25">
      <c r="B58" s="1" t="s">
        <v>766</v>
      </c>
      <c r="C58" s="185">
        <v>37882</v>
      </c>
      <c r="D58" s="199">
        <f t="shared" ca="1" si="5"/>
        <v>17</v>
      </c>
      <c r="E58" s="191">
        <v>0</v>
      </c>
      <c r="F58" s="191">
        <v>0</v>
      </c>
      <c r="G58" s="191">
        <v>0</v>
      </c>
      <c r="H58" s="199">
        <f t="shared" si="6"/>
        <v>0</v>
      </c>
      <c r="I58" s="191">
        <v>1</v>
      </c>
      <c r="J58" s="191">
        <v>93</v>
      </c>
      <c r="K58" s="191"/>
      <c r="L58" s="191" t="s">
        <v>78</v>
      </c>
      <c r="M58" s="191">
        <v>178</v>
      </c>
      <c r="N58" s="191">
        <v>74</v>
      </c>
      <c r="O58" s="199" t="str">
        <f t="shared" si="7"/>
        <v>22 OZ, 4 (2+2)</v>
      </c>
      <c r="P58" s="199" t="str">
        <f t="shared" si="8"/>
        <v>178/74</v>
      </c>
      <c r="Q58" s="192" t="s">
        <v>112</v>
      </c>
      <c r="R58" s="191">
        <v>2010</v>
      </c>
      <c r="S58" s="199" t="str">
        <f t="shared" si="9"/>
        <v/>
      </c>
      <c r="T58" s="1" t="str">
        <f t="shared" si="10"/>
        <v>Janeček</v>
      </c>
      <c r="U58" s="1" t="str">
        <f t="shared" si="11"/>
        <v>Janeček</v>
      </c>
      <c r="V58" s="199">
        <f t="shared" si="12"/>
        <v>1</v>
      </c>
      <c r="W58" s="199" t="str">
        <f t="shared" si="13"/>
        <v>V</v>
      </c>
      <c r="X58" s="191"/>
      <c r="Y58" s="191"/>
      <c r="Z58" s="191"/>
      <c r="AA58" s="186"/>
    </row>
    <row r="59" spans="2:27" ht="15" customHeight="1" x14ac:dyDescent="0.25">
      <c r="B59" s="1" t="s">
        <v>767</v>
      </c>
      <c r="C59" s="185">
        <v>36611</v>
      </c>
      <c r="D59" s="199">
        <f t="shared" ca="1" si="5"/>
        <v>20</v>
      </c>
      <c r="E59" s="191">
        <v>26</v>
      </c>
      <c r="F59" s="191">
        <v>4</v>
      </c>
      <c r="G59" s="191">
        <v>5</v>
      </c>
      <c r="H59" s="199">
        <f t="shared" si="6"/>
        <v>9</v>
      </c>
      <c r="I59" s="191">
        <v>2</v>
      </c>
      <c r="J59" s="191">
        <v>7</v>
      </c>
      <c r="K59" s="191"/>
      <c r="L59" s="191" t="s">
        <v>41</v>
      </c>
      <c r="M59" s="191">
        <v>180</v>
      </c>
      <c r="N59" s="191">
        <v>72</v>
      </c>
      <c r="O59" s="199" t="str">
        <f t="shared" si="7"/>
        <v>50 OZ, 13 (5+8)</v>
      </c>
      <c r="P59" s="199" t="str">
        <f t="shared" si="8"/>
        <v>180/72</v>
      </c>
      <c r="Q59" s="192" t="s">
        <v>676</v>
      </c>
      <c r="R59" s="191">
        <v>2006</v>
      </c>
      <c r="S59" s="199" t="str">
        <f t="shared" si="9"/>
        <v/>
      </c>
      <c r="T59" s="1" t="str">
        <f t="shared" si="10"/>
        <v>Kárník</v>
      </c>
      <c r="U59" s="1" t="str">
        <f t="shared" si="11"/>
        <v>Kárník</v>
      </c>
      <c r="V59" s="199">
        <f t="shared" si="12"/>
        <v>1</v>
      </c>
      <c r="W59" s="199" t="str">
        <f t="shared" si="13"/>
        <v>J</v>
      </c>
      <c r="X59" s="191"/>
      <c r="Y59" s="191"/>
      <c r="Z59" s="191"/>
      <c r="AA59" s="186"/>
    </row>
    <row r="60" spans="2:27" ht="15" customHeight="1" x14ac:dyDescent="0.25">
      <c r="B60" s="1" t="s">
        <v>762</v>
      </c>
      <c r="C60" s="185">
        <v>32803</v>
      </c>
      <c r="D60" s="199">
        <f t="shared" ca="1" si="5"/>
        <v>31</v>
      </c>
      <c r="E60" s="191">
        <v>218</v>
      </c>
      <c r="F60" s="191">
        <v>61</v>
      </c>
      <c r="G60" s="191">
        <v>51</v>
      </c>
      <c r="H60" s="199">
        <f t="shared" si="6"/>
        <v>112</v>
      </c>
      <c r="I60" s="191">
        <v>13</v>
      </c>
      <c r="J60" s="191">
        <v>6</v>
      </c>
      <c r="K60" s="191" t="s">
        <v>222</v>
      </c>
      <c r="L60" s="191" t="s">
        <v>78</v>
      </c>
      <c r="M60" s="191">
        <v>194</v>
      </c>
      <c r="N60" s="191">
        <v>98</v>
      </c>
      <c r="O60" s="199" t="str">
        <f t="shared" si="7"/>
        <v>242 OZ, 118 (63+55)</v>
      </c>
      <c r="P60" s="199" t="str">
        <f t="shared" si="8"/>
        <v>194/98</v>
      </c>
      <c r="Q60" s="192" t="s">
        <v>112</v>
      </c>
      <c r="R60" s="191">
        <v>1999</v>
      </c>
      <c r="S60" s="199" t="str">
        <f t="shared" si="9"/>
        <v/>
      </c>
      <c r="T60" s="1" t="str">
        <f t="shared" si="10"/>
        <v>Klucho</v>
      </c>
      <c r="U60" s="1" t="str">
        <f t="shared" si="11"/>
        <v>Klucho</v>
      </c>
      <c r="V60" s="199">
        <f t="shared" si="12"/>
        <v>1</v>
      </c>
      <c r="W60" s="199" t="str">
        <f t="shared" si="13"/>
        <v>M</v>
      </c>
      <c r="X60" s="191"/>
      <c r="Y60" s="191"/>
      <c r="Z60" s="191"/>
      <c r="AA60" s="186"/>
    </row>
    <row r="61" spans="2:27" ht="15" customHeight="1" x14ac:dyDescent="0.25">
      <c r="B61" s="1" t="s">
        <v>756</v>
      </c>
      <c r="C61" s="185">
        <v>31531</v>
      </c>
      <c r="D61" s="199">
        <f t="shared" ca="1" si="5"/>
        <v>34</v>
      </c>
      <c r="E61" s="191">
        <v>277</v>
      </c>
      <c r="F61" s="191">
        <v>94</v>
      </c>
      <c r="G61" s="191">
        <v>124</v>
      </c>
      <c r="H61" s="199">
        <f t="shared" si="6"/>
        <v>218</v>
      </c>
      <c r="I61" s="191">
        <v>17</v>
      </c>
      <c r="J61" s="191">
        <v>11</v>
      </c>
      <c r="K61" s="191"/>
      <c r="L61" s="191" t="s">
        <v>78</v>
      </c>
      <c r="M61" s="191">
        <v>185</v>
      </c>
      <c r="N61" s="191">
        <v>69</v>
      </c>
      <c r="O61" s="199" t="str">
        <f t="shared" si="7"/>
        <v>302 OZ, 231 (95+136)</v>
      </c>
      <c r="P61" s="199" t="str">
        <f t="shared" si="8"/>
        <v>185/69</v>
      </c>
      <c r="Q61" s="192" t="s">
        <v>813</v>
      </c>
      <c r="R61" s="191">
        <v>1996</v>
      </c>
      <c r="S61" s="199" t="str">
        <f t="shared" si="9"/>
        <v/>
      </c>
      <c r="T61" s="1" t="str">
        <f t="shared" si="10"/>
        <v>Kološ</v>
      </c>
      <c r="U61" s="1" t="str">
        <f t="shared" si="11"/>
        <v>Kološ</v>
      </c>
      <c r="V61" s="199">
        <f t="shared" si="12"/>
        <v>1</v>
      </c>
      <c r="W61" s="199" t="str">
        <f t="shared" si="13"/>
        <v>P</v>
      </c>
      <c r="X61" s="191"/>
      <c r="Y61" s="191"/>
      <c r="Z61" s="191"/>
      <c r="AA61" s="186"/>
    </row>
    <row r="62" spans="2:27" ht="15" customHeight="1" x14ac:dyDescent="0.25">
      <c r="B62" s="4" t="s">
        <v>752</v>
      </c>
      <c r="C62" s="185">
        <v>36014</v>
      </c>
      <c r="D62" s="199">
        <f t="shared" ca="1" si="5"/>
        <v>22</v>
      </c>
      <c r="E62" s="191">
        <v>76</v>
      </c>
      <c r="F62" s="191">
        <v>35</v>
      </c>
      <c r="G62" s="191">
        <v>28</v>
      </c>
      <c r="H62" s="199">
        <f t="shared" si="6"/>
        <v>63</v>
      </c>
      <c r="I62" s="191">
        <v>4</v>
      </c>
      <c r="J62" s="191">
        <v>5</v>
      </c>
      <c r="K62" s="191"/>
      <c r="L62" s="191" t="s">
        <v>78</v>
      </c>
      <c r="M62" s="191">
        <v>185</v>
      </c>
      <c r="N62" s="191">
        <v>74</v>
      </c>
      <c r="O62" s="199" t="str">
        <f t="shared" si="7"/>
        <v>100 OZ, 85 (50+35)</v>
      </c>
      <c r="P62" s="199" t="str">
        <f t="shared" si="8"/>
        <v>185/74</v>
      </c>
      <c r="Q62" s="192" t="s">
        <v>810</v>
      </c>
      <c r="R62" s="191">
        <v>2007</v>
      </c>
      <c r="S62" s="199" t="str">
        <f t="shared" si="9"/>
        <v/>
      </c>
      <c r="T62" s="1" t="str">
        <f t="shared" si="10"/>
        <v>Kopecký</v>
      </c>
      <c r="U62" s="1" t="str">
        <f t="shared" si="11"/>
        <v>Kopecký</v>
      </c>
      <c r="V62" s="199">
        <f t="shared" si="12"/>
        <v>1</v>
      </c>
      <c r="W62" s="199" t="str">
        <f t="shared" si="13"/>
        <v>J</v>
      </c>
      <c r="X62" s="191"/>
      <c r="Y62" s="191"/>
      <c r="Z62" s="191"/>
      <c r="AA62" s="186"/>
    </row>
    <row r="63" spans="2:27" ht="15" customHeight="1" x14ac:dyDescent="0.25">
      <c r="B63" s="1" t="s">
        <v>764</v>
      </c>
      <c r="C63" s="185">
        <v>36061</v>
      </c>
      <c r="D63" s="199">
        <f t="shared" ca="1" si="5"/>
        <v>22</v>
      </c>
      <c r="E63" s="191">
        <v>85</v>
      </c>
      <c r="F63" s="191">
        <v>20</v>
      </c>
      <c r="G63" s="191">
        <v>10</v>
      </c>
      <c r="H63" s="199">
        <f t="shared" si="6"/>
        <v>30</v>
      </c>
      <c r="I63" s="191">
        <v>5</v>
      </c>
      <c r="J63" s="191">
        <v>67</v>
      </c>
      <c r="K63" s="191"/>
      <c r="L63" s="191" t="s">
        <v>78</v>
      </c>
      <c r="M63" s="191">
        <v>188</v>
      </c>
      <c r="N63" s="191">
        <v>72</v>
      </c>
      <c r="O63" s="199" t="str">
        <f t="shared" si="7"/>
        <v>105 OZ, 33 (22+11)</v>
      </c>
      <c r="P63" s="199" t="str">
        <f t="shared" si="8"/>
        <v>188/72</v>
      </c>
      <c r="Q63" s="192" t="s">
        <v>112</v>
      </c>
      <c r="R63" s="191">
        <v>2006</v>
      </c>
      <c r="S63" s="199" t="str">
        <f t="shared" si="9"/>
        <v/>
      </c>
      <c r="T63" s="1" t="str">
        <f t="shared" si="10"/>
        <v>Kořínek</v>
      </c>
      <c r="U63" s="1" t="str">
        <f t="shared" si="11"/>
        <v>Kořínek</v>
      </c>
      <c r="V63" s="199">
        <f t="shared" si="12"/>
        <v>1</v>
      </c>
      <c r="W63" s="199" t="str">
        <f t="shared" si="13"/>
        <v>L</v>
      </c>
      <c r="X63" s="191"/>
      <c r="Y63" s="191"/>
      <c r="Z63" s="191"/>
      <c r="AA63" s="186"/>
    </row>
    <row r="64" spans="2:27" ht="15" customHeight="1" x14ac:dyDescent="0.25">
      <c r="B64" s="4" t="s">
        <v>771</v>
      </c>
      <c r="C64" s="185">
        <v>36022</v>
      </c>
      <c r="D64" s="199">
        <f t="shared" ca="1" si="5"/>
        <v>22</v>
      </c>
      <c r="E64" s="191">
        <v>25</v>
      </c>
      <c r="F64" s="191">
        <v>1</v>
      </c>
      <c r="G64" s="191">
        <v>2</v>
      </c>
      <c r="H64" s="199">
        <f t="shared" si="6"/>
        <v>3</v>
      </c>
      <c r="I64" s="191">
        <v>4</v>
      </c>
      <c r="J64" s="191">
        <v>13</v>
      </c>
      <c r="K64" s="191"/>
      <c r="L64" s="191" t="s">
        <v>41</v>
      </c>
      <c r="M64" s="191">
        <v>184</v>
      </c>
      <c r="N64" s="191">
        <v>103</v>
      </c>
      <c r="O64" s="199" t="str">
        <f t="shared" si="7"/>
        <v>27 OZ, 3 (1+2)</v>
      </c>
      <c r="P64" s="199" t="str">
        <f t="shared" si="8"/>
        <v>184/103</v>
      </c>
      <c r="Q64" s="192" t="s">
        <v>112</v>
      </c>
      <c r="R64" s="191" t="s">
        <v>30</v>
      </c>
      <c r="S64" s="199" t="str">
        <f t="shared" si="9"/>
        <v/>
      </c>
      <c r="T64" s="1" t="str">
        <f t="shared" si="10"/>
        <v>Leksa</v>
      </c>
      <c r="U64" s="1" t="str">
        <f t="shared" si="11"/>
        <v>Leksa</v>
      </c>
      <c r="V64" s="199">
        <f t="shared" si="12"/>
        <v>1</v>
      </c>
      <c r="W64" s="199" t="str">
        <f t="shared" si="13"/>
        <v>T</v>
      </c>
      <c r="X64" s="191"/>
      <c r="Y64" s="191"/>
      <c r="Z64" s="191"/>
      <c r="AA64" s="186"/>
    </row>
    <row r="65" spans="2:27" ht="15" customHeight="1" x14ac:dyDescent="0.25">
      <c r="B65" s="1" t="s">
        <v>763</v>
      </c>
      <c r="C65" s="185">
        <v>36830</v>
      </c>
      <c r="D65" s="199">
        <f t="shared" ca="1" si="5"/>
        <v>20</v>
      </c>
      <c r="E65" s="191">
        <v>42</v>
      </c>
      <c r="F65" s="191">
        <v>16</v>
      </c>
      <c r="G65" s="191">
        <v>20</v>
      </c>
      <c r="H65" s="199">
        <f t="shared" si="6"/>
        <v>36</v>
      </c>
      <c r="I65" s="191">
        <v>4</v>
      </c>
      <c r="J65" s="191">
        <v>29</v>
      </c>
      <c r="K65" s="191"/>
      <c r="L65" s="191" t="s">
        <v>78</v>
      </c>
      <c r="M65" s="191">
        <v>182</v>
      </c>
      <c r="N65" s="191">
        <v>64</v>
      </c>
      <c r="O65" s="199" t="str">
        <f t="shared" si="7"/>
        <v>56 OZ, 41 (19+22)</v>
      </c>
      <c r="P65" s="199" t="str">
        <f t="shared" si="8"/>
        <v>182/64</v>
      </c>
      <c r="Q65" s="192" t="s">
        <v>817</v>
      </c>
      <c r="R65" s="191">
        <v>2007</v>
      </c>
      <c r="S65" s="199" t="str">
        <f t="shared" si="9"/>
        <v/>
      </c>
      <c r="T65" s="1" t="str">
        <f t="shared" si="10"/>
        <v>Lhota</v>
      </c>
      <c r="U65" s="1" t="str">
        <f t="shared" si="11"/>
        <v>Lhota</v>
      </c>
      <c r="V65" s="199">
        <f t="shared" si="12"/>
        <v>1</v>
      </c>
      <c r="W65" s="199" t="str">
        <f t="shared" si="13"/>
        <v>L</v>
      </c>
      <c r="X65" s="191"/>
      <c r="Y65" s="191"/>
      <c r="Z65" s="191"/>
      <c r="AA65" s="186"/>
    </row>
    <row r="66" spans="2:27" ht="15" customHeight="1" x14ac:dyDescent="0.25">
      <c r="B66" s="4" t="s">
        <v>773</v>
      </c>
      <c r="C66" s="185">
        <v>36962</v>
      </c>
      <c r="D66" s="199">
        <f t="shared" ca="1" si="5"/>
        <v>19</v>
      </c>
      <c r="E66" s="191">
        <v>5</v>
      </c>
      <c r="F66" s="191">
        <v>0</v>
      </c>
      <c r="G66" s="191">
        <v>0</v>
      </c>
      <c r="H66" s="199">
        <f t="shared" si="6"/>
        <v>0</v>
      </c>
      <c r="I66" s="191">
        <v>3</v>
      </c>
      <c r="J66" s="191">
        <v>65</v>
      </c>
      <c r="K66" s="191"/>
      <c r="L66" s="191" t="s">
        <v>41</v>
      </c>
      <c r="M66" s="191">
        <v>170</v>
      </c>
      <c r="N66" s="191">
        <v>67</v>
      </c>
      <c r="O66" s="199" t="str">
        <f t="shared" si="7"/>
        <v>14 OZ, 0 (0+0)</v>
      </c>
      <c r="P66" s="199" t="str">
        <f t="shared" si="8"/>
        <v>170/67</v>
      </c>
      <c r="Q66" s="192" t="s">
        <v>819</v>
      </c>
      <c r="R66" s="191">
        <v>2006</v>
      </c>
      <c r="S66" s="199" t="str">
        <f t="shared" si="9"/>
        <v/>
      </c>
      <c r="T66" s="1" t="str">
        <f t="shared" si="10"/>
        <v>Martínek</v>
      </c>
      <c r="U66" s="1" t="str">
        <f t="shared" si="11"/>
        <v>Martínek</v>
      </c>
      <c r="V66" s="199">
        <f t="shared" si="12"/>
        <v>1</v>
      </c>
      <c r="W66" s="199" t="str">
        <f t="shared" si="13"/>
        <v>D</v>
      </c>
      <c r="X66" s="191"/>
      <c r="Y66" s="191"/>
      <c r="Z66" s="191"/>
      <c r="AA66" s="186"/>
    </row>
    <row r="67" spans="2:27" ht="15" customHeight="1" x14ac:dyDescent="0.25">
      <c r="B67" s="4" t="s">
        <v>775</v>
      </c>
      <c r="C67" s="185">
        <v>35992</v>
      </c>
      <c r="D67" s="199">
        <f t="shared" ca="1" si="5"/>
        <v>22</v>
      </c>
      <c r="E67" s="191">
        <v>25</v>
      </c>
      <c r="F67" s="191">
        <v>0</v>
      </c>
      <c r="G67" s="191">
        <v>0</v>
      </c>
      <c r="H67" s="199">
        <f t="shared" si="6"/>
        <v>0</v>
      </c>
      <c r="I67" s="191">
        <v>3</v>
      </c>
      <c r="J67" s="191">
        <v>30</v>
      </c>
      <c r="K67" s="191"/>
      <c r="L67" s="191" t="s">
        <v>30</v>
      </c>
      <c r="M67" s="191">
        <v>185</v>
      </c>
      <c r="N67" s="191">
        <v>94</v>
      </c>
      <c r="O67" s="199" t="str">
        <f t="shared" si="7"/>
        <v>25 OZ, 0 (0+0)</v>
      </c>
      <c r="P67" s="199" t="str">
        <f t="shared" si="8"/>
        <v>185/94</v>
      </c>
      <c r="Q67" s="192" t="s">
        <v>821</v>
      </c>
      <c r="R67" s="191">
        <v>2007</v>
      </c>
      <c r="S67" s="199" t="str">
        <f t="shared" si="9"/>
        <v>48 OZ, 0 A</v>
      </c>
      <c r="T67" s="1" t="str">
        <f t="shared" si="10"/>
        <v>Mück</v>
      </c>
      <c r="U67" s="1" t="str">
        <f t="shared" si="11"/>
        <v>Mück</v>
      </c>
      <c r="V67" s="199">
        <f t="shared" si="12"/>
        <v>1</v>
      </c>
      <c r="W67" s="199" t="str">
        <f t="shared" si="13"/>
        <v>D</v>
      </c>
      <c r="X67" s="191"/>
      <c r="Y67" s="191"/>
      <c r="Z67" s="191"/>
      <c r="AA67" s="186"/>
    </row>
    <row r="68" spans="2:27" ht="15" customHeight="1" x14ac:dyDescent="0.25">
      <c r="B68" s="4" t="s">
        <v>774</v>
      </c>
      <c r="C68" s="185">
        <v>30929</v>
      </c>
      <c r="D68" s="199">
        <f t="shared" ca="1" si="5"/>
        <v>36</v>
      </c>
      <c r="E68" s="191">
        <v>107</v>
      </c>
      <c r="F68" s="191">
        <v>0</v>
      </c>
      <c r="G68" s="191">
        <v>7</v>
      </c>
      <c r="H68" s="199">
        <f t="shared" si="6"/>
        <v>7</v>
      </c>
      <c r="I68" s="191">
        <v>10</v>
      </c>
      <c r="J68" s="191">
        <v>33</v>
      </c>
      <c r="K68" s="191"/>
      <c r="L68" s="191" t="s">
        <v>30</v>
      </c>
      <c r="M68" s="191">
        <v>172</v>
      </c>
      <c r="N68" s="191">
        <v>72</v>
      </c>
      <c r="O68" s="199" t="str">
        <f t="shared" si="7"/>
        <v>107 OZ, 7 (0+7)</v>
      </c>
      <c r="P68" s="199" t="str">
        <f t="shared" si="8"/>
        <v>172/72</v>
      </c>
      <c r="Q68" s="192" t="s">
        <v>820</v>
      </c>
      <c r="R68" s="191">
        <v>2003</v>
      </c>
      <c r="S68" s="199" t="str">
        <f t="shared" si="9"/>
        <v>115 OZ, 7 A</v>
      </c>
      <c r="T68" s="1" t="str">
        <f t="shared" si="10"/>
        <v>Ponomarev</v>
      </c>
      <c r="U68" s="1" t="str">
        <f t="shared" si="11"/>
        <v>Ponomarev</v>
      </c>
      <c r="V68" s="199">
        <f t="shared" si="12"/>
        <v>1</v>
      </c>
      <c r="W68" s="199" t="str">
        <f t="shared" si="13"/>
        <v>I</v>
      </c>
      <c r="X68" s="191"/>
      <c r="Y68" s="191"/>
      <c r="Z68" s="191"/>
      <c r="AA68" s="186"/>
    </row>
    <row r="69" spans="2:27" ht="15" customHeight="1" x14ac:dyDescent="0.25">
      <c r="B69" s="1" t="s">
        <v>758</v>
      </c>
      <c r="C69" s="185">
        <v>36449</v>
      </c>
      <c r="D69" s="199">
        <f t="shared" ca="1" si="5"/>
        <v>21</v>
      </c>
      <c r="E69" s="191">
        <v>50</v>
      </c>
      <c r="F69" s="191">
        <v>18</v>
      </c>
      <c r="G69" s="191">
        <v>16</v>
      </c>
      <c r="H69" s="199">
        <f t="shared" si="6"/>
        <v>34</v>
      </c>
      <c r="I69" s="191">
        <v>3</v>
      </c>
      <c r="J69" s="191">
        <v>22</v>
      </c>
      <c r="K69" s="191"/>
      <c r="L69" s="191" t="s">
        <v>78</v>
      </c>
      <c r="M69" s="191">
        <v>164</v>
      </c>
      <c r="N69" s="191">
        <v>60</v>
      </c>
      <c r="O69" s="199" t="str">
        <f t="shared" si="7"/>
        <v>75 OZ, 44 (23+21)</v>
      </c>
      <c r="P69" s="199" t="str">
        <f t="shared" si="8"/>
        <v>164/60</v>
      </c>
      <c r="Q69" s="192" t="s">
        <v>815</v>
      </c>
      <c r="R69" s="191">
        <v>2008</v>
      </c>
      <c r="S69" s="199" t="str">
        <f t="shared" si="9"/>
        <v/>
      </c>
      <c r="T69" s="1" t="str">
        <f t="shared" si="10"/>
        <v>Rozkovec</v>
      </c>
      <c r="U69" s="1" t="str">
        <f t="shared" si="11"/>
        <v>Rozkovec</v>
      </c>
      <c r="V69" s="199">
        <f t="shared" si="12"/>
        <v>1</v>
      </c>
      <c r="W69" s="199" t="str">
        <f t="shared" si="13"/>
        <v>P</v>
      </c>
      <c r="X69" s="191"/>
      <c r="Y69" s="191"/>
      <c r="Z69" s="191"/>
      <c r="AA69" s="186"/>
    </row>
    <row r="70" spans="2:27" ht="15" customHeight="1" x14ac:dyDescent="0.25">
      <c r="B70" s="1" t="s">
        <v>769</v>
      </c>
      <c r="C70" s="185">
        <v>31222</v>
      </c>
      <c r="D70" s="199">
        <f t="shared" ca="1" si="5"/>
        <v>35</v>
      </c>
      <c r="E70" s="191">
        <v>324</v>
      </c>
      <c r="F70" s="191">
        <v>191</v>
      </c>
      <c r="G70" s="191">
        <v>258</v>
      </c>
      <c r="H70" s="199">
        <f t="shared" si="6"/>
        <v>449</v>
      </c>
      <c r="I70" s="191">
        <v>17</v>
      </c>
      <c r="J70" s="191">
        <v>10</v>
      </c>
      <c r="K70" s="191"/>
      <c r="L70" s="191" t="s">
        <v>78</v>
      </c>
      <c r="M70" s="191">
        <v>181</v>
      </c>
      <c r="N70" s="191">
        <v>79</v>
      </c>
      <c r="O70" s="199" t="str">
        <f t="shared" si="7"/>
        <v>332 OZ, 453 (192+261)</v>
      </c>
      <c r="P70" s="199" t="str">
        <f t="shared" si="8"/>
        <v>181/79</v>
      </c>
      <c r="Q70" s="192" t="s">
        <v>818</v>
      </c>
      <c r="R70" s="191">
        <v>2000</v>
      </c>
      <c r="S70" s="199" t="str">
        <f t="shared" si="9"/>
        <v/>
      </c>
      <c r="T70" s="1" t="str">
        <f t="shared" si="10"/>
        <v>Salát</v>
      </c>
      <c r="U70" s="1" t="str">
        <f t="shared" si="11"/>
        <v>Salát</v>
      </c>
      <c r="V70" s="199">
        <f t="shared" si="12"/>
        <v>1</v>
      </c>
      <c r="W70" s="199" t="str">
        <f t="shared" si="13"/>
        <v>P</v>
      </c>
      <c r="X70" s="191"/>
      <c r="Y70" s="191"/>
      <c r="Z70" s="191"/>
      <c r="AA70" s="186"/>
    </row>
    <row r="71" spans="2:27" ht="15" customHeight="1" x14ac:dyDescent="0.25">
      <c r="B71" s="1" t="s">
        <v>757</v>
      </c>
      <c r="C71" s="185">
        <v>37818</v>
      </c>
      <c r="D71" s="199">
        <f t="shared" ca="1" si="5"/>
        <v>17</v>
      </c>
      <c r="E71" s="191">
        <v>0</v>
      </c>
      <c r="F71" s="191">
        <v>0</v>
      </c>
      <c r="G71" s="191">
        <v>0</v>
      </c>
      <c r="H71" s="199">
        <f t="shared" si="6"/>
        <v>0</v>
      </c>
      <c r="I71" s="191">
        <v>1</v>
      </c>
      <c r="J71" s="191">
        <v>28</v>
      </c>
      <c r="K71" s="191"/>
      <c r="L71" s="191" t="s">
        <v>78</v>
      </c>
      <c r="M71" s="191">
        <v>187</v>
      </c>
      <c r="N71" s="191">
        <v>83</v>
      </c>
      <c r="O71" s="199" t="str">
        <f t="shared" si="7"/>
        <v>18 OZ, 14 (9+5)</v>
      </c>
      <c r="P71" s="199" t="str">
        <f t="shared" si="8"/>
        <v>187/83</v>
      </c>
      <c r="Q71" s="192" t="s">
        <v>814</v>
      </c>
      <c r="R71" s="191">
        <v>2010</v>
      </c>
      <c r="S71" s="199" t="str">
        <f t="shared" si="9"/>
        <v/>
      </c>
      <c r="T71" s="1" t="str">
        <f t="shared" si="10"/>
        <v>Stránský</v>
      </c>
      <c r="U71" s="1" t="str">
        <f t="shared" si="11"/>
        <v>Stránský</v>
      </c>
      <c r="V71" s="199">
        <f t="shared" si="12"/>
        <v>1</v>
      </c>
      <c r="W71" s="199" t="str">
        <f t="shared" si="13"/>
        <v>Š</v>
      </c>
      <c r="X71" s="191"/>
      <c r="Y71" s="191"/>
      <c r="Z71" s="191"/>
      <c r="AA71" s="186"/>
    </row>
    <row r="72" spans="2:27" ht="15" customHeight="1" x14ac:dyDescent="0.25">
      <c r="B72" s="1" t="s">
        <v>755</v>
      </c>
      <c r="C72" s="185">
        <v>35909</v>
      </c>
      <c r="D72" s="199">
        <f t="shared" ca="1" si="5"/>
        <v>22</v>
      </c>
      <c r="E72" s="191">
        <v>16</v>
      </c>
      <c r="F72" s="191">
        <v>5</v>
      </c>
      <c r="G72" s="191">
        <v>6</v>
      </c>
      <c r="H72" s="199">
        <f t="shared" si="6"/>
        <v>11</v>
      </c>
      <c r="I72" s="191">
        <v>2</v>
      </c>
      <c r="J72" s="191">
        <v>90</v>
      </c>
      <c r="K72" s="191"/>
      <c r="L72" s="191" t="s">
        <v>78</v>
      </c>
      <c r="M72" s="191">
        <v>187</v>
      </c>
      <c r="N72" s="191">
        <v>82</v>
      </c>
      <c r="O72" s="199" t="str">
        <f t="shared" si="7"/>
        <v>41 OZ, 25 (15+10)</v>
      </c>
      <c r="P72" s="199" t="str">
        <f t="shared" si="8"/>
        <v>187/82</v>
      </c>
      <c r="Q72" s="192" t="s">
        <v>812</v>
      </c>
      <c r="R72" s="191">
        <v>2014</v>
      </c>
      <c r="S72" s="199" t="str">
        <f t="shared" si="9"/>
        <v/>
      </c>
      <c r="T72" s="1" t="str">
        <f t="shared" si="10"/>
        <v>Světlík</v>
      </c>
      <c r="U72" s="1" t="str">
        <f t="shared" si="11"/>
        <v>Světlík</v>
      </c>
      <c r="V72" s="199">
        <f t="shared" si="12"/>
        <v>1</v>
      </c>
      <c r="W72" s="199" t="str">
        <f t="shared" si="13"/>
        <v>J</v>
      </c>
      <c r="X72" s="191"/>
      <c r="Y72" s="191"/>
      <c r="Z72" s="191"/>
      <c r="AA72" s="186"/>
    </row>
    <row r="73" spans="2:27" ht="15" customHeight="1" x14ac:dyDescent="0.25">
      <c r="B73" s="1" t="s">
        <v>759</v>
      </c>
      <c r="C73" s="185">
        <v>36067</v>
      </c>
      <c r="D73" s="199">
        <f t="shared" ca="1" si="5"/>
        <v>22</v>
      </c>
      <c r="E73" s="191">
        <v>70</v>
      </c>
      <c r="F73" s="191">
        <v>12</v>
      </c>
      <c r="G73" s="191">
        <v>8</v>
      </c>
      <c r="H73" s="199">
        <f t="shared" si="6"/>
        <v>20</v>
      </c>
      <c r="I73" s="191">
        <v>5</v>
      </c>
      <c r="J73" s="191">
        <v>61</v>
      </c>
      <c r="K73" s="191"/>
      <c r="L73" s="191" t="s">
        <v>78</v>
      </c>
      <c r="M73" s="191">
        <v>177</v>
      </c>
      <c r="N73" s="191">
        <v>74</v>
      </c>
      <c r="O73" s="199" t="str">
        <f t="shared" si="7"/>
        <v>94 OZ, 29 (20+9)</v>
      </c>
      <c r="P73" s="199" t="str">
        <f t="shared" si="8"/>
        <v>177/74</v>
      </c>
      <c r="Q73" s="192" t="s">
        <v>112</v>
      </c>
      <c r="R73" s="191">
        <v>2011</v>
      </c>
      <c r="S73" s="199" t="str">
        <f t="shared" si="9"/>
        <v/>
      </c>
      <c r="T73" s="1" t="str">
        <f t="shared" si="10"/>
        <v>Šoltys</v>
      </c>
      <c r="U73" s="1" t="str">
        <f t="shared" si="11"/>
        <v>Šoltys</v>
      </c>
      <c r="V73" s="199">
        <f t="shared" si="12"/>
        <v>1</v>
      </c>
      <c r="W73" s="199" t="str">
        <f t="shared" si="13"/>
        <v>J</v>
      </c>
      <c r="X73" s="191"/>
      <c r="Y73" s="191"/>
      <c r="Z73" s="191"/>
      <c r="AA73" s="186"/>
    </row>
    <row r="74" spans="2:27" ht="15" customHeight="1" x14ac:dyDescent="0.25">
      <c r="B74" s="4" t="s">
        <v>749</v>
      </c>
      <c r="C74" s="185">
        <v>34624</v>
      </c>
      <c r="D74" s="199">
        <f t="shared" ca="1" si="5"/>
        <v>26</v>
      </c>
      <c r="E74" s="191">
        <v>165</v>
      </c>
      <c r="F74" s="191">
        <v>145</v>
      </c>
      <c r="G74" s="191">
        <v>121</v>
      </c>
      <c r="H74" s="199">
        <f t="shared" si="6"/>
        <v>266</v>
      </c>
      <c r="I74" s="191">
        <v>9</v>
      </c>
      <c r="J74" s="191">
        <v>9</v>
      </c>
      <c r="K74" s="191"/>
      <c r="L74" s="191" t="s">
        <v>78</v>
      </c>
      <c r="M74" s="191">
        <v>187</v>
      </c>
      <c r="N74" s="191">
        <v>76</v>
      </c>
      <c r="O74" s="199" t="str">
        <f t="shared" si="7"/>
        <v>189 OZ, 305 (166+139)</v>
      </c>
      <c r="P74" s="199" t="str">
        <f t="shared" si="8"/>
        <v>187/76</v>
      </c>
      <c r="Q74" s="192" t="s">
        <v>112</v>
      </c>
      <c r="R74" s="191">
        <v>2002</v>
      </c>
      <c r="S74" s="199" t="str">
        <f t="shared" si="9"/>
        <v/>
      </c>
      <c r="T74" s="1" t="str">
        <f t="shared" si="10"/>
        <v>Valeš</v>
      </c>
      <c r="U74" s="1" t="str">
        <f t="shared" si="11"/>
        <v>Valeš</v>
      </c>
      <c r="V74" s="199">
        <f t="shared" si="12"/>
        <v>1</v>
      </c>
      <c r="W74" s="199" t="str">
        <f t="shared" si="13"/>
        <v>R</v>
      </c>
      <c r="X74" s="191"/>
      <c r="Y74" s="191"/>
      <c r="Z74" s="191"/>
      <c r="AA74" s="186"/>
    </row>
    <row r="75" spans="2:27" ht="15" customHeight="1" x14ac:dyDescent="0.25">
      <c r="B75" s="1" t="s">
        <v>753</v>
      </c>
      <c r="C75" s="185">
        <v>37710</v>
      </c>
      <c r="D75" s="199">
        <f t="shared" ca="1" si="5"/>
        <v>17</v>
      </c>
      <c r="E75" s="191">
        <v>0</v>
      </c>
      <c r="F75" s="191">
        <v>0</v>
      </c>
      <c r="G75" s="191">
        <v>0</v>
      </c>
      <c r="H75" s="199">
        <f t="shared" si="6"/>
        <v>0</v>
      </c>
      <c r="I75" s="191">
        <v>1</v>
      </c>
      <c r="J75" s="191">
        <v>73</v>
      </c>
      <c r="K75" s="191"/>
      <c r="L75" s="191" t="s">
        <v>78</v>
      </c>
      <c r="M75" s="191">
        <v>178</v>
      </c>
      <c r="N75" s="191">
        <v>70</v>
      </c>
      <c r="O75" s="199" t="str">
        <f t="shared" si="7"/>
        <v>22 OZ, 26 (9+17)</v>
      </c>
      <c r="P75" s="199" t="str">
        <f t="shared" si="8"/>
        <v>178/70</v>
      </c>
      <c r="Q75" s="192" t="s">
        <v>112</v>
      </c>
      <c r="R75" s="191">
        <v>2010</v>
      </c>
      <c r="S75" s="199" t="str">
        <f t="shared" si="9"/>
        <v/>
      </c>
      <c r="T75" s="1" t="str">
        <f t="shared" si="10"/>
        <v>Wiener</v>
      </c>
      <c r="U75" s="1" t="str">
        <f t="shared" si="11"/>
        <v>Wiener</v>
      </c>
      <c r="V75" s="199">
        <f t="shared" si="12"/>
        <v>1</v>
      </c>
      <c r="W75" s="199" t="str">
        <f t="shared" si="13"/>
        <v>V</v>
      </c>
      <c r="X75" s="191"/>
      <c r="Y75" s="191"/>
      <c r="Z75" s="191"/>
      <c r="AA75" s="186"/>
    </row>
    <row r="76" spans="2:27" ht="15" customHeight="1" x14ac:dyDescent="0.25">
      <c r="C76" s="185"/>
      <c r="D76" s="199" t="str">
        <f t="shared" ref="D76:D82" si="14">IF(C76 &lt;&gt; 0,ROUNDDOWN(($A$47-C76)/365.25,0),"")</f>
        <v/>
      </c>
      <c r="E76" s="191"/>
      <c r="F76" s="191"/>
      <c r="G76" s="191"/>
      <c r="H76" s="199" t="str">
        <f t="shared" ref="H76:H82" si="15">IF(B76&lt;&gt;0,F76+G76,"")</f>
        <v/>
      </c>
      <c r="I76" s="191"/>
      <c r="J76" s="191"/>
      <c r="K76" s="191"/>
      <c r="L76" s="191"/>
      <c r="M76" s="191"/>
      <c r="N76" s="191"/>
      <c r="O76" s="199" t="str">
        <f t="shared" ref="O76:O82" si="16">IF(B76&lt;&gt;0,CONCATENATE(E76+IFERROR(VLOOKUP(B76,$B$2:$N$36,4,FALSE),0) + X76, " OZ, ", H76+IFERROR(VLOOKUP(B76,$B$2:$N$36,9,FALSE),0) + Y76+Z76, " (", F76+IFERROR(VLOOKUP(B76,$B$2:$N$36,5,FALSE),0) + Y76, "+",G76+IFERROR(VLOOKUP(B76,$B$2:$N$36,8,FALSE),0) +  Z76, ")"), "")</f>
        <v/>
      </c>
      <c r="P76" s="199" t="str">
        <f t="shared" ref="P76:P82" si="17">IF(M76&lt;&gt;0,CONCATENATE(M76,"/",N76),"")</f>
        <v/>
      </c>
      <c r="Q76" s="192"/>
      <c r="R76" s="191"/>
      <c r="S76" s="199"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99" t="str">
        <f t="shared" ref="V76:V82" si="21">IF(B76&lt;&gt;0,COUNTIF($U$48:$U$82,U76),"")</f>
        <v/>
      </c>
      <c r="W76" s="199" t="str">
        <f t="shared" ref="W76:W82" si="22">IFERROR(LEFT(LEFT(B76,SEARCH(" ",B76,1)),1),"")</f>
        <v/>
      </c>
      <c r="X76" s="191"/>
      <c r="Y76" s="191"/>
      <c r="Z76" s="191"/>
      <c r="AA76" s="186"/>
    </row>
    <row r="77" spans="2:27" ht="15" customHeight="1" x14ac:dyDescent="0.25">
      <c r="C77" s="185"/>
      <c r="D77" s="199" t="str">
        <f t="shared" si="14"/>
        <v/>
      </c>
      <c r="E77" s="191"/>
      <c r="F77" s="191"/>
      <c r="G77" s="191"/>
      <c r="H77" s="199" t="str">
        <f t="shared" si="15"/>
        <v/>
      </c>
      <c r="I77" s="191"/>
      <c r="J77" s="191"/>
      <c r="K77" s="191"/>
      <c r="L77" s="191"/>
      <c r="M77" s="191"/>
      <c r="N77" s="191"/>
      <c r="O77" s="199" t="str">
        <f t="shared" si="16"/>
        <v/>
      </c>
      <c r="P77" s="199" t="str">
        <f t="shared" si="17"/>
        <v/>
      </c>
      <c r="Q77" s="192"/>
      <c r="R77" s="191"/>
      <c r="S77" s="199" t="str">
        <f t="shared" si="18"/>
        <v/>
      </c>
      <c r="T77" s="1" t="str">
        <f t="shared" si="19"/>
        <v/>
      </c>
      <c r="U77" s="1" t="str">
        <f t="shared" si="20"/>
        <v/>
      </c>
      <c r="V77" s="199" t="str">
        <f t="shared" si="21"/>
        <v/>
      </c>
      <c r="W77" s="199" t="str">
        <f t="shared" si="22"/>
        <v/>
      </c>
      <c r="X77" s="191"/>
      <c r="Y77" s="191"/>
      <c r="Z77" s="191"/>
      <c r="AA77" s="186"/>
    </row>
    <row r="78" spans="2:27" ht="15" customHeight="1" x14ac:dyDescent="0.25">
      <c r="C78" s="185"/>
      <c r="D78" s="199" t="str">
        <f t="shared" si="14"/>
        <v/>
      </c>
      <c r="E78" s="191"/>
      <c r="F78" s="191"/>
      <c r="G78" s="191"/>
      <c r="H78" s="199" t="str">
        <f t="shared" si="15"/>
        <v/>
      </c>
      <c r="I78" s="191"/>
      <c r="J78" s="191"/>
      <c r="K78" s="191"/>
      <c r="L78" s="191"/>
      <c r="M78" s="191"/>
      <c r="N78" s="191"/>
      <c r="O78" s="199" t="str">
        <f t="shared" si="16"/>
        <v/>
      </c>
      <c r="P78" s="199" t="str">
        <f t="shared" si="17"/>
        <v/>
      </c>
      <c r="Q78" s="192"/>
      <c r="R78" s="191"/>
      <c r="S78" s="199" t="str">
        <f t="shared" si="18"/>
        <v/>
      </c>
      <c r="T78" s="1" t="str">
        <f t="shared" si="19"/>
        <v/>
      </c>
      <c r="U78" s="1" t="str">
        <f t="shared" si="20"/>
        <v/>
      </c>
      <c r="V78" s="199" t="str">
        <f t="shared" si="21"/>
        <v/>
      </c>
      <c r="W78" s="199" t="str">
        <f t="shared" si="22"/>
        <v/>
      </c>
      <c r="X78" s="191"/>
      <c r="Y78" s="191"/>
      <c r="Z78" s="191"/>
      <c r="AA78" s="186"/>
    </row>
    <row r="79" spans="2:27" ht="15" customHeight="1" x14ac:dyDescent="0.25">
      <c r="C79" s="185"/>
      <c r="D79" s="199" t="str">
        <f t="shared" si="14"/>
        <v/>
      </c>
      <c r="E79" s="191"/>
      <c r="F79" s="191"/>
      <c r="G79" s="191"/>
      <c r="H79" s="199" t="str">
        <f t="shared" si="15"/>
        <v/>
      </c>
      <c r="I79" s="191"/>
      <c r="J79" s="191"/>
      <c r="K79" s="191"/>
      <c r="L79" s="191"/>
      <c r="M79" s="191"/>
      <c r="N79" s="191"/>
      <c r="O79" s="199" t="str">
        <f t="shared" si="16"/>
        <v/>
      </c>
      <c r="P79" s="199" t="str">
        <f t="shared" si="17"/>
        <v/>
      </c>
      <c r="Q79" s="192"/>
      <c r="R79" s="191"/>
      <c r="S79" s="199" t="str">
        <f t="shared" si="18"/>
        <v/>
      </c>
      <c r="T79" s="1" t="str">
        <f t="shared" si="19"/>
        <v/>
      </c>
      <c r="U79" s="1" t="str">
        <f t="shared" si="20"/>
        <v/>
      </c>
      <c r="V79" s="199" t="str">
        <f t="shared" si="21"/>
        <v/>
      </c>
      <c r="W79" s="199" t="str">
        <f t="shared" si="22"/>
        <v/>
      </c>
      <c r="X79" s="191"/>
      <c r="Y79" s="191"/>
      <c r="Z79" s="191"/>
      <c r="AA79" s="186"/>
    </row>
    <row r="80" spans="2:27" ht="15" customHeight="1" x14ac:dyDescent="0.25">
      <c r="C80" s="185"/>
      <c r="D80" s="199" t="str">
        <f t="shared" si="14"/>
        <v/>
      </c>
      <c r="E80" s="191"/>
      <c r="F80" s="191"/>
      <c r="G80" s="191"/>
      <c r="H80" s="199" t="str">
        <f t="shared" si="15"/>
        <v/>
      </c>
      <c r="I80" s="191"/>
      <c r="J80" s="191"/>
      <c r="K80" s="191"/>
      <c r="L80" s="191"/>
      <c r="M80" s="191"/>
      <c r="N80" s="191"/>
      <c r="O80" s="199" t="str">
        <f t="shared" si="16"/>
        <v/>
      </c>
      <c r="P80" s="199" t="str">
        <f t="shared" si="17"/>
        <v/>
      </c>
      <c r="Q80" s="192"/>
      <c r="R80" s="191"/>
      <c r="S80" s="199" t="str">
        <f t="shared" si="18"/>
        <v/>
      </c>
      <c r="T80" s="1" t="str">
        <f t="shared" si="19"/>
        <v/>
      </c>
      <c r="U80" s="1" t="str">
        <f t="shared" si="20"/>
        <v/>
      </c>
      <c r="V80" s="199" t="str">
        <f t="shared" si="21"/>
        <v/>
      </c>
      <c r="W80" s="199" t="str">
        <f t="shared" si="22"/>
        <v/>
      </c>
      <c r="X80" s="191"/>
      <c r="Y80" s="191"/>
      <c r="Z80" s="191"/>
      <c r="AA80" s="186"/>
    </row>
    <row r="81" spans="1:27" ht="15" customHeight="1" x14ac:dyDescent="0.25">
      <c r="C81" s="185"/>
      <c r="D81" s="199" t="str">
        <f t="shared" si="14"/>
        <v/>
      </c>
      <c r="E81" s="191"/>
      <c r="F81" s="191"/>
      <c r="G81" s="191"/>
      <c r="H81" s="199" t="str">
        <f t="shared" si="15"/>
        <v/>
      </c>
      <c r="I81" s="191"/>
      <c r="J81" s="191"/>
      <c r="K81" s="191"/>
      <c r="L81" s="191"/>
      <c r="M81" s="191"/>
      <c r="N81" s="191"/>
      <c r="O81" s="199" t="str">
        <f t="shared" si="16"/>
        <v/>
      </c>
      <c r="P81" s="199" t="str">
        <f t="shared" si="17"/>
        <v/>
      </c>
      <c r="Q81" s="192"/>
      <c r="R81" s="191"/>
      <c r="S81" s="199" t="str">
        <f t="shared" si="18"/>
        <v/>
      </c>
      <c r="T81" s="1" t="str">
        <f t="shared" si="19"/>
        <v/>
      </c>
      <c r="U81" s="1" t="str">
        <f t="shared" si="20"/>
        <v/>
      </c>
      <c r="V81" s="199" t="str">
        <f t="shared" si="21"/>
        <v/>
      </c>
      <c r="W81" s="199" t="str">
        <f t="shared" si="22"/>
        <v/>
      </c>
      <c r="X81" s="191"/>
      <c r="Y81" s="191"/>
      <c r="Z81" s="191"/>
      <c r="AA81" s="186"/>
    </row>
    <row r="82" spans="1:27" ht="15" customHeight="1" x14ac:dyDescent="0.25">
      <c r="C82" s="185"/>
      <c r="D82" s="199" t="str">
        <f t="shared" si="14"/>
        <v/>
      </c>
      <c r="E82" s="191"/>
      <c r="F82" s="191"/>
      <c r="G82" s="191"/>
      <c r="H82" s="199" t="str">
        <f t="shared" si="15"/>
        <v/>
      </c>
      <c r="I82" s="191"/>
      <c r="J82" s="191"/>
      <c r="K82" s="191"/>
      <c r="L82" s="191"/>
      <c r="M82" s="191"/>
      <c r="N82" s="191"/>
      <c r="O82" s="199" t="str">
        <f t="shared" si="16"/>
        <v/>
      </c>
      <c r="P82" s="199" t="str">
        <f t="shared" si="17"/>
        <v/>
      </c>
      <c r="Q82" s="192"/>
      <c r="R82" s="191"/>
      <c r="S82" s="199" t="str">
        <f t="shared" si="18"/>
        <v/>
      </c>
      <c r="T82" s="1" t="str">
        <f t="shared" si="19"/>
        <v/>
      </c>
      <c r="U82" s="1" t="str">
        <f t="shared" si="20"/>
        <v/>
      </c>
      <c r="V82" s="199" t="str">
        <f t="shared" si="21"/>
        <v/>
      </c>
      <c r="W82" s="199" t="str">
        <f t="shared" si="22"/>
        <v/>
      </c>
      <c r="X82" s="191"/>
      <c r="Y82" s="191"/>
      <c r="Z82" s="191"/>
      <c r="AA82" s="186"/>
    </row>
    <row r="84" spans="1:27" s="200" customFormat="1" ht="15" customHeight="1" x14ac:dyDescent="0.25">
      <c r="A84" s="7">
        <f ca="1">TODAY()</f>
        <v>44263</v>
      </c>
      <c r="B84" s="200" t="s">
        <v>59</v>
      </c>
      <c r="C84" s="200" t="s">
        <v>66</v>
      </c>
      <c r="D84" s="200" t="s">
        <v>67</v>
      </c>
      <c r="E84" s="401" t="s">
        <v>94</v>
      </c>
      <c r="F84" s="401"/>
      <c r="G84" s="401" t="s">
        <v>100</v>
      </c>
      <c r="H84" s="401"/>
      <c r="I84" s="401"/>
      <c r="J84" s="401"/>
      <c r="K84" s="401"/>
      <c r="Q84" s="9"/>
    </row>
    <row r="85" spans="1:27" ht="30" customHeight="1" x14ac:dyDescent="0.25">
      <c r="B85" s="186" t="s">
        <v>822</v>
      </c>
      <c r="C85" s="185">
        <v>24850</v>
      </c>
      <c r="D85" s="199">
        <f ca="1">IF(B85&lt;&gt;0,ROUNDDOWN(($A$84-C85)/365.25,0),"")</f>
        <v>53</v>
      </c>
      <c r="E85" s="400" t="s">
        <v>188</v>
      </c>
      <c r="F85" s="400"/>
      <c r="G85" s="400" t="s">
        <v>827</v>
      </c>
      <c r="H85" s="400"/>
      <c r="I85" s="400"/>
      <c r="J85" s="400"/>
      <c r="K85" s="400"/>
    </row>
    <row r="86" spans="1:27" ht="30" customHeight="1" x14ac:dyDescent="0.25">
      <c r="B86" s="186" t="s">
        <v>823</v>
      </c>
      <c r="C86" s="185">
        <v>34764</v>
      </c>
      <c r="D86" s="199">
        <f t="shared" ref="D86:D92" ca="1" si="23">IF(B86&lt;&gt;0,ROUNDDOWN(($A$84-C86)/365.25,0),"")</f>
        <v>26</v>
      </c>
      <c r="E86" s="400" t="s">
        <v>191</v>
      </c>
      <c r="F86" s="400"/>
      <c r="G86" s="400" t="s">
        <v>30</v>
      </c>
      <c r="H86" s="400"/>
      <c r="I86" s="400"/>
      <c r="J86" s="400"/>
      <c r="K86" s="400"/>
    </row>
    <row r="87" spans="1:27" ht="30" customHeight="1" x14ac:dyDescent="0.25">
      <c r="B87" s="186" t="s">
        <v>824</v>
      </c>
      <c r="C87" s="185">
        <v>29102</v>
      </c>
      <c r="D87" s="199">
        <f t="shared" ca="1" si="23"/>
        <v>41</v>
      </c>
      <c r="E87" s="400" t="s">
        <v>101</v>
      </c>
      <c r="F87" s="400"/>
      <c r="G87" s="400" t="s">
        <v>30</v>
      </c>
      <c r="H87" s="400"/>
      <c r="I87" s="400"/>
      <c r="J87" s="400"/>
      <c r="K87" s="400"/>
    </row>
    <row r="88" spans="1:27" ht="30" customHeight="1" x14ac:dyDescent="0.25">
      <c r="B88" s="186" t="s">
        <v>825</v>
      </c>
      <c r="C88" s="185">
        <v>30335</v>
      </c>
      <c r="D88" s="199">
        <f t="shared" ca="1" si="23"/>
        <v>38</v>
      </c>
      <c r="E88" s="400" t="s">
        <v>828</v>
      </c>
      <c r="F88" s="400"/>
      <c r="G88" s="400" t="s">
        <v>30</v>
      </c>
      <c r="H88" s="400"/>
      <c r="I88" s="400"/>
      <c r="J88" s="400"/>
      <c r="K88" s="400"/>
    </row>
    <row r="89" spans="1:27" ht="30" customHeight="1" x14ac:dyDescent="0.25">
      <c r="B89" s="186" t="s">
        <v>826</v>
      </c>
      <c r="C89" s="185">
        <v>36034</v>
      </c>
      <c r="D89" s="199">
        <f t="shared" ca="1" si="23"/>
        <v>22</v>
      </c>
      <c r="E89" s="400" t="s">
        <v>829</v>
      </c>
      <c r="F89" s="400"/>
      <c r="G89" s="400" t="s">
        <v>30</v>
      </c>
      <c r="H89" s="400"/>
      <c r="I89" s="400"/>
      <c r="J89" s="400"/>
      <c r="K89" s="400"/>
    </row>
    <row r="90" spans="1:27" ht="30" customHeight="1" x14ac:dyDescent="0.25">
      <c r="B90" s="186"/>
      <c r="C90" s="186"/>
      <c r="D90" s="199" t="str">
        <f t="shared" si="23"/>
        <v/>
      </c>
      <c r="E90" s="400"/>
      <c r="F90" s="400"/>
      <c r="G90" s="400"/>
      <c r="H90" s="400"/>
      <c r="I90" s="400"/>
      <c r="J90" s="400"/>
      <c r="K90" s="400"/>
    </row>
    <row r="91" spans="1:27" ht="30" customHeight="1" x14ac:dyDescent="0.25">
      <c r="B91" s="186"/>
      <c r="C91" s="186"/>
      <c r="D91" s="199" t="str">
        <f t="shared" si="23"/>
        <v/>
      </c>
      <c r="E91" s="400"/>
      <c r="F91" s="400"/>
      <c r="G91" s="400"/>
      <c r="H91" s="400"/>
      <c r="I91" s="400"/>
      <c r="J91" s="400"/>
      <c r="K91" s="400"/>
    </row>
    <row r="92" spans="1:27" ht="30" customHeight="1" x14ac:dyDescent="0.25">
      <c r="B92" s="186"/>
      <c r="C92" s="186"/>
      <c r="D92" s="199" t="str">
        <f t="shared" si="23"/>
        <v/>
      </c>
      <c r="E92" s="400"/>
      <c r="F92" s="400"/>
      <c r="G92" s="400"/>
      <c r="H92" s="400"/>
      <c r="I92" s="400"/>
      <c r="J92" s="400"/>
      <c r="K92" s="400"/>
    </row>
  </sheetData>
  <sheetProtection algorithmName="SHA-512" hashValue="mKk5a1xYUuaWgNey/7y46Bfqtc+ucH6uzmkIE19AcsYg6f54yW8ACa5nnSgTmHeE9gmrXtC6NvrS7kKNRIQ1uQ==" saltValue="OUfmAQ8rcIs1+/sETnLjGg==" spinCount="100000" sheet="1" objects="1" scenarios="1" selectLockedCells="1"/>
  <sortState ref="B48:AA75">
    <sortCondition ref="U48:U75"/>
    <sortCondition ref="B48:B75"/>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45" priority="1" operator="containsText" text="ANO">
      <formula>NOT(ISERROR(SEARCH("ANO",P2)))</formula>
    </cfRule>
    <cfRule type="containsText" dxfId="4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3"/>
  <dimension ref="A1:F41"/>
  <sheetViews>
    <sheetView workbookViewId="0">
      <selection activeCell="B41" sqref="B41"/>
    </sheetView>
  </sheetViews>
  <sheetFormatPr defaultRowHeight="15" x14ac:dyDescent="0.25"/>
  <cols>
    <col min="2" max="2" width="18.85546875" bestFit="1" customWidth="1"/>
  </cols>
  <sheetData>
    <row r="1" spans="1:6" x14ac:dyDescent="0.25">
      <c r="A1" s="401" t="s">
        <v>36</v>
      </c>
      <c r="B1" s="1" t="s">
        <v>776</v>
      </c>
      <c r="C1" s="212">
        <v>39</v>
      </c>
      <c r="D1" s="403" t="str">
        <f t="shared" ref="D1:D30" si="0">IFERROR(RIGHT(B1,LEN(B1)-SEARCH(" ",B1)),"")</f>
        <v>Radek Valeš</v>
      </c>
      <c r="E1" s="403"/>
      <c r="F1" s="199"/>
    </row>
    <row r="2" spans="1:6" x14ac:dyDescent="0.25">
      <c r="A2" s="401"/>
      <c r="B2" s="1" t="s">
        <v>877</v>
      </c>
      <c r="C2" s="212">
        <v>29</v>
      </c>
      <c r="D2" s="403" t="str">
        <f t="shared" si="0"/>
        <v>Martin Čermák</v>
      </c>
      <c r="E2" s="403"/>
      <c r="F2" s="199"/>
    </row>
    <row r="3" spans="1:6" x14ac:dyDescent="0.25">
      <c r="A3" s="401"/>
      <c r="B3" s="1" t="s">
        <v>781</v>
      </c>
      <c r="C3" s="212">
        <v>27</v>
      </c>
      <c r="D3" s="403" t="str">
        <f t="shared" si="0"/>
        <v>Prokop Ferdan</v>
      </c>
      <c r="E3" s="403"/>
      <c r="F3" s="199"/>
    </row>
    <row r="4" spans="1:6" x14ac:dyDescent="0.25">
      <c r="A4" s="401"/>
      <c r="B4" s="1" t="s">
        <v>878</v>
      </c>
      <c r="C4" s="212">
        <v>26</v>
      </c>
      <c r="D4" s="403" t="str">
        <f t="shared" si="0"/>
        <v>Vojtěch Wiener</v>
      </c>
      <c r="E4" s="403"/>
      <c r="F4" s="199"/>
    </row>
    <row r="5" spans="1:6" x14ac:dyDescent="0.25">
      <c r="A5" s="401"/>
      <c r="B5" s="1" t="s">
        <v>879</v>
      </c>
      <c r="C5" s="212">
        <v>22</v>
      </c>
      <c r="D5" s="403" t="str">
        <f t="shared" si="0"/>
        <v>Jakub Kopecký</v>
      </c>
      <c r="E5" s="403"/>
      <c r="F5" s="199"/>
    </row>
    <row r="6" spans="1:6" x14ac:dyDescent="0.25">
      <c r="A6" s="401" t="s">
        <v>241</v>
      </c>
      <c r="B6" s="1" t="s">
        <v>777</v>
      </c>
      <c r="C6" s="212" t="s">
        <v>1002</v>
      </c>
      <c r="D6" s="403" t="str">
        <f t="shared" si="0"/>
        <v>Daniel Mück</v>
      </c>
      <c r="E6" s="403"/>
      <c r="F6" s="199">
        <f t="shared" ref="F6:F10" si="1">IF(B6&lt;&gt;0,_xlfn.NUMBERVALUE(C6,","),"")</f>
        <v>5.72</v>
      </c>
    </row>
    <row r="7" spans="1:6" x14ac:dyDescent="0.25">
      <c r="A7" s="401"/>
      <c r="B7" s="1" t="s">
        <v>778</v>
      </c>
      <c r="C7" s="212" t="s">
        <v>329</v>
      </c>
      <c r="D7" s="403" t="str">
        <f t="shared" si="0"/>
        <v>Jan Baudisch</v>
      </c>
      <c r="E7" s="403"/>
      <c r="F7" s="199">
        <f t="shared" si="1"/>
        <v>0</v>
      </c>
    </row>
    <row r="8" spans="1:6" x14ac:dyDescent="0.25">
      <c r="A8" s="401"/>
      <c r="B8" s="1" t="s">
        <v>1003</v>
      </c>
      <c r="C8" s="212" t="s">
        <v>329</v>
      </c>
      <c r="D8" s="403" t="str">
        <f t="shared" si="0"/>
        <v>Petr Chlad</v>
      </c>
      <c r="E8" s="403"/>
      <c r="F8" s="199">
        <f t="shared" si="1"/>
        <v>0</v>
      </c>
    </row>
    <row r="9" spans="1:6" x14ac:dyDescent="0.25">
      <c r="A9" s="401"/>
      <c r="B9" s="1" t="s">
        <v>1004</v>
      </c>
      <c r="C9" s="212" t="s">
        <v>779</v>
      </c>
      <c r="D9" s="403" t="str">
        <f t="shared" si="0"/>
        <v>Ivan Ponomarev</v>
      </c>
      <c r="E9" s="403"/>
      <c r="F9" s="199">
        <f t="shared" si="1"/>
        <v>6.39</v>
      </c>
    </row>
    <row r="10" spans="1:6" x14ac:dyDescent="0.25">
      <c r="A10" s="401"/>
      <c r="B10" s="1"/>
      <c r="C10" s="212"/>
      <c r="D10" s="403" t="str">
        <f t="shared" si="0"/>
        <v/>
      </c>
      <c r="E10" s="403"/>
      <c r="F10" s="199" t="str">
        <f t="shared" si="1"/>
        <v/>
      </c>
    </row>
    <row r="11" spans="1:6" x14ac:dyDescent="0.25">
      <c r="A11" s="401" t="s">
        <v>35</v>
      </c>
      <c r="B11" s="1" t="s">
        <v>776</v>
      </c>
      <c r="C11" s="212">
        <v>21</v>
      </c>
      <c r="D11" s="403" t="str">
        <f t="shared" si="0"/>
        <v>Radek Valeš</v>
      </c>
      <c r="E11" s="403"/>
      <c r="F11" s="199"/>
    </row>
    <row r="12" spans="1:6" x14ac:dyDescent="0.25">
      <c r="A12" s="401"/>
      <c r="B12" s="1" t="s">
        <v>877</v>
      </c>
      <c r="C12" s="212">
        <v>17</v>
      </c>
      <c r="D12" s="403" t="str">
        <f t="shared" si="0"/>
        <v>Martin Čermák</v>
      </c>
      <c r="E12" s="403"/>
      <c r="F12" s="199"/>
    </row>
    <row r="13" spans="1:6" x14ac:dyDescent="0.25">
      <c r="A13" s="401"/>
      <c r="B13" s="1" t="s">
        <v>781</v>
      </c>
      <c r="C13" s="212">
        <v>16</v>
      </c>
      <c r="D13" s="403" t="str">
        <f t="shared" si="0"/>
        <v>Prokop Ferdan</v>
      </c>
      <c r="E13" s="403"/>
      <c r="F13" s="199"/>
    </row>
    <row r="14" spans="1:6" x14ac:dyDescent="0.25">
      <c r="A14" s="401"/>
      <c r="B14" s="1" t="s">
        <v>1005</v>
      </c>
      <c r="C14" s="212">
        <v>15</v>
      </c>
      <c r="D14" s="403" t="str">
        <f t="shared" si="0"/>
        <v>Jakub Kopecký</v>
      </c>
      <c r="E14" s="403"/>
      <c r="F14" s="199"/>
    </row>
    <row r="15" spans="1:6" x14ac:dyDescent="0.25">
      <c r="A15" s="401"/>
      <c r="B15" s="1" t="s">
        <v>1006</v>
      </c>
      <c r="C15" s="212">
        <v>11</v>
      </c>
      <c r="D15" s="403" t="str">
        <f t="shared" si="0"/>
        <v>Tomáš Dlesk</v>
      </c>
      <c r="E15" s="403"/>
      <c r="F15" s="199"/>
    </row>
    <row r="16" spans="1:6" x14ac:dyDescent="0.25">
      <c r="A16" s="401" t="s">
        <v>230</v>
      </c>
      <c r="B16" s="1" t="s">
        <v>777</v>
      </c>
      <c r="C16" s="212">
        <v>11</v>
      </c>
      <c r="D16" s="403" t="str">
        <f t="shared" si="0"/>
        <v>Daniel Mück</v>
      </c>
      <c r="E16" s="403"/>
      <c r="F16" s="199">
        <f t="shared" ref="F16:F20" si="2">IF(B16&lt;&gt;0,_xlfn.NUMBERVALUE(C16,","),"")</f>
        <v>11</v>
      </c>
    </row>
    <row r="17" spans="1:6" x14ac:dyDescent="0.25">
      <c r="A17" s="401"/>
      <c r="B17" s="1" t="s">
        <v>782</v>
      </c>
      <c r="C17" s="212">
        <v>3</v>
      </c>
      <c r="D17" s="403" t="str">
        <f t="shared" si="0"/>
        <v>Ivan Ponomarev</v>
      </c>
      <c r="E17" s="403"/>
      <c r="F17" s="199">
        <f t="shared" si="2"/>
        <v>3</v>
      </c>
    </row>
    <row r="18" spans="1:6" x14ac:dyDescent="0.25">
      <c r="A18" s="401"/>
      <c r="B18" s="1" t="s">
        <v>783</v>
      </c>
      <c r="C18" s="212">
        <v>0</v>
      </c>
      <c r="D18" s="403" t="str">
        <f t="shared" si="0"/>
        <v>Jan Baudisch</v>
      </c>
      <c r="E18" s="403"/>
      <c r="F18" s="199">
        <f t="shared" si="2"/>
        <v>0</v>
      </c>
    </row>
    <row r="19" spans="1:6" x14ac:dyDescent="0.25">
      <c r="A19" s="401"/>
      <c r="B19" s="1" t="s">
        <v>1007</v>
      </c>
      <c r="C19" s="212">
        <v>0</v>
      </c>
      <c r="D19" s="403" t="str">
        <f t="shared" si="0"/>
        <v>Petr Chlad</v>
      </c>
      <c r="E19" s="403"/>
      <c r="F19" s="199">
        <f t="shared" si="2"/>
        <v>0</v>
      </c>
    </row>
    <row r="20" spans="1:6" x14ac:dyDescent="0.25">
      <c r="A20" s="401"/>
      <c r="B20" s="1"/>
      <c r="C20" s="212"/>
      <c r="D20" s="403" t="str">
        <f t="shared" si="0"/>
        <v/>
      </c>
      <c r="E20" s="403"/>
      <c r="F20" s="199" t="str">
        <f t="shared" si="2"/>
        <v/>
      </c>
    </row>
    <row r="21" spans="1:6" x14ac:dyDescent="0.25">
      <c r="A21" s="401" t="s">
        <v>37</v>
      </c>
      <c r="B21" s="1" t="s">
        <v>776</v>
      </c>
      <c r="C21" s="212">
        <v>18</v>
      </c>
      <c r="D21" s="403" t="str">
        <f t="shared" si="0"/>
        <v>Radek Valeš</v>
      </c>
      <c r="E21" s="403"/>
      <c r="F21" s="199"/>
    </row>
    <row r="22" spans="1:6" x14ac:dyDescent="0.25">
      <c r="A22" s="401"/>
      <c r="B22" s="1" t="s">
        <v>784</v>
      </c>
      <c r="C22" s="212">
        <v>17</v>
      </c>
      <c r="D22" s="403" t="str">
        <f t="shared" si="0"/>
        <v>Vojtěch Wiener</v>
      </c>
      <c r="E22" s="403"/>
      <c r="F22" s="199"/>
    </row>
    <row r="23" spans="1:6" x14ac:dyDescent="0.25">
      <c r="A23" s="401"/>
      <c r="B23" s="1" t="s">
        <v>1008</v>
      </c>
      <c r="C23" s="212">
        <v>12</v>
      </c>
      <c r="D23" s="403" t="str">
        <f t="shared" si="0"/>
        <v>Martin Čermák</v>
      </c>
      <c r="E23" s="403"/>
      <c r="F23" s="199"/>
    </row>
    <row r="24" spans="1:6" x14ac:dyDescent="0.25">
      <c r="A24" s="401"/>
      <c r="B24" s="1" t="s">
        <v>1009</v>
      </c>
      <c r="C24" s="212">
        <v>12</v>
      </c>
      <c r="D24" s="403" t="str">
        <f t="shared" si="0"/>
        <v>Petr Kološ</v>
      </c>
      <c r="E24" s="403"/>
      <c r="F24" s="199"/>
    </row>
    <row r="25" spans="1:6" x14ac:dyDescent="0.25">
      <c r="A25" s="401"/>
      <c r="B25" s="1" t="s">
        <v>785</v>
      </c>
      <c r="C25" s="212">
        <v>11</v>
      </c>
      <c r="D25" s="403" t="str">
        <f t="shared" si="0"/>
        <v>Prokop Ferdan</v>
      </c>
      <c r="E25" s="403"/>
      <c r="F25" s="199"/>
    </row>
    <row r="26" spans="1:6" x14ac:dyDescent="0.25">
      <c r="A26" s="401" t="s">
        <v>38</v>
      </c>
      <c r="B26" s="1" t="s">
        <v>776</v>
      </c>
      <c r="C26" s="212">
        <v>14</v>
      </c>
      <c r="D26" s="403" t="str">
        <f t="shared" si="0"/>
        <v>Radek Valeš</v>
      </c>
      <c r="E26" s="403"/>
      <c r="F26" s="199"/>
    </row>
    <row r="27" spans="1:6" x14ac:dyDescent="0.25">
      <c r="A27" s="401"/>
      <c r="B27" s="1" t="s">
        <v>780</v>
      </c>
      <c r="C27" s="212">
        <v>8</v>
      </c>
      <c r="D27" s="403" t="str">
        <f t="shared" si="0"/>
        <v>Jakub Kopecký</v>
      </c>
      <c r="E27" s="403"/>
      <c r="F27" s="199"/>
    </row>
    <row r="28" spans="1:6" x14ac:dyDescent="0.25">
      <c r="A28" s="401"/>
      <c r="B28" s="1" t="s">
        <v>1010</v>
      </c>
      <c r="C28" s="212">
        <v>8</v>
      </c>
      <c r="D28" s="403" t="str">
        <f t="shared" si="0"/>
        <v>Matěj Klucho</v>
      </c>
      <c r="E28" s="403"/>
      <c r="F28" s="199"/>
    </row>
    <row r="29" spans="1:6" x14ac:dyDescent="0.25">
      <c r="A29" s="401"/>
      <c r="B29" s="1" t="s">
        <v>1009</v>
      </c>
      <c r="C29" s="212">
        <v>8</v>
      </c>
      <c r="D29" s="403" t="str">
        <f t="shared" si="0"/>
        <v>Petr Kološ</v>
      </c>
      <c r="E29" s="403"/>
      <c r="F29" s="199"/>
    </row>
    <row r="30" spans="1:6" x14ac:dyDescent="0.25">
      <c r="A30" s="401"/>
      <c r="B30" s="1" t="s">
        <v>1011</v>
      </c>
      <c r="C30" s="212">
        <v>6</v>
      </c>
      <c r="D30" s="403" t="str">
        <f t="shared" si="0"/>
        <v>Jan Baudisch</v>
      </c>
      <c r="E30" s="403"/>
      <c r="F30" s="199"/>
    </row>
    <row r="31" spans="1:6" x14ac:dyDescent="0.25">
      <c r="A31" s="401" t="s">
        <v>331</v>
      </c>
      <c r="B31" s="190" t="s">
        <v>959</v>
      </c>
      <c r="C31" s="190" t="s">
        <v>29</v>
      </c>
      <c r="D31" s="190" t="s">
        <v>869</v>
      </c>
      <c r="E31" s="178" t="str">
        <f>IFERROR(RIGHT(LEFT(D31,LEN(D31)-1),LEN(D31)-2),"")</f>
        <v>11:4</v>
      </c>
    </row>
    <row r="32" spans="1:6" x14ac:dyDescent="0.25">
      <c r="A32" s="401"/>
      <c r="B32" s="190" t="s">
        <v>786</v>
      </c>
      <c r="C32" s="190" t="s">
        <v>147</v>
      </c>
      <c r="D32" s="190" t="s">
        <v>948</v>
      </c>
      <c r="E32" s="178" t="str">
        <f t="shared" ref="E32:E40" si="3">IFERROR(RIGHT(LEFT(D32,LEN(D32)-1),LEN(D32)-2),"")</f>
        <v>9:7</v>
      </c>
    </row>
    <row r="33" spans="1:5" x14ac:dyDescent="0.25">
      <c r="A33" s="401"/>
      <c r="B33" s="190" t="s">
        <v>855</v>
      </c>
      <c r="C33" s="190" t="s">
        <v>152</v>
      </c>
      <c r="D33" s="190" t="s">
        <v>791</v>
      </c>
      <c r="E33" s="178" t="str">
        <f t="shared" si="3"/>
        <v>5:7</v>
      </c>
    </row>
    <row r="34" spans="1:5" x14ac:dyDescent="0.25">
      <c r="A34" s="401"/>
      <c r="B34" s="190" t="s">
        <v>474</v>
      </c>
      <c r="C34" s="190" t="s">
        <v>150</v>
      </c>
      <c r="D34" s="190" t="s">
        <v>793</v>
      </c>
      <c r="E34" s="178" t="str">
        <f t="shared" si="3"/>
        <v>5:9</v>
      </c>
    </row>
    <row r="35" spans="1:5" x14ac:dyDescent="0.25">
      <c r="A35" s="401"/>
      <c r="B35" s="190" t="s">
        <v>549</v>
      </c>
      <c r="C35" s="190" t="s">
        <v>147</v>
      </c>
      <c r="D35" s="190" t="s">
        <v>553</v>
      </c>
      <c r="E35" s="178" t="str">
        <f t="shared" si="3"/>
        <v>4:3</v>
      </c>
    </row>
    <row r="36" spans="1:5" x14ac:dyDescent="0.25">
      <c r="A36" s="401" t="s">
        <v>332</v>
      </c>
      <c r="B36" s="190"/>
      <c r="C36" s="190"/>
      <c r="D36" s="190"/>
      <c r="E36" s="178" t="str">
        <f t="shared" si="3"/>
        <v/>
      </c>
    </row>
    <row r="37" spans="1:5" x14ac:dyDescent="0.25">
      <c r="A37" s="401"/>
      <c r="B37" s="190"/>
      <c r="C37" s="190"/>
      <c r="D37" s="190"/>
      <c r="E37" s="178" t="str">
        <f t="shared" si="3"/>
        <v/>
      </c>
    </row>
    <row r="38" spans="1:5" x14ac:dyDescent="0.25">
      <c r="A38" s="401"/>
      <c r="B38" s="190"/>
      <c r="C38" s="190"/>
      <c r="D38" s="190"/>
      <c r="E38" s="178" t="str">
        <f t="shared" si="3"/>
        <v/>
      </c>
    </row>
    <row r="39" spans="1:5" x14ac:dyDescent="0.25">
      <c r="A39" s="401"/>
      <c r="C39" s="190"/>
      <c r="D39" s="190"/>
      <c r="E39" s="178" t="str">
        <f t="shared" si="3"/>
        <v/>
      </c>
    </row>
    <row r="40" spans="1:5" x14ac:dyDescent="0.25">
      <c r="A40" s="401"/>
      <c r="B40" s="190"/>
      <c r="C40" s="190"/>
      <c r="D40" s="190"/>
      <c r="E40" s="178" t="str">
        <f t="shared" si="3"/>
        <v/>
      </c>
    </row>
    <row r="41" spans="1:5" x14ac:dyDescent="0.25">
      <c r="A41" s="200" t="s">
        <v>333</v>
      </c>
      <c r="B41" s="207" t="s">
        <v>1001</v>
      </c>
      <c r="C41" s="190"/>
      <c r="D41" s="190"/>
    </row>
  </sheetData>
  <sheetProtection algorithmName="SHA-512" hashValue="+x/raI0fLiDzWGmf+YzwCK8U/0iwFIKFkeNZPUQTkZrKUrwh4sg9vnvR9KHIvBMUCyUqQ2G/ZPK7Si2Z+3wUTw==" saltValue="3sWxazDygovZNDlPL5j9qw=="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4"/>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212" customWidth="1"/>
    <col min="15" max="15" width="22" style="212" bestFit="1" customWidth="1"/>
    <col min="16" max="16" width="9.140625" style="212" customWidth="1"/>
    <col min="17" max="17" width="23.140625" style="214" customWidth="1"/>
    <col min="18" max="18" width="9.140625" style="1" customWidth="1"/>
    <col min="19" max="19" width="12.5703125" style="212" bestFit="1" customWidth="1"/>
    <col min="20" max="20" width="11.85546875" style="1" bestFit="1" customWidth="1"/>
    <col min="21" max="23" width="9.140625" style="1"/>
    <col min="24" max="26" width="10.28515625" style="212" customWidth="1"/>
    <col min="27" max="27" width="10.28515625" style="1" customWidth="1"/>
    <col min="28" max="16384" width="9.140625" style="1"/>
  </cols>
  <sheetData>
    <row r="1" spans="1:26" s="213" customFormat="1" ht="15" customHeight="1" x14ac:dyDescent="0.25">
      <c r="A1" s="8" t="s">
        <v>58</v>
      </c>
      <c r="B1" s="213" t="s">
        <v>59</v>
      </c>
      <c r="D1" s="213" t="s">
        <v>60</v>
      </c>
      <c r="E1" s="213" t="s">
        <v>61</v>
      </c>
      <c r="F1" s="213" t="s">
        <v>35</v>
      </c>
      <c r="G1" s="213" t="s">
        <v>62</v>
      </c>
      <c r="H1" s="213" t="s">
        <v>63</v>
      </c>
      <c r="I1" s="213" t="s">
        <v>37</v>
      </c>
      <c r="J1" s="213" t="s">
        <v>36</v>
      </c>
      <c r="K1" s="213" t="s">
        <v>38</v>
      </c>
      <c r="L1" s="213" t="s">
        <v>64</v>
      </c>
      <c r="M1" s="213" t="s">
        <v>30</v>
      </c>
      <c r="N1" s="3" t="s">
        <v>65</v>
      </c>
      <c r="O1" s="213" t="s">
        <v>80</v>
      </c>
      <c r="P1" s="213" t="s">
        <v>439</v>
      </c>
      <c r="Q1" s="115" t="s">
        <v>47</v>
      </c>
    </row>
    <row r="2" spans="1:26" s="4" customFormat="1" x14ac:dyDescent="0.25">
      <c r="A2" s="53">
        <v>1</v>
      </c>
      <c r="B2" s="4" t="s">
        <v>1012</v>
      </c>
      <c r="D2" s="5" t="s">
        <v>51</v>
      </c>
      <c r="E2" s="5">
        <v>21</v>
      </c>
      <c r="F2" s="5">
        <v>18</v>
      </c>
      <c r="G2" s="5">
        <v>4</v>
      </c>
      <c r="H2" s="5">
        <v>1</v>
      </c>
      <c r="I2" s="5">
        <v>13</v>
      </c>
      <c r="J2" s="5">
        <v>31</v>
      </c>
      <c r="K2" s="5">
        <v>4</v>
      </c>
      <c r="L2" s="5">
        <v>38</v>
      </c>
      <c r="M2" s="5">
        <v>39</v>
      </c>
      <c r="N2" s="5">
        <v>-1</v>
      </c>
      <c r="O2" s="21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31 (18+13), -1 ±</v>
      </c>
      <c r="P2" s="5" t="str">
        <f>IF(B2&lt;&gt;0,IF(IFERROR(VLOOKUP(B2,$B$48:$B$82,1,FALSE)=B2,FALSE),"ANO","NE"),"")</f>
        <v>ANO</v>
      </c>
      <c r="Q2" s="142" t="s">
        <v>30</v>
      </c>
      <c r="S2" s="5"/>
      <c r="X2" s="5"/>
      <c r="Y2" s="5"/>
      <c r="Z2" s="5"/>
    </row>
    <row r="3" spans="1:26" s="4" customFormat="1" x14ac:dyDescent="0.25">
      <c r="A3" s="53">
        <v>2</v>
      </c>
      <c r="B3" s="4" t="s">
        <v>1013</v>
      </c>
      <c r="D3" s="5" t="s">
        <v>51</v>
      </c>
      <c r="E3" s="5">
        <v>26</v>
      </c>
      <c r="F3" s="5">
        <v>5</v>
      </c>
      <c r="G3" s="5">
        <v>2</v>
      </c>
      <c r="H3" s="5">
        <v>0</v>
      </c>
      <c r="I3" s="5">
        <v>19</v>
      </c>
      <c r="J3" s="5">
        <v>24</v>
      </c>
      <c r="K3" s="5">
        <v>6</v>
      </c>
      <c r="L3" s="5">
        <v>45</v>
      </c>
      <c r="M3" s="5">
        <v>58</v>
      </c>
      <c r="N3" s="5">
        <v>-13</v>
      </c>
      <c r="O3" s="21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24 (5+19), -13 ±</v>
      </c>
      <c r="P3" s="5" t="str">
        <f t="shared" ref="P3:P36" si="1">IF(B3&lt;&gt;0,IF(IFERROR(VLOOKUP(B3,$B$48:$B$82,1,FALSE)=B3,FALSE),"ANO","NE"),"")</f>
        <v>ANO</v>
      </c>
      <c r="Q3" s="142" t="s">
        <v>30</v>
      </c>
      <c r="S3" s="5"/>
      <c r="X3" s="5"/>
      <c r="Y3" s="5"/>
      <c r="Z3" s="5"/>
    </row>
    <row r="4" spans="1:26" s="4" customFormat="1" x14ac:dyDescent="0.25">
      <c r="A4" s="53">
        <v>3</v>
      </c>
      <c r="B4" s="4" t="s">
        <v>1014</v>
      </c>
      <c r="D4" s="5" t="s">
        <v>48</v>
      </c>
      <c r="E4" s="5">
        <v>26</v>
      </c>
      <c r="F4" s="5">
        <v>13</v>
      </c>
      <c r="G4" s="5">
        <v>3</v>
      </c>
      <c r="H4" s="5">
        <v>2</v>
      </c>
      <c r="I4" s="5">
        <v>9</v>
      </c>
      <c r="J4" s="5">
        <v>22</v>
      </c>
      <c r="K4" s="5">
        <v>6</v>
      </c>
      <c r="L4" s="5">
        <v>35</v>
      </c>
      <c r="M4" s="5">
        <v>55</v>
      </c>
      <c r="N4" s="5">
        <v>-20</v>
      </c>
      <c r="O4" s="212" t="str">
        <f t="shared" si="0"/>
        <v>26 OZ , 22 (13+9), -20 ±</v>
      </c>
      <c r="P4" s="5" t="str">
        <f t="shared" si="1"/>
        <v>ANO</v>
      </c>
      <c r="Q4" s="142" t="s">
        <v>30</v>
      </c>
      <c r="S4" s="5"/>
      <c r="X4" s="5"/>
      <c r="Y4" s="5"/>
      <c r="Z4" s="5"/>
    </row>
    <row r="5" spans="1:26" s="4" customFormat="1" x14ac:dyDescent="0.25">
      <c r="A5" s="53">
        <v>4</v>
      </c>
      <c r="B5" s="4" t="s">
        <v>1015</v>
      </c>
      <c r="D5" s="5" t="s">
        <v>51</v>
      </c>
      <c r="E5" s="5">
        <v>24</v>
      </c>
      <c r="F5" s="5">
        <v>12</v>
      </c>
      <c r="G5" s="5">
        <v>5</v>
      </c>
      <c r="H5" s="5">
        <v>0</v>
      </c>
      <c r="I5" s="5">
        <v>5</v>
      </c>
      <c r="J5" s="5">
        <v>17</v>
      </c>
      <c r="K5" s="5">
        <v>0</v>
      </c>
      <c r="L5" s="5">
        <v>18</v>
      </c>
      <c r="M5" s="5">
        <v>33</v>
      </c>
      <c r="N5" s="5">
        <v>-15</v>
      </c>
      <c r="O5" s="212" t="str">
        <f t="shared" si="0"/>
        <v>24 OZ , 17 (12+5), -15 ±</v>
      </c>
      <c r="P5" s="5" t="str">
        <f t="shared" si="1"/>
        <v>ANO</v>
      </c>
      <c r="Q5" s="142" t="s">
        <v>30</v>
      </c>
      <c r="S5" s="5"/>
      <c r="X5" s="5"/>
      <c r="Y5" s="5"/>
      <c r="Z5" s="5"/>
    </row>
    <row r="6" spans="1:26" x14ac:dyDescent="0.25">
      <c r="A6" s="54">
        <v>5</v>
      </c>
      <c r="B6" s="1" t="s">
        <v>1016</v>
      </c>
      <c r="E6" s="212">
        <v>23</v>
      </c>
      <c r="F6" s="212">
        <v>8</v>
      </c>
      <c r="G6" s="212">
        <v>1</v>
      </c>
      <c r="H6" s="212">
        <v>0</v>
      </c>
      <c r="I6" s="212">
        <v>3</v>
      </c>
      <c r="J6" s="212">
        <v>11</v>
      </c>
      <c r="K6" s="212">
        <v>4</v>
      </c>
      <c r="L6" s="212">
        <v>23</v>
      </c>
      <c r="M6" s="212">
        <v>30</v>
      </c>
      <c r="N6" s="212">
        <v>-7</v>
      </c>
      <c r="O6" s="212" t="str">
        <f t="shared" si="0"/>
        <v>23 OZ , 11 (8+3), -7 ±</v>
      </c>
      <c r="P6" s="5" t="str">
        <f t="shared" si="1"/>
        <v>ANO</v>
      </c>
    </row>
    <row r="7" spans="1:26" x14ac:dyDescent="0.25">
      <c r="A7" s="54">
        <v>6</v>
      </c>
      <c r="B7" s="1" t="s">
        <v>1017</v>
      </c>
      <c r="E7" s="212">
        <v>12</v>
      </c>
      <c r="F7" s="212">
        <v>7</v>
      </c>
      <c r="G7" s="212">
        <v>0</v>
      </c>
      <c r="H7" s="212">
        <v>0</v>
      </c>
      <c r="I7" s="212">
        <v>4</v>
      </c>
      <c r="J7" s="212">
        <v>11</v>
      </c>
      <c r="K7" s="212">
        <v>10</v>
      </c>
      <c r="L7" s="212">
        <v>21</v>
      </c>
      <c r="M7" s="212">
        <v>22</v>
      </c>
      <c r="N7" s="212">
        <v>-1</v>
      </c>
      <c r="O7" s="212" t="str">
        <f t="shared" si="0"/>
        <v>12 OZ , 11 (7+4), -1 ±</v>
      </c>
      <c r="P7" s="5" t="str">
        <f t="shared" si="1"/>
        <v>ANO</v>
      </c>
    </row>
    <row r="8" spans="1:26" x14ac:dyDescent="0.25">
      <c r="A8" s="54">
        <v>7</v>
      </c>
      <c r="B8" s="1" t="s">
        <v>1018</v>
      </c>
      <c r="D8" s="212" t="s">
        <v>48</v>
      </c>
      <c r="E8" s="212">
        <v>26</v>
      </c>
      <c r="F8" s="212">
        <v>3</v>
      </c>
      <c r="G8" s="212">
        <v>2</v>
      </c>
      <c r="H8" s="212">
        <v>0</v>
      </c>
      <c r="I8" s="212">
        <v>8</v>
      </c>
      <c r="J8" s="212">
        <v>11</v>
      </c>
      <c r="K8" s="212">
        <v>6</v>
      </c>
      <c r="L8" s="212">
        <v>31</v>
      </c>
      <c r="M8" s="212">
        <v>38</v>
      </c>
      <c r="N8" s="212">
        <v>-7</v>
      </c>
      <c r="O8" s="212" t="str">
        <f t="shared" si="0"/>
        <v>26 OZ , 11 (3+8), -7 ±</v>
      </c>
      <c r="P8" s="5" t="str">
        <f t="shared" si="1"/>
        <v>ANO</v>
      </c>
    </row>
    <row r="9" spans="1:26" x14ac:dyDescent="0.25">
      <c r="A9" s="54">
        <v>8</v>
      </c>
      <c r="B9" s="1" t="s">
        <v>1019</v>
      </c>
      <c r="E9" s="212">
        <v>11</v>
      </c>
      <c r="F9" s="212">
        <v>3</v>
      </c>
      <c r="G9" s="212">
        <v>0</v>
      </c>
      <c r="H9" s="212">
        <v>0</v>
      </c>
      <c r="I9" s="212">
        <v>7</v>
      </c>
      <c r="J9" s="212">
        <v>10</v>
      </c>
      <c r="K9" s="212">
        <v>6</v>
      </c>
      <c r="L9" s="212">
        <v>17</v>
      </c>
      <c r="M9" s="212">
        <v>21</v>
      </c>
      <c r="N9" s="212">
        <v>-4</v>
      </c>
      <c r="O9" s="212" t="str">
        <f t="shared" si="0"/>
        <v>11 OZ , 10 (3+7), -4 ±</v>
      </c>
      <c r="P9" s="5" t="str">
        <f t="shared" si="1"/>
        <v>ANO</v>
      </c>
    </row>
    <row r="10" spans="1:26" x14ac:dyDescent="0.25">
      <c r="A10" s="54">
        <v>9</v>
      </c>
      <c r="B10" s="1" t="s">
        <v>1020</v>
      </c>
      <c r="E10" s="212">
        <v>26</v>
      </c>
      <c r="F10" s="212">
        <v>7</v>
      </c>
      <c r="G10" s="212">
        <v>0</v>
      </c>
      <c r="H10" s="212">
        <v>0</v>
      </c>
      <c r="I10" s="212">
        <v>2</v>
      </c>
      <c r="J10" s="212">
        <v>9</v>
      </c>
      <c r="K10" s="212">
        <v>6</v>
      </c>
      <c r="L10" s="212">
        <v>20</v>
      </c>
      <c r="M10" s="212">
        <v>44</v>
      </c>
      <c r="N10" s="212">
        <v>-24</v>
      </c>
      <c r="O10" s="212" t="str">
        <f t="shared" si="0"/>
        <v>26 OZ , 9 (7+2), -24 ±</v>
      </c>
      <c r="P10" s="5" t="str">
        <f t="shared" si="1"/>
        <v>ANO</v>
      </c>
    </row>
    <row r="11" spans="1:26" x14ac:dyDescent="0.25">
      <c r="A11" s="54">
        <v>10</v>
      </c>
      <c r="B11" s="1" t="s">
        <v>1021</v>
      </c>
      <c r="D11" s="212" t="s">
        <v>48</v>
      </c>
      <c r="E11" s="212">
        <v>25</v>
      </c>
      <c r="F11" s="212">
        <v>2</v>
      </c>
      <c r="G11" s="212">
        <v>1</v>
      </c>
      <c r="H11" s="212">
        <v>0</v>
      </c>
      <c r="I11" s="212">
        <v>7</v>
      </c>
      <c r="J11" s="212">
        <v>9</v>
      </c>
      <c r="K11" s="212">
        <v>12</v>
      </c>
      <c r="L11" s="212">
        <v>38</v>
      </c>
      <c r="M11" s="212">
        <v>51</v>
      </c>
      <c r="N11" s="212">
        <v>-13</v>
      </c>
      <c r="O11" s="212" t="str">
        <f t="shared" si="0"/>
        <v>25 OZ , 9 (2+7), -13 ±</v>
      </c>
      <c r="P11" s="5" t="str">
        <f t="shared" si="1"/>
        <v>ANO</v>
      </c>
    </row>
    <row r="12" spans="1:26" x14ac:dyDescent="0.25">
      <c r="A12" s="54">
        <v>11</v>
      </c>
      <c r="B12" s="1" t="s">
        <v>1022</v>
      </c>
      <c r="D12" s="212" t="s">
        <v>51</v>
      </c>
      <c r="E12" s="212">
        <v>22</v>
      </c>
      <c r="F12" s="212">
        <v>5</v>
      </c>
      <c r="G12" s="212">
        <v>1</v>
      </c>
      <c r="H12" s="212">
        <v>0</v>
      </c>
      <c r="I12" s="212">
        <v>2</v>
      </c>
      <c r="J12" s="212">
        <v>7</v>
      </c>
      <c r="K12" s="212">
        <v>10</v>
      </c>
      <c r="L12" s="212">
        <v>27</v>
      </c>
      <c r="M12" s="212">
        <v>30</v>
      </c>
      <c r="N12" s="212">
        <v>-3</v>
      </c>
      <c r="O12" s="212" t="str">
        <f t="shared" si="0"/>
        <v>22 OZ , 7 (5+2), -3 ±</v>
      </c>
      <c r="P12" s="5" t="str">
        <f t="shared" si="1"/>
        <v>ANO</v>
      </c>
    </row>
    <row r="13" spans="1:26" x14ac:dyDescent="0.25">
      <c r="A13" s="54">
        <v>12</v>
      </c>
      <c r="B13" s="1" t="s">
        <v>1023</v>
      </c>
      <c r="E13" s="212">
        <v>25</v>
      </c>
      <c r="F13" s="212">
        <v>5</v>
      </c>
      <c r="G13" s="212">
        <v>0</v>
      </c>
      <c r="H13" s="212">
        <v>0</v>
      </c>
      <c r="I13" s="212">
        <v>2</v>
      </c>
      <c r="J13" s="212">
        <v>7</v>
      </c>
      <c r="K13" s="212">
        <v>4</v>
      </c>
      <c r="L13" s="212">
        <v>12</v>
      </c>
      <c r="M13" s="212">
        <v>28</v>
      </c>
      <c r="N13" s="212">
        <v>-16</v>
      </c>
      <c r="O13" s="212" t="str">
        <f t="shared" si="0"/>
        <v>25 OZ , 7 (5+2), -16 ±</v>
      </c>
      <c r="P13" s="5" t="str">
        <f t="shared" si="1"/>
        <v>ANO</v>
      </c>
    </row>
    <row r="14" spans="1:26" x14ac:dyDescent="0.25">
      <c r="A14" s="54">
        <v>13</v>
      </c>
      <c r="B14" s="1" t="s">
        <v>1024</v>
      </c>
      <c r="D14" s="212" t="s">
        <v>51</v>
      </c>
      <c r="E14" s="212">
        <v>11</v>
      </c>
      <c r="F14" s="212">
        <v>4</v>
      </c>
      <c r="G14" s="212">
        <v>0</v>
      </c>
      <c r="H14" s="212">
        <v>0</v>
      </c>
      <c r="I14" s="212">
        <v>3</v>
      </c>
      <c r="J14" s="212">
        <v>7</v>
      </c>
      <c r="K14" s="212">
        <v>2</v>
      </c>
      <c r="L14" s="212">
        <v>12</v>
      </c>
      <c r="M14" s="212">
        <v>23</v>
      </c>
      <c r="N14" s="212">
        <v>-11</v>
      </c>
      <c r="O14" s="212" t="str">
        <f t="shared" si="0"/>
        <v>11 OZ , 7 (4+3), -11 ±</v>
      </c>
      <c r="P14" s="5" t="str">
        <f t="shared" si="1"/>
        <v>ANO</v>
      </c>
    </row>
    <row r="15" spans="1:26" x14ac:dyDescent="0.25">
      <c r="A15" s="54">
        <v>14</v>
      </c>
      <c r="B15" s="1" t="s">
        <v>1025</v>
      </c>
      <c r="D15" s="212" t="s">
        <v>51</v>
      </c>
      <c r="E15" s="212">
        <v>22</v>
      </c>
      <c r="F15" s="212">
        <v>4</v>
      </c>
      <c r="G15" s="212">
        <v>0</v>
      </c>
      <c r="H15" s="212">
        <v>0</v>
      </c>
      <c r="I15" s="212">
        <v>0</v>
      </c>
      <c r="J15" s="212">
        <v>4</v>
      </c>
      <c r="K15" s="212">
        <v>4</v>
      </c>
      <c r="L15" s="212">
        <v>14</v>
      </c>
      <c r="M15" s="212">
        <v>26</v>
      </c>
      <c r="N15" s="212">
        <v>-12</v>
      </c>
      <c r="O15" s="212" t="str">
        <f t="shared" si="0"/>
        <v>22 OZ , 4 (4+0), -12 ±</v>
      </c>
      <c r="P15" s="5" t="str">
        <f t="shared" si="1"/>
        <v>ANO</v>
      </c>
    </row>
    <row r="16" spans="1:26" x14ac:dyDescent="0.25">
      <c r="A16" s="54">
        <v>15</v>
      </c>
      <c r="B16" s="1" t="s">
        <v>1026</v>
      </c>
      <c r="E16" s="212">
        <v>20</v>
      </c>
      <c r="F16" s="212">
        <v>1</v>
      </c>
      <c r="G16" s="212">
        <v>0</v>
      </c>
      <c r="H16" s="212">
        <v>0</v>
      </c>
      <c r="I16" s="212">
        <v>3</v>
      </c>
      <c r="J16" s="212">
        <v>4</v>
      </c>
      <c r="K16" s="212">
        <v>2</v>
      </c>
      <c r="L16" s="212">
        <v>4</v>
      </c>
      <c r="M16" s="212">
        <v>8</v>
      </c>
      <c r="N16" s="212">
        <v>-4</v>
      </c>
      <c r="O16" s="212" t="str">
        <f t="shared" si="0"/>
        <v>20 OZ , 4 (1+3), -4 ±</v>
      </c>
      <c r="P16" s="5" t="str">
        <f t="shared" si="1"/>
        <v>ANO</v>
      </c>
    </row>
    <row r="17" spans="1:16" x14ac:dyDescent="0.25">
      <c r="A17" s="54">
        <v>16</v>
      </c>
      <c r="B17" s="1" t="s">
        <v>1027</v>
      </c>
      <c r="D17" s="212" t="s">
        <v>51</v>
      </c>
      <c r="E17" s="212">
        <v>26</v>
      </c>
      <c r="F17" s="212">
        <v>1</v>
      </c>
      <c r="G17" s="212">
        <v>0</v>
      </c>
      <c r="H17" s="212">
        <v>0</v>
      </c>
      <c r="I17" s="212">
        <v>3</v>
      </c>
      <c r="J17" s="212">
        <v>4</v>
      </c>
      <c r="K17" s="212">
        <v>13</v>
      </c>
      <c r="L17" s="212">
        <v>28</v>
      </c>
      <c r="M17" s="212">
        <v>49</v>
      </c>
      <c r="N17" s="212">
        <v>-21</v>
      </c>
      <c r="O17" s="212" t="str">
        <f t="shared" si="0"/>
        <v>26 OZ , 4 (1+3), -21 ±</v>
      </c>
      <c r="P17" s="5" t="str">
        <f t="shared" si="1"/>
        <v>ANO</v>
      </c>
    </row>
    <row r="18" spans="1:16" x14ac:dyDescent="0.25">
      <c r="A18" s="54">
        <v>17</v>
      </c>
      <c r="B18" s="1" t="s">
        <v>1028</v>
      </c>
      <c r="E18" s="212">
        <v>24</v>
      </c>
      <c r="F18" s="212">
        <v>1</v>
      </c>
      <c r="G18" s="212">
        <v>0</v>
      </c>
      <c r="H18" s="212">
        <v>0</v>
      </c>
      <c r="I18" s="212">
        <v>2</v>
      </c>
      <c r="J18" s="212">
        <v>3</v>
      </c>
      <c r="K18" s="212">
        <v>4</v>
      </c>
      <c r="L18" s="212">
        <v>11</v>
      </c>
      <c r="M18" s="212">
        <v>19</v>
      </c>
      <c r="N18" s="212">
        <v>-8</v>
      </c>
      <c r="O18" s="212" t="str">
        <f t="shared" si="0"/>
        <v>24 OZ , 3 (1+2), -8 ±</v>
      </c>
      <c r="P18" s="5" t="str">
        <f t="shared" si="1"/>
        <v>ANO</v>
      </c>
    </row>
    <row r="19" spans="1:16" x14ac:dyDescent="0.25">
      <c r="A19" s="54">
        <v>18</v>
      </c>
      <c r="B19" s="1" t="s">
        <v>1029</v>
      </c>
      <c r="D19" s="212" t="s">
        <v>48</v>
      </c>
      <c r="E19" s="212">
        <v>23</v>
      </c>
      <c r="F19" s="212">
        <v>1</v>
      </c>
      <c r="G19" s="212">
        <v>0</v>
      </c>
      <c r="H19" s="212">
        <v>0</v>
      </c>
      <c r="I19" s="212">
        <v>1</v>
      </c>
      <c r="J19" s="212">
        <v>2</v>
      </c>
      <c r="K19" s="212">
        <v>0</v>
      </c>
      <c r="L19" s="212">
        <v>15</v>
      </c>
      <c r="M19" s="212">
        <v>37</v>
      </c>
      <c r="N19" s="212">
        <v>-22</v>
      </c>
      <c r="O19" s="212" t="str">
        <f t="shared" si="0"/>
        <v>23 OZ , 2 (1+1), -22 ±</v>
      </c>
      <c r="P19" s="5" t="str">
        <f t="shared" si="1"/>
        <v>ANO</v>
      </c>
    </row>
    <row r="20" spans="1:16" x14ac:dyDescent="0.25">
      <c r="A20" s="54">
        <v>19</v>
      </c>
      <c r="B20" s="1" t="s">
        <v>405</v>
      </c>
      <c r="E20" s="212">
        <v>4</v>
      </c>
      <c r="F20" s="212">
        <v>1</v>
      </c>
      <c r="G20" s="212">
        <v>0</v>
      </c>
      <c r="H20" s="212">
        <v>0</v>
      </c>
      <c r="I20" s="212">
        <v>0</v>
      </c>
      <c r="J20" s="212">
        <v>1</v>
      </c>
      <c r="K20" s="212">
        <v>2</v>
      </c>
      <c r="L20" s="212">
        <v>2</v>
      </c>
      <c r="M20" s="212">
        <v>3</v>
      </c>
      <c r="N20" s="212">
        <v>-1</v>
      </c>
      <c r="O20" s="212" t="str">
        <f t="shared" si="0"/>
        <v>4 OZ , 1 (1+0), -1 ±</v>
      </c>
      <c r="P20" s="5" t="str">
        <f t="shared" si="1"/>
        <v>ANO</v>
      </c>
    </row>
    <row r="21" spans="1:16" x14ac:dyDescent="0.25">
      <c r="A21" s="54">
        <v>20</v>
      </c>
      <c r="B21" s="1" t="s">
        <v>1030</v>
      </c>
      <c r="E21" s="212">
        <v>7</v>
      </c>
      <c r="F21" s="212">
        <v>1</v>
      </c>
      <c r="G21" s="212">
        <v>0</v>
      </c>
      <c r="H21" s="212">
        <v>0</v>
      </c>
      <c r="I21" s="212">
        <v>0</v>
      </c>
      <c r="J21" s="212">
        <v>1</v>
      </c>
      <c r="K21" s="212">
        <v>0</v>
      </c>
      <c r="L21" s="212">
        <v>1</v>
      </c>
      <c r="M21" s="212">
        <v>2</v>
      </c>
      <c r="N21" s="212">
        <v>-1</v>
      </c>
      <c r="O21" s="212" t="str">
        <f t="shared" si="0"/>
        <v>7 OZ , 1 (1+0), -1 ±</v>
      </c>
      <c r="P21" s="5" t="str">
        <f t="shared" si="1"/>
        <v>ANO</v>
      </c>
    </row>
    <row r="22" spans="1:16" x14ac:dyDescent="0.25">
      <c r="A22" s="54">
        <v>21</v>
      </c>
      <c r="B22" s="1" t="s">
        <v>1031</v>
      </c>
      <c r="E22" s="212">
        <v>10</v>
      </c>
      <c r="F22" s="212">
        <v>1</v>
      </c>
      <c r="G22" s="212">
        <v>0</v>
      </c>
      <c r="H22" s="212">
        <v>0</v>
      </c>
      <c r="I22" s="212">
        <v>0</v>
      </c>
      <c r="J22" s="212">
        <v>1</v>
      </c>
      <c r="K22" s="212">
        <v>8</v>
      </c>
      <c r="L22" s="212">
        <v>8</v>
      </c>
      <c r="M22" s="212">
        <v>13</v>
      </c>
      <c r="N22" s="212">
        <v>-5</v>
      </c>
      <c r="O22" s="212" t="str">
        <f t="shared" si="0"/>
        <v>10 OZ , 1 (1+0), -5 ±</v>
      </c>
      <c r="P22" s="5" t="str">
        <f t="shared" si="1"/>
        <v>ANO</v>
      </c>
    </row>
    <row r="23" spans="1:16" x14ac:dyDescent="0.25">
      <c r="A23" s="54">
        <v>22</v>
      </c>
      <c r="B23" s="1" t="s">
        <v>1032</v>
      </c>
      <c r="D23" s="212" t="s">
        <v>48</v>
      </c>
      <c r="E23" s="212">
        <v>9</v>
      </c>
      <c r="F23" s="212">
        <v>0</v>
      </c>
      <c r="G23" s="212">
        <v>0</v>
      </c>
      <c r="H23" s="212">
        <v>0</v>
      </c>
      <c r="I23" s="212">
        <v>1</v>
      </c>
      <c r="J23" s="212">
        <v>1</v>
      </c>
      <c r="K23" s="212">
        <v>0</v>
      </c>
      <c r="L23" s="212">
        <v>3</v>
      </c>
      <c r="M23" s="212">
        <v>7</v>
      </c>
      <c r="N23" s="212">
        <v>-4</v>
      </c>
      <c r="O23" s="212" t="str">
        <f t="shared" si="0"/>
        <v>9 OZ , 1 (0+1), -4 ±</v>
      </c>
      <c r="P23" s="5" t="str">
        <f t="shared" si="1"/>
        <v>ANO</v>
      </c>
    </row>
    <row r="24" spans="1:16" x14ac:dyDescent="0.25">
      <c r="A24" s="53">
        <v>23</v>
      </c>
      <c r="B24" s="4" t="s">
        <v>1033</v>
      </c>
      <c r="C24" s="4"/>
      <c r="D24" s="5" t="s">
        <v>35</v>
      </c>
      <c r="E24" s="5">
        <v>0</v>
      </c>
      <c r="F24" s="5">
        <v>0</v>
      </c>
      <c r="G24" s="5">
        <v>0</v>
      </c>
      <c r="H24" s="5">
        <v>0</v>
      </c>
      <c r="I24" s="5">
        <v>1</v>
      </c>
      <c r="J24" s="5">
        <v>1</v>
      </c>
      <c r="K24" s="5">
        <v>0</v>
      </c>
      <c r="L24" s="5">
        <v>0</v>
      </c>
      <c r="M24" s="5">
        <v>0</v>
      </c>
      <c r="N24" s="5">
        <v>0</v>
      </c>
      <c r="O24" s="212" t="str">
        <f t="shared" si="0"/>
        <v>0 OZ , 1 (0+1), 0 ±</v>
      </c>
      <c r="P24" s="5" t="str">
        <f t="shared" si="1"/>
        <v>ANO</v>
      </c>
    </row>
    <row r="25" spans="1:16" x14ac:dyDescent="0.25">
      <c r="A25" s="53">
        <v>24</v>
      </c>
      <c r="B25" s="4" t="s">
        <v>1034</v>
      </c>
      <c r="C25" s="4"/>
      <c r="D25" s="5"/>
      <c r="E25" s="5">
        <v>19</v>
      </c>
      <c r="F25" s="5">
        <v>0</v>
      </c>
      <c r="G25" s="5">
        <v>0</v>
      </c>
      <c r="H25" s="5">
        <v>0</v>
      </c>
      <c r="I25" s="5">
        <v>1</v>
      </c>
      <c r="J25" s="5">
        <v>1</v>
      </c>
      <c r="K25" s="5">
        <v>6</v>
      </c>
      <c r="L25" s="5">
        <v>7</v>
      </c>
      <c r="M25" s="5">
        <v>5</v>
      </c>
      <c r="N25" s="5">
        <v>2</v>
      </c>
      <c r="O25" s="212" t="str">
        <f t="shared" si="0"/>
        <v>19 OZ , 1 (0+1), +2 ±</v>
      </c>
      <c r="P25" s="5" t="str">
        <f t="shared" si="1"/>
        <v>ANO</v>
      </c>
    </row>
    <row r="26" spans="1:16" x14ac:dyDescent="0.25">
      <c r="A26" s="53">
        <v>25</v>
      </c>
      <c r="B26" s="4" t="s">
        <v>1035</v>
      </c>
      <c r="C26" s="4"/>
      <c r="D26" s="5" t="s">
        <v>48</v>
      </c>
      <c r="E26" s="5">
        <v>19</v>
      </c>
      <c r="F26" s="5">
        <v>0</v>
      </c>
      <c r="G26" s="5">
        <v>0</v>
      </c>
      <c r="H26" s="5">
        <v>0</v>
      </c>
      <c r="I26" s="5">
        <v>0</v>
      </c>
      <c r="J26" s="5">
        <v>0</v>
      </c>
      <c r="K26" s="5">
        <v>0</v>
      </c>
      <c r="L26" s="5">
        <v>1</v>
      </c>
      <c r="M26" s="5">
        <v>6</v>
      </c>
      <c r="N26" s="5">
        <v>-5</v>
      </c>
      <c r="O26" s="212" t="str">
        <f t="shared" si="0"/>
        <v>19 OZ , 0 (0+0), -5 ±</v>
      </c>
      <c r="P26" s="5" t="str">
        <f t="shared" si="1"/>
        <v>ANO</v>
      </c>
    </row>
    <row r="27" spans="1:16" x14ac:dyDescent="0.25">
      <c r="A27" s="53">
        <v>26</v>
      </c>
      <c r="B27" s="4" t="s">
        <v>1036</v>
      </c>
      <c r="C27" s="4"/>
      <c r="D27" s="5" t="s">
        <v>35</v>
      </c>
      <c r="E27" s="5">
        <v>0</v>
      </c>
      <c r="F27" s="5">
        <v>0</v>
      </c>
      <c r="G27" s="5">
        <v>0</v>
      </c>
      <c r="H27" s="5">
        <v>0</v>
      </c>
      <c r="I27" s="5">
        <v>0</v>
      </c>
      <c r="J27" s="5">
        <v>0</v>
      </c>
      <c r="K27" s="5">
        <v>25</v>
      </c>
      <c r="L27" s="5">
        <v>0</v>
      </c>
      <c r="M27" s="5">
        <v>0</v>
      </c>
      <c r="N27" s="5">
        <v>0</v>
      </c>
      <c r="O27" s="212" t="str">
        <f t="shared" si="0"/>
        <v>0 OZ , 0 (0+0), 0 ±</v>
      </c>
      <c r="P27" s="5" t="str">
        <f t="shared" si="1"/>
        <v>ANO</v>
      </c>
    </row>
    <row r="28" spans="1:16" x14ac:dyDescent="0.25">
      <c r="A28" s="53">
        <v>27</v>
      </c>
      <c r="B28" s="4" t="s">
        <v>1037</v>
      </c>
      <c r="C28" s="4"/>
      <c r="D28" s="5"/>
      <c r="E28" s="5">
        <v>0</v>
      </c>
      <c r="F28" s="5">
        <v>0</v>
      </c>
      <c r="G28" s="5">
        <v>0</v>
      </c>
      <c r="H28" s="5">
        <v>0</v>
      </c>
      <c r="I28" s="5">
        <v>0</v>
      </c>
      <c r="J28" s="5">
        <v>0</v>
      </c>
      <c r="K28" s="5">
        <v>0</v>
      </c>
      <c r="L28" s="5">
        <v>0</v>
      </c>
      <c r="M28" s="5">
        <v>0</v>
      </c>
      <c r="N28" s="5">
        <v>0</v>
      </c>
      <c r="O28" s="212" t="str">
        <f t="shared" si="0"/>
        <v>0 OZ , 0 (0+0), 0 ±</v>
      </c>
      <c r="P28" s="5" t="str">
        <f t="shared" si="1"/>
        <v>ANO</v>
      </c>
    </row>
    <row r="29" spans="1:16" ht="15" customHeight="1" x14ac:dyDescent="0.25">
      <c r="A29" s="53"/>
      <c r="B29" s="4"/>
      <c r="C29" s="4"/>
      <c r="D29" s="5"/>
      <c r="E29" s="5"/>
      <c r="F29" s="5"/>
      <c r="G29" s="5"/>
      <c r="H29" s="5"/>
      <c r="I29" s="5"/>
      <c r="J29" s="5"/>
      <c r="K29" s="5"/>
      <c r="L29" s="5"/>
      <c r="M29" s="5"/>
      <c r="N29" s="5"/>
      <c r="O29" s="212" t="str">
        <f t="shared" si="0"/>
        <v/>
      </c>
      <c r="P29" s="5" t="str">
        <f t="shared" si="1"/>
        <v/>
      </c>
    </row>
    <row r="30" spans="1:16" x14ac:dyDescent="0.25">
      <c r="A30" s="54"/>
      <c r="O30" s="212" t="str">
        <f t="shared" si="0"/>
        <v/>
      </c>
      <c r="P30" s="5" t="str">
        <f t="shared" si="1"/>
        <v/>
      </c>
    </row>
    <row r="31" spans="1:16" x14ac:dyDescent="0.25">
      <c r="A31" s="54"/>
      <c r="O31" s="212" t="str">
        <f t="shared" si="0"/>
        <v/>
      </c>
      <c r="P31" s="5" t="str">
        <f t="shared" si="1"/>
        <v/>
      </c>
    </row>
    <row r="32" spans="1:16" x14ac:dyDescent="0.25">
      <c r="A32" s="54"/>
      <c r="O32" s="212" t="str">
        <f t="shared" si="0"/>
        <v/>
      </c>
      <c r="P32" s="5" t="str">
        <f t="shared" si="1"/>
        <v/>
      </c>
    </row>
    <row r="33" spans="1:27" x14ac:dyDescent="0.25">
      <c r="A33" s="54"/>
      <c r="O33" s="212" t="str">
        <f t="shared" si="0"/>
        <v/>
      </c>
      <c r="P33" s="5" t="str">
        <f t="shared" si="1"/>
        <v/>
      </c>
    </row>
    <row r="34" spans="1:27" x14ac:dyDescent="0.25">
      <c r="A34" s="54"/>
      <c r="O34" s="212" t="str">
        <f t="shared" si="0"/>
        <v/>
      </c>
      <c r="P34" s="5" t="str">
        <f t="shared" si="1"/>
        <v/>
      </c>
    </row>
    <row r="35" spans="1:27" x14ac:dyDescent="0.25">
      <c r="A35" s="54"/>
      <c r="O35" s="212" t="str">
        <f t="shared" si="0"/>
        <v/>
      </c>
      <c r="P35" s="5" t="str">
        <f t="shared" si="1"/>
        <v/>
      </c>
    </row>
    <row r="36" spans="1:27" x14ac:dyDescent="0.25">
      <c r="A36" s="54"/>
      <c r="O36" s="212" t="str">
        <f t="shared" si="0"/>
        <v/>
      </c>
      <c r="P36" s="5" t="str">
        <f t="shared" si="1"/>
        <v/>
      </c>
    </row>
    <row r="38" spans="1:27" s="213" customFormat="1" ht="15" customHeight="1" x14ac:dyDescent="0.25">
      <c r="A38" s="8" t="s">
        <v>58</v>
      </c>
      <c r="B38" s="213" t="s">
        <v>59</v>
      </c>
      <c r="D38" s="213" t="s">
        <v>83</v>
      </c>
      <c r="E38" s="213" t="s">
        <v>84</v>
      </c>
      <c r="F38" s="213" t="s">
        <v>85</v>
      </c>
      <c r="G38" s="213" t="s">
        <v>40</v>
      </c>
      <c r="H38" s="213" t="s">
        <v>86</v>
      </c>
      <c r="I38" s="213" t="s">
        <v>87</v>
      </c>
      <c r="J38" s="213" t="s">
        <v>88</v>
      </c>
      <c r="K38" s="213" t="s">
        <v>79</v>
      </c>
      <c r="L38" s="213" t="s">
        <v>41</v>
      </c>
      <c r="M38" s="213" t="s">
        <v>89</v>
      </c>
      <c r="N38" s="3" t="s">
        <v>37</v>
      </c>
      <c r="O38" s="213" t="s">
        <v>38</v>
      </c>
      <c r="P38" s="213" t="s">
        <v>90</v>
      </c>
      <c r="Q38" s="213" t="s">
        <v>91</v>
      </c>
      <c r="R38" s="213" t="s">
        <v>92</v>
      </c>
    </row>
    <row r="39" spans="1:27" x14ac:dyDescent="0.25">
      <c r="A39" s="54">
        <v>1</v>
      </c>
      <c r="B39" t="s">
        <v>1036</v>
      </c>
      <c r="C39"/>
      <c r="D39" s="190">
        <v>19</v>
      </c>
      <c r="E39" s="190">
        <v>14</v>
      </c>
      <c r="F39" s="190">
        <v>768.85</v>
      </c>
      <c r="G39" s="190">
        <v>3</v>
      </c>
      <c r="H39" s="190">
        <v>65</v>
      </c>
      <c r="I39" s="190">
        <v>0</v>
      </c>
      <c r="J39" s="190">
        <v>343</v>
      </c>
      <c r="K39" s="190">
        <v>0</v>
      </c>
      <c r="L39" s="190">
        <v>11</v>
      </c>
      <c r="M39" s="190">
        <v>278</v>
      </c>
      <c r="N39" s="190">
        <v>0</v>
      </c>
      <c r="O39" s="190">
        <v>25</v>
      </c>
      <c r="P39" s="11">
        <f>IF(B39&lt;&gt;0,IFERROR(H39/(F39/60),0),"")</f>
        <v>5.0725108928919811</v>
      </c>
      <c r="Q39" s="11">
        <f>IF(B39&lt;&gt;0,IFERROR((M39/J39)*100,0),"")</f>
        <v>81.04956268221575</v>
      </c>
      <c r="R39" s="212" t="str">
        <f>IF(B39&lt;&gt;0,CONCATENATE(G39, " V, ",L39," P"),"")</f>
        <v>3 V, 11 P</v>
      </c>
    </row>
    <row r="40" spans="1:27" x14ac:dyDescent="0.25">
      <c r="A40" s="54">
        <v>2</v>
      </c>
      <c r="B40" t="s">
        <v>1037</v>
      </c>
      <c r="C40"/>
      <c r="D40" s="190">
        <v>21</v>
      </c>
      <c r="E40" s="190">
        <v>12</v>
      </c>
      <c r="F40" s="190">
        <v>539.39</v>
      </c>
      <c r="G40" s="190">
        <v>1</v>
      </c>
      <c r="H40" s="190">
        <v>54</v>
      </c>
      <c r="I40" s="190">
        <v>0</v>
      </c>
      <c r="J40" s="190">
        <v>230</v>
      </c>
      <c r="K40" s="190">
        <v>0</v>
      </c>
      <c r="L40" s="190">
        <v>11</v>
      </c>
      <c r="M40" s="190">
        <v>176</v>
      </c>
      <c r="N40" s="190">
        <v>0</v>
      </c>
      <c r="O40" s="190">
        <v>0</v>
      </c>
      <c r="P40" s="11">
        <f t="shared" ref="P40:P45" si="2">IF(B40&lt;&gt;0,IFERROR(H40/(F40/60),0),"")</f>
        <v>6.0067854428150316</v>
      </c>
      <c r="Q40" s="11">
        <f t="shared" ref="Q40:Q45" si="3">IF(B40&lt;&gt;0,IFERROR((M40/J40)*100,0),"")</f>
        <v>76.521739130434781</v>
      </c>
      <c r="R40" s="212" t="str">
        <f t="shared" ref="R40:R45" si="4">IF(B40&lt;&gt;0,CONCATENATE(G40, " V, ",L40," P"),"")</f>
        <v>1 V, 11 P</v>
      </c>
    </row>
    <row r="41" spans="1:27" x14ac:dyDescent="0.25">
      <c r="A41" s="54">
        <v>3</v>
      </c>
      <c r="B41" t="s">
        <v>1033</v>
      </c>
      <c r="C41"/>
      <c r="D41" s="190">
        <v>12</v>
      </c>
      <c r="E41" s="190">
        <v>5</v>
      </c>
      <c r="F41" s="190">
        <v>242.55</v>
      </c>
      <c r="G41" s="190">
        <v>0</v>
      </c>
      <c r="H41" s="190">
        <v>29</v>
      </c>
      <c r="I41" s="190">
        <v>0</v>
      </c>
      <c r="J41" s="190">
        <v>115</v>
      </c>
      <c r="K41" s="190">
        <v>0</v>
      </c>
      <c r="L41" s="190">
        <v>5</v>
      </c>
      <c r="M41" s="190">
        <v>86</v>
      </c>
      <c r="N41" s="190">
        <v>1</v>
      </c>
      <c r="O41" s="190">
        <v>0</v>
      </c>
      <c r="P41" s="11">
        <f t="shared" si="2"/>
        <v>7.1737786023500298</v>
      </c>
      <c r="Q41" s="11">
        <f t="shared" si="3"/>
        <v>74.782608695652172</v>
      </c>
      <c r="R41" s="212" t="str">
        <f t="shared" si="4"/>
        <v>0 V, 5 P</v>
      </c>
    </row>
    <row r="42" spans="1:27" x14ac:dyDescent="0.25">
      <c r="A42" s="54"/>
      <c r="B42"/>
      <c r="C42"/>
      <c r="D42" s="190"/>
      <c r="E42" s="190"/>
      <c r="F42" s="123"/>
      <c r="G42" s="190"/>
      <c r="H42" s="190"/>
      <c r="I42" s="190"/>
      <c r="J42" s="190"/>
      <c r="K42" s="190"/>
      <c r="L42" s="190"/>
      <c r="M42" s="190"/>
      <c r="N42" s="190"/>
      <c r="O42" s="190"/>
      <c r="P42" s="11" t="str">
        <f t="shared" si="2"/>
        <v/>
      </c>
      <c r="Q42" s="11" t="str">
        <f t="shared" si="3"/>
        <v/>
      </c>
      <c r="R42" s="212" t="str">
        <f t="shared" si="4"/>
        <v/>
      </c>
    </row>
    <row r="43" spans="1:27" x14ac:dyDescent="0.25">
      <c r="A43" s="54"/>
      <c r="F43" s="11"/>
      <c r="P43" s="11" t="str">
        <f t="shared" si="2"/>
        <v/>
      </c>
      <c r="Q43" s="11" t="str">
        <f t="shared" si="3"/>
        <v/>
      </c>
      <c r="R43" s="212" t="str">
        <f t="shared" si="4"/>
        <v/>
      </c>
    </row>
    <row r="44" spans="1:27" x14ac:dyDescent="0.25">
      <c r="A44" s="54"/>
      <c r="F44" s="11"/>
      <c r="P44" s="11" t="str">
        <f t="shared" si="2"/>
        <v/>
      </c>
      <c r="Q44" s="11" t="str">
        <f t="shared" si="3"/>
        <v/>
      </c>
      <c r="R44" s="212" t="str">
        <f t="shared" si="4"/>
        <v/>
      </c>
    </row>
    <row r="45" spans="1:27" ht="15" customHeight="1" x14ac:dyDescent="0.25">
      <c r="A45" s="118"/>
      <c r="P45" s="11" t="str">
        <f t="shared" si="2"/>
        <v/>
      </c>
      <c r="Q45" s="11" t="str">
        <f t="shared" si="3"/>
        <v/>
      </c>
      <c r="R45" s="212" t="str">
        <f t="shared" si="4"/>
        <v/>
      </c>
    </row>
    <row r="46" spans="1:27" ht="15" customHeight="1" x14ac:dyDescent="0.25">
      <c r="X46" s="402" t="s">
        <v>289</v>
      </c>
      <c r="Y46" s="402"/>
      <c r="Z46" s="402"/>
      <c r="AA46" s="402"/>
    </row>
    <row r="47" spans="1:27" s="213" customFormat="1" ht="15" customHeight="1" x14ac:dyDescent="0.25">
      <c r="A47" s="7">
        <f ca="1">TODAY()</f>
        <v>44263</v>
      </c>
      <c r="B47" s="213" t="s">
        <v>59</v>
      </c>
      <c r="C47" s="213" t="s">
        <v>66</v>
      </c>
      <c r="D47" s="213" t="s">
        <v>67</v>
      </c>
      <c r="E47" s="213" t="s">
        <v>70</v>
      </c>
      <c r="F47" s="213" t="s">
        <v>71</v>
      </c>
      <c r="G47" s="213" t="s">
        <v>72</v>
      </c>
      <c r="H47" s="213" t="s">
        <v>73</v>
      </c>
      <c r="I47" s="213" t="s">
        <v>45</v>
      </c>
      <c r="J47" s="213" t="s">
        <v>58</v>
      </c>
      <c r="K47" s="213" t="s">
        <v>159</v>
      </c>
      <c r="L47" s="213" t="s">
        <v>77</v>
      </c>
      <c r="M47" s="213" t="s">
        <v>68</v>
      </c>
      <c r="N47" s="213" t="s">
        <v>69</v>
      </c>
      <c r="O47" s="213" t="s">
        <v>81</v>
      </c>
      <c r="P47" s="213" t="s">
        <v>82</v>
      </c>
      <c r="Q47" s="213" t="s">
        <v>74</v>
      </c>
      <c r="R47" s="213" t="s">
        <v>75</v>
      </c>
      <c r="S47" s="213" t="s">
        <v>93</v>
      </c>
      <c r="T47" s="213" t="s">
        <v>158</v>
      </c>
      <c r="U47" s="213" t="s">
        <v>281</v>
      </c>
      <c r="V47" s="213" t="s">
        <v>282</v>
      </c>
      <c r="W47" s="213" t="s">
        <v>283</v>
      </c>
      <c r="X47" s="213" t="s">
        <v>288</v>
      </c>
      <c r="Y47" s="213" t="s">
        <v>286</v>
      </c>
      <c r="Z47" s="213" t="s">
        <v>287</v>
      </c>
      <c r="AA47" s="213" t="s">
        <v>462</v>
      </c>
    </row>
    <row r="48" spans="1:27" ht="15" customHeight="1" x14ac:dyDescent="0.25">
      <c r="B48" s="4" t="s">
        <v>1014</v>
      </c>
      <c r="C48" s="185"/>
      <c r="D48" s="212" t="str">
        <f>IF(C48 &lt;&gt; 0,ROUNDDOWN(($A$47-C48)/365.25,0),"")</f>
        <v/>
      </c>
      <c r="E48" s="191"/>
      <c r="F48" s="191"/>
      <c r="G48" s="191"/>
      <c r="H48" s="212">
        <f>IF(B48&lt;&gt;0,F48+G48,"")</f>
        <v>0</v>
      </c>
      <c r="I48" s="191"/>
      <c r="J48" s="191"/>
      <c r="K48" s="191"/>
      <c r="L48" s="191"/>
      <c r="M48" s="191"/>
      <c r="N48" s="191"/>
      <c r="O48" s="212" t="str">
        <f>IF(B48&lt;&gt;0,CONCATENATE(E48+IFERROR(VLOOKUP(B48,$B$2:$N$36,4,FALSE),0) + X48, " OZ, ", H48+IFERROR(VLOOKUP(B48,$B$2:$N$36,9,FALSE),0) + Y48+Z48, " (", F48+IFERROR(VLOOKUP(B48,$B$2:$N$36,5,FALSE),0) + Y48, "+",G48+IFERROR(VLOOKUP(B48,$B$2:$N$36,8,FALSE),0) +  Z48, ")"), "")</f>
        <v>26 OZ, 22 (13+9)</v>
      </c>
      <c r="P48" s="212" t="str">
        <f>IF(M48&lt;&gt;0,CONCATENATE(M48,"/",N48),"")</f>
        <v/>
      </c>
      <c r="Q48" s="192"/>
      <c r="R48" s="191"/>
      <c r="S48" s="212" t="str">
        <f>IFERROR(CONCATENATE(E48+VLOOKUP(B48,$B$39:$R$42,4,FALSE), " OZ, ",G48+VLOOKUP(B48,$B$39:$R$42,13,FALSE), " A"),"")</f>
        <v/>
      </c>
      <c r="T48" s="1" t="str">
        <f>IF(B48&lt;&gt;0,IF(V48=1,U48,CONCATENATE(U48," ",W48,".")),"")</f>
        <v>Brom</v>
      </c>
      <c r="U48" s="1" t="str">
        <f>IFERROR(RIGHT(B48,LEN(B48)-SEARCH(" ", B48,1)),"")</f>
        <v>Brom</v>
      </c>
      <c r="V48" s="212">
        <f>IF(B48&lt;&gt;0,COUNTIF($U$48:$U$82,U48),"")</f>
        <v>1</v>
      </c>
      <c r="W48" s="212" t="str">
        <f>IFERROR(LEFT(LEFT(B48,SEARCH(" ",B48,1)),1),"")</f>
        <v>T</v>
      </c>
      <c r="X48" s="191"/>
      <c r="Y48" s="191"/>
      <c r="Z48" s="191"/>
      <c r="AA48" s="186"/>
    </row>
    <row r="49" spans="2:27" ht="15" customHeight="1" x14ac:dyDescent="0.25">
      <c r="B49" s="1" t="s">
        <v>1024</v>
      </c>
      <c r="C49" s="185"/>
      <c r="D49" s="212" t="str">
        <f>IF(C49 &lt;&gt; 0,ROUNDDOWN(($A$47-C49)/365.25,0),"")</f>
        <v/>
      </c>
      <c r="E49" s="191"/>
      <c r="F49" s="191"/>
      <c r="G49" s="191"/>
      <c r="H49" s="212">
        <f>IF(B49&lt;&gt;0,F49+G49,"")</f>
        <v>0</v>
      </c>
      <c r="I49" s="191"/>
      <c r="J49" s="191"/>
      <c r="K49" s="191"/>
      <c r="L49" s="191"/>
      <c r="M49" s="191"/>
      <c r="N49" s="191"/>
      <c r="O49" s="212" t="str">
        <f>IF(B49&lt;&gt;0,CONCATENATE(E49+IFERROR(VLOOKUP(B49,$B$2:$N$36,4,FALSE),0) + X49, " OZ, ", H49+IFERROR(VLOOKUP(B49,$B$2:$N$36,9,FALSE),0) + Y49+Z49, " (", F49+IFERROR(VLOOKUP(B49,$B$2:$N$36,5,FALSE),0) + Y49, "+",G49+IFERROR(VLOOKUP(B49,$B$2:$N$36,8,FALSE),0) +  Z49, ")"), "")</f>
        <v>11 OZ, 7 (4+3)</v>
      </c>
      <c r="P49" s="212" t="str">
        <f>IF(M49&lt;&gt;0,CONCATENATE(M49,"/",N49),"")</f>
        <v/>
      </c>
      <c r="Q49" s="192"/>
      <c r="R49" s="191"/>
      <c r="S49" s="212" t="str">
        <f>IFERROR(CONCATENATE(E49+VLOOKUP(B49,$B$39:$R$42,4,FALSE), " OZ, ",G49+VLOOKUP(B49,$B$39:$R$42,13,FALSE), " A"),"")</f>
        <v/>
      </c>
      <c r="T49" s="1" t="str">
        <f>IF(B49&lt;&gt;0,IF(V49=1,U49,CONCATENATE(U49," ",W49,".")),"")</f>
        <v>Coufal</v>
      </c>
      <c r="U49" s="1" t="str">
        <f>IFERROR(RIGHT(B49,LEN(B49)-SEARCH(" ", B49,1)),"")</f>
        <v>Coufal</v>
      </c>
      <c r="V49" s="212">
        <f>IF(B49&lt;&gt;0,COUNTIF($U$48:$U$82,U49),"")</f>
        <v>1</v>
      </c>
      <c r="W49" s="212" t="str">
        <f>IFERROR(LEFT(LEFT(B49,SEARCH(" ",B49,1)),1),"")</f>
        <v>D</v>
      </c>
      <c r="X49" s="191"/>
      <c r="Y49" s="191"/>
      <c r="Z49" s="191"/>
      <c r="AA49" s="186"/>
    </row>
    <row r="50" spans="2:27" ht="15" customHeight="1" x14ac:dyDescent="0.25">
      <c r="B50" s="1" t="s">
        <v>1027</v>
      </c>
      <c r="C50" s="185"/>
      <c r="D50" s="212" t="str">
        <f>IF(C50 &lt;&gt; 0,ROUNDDOWN(($A$47-C50)/365.25,0),"")</f>
        <v/>
      </c>
      <c r="E50" s="191"/>
      <c r="F50" s="191"/>
      <c r="G50" s="191"/>
      <c r="H50" s="212">
        <f>IF(B50&lt;&gt;0,F50+G50,"")</f>
        <v>0</v>
      </c>
      <c r="I50" s="191"/>
      <c r="J50" s="191"/>
      <c r="K50" s="191"/>
      <c r="L50" s="191"/>
      <c r="M50" s="191"/>
      <c r="N50" s="191"/>
      <c r="O50" s="212" t="str">
        <f>IF(B50&lt;&gt;0,CONCATENATE(E50+IFERROR(VLOOKUP(B50,$B$2:$N$36,4,FALSE),0) + X50, " OZ, ", H50+IFERROR(VLOOKUP(B50,$B$2:$N$36,9,FALSE),0) + Y50+Z50, " (", F50+IFERROR(VLOOKUP(B50,$B$2:$N$36,5,FALSE),0) + Y50, "+",G50+IFERROR(VLOOKUP(B50,$B$2:$N$36,8,FALSE),0) +  Z50, ")"), "")</f>
        <v>26 OZ, 4 (1+3)</v>
      </c>
      <c r="P50" s="212" t="str">
        <f>IF(M50&lt;&gt;0,CONCATENATE(M50,"/",N50),"")</f>
        <v/>
      </c>
      <c r="Q50" s="192"/>
      <c r="R50" s="191"/>
      <c r="S50" s="212" t="str">
        <f>IFERROR(CONCATENATE(E50+VLOOKUP(B50,$B$39:$R$42,4,FALSE), " OZ, ",G50+VLOOKUP(B50,$B$39:$R$42,13,FALSE), " A"),"")</f>
        <v/>
      </c>
      <c r="T50" s="1" t="str">
        <f>IF(B50&lt;&gt;0,IF(V50=1,U50,CONCATENATE(U50," ",W50,".")),"")</f>
        <v>Dvořák</v>
      </c>
      <c r="U50" s="1" t="str">
        <f>IFERROR(RIGHT(B50,LEN(B50)-SEARCH(" ", B50,1)),"")</f>
        <v>Dvořák</v>
      </c>
      <c r="V50" s="212">
        <f>IF(B50&lt;&gt;0,COUNTIF($U$48:$U$82,U50),"")</f>
        <v>1</v>
      </c>
      <c r="W50" s="212" t="str">
        <f>IFERROR(LEFT(LEFT(B50,SEARCH(" ",B50,1)),1),"")</f>
        <v>D</v>
      </c>
      <c r="X50" s="191"/>
      <c r="Y50" s="191"/>
      <c r="Z50" s="191"/>
      <c r="AA50" s="186"/>
    </row>
    <row r="51" spans="2:27" ht="15" customHeight="1" x14ac:dyDescent="0.25">
      <c r="B51" s="1" t="s">
        <v>1022</v>
      </c>
      <c r="C51" s="185"/>
      <c r="D51" s="212" t="str">
        <f>IF(C51 &lt;&gt; 0,ROUNDDOWN(($A$47-C51)/365.25,0),"")</f>
        <v/>
      </c>
      <c r="E51" s="191"/>
      <c r="F51" s="191"/>
      <c r="G51" s="191"/>
      <c r="H51" s="212">
        <f>IF(B51&lt;&gt;0,F51+G51,"")</f>
        <v>0</v>
      </c>
      <c r="I51" s="191"/>
      <c r="J51" s="191"/>
      <c r="K51" s="191"/>
      <c r="L51" s="191"/>
      <c r="M51" s="191"/>
      <c r="N51" s="191"/>
      <c r="O51" s="212" t="str">
        <f>IF(B51&lt;&gt;0,CONCATENATE(E51+IFERROR(VLOOKUP(B51,$B$2:$N$36,4,FALSE),0) + X51, " OZ, ", H51+IFERROR(VLOOKUP(B51,$B$2:$N$36,9,FALSE),0) + Y51+Z51, " (", F51+IFERROR(VLOOKUP(B51,$B$2:$N$36,5,FALSE),0) + Y51, "+",G51+IFERROR(VLOOKUP(B51,$B$2:$N$36,8,FALSE),0) +  Z51, ")"), "")</f>
        <v>22 OZ, 7 (5+2)</v>
      </c>
      <c r="P51" s="212" t="str">
        <f>IF(M51&lt;&gt;0,CONCATENATE(M51,"/",N51),"")</f>
        <v/>
      </c>
      <c r="Q51" s="192"/>
      <c r="R51" s="191"/>
      <c r="S51" s="212" t="str">
        <f>IFERROR(CONCATENATE(E51+VLOOKUP(B51,$B$39:$R$42,4,FALSE), " OZ, ",G51+VLOOKUP(B51,$B$39:$R$42,13,FALSE), " A"),"")</f>
        <v/>
      </c>
      <c r="T51" s="1" t="str">
        <f>IF(B51&lt;&gt;0,IF(V51=1,U51,CONCATENATE(U51," ",W51,".")),"")</f>
        <v>Fuchs</v>
      </c>
      <c r="U51" s="1" t="str">
        <f>IFERROR(RIGHT(B51,LEN(B51)-SEARCH(" ", B51,1)),"")</f>
        <v>Fuchs</v>
      </c>
      <c r="V51" s="212">
        <f>IF(B51&lt;&gt;0,COUNTIF($U$48:$U$82,U51),"")</f>
        <v>1</v>
      </c>
      <c r="W51" s="212" t="str">
        <f>IFERROR(LEFT(LEFT(B51,SEARCH(" ",B51,1)),1),"")</f>
        <v>M</v>
      </c>
      <c r="X51" s="191"/>
      <c r="Y51" s="191"/>
      <c r="Z51" s="191"/>
      <c r="AA51" s="186"/>
    </row>
    <row r="52" spans="2:27" ht="15" customHeight="1" x14ac:dyDescent="0.25">
      <c r="B52" s="4" t="s">
        <v>1034</v>
      </c>
      <c r="C52" s="185"/>
      <c r="D52" s="212" t="str">
        <f>IF(C52 &lt;&gt; 0,ROUNDDOWN(($A$47-C52)/365.25,0),"")</f>
        <v/>
      </c>
      <c r="E52" s="191"/>
      <c r="F52" s="191"/>
      <c r="G52" s="191"/>
      <c r="H52" s="212">
        <f>IF(B52&lt;&gt;0,F52+G52,"")</f>
        <v>0</v>
      </c>
      <c r="I52" s="191"/>
      <c r="J52" s="191"/>
      <c r="K52" s="191"/>
      <c r="L52" s="191"/>
      <c r="M52" s="191"/>
      <c r="N52" s="191"/>
      <c r="O52" s="212" t="str">
        <f>IF(B52&lt;&gt;0,CONCATENATE(E52+IFERROR(VLOOKUP(B52,$B$2:$N$36,4,FALSE),0) + X52, " OZ, ", H52+IFERROR(VLOOKUP(B52,$B$2:$N$36,9,FALSE),0) + Y52+Z52, " (", F52+IFERROR(VLOOKUP(B52,$B$2:$N$36,5,FALSE),0) + Y52, "+",G52+IFERROR(VLOOKUP(B52,$B$2:$N$36,8,FALSE),0) +  Z52, ")"), "")</f>
        <v>19 OZ, 1 (0+1)</v>
      </c>
      <c r="P52" s="212" t="str">
        <f>IF(M52&lt;&gt;0,CONCATENATE(M52,"/",N52),"")</f>
        <v/>
      </c>
      <c r="Q52" s="192"/>
      <c r="R52" s="191"/>
      <c r="S52" s="212" t="str">
        <f>IFERROR(CONCATENATE(E52+VLOOKUP(B52,$B$39:$R$42,4,FALSE), " OZ, ",G52+VLOOKUP(B52,$B$39:$R$42,13,FALSE), " A"),"")</f>
        <v/>
      </c>
      <c r="T52" s="1" t="str">
        <f>IF(B52&lt;&gt;0,IF(V52=1,U52,CONCATENATE(U52," ",W52,".")),"")</f>
        <v>Halama</v>
      </c>
      <c r="U52" s="1" t="str">
        <f>IFERROR(RIGHT(B52,LEN(B52)-SEARCH(" ", B52,1)),"")</f>
        <v>Halama</v>
      </c>
      <c r="V52" s="212">
        <f>IF(B52&lt;&gt;0,COUNTIF($U$48:$U$82,U52),"")</f>
        <v>1</v>
      </c>
      <c r="W52" s="212" t="str">
        <f>IFERROR(LEFT(LEFT(B52,SEARCH(" ",B52,1)),1),"")</f>
        <v>J</v>
      </c>
      <c r="X52" s="191"/>
      <c r="Y52" s="191"/>
      <c r="Z52" s="191"/>
      <c r="AA52" s="186"/>
    </row>
    <row r="53" spans="2:27" ht="15" customHeight="1" x14ac:dyDescent="0.25">
      <c r="B53" s="1" t="s">
        <v>1017</v>
      </c>
      <c r="C53" s="185"/>
      <c r="D53" s="212" t="str">
        <f>IF(C53 &lt;&gt; 0,ROUNDDOWN(($A$47-C53)/365.25,0),"")</f>
        <v/>
      </c>
      <c r="E53" s="191"/>
      <c r="F53" s="191"/>
      <c r="G53" s="191"/>
      <c r="H53" s="212">
        <f>IF(B53&lt;&gt;0,F53+G53,"")</f>
        <v>0</v>
      </c>
      <c r="I53" s="191"/>
      <c r="J53" s="191"/>
      <c r="K53" s="191"/>
      <c r="L53" s="191"/>
      <c r="M53" s="191"/>
      <c r="N53" s="191"/>
      <c r="O53" s="212" t="str">
        <f>IF(B53&lt;&gt;0,CONCATENATE(E53+IFERROR(VLOOKUP(B53,$B$2:$N$36,4,FALSE),0) + X53, " OZ, ", H53+IFERROR(VLOOKUP(B53,$B$2:$N$36,9,FALSE),0) + Y53+Z53, " (", F53+IFERROR(VLOOKUP(B53,$B$2:$N$36,5,FALSE),0) + Y53, "+",G53+IFERROR(VLOOKUP(B53,$B$2:$N$36,8,FALSE),0) +  Z53, ")"), "")</f>
        <v>12 OZ, 11 (7+4)</v>
      </c>
      <c r="P53" s="212" t="str">
        <f>IF(M53&lt;&gt;0,CONCATENATE(M53,"/",N53),"")</f>
        <v/>
      </c>
      <c r="Q53" s="192"/>
      <c r="R53" s="191"/>
      <c r="S53" s="212" t="str">
        <f>IFERROR(CONCATENATE(E53+VLOOKUP(B53,$B$39:$R$42,4,FALSE), " OZ, ",G53+VLOOKUP(B53,$B$39:$R$42,13,FALSE), " A"),"")</f>
        <v/>
      </c>
      <c r="T53" s="1" t="str">
        <f>IF(B53&lt;&gt;0,IF(V53=1,U53,CONCATENATE(U53," ",W53,".")),"")</f>
        <v>Hemerka</v>
      </c>
      <c r="U53" s="1" t="str">
        <f>IFERROR(RIGHT(B53,LEN(B53)-SEARCH(" ", B53,1)),"")</f>
        <v>Hemerka</v>
      </c>
      <c r="V53" s="212">
        <f>IF(B53&lt;&gt;0,COUNTIF($U$48:$U$82,U53),"")</f>
        <v>1</v>
      </c>
      <c r="W53" s="212" t="str">
        <f>IFERROR(LEFT(LEFT(B53,SEARCH(" ",B53,1)),1),"")</f>
        <v>A</v>
      </c>
      <c r="X53" s="191"/>
      <c r="Y53" s="191"/>
      <c r="Z53" s="191"/>
      <c r="AA53" s="186"/>
    </row>
    <row r="54" spans="2:27" ht="15" customHeight="1" x14ac:dyDescent="0.25">
      <c r="B54" s="1" t="s">
        <v>1029</v>
      </c>
      <c r="C54" s="185"/>
      <c r="D54" s="212" t="str">
        <f>IF(C54 &lt;&gt; 0,ROUNDDOWN(($A$47-C54)/365.25,0),"")</f>
        <v/>
      </c>
      <c r="E54" s="191"/>
      <c r="F54" s="191"/>
      <c r="G54" s="191"/>
      <c r="H54" s="212">
        <f>IF(B54&lt;&gt;0,F54+G54,"")</f>
        <v>0</v>
      </c>
      <c r="I54" s="191"/>
      <c r="J54" s="191"/>
      <c r="K54" s="191"/>
      <c r="L54" s="191"/>
      <c r="M54" s="191"/>
      <c r="N54" s="191"/>
      <c r="O54" s="212" t="str">
        <f>IF(B54&lt;&gt;0,CONCATENATE(E54+IFERROR(VLOOKUP(B54,$B$2:$N$36,4,FALSE),0) + X54, " OZ, ", H54+IFERROR(VLOOKUP(B54,$B$2:$N$36,9,FALSE),0) + Y54+Z54, " (", F54+IFERROR(VLOOKUP(B54,$B$2:$N$36,5,FALSE),0) + Y54, "+",G54+IFERROR(VLOOKUP(B54,$B$2:$N$36,8,FALSE),0) +  Z54, ")"), "")</f>
        <v>23 OZ, 2 (1+1)</v>
      </c>
      <c r="P54" s="212" t="str">
        <f>IF(M54&lt;&gt;0,CONCATENATE(M54,"/",N54),"")</f>
        <v/>
      </c>
      <c r="Q54" s="192"/>
      <c r="R54" s="191"/>
      <c r="S54" s="212" t="str">
        <f>IFERROR(CONCATENATE(E54+VLOOKUP(B54,$B$39:$R$42,4,FALSE), " OZ, ",G54+VLOOKUP(B54,$B$39:$R$42,13,FALSE), " A"),"")</f>
        <v/>
      </c>
      <c r="T54" s="1" t="str">
        <f>IF(B54&lt;&gt;0,IF(V54=1,U54,CONCATENATE(U54," ",W54,".")),"")</f>
        <v>Horák</v>
      </c>
      <c r="U54" s="1" t="str">
        <f>IFERROR(RIGHT(B54,LEN(B54)-SEARCH(" ", B54,1)),"")</f>
        <v>Horák</v>
      </c>
      <c r="V54" s="212">
        <f>IF(B54&lt;&gt;0,COUNTIF($U$48:$U$82,U54),"")</f>
        <v>1</v>
      </c>
      <c r="W54" s="212" t="str">
        <f>IFERROR(LEFT(LEFT(B54,SEARCH(" ",B54,1)),1),"")</f>
        <v>F</v>
      </c>
      <c r="X54" s="191"/>
      <c r="Y54" s="191"/>
      <c r="Z54" s="191"/>
      <c r="AA54" s="186"/>
    </row>
    <row r="55" spans="2:27" ht="15" customHeight="1" x14ac:dyDescent="0.25">
      <c r="B55" s="1" t="s">
        <v>1032</v>
      </c>
      <c r="C55" s="185"/>
      <c r="D55" s="212" t="str">
        <f>IF(C55 &lt;&gt; 0,ROUNDDOWN(($A$47-C55)/365.25,0),"")</f>
        <v/>
      </c>
      <c r="E55" s="191"/>
      <c r="F55" s="191"/>
      <c r="G55" s="191"/>
      <c r="H55" s="212">
        <f>IF(B55&lt;&gt;0,F55+G55,"")</f>
        <v>0</v>
      </c>
      <c r="I55" s="191"/>
      <c r="J55" s="191"/>
      <c r="K55" s="191"/>
      <c r="L55" s="191"/>
      <c r="M55" s="191"/>
      <c r="N55" s="191"/>
      <c r="O55" s="212" t="str">
        <f>IF(B55&lt;&gt;0,CONCATENATE(E55+IFERROR(VLOOKUP(B55,$B$2:$N$36,4,FALSE),0) + X55, " OZ, ", H55+IFERROR(VLOOKUP(B55,$B$2:$N$36,9,FALSE),0) + Y55+Z55, " (", F55+IFERROR(VLOOKUP(B55,$B$2:$N$36,5,FALSE),0) + Y55, "+",G55+IFERROR(VLOOKUP(B55,$B$2:$N$36,8,FALSE),0) +  Z55, ")"), "")</f>
        <v>9 OZ, 1 (0+1)</v>
      </c>
      <c r="P55" s="212" t="str">
        <f>IF(M55&lt;&gt;0,CONCATENATE(M55,"/",N55),"")</f>
        <v/>
      </c>
      <c r="Q55" s="192"/>
      <c r="R55" s="191"/>
      <c r="S55" s="212" t="str">
        <f>IFERROR(CONCATENATE(E55+VLOOKUP(B55,$B$39:$R$42,4,FALSE), " OZ, ",G55+VLOOKUP(B55,$B$39:$R$42,13,FALSE), " A"),"")</f>
        <v/>
      </c>
      <c r="T55" s="1" t="str">
        <f>IF(B55&lt;&gt;0,IF(V55=1,U55,CONCATENATE(U55," ",W55,".")),"")</f>
        <v>Hrazdira</v>
      </c>
      <c r="U55" s="1" t="str">
        <f>IFERROR(RIGHT(B55,LEN(B55)-SEARCH(" ", B55,1)),"")</f>
        <v>Hrazdira</v>
      </c>
      <c r="V55" s="212">
        <f>IF(B55&lt;&gt;0,COUNTIF($U$48:$U$82,U55),"")</f>
        <v>1</v>
      </c>
      <c r="W55" s="212" t="str">
        <f>IFERROR(LEFT(LEFT(B55,SEARCH(" ",B55,1)),1),"")</f>
        <v>D</v>
      </c>
      <c r="X55" s="191"/>
      <c r="Y55" s="191"/>
      <c r="Z55" s="191"/>
      <c r="AA55" s="186"/>
    </row>
    <row r="56" spans="2:27" ht="15" customHeight="1" x14ac:dyDescent="0.25">
      <c r="B56" s="1" t="s">
        <v>405</v>
      </c>
      <c r="C56" s="185"/>
      <c r="D56" s="212" t="str">
        <f>IF(C56 &lt;&gt; 0,ROUNDDOWN(($A$47-C56)/365.25,0),"")</f>
        <v/>
      </c>
      <c r="E56" s="191"/>
      <c r="F56" s="191"/>
      <c r="G56" s="191"/>
      <c r="H56" s="212">
        <f>IF(B56&lt;&gt;0,F56+G56,"")</f>
        <v>0</v>
      </c>
      <c r="I56" s="191"/>
      <c r="J56" s="191"/>
      <c r="K56" s="191"/>
      <c r="L56" s="191"/>
      <c r="M56" s="191"/>
      <c r="N56" s="191"/>
      <c r="O56" s="212" t="str">
        <f>IF(B56&lt;&gt;0,CONCATENATE(E56+IFERROR(VLOOKUP(B56,$B$2:$N$36,4,FALSE),0) + X56, " OZ, ", H56+IFERROR(VLOOKUP(B56,$B$2:$N$36,9,FALSE),0) + Y56+Z56, " (", F56+IFERROR(VLOOKUP(B56,$B$2:$N$36,5,FALSE),0) + Y56, "+",G56+IFERROR(VLOOKUP(B56,$B$2:$N$36,8,FALSE),0) +  Z56, ")"), "")</f>
        <v>4 OZ, 1 (1+0)</v>
      </c>
      <c r="P56" s="212" t="str">
        <f>IF(M56&lt;&gt;0,CONCATENATE(M56,"/",N56),"")</f>
        <v/>
      </c>
      <c r="Q56" s="192"/>
      <c r="R56" s="191"/>
      <c r="S56" s="212" t="str">
        <f>IFERROR(CONCATENATE(E56+VLOOKUP(B56,$B$39:$R$42,4,FALSE), " OZ, ",G56+VLOOKUP(B56,$B$39:$R$42,13,FALSE), " A"),"")</f>
        <v/>
      </c>
      <c r="T56" s="1" t="str">
        <f>IF(B56&lt;&gt;0,IF(V56=1,U56,CONCATENATE(U56," ",W56,".")),"")</f>
        <v>Hronek M.</v>
      </c>
      <c r="U56" s="1" t="str">
        <f>IFERROR(RIGHT(B56,LEN(B56)-SEARCH(" ", B56,1)),"")</f>
        <v>Hronek</v>
      </c>
      <c r="V56" s="212">
        <f>IF(B56&lt;&gt;0,COUNTIF($U$48:$U$82,U56),"")</f>
        <v>2</v>
      </c>
      <c r="W56" s="212" t="str">
        <f>IFERROR(LEFT(LEFT(B56,SEARCH(" ",B56,1)),1),"")</f>
        <v>M</v>
      </c>
      <c r="X56" s="191"/>
      <c r="Y56" s="191"/>
      <c r="Z56" s="191"/>
      <c r="AA56" s="186"/>
    </row>
    <row r="57" spans="2:27" ht="15" customHeight="1" x14ac:dyDescent="0.25">
      <c r="B57" s="1" t="s">
        <v>1023</v>
      </c>
      <c r="C57" s="185"/>
      <c r="D57" s="212" t="str">
        <f>IF(C57 &lt;&gt; 0,ROUNDDOWN(($A$47-C57)/365.25,0),"")</f>
        <v/>
      </c>
      <c r="E57" s="191"/>
      <c r="F57" s="191"/>
      <c r="G57" s="191"/>
      <c r="H57" s="212">
        <f>IF(B57&lt;&gt;0,F57+G57,"")</f>
        <v>0</v>
      </c>
      <c r="I57" s="191"/>
      <c r="J57" s="191"/>
      <c r="K57" s="191"/>
      <c r="L57" s="191"/>
      <c r="M57" s="191"/>
      <c r="N57" s="191"/>
      <c r="O57" s="212" t="str">
        <f>IF(B57&lt;&gt;0,CONCATENATE(E57+IFERROR(VLOOKUP(B57,$B$2:$N$36,4,FALSE),0) + X57, " OZ, ", H57+IFERROR(VLOOKUP(B57,$B$2:$N$36,9,FALSE),0) + Y57+Z57, " (", F57+IFERROR(VLOOKUP(B57,$B$2:$N$36,5,FALSE),0) + Y57, "+",G57+IFERROR(VLOOKUP(B57,$B$2:$N$36,8,FALSE),0) +  Z57, ")"), "")</f>
        <v>25 OZ, 7 (5+2)</v>
      </c>
      <c r="P57" s="212" t="str">
        <f>IF(M57&lt;&gt;0,CONCATENATE(M57,"/",N57),"")</f>
        <v/>
      </c>
      <c r="Q57" s="192"/>
      <c r="R57" s="191"/>
      <c r="S57" s="212" t="str">
        <f>IFERROR(CONCATENATE(E57+VLOOKUP(B57,$B$39:$R$42,4,FALSE), " OZ, ",G57+VLOOKUP(B57,$B$39:$R$42,13,FALSE), " A"),"")</f>
        <v/>
      </c>
      <c r="T57" s="1" t="str">
        <f>IF(B57&lt;&gt;0,IF(V57=1,U57,CONCATENATE(U57," ",W57,".")),"")</f>
        <v>Hronek Š.</v>
      </c>
      <c r="U57" s="1" t="str">
        <f>IFERROR(RIGHT(B57,LEN(B57)-SEARCH(" ", B57,1)),"")</f>
        <v>Hronek</v>
      </c>
      <c r="V57" s="212">
        <f>IF(B57&lt;&gt;0,COUNTIF($U$48:$U$82,U57),"")</f>
        <v>2</v>
      </c>
      <c r="W57" s="212" t="str">
        <f>IFERROR(LEFT(LEFT(B57,SEARCH(" ",B57,1)),1),"")</f>
        <v>Š</v>
      </c>
      <c r="X57" s="191"/>
      <c r="Y57" s="191"/>
      <c r="Z57" s="191"/>
      <c r="AA57" s="186"/>
    </row>
    <row r="58" spans="2:27" ht="15" customHeight="1" x14ac:dyDescent="0.25">
      <c r="B58" s="1" t="s">
        <v>1019</v>
      </c>
      <c r="C58" s="185"/>
      <c r="D58" s="212" t="str">
        <f>IF(C58 &lt;&gt; 0,ROUNDDOWN(($A$47-C58)/365.25,0),"")</f>
        <v/>
      </c>
      <c r="E58" s="191"/>
      <c r="F58" s="191"/>
      <c r="G58" s="191"/>
      <c r="H58" s="212">
        <f>IF(B58&lt;&gt;0,F58+G58,"")</f>
        <v>0</v>
      </c>
      <c r="I58" s="191"/>
      <c r="J58" s="191"/>
      <c r="K58" s="191"/>
      <c r="L58" s="191"/>
      <c r="M58" s="191"/>
      <c r="N58" s="191"/>
      <c r="O58" s="212" t="str">
        <f>IF(B58&lt;&gt;0,CONCATENATE(E58+IFERROR(VLOOKUP(B58,$B$2:$N$36,4,FALSE),0) + X58, " OZ, ", H58+IFERROR(VLOOKUP(B58,$B$2:$N$36,9,FALSE),0) + Y58+Z58, " (", F58+IFERROR(VLOOKUP(B58,$B$2:$N$36,5,FALSE),0) + Y58, "+",G58+IFERROR(VLOOKUP(B58,$B$2:$N$36,8,FALSE),0) +  Z58, ")"), "")</f>
        <v>11 OZ, 10 (3+7)</v>
      </c>
      <c r="P58" s="212" t="str">
        <f>IF(M58&lt;&gt;0,CONCATENATE(M58,"/",N58),"")</f>
        <v/>
      </c>
      <c r="Q58" s="192"/>
      <c r="R58" s="191"/>
      <c r="S58" s="212" t="str">
        <f>IFERROR(CONCATENATE(E58+VLOOKUP(B58,$B$39:$R$42,4,FALSE), " OZ, ",G58+VLOOKUP(B58,$B$39:$R$42,13,FALSE), " A"),"")</f>
        <v/>
      </c>
      <c r="T58" s="1" t="str">
        <f>IF(B58&lt;&gt;0,IF(V58=1,U58,CONCATENATE(U58," ",W58,".")),"")</f>
        <v>Jalový</v>
      </c>
      <c r="U58" s="1" t="str">
        <f>IFERROR(RIGHT(B58,LEN(B58)-SEARCH(" ", B58,1)),"")</f>
        <v>Jalový</v>
      </c>
      <c r="V58" s="212">
        <f>IF(B58&lt;&gt;0,COUNTIF($U$48:$U$82,U58),"")</f>
        <v>1</v>
      </c>
      <c r="W58" s="212" t="str">
        <f>IFERROR(LEFT(LEFT(B58,SEARCH(" ",B58,1)),1),"")</f>
        <v>L</v>
      </c>
      <c r="X58" s="191"/>
      <c r="Y58" s="191"/>
      <c r="Z58" s="191"/>
      <c r="AA58" s="186"/>
    </row>
    <row r="59" spans="2:27" ht="15" customHeight="1" x14ac:dyDescent="0.25">
      <c r="B59" s="4" t="s">
        <v>1013</v>
      </c>
      <c r="C59" s="185"/>
      <c r="D59" s="212" t="str">
        <f>IF(C59 &lt;&gt; 0,ROUNDDOWN(($A$47-C59)/365.25,0),"")</f>
        <v/>
      </c>
      <c r="E59" s="191"/>
      <c r="F59" s="191"/>
      <c r="G59" s="191"/>
      <c r="H59" s="212">
        <f>IF(B59&lt;&gt;0,F59+G59,"")</f>
        <v>0</v>
      </c>
      <c r="I59" s="191"/>
      <c r="J59" s="191"/>
      <c r="K59" s="191"/>
      <c r="L59" s="191"/>
      <c r="M59" s="191"/>
      <c r="N59" s="191"/>
      <c r="O59" s="212" t="str">
        <f>IF(B59&lt;&gt;0,CONCATENATE(E59+IFERROR(VLOOKUP(B59,$B$2:$N$36,4,FALSE),0) + X59, " OZ, ", H59+IFERROR(VLOOKUP(B59,$B$2:$N$36,9,FALSE),0) + Y59+Z59, " (", F59+IFERROR(VLOOKUP(B59,$B$2:$N$36,5,FALSE),0) + Y59, "+",G59+IFERROR(VLOOKUP(B59,$B$2:$N$36,8,FALSE),0) +  Z59, ")"), "")</f>
        <v>26 OZ, 24 (5+19)</v>
      </c>
      <c r="P59" s="212" t="str">
        <f>IF(M59&lt;&gt;0,CONCATENATE(M59,"/",N59),"")</f>
        <v/>
      </c>
      <c r="Q59" s="192"/>
      <c r="R59" s="191"/>
      <c r="S59" s="212" t="str">
        <f>IFERROR(CONCATENATE(E59+VLOOKUP(B59,$B$39:$R$42,4,FALSE), " OZ, ",G59+VLOOKUP(B59,$B$39:$R$42,13,FALSE), " A"),"")</f>
        <v/>
      </c>
      <c r="T59" s="1" t="str">
        <f>IF(B59&lt;&gt;0,IF(V59=1,U59,CONCATENATE(U59," ",W59,".")),"")</f>
        <v>Juhaňák</v>
      </c>
      <c r="U59" s="1" t="str">
        <f>IFERROR(RIGHT(B59,LEN(B59)-SEARCH(" ", B59,1)),"")</f>
        <v>Juhaňák</v>
      </c>
      <c r="V59" s="212">
        <f>IF(B59&lt;&gt;0,COUNTIF($U$48:$U$82,U59),"")</f>
        <v>1</v>
      </c>
      <c r="W59" s="212" t="str">
        <f>IFERROR(LEFT(LEFT(B59,SEARCH(" ",B59,1)),1),"")</f>
        <v>J</v>
      </c>
      <c r="X59" s="191"/>
      <c r="Y59" s="191"/>
      <c r="Z59" s="191"/>
      <c r="AA59" s="186"/>
    </row>
    <row r="60" spans="2:27" ht="15" customHeight="1" x14ac:dyDescent="0.25">
      <c r="B60" s="4" t="s">
        <v>1037</v>
      </c>
      <c r="C60" s="185"/>
      <c r="D60" s="212" t="str">
        <f>IF(C60 &lt;&gt; 0,ROUNDDOWN(($A$47-C60)/365.25,0),"")</f>
        <v/>
      </c>
      <c r="E60" s="191"/>
      <c r="F60" s="191"/>
      <c r="G60" s="191"/>
      <c r="H60" s="212">
        <f>IF(B60&lt;&gt;0,F60+G60,"")</f>
        <v>0</v>
      </c>
      <c r="I60" s="191"/>
      <c r="J60" s="191"/>
      <c r="K60" s="191"/>
      <c r="L60" s="191"/>
      <c r="M60" s="191"/>
      <c r="N60" s="191"/>
      <c r="O60" s="212" t="str">
        <f>IF(B60&lt;&gt;0,CONCATENATE(E60+IFERROR(VLOOKUP(B60,$B$2:$N$36,4,FALSE),0) + X60, " OZ, ", H60+IFERROR(VLOOKUP(B60,$B$2:$N$36,9,FALSE),0) + Y60+Z60, " (", F60+IFERROR(VLOOKUP(B60,$B$2:$N$36,5,FALSE),0) + Y60, "+",G60+IFERROR(VLOOKUP(B60,$B$2:$N$36,8,FALSE),0) +  Z60, ")"), "")</f>
        <v>0 OZ, 0 (0+0)</v>
      </c>
      <c r="P60" s="212" t="str">
        <f>IF(M60&lt;&gt;0,CONCATENATE(M60,"/",N60),"")</f>
        <v/>
      </c>
      <c r="Q60" s="192"/>
      <c r="R60" s="191"/>
      <c r="S60" s="212" t="str">
        <f>IFERROR(CONCATENATE(E60+VLOOKUP(B60,$B$39:$R$42,4,FALSE), " OZ, ",G60+VLOOKUP(B60,$B$39:$R$42,13,FALSE), " A"),"")</f>
        <v>12 OZ, 0 A</v>
      </c>
      <c r="T60" s="1" t="str">
        <f>IF(B60&lt;&gt;0,IF(V60=1,U60,CONCATENATE(U60," ",W60,".")),"")</f>
        <v>Kolajta</v>
      </c>
      <c r="U60" s="1" t="str">
        <f>IFERROR(RIGHT(B60,LEN(B60)-SEARCH(" ", B60,1)),"")</f>
        <v>Kolajta</v>
      </c>
      <c r="V60" s="212">
        <f>IF(B60&lt;&gt;0,COUNTIF($U$48:$U$82,U60),"")</f>
        <v>1</v>
      </c>
      <c r="W60" s="212" t="str">
        <f>IFERROR(LEFT(LEFT(B60,SEARCH(" ",B60,1)),1),"")</f>
        <v>O</v>
      </c>
      <c r="X60" s="191"/>
      <c r="Y60" s="191"/>
      <c r="Z60" s="191"/>
      <c r="AA60" s="186"/>
    </row>
    <row r="61" spans="2:27" ht="15" customHeight="1" x14ac:dyDescent="0.25">
      <c r="B61" s="1" t="s">
        <v>1018</v>
      </c>
      <c r="C61" s="185"/>
      <c r="D61" s="212" t="str">
        <f>IF(C61 &lt;&gt; 0,ROUNDDOWN(($A$47-C61)/365.25,0),"")</f>
        <v/>
      </c>
      <c r="E61" s="191"/>
      <c r="F61" s="191"/>
      <c r="G61" s="191"/>
      <c r="H61" s="212">
        <f>IF(B61&lt;&gt;0,F61+G61,"")</f>
        <v>0</v>
      </c>
      <c r="I61" s="191"/>
      <c r="J61" s="191"/>
      <c r="K61" s="191"/>
      <c r="L61" s="191"/>
      <c r="M61" s="191"/>
      <c r="N61" s="191"/>
      <c r="O61" s="212" t="str">
        <f>IF(B61&lt;&gt;0,CONCATENATE(E61+IFERROR(VLOOKUP(B61,$B$2:$N$36,4,FALSE),0) + X61, " OZ, ", H61+IFERROR(VLOOKUP(B61,$B$2:$N$36,9,FALSE),0) + Y61+Z61, " (", F61+IFERROR(VLOOKUP(B61,$B$2:$N$36,5,FALSE),0) + Y61, "+",G61+IFERROR(VLOOKUP(B61,$B$2:$N$36,8,FALSE),0) +  Z61, ")"), "")</f>
        <v>26 OZ, 11 (3+8)</v>
      </c>
      <c r="P61" s="212" t="str">
        <f>IF(M61&lt;&gt;0,CONCATENATE(M61,"/",N61),"")</f>
        <v/>
      </c>
      <c r="Q61" s="192"/>
      <c r="R61" s="191"/>
      <c r="S61" s="212" t="str">
        <f>IFERROR(CONCATENATE(E61+VLOOKUP(B61,$B$39:$R$42,4,FALSE), " OZ, ",G61+VLOOKUP(B61,$B$39:$R$42,13,FALSE), " A"),"")</f>
        <v/>
      </c>
      <c r="T61" s="1" t="str">
        <f>IF(B61&lt;&gt;0,IF(V61=1,U61,CONCATENATE(U61," ",W61,".")),"")</f>
        <v>Kostka</v>
      </c>
      <c r="U61" s="1" t="str">
        <f>IFERROR(RIGHT(B61,LEN(B61)-SEARCH(" ", B61,1)),"")</f>
        <v>Kostka</v>
      </c>
      <c r="V61" s="212">
        <f>IF(B61&lt;&gt;0,COUNTIF($U$48:$U$82,U61),"")</f>
        <v>1</v>
      </c>
      <c r="W61" s="212" t="str">
        <f>IFERROR(LEFT(LEFT(B61,SEARCH(" ",B61,1)),1),"")</f>
        <v>M</v>
      </c>
      <c r="X61" s="191"/>
      <c r="Y61" s="191"/>
      <c r="Z61" s="191"/>
      <c r="AA61" s="186"/>
    </row>
    <row r="62" spans="2:27" ht="15" customHeight="1" x14ac:dyDescent="0.25">
      <c r="B62" s="4" t="s">
        <v>1036</v>
      </c>
      <c r="C62" s="185"/>
      <c r="D62" s="212" t="str">
        <f>IF(C62 &lt;&gt; 0,ROUNDDOWN(($A$47-C62)/365.25,0),"")</f>
        <v/>
      </c>
      <c r="E62" s="191"/>
      <c r="F62" s="191"/>
      <c r="G62" s="191"/>
      <c r="H62" s="212">
        <f>IF(B62&lt;&gt;0,F62+G62,"")</f>
        <v>0</v>
      </c>
      <c r="I62" s="191"/>
      <c r="J62" s="191"/>
      <c r="K62" s="191"/>
      <c r="L62" s="191"/>
      <c r="M62" s="191"/>
      <c r="N62" s="191"/>
      <c r="O62" s="212" t="str">
        <f>IF(B62&lt;&gt;0,CONCATENATE(E62+IFERROR(VLOOKUP(B62,$B$2:$N$36,4,FALSE),0) + X62, " OZ, ", H62+IFERROR(VLOOKUP(B62,$B$2:$N$36,9,FALSE),0) + Y62+Z62, " (", F62+IFERROR(VLOOKUP(B62,$B$2:$N$36,5,FALSE),0) + Y62, "+",G62+IFERROR(VLOOKUP(B62,$B$2:$N$36,8,FALSE),0) +  Z62, ")"), "")</f>
        <v>0 OZ, 0 (0+0)</v>
      </c>
      <c r="P62" s="212" t="str">
        <f>IF(M62&lt;&gt;0,CONCATENATE(M62,"/",N62),"")</f>
        <v/>
      </c>
      <c r="Q62" s="192"/>
      <c r="R62" s="191"/>
      <c r="S62" s="212" t="str">
        <f>IFERROR(CONCATENATE(E62+VLOOKUP(B62,$B$39:$R$42,4,FALSE), " OZ, ",G62+VLOOKUP(B62,$B$39:$R$42,13,FALSE), " A"),"")</f>
        <v>14 OZ, 0 A</v>
      </c>
      <c r="T62" s="1" t="str">
        <f>IF(B62&lt;&gt;0,IF(V62=1,U62,CONCATENATE(U62," ",W62,".")),"")</f>
        <v>Kuhn</v>
      </c>
      <c r="U62" s="1" t="str">
        <f>IFERROR(RIGHT(B62,LEN(B62)-SEARCH(" ", B62,1)),"")</f>
        <v>Kuhn</v>
      </c>
      <c r="V62" s="212">
        <f>IF(B62&lt;&gt;0,COUNTIF($U$48:$U$82,U62),"")</f>
        <v>1</v>
      </c>
      <c r="W62" s="212" t="str">
        <f>IFERROR(LEFT(LEFT(B62,SEARCH(" ",B62,1)),1),"")</f>
        <v>F</v>
      </c>
      <c r="X62" s="191"/>
      <c r="Y62" s="191"/>
      <c r="Z62" s="191"/>
      <c r="AA62" s="186"/>
    </row>
    <row r="63" spans="2:27" ht="15" customHeight="1" x14ac:dyDescent="0.25">
      <c r="B63" s="1" t="s">
        <v>1031</v>
      </c>
      <c r="C63" s="185"/>
      <c r="D63" s="212" t="str">
        <f>IF(C63 &lt;&gt; 0,ROUNDDOWN(($A$47-C63)/365.25,0),"")</f>
        <v/>
      </c>
      <c r="E63" s="191"/>
      <c r="F63" s="191"/>
      <c r="G63" s="191"/>
      <c r="H63" s="212">
        <f>IF(B63&lt;&gt;0,F63+G63,"")</f>
        <v>0</v>
      </c>
      <c r="I63" s="191"/>
      <c r="J63" s="191"/>
      <c r="K63" s="191"/>
      <c r="L63" s="191"/>
      <c r="M63" s="191"/>
      <c r="N63" s="191"/>
      <c r="O63" s="212" t="str">
        <f>IF(B63&lt;&gt;0,CONCATENATE(E63+IFERROR(VLOOKUP(B63,$B$2:$N$36,4,FALSE),0) + X63, " OZ, ", H63+IFERROR(VLOOKUP(B63,$B$2:$N$36,9,FALSE),0) + Y63+Z63, " (", F63+IFERROR(VLOOKUP(B63,$B$2:$N$36,5,FALSE),0) + Y63, "+",G63+IFERROR(VLOOKUP(B63,$B$2:$N$36,8,FALSE),0) +  Z63, ")"), "")</f>
        <v>10 OZ, 1 (1+0)</v>
      </c>
      <c r="P63" s="212" t="str">
        <f>IF(M63&lt;&gt;0,CONCATENATE(M63,"/",N63),"")</f>
        <v/>
      </c>
      <c r="Q63" s="192"/>
      <c r="R63" s="191"/>
      <c r="S63" s="212" t="str">
        <f>IFERROR(CONCATENATE(E63+VLOOKUP(B63,$B$39:$R$42,4,FALSE), " OZ, ",G63+VLOOKUP(B63,$B$39:$R$42,13,FALSE), " A"),"")</f>
        <v/>
      </c>
      <c r="T63" s="1" t="str">
        <f>IF(B63&lt;&gt;0,IF(V63=1,U63,CONCATENATE(U63," ",W63,".")),"")</f>
        <v>Kůra J.</v>
      </c>
      <c r="U63" s="1" t="str">
        <f>IFERROR(RIGHT(B63,LEN(B63)-SEARCH(" ", B63,1)),"")</f>
        <v>Kůra</v>
      </c>
      <c r="V63" s="212">
        <f>IF(B63&lt;&gt;0,COUNTIF($U$48:$U$82,U63),"")</f>
        <v>2</v>
      </c>
      <c r="W63" s="212" t="str">
        <f>IFERROR(LEFT(LEFT(B63,SEARCH(" ",B63,1)),1),"")</f>
        <v>J</v>
      </c>
      <c r="X63" s="191"/>
      <c r="Y63" s="191"/>
      <c r="Z63" s="191"/>
      <c r="AA63" s="186"/>
    </row>
    <row r="64" spans="2:27" ht="15" customHeight="1" x14ac:dyDescent="0.25">
      <c r="B64" s="1" t="s">
        <v>1028</v>
      </c>
      <c r="C64" s="185"/>
      <c r="D64" s="212" t="str">
        <f>IF(C64 &lt;&gt; 0,ROUNDDOWN(($A$47-C64)/365.25,0),"")</f>
        <v/>
      </c>
      <c r="E64" s="191"/>
      <c r="F64" s="191"/>
      <c r="G64" s="191"/>
      <c r="H64" s="212">
        <f>IF(B64&lt;&gt;0,F64+G64,"")</f>
        <v>0</v>
      </c>
      <c r="I64" s="191"/>
      <c r="J64" s="191"/>
      <c r="K64" s="191"/>
      <c r="L64" s="191"/>
      <c r="M64" s="191"/>
      <c r="N64" s="191"/>
      <c r="O64" s="212" t="str">
        <f>IF(B64&lt;&gt;0,CONCATENATE(E64+IFERROR(VLOOKUP(B64,$B$2:$N$36,4,FALSE),0) + X64, " OZ, ", H64+IFERROR(VLOOKUP(B64,$B$2:$N$36,9,FALSE),0) + Y64+Z64, " (", F64+IFERROR(VLOOKUP(B64,$B$2:$N$36,5,FALSE),0) + Y64, "+",G64+IFERROR(VLOOKUP(B64,$B$2:$N$36,8,FALSE),0) +  Z64, ")"), "")</f>
        <v>24 OZ, 3 (1+2)</v>
      </c>
      <c r="P64" s="212" t="str">
        <f>IF(M64&lt;&gt;0,CONCATENATE(M64,"/",N64),"")</f>
        <v/>
      </c>
      <c r="Q64" s="192"/>
      <c r="R64" s="191"/>
      <c r="S64" s="212" t="str">
        <f>IFERROR(CONCATENATE(E64+VLOOKUP(B64,$B$39:$R$42,4,FALSE), " OZ, ",G64+VLOOKUP(B64,$B$39:$R$42,13,FALSE), " A"),"")</f>
        <v/>
      </c>
      <c r="T64" s="1" t="str">
        <f>IF(B64&lt;&gt;0,IF(V64=1,U64,CONCATENATE(U64," ",W64,".")),"")</f>
        <v>Kůra M.</v>
      </c>
      <c r="U64" s="1" t="str">
        <f>IFERROR(RIGHT(B64,LEN(B64)-SEARCH(" ", B64,1)),"")</f>
        <v>Kůra</v>
      </c>
      <c r="V64" s="212">
        <f>IF(B64&lt;&gt;0,COUNTIF($U$48:$U$82,U64),"")</f>
        <v>2</v>
      </c>
      <c r="W64" s="212" t="str">
        <f>IFERROR(LEFT(LEFT(B64,SEARCH(" ",B64,1)),1),"")</f>
        <v>M</v>
      </c>
      <c r="X64" s="191"/>
      <c r="Y64" s="191"/>
      <c r="Z64" s="191"/>
      <c r="AA64" s="186"/>
    </row>
    <row r="65" spans="2:27" ht="15" customHeight="1" x14ac:dyDescent="0.25">
      <c r="B65" s="1" t="s">
        <v>1026</v>
      </c>
      <c r="C65" s="185"/>
      <c r="D65" s="212" t="str">
        <f>IF(C65 &lt;&gt; 0,ROUNDDOWN(($A$47-C65)/365.25,0),"")</f>
        <v/>
      </c>
      <c r="E65" s="191"/>
      <c r="F65" s="191"/>
      <c r="G65" s="191"/>
      <c r="H65" s="212">
        <f>IF(B65&lt;&gt;0,F65+G65,"")</f>
        <v>0</v>
      </c>
      <c r="I65" s="191"/>
      <c r="J65" s="191"/>
      <c r="K65" s="191"/>
      <c r="L65" s="191"/>
      <c r="M65" s="191"/>
      <c r="N65" s="191"/>
      <c r="O65" s="212" t="str">
        <f>IF(B65&lt;&gt;0,CONCATENATE(E65+IFERROR(VLOOKUP(B65,$B$2:$N$36,4,FALSE),0) + X65, " OZ, ", H65+IFERROR(VLOOKUP(B65,$B$2:$N$36,9,FALSE),0) + Y65+Z65, " (", F65+IFERROR(VLOOKUP(B65,$B$2:$N$36,5,FALSE),0) + Y65, "+",G65+IFERROR(VLOOKUP(B65,$B$2:$N$36,8,FALSE),0) +  Z65, ")"), "")</f>
        <v>20 OZ, 4 (1+3)</v>
      </c>
      <c r="P65" s="212" t="str">
        <f>IF(M65&lt;&gt;0,CONCATENATE(M65,"/",N65),"")</f>
        <v/>
      </c>
      <c r="Q65" s="192"/>
      <c r="R65" s="191"/>
      <c r="S65" s="212" t="str">
        <f>IFERROR(CONCATENATE(E65+VLOOKUP(B65,$B$39:$R$42,4,FALSE), " OZ, ",G65+VLOOKUP(B65,$B$39:$R$42,13,FALSE), " A"),"")</f>
        <v/>
      </c>
      <c r="T65" s="1" t="str">
        <f>IF(B65&lt;&gt;0,IF(V65=1,U65,CONCATENATE(U65," ",W65,".")),"")</f>
        <v>Leško</v>
      </c>
      <c r="U65" s="1" t="str">
        <f>IFERROR(RIGHT(B65,LEN(B65)-SEARCH(" ", B65,1)),"")</f>
        <v>Leško</v>
      </c>
      <c r="V65" s="212">
        <f>IF(B65&lt;&gt;0,COUNTIF($U$48:$U$82,U65),"")</f>
        <v>1</v>
      </c>
      <c r="W65" s="212" t="str">
        <f>IFERROR(LEFT(LEFT(B65,SEARCH(" ",B65,1)),1),"")</f>
        <v>Š</v>
      </c>
      <c r="X65" s="191"/>
      <c r="Y65" s="191"/>
      <c r="Z65" s="191"/>
      <c r="AA65" s="186"/>
    </row>
    <row r="66" spans="2:27" ht="15" customHeight="1" x14ac:dyDescent="0.25">
      <c r="B66" s="4" t="s">
        <v>1033</v>
      </c>
      <c r="C66" s="185"/>
      <c r="D66" s="212" t="str">
        <f>IF(C66 &lt;&gt; 0,ROUNDDOWN(($A$47-C66)/365.25,0),"")</f>
        <v/>
      </c>
      <c r="E66" s="191"/>
      <c r="F66" s="191"/>
      <c r="G66" s="191"/>
      <c r="H66" s="212">
        <f>IF(B66&lt;&gt;0,F66+G66,"")</f>
        <v>0</v>
      </c>
      <c r="I66" s="191"/>
      <c r="J66" s="191"/>
      <c r="K66" s="191"/>
      <c r="L66" s="191"/>
      <c r="M66" s="191"/>
      <c r="N66" s="191"/>
      <c r="O66" s="212" t="str">
        <f>IF(B66&lt;&gt;0,CONCATENATE(E66+IFERROR(VLOOKUP(B66,$B$2:$N$36,4,FALSE),0) + X66, " OZ, ", H66+IFERROR(VLOOKUP(B66,$B$2:$N$36,9,FALSE),0) + Y66+Z66, " (", F66+IFERROR(VLOOKUP(B66,$B$2:$N$36,5,FALSE),0) + Y66, "+",G66+IFERROR(VLOOKUP(B66,$B$2:$N$36,8,FALSE),0) +  Z66, ")"), "")</f>
        <v>0 OZ, 1 (0+1)</v>
      </c>
      <c r="P66" s="212" t="str">
        <f>IF(M66&lt;&gt;0,CONCATENATE(M66,"/",N66),"")</f>
        <v/>
      </c>
      <c r="Q66" s="192"/>
      <c r="R66" s="191"/>
      <c r="S66" s="212" t="str">
        <f>IFERROR(CONCATENATE(E66+VLOOKUP(B66,$B$39:$R$42,4,FALSE), " OZ, ",G66+VLOOKUP(B66,$B$39:$R$42,13,FALSE), " A"),"")</f>
        <v>5 OZ, 1 A</v>
      </c>
      <c r="T66" s="1" t="str">
        <f>IF(B66&lt;&gt;0,IF(V66=1,U66,CONCATENATE(U66," ",W66,".")),"")</f>
        <v>Létal</v>
      </c>
      <c r="U66" s="1" t="str">
        <f>IFERROR(RIGHT(B66,LEN(B66)-SEARCH(" ", B66,1)),"")</f>
        <v>Létal</v>
      </c>
      <c r="V66" s="212">
        <f>IF(B66&lt;&gt;0,COUNTIF($U$48:$U$82,U66),"")</f>
        <v>1</v>
      </c>
      <c r="W66" s="212" t="str">
        <f>IFERROR(LEFT(LEFT(B66,SEARCH(" ",B66,1)),1),"")</f>
        <v>F</v>
      </c>
      <c r="X66" s="191"/>
      <c r="Y66" s="191"/>
      <c r="Z66" s="191"/>
      <c r="AA66" s="186"/>
    </row>
    <row r="67" spans="2:27" ht="15" customHeight="1" x14ac:dyDescent="0.25">
      <c r="B67" s="1" t="s">
        <v>1030</v>
      </c>
      <c r="C67" s="185"/>
      <c r="D67" s="212" t="str">
        <f>IF(C67 &lt;&gt; 0,ROUNDDOWN(($A$47-C67)/365.25,0),"")</f>
        <v/>
      </c>
      <c r="E67" s="191"/>
      <c r="F67" s="191"/>
      <c r="G67" s="191"/>
      <c r="H67" s="212">
        <f>IF(B67&lt;&gt;0,F67+G67,"")</f>
        <v>0</v>
      </c>
      <c r="I67" s="191"/>
      <c r="J67" s="191"/>
      <c r="K67" s="191"/>
      <c r="L67" s="191"/>
      <c r="M67" s="191"/>
      <c r="N67" s="191"/>
      <c r="O67" s="212" t="str">
        <f>IF(B67&lt;&gt;0,CONCATENATE(E67+IFERROR(VLOOKUP(B67,$B$2:$N$36,4,FALSE),0) + X67, " OZ, ", H67+IFERROR(VLOOKUP(B67,$B$2:$N$36,9,FALSE),0) + Y67+Z67, " (", F67+IFERROR(VLOOKUP(B67,$B$2:$N$36,5,FALSE),0) + Y67, "+",G67+IFERROR(VLOOKUP(B67,$B$2:$N$36,8,FALSE),0) +  Z67, ")"), "")</f>
        <v>7 OZ, 1 (1+0)</v>
      </c>
      <c r="P67" s="212" t="str">
        <f>IF(M67&lt;&gt;0,CONCATENATE(M67,"/",N67),"")</f>
        <v/>
      </c>
      <c r="Q67" s="192"/>
      <c r="R67" s="191"/>
      <c r="S67" s="212" t="str">
        <f>IFERROR(CONCATENATE(E67+VLOOKUP(B67,$B$39:$R$42,4,FALSE), " OZ, ",G67+VLOOKUP(B67,$B$39:$R$42,13,FALSE), " A"),"")</f>
        <v/>
      </c>
      <c r="T67" s="1" t="str">
        <f>IF(B67&lt;&gt;0,IF(V67=1,U67,CONCATENATE(U67," ",W67,".")),"")</f>
        <v>Máček</v>
      </c>
      <c r="U67" s="1" t="str">
        <f>IFERROR(RIGHT(B67,LEN(B67)-SEARCH(" ", B67,1)),"")</f>
        <v>Máček</v>
      </c>
      <c r="V67" s="212">
        <f>IF(B67&lt;&gt;0,COUNTIF($U$48:$U$82,U67),"")</f>
        <v>1</v>
      </c>
      <c r="W67" s="212" t="str">
        <f>IFERROR(LEFT(LEFT(B67,SEARCH(" ",B67,1)),1),"")</f>
        <v>V</v>
      </c>
      <c r="X67" s="191"/>
      <c r="Y67" s="191"/>
      <c r="Z67" s="191"/>
      <c r="AA67" s="186"/>
    </row>
    <row r="68" spans="2:27" ht="15" customHeight="1" x14ac:dyDescent="0.25">
      <c r="B68" s="4" t="s">
        <v>1015</v>
      </c>
      <c r="C68" s="185"/>
      <c r="D68" s="212" t="str">
        <f>IF(C68 &lt;&gt; 0,ROUNDDOWN(($A$47-C68)/365.25,0),"")</f>
        <v/>
      </c>
      <c r="E68" s="191"/>
      <c r="F68" s="191"/>
      <c r="G68" s="191"/>
      <c r="H68" s="212">
        <f>IF(B68&lt;&gt;0,F68+G68,"")</f>
        <v>0</v>
      </c>
      <c r="I68" s="191"/>
      <c r="J68" s="191"/>
      <c r="K68" s="191"/>
      <c r="L68" s="191"/>
      <c r="M68" s="191"/>
      <c r="N68" s="191"/>
      <c r="O68" s="212" t="str">
        <f>IF(B68&lt;&gt;0,CONCATENATE(E68+IFERROR(VLOOKUP(B68,$B$2:$N$36,4,FALSE),0) + X68, " OZ, ", H68+IFERROR(VLOOKUP(B68,$B$2:$N$36,9,FALSE),0) + Y68+Z68, " (", F68+IFERROR(VLOOKUP(B68,$B$2:$N$36,5,FALSE),0) + Y68, "+",G68+IFERROR(VLOOKUP(B68,$B$2:$N$36,8,FALSE),0) +  Z68, ")"), "")</f>
        <v>24 OZ, 17 (12+5)</v>
      </c>
      <c r="P68" s="212" t="str">
        <f>IF(M68&lt;&gt;0,CONCATENATE(M68,"/",N68),"")</f>
        <v/>
      </c>
      <c r="Q68" s="192"/>
      <c r="R68" s="191"/>
      <c r="S68" s="212" t="str">
        <f>IFERROR(CONCATENATE(E68+VLOOKUP(B68,$B$39:$R$42,4,FALSE), " OZ, ",G68+VLOOKUP(B68,$B$39:$R$42,13,FALSE), " A"),"")</f>
        <v/>
      </c>
      <c r="T68" s="1" t="str">
        <f>IF(B68&lt;&gt;0,IF(V68=1,U68,CONCATENATE(U68," ",W68,".")),"")</f>
        <v>Nagy</v>
      </c>
      <c r="U68" s="1" t="str">
        <f>IFERROR(RIGHT(B68,LEN(B68)-SEARCH(" ", B68,1)),"")</f>
        <v>Nagy</v>
      </c>
      <c r="V68" s="212">
        <f>IF(B68&lt;&gt;0,COUNTIF($U$48:$U$82,U68),"")</f>
        <v>1</v>
      </c>
      <c r="W68" s="212" t="str">
        <f>IFERROR(LEFT(LEFT(B68,SEARCH(" ",B68,1)),1),"")</f>
        <v>M</v>
      </c>
      <c r="X68" s="191"/>
      <c r="Y68" s="191"/>
      <c r="Z68" s="191"/>
      <c r="AA68" s="186"/>
    </row>
    <row r="69" spans="2:27" ht="15" customHeight="1" x14ac:dyDescent="0.25">
      <c r="B69" s="4" t="s">
        <v>1012</v>
      </c>
      <c r="C69" s="185"/>
      <c r="D69" s="212" t="str">
        <f>IF(C69 &lt;&gt; 0,ROUNDDOWN(($A$47-C69)/365.25,0),"")</f>
        <v/>
      </c>
      <c r="E69" s="191"/>
      <c r="F69" s="191"/>
      <c r="G69" s="191"/>
      <c r="H69" s="212">
        <f>IF(B69&lt;&gt;0,F69+G69,"")</f>
        <v>0</v>
      </c>
      <c r="I69" s="191"/>
      <c r="J69" s="191"/>
      <c r="K69" s="191"/>
      <c r="L69" s="191"/>
      <c r="M69" s="191"/>
      <c r="N69" s="191"/>
      <c r="O69" s="212" t="str">
        <f>IF(B69&lt;&gt;0,CONCATENATE(E69+IFERROR(VLOOKUP(B69,$B$2:$N$36,4,FALSE),0) + X69, " OZ, ", H69+IFERROR(VLOOKUP(B69,$B$2:$N$36,9,FALSE),0) + Y69+Z69, " (", F69+IFERROR(VLOOKUP(B69,$B$2:$N$36,5,FALSE),0) + Y69, "+",G69+IFERROR(VLOOKUP(B69,$B$2:$N$36,8,FALSE),0) +  Z69, ")"), "")</f>
        <v>21 OZ, 31 (18+13)</v>
      </c>
      <c r="P69" s="212" t="str">
        <f>IF(M69&lt;&gt;0,CONCATENATE(M69,"/",N69),"")</f>
        <v/>
      </c>
      <c r="Q69" s="192"/>
      <c r="R69" s="191"/>
      <c r="S69" s="212" t="str">
        <f>IFERROR(CONCATENATE(E69+VLOOKUP(B69,$B$39:$R$42,4,FALSE), " OZ, ",G69+VLOOKUP(B69,$B$39:$R$42,13,FALSE), " A"),"")</f>
        <v/>
      </c>
      <c r="T69" s="1" t="str">
        <f>IF(B69&lt;&gt;0,IF(V69=1,U69,CONCATENATE(U69," ",W69,".")),"")</f>
        <v>Ondráček</v>
      </c>
      <c r="U69" s="1" t="str">
        <f>IFERROR(RIGHT(B69,LEN(B69)-SEARCH(" ", B69,1)),"")</f>
        <v>Ondráček</v>
      </c>
      <c r="V69" s="212">
        <f>IF(B69&lt;&gt;0,COUNTIF($U$48:$U$82,U69),"")</f>
        <v>1</v>
      </c>
      <c r="W69" s="212" t="str">
        <f>IFERROR(LEFT(LEFT(B69,SEARCH(" ",B69,1)),1),"")</f>
        <v>L</v>
      </c>
      <c r="X69" s="191"/>
      <c r="Y69" s="191"/>
      <c r="Z69" s="191"/>
      <c r="AA69" s="186"/>
    </row>
    <row r="70" spans="2:27" ht="15" customHeight="1" x14ac:dyDescent="0.25">
      <c r="B70" s="1" t="s">
        <v>1025</v>
      </c>
      <c r="C70" s="185"/>
      <c r="D70" s="212" t="str">
        <f>IF(C70 &lt;&gt; 0,ROUNDDOWN(($A$47-C70)/365.25,0),"")</f>
        <v/>
      </c>
      <c r="E70" s="191"/>
      <c r="F70" s="191"/>
      <c r="G70" s="191"/>
      <c r="H70" s="212">
        <f>IF(B70&lt;&gt;0,F70+G70,"")</f>
        <v>0</v>
      </c>
      <c r="I70" s="191"/>
      <c r="J70" s="191"/>
      <c r="K70" s="191"/>
      <c r="L70" s="191"/>
      <c r="M70" s="191"/>
      <c r="N70" s="191"/>
      <c r="O70" s="212" t="str">
        <f>IF(B70&lt;&gt;0,CONCATENATE(E70+IFERROR(VLOOKUP(B70,$B$2:$N$36,4,FALSE),0) + X70, " OZ, ", H70+IFERROR(VLOOKUP(B70,$B$2:$N$36,9,FALSE),0) + Y70+Z70, " (", F70+IFERROR(VLOOKUP(B70,$B$2:$N$36,5,FALSE),0) + Y70, "+",G70+IFERROR(VLOOKUP(B70,$B$2:$N$36,8,FALSE),0) +  Z70, ")"), "")</f>
        <v>22 OZ, 4 (4+0)</v>
      </c>
      <c r="P70" s="212" t="str">
        <f>IF(M70&lt;&gt;0,CONCATENATE(M70,"/",N70),"")</f>
        <v/>
      </c>
      <c r="Q70" s="192"/>
      <c r="R70" s="191"/>
      <c r="S70" s="212" t="str">
        <f>IFERROR(CONCATENATE(E70+VLOOKUP(B70,$B$39:$R$42,4,FALSE), " OZ, ",G70+VLOOKUP(B70,$B$39:$R$42,13,FALSE), " A"),"")</f>
        <v/>
      </c>
      <c r="T70" s="1" t="str">
        <f>IF(B70&lt;&gt;0,IF(V70=1,U70,CONCATENATE(U70," ",W70,".")),"")</f>
        <v>Procházka</v>
      </c>
      <c r="U70" s="1" t="str">
        <f>IFERROR(RIGHT(B70,LEN(B70)-SEARCH(" ", B70,1)),"")</f>
        <v>Procházka</v>
      </c>
      <c r="V70" s="212">
        <f>IF(B70&lt;&gt;0,COUNTIF($U$48:$U$82,U70),"")</f>
        <v>1</v>
      </c>
      <c r="W70" s="212" t="str">
        <f>IFERROR(LEFT(LEFT(B70,SEARCH(" ",B70,1)),1),"")</f>
        <v>J</v>
      </c>
      <c r="X70" s="191"/>
      <c r="Y70" s="191"/>
      <c r="Z70" s="191"/>
      <c r="AA70" s="186"/>
    </row>
    <row r="71" spans="2:27" ht="15" customHeight="1" x14ac:dyDescent="0.25">
      <c r="B71" s="1" t="s">
        <v>1021</v>
      </c>
      <c r="C71" s="185"/>
      <c r="D71" s="212" t="str">
        <f>IF(C71 &lt;&gt; 0,ROUNDDOWN(($A$47-C71)/365.25,0),"")</f>
        <v/>
      </c>
      <c r="E71" s="191"/>
      <c r="F71" s="191"/>
      <c r="G71" s="191"/>
      <c r="H71" s="212">
        <f>IF(B71&lt;&gt;0,F71+G71,"")</f>
        <v>0</v>
      </c>
      <c r="I71" s="191"/>
      <c r="J71" s="191"/>
      <c r="K71" s="191"/>
      <c r="L71" s="191"/>
      <c r="M71" s="191"/>
      <c r="N71" s="191"/>
      <c r="O71" s="212" t="str">
        <f>IF(B71&lt;&gt;0,CONCATENATE(E71+IFERROR(VLOOKUP(B71,$B$2:$N$36,4,FALSE),0) + X71, " OZ, ", H71+IFERROR(VLOOKUP(B71,$B$2:$N$36,9,FALSE),0) + Y71+Z71, " (", F71+IFERROR(VLOOKUP(B71,$B$2:$N$36,5,FALSE),0) + Y71, "+",G71+IFERROR(VLOOKUP(B71,$B$2:$N$36,8,FALSE),0) +  Z71, ")"), "")</f>
        <v>25 OZ, 9 (2+7)</v>
      </c>
      <c r="P71" s="212" t="str">
        <f>IF(M71&lt;&gt;0,CONCATENATE(M71,"/",N71),"")</f>
        <v/>
      </c>
      <c r="Q71" s="192"/>
      <c r="R71" s="191"/>
      <c r="S71" s="212" t="str">
        <f>IFERROR(CONCATENATE(E71+VLOOKUP(B71,$B$39:$R$42,4,FALSE), " OZ, ",G71+VLOOKUP(B71,$B$39:$R$42,13,FALSE), " A"),"")</f>
        <v/>
      </c>
      <c r="T71" s="1" t="str">
        <f>IF(B71&lt;&gt;0,IF(V71=1,U71,CONCATENATE(U71," ",W71,".")),"")</f>
        <v>Sládeček</v>
      </c>
      <c r="U71" s="1" t="str">
        <f>IFERROR(RIGHT(B71,LEN(B71)-SEARCH(" ", B71,1)),"")</f>
        <v>Sládeček</v>
      </c>
      <c r="V71" s="212">
        <f>IF(B71&lt;&gt;0,COUNTIF($U$48:$U$82,U71),"")</f>
        <v>1</v>
      </c>
      <c r="W71" s="212" t="str">
        <f>IFERROR(LEFT(LEFT(B71,SEARCH(" ",B71,1)),1),"")</f>
        <v>D</v>
      </c>
      <c r="X71" s="191"/>
      <c r="Y71" s="191"/>
      <c r="Z71" s="191"/>
      <c r="AA71" s="186"/>
    </row>
    <row r="72" spans="2:27" ht="15" customHeight="1" x14ac:dyDescent="0.25">
      <c r="B72" s="1" t="s">
        <v>1016</v>
      </c>
      <c r="C72" s="185"/>
      <c r="D72" s="212" t="str">
        <f>IF(C72 &lt;&gt; 0,ROUNDDOWN(($A$47-C72)/365.25,0),"")</f>
        <v/>
      </c>
      <c r="E72" s="191"/>
      <c r="F72" s="191"/>
      <c r="G72" s="191"/>
      <c r="H72" s="212">
        <f>IF(B72&lt;&gt;0,F72+G72,"")</f>
        <v>0</v>
      </c>
      <c r="I72" s="191"/>
      <c r="J72" s="191"/>
      <c r="K72" s="191"/>
      <c r="L72" s="191"/>
      <c r="M72" s="191"/>
      <c r="N72" s="191"/>
      <c r="O72" s="212" t="str">
        <f>IF(B72&lt;&gt;0,CONCATENATE(E72+IFERROR(VLOOKUP(B72,$B$2:$N$36,4,FALSE),0) + X72, " OZ, ", H72+IFERROR(VLOOKUP(B72,$B$2:$N$36,9,FALSE),0) + Y72+Z72, " (", F72+IFERROR(VLOOKUP(B72,$B$2:$N$36,5,FALSE),0) + Y72, "+",G72+IFERROR(VLOOKUP(B72,$B$2:$N$36,8,FALSE),0) +  Z72, ")"), "")</f>
        <v>23 OZ, 11 (8+3)</v>
      </c>
      <c r="P72" s="212" t="str">
        <f>IF(M72&lt;&gt;0,CONCATENATE(M72,"/",N72),"")</f>
        <v/>
      </c>
      <c r="Q72" s="192"/>
      <c r="R72" s="191"/>
      <c r="S72" s="212" t="str">
        <f>IFERROR(CONCATENATE(E72+VLOOKUP(B72,$B$39:$R$42,4,FALSE), " OZ, ",G72+VLOOKUP(B72,$B$39:$R$42,13,FALSE), " A"),"")</f>
        <v/>
      </c>
      <c r="T72" s="1" t="str">
        <f>IF(B72&lt;&gt;0,IF(V72=1,U72,CONCATENATE(U72," ",W72,".")),"")</f>
        <v>Slezák</v>
      </c>
      <c r="U72" s="1" t="str">
        <f>IFERROR(RIGHT(B72,LEN(B72)-SEARCH(" ", B72,1)),"")</f>
        <v>Slezák</v>
      </c>
      <c r="V72" s="212">
        <f>IF(B72&lt;&gt;0,COUNTIF($U$48:$U$82,U72),"")</f>
        <v>1</v>
      </c>
      <c r="W72" s="212" t="str">
        <f>IFERROR(LEFT(LEFT(B72,SEARCH(" ",B72,1)),1),"")</f>
        <v>R</v>
      </c>
      <c r="X72" s="191"/>
      <c r="Y72" s="191"/>
      <c r="Z72" s="191"/>
      <c r="AA72" s="186"/>
    </row>
    <row r="73" spans="2:27" ht="15" customHeight="1" x14ac:dyDescent="0.25">
      <c r="B73" s="1" t="s">
        <v>1020</v>
      </c>
      <c r="C73" s="185"/>
      <c r="D73" s="212" t="str">
        <f>IF(C73 &lt;&gt; 0,ROUNDDOWN(($A$47-C73)/365.25,0),"")</f>
        <v/>
      </c>
      <c r="E73" s="191"/>
      <c r="F73" s="191"/>
      <c r="G73" s="191"/>
      <c r="H73" s="212">
        <f>IF(B73&lt;&gt;0,F73+G73,"")</f>
        <v>0</v>
      </c>
      <c r="I73" s="191"/>
      <c r="J73" s="191"/>
      <c r="K73" s="191"/>
      <c r="L73" s="191"/>
      <c r="M73" s="191"/>
      <c r="N73" s="191"/>
      <c r="O73" s="212" t="str">
        <f>IF(B73&lt;&gt;0,CONCATENATE(E73+IFERROR(VLOOKUP(B73,$B$2:$N$36,4,FALSE),0) + X73, " OZ, ", H73+IFERROR(VLOOKUP(B73,$B$2:$N$36,9,FALSE),0) + Y73+Z73, " (", F73+IFERROR(VLOOKUP(B73,$B$2:$N$36,5,FALSE),0) + Y73, "+",G73+IFERROR(VLOOKUP(B73,$B$2:$N$36,8,FALSE),0) +  Z73, ")"), "")</f>
        <v>26 OZ, 9 (7+2)</v>
      </c>
      <c r="P73" s="212" t="str">
        <f>IF(M73&lt;&gt;0,CONCATENATE(M73,"/",N73),"")</f>
        <v/>
      </c>
      <c r="Q73" s="192"/>
      <c r="R73" s="191"/>
      <c r="S73" s="212" t="str">
        <f>IFERROR(CONCATENATE(E73+VLOOKUP(B73,$B$39:$R$42,4,FALSE), " OZ, ",G73+VLOOKUP(B73,$B$39:$R$42,13,FALSE), " A"),"")</f>
        <v/>
      </c>
      <c r="T73" s="1" t="str">
        <f>IF(B73&lt;&gt;0,IF(V73=1,U73,CONCATENATE(U73," ",W73,".")),"")</f>
        <v>Vlach</v>
      </c>
      <c r="U73" s="1" t="str">
        <f>IFERROR(RIGHT(B73,LEN(B73)-SEARCH(" ", B73,1)),"")</f>
        <v>Vlach</v>
      </c>
      <c r="V73" s="212">
        <f>IF(B73&lt;&gt;0,COUNTIF($U$48:$U$82,U73),"")</f>
        <v>1</v>
      </c>
      <c r="W73" s="212" t="str">
        <f>IFERROR(LEFT(LEFT(B73,SEARCH(" ",B73,1)),1),"")</f>
        <v>L</v>
      </c>
      <c r="X73" s="191"/>
      <c r="Y73" s="191"/>
      <c r="Z73" s="191"/>
      <c r="AA73" s="186"/>
    </row>
    <row r="74" spans="2:27" ht="15" customHeight="1" x14ac:dyDescent="0.25">
      <c r="B74" s="4" t="s">
        <v>1035</v>
      </c>
      <c r="C74" s="185"/>
      <c r="D74" s="212" t="str">
        <f>IF(C74 &lt;&gt; 0,ROUNDDOWN(($A$47-C74)/365.25,0),"")</f>
        <v/>
      </c>
      <c r="E74" s="191"/>
      <c r="F74" s="191"/>
      <c r="G74" s="191"/>
      <c r="H74" s="212">
        <f>IF(B74&lt;&gt;0,F74+G74,"")</f>
        <v>0</v>
      </c>
      <c r="I74" s="191"/>
      <c r="J74" s="191"/>
      <c r="K74" s="191"/>
      <c r="L74" s="191"/>
      <c r="M74" s="191"/>
      <c r="N74" s="191"/>
      <c r="O74" s="212" t="str">
        <f>IF(B74&lt;&gt;0,CONCATENATE(E74+IFERROR(VLOOKUP(B74,$B$2:$N$36,4,FALSE),0) + X74, " OZ, ", H74+IFERROR(VLOOKUP(B74,$B$2:$N$36,9,FALSE),0) + Y74+Z74, " (", F74+IFERROR(VLOOKUP(B74,$B$2:$N$36,5,FALSE),0) + Y74, "+",G74+IFERROR(VLOOKUP(B74,$B$2:$N$36,8,FALSE),0) +  Z74, ")"), "")</f>
        <v>19 OZ, 0 (0+0)</v>
      </c>
      <c r="P74" s="212" t="str">
        <f>IF(M74&lt;&gt;0,CONCATENATE(M74,"/",N74),"")</f>
        <v/>
      </c>
      <c r="Q74" s="192"/>
      <c r="R74" s="191"/>
      <c r="S74" s="212" t="str">
        <f>IFERROR(CONCATENATE(E74+VLOOKUP(B74,$B$39:$R$42,4,FALSE), " OZ, ",G74+VLOOKUP(B74,$B$39:$R$42,13,FALSE), " A"),"")</f>
        <v/>
      </c>
      <c r="T74" s="1" t="str">
        <f>IF(B74&lt;&gt;0,IF(V74=1,U74,CONCATENATE(U74," ",W74,".")),"")</f>
        <v>Zach</v>
      </c>
      <c r="U74" s="1" t="str">
        <f>IFERROR(RIGHT(B74,LEN(B74)-SEARCH(" ", B74,1)),"")</f>
        <v>Zach</v>
      </c>
      <c r="V74" s="212">
        <f>IF(B74&lt;&gt;0,COUNTIF($U$48:$U$82,U74),"")</f>
        <v>1</v>
      </c>
      <c r="W74" s="212" t="str">
        <f>IFERROR(LEFT(LEFT(B74,SEARCH(" ",B74,1)),1),"")</f>
        <v>T</v>
      </c>
      <c r="X74" s="191"/>
      <c r="Y74" s="191"/>
      <c r="Z74" s="191"/>
      <c r="AA74" s="186"/>
    </row>
    <row r="75" spans="2:27" ht="15" customHeight="1" x14ac:dyDescent="0.25">
      <c r="C75" s="185"/>
      <c r="D75" s="212" t="str">
        <f t="shared" ref="D48:D82" si="5">IF(C75 &lt;&gt; 0,ROUNDDOWN(($A$47-C75)/365.25,0),"")</f>
        <v/>
      </c>
      <c r="E75" s="191"/>
      <c r="F75" s="191"/>
      <c r="G75" s="191"/>
      <c r="H75" s="212" t="str">
        <f t="shared" ref="H48:H82" si="6">IF(B75&lt;&gt;0,F75+G75,"")</f>
        <v/>
      </c>
      <c r="I75" s="191"/>
      <c r="J75" s="191"/>
      <c r="K75" s="191"/>
      <c r="L75" s="191"/>
      <c r="M75" s="191"/>
      <c r="N75" s="191"/>
      <c r="O75" s="212" t="str">
        <f t="shared" ref="O48:O82" si="7">IF(B75&lt;&gt;0,CONCATENATE(E75+IFERROR(VLOOKUP(B75,$B$2:$N$36,4,FALSE),0) + X75, " OZ, ", H75+IFERROR(VLOOKUP(B75,$B$2:$N$36,9,FALSE),0) + Y75+Z75, " (", F75+IFERROR(VLOOKUP(B75,$B$2:$N$36,5,FALSE),0) + Y75, "+",G75+IFERROR(VLOOKUP(B75,$B$2:$N$36,8,FALSE),0) +  Z75, ")"), "")</f>
        <v/>
      </c>
      <c r="P75" s="212" t="str">
        <f t="shared" ref="P48:P82" si="8">IF(M75&lt;&gt;0,CONCATENATE(M75,"/",N75),"")</f>
        <v/>
      </c>
      <c r="Q75" s="192"/>
      <c r="R75" s="191"/>
      <c r="S75" s="212" t="str">
        <f t="shared" ref="S48:S82" si="9">IFERROR(CONCATENATE(E75+VLOOKUP(B75,$B$39:$R$42,4,FALSE), " OZ, ",G75+VLOOKUP(B75,$B$39:$R$42,13,FALSE), " A"),"")</f>
        <v/>
      </c>
      <c r="T75" s="1" t="str">
        <f t="shared" ref="T48:T82" si="10">IF(B75&lt;&gt;0,IF(V75=1,U75,CONCATENATE(U75," ",W75,".")),"")</f>
        <v/>
      </c>
      <c r="U75" s="1" t="str">
        <f t="shared" ref="U48:U82" si="11">IFERROR(RIGHT(B75,LEN(B75)-SEARCH(" ", B75,1)),"")</f>
        <v/>
      </c>
      <c r="V75" s="212" t="str">
        <f t="shared" ref="V48:V82" si="12">IF(B75&lt;&gt;0,COUNTIF($U$48:$U$82,U75),"")</f>
        <v/>
      </c>
      <c r="W75" s="212" t="str">
        <f t="shared" ref="W48:W82" si="13">IFERROR(LEFT(LEFT(B75,SEARCH(" ",B75,1)),1),"")</f>
        <v/>
      </c>
      <c r="X75" s="191"/>
      <c r="Y75" s="191"/>
      <c r="Z75" s="191"/>
      <c r="AA75" s="186"/>
    </row>
    <row r="76" spans="2:27" ht="15" customHeight="1" x14ac:dyDescent="0.25">
      <c r="C76" s="185"/>
      <c r="D76" s="212" t="str">
        <f t="shared" si="5"/>
        <v/>
      </c>
      <c r="E76" s="191"/>
      <c r="F76" s="191"/>
      <c r="G76" s="191"/>
      <c r="H76" s="212" t="str">
        <f t="shared" si="6"/>
        <v/>
      </c>
      <c r="I76" s="191"/>
      <c r="J76" s="191"/>
      <c r="K76" s="191"/>
      <c r="L76" s="191"/>
      <c r="M76" s="191"/>
      <c r="N76" s="191"/>
      <c r="O76" s="212" t="str">
        <f t="shared" si="7"/>
        <v/>
      </c>
      <c r="P76" s="212" t="str">
        <f t="shared" si="8"/>
        <v/>
      </c>
      <c r="Q76" s="192"/>
      <c r="R76" s="191"/>
      <c r="S76" s="212" t="str">
        <f t="shared" si="9"/>
        <v/>
      </c>
      <c r="T76" s="1" t="str">
        <f t="shared" si="10"/>
        <v/>
      </c>
      <c r="U76" s="1" t="str">
        <f t="shared" si="11"/>
        <v/>
      </c>
      <c r="V76" s="212" t="str">
        <f t="shared" si="12"/>
        <v/>
      </c>
      <c r="W76" s="212" t="str">
        <f t="shared" si="13"/>
        <v/>
      </c>
      <c r="X76" s="191"/>
      <c r="Y76" s="191"/>
      <c r="Z76" s="191"/>
      <c r="AA76" s="186"/>
    </row>
    <row r="77" spans="2:27" ht="15" customHeight="1" x14ac:dyDescent="0.25">
      <c r="C77" s="185"/>
      <c r="D77" s="212" t="str">
        <f t="shared" si="5"/>
        <v/>
      </c>
      <c r="E77" s="191"/>
      <c r="F77" s="191"/>
      <c r="G77" s="191"/>
      <c r="H77" s="212" t="str">
        <f t="shared" si="6"/>
        <v/>
      </c>
      <c r="I77" s="191"/>
      <c r="J77" s="191"/>
      <c r="K77" s="191"/>
      <c r="L77" s="191"/>
      <c r="M77" s="191"/>
      <c r="N77" s="191"/>
      <c r="O77" s="212" t="str">
        <f t="shared" si="7"/>
        <v/>
      </c>
      <c r="P77" s="212" t="str">
        <f t="shared" si="8"/>
        <v/>
      </c>
      <c r="Q77" s="192"/>
      <c r="R77" s="191"/>
      <c r="S77" s="212" t="str">
        <f t="shared" si="9"/>
        <v/>
      </c>
      <c r="T77" s="1" t="str">
        <f t="shared" si="10"/>
        <v/>
      </c>
      <c r="U77" s="1" t="str">
        <f t="shared" si="11"/>
        <v/>
      </c>
      <c r="V77" s="212" t="str">
        <f t="shared" si="12"/>
        <v/>
      </c>
      <c r="W77" s="212" t="str">
        <f t="shared" si="13"/>
        <v/>
      </c>
      <c r="X77" s="191"/>
      <c r="Y77" s="191"/>
      <c r="Z77" s="191"/>
      <c r="AA77" s="186"/>
    </row>
    <row r="78" spans="2:27" ht="15" customHeight="1" x14ac:dyDescent="0.25">
      <c r="C78" s="185"/>
      <c r="D78" s="212" t="str">
        <f t="shared" si="5"/>
        <v/>
      </c>
      <c r="E78" s="191"/>
      <c r="F78" s="191"/>
      <c r="G78" s="191"/>
      <c r="H78" s="212" t="str">
        <f t="shared" si="6"/>
        <v/>
      </c>
      <c r="I78" s="191"/>
      <c r="J78" s="191"/>
      <c r="K78" s="191"/>
      <c r="L78" s="191"/>
      <c r="M78" s="191"/>
      <c r="N78" s="191"/>
      <c r="O78" s="212" t="str">
        <f t="shared" si="7"/>
        <v/>
      </c>
      <c r="P78" s="212" t="str">
        <f t="shared" si="8"/>
        <v/>
      </c>
      <c r="Q78" s="192"/>
      <c r="R78" s="191"/>
      <c r="S78" s="212" t="str">
        <f t="shared" si="9"/>
        <v/>
      </c>
      <c r="T78" s="1" t="str">
        <f t="shared" si="10"/>
        <v/>
      </c>
      <c r="U78" s="1" t="str">
        <f t="shared" si="11"/>
        <v/>
      </c>
      <c r="V78" s="212" t="str">
        <f t="shared" si="12"/>
        <v/>
      </c>
      <c r="W78" s="212" t="str">
        <f t="shared" si="13"/>
        <v/>
      </c>
      <c r="X78" s="191"/>
      <c r="Y78" s="191"/>
      <c r="Z78" s="191"/>
      <c r="AA78" s="186"/>
    </row>
    <row r="79" spans="2:27" ht="15" customHeight="1" x14ac:dyDescent="0.25">
      <c r="C79" s="185"/>
      <c r="D79" s="212" t="str">
        <f t="shared" si="5"/>
        <v/>
      </c>
      <c r="E79" s="191"/>
      <c r="F79" s="191"/>
      <c r="G79" s="191"/>
      <c r="H79" s="212" t="str">
        <f t="shared" si="6"/>
        <v/>
      </c>
      <c r="I79" s="191"/>
      <c r="J79" s="191"/>
      <c r="K79" s="191"/>
      <c r="L79" s="191"/>
      <c r="M79" s="191"/>
      <c r="N79" s="191"/>
      <c r="O79" s="212" t="str">
        <f t="shared" si="7"/>
        <v/>
      </c>
      <c r="P79" s="212" t="str">
        <f t="shared" si="8"/>
        <v/>
      </c>
      <c r="Q79" s="192"/>
      <c r="R79" s="191"/>
      <c r="S79" s="212" t="str">
        <f t="shared" si="9"/>
        <v/>
      </c>
      <c r="T79" s="1" t="str">
        <f t="shared" si="10"/>
        <v/>
      </c>
      <c r="U79" s="1" t="str">
        <f t="shared" si="11"/>
        <v/>
      </c>
      <c r="V79" s="212" t="str">
        <f t="shared" si="12"/>
        <v/>
      </c>
      <c r="W79" s="212" t="str">
        <f t="shared" si="13"/>
        <v/>
      </c>
      <c r="X79" s="191"/>
      <c r="Y79" s="191"/>
      <c r="Z79" s="191"/>
      <c r="AA79" s="186"/>
    </row>
    <row r="80" spans="2:27" ht="15" customHeight="1" x14ac:dyDescent="0.25">
      <c r="C80" s="185"/>
      <c r="D80" s="212" t="str">
        <f t="shared" si="5"/>
        <v/>
      </c>
      <c r="E80" s="191"/>
      <c r="F80" s="191"/>
      <c r="G80" s="191"/>
      <c r="H80" s="212" t="str">
        <f t="shared" si="6"/>
        <v/>
      </c>
      <c r="I80" s="191"/>
      <c r="J80" s="191"/>
      <c r="K80" s="191"/>
      <c r="L80" s="191"/>
      <c r="M80" s="191"/>
      <c r="N80" s="191"/>
      <c r="O80" s="212" t="str">
        <f t="shared" si="7"/>
        <v/>
      </c>
      <c r="P80" s="212" t="str">
        <f t="shared" si="8"/>
        <v/>
      </c>
      <c r="Q80" s="192"/>
      <c r="R80" s="191"/>
      <c r="S80" s="212" t="str">
        <f t="shared" si="9"/>
        <v/>
      </c>
      <c r="T80" s="1" t="str">
        <f t="shared" si="10"/>
        <v/>
      </c>
      <c r="U80" s="1" t="str">
        <f t="shared" si="11"/>
        <v/>
      </c>
      <c r="V80" s="212" t="str">
        <f t="shared" si="12"/>
        <v/>
      </c>
      <c r="W80" s="212" t="str">
        <f t="shared" si="13"/>
        <v/>
      </c>
      <c r="X80" s="191"/>
      <c r="Y80" s="191"/>
      <c r="Z80" s="191"/>
      <c r="AA80" s="186"/>
    </row>
    <row r="81" spans="1:27" ht="15" customHeight="1" x14ac:dyDescent="0.25">
      <c r="C81" s="185"/>
      <c r="D81" s="212" t="str">
        <f t="shared" si="5"/>
        <v/>
      </c>
      <c r="E81" s="191"/>
      <c r="F81" s="191"/>
      <c r="G81" s="191"/>
      <c r="H81" s="212" t="str">
        <f t="shared" si="6"/>
        <v/>
      </c>
      <c r="I81" s="191"/>
      <c r="J81" s="191"/>
      <c r="K81" s="191"/>
      <c r="L81" s="191"/>
      <c r="M81" s="191"/>
      <c r="N81" s="191"/>
      <c r="O81" s="212" t="str">
        <f t="shared" si="7"/>
        <v/>
      </c>
      <c r="P81" s="212" t="str">
        <f t="shared" si="8"/>
        <v/>
      </c>
      <c r="Q81" s="192"/>
      <c r="R81" s="191"/>
      <c r="S81" s="212" t="str">
        <f t="shared" si="9"/>
        <v/>
      </c>
      <c r="T81" s="1" t="str">
        <f t="shared" si="10"/>
        <v/>
      </c>
      <c r="U81" s="1" t="str">
        <f t="shared" si="11"/>
        <v/>
      </c>
      <c r="V81" s="212" t="str">
        <f t="shared" si="12"/>
        <v/>
      </c>
      <c r="W81" s="212" t="str">
        <f t="shared" si="13"/>
        <v/>
      </c>
      <c r="X81" s="191"/>
      <c r="Y81" s="191"/>
      <c r="Z81" s="191"/>
      <c r="AA81" s="186"/>
    </row>
    <row r="82" spans="1:27" ht="15" customHeight="1" x14ac:dyDescent="0.25">
      <c r="C82" s="185"/>
      <c r="D82" s="212" t="str">
        <f t="shared" si="5"/>
        <v/>
      </c>
      <c r="E82" s="191"/>
      <c r="F82" s="191"/>
      <c r="G82" s="191"/>
      <c r="H82" s="212" t="str">
        <f t="shared" si="6"/>
        <v/>
      </c>
      <c r="I82" s="191"/>
      <c r="J82" s="191"/>
      <c r="K82" s="191"/>
      <c r="L82" s="191"/>
      <c r="M82" s="191"/>
      <c r="N82" s="191"/>
      <c r="O82" s="212" t="str">
        <f t="shared" si="7"/>
        <v/>
      </c>
      <c r="P82" s="212" t="str">
        <f t="shared" si="8"/>
        <v/>
      </c>
      <c r="Q82" s="192"/>
      <c r="R82" s="191"/>
      <c r="S82" s="212" t="str">
        <f t="shared" si="9"/>
        <v/>
      </c>
      <c r="T82" s="1" t="str">
        <f t="shared" si="10"/>
        <v/>
      </c>
      <c r="U82" s="1" t="str">
        <f t="shared" si="11"/>
        <v/>
      </c>
      <c r="V82" s="212" t="str">
        <f t="shared" si="12"/>
        <v/>
      </c>
      <c r="W82" s="212" t="str">
        <f t="shared" si="13"/>
        <v/>
      </c>
      <c r="X82" s="191"/>
      <c r="Y82" s="191"/>
      <c r="Z82" s="191"/>
      <c r="AA82" s="186"/>
    </row>
    <row r="84" spans="1:27" s="213" customFormat="1" ht="15" customHeight="1" x14ac:dyDescent="0.25">
      <c r="A84" s="7">
        <f ca="1">TODAY()</f>
        <v>44263</v>
      </c>
      <c r="B84" s="213" t="s">
        <v>59</v>
      </c>
      <c r="C84" s="213" t="s">
        <v>66</v>
      </c>
      <c r="D84" s="213" t="s">
        <v>67</v>
      </c>
      <c r="E84" s="401" t="s">
        <v>94</v>
      </c>
      <c r="F84" s="401"/>
      <c r="G84" s="401" t="s">
        <v>100</v>
      </c>
      <c r="H84" s="401"/>
      <c r="I84" s="401"/>
      <c r="J84" s="401"/>
      <c r="K84" s="401"/>
      <c r="Q84" s="9"/>
    </row>
    <row r="85" spans="1:27" ht="30" customHeight="1" x14ac:dyDescent="0.25">
      <c r="B85" s="186"/>
      <c r="C85" s="185"/>
      <c r="D85" s="212" t="str">
        <f>IF(B85&lt;&gt;0,ROUNDDOWN(($A$84-C85)/365.25,0),"")</f>
        <v/>
      </c>
      <c r="E85" s="400"/>
      <c r="F85" s="400"/>
      <c r="G85" s="400"/>
      <c r="H85" s="400"/>
      <c r="I85" s="400"/>
      <c r="J85" s="400"/>
      <c r="K85" s="400"/>
    </row>
    <row r="86" spans="1:27" ht="30" customHeight="1" x14ac:dyDescent="0.25">
      <c r="B86" s="186"/>
      <c r="C86" s="185"/>
      <c r="D86" s="212" t="str">
        <f t="shared" ref="D86:D92" si="14">IF(B86&lt;&gt;0,ROUNDDOWN(($A$84-C86)/365.25,0),"")</f>
        <v/>
      </c>
      <c r="E86" s="400"/>
      <c r="F86" s="400"/>
      <c r="G86" s="400"/>
      <c r="H86" s="400"/>
      <c r="I86" s="400"/>
      <c r="J86" s="400"/>
      <c r="K86" s="400"/>
    </row>
    <row r="87" spans="1:27" ht="30" customHeight="1" x14ac:dyDescent="0.25">
      <c r="B87" s="186"/>
      <c r="C87" s="185"/>
      <c r="D87" s="212" t="str">
        <f t="shared" si="14"/>
        <v/>
      </c>
      <c r="E87" s="400"/>
      <c r="F87" s="400"/>
      <c r="G87" s="400"/>
      <c r="H87" s="400"/>
      <c r="I87" s="400"/>
      <c r="J87" s="400"/>
      <c r="K87" s="400"/>
    </row>
    <row r="88" spans="1:27" ht="30" customHeight="1" x14ac:dyDescent="0.25">
      <c r="B88" s="186"/>
      <c r="C88" s="185"/>
      <c r="D88" s="212" t="str">
        <f t="shared" si="14"/>
        <v/>
      </c>
      <c r="E88" s="400"/>
      <c r="F88" s="400"/>
      <c r="G88" s="400"/>
      <c r="H88" s="400"/>
      <c r="I88" s="400"/>
      <c r="J88" s="400"/>
      <c r="K88" s="400"/>
    </row>
    <row r="89" spans="1:27" ht="30" customHeight="1" x14ac:dyDescent="0.25">
      <c r="B89" s="186"/>
      <c r="C89" s="185"/>
      <c r="D89" s="212" t="str">
        <f t="shared" si="14"/>
        <v/>
      </c>
      <c r="E89" s="400"/>
      <c r="F89" s="400"/>
      <c r="G89" s="400"/>
      <c r="H89" s="400"/>
      <c r="I89" s="400"/>
      <c r="J89" s="400"/>
      <c r="K89" s="400"/>
    </row>
    <row r="90" spans="1:27" ht="30" customHeight="1" x14ac:dyDescent="0.25">
      <c r="B90" s="186"/>
      <c r="C90" s="186"/>
      <c r="D90" s="212" t="str">
        <f t="shared" si="14"/>
        <v/>
      </c>
      <c r="E90" s="400"/>
      <c r="F90" s="400"/>
      <c r="G90" s="400"/>
      <c r="H90" s="400"/>
      <c r="I90" s="400"/>
      <c r="J90" s="400"/>
      <c r="K90" s="400"/>
    </row>
    <row r="91" spans="1:27" ht="30" customHeight="1" x14ac:dyDescent="0.25">
      <c r="B91" s="186"/>
      <c r="C91" s="186"/>
      <c r="D91" s="212" t="str">
        <f t="shared" si="14"/>
        <v/>
      </c>
      <c r="E91" s="400"/>
      <c r="F91" s="400"/>
      <c r="G91" s="400"/>
      <c r="H91" s="400"/>
      <c r="I91" s="400"/>
      <c r="J91" s="400"/>
      <c r="K91" s="400"/>
    </row>
    <row r="92" spans="1:27" ht="30" customHeight="1" x14ac:dyDescent="0.25">
      <c r="B92" s="186"/>
      <c r="C92" s="186"/>
      <c r="D92" s="212" t="str">
        <f t="shared" si="14"/>
        <v/>
      </c>
      <c r="E92" s="400"/>
      <c r="F92" s="400"/>
      <c r="G92" s="400"/>
      <c r="H92" s="400"/>
      <c r="I92" s="400"/>
      <c r="J92" s="400"/>
      <c r="K92" s="400"/>
    </row>
  </sheetData>
  <sheetProtection algorithmName="SHA-512" hashValue="lNnJGqL21z8r3G5bAKktQFWBd1L3sFA7eZxWs2D7IE0fl4ANDX43qwXp+JGPzrQf3EO9nHQF2c9bvKDAfEs7Iw==" saltValue="UpZodqOKpRT17MPy3+E+AA==" spinCount="100000" sheet="1" objects="1" scenarios="1" selectLockedCells="1"/>
  <sortState ref="B48:AA74">
    <sortCondition ref="U48:U74"/>
    <sortCondition ref="B48:B74"/>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X46:AA46"/>
    <mergeCell ref="E84:F84"/>
    <mergeCell ref="G84:K84"/>
    <mergeCell ref="E85:F85"/>
    <mergeCell ref="G85:K85"/>
    <mergeCell ref="E86:F86"/>
    <mergeCell ref="G86:K86"/>
  </mergeCells>
  <conditionalFormatting sqref="P2:P36">
    <cfRule type="containsText" dxfId="43" priority="1" operator="containsText" text="ANO">
      <formula>NOT(ISERROR(SEARCH("ANO",P2)))</formula>
    </cfRule>
    <cfRule type="containsText" dxfId="4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5"/>
  <dimension ref="A1:F41"/>
  <sheetViews>
    <sheetView workbookViewId="0">
      <selection activeCell="B31" sqref="B31"/>
    </sheetView>
  </sheetViews>
  <sheetFormatPr defaultRowHeight="15" x14ac:dyDescent="0.25"/>
  <cols>
    <col min="2" max="2" width="18.85546875" bestFit="1" customWidth="1"/>
  </cols>
  <sheetData>
    <row r="1" spans="1:6" x14ac:dyDescent="0.25">
      <c r="A1" s="401" t="s">
        <v>36</v>
      </c>
      <c r="B1" s="1" t="s">
        <v>1038</v>
      </c>
      <c r="C1" s="212">
        <v>31</v>
      </c>
      <c r="D1" s="403" t="str">
        <f t="shared" ref="D1:D30" si="0">IFERROR(RIGHT(B1,LEN(B1)-SEARCH(" ",B1)),"")</f>
        <v>Luděk Ondráček</v>
      </c>
      <c r="E1" s="403"/>
      <c r="F1" s="212"/>
    </row>
    <row r="2" spans="1:6" x14ac:dyDescent="0.25">
      <c r="A2" s="401"/>
      <c r="B2" s="1" t="s">
        <v>1039</v>
      </c>
      <c r="C2" s="212">
        <v>24</v>
      </c>
      <c r="D2" s="403" t="str">
        <f t="shared" si="0"/>
        <v>Jiří Juhaňák</v>
      </c>
      <c r="E2" s="403"/>
      <c r="F2" s="212"/>
    </row>
    <row r="3" spans="1:6" x14ac:dyDescent="0.25">
      <c r="A3" s="401"/>
      <c r="B3" s="1" t="s">
        <v>1040</v>
      </c>
      <c r="C3" s="212">
        <v>22</v>
      </c>
      <c r="D3" s="403" t="str">
        <f t="shared" si="0"/>
        <v>Tomáš Brom</v>
      </c>
      <c r="E3" s="403"/>
      <c r="F3" s="212"/>
    </row>
    <row r="4" spans="1:6" x14ac:dyDescent="0.25">
      <c r="A4" s="401"/>
      <c r="B4" s="1" t="s">
        <v>1041</v>
      </c>
      <c r="C4" s="212">
        <v>17</v>
      </c>
      <c r="D4" s="403" t="str">
        <f t="shared" si="0"/>
        <v>Martin Nagy</v>
      </c>
      <c r="E4" s="403"/>
      <c r="F4" s="212"/>
    </row>
    <row r="5" spans="1:6" x14ac:dyDescent="0.25">
      <c r="A5" s="401"/>
      <c r="B5" s="1" t="s">
        <v>1042</v>
      </c>
      <c r="C5" s="212">
        <v>11</v>
      </c>
      <c r="D5" s="403" t="str">
        <f t="shared" si="0"/>
        <v>René Slezák</v>
      </c>
      <c r="E5" s="403"/>
      <c r="F5" s="212"/>
    </row>
    <row r="6" spans="1:6" x14ac:dyDescent="0.25">
      <c r="A6" s="401" t="s">
        <v>241</v>
      </c>
      <c r="B6" s="1" t="s">
        <v>1043</v>
      </c>
      <c r="C6" s="212" t="s">
        <v>874</v>
      </c>
      <c r="D6" s="403" t="str">
        <f t="shared" si="0"/>
        <v>Filip Kuhn</v>
      </c>
      <c r="E6" s="403"/>
      <c r="F6" s="212">
        <f t="shared" ref="F6:F10" si="1">IF(B6&lt;&gt;0,_xlfn.NUMBERVALUE(C6,","),"")</f>
        <v>5.07</v>
      </c>
    </row>
    <row r="7" spans="1:6" x14ac:dyDescent="0.25">
      <c r="A7" s="401"/>
      <c r="B7" s="1" t="s">
        <v>1044</v>
      </c>
      <c r="C7" s="212" t="s">
        <v>1045</v>
      </c>
      <c r="D7" s="403" t="str">
        <f t="shared" si="0"/>
        <v>Ondřej Kolajta</v>
      </c>
      <c r="E7" s="403"/>
      <c r="F7" s="212">
        <f t="shared" si="1"/>
        <v>6.01</v>
      </c>
    </row>
    <row r="8" spans="1:6" x14ac:dyDescent="0.25">
      <c r="A8" s="401"/>
      <c r="B8" s="1" t="s">
        <v>1046</v>
      </c>
      <c r="C8" s="212" t="s">
        <v>1047</v>
      </c>
      <c r="D8" s="403" t="str">
        <f t="shared" si="0"/>
        <v>Filip Létal</v>
      </c>
      <c r="E8" s="403"/>
      <c r="F8" s="212">
        <f t="shared" si="1"/>
        <v>7.17</v>
      </c>
    </row>
    <row r="9" spans="1:6" x14ac:dyDescent="0.25">
      <c r="A9" s="401"/>
      <c r="B9" s="1"/>
      <c r="C9" s="212"/>
      <c r="D9" s="403" t="str">
        <f t="shared" si="0"/>
        <v/>
      </c>
      <c r="E9" s="403"/>
      <c r="F9" s="212" t="str">
        <f t="shared" si="1"/>
        <v/>
      </c>
    </row>
    <row r="10" spans="1:6" x14ac:dyDescent="0.25">
      <c r="A10" s="401"/>
      <c r="B10" s="1"/>
      <c r="C10" s="212"/>
      <c r="D10" s="403" t="str">
        <f t="shared" si="0"/>
        <v/>
      </c>
      <c r="E10" s="403"/>
      <c r="F10" s="212" t="str">
        <f t="shared" si="1"/>
        <v/>
      </c>
    </row>
    <row r="11" spans="1:6" x14ac:dyDescent="0.25">
      <c r="A11" s="401" t="s">
        <v>35</v>
      </c>
      <c r="B11" s="1" t="s">
        <v>1038</v>
      </c>
      <c r="C11" s="212">
        <v>18</v>
      </c>
      <c r="D11" s="403" t="str">
        <f t="shared" si="0"/>
        <v>Luděk Ondráček</v>
      </c>
      <c r="E11" s="403"/>
      <c r="F11" s="212"/>
    </row>
    <row r="12" spans="1:6" x14ac:dyDescent="0.25">
      <c r="A12" s="401"/>
      <c r="B12" s="1" t="s">
        <v>1048</v>
      </c>
      <c r="C12" s="212">
        <v>13</v>
      </c>
      <c r="D12" s="403" t="str">
        <f t="shared" si="0"/>
        <v>Tomáš Brom</v>
      </c>
      <c r="E12" s="403"/>
      <c r="F12" s="212"/>
    </row>
    <row r="13" spans="1:6" x14ac:dyDescent="0.25">
      <c r="A13" s="401"/>
      <c r="B13" s="1" t="s">
        <v>1049</v>
      </c>
      <c r="C13" s="212">
        <v>12</v>
      </c>
      <c r="D13" s="403" t="str">
        <f t="shared" si="0"/>
        <v>Martin Nagy</v>
      </c>
      <c r="E13" s="403"/>
      <c r="F13" s="212"/>
    </row>
    <row r="14" spans="1:6" x14ac:dyDescent="0.25">
      <c r="A14" s="401"/>
      <c r="B14" s="1" t="s">
        <v>1050</v>
      </c>
      <c r="C14" s="212">
        <v>8</v>
      </c>
      <c r="D14" s="403" t="str">
        <f t="shared" si="0"/>
        <v>René Slezák</v>
      </c>
      <c r="E14" s="403"/>
      <c r="F14" s="212"/>
    </row>
    <row r="15" spans="1:6" x14ac:dyDescent="0.25">
      <c r="A15" s="401"/>
      <c r="B15" s="1" t="s">
        <v>1051</v>
      </c>
      <c r="C15" s="212">
        <v>7</v>
      </c>
      <c r="D15" s="403" t="str">
        <f t="shared" si="0"/>
        <v>Adam Hemerka</v>
      </c>
      <c r="E15" s="403"/>
      <c r="F15" s="212"/>
    </row>
    <row r="16" spans="1:6" x14ac:dyDescent="0.25">
      <c r="A16" s="401" t="s">
        <v>230</v>
      </c>
      <c r="B16" s="1" t="s">
        <v>1043</v>
      </c>
      <c r="C16" s="212">
        <v>3</v>
      </c>
      <c r="D16" s="403" t="str">
        <f t="shared" si="0"/>
        <v>Filip Kuhn</v>
      </c>
      <c r="E16" s="403"/>
      <c r="F16" s="212">
        <f t="shared" ref="F16:F20" si="2">IF(B16&lt;&gt;0,_xlfn.NUMBERVALUE(C16,","),"")</f>
        <v>3</v>
      </c>
    </row>
    <row r="17" spans="1:6" x14ac:dyDescent="0.25">
      <c r="A17" s="401"/>
      <c r="B17" s="1" t="s">
        <v>1044</v>
      </c>
      <c r="C17" s="212">
        <v>1</v>
      </c>
      <c r="D17" s="403" t="str">
        <f t="shared" si="0"/>
        <v>Ondřej Kolajta</v>
      </c>
      <c r="E17" s="403"/>
      <c r="F17" s="212">
        <f t="shared" si="2"/>
        <v>1</v>
      </c>
    </row>
    <row r="18" spans="1:6" x14ac:dyDescent="0.25">
      <c r="A18" s="401"/>
      <c r="B18" s="1" t="s">
        <v>1046</v>
      </c>
      <c r="C18" s="212">
        <v>0</v>
      </c>
      <c r="D18" s="403" t="str">
        <f t="shared" si="0"/>
        <v>Filip Létal</v>
      </c>
      <c r="E18" s="403"/>
      <c r="F18" s="212">
        <f t="shared" si="2"/>
        <v>0</v>
      </c>
    </row>
    <row r="19" spans="1:6" x14ac:dyDescent="0.25">
      <c r="A19" s="401"/>
      <c r="B19" s="1"/>
      <c r="C19" s="212"/>
      <c r="D19" s="403" t="str">
        <f t="shared" si="0"/>
        <v/>
      </c>
      <c r="E19" s="403"/>
      <c r="F19" s="212" t="str">
        <f t="shared" si="2"/>
        <v/>
      </c>
    </row>
    <row r="20" spans="1:6" x14ac:dyDescent="0.25">
      <c r="A20" s="401"/>
      <c r="B20" s="1"/>
      <c r="C20" s="212"/>
      <c r="D20" s="403" t="str">
        <f t="shared" si="0"/>
        <v/>
      </c>
      <c r="E20" s="403"/>
      <c r="F20" s="212" t="str">
        <f t="shared" si="2"/>
        <v/>
      </c>
    </row>
    <row r="21" spans="1:6" x14ac:dyDescent="0.25">
      <c r="A21" s="401" t="s">
        <v>37</v>
      </c>
      <c r="B21" s="1" t="s">
        <v>1052</v>
      </c>
      <c r="C21" s="212">
        <v>19</v>
      </c>
      <c r="D21" s="403" t="str">
        <f t="shared" si="0"/>
        <v>Jiří Juhaňák</v>
      </c>
      <c r="E21" s="403"/>
      <c r="F21" s="212"/>
    </row>
    <row r="22" spans="1:6" x14ac:dyDescent="0.25">
      <c r="A22" s="401"/>
      <c r="B22" s="1" t="s">
        <v>1053</v>
      </c>
      <c r="C22" s="212">
        <v>13</v>
      </c>
      <c r="D22" s="403" t="str">
        <f t="shared" si="0"/>
        <v>Luděk Ondráček</v>
      </c>
      <c r="E22" s="403"/>
      <c r="F22" s="212"/>
    </row>
    <row r="23" spans="1:6" x14ac:dyDescent="0.25">
      <c r="A23" s="401"/>
      <c r="B23" s="1" t="s">
        <v>1040</v>
      </c>
      <c r="C23" s="212">
        <v>9</v>
      </c>
      <c r="D23" s="403" t="str">
        <f t="shared" si="0"/>
        <v>Tomáš Brom</v>
      </c>
      <c r="E23" s="403"/>
      <c r="F23" s="212"/>
    </row>
    <row r="24" spans="1:6" x14ac:dyDescent="0.25">
      <c r="A24" s="401"/>
      <c r="B24" s="1" t="s">
        <v>1054</v>
      </c>
      <c r="C24" s="212">
        <v>8</v>
      </c>
      <c r="D24" s="403" t="str">
        <f t="shared" si="0"/>
        <v>Matěj Kostka</v>
      </c>
      <c r="E24" s="403"/>
      <c r="F24" s="212"/>
    </row>
    <row r="25" spans="1:6" x14ac:dyDescent="0.25">
      <c r="A25" s="401"/>
      <c r="B25" s="1" t="s">
        <v>1055</v>
      </c>
      <c r="C25" s="212">
        <v>7</v>
      </c>
      <c r="D25" s="403" t="str">
        <f t="shared" si="0"/>
        <v>David Sládeček</v>
      </c>
      <c r="E25" s="403"/>
      <c r="F25" s="212"/>
    </row>
    <row r="26" spans="1:6" x14ac:dyDescent="0.25">
      <c r="A26" s="401" t="s">
        <v>38</v>
      </c>
      <c r="B26" s="1" t="s">
        <v>1043</v>
      </c>
      <c r="C26" s="212">
        <v>25</v>
      </c>
      <c r="D26" s="403" t="str">
        <f t="shared" si="0"/>
        <v>Filip Kuhn</v>
      </c>
      <c r="E26" s="403"/>
      <c r="F26" s="212"/>
    </row>
    <row r="27" spans="1:6" x14ac:dyDescent="0.25">
      <c r="A27" s="401"/>
      <c r="B27" s="1" t="s">
        <v>1056</v>
      </c>
      <c r="C27" s="212">
        <v>13</v>
      </c>
      <c r="D27" s="403" t="str">
        <f t="shared" si="0"/>
        <v>Dominik Dvořák</v>
      </c>
      <c r="E27" s="403"/>
      <c r="F27" s="212"/>
    </row>
    <row r="28" spans="1:6" x14ac:dyDescent="0.25">
      <c r="A28" s="401"/>
      <c r="B28" s="1" t="s">
        <v>1057</v>
      </c>
      <c r="C28" s="212">
        <v>12</v>
      </c>
      <c r="D28" s="403" t="str">
        <f t="shared" si="0"/>
        <v>David Sládeček</v>
      </c>
      <c r="E28" s="403"/>
      <c r="F28" s="212"/>
    </row>
    <row r="29" spans="1:6" x14ac:dyDescent="0.25">
      <c r="A29" s="401"/>
      <c r="B29" s="1" t="s">
        <v>1058</v>
      </c>
      <c r="C29" s="212">
        <v>10</v>
      </c>
      <c r="D29" s="403" t="str">
        <f t="shared" si="0"/>
        <v>Adam Hemerka</v>
      </c>
      <c r="E29" s="403"/>
      <c r="F29" s="212"/>
    </row>
    <row r="30" spans="1:6" x14ac:dyDescent="0.25">
      <c r="A30" s="401"/>
      <c r="B30" s="1" t="s">
        <v>1059</v>
      </c>
      <c r="C30" s="212">
        <v>10</v>
      </c>
      <c r="D30" s="403" t="str">
        <f t="shared" si="0"/>
        <v>Marek Fuchs</v>
      </c>
      <c r="E30" s="403"/>
      <c r="F30" s="212"/>
    </row>
    <row r="31" spans="1:6" x14ac:dyDescent="0.25">
      <c r="A31" s="401" t="s">
        <v>331</v>
      </c>
      <c r="B31" s="190" t="s">
        <v>959</v>
      </c>
      <c r="C31" s="190" t="s">
        <v>152</v>
      </c>
      <c r="D31" s="190" t="s">
        <v>793</v>
      </c>
      <c r="E31" s="178" t="str">
        <f>IFERROR(RIGHT(LEFT(D31,LEN(D31)-1),LEN(D31)-2),"")</f>
        <v>5:9</v>
      </c>
    </row>
    <row r="32" spans="1:6" x14ac:dyDescent="0.25">
      <c r="A32" s="401"/>
      <c r="B32" s="190" t="s">
        <v>617</v>
      </c>
      <c r="C32" s="190" t="s">
        <v>143</v>
      </c>
      <c r="D32" s="190" t="s">
        <v>1060</v>
      </c>
      <c r="E32" s="178" t="str">
        <f t="shared" ref="E32:E40" si="3">IFERROR(RIGHT(LEFT(D32,LEN(D32)-1),LEN(D32)-2),"")</f>
        <v>5:6</v>
      </c>
    </row>
    <row r="33" spans="1:5" x14ac:dyDescent="0.25">
      <c r="A33" s="401"/>
      <c r="B33" s="190" t="s">
        <v>895</v>
      </c>
      <c r="C33" s="190" t="s">
        <v>147</v>
      </c>
      <c r="D33" s="190" t="s">
        <v>894</v>
      </c>
      <c r="E33" s="178" t="str">
        <f t="shared" si="3"/>
        <v>5:6p</v>
      </c>
    </row>
    <row r="34" spans="1:5" x14ac:dyDescent="0.25">
      <c r="A34" s="401"/>
      <c r="B34" s="190" t="s">
        <v>474</v>
      </c>
      <c r="C34" s="190" t="s">
        <v>145</v>
      </c>
      <c r="D34" s="190" t="s">
        <v>1061</v>
      </c>
      <c r="E34" s="178" t="str">
        <f t="shared" si="3"/>
        <v>7:10</v>
      </c>
    </row>
    <row r="35" spans="1:5" x14ac:dyDescent="0.25">
      <c r="A35" s="401"/>
      <c r="B35" s="190" t="s">
        <v>354</v>
      </c>
      <c r="C35" s="190" t="s">
        <v>29</v>
      </c>
      <c r="D35" s="190" t="s">
        <v>1062</v>
      </c>
      <c r="E35" s="178" t="str">
        <f t="shared" si="3"/>
        <v>4:5p</v>
      </c>
    </row>
    <row r="36" spans="1:5" x14ac:dyDescent="0.25">
      <c r="A36" s="401" t="s">
        <v>332</v>
      </c>
      <c r="B36" s="190" t="s">
        <v>897</v>
      </c>
      <c r="C36" s="190" t="s">
        <v>29</v>
      </c>
      <c r="D36" s="190" t="s">
        <v>335</v>
      </c>
      <c r="E36" s="178" t="str">
        <f t="shared" si="3"/>
        <v>-:-</v>
      </c>
    </row>
    <row r="37" spans="1:5" x14ac:dyDescent="0.25">
      <c r="A37" s="401"/>
      <c r="B37" s="190" t="s">
        <v>898</v>
      </c>
      <c r="C37" s="190" t="s">
        <v>29</v>
      </c>
      <c r="D37" s="190" t="s">
        <v>335</v>
      </c>
      <c r="E37" s="178" t="str">
        <f t="shared" si="3"/>
        <v>-:-</v>
      </c>
    </row>
    <row r="38" spans="1:5" x14ac:dyDescent="0.25">
      <c r="A38" s="401"/>
      <c r="B38" s="190" t="s">
        <v>899</v>
      </c>
      <c r="C38" s="190" t="s">
        <v>29</v>
      </c>
      <c r="D38" s="190" t="s">
        <v>335</v>
      </c>
      <c r="E38" s="178" t="str">
        <f t="shared" si="3"/>
        <v>-:-</v>
      </c>
    </row>
    <row r="39" spans="1:5" x14ac:dyDescent="0.25">
      <c r="A39" s="401"/>
      <c r="B39" t="s">
        <v>900</v>
      </c>
      <c r="C39" s="190" t="s">
        <v>29</v>
      </c>
      <c r="D39" s="190" t="s">
        <v>335</v>
      </c>
      <c r="E39" s="178" t="str">
        <f t="shared" si="3"/>
        <v>-:-</v>
      </c>
    </row>
    <row r="40" spans="1:5" x14ac:dyDescent="0.25">
      <c r="A40" s="401"/>
      <c r="B40" s="190" t="s">
        <v>901</v>
      </c>
      <c r="C40" s="190" t="s">
        <v>29</v>
      </c>
      <c r="D40" s="190" t="s">
        <v>335</v>
      </c>
      <c r="E40" s="178" t="str">
        <f t="shared" si="3"/>
        <v>-:-</v>
      </c>
    </row>
    <row r="41" spans="1:5" x14ac:dyDescent="0.25">
      <c r="A41" s="213" t="s">
        <v>333</v>
      </c>
      <c r="B41" s="207" t="s">
        <v>1063</v>
      </c>
      <c r="C41" s="190"/>
      <c r="D41" s="190"/>
    </row>
  </sheetData>
  <sheetProtection algorithmName="SHA-512" hashValue="bpSlyHq0X7GTtmiXPA5o7cc9/p3pVUJeMpSr04XPgNUMq8TybJKmgQp+SuMb/a98FxAsgiBbXmLujtuAUuUq/w==" saltValue="t4/QtuCEkA5ViUD+WImMww=="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24</vt:i4>
      </vt:variant>
      <vt:variant>
        <vt:lpstr>Pojmenované oblasti</vt:lpstr>
      </vt:variant>
      <vt:variant>
        <vt:i4>46</vt:i4>
      </vt:variant>
    </vt:vector>
  </HeadingPairs>
  <TitlesOfParts>
    <vt:vector size="70"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CLP</vt:lpstr>
      <vt:lpstr>CLP_nej</vt:lpstr>
      <vt:lpstr>LIB</vt:lpstr>
      <vt:lpstr>LIB_nej</vt:lpstr>
      <vt:lpstr>HAT</vt:lpstr>
      <vt:lpstr>HAT_nej</vt:lpstr>
      <vt:lpstr>BOH_nej!BOH_bestof</vt:lpstr>
      <vt:lpstr>BOH!BOH_goalies</vt:lpstr>
      <vt:lpstr>BOH!BOH_players</vt:lpstr>
      <vt:lpstr>BOH_nej!BOH_zapasy</vt:lpstr>
      <vt:lpstr>CLP_nej!CLP_bestof_1</vt:lpstr>
      <vt:lpstr>CLP!CLP_goalies</vt:lpstr>
      <vt:lpstr>CLP!CLP_players</vt:lpstr>
      <vt:lpstr>CLP_nej!CLP_zapasy</vt:lpstr>
      <vt:lpstr>HAT_nej!HAT_bestof</vt:lpstr>
      <vt:lpstr>HAT!HAT_goalies</vt:lpstr>
      <vt:lpstr>HAT!HAT_players</vt:lpstr>
      <vt:lpstr>HAT_nej!HAT_zapasy</vt:lpstr>
      <vt:lpstr>CHO_nej!CHO_bestof</vt:lpstr>
      <vt:lpstr>CHO!CHO_goalies</vt:lpstr>
      <vt:lpstr>CHO_players</vt:lpstr>
      <vt:lpstr>CHO!CHO_players_1</vt:lpstr>
      <vt:lpstr>CHO_nej!CHO_zapasy</vt:lpstr>
      <vt:lpstr>LIB_nej!LIB_bestof</vt:lpstr>
      <vt:lpstr>LIB!LIB_goalies</vt:lpstr>
      <vt:lpstr>LIB!LIB_players</vt:lpstr>
      <vt:lpstr>LIB_nej!LIB_zapasy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vt:lpstr>
      <vt:lpstr>SPA!SPA_goalies</vt:lpstr>
      <vt:lpstr>SPA!SPA_players</vt:lpstr>
      <vt:lpstr>SPA_nej!SPA_zapasy</vt:lpstr>
      <vt:lpstr>Tabulka!tabulka</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2021-03-07T15:20:14Z</cp:lastPrinted>
  <dcterms:created xsi:type="dcterms:W3CDTF">2021-01-02T13:16:40Z</dcterms:created>
  <dcterms:modified xsi:type="dcterms:W3CDTF">2021-03-08T15:27:10Z</dcterms:modified>
</cp:coreProperties>
</file>