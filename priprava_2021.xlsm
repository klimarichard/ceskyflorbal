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DldVIH/uTA5LEQtqylTgZtO4ccr9yIS1mkgyY+4incfi+1LfazRvtc2LV+LBAAR9hmW5MsWHtpfvt8wVQEye0g==" workbookSaltValue="SEdSQd8FA1jmQRoPZ0qqf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LP_bestof_1" localSheetId="20">CLP_nej!$B$1:$C$30</definedName>
    <definedName name="CLP_goalies" localSheetId="19">CLP!$A$39:$O$41</definedName>
    <definedName name="CLP_players" localSheetId="19">CLP!$A$2:$N$36</definedName>
    <definedName name="CLP_zapasy" localSheetId="20">CLP_nej!$B$31:$D$41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LIB_bestof" localSheetId="22">LIB_nej!$B$1:$C$30</definedName>
    <definedName name="LIB_goalies" localSheetId="21">LIB!$A$39:$O$41</definedName>
    <definedName name="LIB_players" localSheetId="21">LIB!$A$2:$N$28</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OTR!$A$2:$N$35</definedName>
    <definedName name="OTR_zapasy" localSheetId="14">OTR_nej!$B$31:$D$41</definedName>
    <definedName name="SKV_bestof" localSheetId="4">SKV_nej!$B$1:$C$30</definedName>
    <definedName name="SKV_goalies_1" localSheetId="3">SKV!$A$39:$O$42</definedName>
    <definedName name="SKV_players" localSheetId="3">SKV!$A$2:$N$30</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VIT!$A$2:$N$27</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Q50" i="1" l="1"/>
  <c r="FP50" i="1"/>
  <c r="FT49" i="1"/>
  <c r="FQ48" i="1"/>
  <c r="FP48" i="1"/>
  <c r="FH48" i="1"/>
  <c r="FG48" i="1"/>
  <c r="FT47" i="1"/>
  <c r="FK47" i="1"/>
  <c r="FW44" i="1"/>
  <c r="FT44" i="1"/>
  <c r="FQ44" i="1"/>
  <c r="FP44" i="1"/>
  <c r="FL44" i="1"/>
  <c r="FJ44" i="1"/>
  <c r="FG44" i="1"/>
  <c r="FV43" i="1"/>
  <c r="FT43" i="1"/>
  <c r="FS43" i="1"/>
  <c r="FQ43" i="1"/>
  <c r="FP43" i="1"/>
  <c r="FK43" i="1"/>
  <c r="FI43" i="1"/>
  <c r="FG43" i="1"/>
  <c r="FX42" i="1"/>
  <c r="FW42" i="1"/>
  <c r="FL42" i="1"/>
  <c r="FJ42" i="1"/>
  <c r="FH42" i="1"/>
  <c r="FG42" i="1"/>
  <c r="FK41" i="1"/>
  <c r="FJ41" i="1"/>
  <c r="FH41" i="1"/>
  <c r="FG41" i="1"/>
  <c r="FW40" i="1"/>
  <c r="FT40" i="1"/>
  <c r="FQ40" i="1"/>
  <c r="FP40" i="1"/>
  <c r="FL40" i="1"/>
  <c r="FK40" i="1"/>
  <c r="FV39" i="1"/>
  <c r="FT39" i="1"/>
  <c r="FS39" i="1"/>
  <c r="FQ39" i="1"/>
  <c r="FP39" i="1"/>
  <c r="FX38" i="1"/>
  <c r="FW38" i="1"/>
  <c r="FL38" i="1"/>
  <c r="FJ38" i="1"/>
  <c r="FG38" i="1"/>
  <c r="FK37" i="1"/>
  <c r="FI37" i="1"/>
  <c r="FG37" i="1"/>
  <c r="FW36" i="1"/>
  <c r="FT36" i="1"/>
  <c r="FQ36" i="1"/>
  <c r="FP36" i="1"/>
  <c r="FL36" i="1"/>
  <c r="FJ36" i="1"/>
  <c r="FH36" i="1"/>
  <c r="FG36" i="1"/>
  <c r="FV35" i="1"/>
  <c r="FT35" i="1"/>
  <c r="FS35" i="1"/>
  <c r="FQ35" i="1"/>
  <c r="FP35" i="1"/>
  <c r="FK35" i="1"/>
  <c r="FJ35" i="1"/>
  <c r="FH35" i="1"/>
  <c r="FG35" i="1"/>
  <c r="FX34" i="1"/>
  <c r="FW34" i="1"/>
  <c r="FL34" i="1"/>
  <c r="FK34" i="1"/>
  <c r="FX31" i="1"/>
  <c r="FV31" i="1"/>
  <c r="FS31" i="1"/>
  <c r="FL31" i="1"/>
  <c r="FJ31" i="1"/>
  <c r="FG31" i="1"/>
  <c r="FV30" i="1"/>
  <c r="FS30" i="1"/>
  <c r="FJ30" i="1"/>
  <c r="FG30" i="1"/>
  <c r="FW29" i="1"/>
  <c r="FV29" i="1"/>
  <c r="FT29" i="1"/>
  <c r="FS29" i="1"/>
  <c r="FK29" i="1"/>
  <c r="FJ29" i="1"/>
  <c r="FH29" i="1"/>
  <c r="FG29" i="1"/>
  <c r="FX28" i="1"/>
  <c r="FW28" i="1"/>
  <c r="FR28" i="1"/>
  <c r="FP28" i="1"/>
  <c r="FM28" i="1"/>
  <c r="FL28" i="1"/>
  <c r="FK28" i="1"/>
  <c r="FP27" i="1"/>
  <c r="FM27" i="1"/>
  <c r="FX26" i="1"/>
  <c r="FV26" i="1"/>
  <c r="FS26" i="1"/>
  <c r="FQ26" i="1"/>
  <c r="FP26" i="1"/>
  <c r="FN26" i="1"/>
  <c r="FM26" i="1"/>
  <c r="FL26" i="1"/>
  <c r="FJ26" i="1"/>
  <c r="FG26" i="1"/>
  <c r="FV25" i="1"/>
  <c r="FS25" i="1"/>
  <c r="FR25" i="1"/>
  <c r="FQ25" i="1"/>
  <c r="FJ25" i="1"/>
  <c r="FG25" i="1"/>
  <c r="FW24" i="1"/>
  <c r="FV24" i="1"/>
  <c r="FT24" i="1"/>
  <c r="FS24" i="1"/>
  <c r="FK24" i="1"/>
  <c r="FJ24" i="1"/>
  <c r="FH24" i="1"/>
  <c r="FG24" i="1"/>
  <c r="FX23" i="1"/>
  <c r="FW23" i="1"/>
  <c r="FL23" i="1"/>
  <c r="FK23" i="1"/>
  <c r="FX20" i="1"/>
  <c r="FV20" i="1"/>
  <c r="FS20" i="1"/>
  <c r="FL20" i="1"/>
  <c r="FJ20" i="1"/>
  <c r="FG20" i="1"/>
  <c r="FV19" i="1"/>
  <c r="FS19" i="1"/>
  <c r="FJ19" i="1"/>
  <c r="FG19" i="1"/>
  <c r="FW18" i="1"/>
  <c r="FV18" i="1"/>
  <c r="FT18" i="1"/>
  <c r="FS18" i="1"/>
  <c r="FK18" i="1"/>
  <c r="FJ18" i="1"/>
  <c r="FH18" i="1"/>
  <c r="FG18" i="1"/>
  <c r="FX17" i="1"/>
  <c r="FW17" i="1"/>
  <c r="FR17" i="1"/>
  <c r="FP17" i="1"/>
  <c r="FM17" i="1"/>
  <c r="FL17" i="1"/>
  <c r="FK17" i="1"/>
  <c r="FP16" i="1"/>
  <c r="FM16" i="1"/>
  <c r="FX15" i="1"/>
  <c r="FV15" i="1"/>
  <c r="FS15" i="1"/>
  <c r="FQ15" i="1"/>
  <c r="FP15" i="1"/>
  <c r="FN15" i="1"/>
  <c r="FM15" i="1"/>
  <c r="FL15" i="1"/>
  <c r="FJ15" i="1"/>
  <c r="FG15" i="1"/>
  <c r="FV14" i="1"/>
  <c r="FS14" i="1"/>
  <c r="FR14" i="1"/>
  <c r="FQ14" i="1"/>
  <c r="FJ14" i="1"/>
  <c r="FG14" i="1"/>
  <c r="FW13" i="1"/>
  <c r="FV13" i="1"/>
  <c r="FT13" i="1"/>
  <c r="FS13" i="1"/>
  <c r="FK13" i="1"/>
  <c r="FJ13" i="1"/>
  <c r="FH13" i="1"/>
  <c r="FG13" i="1"/>
  <c r="FX12" i="1"/>
  <c r="FW12" i="1"/>
  <c r="FL12" i="1"/>
  <c r="FK12" i="1"/>
  <c r="FX9" i="1"/>
  <c r="FV9" i="1"/>
  <c r="FS9" i="1"/>
  <c r="FL9" i="1"/>
  <c r="FJ9" i="1"/>
  <c r="FG9" i="1"/>
  <c r="FV8" i="1"/>
  <c r="FS8" i="1"/>
  <c r="FJ8" i="1"/>
  <c r="FG8" i="1"/>
  <c r="FW7" i="1"/>
  <c r="FV7" i="1"/>
  <c r="FT7" i="1"/>
  <c r="FS7" i="1"/>
  <c r="FK7" i="1"/>
  <c r="FJ7" i="1"/>
  <c r="FH7" i="1"/>
  <c r="FG7" i="1"/>
  <c r="FX6" i="1"/>
  <c r="FW6" i="1"/>
  <c r="FR6" i="1"/>
  <c r="FP6" i="1"/>
  <c r="FM6" i="1"/>
  <c r="FL6" i="1"/>
  <c r="FK6" i="1"/>
  <c r="FP5" i="1"/>
  <c r="FM5" i="1"/>
  <c r="FX4" i="1"/>
  <c r="FV4" i="1"/>
  <c r="FS4" i="1"/>
  <c r="FQ4" i="1"/>
  <c r="FP4" i="1"/>
  <c r="FN4" i="1"/>
  <c r="FM4" i="1"/>
  <c r="FL4" i="1"/>
  <c r="FJ4" i="1"/>
  <c r="FG4" i="1"/>
  <c r="FV3" i="1"/>
  <c r="FS3" i="1"/>
  <c r="FR3" i="1"/>
  <c r="FQ3" i="1"/>
  <c r="FJ3" i="1"/>
  <c r="FG3" i="1"/>
  <c r="FW2" i="1"/>
  <c r="FV2" i="1"/>
  <c r="FT2" i="1"/>
  <c r="FS2" i="1"/>
  <c r="FK2" i="1"/>
  <c r="FJ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P66" i="1" l="1"/>
  <c r="P65" i="1"/>
  <c r="P64" i="1"/>
  <c r="P63" i="1"/>
  <c r="P62" i="1"/>
  <c r="N66" i="1"/>
  <c r="N65" i="1"/>
  <c r="N64" i="1"/>
  <c r="N63" i="1"/>
  <c r="N62"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P42" i="25"/>
  <c r="P43" i="25"/>
  <c r="P44" i="25"/>
  <c r="P45" i="25"/>
  <c r="P39" i="25"/>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75" i="25"/>
  <c r="U75" i="25"/>
  <c r="S75" i="25"/>
  <c r="P75" i="25"/>
  <c r="H75" i="25"/>
  <c r="O75" i="25" s="1"/>
  <c r="D75" i="25"/>
  <c r="W66" i="25"/>
  <c r="U66" i="25"/>
  <c r="S66" i="25"/>
  <c r="P66" i="25"/>
  <c r="H66" i="25"/>
  <c r="O66" i="25" s="1"/>
  <c r="W67" i="25"/>
  <c r="U67" i="25"/>
  <c r="S67" i="25"/>
  <c r="P67" i="25"/>
  <c r="H67" i="25"/>
  <c r="O67" i="25" s="1"/>
  <c r="W65" i="25"/>
  <c r="U65" i="25"/>
  <c r="S65" i="25"/>
  <c r="P65" i="25"/>
  <c r="H65" i="25"/>
  <c r="O65" i="25" s="1"/>
  <c r="W55" i="25"/>
  <c r="U55" i="25"/>
  <c r="S55" i="25"/>
  <c r="P55" i="25"/>
  <c r="H55" i="25"/>
  <c r="O55" i="25" s="1"/>
  <c r="D55" i="25"/>
  <c r="W63" i="25"/>
  <c r="U63" i="25"/>
  <c r="S63" i="25"/>
  <c r="P63" i="25"/>
  <c r="H63" i="25"/>
  <c r="O63" i="25" s="1"/>
  <c r="W52" i="25"/>
  <c r="U52" i="25"/>
  <c r="S52" i="25"/>
  <c r="P52" i="25"/>
  <c r="H52" i="25"/>
  <c r="O52" i="25" s="1"/>
  <c r="W69" i="25"/>
  <c r="U69" i="25"/>
  <c r="S69" i="25"/>
  <c r="P69" i="25"/>
  <c r="H69" i="25"/>
  <c r="O69" i="25" s="1"/>
  <c r="W50" i="25"/>
  <c r="U50" i="25"/>
  <c r="S50" i="25"/>
  <c r="P50" i="25"/>
  <c r="H50" i="25"/>
  <c r="O50" i="25" s="1"/>
  <c r="W58" i="25"/>
  <c r="U58" i="25"/>
  <c r="S58" i="25"/>
  <c r="P58" i="25"/>
  <c r="O58" i="25"/>
  <c r="H58" i="25"/>
  <c r="W57" i="25"/>
  <c r="U57" i="25"/>
  <c r="S57" i="25"/>
  <c r="P57" i="25"/>
  <c r="H57" i="25"/>
  <c r="O57" i="25" s="1"/>
  <c r="W51" i="25"/>
  <c r="U51" i="25"/>
  <c r="S51" i="25"/>
  <c r="P51" i="25"/>
  <c r="H51" i="25"/>
  <c r="O51" i="25" s="1"/>
  <c r="W62" i="25"/>
  <c r="U62" i="25"/>
  <c r="S62" i="25"/>
  <c r="P62" i="25"/>
  <c r="H62" i="25"/>
  <c r="O62" i="25" s="1"/>
  <c r="W64" i="25"/>
  <c r="U64" i="25"/>
  <c r="S64" i="25"/>
  <c r="P64" i="25"/>
  <c r="O64" i="25"/>
  <c r="H64" i="25"/>
  <c r="W59" i="25"/>
  <c r="U59" i="25"/>
  <c r="S59" i="25"/>
  <c r="P59" i="25"/>
  <c r="O59" i="25"/>
  <c r="H59" i="25"/>
  <c r="W48" i="25"/>
  <c r="U48" i="25"/>
  <c r="S48" i="25"/>
  <c r="P48" i="25"/>
  <c r="H48" i="25"/>
  <c r="O48" i="25" s="1"/>
  <c r="W49" i="25"/>
  <c r="U49" i="25"/>
  <c r="S49" i="25"/>
  <c r="P49" i="25"/>
  <c r="H49" i="25"/>
  <c r="O49" i="25" s="1"/>
  <c r="W72" i="25"/>
  <c r="U72" i="25"/>
  <c r="S72" i="25"/>
  <c r="P72" i="25"/>
  <c r="O72" i="25"/>
  <c r="H72" i="25"/>
  <c r="W68" i="25"/>
  <c r="U68" i="25"/>
  <c r="S68" i="25"/>
  <c r="P68" i="25"/>
  <c r="H68" i="25"/>
  <c r="O68" i="25" s="1"/>
  <c r="W70" i="25"/>
  <c r="U70" i="25"/>
  <c r="S70" i="25"/>
  <c r="P70" i="25"/>
  <c r="H70" i="25"/>
  <c r="O70" i="25" s="1"/>
  <c r="W60" i="25"/>
  <c r="U60" i="25"/>
  <c r="S60" i="25"/>
  <c r="P60" i="25"/>
  <c r="H60" i="25"/>
  <c r="O60" i="25" s="1"/>
  <c r="W71" i="25"/>
  <c r="U71" i="25"/>
  <c r="S71" i="25"/>
  <c r="P71" i="25"/>
  <c r="H71" i="25"/>
  <c r="O71" i="25" s="1"/>
  <c r="W54" i="25"/>
  <c r="U54" i="25"/>
  <c r="S54" i="25"/>
  <c r="P54" i="25"/>
  <c r="H54" i="25"/>
  <c r="O54" i="25" s="1"/>
  <c r="W74" i="25"/>
  <c r="U74" i="25"/>
  <c r="S74" i="25"/>
  <c r="P74" i="25"/>
  <c r="H74" i="25"/>
  <c r="O74" i="25" s="1"/>
  <c r="W61" i="25"/>
  <c r="U61" i="25"/>
  <c r="S61" i="25"/>
  <c r="P61" i="25"/>
  <c r="H61" i="25"/>
  <c r="O61" i="25" s="1"/>
  <c r="W53" i="25"/>
  <c r="U53" i="25"/>
  <c r="S53" i="25"/>
  <c r="P53" i="25"/>
  <c r="H53" i="25"/>
  <c r="O53" i="25" s="1"/>
  <c r="W56" i="25"/>
  <c r="U56" i="25"/>
  <c r="S56" i="25"/>
  <c r="P56" i="25"/>
  <c r="H56" i="25"/>
  <c r="O56" i="25" s="1"/>
  <c r="W73" i="25"/>
  <c r="U73" i="25"/>
  <c r="S73" i="25"/>
  <c r="P73" i="25"/>
  <c r="H73" i="25"/>
  <c r="O73" i="25" s="1"/>
  <c r="A47" i="25"/>
  <c r="D50" i="25" s="1"/>
  <c r="R45" i="25"/>
  <c r="Q45" i="25"/>
  <c r="R44" i="25"/>
  <c r="Q44" i="25"/>
  <c r="R43" i="25"/>
  <c r="Q43" i="25"/>
  <c r="R42" i="25"/>
  <c r="Q42" i="25"/>
  <c r="R41" i="25"/>
  <c r="Q41" i="25"/>
  <c r="R40" i="25"/>
  <c r="Q40" i="25"/>
  <c r="R39" i="25"/>
  <c r="Q39" i="25"/>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P21" i="25"/>
  <c r="O21" i="25"/>
  <c r="P20" i="25"/>
  <c r="O20" i="25"/>
  <c r="P19" i="25"/>
  <c r="O19" i="25"/>
  <c r="P18" i="25"/>
  <c r="O18" i="25"/>
  <c r="P17" i="25"/>
  <c r="O17" i="25"/>
  <c r="P16" i="25"/>
  <c r="O16" i="25"/>
  <c r="P15" i="25"/>
  <c r="O15" i="25"/>
  <c r="P14" i="25"/>
  <c r="O14" i="25"/>
  <c r="P13" i="25"/>
  <c r="O13" i="25"/>
  <c r="P12" i="25"/>
  <c r="O12" i="25"/>
  <c r="P11" i="25"/>
  <c r="O11" i="25"/>
  <c r="P10" i="25"/>
  <c r="O10" i="25"/>
  <c r="P9" i="25"/>
  <c r="O9" i="25"/>
  <c r="P8" i="25"/>
  <c r="O8" i="25"/>
  <c r="P7" i="25"/>
  <c r="O7" i="25"/>
  <c r="P6" i="25"/>
  <c r="O6" i="25"/>
  <c r="P5" i="25"/>
  <c r="O5" i="25"/>
  <c r="P4" i="25"/>
  <c r="O4" i="25"/>
  <c r="P3" i="25"/>
  <c r="O3" i="25"/>
  <c r="P2" i="25"/>
  <c r="O2" i="25"/>
  <c r="V56" i="25" l="1"/>
  <c r="T56" i="25" s="1"/>
  <c r="D86" i="25"/>
  <c r="D85" i="25"/>
  <c r="D87" i="25"/>
  <c r="D88" i="25"/>
  <c r="D72" i="25"/>
  <c r="D71" i="25"/>
  <c r="D67" i="25"/>
  <c r="D52" i="25"/>
  <c r="D70" i="25"/>
  <c r="D58" i="25"/>
  <c r="D61" i="25"/>
  <c r="D48" i="25"/>
  <c r="D60" i="25"/>
  <c r="D57" i="25"/>
  <c r="D63" i="25"/>
  <c r="D66" i="25"/>
  <c r="D53" i="25"/>
  <c r="D49" i="25"/>
  <c r="D51" i="25"/>
  <c r="D56" i="25"/>
  <c r="D62" i="25"/>
  <c r="D69" i="25"/>
  <c r="D73" i="25"/>
  <c r="D54" i="25"/>
  <c r="D68" i="25"/>
  <c r="D64" i="25"/>
  <c r="D65" i="25"/>
  <c r="D74" i="25"/>
  <c r="D59" i="25"/>
  <c r="V54" i="25"/>
  <c r="T54" i="25" s="1"/>
  <c r="V58" i="25"/>
  <c r="T58" i="25" s="1"/>
  <c r="V78" i="25"/>
  <c r="T78" i="25" s="1"/>
  <c r="V72" i="25"/>
  <c r="T72" i="25" s="1"/>
  <c r="V63" i="25"/>
  <c r="T63" i="25" s="1"/>
  <c r="V74" i="25"/>
  <c r="T74" i="25" s="1"/>
  <c r="V48" i="25"/>
  <c r="T48" i="25" s="1"/>
  <c r="V82" i="25"/>
  <c r="T82" i="25" s="1"/>
  <c r="V76" i="25"/>
  <c r="T76" i="25" s="1"/>
  <c r="V64" i="25"/>
  <c r="T64" i="25" s="1"/>
  <c r="V66" i="25"/>
  <c r="T66" i="25" s="1"/>
  <c r="V59" i="25"/>
  <c r="T59" i="25" s="1"/>
  <c r="V71" i="25"/>
  <c r="T71" i="25" s="1"/>
  <c r="V52" i="25"/>
  <c r="T52" i="25" s="1"/>
  <c r="V77" i="25"/>
  <c r="T77" i="25" s="1"/>
  <c r="V60" i="25"/>
  <c r="T60" i="25" s="1"/>
  <c r="V62" i="25"/>
  <c r="T62" i="25" s="1"/>
  <c r="V55" i="25"/>
  <c r="T55" i="25" s="1"/>
  <c r="V79" i="25"/>
  <c r="T79" i="25" s="1"/>
  <c r="V73" i="25"/>
  <c r="T73" i="25" s="1"/>
  <c r="V70" i="25"/>
  <c r="T70" i="25" s="1"/>
  <c r="V51" i="25"/>
  <c r="T51" i="25" s="1"/>
  <c r="V65" i="25"/>
  <c r="T65" i="25" s="1"/>
  <c r="V80" i="25"/>
  <c r="T80" i="25" s="1"/>
  <c r="V68" i="25"/>
  <c r="T68" i="25" s="1"/>
  <c r="V57" i="25"/>
  <c r="T57" i="25" s="1"/>
  <c r="V67" i="25"/>
  <c r="T67" i="25" s="1"/>
  <c r="V81" i="25"/>
  <c r="T81" i="25" s="1"/>
  <c r="V53" i="25"/>
  <c r="T53" i="25" s="1"/>
  <c r="V61" i="25"/>
  <c r="T61" i="25" s="1"/>
  <c r="V49" i="25"/>
  <c r="T49" i="25" s="1"/>
  <c r="V50" i="25"/>
  <c r="T50" i="25" s="1"/>
  <c r="V75" i="25"/>
  <c r="T75" i="25" s="1"/>
  <c r="V69" i="25"/>
  <c r="T69"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V79" i="23" l="1"/>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G63" i="1"/>
  <c r="E63" i="1"/>
  <c r="E66" i="1"/>
  <c r="G66" i="1"/>
  <c r="G64" i="1"/>
  <c r="G62" i="1"/>
  <c r="E65" i="1"/>
  <c r="E62" i="1"/>
  <c r="G65" i="1"/>
  <c r="E64"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R43" i="1"/>
  <c r="DO43" i="1"/>
  <c r="DN43" i="1"/>
  <c r="DE43" i="1"/>
  <c r="DV42" i="1"/>
  <c r="DU42" i="1"/>
  <c r="DH42" i="1"/>
  <c r="DE42" i="1"/>
  <c r="DI41" i="1"/>
  <c r="DF41" i="1"/>
  <c r="DE41" i="1"/>
  <c r="DU40" i="1"/>
  <c r="DR40" i="1"/>
  <c r="DN40" i="1"/>
  <c r="DJ40" i="1"/>
  <c r="DI40" i="1"/>
  <c r="DR39" i="1"/>
  <c r="DO39" i="1"/>
  <c r="DN39" i="1"/>
  <c r="DV38" i="1"/>
  <c r="DU38" i="1"/>
  <c r="DJ38" i="1"/>
  <c r="DH38" i="1"/>
  <c r="DE38" i="1"/>
  <c r="DE37" i="1"/>
  <c r="DU36" i="1"/>
  <c r="DR36" i="1"/>
  <c r="DN36" i="1"/>
  <c r="DH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U7" i="1"/>
  <c r="DR7" i="1"/>
  <c r="DQ7" i="1"/>
  <c r="DI7" i="1"/>
  <c r="DF7" i="1"/>
  <c r="DE7" i="1"/>
  <c r="DV6" i="1"/>
  <c r="DU6" i="1"/>
  <c r="DP6" i="1"/>
  <c r="DN6" i="1"/>
  <c r="DK6" i="1"/>
  <c r="DJ6" i="1"/>
  <c r="DI6" i="1"/>
  <c r="DV4" i="1"/>
  <c r="DT4" i="1"/>
  <c r="DQ4" i="1"/>
  <c r="DO4" i="1"/>
  <c r="DL4" i="1"/>
  <c r="DK4" i="1"/>
  <c r="DJ4" i="1"/>
  <c r="DH4" i="1"/>
  <c r="DE4"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DI37" i="1" s="1"/>
  <c r="P65" i="19"/>
  <c r="H65" i="19"/>
  <c r="O65" i="19" s="1"/>
  <c r="W56" i="19"/>
  <c r="U56" i="19"/>
  <c r="S56" i="19"/>
  <c r="DI43" i="1" s="1"/>
  <c r="P56" i="19"/>
  <c r="H56" i="19"/>
  <c r="O56" i="19" s="1"/>
  <c r="W63" i="19"/>
  <c r="U63" i="19"/>
  <c r="S63" i="19"/>
  <c r="P63" i="19"/>
  <c r="H63" i="19"/>
  <c r="O63" i="19" s="1"/>
  <c r="DO40" i="1"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DO44" i="1"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DH8" i="1"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DT3" i="1" s="1"/>
  <c r="W54" i="19"/>
  <c r="U54" i="19"/>
  <c r="S54" i="19"/>
  <c r="P54" i="19"/>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DT39" i="1" s="1"/>
  <c r="O27" i="19"/>
  <c r="O26" i="19"/>
  <c r="O25" i="19"/>
  <c r="O24" i="19"/>
  <c r="O23" i="19"/>
  <c r="O22" i="19"/>
  <c r="O21" i="19"/>
  <c r="O20" i="19"/>
  <c r="O19" i="19"/>
  <c r="O18" i="19"/>
  <c r="O17" i="19"/>
  <c r="DQ30" i="1" s="1"/>
  <c r="O16" i="19"/>
  <c r="O15" i="19"/>
  <c r="O14" i="19"/>
  <c r="O13" i="19"/>
  <c r="O12" i="19"/>
  <c r="O11" i="19"/>
  <c r="O10" i="19"/>
  <c r="O9" i="19"/>
  <c r="O8" i="19"/>
  <c r="O7" i="19"/>
  <c r="DE3" i="1" s="1"/>
  <c r="O6" i="19"/>
  <c r="O5" i="19"/>
  <c r="O4" i="19"/>
  <c r="O3" i="19"/>
  <c r="O2" i="19"/>
  <c r="DK5" i="1" s="1"/>
  <c r="Z30" i="1"/>
  <c r="Z19" i="1"/>
  <c r="DE8" i="1" l="1"/>
  <c r="DT35" i="1"/>
  <c r="DE14" i="1"/>
  <c r="DE30" i="1"/>
  <c r="DQ25" i="1"/>
  <c r="DQ8" i="1"/>
  <c r="DQ14" i="1"/>
  <c r="DQ3" i="1"/>
  <c r="DQ19" i="1"/>
  <c r="DT43" i="1"/>
  <c r="DE25" i="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B7" i="18"/>
  <c r="G9" i="18"/>
  <c r="E4" i="18"/>
  <c r="K9" i="18"/>
  <c r="C3" i="18"/>
  <c r="M8" i="18"/>
  <c r="F6" i="18"/>
  <c r="L9" i="18"/>
  <c r="D8" i="18"/>
  <c r="G4" i="18"/>
  <c r="L4" i="18"/>
  <c r="N9" i="18"/>
  <c r="F5" i="18"/>
  <c r="O6" i="18"/>
  <c r="I7" i="18"/>
  <c r="H6" i="18"/>
  <c r="H2" i="18"/>
  <c r="G5" i="18"/>
  <c r="K2" i="18"/>
  <c r="L6" i="18"/>
  <c r="F9" i="18"/>
  <c r="E5" i="18"/>
  <c r="M2" i="18"/>
  <c r="C6" i="18"/>
  <c r="G3" i="18"/>
  <c r="D6" i="18"/>
  <c r="B9" i="18"/>
  <c r="D7" i="18"/>
  <c r="H4" i="18"/>
  <c r="I8" i="18"/>
  <c r="K6" i="18"/>
  <c r="C5" i="18"/>
  <c r="F4" i="18"/>
  <c r="G6" i="18"/>
  <c r="B2" i="18"/>
  <c r="D2" i="18"/>
  <c r="I6" i="18"/>
  <c r="C9" i="18"/>
  <c r="L5" i="18"/>
  <c r="C4" i="18"/>
  <c r="G7" i="18"/>
  <c r="D9" i="18"/>
  <c r="E8" i="18"/>
  <c r="E3" i="18"/>
  <c r="B3" i="18"/>
  <c r="E7" i="18"/>
  <c r="M4" i="18"/>
  <c r="J9" i="18"/>
  <c r="K8" i="18"/>
  <c r="I5" i="18"/>
  <c r="D4" i="18"/>
  <c r="M7" i="18"/>
  <c r="O9" i="18"/>
  <c r="I9" i="18"/>
  <c r="K3" i="18"/>
  <c r="K4" i="18"/>
  <c r="H9" i="18"/>
  <c r="B6" i="18"/>
  <c r="G2" i="18"/>
  <c r="O5" i="18"/>
  <c r="E9" i="18"/>
  <c r="B5" i="18"/>
  <c r="B4" i="18"/>
  <c r="D3" i="18"/>
  <c r="C7" i="18"/>
  <c r="G8" i="18"/>
  <c r="J5" i="18"/>
  <c r="C2" i="18"/>
  <c r="F2" i="18"/>
  <c r="N4" i="18"/>
  <c r="D5" i="18"/>
  <c r="K7" i="18"/>
  <c r="K5" i="18"/>
  <c r="M6" i="18"/>
  <c r="I3" i="18"/>
  <c r="B8" i="18"/>
  <c r="J2" i="18"/>
  <c r="J4" i="18"/>
  <c r="M5" i="18"/>
  <c r="C8" i="18"/>
  <c r="H5" i="18"/>
  <c r="E6" i="18"/>
  <c r="E2" i="18"/>
  <c r="I2" i="18"/>
  <c r="N6" i="18"/>
  <c r="L2" i="18"/>
  <c r="O4" i="18"/>
  <c r="N2" i="18"/>
  <c r="J6" i="18"/>
  <c r="I4" i="18"/>
  <c r="M3" i="18"/>
  <c r="O2" i="18"/>
  <c r="N5" i="18"/>
  <c r="M9"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H3" i="18"/>
  <c r="O3" i="18"/>
  <c r="L3" i="18"/>
  <c r="J3" i="18"/>
  <c r="N3" i="18"/>
  <c r="F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N86" i="1"/>
  <c r="J7" i="18"/>
  <c r="J8"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J74" i="1"/>
  <c r="P78" i="1"/>
  <c r="N8" i="18"/>
  <c r="M73" i="1"/>
  <c r="J71" i="1"/>
  <c r="P82" i="1"/>
  <c r="J65" i="1"/>
  <c r="N7" i="18"/>
  <c r="M82" i="1"/>
  <c r="J73" i="1"/>
  <c r="J72" i="1"/>
  <c r="P74" i="1"/>
  <c r="M78" i="1"/>
  <c r="J64" i="1"/>
  <c r="P80" i="1"/>
  <c r="J80" i="1"/>
  <c r="A66" i="1"/>
  <c r="L66" i="1"/>
  <c r="A63" i="1"/>
  <c r="M72" i="1"/>
  <c r="J75" i="1"/>
  <c r="A64" i="1"/>
  <c r="L62" i="1"/>
  <c r="P71" i="1"/>
  <c r="P81" i="1"/>
  <c r="J78" i="1"/>
  <c r="P79" i="1"/>
  <c r="J66" i="1"/>
  <c r="J82" i="1"/>
  <c r="J81" i="1"/>
  <c r="M80" i="1"/>
  <c r="J62" i="1"/>
  <c r="M75" i="1"/>
  <c r="P73" i="1"/>
  <c r="M71" i="1"/>
  <c r="P72" i="1"/>
  <c r="L64" i="1"/>
  <c r="M81" i="1"/>
  <c r="L65" i="1"/>
  <c r="A62" i="1"/>
  <c r="J63" i="1"/>
  <c r="M74" i="1"/>
  <c r="P75" i="1"/>
  <c r="A65" i="1"/>
  <c r="J79" i="1"/>
  <c r="L63" i="1"/>
  <c r="M79" i="1"/>
  <c r="T48" i="13" l="1"/>
  <c r="F17" i="8"/>
  <c r="F18" i="8"/>
  <c r="F19" i="8"/>
  <c r="F20" i="8"/>
  <c r="F16" i="8"/>
  <c r="I80" i="1"/>
  <c r="I74" i="1"/>
  <c r="C72" i="1"/>
  <c r="I71" i="1"/>
  <c r="C80" i="1"/>
  <c r="F71" i="1"/>
  <c r="I79" i="1"/>
  <c r="F75" i="1"/>
  <c r="C75" i="1"/>
  <c r="F74" i="1"/>
  <c r="I81" i="1"/>
  <c r="C79" i="1"/>
  <c r="C81" i="1"/>
  <c r="C71" i="1"/>
  <c r="C73" i="1"/>
  <c r="C82" i="1"/>
  <c r="C78" i="1"/>
  <c r="F72" i="1"/>
  <c r="C74" i="1"/>
  <c r="I75" i="1"/>
  <c r="I78" i="1"/>
  <c r="F73" i="1"/>
  <c r="I72" i="1"/>
  <c r="I73" i="1"/>
  <c r="I8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2" i="1"/>
  <c r="C63" i="1"/>
  <c r="O78" i="1"/>
  <c r="R82" i="1"/>
  <c r="O79" i="1"/>
  <c r="C64" i="1"/>
  <c r="L82" i="1"/>
  <c r="F81" i="1"/>
  <c r="R79" i="1"/>
  <c r="F79" i="1"/>
  <c r="O74" i="1"/>
  <c r="D82" i="1"/>
  <c r="O82" i="1"/>
  <c r="R71" i="1"/>
  <c r="F78" i="1"/>
  <c r="O75" i="1"/>
  <c r="F82" i="1"/>
  <c r="R81" i="1"/>
  <c r="F80" i="1"/>
  <c r="O73" i="1"/>
  <c r="R80" i="1"/>
  <c r="L78" i="1"/>
  <c r="O71" i="1"/>
  <c r="C66" i="1"/>
  <c r="L81" i="1"/>
  <c r="R75" i="1"/>
  <c r="L80" i="1"/>
  <c r="O80" i="1"/>
  <c r="L79" i="1"/>
  <c r="O81" i="1"/>
  <c r="C59" i="1"/>
  <c r="C62" i="1"/>
  <c r="C65" i="1"/>
  <c r="R74" i="1"/>
  <c r="L59" i="1"/>
  <c r="R78" i="1"/>
  <c r="G82" i="1"/>
  <c r="R73" i="1"/>
  <c r="R72" i="1"/>
  <c r="O75" i="6" l="1"/>
  <c r="O76" i="6"/>
  <c r="O77" i="6"/>
  <c r="O78" i="6"/>
  <c r="O79" i="6"/>
  <c r="O80" i="6"/>
  <c r="O81" i="6"/>
  <c r="O82" i="6"/>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74" i="7"/>
  <c r="D75" i="7"/>
  <c r="D76" i="7"/>
  <c r="D77" i="7"/>
  <c r="D78" i="7"/>
  <c r="D79" i="7"/>
  <c r="D80" i="7"/>
  <c r="D81" i="7"/>
  <c r="D82" i="7"/>
  <c r="D50" i="6"/>
  <c r="AE35" i="1" s="1"/>
  <c r="D63" i="6"/>
  <c r="D68" i="6"/>
  <c r="D75" i="6"/>
  <c r="D76" i="6"/>
  <c r="D77" i="6"/>
  <c r="D78" i="6"/>
  <c r="D79" i="6"/>
  <c r="D80" i="6"/>
  <c r="D81" i="6"/>
  <c r="D82" i="6"/>
  <c r="S56" i="7"/>
  <c r="S57" i="7"/>
  <c r="S58" i="7"/>
  <c r="S50" i="7"/>
  <c r="S55" i="7"/>
  <c r="S59" i="7"/>
  <c r="S72" i="7"/>
  <c r="S64" i="7"/>
  <c r="S48" i="7"/>
  <c r="S53" i="7"/>
  <c r="S70" i="7"/>
  <c r="S49" i="7"/>
  <c r="S65" i="7"/>
  <c r="S62" i="7"/>
  <c r="S67" i="7"/>
  <c r="S73" i="7"/>
  <c r="S68" i="7"/>
  <c r="S71" i="7"/>
  <c r="S52" i="7"/>
  <c r="S54" i="7"/>
  <c r="S61" i="7"/>
  <c r="S60" i="7"/>
  <c r="S69" i="7"/>
  <c r="S63" i="7"/>
  <c r="S66"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72" i="7"/>
  <c r="P64" i="7"/>
  <c r="P48" i="7"/>
  <c r="P53" i="7"/>
  <c r="P70" i="7"/>
  <c r="P49" i="7"/>
  <c r="P65" i="7"/>
  <c r="P62" i="7"/>
  <c r="P67" i="7"/>
  <c r="P73" i="7"/>
  <c r="P68" i="7"/>
  <c r="P71" i="7"/>
  <c r="P52" i="7"/>
  <c r="P54" i="7"/>
  <c r="P61" i="7"/>
  <c r="P60" i="7"/>
  <c r="P69" i="7"/>
  <c r="P63" i="7"/>
  <c r="P66" i="7"/>
  <c r="P74" i="7"/>
  <c r="P75" i="7"/>
  <c r="P76" i="7"/>
  <c r="P77" i="7"/>
  <c r="P78" i="7"/>
  <c r="P79" i="7"/>
  <c r="P80" i="7"/>
  <c r="P81" i="7"/>
  <c r="P82" i="7"/>
  <c r="H56" i="7"/>
  <c r="O56" i="7" s="1"/>
  <c r="H57" i="7"/>
  <c r="O57" i="7" s="1"/>
  <c r="H58" i="7"/>
  <c r="O58" i="7" s="1"/>
  <c r="H50" i="7"/>
  <c r="O50" i="7" s="1"/>
  <c r="H55" i="7"/>
  <c r="O55" i="7" s="1"/>
  <c r="H59" i="7"/>
  <c r="O59" i="7" s="1"/>
  <c r="H72" i="7"/>
  <c r="O72" i="7" s="1"/>
  <c r="H64" i="7"/>
  <c r="O64" i="7" s="1"/>
  <c r="H48" i="7"/>
  <c r="O48" i="7" s="1"/>
  <c r="H53" i="7"/>
  <c r="O53" i="7" s="1"/>
  <c r="H70" i="7"/>
  <c r="O70" i="7" s="1"/>
  <c r="H49" i="7"/>
  <c r="O49" i="7" s="1"/>
  <c r="H65" i="7"/>
  <c r="O65" i="7" s="1"/>
  <c r="H62" i="7"/>
  <c r="O62" i="7" s="1"/>
  <c r="H67" i="7"/>
  <c r="O67" i="7" s="1"/>
  <c r="H73" i="7"/>
  <c r="O73" i="7" s="1"/>
  <c r="H68" i="7"/>
  <c r="O68" i="7" s="1"/>
  <c r="H71" i="7"/>
  <c r="O71" i="7" s="1"/>
  <c r="H52" i="7"/>
  <c r="O52" i="7" s="1"/>
  <c r="H54" i="7"/>
  <c r="O54" i="7" s="1"/>
  <c r="H61" i="7"/>
  <c r="O61" i="7" s="1"/>
  <c r="H60" i="7"/>
  <c r="O60" i="7" s="1"/>
  <c r="H69" i="7"/>
  <c r="O69" i="7" s="1"/>
  <c r="H63" i="7"/>
  <c r="O63" i="7" s="1"/>
  <c r="H66" i="7"/>
  <c r="O66" i="7" s="1"/>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2" i="7"/>
  <c r="W72" i="7"/>
  <c r="U64" i="7"/>
  <c r="W64" i="7"/>
  <c r="U48" i="7"/>
  <c r="W48" i="7"/>
  <c r="U53" i="7"/>
  <c r="W53" i="7"/>
  <c r="U70" i="7"/>
  <c r="W70" i="7"/>
  <c r="U49" i="7"/>
  <c r="W49" i="7"/>
  <c r="U65" i="7"/>
  <c r="W65" i="7"/>
  <c r="U62" i="7"/>
  <c r="W62" i="7"/>
  <c r="U67" i="7"/>
  <c r="W67" i="7"/>
  <c r="U73" i="7"/>
  <c r="W73" i="7"/>
  <c r="U68" i="7"/>
  <c r="W68" i="7"/>
  <c r="U71" i="7"/>
  <c r="W71" i="7"/>
  <c r="U52" i="7"/>
  <c r="W52" i="7"/>
  <c r="U54" i="7"/>
  <c r="W54" i="7"/>
  <c r="U61" i="7"/>
  <c r="W61" i="7"/>
  <c r="U60" i="7"/>
  <c r="W60" i="7"/>
  <c r="U69" i="7"/>
  <c r="W69" i="7"/>
  <c r="U63" i="7"/>
  <c r="W63" i="7"/>
  <c r="U66" i="7"/>
  <c r="W66"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S72" i="2"/>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5" i="1"/>
  <c r="L72" i="1"/>
  <c r="L74" i="1"/>
  <c r="L71" i="1"/>
  <c r="L73" i="1"/>
  <c r="V63" i="7" l="1"/>
  <c r="T63" i="7" s="1"/>
  <c r="V66" i="7"/>
  <c r="T66"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4" i="6"/>
  <c r="T74" i="6" s="1"/>
  <c r="V49" i="6"/>
  <c r="T48" i="6"/>
  <c r="V59" i="2"/>
  <c r="T59" i="2" s="1"/>
  <c r="V53" i="6"/>
  <c r="T53" i="6" s="1"/>
  <c r="V69" i="6"/>
  <c r="T69" i="6" s="1"/>
  <c r="V65" i="6"/>
  <c r="T65" i="6" s="1"/>
  <c r="V56" i="6"/>
  <c r="T56" i="6" s="1"/>
  <c r="V60" i="7"/>
  <c r="T60" i="7" s="1"/>
  <c r="V71" i="7"/>
  <c r="T71" i="7" s="1"/>
  <c r="V62" i="7"/>
  <c r="T62"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O68" i="2"/>
  <c r="J16" i="1" s="1"/>
  <c r="O54" i="2"/>
  <c r="P14" i="1" s="1"/>
  <c r="V75" i="2"/>
  <c r="T75" i="2" s="1"/>
  <c r="V73" i="2"/>
  <c r="T73" i="2" s="1"/>
  <c r="V49" i="2"/>
  <c r="V64" i="6"/>
  <c r="T64" i="6" s="1"/>
  <c r="V66" i="6"/>
  <c r="T66" i="6" s="1"/>
  <c r="V59" i="6"/>
  <c r="T59" i="6" s="1"/>
  <c r="V61" i="7"/>
  <c r="T61" i="7" s="1"/>
  <c r="V68" i="7"/>
  <c r="T68" i="7" s="1"/>
  <c r="V65" i="7"/>
  <c r="T65" i="7" s="1"/>
  <c r="V48" i="7"/>
  <c r="V55" i="7"/>
  <c r="T55" i="7" s="1"/>
  <c r="V56" i="7"/>
  <c r="T56" i="7" s="1"/>
  <c r="V56" i="2"/>
  <c r="V74" i="2"/>
  <c r="T74" i="2" s="1"/>
  <c r="V63" i="2"/>
  <c r="T63" i="2" s="1"/>
  <c r="V54" i="6"/>
  <c r="T54" i="6" s="1"/>
  <c r="V70" i="6"/>
  <c r="T70" i="6" s="1"/>
  <c r="V68" i="6"/>
  <c r="T68" i="6" s="1"/>
  <c r="V57" i="6"/>
  <c r="T57" i="6" s="1"/>
  <c r="V50" i="6"/>
  <c r="T50" i="6" s="1"/>
  <c r="O75" i="2"/>
  <c r="P8" i="1" s="1"/>
  <c r="O73" i="2"/>
  <c r="V55" i="2"/>
  <c r="T55" i="2" s="1"/>
  <c r="V67" i="2"/>
  <c r="T67" i="2" s="1"/>
  <c r="V66" i="2"/>
  <c r="T66" i="2" s="1"/>
  <c r="V72" i="6"/>
  <c r="T72" i="6" s="1"/>
  <c r="V54" i="7"/>
  <c r="T54" i="7" s="1"/>
  <c r="V73" i="7"/>
  <c r="T73" i="7" s="1"/>
  <c r="V49" i="7"/>
  <c r="T49" i="7" s="1"/>
  <c r="V64" i="7"/>
  <c r="T64" i="7" s="1"/>
  <c r="V50" i="7"/>
  <c r="T50" i="7" s="1"/>
  <c r="O56" i="2"/>
  <c r="D14" i="1" s="1"/>
  <c r="O71" i="2"/>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9" i="7"/>
  <c r="T69" i="7" s="1"/>
  <c r="V52" i="7"/>
  <c r="T52" i="7" s="1"/>
  <c r="V67" i="7"/>
  <c r="T67" i="7" s="1"/>
  <c r="V70" i="7"/>
  <c r="T70" i="7" s="1"/>
  <c r="V72" i="7"/>
  <c r="T72" i="7" s="1"/>
  <c r="V58" i="7"/>
  <c r="T58" i="7" s="1"/>
  <c r="D88" i="11"/>
  <c r="D89" i="11"/>
  <c r="D86" i="11"/>
  <c r="BL50" i="1" s="1"/>
  <c r="D87" i="11"/>
  <c r="BL48" i="1" s="1"/>
  <c r="D85" i="11"/>
  <c r="BC48" i="1" s="1"/>
  <c r="V51" i="2"/>
  <c r="T51" i="2" s="1"/>
  <c r="V76" i="2"/>
  <c r="T76" i="2" s="1"/>
  <c r="V72" i="2"/>
  <c r="T72" i="2" s="1"/>
  <c r="V54" i="2"/>
  <c r="T54" i="2" s="1"/>
  <c r="V71" i="2"/>
  <c r="T71" i="2" s="1"/>
  <c r="V62" i="2"/>
  <c r="T62" i="2" s="1"/>
  <c r="V68" i="2"/>
  <c r="T68" i="2" s="1"/>
  <c r="T49" i="2"/>
  <c r="T56" i="2"/>
  <c r="T50" i="2"/>
  <c r="T69" i="2"/>
  <c r="T65" i="2"/>
  <c r="AP44" i="1"/>
  <c r="AM43" i="1"/>
  <c r="AK43" i="1"/>
  <c r="AP42" i="1"/>
  <c r="AN42" i="1"/>
  <c r="AK42" i="1"/>
  <c r="AP38" i="1"/>
  <c r="AM37" i="1"/>
  <c r="AK37" i="1"/>
  <c r="AP36" i="1"/>
  <c r="AN36" i="1"/>
  <c r="AK36" i="1"/>
  <c r="AR19" i="1"/>
  <c r="AR30" i="1"/>
  <c r="H30" i="1"/>
  <c r="H19" i="1"/>
  <c r="A73" i="1"/>
  <c r="G71" i="1"/>
  <c r="A81" i="1"/>
  <c r="D78" i="1"/>
  <c r="A75" i="1"/>
  <c r="D79" i="1"/>
  <c r="D75" i="1"/>
  <c r="A78" i="1"/>
  <c r="G79" i="1"/>
  <c r="G78" i="1"/>
  <c r="D72" i="1"/>
  <c r="G81" i="1"/>
  <c r="O7" i="18"/>
  <c r="A82" i="1"/>
  <c r="A72" i="1"/>
  <c r="D73" i="1"/>
  <c r="F8" i="18"/>
  <c r="L7" i="18"/>
  <c r="A71" i="1"/>
  <c r="G75" i="1"/>
  <c r="G80" i="1"/>
  <c r="O8" i="18"/>
  <c r="G74" i="1"/>
  <c r="D81" i="1"/>
  <c r="H7" i="18"/>
  <c r="G72" i="1"/>
  <c r="A74" i="1"/>
  <c r="D80" i="1"/>
  <c r="L8" i="18"/>
  <c r="A80" i="1"/>
  <c r="G73" i="1"/>
  <c r="D74" i="1"/>
  <c r="D71" i="1"/>
  <c r="H8" i="18"/>
  <c r="A79" i="1"/>
  <c r="F7" i="18"/>
  <c r="BO39" i="1" l="1"/>
  <c r="BR2" i="1"/>
  <c r="P19" i="1"/>
  <c r="K40" i="1"/>
  <c r="T48" i="7"/>
  <c r="T49" i="6"/>
  <c r="A84" i="7"/>
  <c r="A47" i="7"/>
  <c r="D63" i="7" l="1"/>
  <c r="D66" i="7"/>
  <c r="D64" i="7"/>
  <c r="D71" i="7"/>
  <c r="D86" i="7"/>
  <c r="D87" i="7"/>
  <c r="D88" i="7"/>
  <c r="D89" i="7"/>
  <c r="D85" i="7"/>
  <c r="D56" i="7"/>
  <c r="D48" i="7"/>
  <c r="D68" i="7"/>
  <c r="D57" i="7"/>
  <c r="D53" i="7"/>
  <c r="D69" i="7"/>
  <c r="D58" i="7"/>
  <c r="D70" i="7"/>
  <c r="D52" i="7"/>
  <c r="D50" i="7"/>
  <c r="D49" i="7"/>
  <c r="D54" i="7"/>
  <c r="D72" i="7"/>
  <c r="D55" i="7"/>
  <c r="D65" i="7"/>
  <c r="D61" i="7"/>
  <c r="D67" i="7"/>
  <c r="D59" i="7"/>
  <c r="D62" i="7"/>
  <c r="D60" i="7"/>
  <c r="D73" i="7"/>
  <c r="D51" i="7"/>
  <c r="N87" i="1"/>
  <c r="A87" i="1"/>
  <c r="E87" i="1"/>
  <c r="J86" i="1"/>
  <c r="A86" i="1"/>
  <c r="E86" i="1"/>
  <c r="J87"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D59" i="2"/>
  <c r="D86" i="2"/>
  <c r="J48" i="1" s="1"/>
  <c r="D87" i="2"/>
  <c r="D88" i="2"/>
  <c r="J50" i="1" s="1"/>
  <c r="D85" i="2"/>
  <c r="A48" i="1" s="1"/>
  <c r="C43" i="1"/>
  <c r="B36" i="1"/>
  <c r="F42" i="1"/>
  <c r="D50" i="2"/>
  <c r="D76" i="2"/>
  <c r="D54" i="2"/>
  <c r="P13" i="1" s="1"/>
  <c r="D68" i="2"/>
  <c r="J15" i="1" s="1"/>
  <c r="D51" i="2"/>
  <c r="D75" i="2"/>
  <c r="D52" i="2"/>
  <c r="D2" i="1" s="1"/>
  <c r="D60" i="2"/>
  <c r="D7" i="1" s="1"/>
  <c r="D48" i="2"/>
  <c r="D70" i="2"/>
  <c r="J4" i="1" s="1"/>
  <c r="D61" i="2"/>
  <c r="D64" i="2"/>
  <c r="P29" i="1" s="1"/>
  <c r="D53" i="2"/>
  <c r="J26" i="1" s="1"/>
  <c r="D65" i="2"/>
  <c r="M35" i="1" s="1"/>
  <c r="D57" i="2"/>
  <c r="D29" i="1" s="1"/>
  <c r="D69" i="2"/>
  <c r="D18" i="1" s="1"/>
  <c r="D73" i="2"/>
  <c r="D66" i="2"/>
  <c r="P2" i="1" s="1"/>
  <c r="D67" i="2"/>
  <c r="D55" i="2"/>
  <c r="P24" i="1" s="1"/>
  <c r="D71" i="2"/>
  <c r="D56" i="2"/>
  <c r="D13" i="1" s="1"/>
  <c r="D49" i="2"/>
  <c r="D72" i="2"/>
  <c r="D62" i="2"/>
  <c r="D63" i="2"/>
  <c r="I56" i="1"/>
  <c r="Q56" i="1"/>
  <c r="P43" i="1"/>
  <c r="P39" i="1"/>
  <c r="P56" i="1"/>
  <c r="H56" i="1"/>
  <c r="G56" i="1"/>
  <c r="R56" i="1"/>
  <c r="P18" i="1" l="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0"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1"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2" name="CHO_zapasy" type="6" refreshedVersion="5" background="1" saveData="1">
    <textPr prompt="0" codePage="65001" sourceFile="D:\klima\Documents\SKV\pripravy\csv_2021\CHO_zapasy.csv" thousands=" " comma="1" qualifier="none">
      <textFields count="3">
        <textField/>
        <textField/>
        <textField/>
      </textFields>
    </textPr>
  </connection>
  <connection id="13"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4"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5"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16" name="LIB_zapasy" type="6" refreshedVersion="5" background="1" saveData="1">
    <textPr prompt="0" codePage="65001" sourceFile="D:\klima\Documents\SKV\pripravy\csv_2021\LIB_zapasy.csv" thousands=" " tab="0" comma="1" qualifier="none">
      <textFields count="3">
        <textField/>
        <textField/>
        <textField/>
      </textFields>
    </textPr>
  </connection>
  <connection id="17"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8"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9"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0" name="MB_zapasy" type="6" refreshedVersion="5" background="1" saveData="1">
    <textPr prompt="0" codePage="65001" sourceFile="D:\klima\Documents\SKV\pripravy\csv_2021\MB_zapasy.csv" thousands=" " tab="0" comma="1" qualifier="none">
      <textFields count="3">
        <textField/>
        <textField/>
        <textField/>
      </textFields>
    </textPr>
  </connection>
  <connection id="21"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2"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3"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4" name="OTR_zapasy" type="6" refreshedVersion="5" background="1" saveData="1">
    <textPr prompt="0" codePage="65001" sourceFile="D:\klima\Documents\SKV\pripravy\csv_2021\OTR_zapasy.csv" thousands=" " tab="0" comma="1" qualifier="none">
      <textFields count="3">
        <textField/>
        <textField/>
        <textField/>
      </textFields>
    </textPr>
  </connection>
  <connection id="25"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26"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27"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8" name="SKV_zapasy" type="6" refreshedVersion="5" background="1" saveData="1">
    <textPr prompt="0" codePage="65001" sourceFile="D:\klima\Documents\SKV\pripravy\csv_2021\SKV_zapasy.csv" thousands=" " tab="0" comma="1" qualifier="none">
      <textFields count="3">
        <textField/>
        <textField/>
        <textField/>
      </textFields>
    </textPr>
  </connection>
  <connection id="29"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0"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1"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2" name="SPA_zapasy" type="6" refreshedVersion="5" background="1" saveData="1">
    <textPr prompt="0" codePage="65001" sourceFile="D:\klima\Documents\SKV\pripravy\csv_2021\SPA_zapasy.csv" thousands=" " tab="0" comma="1" qualifier="none">
      <textFields count="3">
        <textField/>
        <textField/>
        <textField/>
      </textFields>
    </textPr>
  </connection>
  <connection id="33"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5"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36"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37" name="TAT_zapasy" type="6" refreshedVersion="5" background="1" saveData="1">
    <textPr prompt="0" codePage="65001" sourceFile="D:\klima\Documents\SKV\pripravy\csv_2021\TAT_zapasy.csv" thousands=" " tab="0" comma="1" qualifier="none">
      <textFields count="3">
        <textField/>
        <textField/>
        <textField/>
      </textFields>
    </textPr>
  </connection>
  <connection id="38"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9"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0"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1"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<sst xmlns="http://schemas.openxmlformats.org/spreadsheetml/2006/main" count="3115" uniqueCount="979">
  <si>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</si>
  <si>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</si>
  <si>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</si>
  <si>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</si>
  <si>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</si>
  <si>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</si>
  <si>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</si>
  <si>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</si>
  <si>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</si>
  <si>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</si>
  <si>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</si>
  <si>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</si>
  <si>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</si>
  <si>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</si>
  <si>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</si>
  <si>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</si>
  <si>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</si>
  <si>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</si>
  <si>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</si>
  <si>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</si>
  <si>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</si>
  <si>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</si>
  <si>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</si>
  <si>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</si>
  <si>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</si>
  <si>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</si>
  <si>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</si>
  <si>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</si>
  <si>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</si>
  <si>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</si>
  <si>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</si>
  <si>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</si>
  <si>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</si>
  <si>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</si>
  <si>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</si>
  <si>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</si>
  <si>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</si>
  <si>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</si>
  <si>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</si>
  <si>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</si>
  <si>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</si>
  <si>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</si>
  <si>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</si>
  <si>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</si>
  <si>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</si>
  <si>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</si>
  <si>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</si>
  <si>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</si>
  <si>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</si>
  <si>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</si>
  <si>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</si>
  <si>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</si>
  <si>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</si>
  <si>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</si>
  <si>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</si>
  <si>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</si>
  <si>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</si>
  <si>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</si>
  <si>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</si>
  <si>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</si>
  <si>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</si>
  <si>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</si>
  <si>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</si>
  <si>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</si>
  <si>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</si>
  <si>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</si>
  <si>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</si>
  <si>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</si>
  <si>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</si>
  <si>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</si>
  <si>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</si>
  <si>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</si>
  <si>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</si>
  <si>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</si>
  <si>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</si>
  <si>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</si>
  <si>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</si>
  <si>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</si>
  <si>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</si>
  <si>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</si>
  <si>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</si>
  <si>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</si>
  <si>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</si>
  <si>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</si>
  <si>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</si>
  <si>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</si>
  <si>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</si>
  <si>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</si>
  <si>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</si>
  <si>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</si>
  <si>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</si>
  <si>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</si>
  <si>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</si>
  <si>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</si>
  <si>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</si>
  <si>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</si>
  <si>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</si>
  <si>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</si>
  <si>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</si>
  <si>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</si>
  <si>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</si>
  <si>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</si>
  <si>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</si>
  <si>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</si>
  <si>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</si>
  <si>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</si>
  <si>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</si>
  <si>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</si>
  <si>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</si>
  <si>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</si>
  <si>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</si>
  <si>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</si>
  <si>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</si>
  <si>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</si>
  <si>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</si>
  <si>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</si>
  <si>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</si>
  <si>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</si>
  <si>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</si>
  <si>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</si>
  <si>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</si>
  <si>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</si>
  <si>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</si>
  <si>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</si>
  <si>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</si>
  <si>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</si>
  <si>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</si>
  <si>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</si>
  <si>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</si>
  <si>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</si>
  <si>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</si>
  <si>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</si>
  <si>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</si>
  <si>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</si>
  <si>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</si>
  <si>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</si>
  <si>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</si>
  <si>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</si>
  <si>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</si>
  <si>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</si>
  <si>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</si>
  <si>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</si>
  <si>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</si>
  <si>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</si>
  <si>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</si>
  <si>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</si>
  <si>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</si>
  <si>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</si>
  <si>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</si>
  <si>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</si>
  <si>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</si>
  <si>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</si>
  <si>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</si>
  <si>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</si>
  <si>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</si>
  <si>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</si>
  <si>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</si>
  <si>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</si>
  <si>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</si>
  <si>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</si>
  <si>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</si>
  <si>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</si>
  <si>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</si>
  <si>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</si>
  <si>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</si>
  <si>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</si>
  <si>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</si>
  <si>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</si>
  <si>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</si>
  <si>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</si>
  <si>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</si>
  <si>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</si>
  <si>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</si>
  <si>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</si>
  <si>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</si>
  <si>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</si>
  <si>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</si>
  <si>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</si>
  <si>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</si>
  <si>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</si>
  <si>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</si>
  <si>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</si>
  <si>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</si>
  <si>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</si>
  <si>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</si>
  <si>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</si>
  <si>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</si>
  <si>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</si>
  <si>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</si>
  <si>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</si>
  <si>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</si>
  <si>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</si>
  <si>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</si>
  <si>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</si>
  <si>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</si>
  <si>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</si>
  <si>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</si>
  <si>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</si>
  <si>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</si>
  <si>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</si>
  <si>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</si>
  <si>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</si>
  <si>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</si>
  <si>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</si>
  <si>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</si>
  <si>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</si>
  <si>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</si>
  <si>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</si>
  <si>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</si>
  <si>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</si>
  <si>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</si>
  <si>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</si>
  <si>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</si>
  <si>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</si>
  <si>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</si>
  <si>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</si>
  <si>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</si>
  <si>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</si>
  <si>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</si>
  <si>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</si>
  <si>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</si>
  <si>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</si>
  <si>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</si>
  <si>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</si>
  <si>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</si>
  <si>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</si>
  <si>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</si>
  <si>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</si>
  <si>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</si>
  <si>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</si>
  <si>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</si>
  <si>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</si>
  <si>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</si>
  <si>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</si>
  <si>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</si>
  <si>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</si>
  <si>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</si>
  <si>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</si>
  <si>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</si>
  <si>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</si>
  <si>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</si>
  <si>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</si>
  <si>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</si>
  <si>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</si>
  <si>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</si>
  <si>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</si>
  <si>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</si>
  <si>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</si>
  <si>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</si>
  <si>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</si>
  <si>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</si>
  <si>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</si>
  <si>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</si>
  <si>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</si>
  <si>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</si>
  <si>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</si>
  <si>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</si>
  <si>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</si>
  <si>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</si>
  <si>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</si>
  <si>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</si>
  <si>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</si>
  <si>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</si>
  <si>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</si>
  <si>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</si>
  <si>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</si>
  <si>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</si>
  <si>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</si>
  <si>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</si>
  <si>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</si>
  <si>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</si>
  <si>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</si>
  <si>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</si>
  <si>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</si>
  <si>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</si>
  <si>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</si>
  <si>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</si>
  <si>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</si>
  <si>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</si>
  <si>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</si>
  <si>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</si>
  <si>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</si>
  <si>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</si>
  <si>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</si>
  <si>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</si>
  <si>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</si>
  <si>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</si>
  <si>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</si>
  <si>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</si>
  <si>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</si>
  <si>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</si>
  <si>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</si>
  <si>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</si>
  <si>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</si>
  <si>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</si>
  <si>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</si>
  <si>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</si>
  <si>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</si>
  <si>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</si>
  <si>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</si>
  <si>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</si>
  <si>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</si>
  <si>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</si>
  <si>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</si>
  <si>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</si>
  <si>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</si>
  <si>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</si>
  <si>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</si>
  <si>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</si>
  <si>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</si>
  <si>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</si>
  <si>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</si>
  <si>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</si>
  <si>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</si>
  <si>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</si>
  <si>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</si>
  <si>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</si>
  <si>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</si>
  <si>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</si>
  <si>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</si>
  <si>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</si>
  <si>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</si>
  <si>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</si>
  <si>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</si>
  <si>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</si>
  <si>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</si>
  <si>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</si>
  <si>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</si>
  <si>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</si>
  <si>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</si>
  <si>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</si>
  <si>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</si>
  <si>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</si>
  <si>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</si>
  <si>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</si>
  <si>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</si>
  <si>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</si>
  <si>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10. 1.</t>
  </si>
  <si>
    <t>"-:-"</t>
  </si>
  <si>
    <t>1. Marek Vávra</t>
  </si>
  <si>
    <t>2. Tom Ondrušek</t>
  </si>
  <si>
    <t>3. Petr Majer</t>
  </si>
  <si>
    <t>4. Ondřej Mikeš</t>
  </si>
  <si>
    <t>1. Michal Rebro</t>
  </si>
  <si>
    <t>4,32</t>
  </si>
  <si>
    <t>5. Daniel Eremiáš</t>
  </si>
  <si>
    <t>4. Karel Pergler</t>
  </si>
  <si>
    <t>3. Tomáš Sýkora</t>
  </si>
  <si>
    <t>1. Jiří Bauer</t>
  </si>
  <si>
    <t>"12:3"</t>
  </si>
  <si>
    <t>24. 1.</t>
  </si>
  <si>
    <t>1. Adam Delong</t>
  </si>
  <si>
    <t>2. Rostislav Gattnar</t>
  </si>
  <si>
    <t>5. Marek Matejčík</t>
  </si>
  <si>
    <t>1. Lukáš Souček</t>
  </si>
  <si>
    <t>2. Denis Jasiok</t>
  </si>
  <si>
    <t>3. Lukáš Hájek</t>
  </si>
  <si>
    <t>1. Matyáš Šindler</t>
  </si>
  <si>
    <t>2. Lukáš Hájek</t>
  </si>
  <si>
    <t>5. Rostislav Gattnar</t>
  </si>
  <si>
    <t>5. Martin Nehera</t>
  </si>
  <si>
    <t>11. 1.</t>
  </si>
  <si>
    <t>"8:3"</t>
  </si>
  <si>
    <t>"10:5"</t>
  </si>
  <si>
    <t>30. 1.</t>
  </si>
  <si>
    <t>1. Jiří Curney</t>
  </si>
  <si>
    <t>2. Jan Natov</t>
  </si>
  <si>
    <t>1. Lukáš Bauer</t>
  </si>
  <si>
    <t>2. Petr Musil</t>
  </si>
  <si>
    <t>4,74</t>
  </si>
  <si>
    <t>3. Marek Macík</t>
  </si>
  <si>
    <t>4. Ondřej Tomšík</t>
  </si>
  <si>
    <t>15,00</t>
  </si>
  <si>
    <t>1. Jakub Bína</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</si>
  <si>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</si>
  <si>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</si>
  <si>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</si>
  <si>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</si>
  <si>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</si>
  <si>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</si>
  <si>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</si>
  <si>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</si>
  <si>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</si>
  <si>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</si>
  <si>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</si>
  <si>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</si>
  <si>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</si>
  <si>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</si>
  <si>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</si>
  <si>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</si>
  <si>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</si>
  <si>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</si>
  <si>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</si>
  <si>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</si>
  <si>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</si>
  <si>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</si>
  <si>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</si>
  <si>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</si>
  <si>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</si>
  <si>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</si>
  <si>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</si>
  <si>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</si>
  <si>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</si>
  <si>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</si>
  <si>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</si>
  <si>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</si>
  <si>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</si>
  <si>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</si>
  <si>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</si>
  <si>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Matěj Havlas</t>
  </si>
  <si>
    <t>3. Martin Šindelář</t>
  </si>
  <si>
    <t>4. Milan Meliš</t>
  </si>
  <si>
    <t>"3:8"</t>
  </si>
  <si>
    <t>"6:4"</t>
  </si>
  <si>
    <t>28. 1.</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</si>
  <si>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</si>
  <si>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</si>
  <si>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</si>
  <si>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</si>
  <si>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</si>
  <si>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</si>
  <si>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</si>
  <si>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</si>
  <si>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</si>
  <si>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</si>
  <si>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</si>
  <si>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</si>
  <si>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</si>
  <si>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</si>
  <si>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</si>
  <si>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</si>
  <si>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</si>
  <si>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</si>
  <si>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</si>
  <si>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</si>
  <si>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</si>
  <si>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</si>
  <si>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</si>
  <si>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</si>
  <si>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</si>
  <si>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</si>
  <si>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</si>
  <si>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</si>
  <si>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</si>
  <si>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</si>
  <si>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</si>
  <si>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</si>
  <si>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</si>
  <si>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</si>
  <si>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</si>
  <si>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</si>
  <si>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</si>
  <si>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</si>
  <si>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11,00</t>
  </si>
  <si>
    <t>3. Zdeněk Raška</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</si>
  <si>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</si>
  <si>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</si>
  <si>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</si>
  <si>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</si>
  <si>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</si>
  <si>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</si>
  <si>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</si>
  <si>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</si>
  <si>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</si>
  <si>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</si>
  <si>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</si>
  <si>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</si>
  <si>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</si>
  <si>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</si>
  <si>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</si>
  <si>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</si>
  <si>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</si>
  <si>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</si>
  <si>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</si>
  <si>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</si>
  <si>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</si>
  <si>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</si>
  <si>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</si>
  <si>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</si>
  <si>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</si>
  <si>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</si>
  <si>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</si>
  <si>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</si>
  <si>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</si>
  <si>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</si>
  <si>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</si>
  <si>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</si>
  <si>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</si>
  <si>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</si>
  <si>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</si>
  <si>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</si>
  <si>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</si>
  <si>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</si>
  <si>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</si>
  <si>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</si>
  <si>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</si>
  <si>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</si>
  <si>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</si>
  <si>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</si>
  <si>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</si>
  <si>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</si>
  <si>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</si>
  <si>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</si>
  <si>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</si>
  <si>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</si>
  <si>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</si>
  <si>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</si>
  <si>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</si>
  <si>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</si>
  <si>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</si>
  <si>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</si>
  <si>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</si>
  <si>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</si>
  <si>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</si>
  <si>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</si>
  <si>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</si>
  <si>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</si>
  <si>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</si>
  <si>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</si>
  <si>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</si>
  <si>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</si>
  <si>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</si>
  <si>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</si>
  <si>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</si>
  <si>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1. Jan Malič</t>
  </si>
  <si>
    <t>2. Filip Forman</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</si>
  <si>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</si>
  <si>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</si>
  <si>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</si>
  <si>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</si>
  <si>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</si>
  <si>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</si>
  <si>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</si>
  <si>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</si>
  <si>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</si>
  <si>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</si>
  <si>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</si>
  <si>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</si>
  <si>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</si>
  <si>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</si>
  <si>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</si>
  <si>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</si>
  <si>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</si>
  <si>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</si>
  <si>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</si>
  <si>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</si>
  <si>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</si>
  <si>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</si>
  <si>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</si>
  <si>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</si>
  <si>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</si>
  <si>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</si>
  <si>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</si>
  <si>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</si>
  <si>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</si>
  <si>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</si>
  <si>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</si>
  <si>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</si>
  <si>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</si>
  <si>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</si>
  <si>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</si>
  <si>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</si>
  <si>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</si>
  <si>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</si>
  <si>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4. Josef Juha</t>
  </si>
  <si>
    <t>1. Matěj Pruner</t>
  </si>
  <si>
    <t>2. Kristián Kozák</t>
  </si>
  <si>
    <t>3. Michal Pažák</t>
  </si>
  <si>
    <t>13. 2.</t>
  </si>
  <si>
    <t>2. Lukáš Gregor</t>
  </si>
  <si>
    <t>31. 1.</t>
  </si>
  <si>
    <t>21. 2.</t>
  </si>
  <si>
    <t>10. 2.</t>
  </si>
  <si>
    <t>3. Matěj Havlas</t>
  </si>
  <si>
    <t>5. Martin Šindelář</t>
  </si>
  <si>
    <t>2. Martin Frühbauer</t>
  </si>
  <si>
    <t>3. Tomáš Jurco</t>
  </si>
  <si>
    <t>5. Milan Meliš</t>
  </si>
  <si>
    <t>"4:3"</t>
  </si>
  <si>
    <t>OTR - SKV</t>
  </si>
  <si>
    <t>0:3</t>
  </si>
  <si>
    <t>10:6</t>
  </si>
  <si>
    <t>SKV - OTR</t>
  </si>
  <si>
    <t>5:7</t>
  </si>
  <si>
    <t>7:2</t>
  </si>
  <si>
    <t>4:1</t>
  </si>
  <si>
    <t>4:6</t>
  </si>
  <si>
    <t>4:3p</t>
  </si>
  <si>
    <t>16. 1.</t>
  </si>
  <si>
    <t>vs. OST 7:6</t>
  </si>
  <si>
    <t>vs. VIT 10:12</t>
  </si>
  <si>
    <t>Zapletal, Sovják - B-tým</t>
  </si>
  <si>
    <t>Kladivo, Koláčný - Bulldogs</t>
  </si>
  <si>
    <t>2x mistr české ligy (Chodov)</t>
  </si>
  <si>
    <t>3. 2.</t>
  </si>
  <si>
    <t>3. Jan Svoboda</t>
  </si>
  <si>
    <t>3. Peter Nehila</t>
  </si>
  <si>
    <t>5. Matěj Hronek</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</si>
  <si>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</si>
  <si>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</si>
  <si>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</si>
  <si>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</si>
  <si>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</si>
  <si>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</si>
  <si>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</si>
  <si>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</si>
  <si>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</si>
  <si>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</si>
  <si>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</si>
  <si>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</si>
  <si>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</si>
  <si>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</si>
  <si>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</si>
  <si>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</si>
  <si>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</si>
  <si>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</si>
  <si>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</si>
  <si>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</si>
  <si>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26. 1.</t>
  </si>
  <si>
    <t>7. 3.</t>
  </si>
  <si>
    <t>8. 2.</t>
  </si>
  <si>
    <t>1. 2.</t>
  </si>
  <si>
    <t>29. 1.</t>
  </si>
  <si>
    <t>FBC Frymburk</t>
  </si>
  <si>
    <t>5. Ondřej Stuchlík</t>
  </si>
  <si>
    <t>20. 2.</t>
  </si>
  <si>
    <t>4. Jakub Buršík</t>
  </si>
  <si>
    <t>Králík - návrat do SKV</t>
  </si>
  <si>
    <t>Forman - 27 A (2. v lize)</t>
  </si>
  <si>
    <t>hodně odchovanců</t>
  </si>
  <si>
    <t>středeční zápas vs. SKV - 10:4</t>
  </si>
  <si>
    <t>nejlepší oslabení v lize</t>
  </si>
  <si>
    <t>9:4</t>
  </si>
  <si>
    <t>BOH - SKV</t>
  </si>
  <si>
    <t>10:4</t>
  </si>
  <si>
    <t>SKV - BOH</t>
  </si>
  <si>
    <t>4:5</t>
  </si>
  <si>
    <t>9:3</t>
  </si>
  <si>
    <t>7:8</t>
  </si>
  <si>
    <t>6:2</t>
  </si>
  <si>
    <t>10:13</t>
  </si>
  <si>
    <t>22. 1.</t>
  </si>
  <si>
    <t>2. Rastislav Mazák</t>
  </si>
  <si>
    <t>3. Jiří Buchta</t>
  </si>
  <si>
    <t>4. Matyáš Lorenc</t>
  </si>
  <si>
    <t>12,00</t>
  </si>
  <si>
    <t>4. Milan Bína</t>
  </si>
  <si>
    <t>1. Zbyněk Stuchlík</t>
  </si>
  <si>
    <t>2. Vojtěch Šimůnek</t>
  </si>
  <si>
    <t>3. Karel Hodík</t>
  </si>
  <si>
    <t>"14:5"</t>
  </si>
  <si>
    <t>2. Matyáš Krebner</t>
  </si>
  <si>
    <t>2. Jakub Buršík</t>
  </si>
  <si>
    <t>3. Jakub Šárka</t>
  </si>
  <si>
    <t>3. Jan Malič</t>
  </si>
  <si>
    <t>5:14</t>
  </si>
  <si>
    <t>Vzájmené zápasy</t>
  </si>
  <si>
    <t>"3:10"</t>
  </si>
  <si>
    <t>"5:4p"</t>
  </si>
  <si>
    <t>"8:13"</t>
  </si>
  <si>
    <t>28. 2.</t>
  </si>
  <si>
    <t>4. Zbyněk Stuchlík</t>
  </si>
  <si>
    <t>6,78</t>
  </si>
  <si>
    <t>3. Jan Procházka</t>
  </si>
  <si>
    <t>5. Pavel Hájek</t>
  </si>
  <si>
    <t>5. Radovan Vnuk</t>
  </si>
  <si>
    <t>"4:13"</t>
  </si>
  <si>
    <t>"8:7p"</t>
  </si>
  <si>
    <t>"6:5"</t>
  </si>
  <si>
    <t>23. 1.</t>
  </si>
  <si>
    <t>1. 3.</t>
  </si>
  <si>
    <t>5,89</t>
  </si>
  <si>
    <t>10,42</t>
  </si>
  <si>
    <t>2. Petr Majer</t>
  </si>
  <si>
    <t>3. Tom Ondrušek</t>
  </si>
  <si>
    <t>1. Karel Hodík</t>
  </si>
  <si>
    <t>3. Michal Rebro</t>
  </si>
  <si>
    <t>Tomáš Kvasnica</t>
  </si>
  <si>
    <t>Ladislav Mirt</t>
  </si>
  <si>
    <t>27. 2.</t>
  </si>
  <si>
    <t>4,01</t>
  </si>
  <si>
    <t>4. Jan Šebesta</t>
  </si>
  <si>
    <t>1. Jan Šebesta</t>
  </si>
  <si>
    <t>2. Tomáš Sladký</t>
  </si>
  <si>
    <t>3. Marek Bräuer</t>
  </si>
  <si>
    <t>4. Daniels Janis Anis</t>
  </si>
  <si>
    <t>"7:3"</t>
  </si>
  <si>
    <t>22. 2.</t>
  </si>
  <si>
    <t>3. Martin Tokoš</t>
  </si>
  <si>
    <t>4. Jiří Curney</t>
  </si>
  <si>
    <t>5. Daniel Šebek</t>
  </si>
  <si>
    <t>2. Daniel Šebek</t>
  </si>
  <si>
    <t>3. Milan Tomašík</t>
  </si>
  <si>
    <t>4. Petr Krzyžanek</t>
  </si>
  <si>
    <t>5. Jan Natov</t>
  </si>
  <si>
    <t>"3:0"</t>
  </si>
  <si>
    <t>3. 3.</t>
  </si>
  <si>
    <t>4,56</t>
  </si>
  <si>
    <t>5,25</t>
  </si>
  <si>
    <t>2. Petr Brautferger</t>
  </si>
  <si>
    <t>2. Petr Novotný</t>
  </si>
  <si>
    <t>Jan Vorálek</t>
  </si>
  <si>
    <t>Reinis Rudzītis</t>
  </si>
  <si>
    <t>Valters Lapinš</t>
  </si>
  <si>
    <t>Rudolfs Vilmanis</t>
  </si>
  <si>
    <t>Šimon Šmajda</t>
  </si>
  <si>
    <t>4. Peter Nehila</t>
  </si>
  <si>
    <t>2. Jan Vorálek</t>
  </si>
  <si>
    <t>4. Matěj Kubíček</t>
  </si>
  <si>
    <t>2. Filip Hrabal</t>
  </si>
  <si>
    <t>4. Zdeněk Raška</t>
  </si>
  <si>
    <t>3. Petr Koláčný</t>
  </si>
  <si>
    <t>1. Martin Szweda</t>
  </si>
  <si>
    <t>2. Petr Koláčný</t>
  </si>
  <si>
    <t>3. Michal Nagy</t>
  </si>
  <si>
    <t>4. František Vykopal</t>
  </si>
  <si>
    <t>5. Marek Zapletal</t>
  </si>
  <si>
    <t>"2:7"</t>
  </si>
  <si>
    <t>2. Matěj Pěnička</t>
  </si>
  <si>
    <t>3. Matyáš Krebner</t>
  </si>
  <si>
    <t>5. Jan Malič</t>
  </si>
  <si>
    <t>5,26</t>
  </si>
  <si>
    <t>4. Matyáš Krebner</t>
  </si>
  <si>
    <t>5. Filip Forman</t>
  </si>
  <si>
    <t>4. Matěj Pěnička</t>
  </si>
  <si>
    <t>5. Patrik Šebek</t>
  </si>
  <si>
    <t>3. Ivan Tomčo</t>
  </si>
  <si>
    <t>5. Lukáš Kuncman</t>
  </si>
  <si>
    <t>Jan Marvánek</t>
  </si>
  <si>
    <t>"4:2"</t>
  </si>
  <si>
    <t>"8:4"</t>
  </si>
  <si>
    <t>5. Radim Křenek</t>
  </si>
  <si>
    <t>4. Dominik Beneš</t>
  </si>
  <si>
    <t>5. Matěj Čermák</t>
  </si>
  <si>
    <t>5. Michal Zeman</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</si>
  <si>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</si>
  <si>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</si>
  <si>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</si>
  <si>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</si>
  <si>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</si>
  <si>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</si>
  <si>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</si>
  <si>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</si>
  <si>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</si>
  <si>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</si>
  <si>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</si>
  <si>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</si>
  <si>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</si>
  <si>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</si>
  <si>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</si>
  <si>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</si>
  <si>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Lanc -    -25 ±</t>
  </si>
  <si>
    <t>jediná prohra první zápas (VIT)</t>
  </si>
  <si>
    <t>19 V v řadě (17 V, 1 VP, 1 VN)</t>
  </si>
  <si>
    <t>nejlepší obrana v lize (75 OG)</t>
  </si>
  <si>
    <t>Bauer - 16 V a 3,41 OG/Z</t>
  </si>
  <si>
    <t>SKV - MB</t>
  </si>
  <si>
    <t>MB - SKV</t>
  </si>
  <si>
    <t>3:13</t>
  </si>
  <si>
    <t>2:9</t>
  </si>
  <si>
    <t>1:7</t>
  </si>
  <si>
    <t>1:9</t>
  </si>
  <si>
    <t>11:5</t>
  </si>
  <si>
    <t>12. 2.</t>
  </si>
  <si>
    <t>PP - P - P - V - P - P - P - VP - P - P</t>
  </si>
  <si>
    <t>8,62</t>
  </si>
  <si>
    <t>5,60</t>
  </si>
  <si>
    <t>4. Vlastimil Červenka</t>
  </si>
  <si>
    <t>5. Martin Szweda</t>
  </si>
  <si>
    <t>2,58</t>
  </si>
  <si>
    <t>2. Mikuláš Krbec</t>
  </si>
  <si>
    <t>"7:4"</t>
  </si>
  <si>
    <t>V - V - PP - V - V - V - P - V - V - V</t>
  </si>
  <si>
    <t>4. Matyáš Šindler</t>
  </si>
  <si>
    <t>3. Marek Matejčík</t>
  </si>
  <si>
    <t>4. Adam Delong</t>
  </si>
  <si>
    <t>"9:5"</t>
  </si>
  <si>
    <t>VP - V - V - V - V - V - V - V - V - V</t>
  </si>
  <si>
    <t>3. Jakub Bína</t>
  </si>
  <si>
    <t>4. Martin Tokoš</t>
  </si>
  <si>
    <t>3,47</t>
  </si>
  <si>
    <t>1. Martin Tokoš</t>
  </si>
  <si>
    <t>3. Patrik Suchánek</t>
  </si>
  <si>
    <t>V - P - P - P - V - PP - V - V - V - V</t>
  </si>
  <si>
    <t>3. Milan Meliš</t>
  </si>
  <si>
    <t>4. Ondřej Němeček</t>
  </si>
  <si>
    <t>4,08</t>
  </si>
  <si>
    <t>4. Martin Šindelář</t>
  </si>
  <si>
    <t>5. Petr Brautferger</t>
  </si>
  <si>
    <t>3. Matěj Hronek</t>
  </si>
  <si>
    <t>5. Petr Koláčný</t>
  </si>
  <si>
    <t>6,65</t>
  </si>
  <si>
    <t>P - P - P - P - P - P - PP - P - P - P</t>
  </si>
  <si>
    <t>VP - V - P - P - V - V - V - P - P - V</t>
  </si>
  <si>
    <t>4,24</t>
  </si>
  <si>
    <t>V - V - V - P - VP - V - V - V - V - P</t>
  </si>
  <si>
    <t>4,84</t>
  </si>
  <si>
    <t>2. Marek Zouzal</t>
  </si>
  <si>
    <t>3. Lukáš Ujhelyi</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</si>
  <si>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</si>
  <si>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</si>
  <si>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</si>
  <si>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</si>
  <si>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</si>
  <si>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</si>
  <si>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</si>
  <si>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</si>
  <si>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</si>
  <si>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</si>
  <si>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</si>
  <si>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</si>
  <si>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</si>
  <si>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</si>
  <si>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</si>
  <si>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</si>
  <si>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</si>
  <si>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</si>
  <si>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</si>
  <si>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</si>
  <si>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</si>
  <si>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</si>
  <si>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</si>
  <si>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</si>
  <si>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</si>
  <si>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</si>
  <si>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</si>
  <si>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</si>
  <si>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</si>
  <si>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</si>
  <si>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</si>
  <si>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</si>
  <si>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</si>
  <si>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</si>
  <si>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</si>
  <si>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</si>
  <si>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4. Daniel Štěrba</t>
  </si>
  <si>
    <t>5. Jakub Jirsa</t>
  </si>
  <si>
    <t>1. Jan Dvořák</t>
  </si>
  <si>
    <t>6,88</t>
  </si>
  <si>
    <t>2. Lukáš Chyna</t>
  </si>
  <si>
    <t>11,18</t>
  </si>
  <si>
    <t>3. Tadeáš Dittrich</t>
  </si>
  <si>
    <t>4. Jakub Jirsa</t>
  </si>
  <si>
    <t>5. Daniel Štěrba</t>
  </si>
  <si>
    <t>3. Daniel Štěrba</t>
  </si>
  <si>
    <t>4. Štěpán Slaný</t>
  </si>
  <si>
    <t>1. Jakub Jirsa</t>
  </si>
  <si>
    <t>2. Radek Krajcigr</t>
  </si>
  <si>
    <t>3. Štěpán Slaný</t>
  </si>
  <si>
    <t>4. Antonín Stárek</t>
  </si>
  <si>
    <t>"2:8"</t>
  </si>
  <si>
    <t>18. 2.</t>
  </si>
  <si>
    <t>P - P - VP - P - V - VP - VP - P - P - P</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</si>
  <si>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</si>
  <si>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</si>
  <si>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</si>
  <si>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</si>
  <si>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</si>
  <si>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</si>
  <si>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</si>
  <si>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</si>
  <si>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</si>
  <si>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</si>
  <si>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</si>
  <si>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</si>
  <si>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</si>
  <si>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</si>
  <si>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</si>
  <si>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</si>
  <si>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</si>
  <si>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</si>
  <si>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</si>
  <si>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</si>
  <si>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</si>
  <si>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</si>
  <si>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</si>
  <si>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</si>
  <si>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</si>
  <si>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</si>
  <si>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</si>
  <si>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</si>
  <si>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2. Prokop Ferdan</t>
  </si>
  <si>
    <t>3. Martin Čermák</t>
  </si>
  <si>
    <t>4. Jakub Kopecký</t>
  </si>
  <si>
    <t>5. Vojtěch Wiener</t>
  </si>
  <si>
    <t>1. Daniel Mück</t>
  </si>
  <si>
    <t>5,66</t>
  </si>
  <si>
    <t>2. Jan Baudisch</t>
  </si>
  <si>
    <t>3. Ivan Ponomarev</t>
  </si>
  <si>
    <t>6,39</t>
  </si>
  <si>
    <t>2. Jakub Kopecký</t>
  </si>
  <si>
    <t>3. Prokop Ferdan</t>
  </si>
  <si>
    <t>4. Martin Čermák</t>
  </si>
  <si>
    <t>5. Jan Světlík</t>
  </si>
  <si>
    <t>2. Ivan Ponomarev</t>
  </si>
  <si>
    <t>3. Jan Baudisch</t>
  </si>
  <si>
    <t>2. Vojtěch Wiener</t>
  </si>
  <si>
    <t>3. Petr Kološ</t>
  </si>
  <si>
    <t>5. Prokop Ferdan</t>
  </si>
  <si>
    <t>4. Jan Baudisch</t>
  </si>
  <si>
    <t>5. Matěj Klucho</t>
  </si>
  <si>
    <t>24. 2.</t>
  </si>
  <si>
    <t>P - VP - P - V - VP - V - P - V - V - P</t>
  </si>
  <si>
    <t>3:7</t>
  </si>
  <si>
    <t>"3:7"</t>
  </si>
  <si>
    <t>"5:14"</t>
  </si>
  <si>
    <t>"8:5"</t>
  </si>
  <si>
    <t>V - V - P - V - P - V - P - V - VP - P</t>
  </si>
  <si>
    <t>4. Jiří Bauer</t>
  </si>
  <si>
    <t>5. Petr Majer</t>
  </si>
  <si>
    <t>4. Michal Strnad</t>
  </si>
  <si>
    <t>5. Ondřej Mikeš</t>
  </si>
  <si>
    <t>"4:6"</t>
  </si>
  <si>
    <t>"8:2"</t>
  </si>
  <si>
    <t>"13:4"</t>
  </si>
  <si>
    <t>"3:4p"</t>
  </si>
  <si>
    <t>"5:7"</t>
  </si>
  <si>
    <t>"7:8p"</t>
  </si>
  <si>
    <t>"5:10"</t>
  </si>
  <si>
    <t>"3:4"</t>
  </si>
  <si>
    <t>"4:7"</t>
  </si>
  <si>
    <t>"2:4"</t>
  </si>
  <si>
    <t>"10:9sn"</t>
  </si>
  <si>
    <t>"5:9"</t>
  </si>
  <si>
    <t>"4:8"</t>
  </si>
  <si>
    <t>"2:0"</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</si>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</sst>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s>
  <cellStyleXfs count="1">
    <xf numFmtId="0" fontId="0" fillId="0" borderId="0"/>
  </cellStyleXfs>
  <cellXfs count="385">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4" xfId="0" applyFont="1" applyFill="1" applyBorder="1" applyAlignment="1">
      <alignment horizontal="left" vertical="center"/>
    </xf>
    <xf numFmtId="0" fontId="5" fillId="0" borderId="1"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0" borderId="22" xfId="0" applyFont="1" applyFill="1" applyBorder="1" applyAlignment="1">
      <alignment horizontal="left"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3" borderId="10" xfId="0" applyFont="1" applyFill="1" applyBorder="1" applyAlignment="1">
      <alignment horizontal="left" vertical="center"/>
    </xf>
    <xf numFmtId="0" fontId="5"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left"/>
    </xf>
  </cellXfs>
  <cellStyles count="1">
    <cellStyle name="Normální" xfId="0" builtinId="0"/>
  </cellStyles>
  <dxfs count="460">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queryTables/queryTable1.xml><?xml version="1.0" encoding="utf-8"?>
<queryTable xmlns="http://schemas.openxmlformats.org/spreadsheetml/2006/main" name="tabulka" growShrinkType="overwriteClear" adjustColumnWidth="0" connectionId="3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2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27"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8"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0"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1"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9"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0"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39"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1"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8"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9"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8"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0"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17"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5"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36"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37"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4"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3"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2"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1"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4"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0"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1"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2"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9"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4"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5"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16"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3"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479</v>
      </c>
      <c r="B2" s="122" t="str">
        <f ca="1">IFERROR(COUNTIF(INDIRECT(B$1 &amp; "!B2:B36"),"?*"),"")</f>
        <v/>
      </c>
      <c r="C2" s="122">
        <f t="shared" ref="C2:O2" ca="1" si="0">IFERROR(COUNTIF(INDIRECT(C$1 &amp; "!B2:B36"),"?*"),"")</f>
        <v>28</v>
      </c>
      <c r="D2" s="122">
        <f t="shared" ca="1" si="0"/>
        <v>35</v>
      </c>
      <c r="E2" s="122" t="str">
        <f t="shared" ca="1" si="0"/>
        <v/>
      </c>
      <c r="F2" s="122">
        <f t="shared" ca="1" si="0"/>
        <v>27</v>
      </c>
      <c r="G2" s="122">
        <f t="shared" ca="1" si="0"/>
        <v>27</v>
      </c>
      <c r="H2" s="122">
        <f t="shared" ca="1" si="0"/>
        <v>28</v>
      </c>
      <c r="I2" s="122" t="str">
        <f t="shared" ca="1" si="0"/>
        <v/>
      </c>
      <c r="J2" s="122">
        <f t="shared" ca="1" si="0"/>
        <v>34</v>
      </c>
      <c r="K2" s="122" t="str">
        <f t="shared" ca="1" si="0"/>
        <v/>
      </c>
      <c r="L2" s="122">
        <f t="shared" ca="1" si="0"/>
        <v>29</v>
      </c>
      <c r="M2" s="122">
        <f t="shared" ca="1" si="0"/>
        <v>28</v>
      </c>
      <c r="N2" s="122">
        <f t="shared" ca="1" si="0"/>
        <v>30</v>
      </c>
      <c r="O2" s="122">
        <f t="shared" ca="1" si="0"/>
        <v>26</v>
      </c>
    </row>
    <row r="3" spans="1:15" x14ac:dyDescent="0.25">
      <c r="A3" s="169" t="s">
        <v>480</v>
      </c>
      <c r="B3" s="122" t="str">
        <f ca="1">IFERROR(COUNTIF(INDIRECT(B$1 &amp; "!P2:P36"),"NE"),"")</f>
        <v/>
      </c>
      <c r="C3" s="122">
        <f t="shared" ref="C3:O3" ca="1" si="1">IFERROR(COUNTIF(INDIRECT(C$1 &amp; "!P2:P36"),"NE"),"")</f>
        <v>0</v>
      </c>
      <c r="D3" s="122">
        <f t="shared" ca="1" si="1"/>
        <v>0</v>
      </c>
      <c r="E3" s="122" t="str">
        <f t="shared" ca="1" si="1"/>
        <v/>
      </c>
      <c r="F3" s="122">
        <f t="shared" ca="1" si="1"/>
        <v>0</v>
      </c>
      <c r="G3" s="122">
        <f t="shared" ca="1" si="1"/>
        <v>0</v>
      </c>
      <c r="H3" s="122">
        <f t="shared" ca="1" si="1"/>
        <v>0</v>
      </c>
      <c r="I3" s="122" t="str">
        <f t="shared" ca="1" si="1"/>
        <v/>
      </c>
      <c r="J3" s="122">
        <f t="shared" ca="1" si="1"/>
        <v>5</v>
      </c>
      <c r="K3" s="122" t="str">
        <f t="shared" ca="1" si="1"/>
        <v/>
      </c>
      <c r="L3" s="122">
        <f t="shared" ca="1" si="1"/>
        <v>0</v>
      </c>
      <c r="M3" s="122">
        <f t="shared" ca="1" si="1"/>
        <v>1</v>
      </c>
      <c r="N3" s="122">
        <f t="shared" ca="1" si="1"/>
        <v>0</v>
      </c>
      <c r="O3" s="122">
        <f t="shared" ca="1" si="1"/>
        <v>0</v>
      </c>
    </row>
    <row r="4" spans="1:15" x14ac:dyDescent="0.25">
      <c r="A4" s="169" t="s">
        <v>481</v>
      </c>
      <c r="B4" s="122" t="str">
        <f ca="1">IFERROR(COUNTBLANK(OFFSET(INDIRECT(B$1 &amp; "!C48"),,,COUNTIF(INDIRECT(B$1 &amp; "!B48:B82"),"?*"))),"")</f>
        <v/>
      </c>
      <c r="C4" s="122">
        <f t="shared" ref="C4:O4" ca="1" si="2">IFERROR(COUNTBLANK(OFFSET(INDIRECT(C$1 &amp; "!C48"),,,COUNTIF(INDIRECT(C$1 &amp; "!B48:B82"),"?*"))),"")</f>
        <v>0</v>
      </c>
      <c r="D4" s="122">
        <f t="shared" ca="1" si="2"/>
        <v>6</v>
      </c>
      <c r="E4" s="122" t="str">
        <f t="shared" ca="1" si="2"/>
        <v/>
      </c>
      <c r="F4" s="122">
        <f t="shared" ca="1" si="2"/>
        <v>4</v>
      </c>
      <c r="G4" s="122">
        <f t="shared" ca="1" si="2"/>
        <v>1</v>
      </c>
      <c r="H4" s="122">
        <f t="shared" ca="1" si="2"/>
        <v>0</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69" t="s">
        <v>482</v>
      </c>
      <c r="B5" s="122" t="str">
        <f ca="1">IFERROR(COUNTBLANK(OFFSET(INDIRECT(B$1 &amp; "!E48"),,,COUNTIF(INDIRECT(B$1 &amp; "!B48:B82"),"?*"))),"")</f>
        <v/>
      </c>
      <c r="C5" s="122">
        <f t="shared" ref="C5:O5" ca="1" si="3">IFERROR(COUNTBLANK(OFFSET(INDIRECT(C$1 &amp; "!E48"),,,COUNTIF(INDIRECT(C$1 &amp; "!B48:B82"),"?*"))),"")</f>
        <v>0</v>
      </c>
      <c r="D5" s="122">
        <f t="shared" ca="1" si="3"/>
        <v>1</v>
      </c>
      <c r="E5" s="122" t="str">
        <f t="shared" ca="1" si="3"/>
        <v/>
      </c>
      <c r="F5" s="122">
        <f t="shared" ca="1" si="3"/>
        <v>2</v>
      </c>
      <c r="G5" s="122">
        <f t="shared" ca="1" si="3"/>
        <v>0</v>
      </c>
      <c r="H5" s="122">
        <f t="shared" ca="1" si="3"/>
        <v>0</v>
      </c>
      <c r="I5" s="122" t="str">
        <f t="shared" ca="1" si="3"/>
        <v/>
      </c>
      <c r="J5" s="122">
        <f t="shared" ca="1" si="3"/>
        <v>0</v>
      </c>
      <c r="K5" s="122" t="str">
        <f t="shared" ca="1" si="3"/>
        <v/>
      </c>
      <c r="L5" s="122">
        <f t="shared" ca="1" si="3"/>
        <v>1</v>
      </c>
      <c r="M5" s="122">
        <f t="shared" ca="1" si="3"/>
        <v>27</v>
      </c>
      <c r="N5" s="122">
        <f t="shared" ca="1" si="3"/>
        <v>30</v>
      </c>
      <c r="O5" s="122">
        <f t="shared" ca="1" si="3"/>
        <v>2</v>
      </c>
    </row>
    <row r="6" spans="1:15" x14ac:dyDescent="0.25">
      <c r="A6" s="169" t="s">
        <v>483</v>
      </c>
      <c r="B6" s="122" t="str">
        <f ca="1">IFERROR(COUNTBLANK(OFFSET(INDIRECT(B$1 &amp; "!Q48"),,,COUNTIF(INDIRECT(B$1 &amp; "!B48:B82"),"?*"))),"")</f>
        <v/>
      </c>
      <c r="C6" s="122">
        <f t="shared" ref="C6:O6" ca="1" si="4">IFERROR(COUNTBLANK(OFFSET(INDIRECT(C$1 &amp; "!Q48"),,,COUNTIF(INDIRECT(C$1 &amp; "!B48:B82"),"?*"))),"")</f>
        <v>0</v>
      </c>
      <c r="D6" s="122">
        <f t="shared" ca="1" si="4"/>
        <v>0</v>
      </c>
      <c r="E6" s="122" t="str">
        <f t="shared" ca="1" si="4"/>
        <v/>
      </c>
      <c r="F6" s="122">
        <f t="shared" ca="1" si="4"/>
        <v>4</v>
      </c>
      <c r="G6" s="122">
        <f t="shared" ca="1" si="4"/>
        <v>0</v>
      </c>
      <c r="H6" s="122">
        <f t="shared" ca="1" si="4"/>
        <v>0</v>
      </c>
      <c r="I6" s="122" t="str">
        <f t="shared" ca="1" si="4"/>
        <v/>
      </c>
      <c r="J6" s="122">
        <f t="shared" ca="1" si="4"/>
        <v>0</v>
      </c>
      <c r="K6" s="122" t="str">
        <f t="shared" ca="1" si="4"/>
        <v/>
      </c>
      <c r="L6" s="122">
        <f t="shared" ca="1" si="4"/>
        <v>2</v>
      </c>
      <c r="M6" s="122">
        <f t="shared" ca="1" si="4"/>
        <v>27</v>
      </c>
      <c r="N6" s="122">
        <f t="shared" ca="1" si="4"/>
        <v>30</v>
      </c>
      <c r="O6" s="122">
        <f t="shared" ca="1" si="4"/>
        <v>2</v>
      </c>
    </row>
    <row r="7" spans="1:15" x14ac:dyDescent="0.25">
      <c r="A7" s="169" t="s">
        <v>484</v>
      </c>
      <c r="B7" s="122" t="str">
        <f ca="1">IFERROR(COUNTIF(OFFSET(INDIRECT(B$1 &amp; "!V48"),,,COUNTIF(INDIRECT(B$1 &amp; "!B48:B82"),"?*")),"=2")/2,"")</f>
        <v/>
      </c>
      <c r="C7" s="122">
        <f t="shared" ref="C7:O7" ca="1" si="5">IFERROR(COUNTIF(OFFSET(INDIRECT(C$1 &amp; "!V48"),,,COUNTIF(INDIRECT(C$1 &amp; "!B48:B82"),"?*")),"=2")/2,"")</f>
        <v>1</v>
      </c>
      <c r="D7" s="122">
        <f t="shared" ca="1" si="5"/>
        <v>0</v>
      </c>
      <c r="E7" s="122" t="str">
        <f t="shared" ca="1" si="5"/>
        <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485</v>
      </c>
      <c r="B8" s="122" t="str">
        <f ca="1">IFERROR(COUNTIF(OFFSET(INDIRECT(B$1 &amp; "!V48"),,,COUNTIF(INDIRECT(B$1 &amp; "!B48:B82"),"?*")),"=3")/3,"")</f>
        <v/>
      </c>
      <c r="C8" s="122">
        <f t="shared" ref="C8:O8" ca="1" si="6">IFERROR(COUNTIF(OFFSET(INDIRECT(C$1 &amp; "!V48"),,,COUNTIF(INDIRECT(C$1 &amp; "!B48:B82"),"?*")),"=3")/3,"")</f>
        <v>0</v>
      </c>
      <c r="D8" s="122">
        <f t="shared" ca="1" si="6"/>
        <v>0</v>
      </c>
      <c r="E8" s="122" t="str">
        <f t="shared" ca="1" si="6"/>
        <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486</v>
      </c>
      <c r="B9" s="122" t="str">
        <f ca="1">IFERROR(COUNTIF(INDIRECT(B$1 &amp; "!B85:B92"),"?*"),"")</f>
        <v/>
      </c>
      <c r="C9" s="122">
        <f t="shared" ref="C9:O9" ca="1" si="7">IFERROR(COUNTIF(INDIRECT(C$1 &amp; "!B85:B92"),"?*"),"")</f>
        <v>5</v>
      </c>
      <c r="D9" s="122">
        <f t="shared" ca="1" si="7"/>
        <v>4</v>
      </c>
      <c r="E9" s="122" t="str">
        <f t="shared" ca="1" si="7"/>
        <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xVb4cEo3DywFiN6/giWGR3snFWqkiVsY6BMAXl5yYnZjl/LUsfgARnj6LqB+KMjSh0XS46RlN3/CizYyoeYubA==" saltValue="e0CTd+se3S40oOzDJ11J1Q=="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459" priority="12" operator="equal">
      <formula>0</formula>
    </cfRule>
    <cfRule type="cellIs" dxfId="458"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457" priority="8" operator="equal">
      <formula>0</formula>
    </cfRule>
    <cfRule type="cellIs" dxfId="456" priority="9" operator="greaterThan">
      <formula>0</formula>
    </cfRule>
  </conditionalFormatting>
  <conditionalFormatting sqref="B9:O9">
    <cfRule type="containsBlanks" priority="1" stopIfTrue="1">
      <formula>LEN(TRIM(B9))=0</formula>
    </cfRule>
    <cfRule type="cellIs" dxfId="455" priority="2" operator="greaterThan">
      <formula>0</formula>
    </cfRule>
    <cfRule type="cellIs" dxfId="454"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FX103"/>
  <sheetViews>
    <sheetView tabSelected="1" view="pageLayout" zoomScaleNormal="100" workbookViewId="0">
      <selection activeCell="FG47" sqref="FG47:FJ47"/>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80" ht="15.6" customHeight="1" thickTop="1" thickBot="1" x14ac:dyDescent="0.3">
      <c r="A1" s="266" t="s">
        <v>4</v>
      </c>
      <c r="B1" s="267"/>
      <c r="C1" s="267"/>
      <c r="D1" s="267"/>
      <c r="E1" s="32" t="str">
        <f>IFERROR(IF(VLOOKUP(A1,SKV!$B$48:$AA$82,10,FALSE)=0,"",VLOOKUP(A1,SKV!$B$48:$AA$82,10,FALSE)),"")</f>
        <v/>
      </c>
      <c r="F1" s="52">
        <f>IFERROR(VLOOKUP(A1,SKV!$B$48:$AA$82,9,FALSE),"")</f>
        <v>28</v>
      </c>
      <c r="G1" s="33"/>
      <c r="H1" s="282" t="s">
        <v>154</v>
      </c>
      <c r="I1" s="282"/>
      <c r="J1" s="282"/>
      <c r="K1" s="282"/>
      <c r="L1" s="33"/>
      <c r="M1" s="266" t="s">
        <v>19</v>
      </c>
      <c r="N1" s="267"/>
      <c r="O1" s="267"/>
      <c r="P1" s="267"/>
      <c r="Q1" s="32" t="str">
        <f>IFERROR(IF(VLOOKUP(M1,SKV!$B$48:$AA$82,10,FALSE)=0,"",VLOOKUP(M1,SKV!$B$48:$AA$82,10,FALSE)),"")</f>
        <v/>
      </c>
      <c r="R1" s="52">
        <f>IFERROR(VLOOKUP(M1,SKV!$B$48:$AA$82,9,FALSE),"")</f>
        <v>99</v>
      </c>
      <c r="S1" s="266" t="s">
        <v>161</v>
      </c>
      <c r="T1" s="267"/>
      <c r="U1" s="267"/>
      <c r="V1" s="267"/>
      <c r="W1" s="32" t="str">
        <f>IFERROR(IF(VLOOKUP(S1,CHO!$B$48:$AA$82,10,FALSE)=0,"",VLOOKUP(S1,CHO!$B$48:$AA$82,10,FALSE)),"")</f>
        <v/>
      </c>
      <c r="X1" s="52">
        <f>IFERROR(VLOOKUP(S1,CHO!$B$48:$AA$82,9,FALSE),"")</f>
        <v>25</v>
      </c>
      <c r="Y1" s="33"/>
      <c r="Z1" s="282" t="s">
        <v>154</v>
      </c>
      <c r="AA1" s="282"/>
      <c r="AB1" s="282"/>
      <c r="AC1" s="282"/>
      <c r="AD1" s="33"/>
      <c r="AE1" s="266" t="s">
        <v>160</v>
      </c>
      <c r="AF1" s="267"/>
      <c r="AG1" s="267"/>
      <c r="AH1" s="267"/>
      <c r="AI1" s="32" t="str">
        <f>IFERROR(IF(VLOOKUP(AE1,CHO!$B$48:$AA$82,10,FALSE)=0,"",VLOOKUP(AE1,CHO!$B$48:$AA$82,10,FALSE)),"")</f>
        <v/>
      </c>
      <c r="AJ1" s="52">
        <f>IFERROR(VLOOKUP(AE1,CHO!$B$48:$AA$82,9,FALSE),"")</f>
        <v>21</v>
      </c>
      <c r="AK1" s="266"/>
      <c r="AL1" s="267"/>
      <c r="AM1" s="267"/>
      <c r="AN1" s="267"/>
      <c r="AO1" s="32" t="str">
        <f>IFERROR(IF(VLOOKUP(AK1,VIT!$B$48:$R$82,10,FALSE)=0,"",VLOOKUP(AK1,VIT!$B$48:$R$82,10,FALSE)),"")</f>
        <v/>
      </c>
      <c r="AP1" s="52" t="str">
        <f>IFERROR(VLOOKUP(AK1,VIT!$B$48:$R$82,9,FALSE),"")</f>
        <v/>
      </c>
      <c r="AQ1" s="33"/>
      <c r="AR1" s="282" t="s">
        <v>154</v>
      </c>
      <c r="AS1" s="282"/>
      <c r="AT1" s="282"/>
      <c r="AU1" s="282"/>
      <c r="AV1" s="33"/>
      <c r="AW1" s="266"/>
      <c r="AX1" s="267"/>
      <c r="AY1" s="267"/>
      <c r="AZ1" s="267"/>
      <c r="BA1" s="32" t="str">
        <f>IFERROR(IF(VLOOKUP(AW1,VIT!$B$48:$R$82,10,FALSE)=0,"",VLOOKUP(AW1,VIT!$B$48:$R$82,10,FALSE)),"")</f>
        <v/>
      </c>
      <c r="BB1" s="52" t="str">
        <f>IFERROR(VLOOKUP(AW1,VIT!$B$48:$R$82,9,FALSE),"")</f>
        <v/>
      </c>
      <c r="BC1" s="266" t="s">
        <v>293</v>
      </c>
      <c r="BD1" s="267"/>
      <c r="BE1" s="267"/>
      <c r="BF1" s="267"/>
      <c r="BG1" s="32" t="str">
        <f>IFERROR(IF(VLOOKUP(AW1,MB!$B$48:$R$82,10,FALSE)=0,"",VLOOKUP(AW1,MB!$B$48:$R$82,10,FALSE)),"")</f>
        <v/>
      </c>
      <c r="BH1" s="52">
        <f>IFERROR(VLOOKUP(BC1,MB!$B$48:$R$82,9,FALSE),"")</f>
        <v>88</v>
      </c>
      <c r="BI1" s="33"/>
      <c r="BJ1" s="282" t="s">
        <v>154</v>
      </c>
      <c r="BK1" s="282"/>
      <c r="BL1" s="282"/>
      <c r="BM1" s="282"/>
      <c r="BN1" s="33"/>
      <c r="BO1" s="266" t="s">
        <v>294</v>
      </c>
      <c r="BP1" s="267"/>
      <c r="BQ1" s="267"/>
      <c r="BR1" s="267"/>
      <c r="BS1" s="32" t="str">
        <f>IFERROR(IF(VLOOKUP(BO1,MB!$B$48:$R$82,10,FALSE)=0,"",VLOOKUP(BO1,MB!$B$48:$R$82,10,FALSE)),"")</f>
        <v/>
      </c>
      <c r="BT1" s="52">
        <f>IFERROR(VLOOKUP(BO1,MB!$B$48:$R$82,9,FALSE),"")</f>
        <v>17</v>
      </c>
      <c r="BU1" s="266"/>
      <c r="BV1" s="267"/>
      <c r="BW1" s="267"/>
      <c r="BX1" s="267"/>
      <c r="BY1" s="32" t="str">
        <f>IFERROR(IF(VLOOKUP(BO1,TAT!$B$48:$R$82,10,FALSE)=0,"",VLOOKUP(BO1,TAT!$B$48:$R$82,10,FALSE)),"")</f>
        <v/>
      </c>
      <c r="BZ1" s="52" t="str">
        <f>IFERROR(VLOOKUP(BU1,TAT!$B$48:$R$82,9,FALSE),"")</f>
        <v/>
      </c>
      <c r="CA1" s="33"/>
      <c r="CB1" s="282" t="s">
        <v>154</v>
      </c>
      <c r="CC1" s="282"/>
      <c r="CD1" s="282"/>
      <c r="CE1" s="282"/>
      <c r="CF1" s="33"/>
      <c r="CG1" s="266"/>
      <c r="CH1" s="267"/>
      <c r="CI1" s="267"/>
      <c r="CJ1" s="267"/>
      <c r="CK1" s="32" t="str">
        <f>IFERROR(IF(VLOOKUP(CG1,TAT!$B$48:$R$82,10,FALSE)=0,"",VLOOKUP(CG1,TAT!$B$48:$R$82,10,FALSE)),"")</f>
        <v/>
      </c>
      <c r="CL1" s="52" t="str">
        <f>IFERROR(VLOOKUP(CG1,TAT!$B$48:$R$82,9,FALSE),"")</f>
        <v/>
      </c>
      <c r="CM1" s="266" t="s">
        <v>419</v>
      </c>
      <c r="CN1" s="267"/>
      <c r="CO1" s="267"/>
      <c r="CP1" s="267"/>
      <c r="CQ1" s="32" t="str">
        <f>IFERROR(IF(VLOOKUP(CG1,OTR!$B$48:$R$82,10,FALSE)=0,"",VLOOKUP(CG1,OTR!$B$48:$R$82,10,FALSE)),"")</f>
        <v/>
      </c>
      <c r="CR1" s="52">
        <f>IFERROR(VLOOKUP(CM1,OTR!$B$48:$R$82,9,FALSE),"")</f>
        <v>70</v>
      </c>
      <c r="CS1" s="33"/>
      <c r="CT1" s="282" t="s">
        <v>154</v>
      </c>
      <c r="CU1" s="282"/>
      <c r="CV1" s="282"/>
      <c r="CW1" s="282"/>
      <c r="CX1" s="33"/>
      <c r="CY1" s="266" t="s">
        <v>425</v>
      </c>
      <c r="CZ1" s="267"/>
      <c r="DA1" s="267"/>
      <c r="DB1" s="267"/>
      <c r="DC1" s="32" t="str">
        <f>IFERROR(IF(VLOOKUP(CY1,OTR!$B$48:$R$82,10,FALSE)=0,"",VLOOKUP(CY1,OTR!$B$48:$R$82,10,FALSE)),"")</f>
        <v/>
      </c>
      <c r="DD1" s="52">
        <f>IFERROR(VLOOKUP(CY1,OTR!$B$48:$R$82,9,FALSE),"")</f>
        <v>91</v>
      </c>
      <c r="DE1" s="266" t="s">
        <v>496</v>
      </c>
      <c r="DF1" s="267"/>
      <c r="DG1" s="267"/>
      <c r="DH1" s="267"/>
      <c r="DI1" s="32" t="str">
        <f>IFERROR(IF(VLOOKUP(CY1,BOH!$B$48:$R$82,10,FALSE)=0,"",VLOOKUP(CY1,BOH!$B$48:$R$82,10,FALSE)),"")</f>
        <v/>
      </c>
      <c r="DJ1" s="52">
        <f>IFERROR(VLOOKUP(DE1,BOH!$B$48:$R$82,9,FALSE),"")</f>
        <v>21</v>
      </c>
      <c r="DK1" s="33"/>
      <c r="DL1" s="282" t="s">
        <v>154</v>
      </c>
      <c r="DM1" s="282"/>
      <c r="DN1" s="282"/>
      <c r="DO1" s="282"/>
      <c r="DP1" s="33"/>
      <c r="DQ1" s="266" t="s">
        <v>492</v>
      </c>
      <c r="DR1" s="267"/>
      <c r="DS1" s="267"/>
      <c r="DT1" s="267"/>
      <c r="DU1" s="32" t="str">
        <f>IFERROR(IF(VLOOKUP(DQ1,BOH!$B$48:$R$82,10,FALSE)=0,"",VLOOKUP(DQ1,BOH!$B$48:$R$82,10,FALSE)),"")</f>
        <v/>
      </c>
      <c r="DV1" s="52">
        <f>IFERROR(VLOOKUP(DQ1,BOH!$B$48:$R$82,9,FALSE),"")</f>
        <v>38</v>
      </c>
      <c r="DW1" s="266"/>
      <c r="DX1" s="267"/>
      <c r="DY1" s="267"/>
      <c r="DZ1" s="267"/>
      <c r="EA1" s="32" t="str">
        <f>IFERROR(IF(VLOOKUP(DQ1,SPA!$B$48:$R$82,10,FALSE)=0,"",VLOOKUP(DQ1,SPA!$B$48:$R$82,10,FALSE)),"")</f>
        <v/>
      </c>
      <c r="EB1" s="52" t="str">
        <f>IFERROR(VLOOKUP(DW1,SPA!$B$48:$R$82,9,FALSE),"")</f>
        <v/>
      </c>
      <c r="EC1" s="33"/>
      <c r="ED1" s="282" t="s">
        <v>154</v>
      </c>
      <c r="EE1" s="282"/>
      <c r="EF1" s="282"/>
      <c r="EG1" s="282"/>
      <c r="EH1" s="33"/>
      <c r="EI1" s="266"/>
      <c r="EJ1" s="267"/>
      <c r="EK1" s="267"/>
      <c r="EL1" s="267"/>
      <c r="EM1" s="32" t="str">
        <f>IFERROR(IF(VLOOKUP(EI1,SPA!$B$48:$R$82,10,FALSE)=0,"",VLOOKUP(EI1,SPA!$B$48:$R$82,10,FALSE)),"")</f>
        <v/>
      </c>
      <c r="EN1" s="52" t="str">
        <f>IFERROR(VLOOKUP(EI1,SPA!$B$48:$R$82,9,FALSE),"")</f>
        <v/>
      </c>
      <c r="EO1" s="266"/>
      <c r="EP1" s="267"/>
      <c r="EQ1" s="267"/>
      <c r="ER1" s="267"/>
      <c r="ES1" s="32" t="str">
        <f>IFERROR(IF(VLOOKUP(EI1,CLP!$B$48:$R$82,10,FALSE)=0,"",VLOOKUP(EI1,CLP!$B$48:$R$82,10,FALSE)),"")</f>
        <v/>
      </c>
      <c r="ET1" s="52" t="str">
        <f>IFERROR(VLOOKUP(EO1,CLP!$B$48:$R$82,9,FALSE),"")</f>
        <v/>
      </c>
      <c r="EU1" s="33"/>
      <c r="EV1" s="282" t="s">
        <v>154</v>
      </c>
      <c r="EW1" s="282"/>
      <c r="EX1" s="282"/>
      <c r="EY1" s="282"/>
      <c r="EZ1" s="33"/>
      <c r="FA1" s="266"/>
      <c r="FB1" s="267"/>
      <c r="FC1" s="267"/>
      <c r="FD1" s="267"/>
      <c r="FE1" s="32" t="str">
        <f>IFERROR(IF(VLOOKUP(FA1,CLP!$B$48:$R$82,10,FALSE)=0,"",VLOOKUP(FA1,CLP!$B$48:$R$82,10,FALSE)),"")</f>
        <v/>
      </c>
      <c r="FF1" s="52" t="str">
        <f>IFERROR(VLOOKUP(FA1,CLP!$B$48:$R$82,9,FALSE),"")</f>
        <v/>
      </c>
      <c r="FG1" s="266"/>
      <c r="FH1" s="267"/>
      <c r="FI1" s="267"/>
      <c r="FJ1" s="267"/>
      <c r="FK1" s="32" t="str">
        <f>IFERROR(IF(VLOOKUP(FA1,LIB!$B$48:$R$82,10,FALSE)=0,"",VLOOKUP(FA1,LIB!$B$48:$R$82,10,FALSE)),"")</f>
        <v/>
      </c>
      <c r="FL1" s="52" t="str">
        <f>IFERROR(VLOOKUP(FG1,LIB!$B$48:$R$82,9,FALSE),"")</f>
        <v/>
      </c>
      <c r="FM1" s="33"/>
      <c r="FN1" s="282" t="s">
        <v>154</v>
      </c>
      <c r="FO1" s="282"/>
      <c r="FP1" s="282"/>
      <c r="FQ1" s="282"/>
      <c r="FR1" s="33"/>
      <c r="FS1" s="266"/>
      <c r="FT1" s="267"/>
      <c r="FU1" s="267"/>
      <c r="FV1" s="267"/>
      <c r="FW1" s="32" t="str">
        <f>IFERROR(IF(VLOOKUP(FS1,LIB!$B$48:$R$82,10,FALSE)=0,"",VLOOKUP(FS1,LIB!$B$48:$R$82,10,FALSE)),"")</f>
        <v/>
      </c>
      <c r="FX1" s="52" t="str">
        <f>IFERROR(VLOOKUP(FS1,LIB!$B$48:$R$82,9,FALSE),"")</f>
        <v/>
      </c>
    </row>
    <row r="2" spans="1:180" ht="15.6" customHeight="1" thickBot="1" x14ac:dyDescent="0.3">
      <c r="A2" s="34" t="str">
        <f>IFERROR(VLOOKUP(A1,SKV!$B$48:$AA$82,11,FALSE),"")</f>
        <v>P</v>
      </c>
      <c r="B2" s="269">
        <f>IFERROR(YEAR(VLOOKUP(A1,SKV!$B$48:$AA$82,2,FALSE)),"")</f>
        <v>1995</v>
      </c>
      <c r="C2" s="240"/>
      <c r="D2" s="35">
        <f ca="1">IFERROR(VLOOKUP(A1,SKV!$B$48:$AA$82,3,FALSE),"")</f>
        <v>25</v>
      </c>
      <c r="E2" s="270" t="str">
        <f>IFERROR(VLOOKUP(A1,SKV!$B$48:$AA$82,15,FALSE),"")</f>
        <v>183/76</v>
      </c>
      <c r="F2" s="271"/>
      <c r="G2" s="33"/>
      <c r="H2" s="33"/>
      <c r="I2" s="33"/>
      <c r="J2" s="33"/>
      <c r="K2" s="33"/>
      <c r="L2" s="33"/>
      <c r="M2" s="34" t="str">
        <f>IFERROR(VLOOKUP(M1,SKV!$B$48:$AA$82,11,FALSE),"")</f>
        <v>L</v>
      </c>
      <c r="N2" s="269">
        <f>IFERROR(YEAR(VLOOKUP(M1,SKV!$B$48:$AA$82,2,FALSE)),"")</f>
        <v>2000</v>
      </c>
      <c r="O2" s="240"/>
      <c r="P2" s="35">
        <f ca="1">IFERROR(VLOOKUP(M1,SKV!$B$48:$AA$82,3,FALSE),"")</f>
        <v>20</v>
      </c>
      <c r="Q2" s="270" t="str">
        <f>IFERROR(VLOOKUP(M1,SKV!$B$48:$AA$82,15,FALSE),"")</f>
        <v>186/80</v>
      </c>
      <c r="R2" s="271"/>
      <c r="S2" s="34" t="str">
        <f>IFERROR(VLOOKUP(S1,CHO!$B$48:$AA$82,11,FALSE),"")</f>
        <v>P</v>
      </c>
      <c r="T2" s="269">
        <f>IFERROR(YEAR(VLOOKUP(S1,CHO!$B$48:$AA$82,2,FALSE)),"")</f>
        <v>1992</v>
      </c>
      <c r="U2" s="240"/>
      <c r="V2" s="35">
        <f ca="1">IFERROR(VLOOKUP(S1,CHO!$B$48:$AA$82,3,FALSE),"")</f>
        <v>28</v>
      </c>
      <c r="W2" s="270" t="str">
        <f>IFERROR(VLOOKUP(S1,CHO!$B$48:$AA$82,15,FALSE),"")</f>
        <v>186/82</v>
      </c>
      <c r="X2" s="271"/>
      <c r="Y2" s="33"/>
      <c r="Z2" s="33"/>
      <c r="AA2" s="33"/>
      <c r="AB2" s="33"/>
      <c r="AC2" s="33"/>
      <c r="AD2" s="33"/>
      <c r="AE2" s="34" t="str">
        <f>IFERROR(VLOOKUP(AE1,CHO!$B$48:$AA$82,11,FALSE),"")</f>
        <v>L</v>
      </c>
      <c r="AF2" s="269">
        <f>IFERROR(YEAR(VLOOKUP(AE1,CHO!$B$48:$AA$82,2,FALSE)),"")</f>
        <v>1993</v>
      </c>
      <c r="AG2" s="240"/>
      <c r="AH2" s="35">
        <f ca="1">IFERROR(VLOOKUP(AE1,CHO!$B$48:$AA$82,3,FALSE),"")</f>
        <v>27</v>
      </c>
      <c r="AI2" s="270" t="str">
        <f>IFERROR(VLOOKUP(AE1,CHO!$B$48:$AA$82,15,FALSE),"")</f>
        <v>178/72</v>
      </c>
      <c r="AJ2" s="271"/>
      <c r="AK2" s="34" t="str">
        <f>IFERROR(VLOOKUP(AK1,VIT!$B$48:$R$82,11,FALSE),"")</f>
        <v/>
      </c>
      <c r="AL2" s="269" t="str">
        <f>IFERROR(YEAR(VLOOKUP(AK1,VIT!$B$48:$R$82,2,FALSE)),"")</f>
        <v/>
      </c>
      <c r="AM2" s="240"/>
      <c r="AN2" s="106" t="str">
        <f>IFERROR(VLOOKUP(AK1,VIT!$B$48:$R$82,3,FALSE),"")</f>
        <v/>
      </c>
      <c r="AO2" s="270" t="str">
        <f>IFERROR(VLOOKUP(AK1,VIT!$B$48:$R$82,15,FALSE),"")</f>
        <v/>
      </c>
      <c r="AP2" s="271"/>
      <c r="AQ2" s="33"/>
      <c r="AR2" s="33"/>
      <c r="AS2" s="33"/>
      <c r="AT2" s="33"/>
      <c r="AU2" s="33"/>
      <c r="AV2" s="33"/>
      <c r="AW2" s="34" t="str">
        <f>IFERROR(VLOOKUP(AW1,VIT!$B$48:$R$82,11,FALSE),"")</f>
        <v/>
      </c>
      <c r="AX2" s="269" t="str">
        <f>IFERROR(YEAR(VLOOKUP(AW1,VIT!$B$48:$R$82,2,FALSE)),"")</f>
        <v/>
      </c>
      <c r="AY2" s="240"/>
      <c r="AZ2" s="106" t="str">
        <f>IFERROR(VLOOKUP(AW1,VIT!$B$48:$R$82,3,FALSE),"")</f>
        <v/>
      </c>
      <c r="BA2" s="270" t="str">
        <f>IFERROR(VLOOKUP(AW1,VIT!$B$48:$R$82,15,FALSE),"")</f>
        <v/>
      </c>
      <c r="BB2" s="271"/>
      <c r="BC2" s="34" t="str">
        <f>IFERROR(VLOOKUP(BC1,MB!$B$48:$R$82,11,FALSE),"")</f>
        <v>P</v>
      </c>
      <c r="BD2" s="269">
        <f>IFERROR(YEAR(VLOOKUP(BC1,MB!$B$48:$R$82,2,FALSE)),"")</f>
        <v>1992</v>
      </c>
      <c r="BE2" s="240"/>
      <c r="BF2" s="108">
        <f ca="1">IFERROR(VLOOKUP(BC1,MB!$B$48:$R$82,3,FALSE),"")</f>
        <v>28</v>
      </c>
      <c r="BG2" s="270" t="str">
        <f>IFERROR(VLOOKUP(BC1,MB!$B$48:$R$82,15,FALSE),"")</f>
        <v>181/76</v>
      </c>
      <c r="BH2" s="271"/>
      <c r="BI2" s="33"/>
      <c r="BJ2" s="33"/>
      <c r="BK2" s="33"/>
      <c r="BL2" s="33"/>
      <c r="BM2" s="33"/>
      <c r="BN2" s="33"/>
      <c r="BO2" s="34" t="str">
        <f>IFERROR(VLOOKUP(BO1,MB!$B$48:$R$82,11,FALSE),"")</f>
        <v>L</v>
      </c>
      <c r="BP2" s="269">
        <f>IFERROR(YEAR(VLOOKUP(BO1,MB!$B$48:$R$82,2,FALSE)),"")</f>
        <v>1998</v>
      </c>
      <c r="BQ2" s="240"/>
      <c r="BR2" s="108">
        <f ca="1">IFERROR(VLOOKUP(BO1,MB!$B$48:$R$82,3,FALSE),"")</f>
        <v>22</v>
      </c>
      <c r="BS2" s="270" t="str">
        <f>IFERROR(VLOOKUP(BO1,MB!$B$48:$R$82,15,FALSE),"")</f>
        <v>181/62</v>
      </c>
      <c r="BT2" s="271"/>
      <c r="BU2" s="34" t="str">
        <f>IFERROR(VLOOKUP(BU1,TAT!$B$48:$R$82,11,FALSE),"")</f>
        <v/>
      </c>
      <c r="BV2" s="269" t="str">
        <f>IFERROR(YEAR(VLOOKUP(BU1,TAT!$B$48:$R$82,2,FALSE)),"")</f>
        <v/>
      </c>
      <c r="BW2" s="240"/>
      <c r="BX2" s="150" t="str">
        <f>IFERROR(VLOOKUP(BU1,TAT!$B$48:$R$82,3,FALSE),"")</f>
        <v/>
      </c>
      <c r="BY2" s="270" t="str">
        <f>IFERROR(VLOOKUP(BU1,TAT!$B$48:$R$82,15,FALSE),"")</f>
        <v/>
      </c>
      <c r="BZ2" s="271"/>
      <c r="CA2" s="33"/>
      <c r="CB2" s="33"/>
      <c r="CC2" s="33"/>
      <c r="CD2" s="33"/>
      <c r="CE2" s="33"/>
      <c r="CF2" s="33"/>
      <c r="CG2" s="34" t="str">
        <f>IFERROR(VLOOKUP(CG1,TAT!$B$48:$R$82,11,FALSE),"")</f>
        <v/>
      </c>
      <c r="CH2" s="269" t="str">
        <f>IFERROR(YEAR(VLOOKUP(CG1,TAT!$B$48:$R$82,2,FALSE)),"")</f>
        <v/>
      </c>
      <c r="CI2" s="240"/>
      <c r="CJ2" s="150" t="str">
        <f>IFERROR(VLOOKUP(CG1,TAT!$B$48:$R$82,3,FALSE),"")</f>
        <v/>
      </c>
      <c r="CK2" s="270" t="str">
        <f>IFERROR(VLOOKUP(CG1,TAT!$B$48:$R$82,15,FALSE),"")</f>
        <v/>
      </c>
      <c r="CL2" s="271"/>
      <c r="CM2" s="34" t="str">
        <f>IFERROR(VLOOKUP(CM1,OTR!$B$48:$R$82,11,FALSE),"")</f>
        <v>L</v>
      </c>
      <c r="CN2" s="269">
        <f>IFERROR(YEAR(VLOOKUP(CM1,OTR!$B$48:$R$82,2,FALSE)),"")</f>
        <v>1998</v>
      </c>
      <c r="CO2" s="240"/>
      <c r="CP2" s="150">
        <f ca="1">IFERROR(VLOOKUP(CM1,OTR!$B$48:$R$82,3,FALSE),"")</f>
        <v>22</v>
      </c>
      <c r="CQ2" s="270" t="str">
        <f>IFERROR(VLOOKUP(CM1,OTR!$B$48:$R$82,15,FALSE),"")</f>
        <v>185/75</v>
      </c>
      <c r="CR2" s="271"/>
      <c r="CS2" s="33"/>
      <c r="CT2" s="33"/>
      <c r="CU2" s="33"/>
      <c r="CV2" s="33"/>
      <c r="CW2" s="33"/>
      <c r="CX2" s="33"/>
      <c r="CY2" s="34" t="str">
        <f>IFERROR(VLOOKUP(CY1,OTR!$B$48:$R$82,11,FALSE),"")</f>
        <v>L</v>
      </c>
      <c r="CZ2" s="269">
        <f>IFERROR(YEAR(VLOOKUP(CY1,OTR!$B$48:$R$82,2,FALSE)),"")</f>
        <v>1984</v>
      </c>
      <c r="DA2" s="240"/>
      <c r="DB2" s="150">
        <f ca="1">IFERROR(VLOOKUP(CY1,OTR!$B$48:$R$82,3,FALSE),"")</f>
        <v>36</v>
      </c>
      <c r="DC2" s="270" t="str">
        <f>IFERROR(VLOOKUP(CY1,OTR!$B$48:$R$82,15,FALSE),"")</f>
        <v>192/81</v>
      </c>
      <c r="DD2" s="271"/>
      <c r="DE2" s="34" t="str">
        <f>IFERROR(VLOOKUP(DE1,BOH!$B$48:$R$82,11,FALSE),"")</f>
        <v>L</v>
      </c>
      <c r="DF2" s="269">
        <f>IFERROR(YEAR(VLOOKUP(DE1,BOH!$B$48:$R$82,2,FALSE)),"")</f>
        <v>2001</v>
      </c>
      <c r="DG2" s="240"/>
      <c r="DH2" s="165">
        <f ca="1">IFERROR(VLOOKUP(DE1,BOH!$B$48:$R$82,3,FALSE),"")</f>
        <v>19</v>
      </c>
      <c r="DI2" s="270" t="str">
        <f>IFERROR(VLOOKUP(DE1,BOH!$B$48:$R$82,15,FALSE),"")</f>
        <v>183/67</v>
      </c>
      <c r="DJ2" s="271"/>
      <c r="DK2" s="33"/>
      <c r="DL2" s="33"/>
      <c r="DM2" s="33"/>
      <c r="DN2" s="33"/>
      <c r="DO2" s="33"/>
      <c r="DP2" s="33"/>
      <c r="DQ2" s="34" t="str">
        <f>IFERROR(VLOOKUP(DQ1,BOH!$B$48:$R$82,11,FALSE),"")</f>
        <v>L</v>
      </c>
      <c r="DR2" s="269">
        <f>IFERROR(YEAR(VLOOKUP(DQ1,BOH!$B$48:$R$82,2,FALSE)),"")</f>
        <v>2003</v>
      </c>
      <c r="DS2" s="240"/>
      <c r="DT2" s="165">
        <f ca="1">IFERROR(VLOOKUP(DQ1,BOH!$B$48:$R$82,3,FALSE),"")</f>
        <v>18</v>
      </c>
      <c r="DU2" s="270" t="str">
        <f>IFERROR(VLOOKUP(DQ1,BOH!$B$48:$R$82,15,FALSE),"")</f>
        <v>175/65</v>
      </c>
      <c r="DV2" s="271"/>
      <c r="DW2" s="34" t="str">
        <f>IFERROR(VLOOKUP(DW1,SPA!$B$48:$R$82,11,FALSE),"")</f>
        <v/>
      </c>
      <c r="DX2" s="269" t="str">
        <f>IFERROR(YEAR(VLOOKUP(DW1,SPA!$B$48:$R$82,2,FALSE)),"")</f>
        <v/>
      </c>
      <c r="DY2" s="240"/>
      <c r="DZ2" s="165" t="str">
        <f>IFERROR(VLOOKUP(DW1,SPA!$B$48:$R$82,3,FALSE),"")</f>
        <v/>
      </c>
      <c r="EA2" s="270" t="str">
        <f>IFERROR(VLOOKUP(DW1,SPA!$B$48:$R$82,15,FALSE),"")</f>
        <v/>
      </c>
      <c r="EB2" s="271"/>
      <c r="EC2" s="33"/>
      <c r="ED2" s="33"/>
      <c r="EE2" s="33"/>
      <c r="EF2" s="33"/>
      <c r="EG2" s="33"/>
      <c r="EH2" s="33"/>
      <c r="EI2" s="34" t="str">
        <f>IFERROR(VLOOKUP(EI1,SPA!$B$48:$R$82,11,FALSE),"")</f>
        <v/>
      </c>
      <c r="EJ2" s="269" t="str">
        <f>IFERROR(YEAR(VLOOKUP(EI1,SPA!$B$48:$R$82,2,FALSE)),"")</f>
        <v/>
      </c>
      <c r="EK2" s="240"/>
      <c r="EL2" s="165" t="str">
        <f>IFERROR(VLOOKUP(EI1,SPA!$B$48:$R$82,3,FALSE),"")</f>
        <v/>
      </c>
      <c r="EM2" s="270" t="str">
        <f>IFERROR(VLOOKUP(EI1,SPA!$B$48:$R$82,15,FALSE),"")</f>
        <v/>
      </c>
      <c r="EN2" s="271"/>
      <c r="EO2" s="34" t="str">
        <f>IFERROR(VLOOKUP(EO1,CLP!$B$48:$R$82,11,FALSE),"")</f>
        <v/>
      </c>
      <c r="EP2" s="269" t="str">
        <f>IFERROR(YEAR(VLOOKUP(EO1,CLP!$B$48:$R$82,2,FALSE)),"")</f>
        <v/>
      </c>
      <c r="EQ2" s="240"/>
      <c r="ER2" s="204" t="str">
        <f>IFERROR(VLOOKUP(EO1,CLP!$B$48:$R$82,3,FALSE),"")</f>
        <v/>
      </c>
      <c r="ES2" s="270" t="str">
        <f>IFERROR(VLOOKUP(EO1,CLP!$B$48:$R$82,15,FALSE),"")</f>
        <v/>
      </c>
      <c r="ET2" s="271"/>
      <c r="EU2" s="33"/>
      <c r="EV2" s="33"/>
      <c r="EW2" s="33"/>
      <c r="EX2" s="33"/>
      <c r="EY2" s="33"/>
      <c r="EZ2" s="33"/>
      <c r="FA2" s="34" t="str">
        <f>IFERROR(VLOOKUP(FA1,CLP!$B$48:$R$82,11,FALSE),"")</f>
        <v/>
      </c>
      <c r="FB2" s="269" t="str">
        <f>IFERROR(YEAR(VLOOKUP(FA1,CLP!$B$48:$R$82,2,FALSE)),"")</f>
        <v/>
      </c>
      <c r="FC2" s="240"/>
      <c r="FD2" s="204" t="str">
        <f>IFERROR(VLOOKUP(FA1,CLP!$B$48:$R$82,3,FALSE),"")</f>
        <v/>
      </c>
      <c r="FE2" s="270" t="str">
        <f>IFERROR(VLOOKUP(FA1,CLP!$B$48:$R$82,15,FALSE),"")</f>
        <v/>
      </c>
      <c r="FF2" s="271"/>
      <c r="FG2" s="34" t="str">
        <f>IFERROR(VLOOKUP(FG1,LIB!$B$48:$R$82,11,FALSE),"")</f>
        <v/>
      </c>
      <c r="FH2" s="269" t="str">
        <f>IFERROR(YEAR(VLOOKUP(FG1,LIB!$B$48:$R$82,2,FALSE)),"")</f>
        <v/>
      </c>
      <c r="FI2" s="240"/>
      <c r="FJ2" s="204" t="str">
        <f>IFERROR(VLOOKUP(FG1,LIB!$B$48:$R$82,3,FALSE),"")</f>
        <v/>
      </c>
      <c r="FK2" s="270" t="str">
        <f>IFERROR(VLOOKUP(FG1,LIB!$B$48:$R$82,15,FALSE),"")</f>
        <v/>
      </c>
      <c r="FL2" s="271"/>
      <c r="FM2" s="33"/>
      <c r="FN2" s="33"/>
      <c r="FO2" s="33"/>
      <c r="FP2" s="33"/>
      <c r="FQ2" s="33"/>
      <c r="FR2" s="33"/>
      <c r="FS2" s="34" t="str">
        <f>IFERROR(VLOOKUP(FS1,LIB!$B$48:$R$82,11,FALSE),"")</f>
        <v/>
      </c>
      <c r="FT2" s="269" t="str">
        <f>IFERROR(YEAR(VLOOKUP(FS1,LIB!$B$48:$R$82,2,FALSE)),"")</f>
        <v/>
      </c>
      <c r="FU2" s="240"/>
      <c r="FV2" s="204" t="str">
        <f>IFERROR(VLOOKUP(FS1,LIB!$B$48:$R$82,3,FALSE),"")</f>
        <v/>
      </c>
      <c r="FW2" s="270" t="str">
        <f>IFERROR(VLOOKUP(FS1,LIB!$B$48:$R$82,15,FALSE),"")</f>
        <v/>
      </c>
      <c r="FX2" s="271"/>
    </row>
    <row r="3" spans="1:180" ht="15.6" customHeight="1" thickTop="1" thickBot="1" x14ac:dyDescent="0.3">
      <c r="A3" s="277" t="str">
        <f>IFERROR(VLOOKUP(A1,SKV!$B$2:$O$36,14,FALSE),"")</f>
        <v>23 OZ , 10 (7+3), -12 ±</v>
      </c>
      <c r="B3" s="278"/>
      <c r="C3" s="278"/>
      <c r="D3" s="279" t="str">
        <f>IFERROR(VLOOKUP(A1,SKV!$B$48:$AA$82,14,FALSE),"")</f>
        <v>100 OZ, 38 (25+13)</v>
      </c>
      <c r="E3" s="279"/>
      <c r="F3" s="280"/>
      <c r="G3" s="266" t="s">
        <v>20</v>
      </c>
      <c r="H3" s="267"/>
      <c r="I3" s="267"/>
      <c r="J3" s="267"/>
      <c r="K3" s="32" t="str">
        <f>IFERROR(IF(VLOOKUP(G3,SKV!$B$48:$AA$82,10,FALSE)=0,"",VLOOKUP(G3,SKV!$B$48:$AA$82,10,FALSE)),"")</f>
        <v/>
      </c>
      <c r="L3" s="52">
        <f>IFERROR(VLOOKUP(G3,SKV!$B$48:$AA$82,9,FALSE),"")</f>
        <v>64</v>
      </c>
      <c r="M3" s="277" t="str">
        <f>IFERROR(VLOOKUP(M1,SKV!$B$2:$O$36,14,FALSE),"")</f>
        <v>21 OZ , 13 (4+9), -12 ±</v>
      </c>
      <c r="N3" s="278"/>
      <c r="O3" s="278"/>
      <c r="P3" s="279" t="str">
        <f>IFERROR(VLOOKUP(M1,SKV!$B$48:$AA$82,14,FALSE),"")</f>
        <v>21 OZ, 13 (4+9)</v>
      </c>
      <c r="Q3" s="279"/>
      <c r="R3" s="280"/>
      <c r="S3" s="277" t="str">
        <f>IFERROR(VLOOKUP(S1,CHO!$B$2:$O$36,14,FALSE),"")</f>
        <v>21 OZ , 36 (21+15), +13 ±</v>
      </c>
      <c r="T3" s="278"/>
      <c r="U3" s="278"/>
      <c r="V3" s="279" t="str">
        <f>IFERROR(VLOOKUP(S1,CHO!$B$48:$AA$82,14,FALSE),"")</f>
        <v>235 OZ, 514 (316+198)</v>
      </c>
      <c r="W3" s="279"/>
      <c r="X3" s="280"/>
      <c r="Y3" s="266" t="s">
        <v>162</v>
      </c>
      <c r="Z3" s="267"/>
      <c r="AA3" s="267"/>
      <c r="AB3" s="267"/>
      <c r="AC3" s="32" t="str">
        <f>IFERROR(IF(VLOOKUP(Y3,CHO!$B$48:$AA$82,10,FALSE)=0,"",VLOOKUP(Y3,CHO!$B$48:$AA$82,10,FALSE)),"")</f>
        <v/>
      </c>
      <c r="AD3" s="52">
        <f>IFERROR(VLOOKUP(Y3,CHO!$B$48:$AA$82,9,FALSE),"")</f>
        <v>9</v>
      </c>
      <c r="AE3" s="277" t="str">
        <f>IFERROR(VLOOKUP(AE1,CHO!$B$2:$O$36,14,FALSE),"")</f>
        <v>21 OZ , 43 (25+18), +13 ±</v>
      </c>
      <c r="AF3" s="278"/>
      <c r="AG3" s="278"/>
      <c r="AH3" s="279" t="str">
        <f>IFERROR(VLOOKUP(AE1,CHO!$B$48:$AA$82,14,FALSE),"")</f>
        <v>225 OZ, 442 (260+182)</v>
      </c>
      <c r="AI3" s="279"/>
      <c r="AJ3" s="280"/>
      <c r="AK3" s="277" t="str">
        <f>IFERROR(VLOOKUP(AK1,VIT!$B$2:$O$36,14,FALSE),"")</f>
        <v/>
      </c>
      <c r="AL3" s="278"/>
      <c r="AM3" s="278"/>
      <c r="AN3" s="279" t="str">
        <f>IFERROR(VLOOKUP(AK1,VIT!$B$48:$R$82,14,FALSE),"")</f>
        <v/>
      </c>
      <c r="AO3" s="279"/>
      <c r="AP3" s="280"/>
      <c r="AQ3" s="266"/>
      <c r="AR3" s="267"/>
      <c r="AS3" s="267"/>
      <c r="AT3" s="267"/>
      <c r="AU3" s="32" t="str">
        <f>IFERROR(IF(VLOOKUP(AQ3,VIT!$B$48:$R$82,10,FALSE)=0,"",VLOOKUP(AQ3,VIT!$B$48:$R$82,10,FALSE)),"")</f>
        <v/>
      </c>
      <c r="AV3" s="52" t="str">
        <f>IFERROR(VLOOKUP(AQ3,VIT!$B$48:$R$82,9,FALSE),"")</f>
        <v/>
      </c>
      <c r="AW3" s="277" t="str">
        <f>IFERROR(VLOOKUP(AW1,VIT!$B$2:$O$36,14,FALSE),"")</f>
        <v/>
      </c>
      <c r="AX3" s="278"/>
      <c r="AY3" s="278"/>
      <c r="AZ3" s="279" t="str">
        <f>IFERROR(VLOOKUP(AW1,VIT!$B$48:$R$82,14,FALSE),"")</f>
        <v/>
      </c>
      <c r="BA3" s="279"/>
      <c r="BB3" s="280"/>
      <c r="BC3" s="277" t="str">
        <f>IFERROR(VLOOKUP(BC1,MB!$B$2:$O$36,14,FALSE),"")</f>
        <v>22 OZ , 35 (23+12), +35 ±</v>
      </c>
      <c r="BD3" s="278"/>
      <c r="BE3" s="278"/>
      <c r="BF3" s="279" t="str">
        <f>IFERROR(VLOOKUP(BC1,MB!$B$48:$R$82,14,FALSE),"")</f>
        <v>269 OZ, 451 (272+179)</v>
      </c>
      <c r="BG3" s="279"/>
      <c r="BH3" s="280"/>
      <c r="BI3" s="266" t="s">
        <v>292</v>
      </c>
      <c r="BJ3" s="267"/>
      <c r="BK3" s="267"/>
      <c r="BL3" s="267"/>
      <c r="BM3" s="32" t="str">
        <f>IFERROR(IF(VLOOKUP(BI3,MB!$B$48:$R$82,10,FALSE)=0,"",VLOOKUP(BI3,MB!$B$48:$R$82,10,FALSE)),"")</f>
        <v/>
      </c>
      <c r="BN3" s="52">
        <f>IFERROR(VLOOKUP(BI3,MB!$B$48:$R$82,9,FALSE),"")</f>
        <v>40</v>
      </c>
      <c r="BO3" s="277" t="str">
        <f>IFERROR(VLOOKUP(BO1,MB!$B$2:$O$36,14,FALSE),"")</f>
        <v>22 OZ , 34 (30+4), +34 ±</v>
      </c>
      <c r="BP3" s="278"/>
      <c r="BQ3" s="278"/>
      <c r="BR3" s="279" t="str">
        <f>IFERROR(VLOOKUP(BO1,MB!$B$48:$R$82,14,FALSE),"")</f>
        <v>134 OZ, 104 (77+27)</v>
      </c>
      <c r="BS3" s="279"/>
      <c r="BT3" s="280"/>
      <c r="BU3" s="277" t="str">
        <f>IFERROR(VLOOKUP(BU1,TAT!$B$2:$O$36,14,FALSE),"")</f>
        <v/>
      </c>
      <c r="BV3" s="278"/>
      <c r="BW3" s="278"/>
      <c r="BX3" s="279" t="str">
        <f>IFERROR(VLOOKUP(BU1,TAT!$B$48:$R$82,14,FALSE),"")</f>
        <v/>
      </c>
      <c r="BY3" s="279"/>
      <c r="BZ3" s="280"/>
      <c r="CA3" s="266"/>
      <c r="CB3" s="267"/>
      <c r="CC3" s="267"/>
      <c r="CD3" s="267"/>
      <c r="CE3" s="32" t="str">
        <f>IFERROR(IF(VLOOKUP(CA3,TAT!$B$48:$R$82,10,FALSE)=0,"",VLOOKUP(CA3,TAT!$B$48:$R$82,10,FALSE)),"")</f>
        <v/>
      </c>
      <c r="CF3" s="52" t="str">
        <f>IFERROR(VLOOKUP(CA3,TAT!$B$48:$R$82,9,FALSE),"")</f>
        <v/>
      </c>
      <c r="CG3" s="277" t="str">
        <f>IFERROR(VLOOKUP(CG1,TAT!$B$2:$O$36,14,FALSE),"")</f>
        <v/>
      </c>
      <c r="CH3" s="278"/>
      <c r="CI3" s="278"/>
      <c r="CJ3" s="279" t="str">
        <f>IFERROR(VLOOKUP(CG1,TAT!$B$48:$R$82,14,FALSE),"")</f>
        <v/>
      </c>
      <c r="CK3" s="279"/>
      <c r="CL3" s="280"/>
      <c r="CM3" s="277" t="str">
        <f>IFERROR(VLOOKUP(CM1,OTR!$B$2:$O$36,14,FALSE),"")</f>
        <v>18 OZ , 15 (6+9), -17 ±</v>
      </c>
      <c r="CN3" s="278"/>
      <c r="CO3" s="278"/>
      <c r="CP3" s="279" t="str">
        <f>IFERROR(VLOOKUP(CM1,OTR!$B$48:$R$82,14,FALSE),"")</f>
        <v>44 OZ, 29 (12+17)</v>
      </c>
      <c r="CQ3" s="279"/>
      <c r="CR3" s="280"/>
      <c r="CS3" s="266" t="s">
        <v>418</v>
      </c>
      <c r="CT3" s="267"/>
      <c r="CU3" s="267"/>
      <c r="CV3" s="267"/>
      <c r="CW3" s="32" t="str">
        <f>IFERROR(IF(VLOOKUP(CS3,OTR!$B$48:$R$82,10,FALSE)=0,"",VLOOKUP(CS3,OTR!$B$48:$R$82,10,FALSE)),"")</f>
        <v/>
      </c>
      <c r="CX3" s="52">
        <f>IFERROR(VLOOKUP(CS3,OTR!$B$48:$R$82,9,FALSE),"")</f>
        <v>88</v>
      </c>
      <c r="CY3" s="277" t="str">
        <f>IFERROR(VLOOKUP(CY1,OTR!$B$2:$O$36,14,FALSE),"")</f>
        <v>22 OZ , 8 (5+3), -33 ±</v>
      </c>
      <c r="CZ3" s="278"/>
      <c r="DA3" s="278"/>
      <c r="DB3" s="279" t="str">
        <f>IFERROR(VLOOKUP(CY1,OTR!$B$48:$R$82,14,FALSE),"")</f>
        <v>303 OZ, 259 (121+138)</v>
      </c>
      <c r="DC3" s="279"/>
      <c r="DD3" s="280"/>
      <c r="DE3" s="277" t="str">
        <f>IFERROR(VLOOKUP(DE1,BOH!$B$2:$O$36,14,FALSE),"")</f>
        <v>23 OZ , 28 (19+9), 0 ±</v>
      </c>
      <c r="DF3" s="278"/>
      <c r="DG3" s="278"/>
      <c r="DH3" s="279" t="str">
        <f>IFERROR(VLOOKUP(DE1,BOH!$B$48:$R$82,14,FALSE),"")</f>
        <v>69 OZ, 93 (62+31)</v>
      </c>
      <c r="DI3" s="279"/>
      <c r="DJ3" s="280"/>
      <c r="DK3" s="266" t="s">
        <v>491</v>
      </c>
      <c r="DL3" s="267"/>
      <c r="DM3" s="267"/>
      <c r="DN3" s="267"/>
      <c r="DO3" s="32" t="str">
        <f>IFERROR(IF(VLOOKUP(DK3,BOH!$B$48:$R$82,10,FALSE)=0,"",VLOOKUP(DK3,BOH!$B$48:$R$82,10,FALSE)),"")</f>
        <v/>
      </c>
      <c r="DP3" s="52">
        <f>IFERROR(VLOOKUP(DK3,BOH!$B$48:$R$82,9,FALSE),"")</f>
        <v>12</v>
      </c>
      <c r="DQ3" s="277" t="str">
        <f>IFERROR(VLOOKUP(DQ1,BOH!$B$2:$O$36,14,FALSE),"")</f>
        <v>23 OZ , 28 (12+16), +15 ±</v>
      </c>
      <c r="DR3" s="278"/>
      <c r="DS3" s="278"/>
      <c r="DT3" s="279" t="str">
        <f>IFERROR(VLOOKUP(DQ1,BOH!$B$48:$R$82,14,FALSE),"")</f>
        <v>23 OZ, 28 (12+16)</v>
      </c>
      <c r="DU3" s="279"/>
      <c r="DV3" s="280"/>
      <c r="DW3" s="277" t="str">
        <f>IFERROR(VLOOKUP(DW1,SPA!$B$2:$O$36,14,FALSE),"")</f>
        <v/>
      </c>
      <c r="DX3" s="278"/>
      <c r="DY3" s="278"/>
      <c r="DZ3" s="279" t="str">
        <f>IFERROR(VLOOKUP(DW1,SPA!$B$48:$R$82,14,FALSE),"")</f>
        <v/>
      </c>
      <c r="EA3" s="279"/>
      <c r="EB3" s="280"/>
      <c r="EC3" s="266"/>
      <c r="ED3" s="267"/>
      <c r="EE3" s="267"/>
      <c r="EF3" s="267"/>
      <c r="EG3" s="32" t="str">
        <f>IFERROR(IF(VLOOKUP(EC3,SPA!$B$48:$R$82,10,FALSE)=0,"",VLOOKUP(EC3,SPA!$B$48:$R$82,10,FALSE)),"")</f>
        <v/>
      </c>
      <c r="EH3" s="52" t="str">
        <f>IFERROR(VLOOKUP(EC3,SPA!$B$48:$R$82,9,FALSE),"")</f>
        <v/>
      </c>
      <c r="EI3" s="277" t="str">
        <f>IFERROR(VLOOKUP(EI1,SPA!$B$2:$O$36,14,FALSE),"")</f>
        <v/>
      </c>
      <c r="EJ3" s="278"/>
      <c r="EK3" s="278"/>
      <c r="EL3" s="279" t="str">
        <f>IFERROR(VLOOKUP(EI1,SPA!$B$48:$R$82,14,FALSE),"")</f>
        <v/>
      </c>
      <c r="EM3" s="279"/>
      <c r="EN3" s="280"/>
      <c r="EO3" s="277" t="str">
        <f>IFERROR(VLOOKUP(EO1,CLP!$B$2:$O$36,14,FALSE),"")</f>
        <v/>
      </c>
      <c r="EP3" s="278"/>
      <c r="EQ3" s="278"/>
      <c r="ER3" s="279" t="str">
        <f>IFERROR(VLOOKUP(EO1,CLP!$B$48:$R$82,14,FALSE),"")</f>
        <v/>
      </c>
      <c r="ES3" s="279"/>
      <c r="ET3" s="280"/>
      <c r="EU3" s="266"/>
      <c r="EV3" s="267"/>
      <c r="EW3" s="267"/>
      <c r="EX3" s="267"/>
      <c r="EY3" s="32" t="str">
        <f>IFERROR(IF(VLOOKUP(EU3,CLP!$B$48:$R$82,10,FALSE)=0,"",VLOOKUP(EU3,CLP!$B$48:$R$82,10,FALSE)),"")</f>
        <v/>
      </c>
      <c r="EZ3" s="52" t="str">
        <f>IFERROR(VLOOKUP(EU3,CLP!$B$48:$R$82,9,FALSE),"")</f>
        <v/>
      </c>
      <c r="FA3" s="277" t="str">
        <f>IFERROR(VLOOKUP(FA1,CLP!$B$2:$O$36,14,FALSE),"")</f>
        <v/>
      </c>
      <c r="FB3" s="278"/>
      <c r="FC3" s="278"/>
      <c r="FD3" s="279" t="str">
        <f>IFERROR(VLOOKUP(FA1,CLP!$B$48:$R$82,14,FALSE),"")</f>
        <v/>
      </c>
      <c r="FE3" s="279"/>
      <c r="FF3" s="280"/>
      <c r="FG3" s="277" t="str">
        <f>IFERROR(VLOOKUP(FG1,LIB!$B$2:$O$36,14,FALSE),"")</f>
        <v/>
      </c>
      <c r="FH3" s="278"/>
      <c r="FI3" s="278"/>
      <c r="FJ3" s="279" t="str">
        <f>IFERROR(VLOOKUP(FG1,LIB!$B$48:$R$82,14,FALSE),"")</f>
        <v/>
      </c>
      <c r="FK3" s="279"/>
      <c r="FL3" s="280"/>
      <c r="FM3" s="266"/>
      <c r="FN3" s="267"/>
      <c r="FO3" s="267"/>
      <c r="FP3" s="267"/>
      <c r="FQ3" s="32" t="str">
        <f>IFERROR(IF(VLOOKUP(FM3,LIB!$B$48:$R$82,10,FALSE)=0,"",VLOOKUP(FM3,LIB!$B$48:$R$82,10,FALSE)),"")</f>
        <v/>
      </c>
      <c r="FR3" s="52" t="str">
        <f>IFERROR(VLOOKUP(FM3,LIB!$B$48:$R$82,9,FALSE),"")</f>
        <v/>
      </c>
      <c r="FS3" s="277" t="str">
        <f>IFERROR(VLOOKUP(FS1,LIB!$B$2:$O$36,14,FALSE),"")</f>
        <v/>
      </c>
      <c r="FT3" s="278"/>
      <c r="FU3" s="278"/>
      <c r="FV3" s="279" t="str">
        <f>IFERROR(VLOOKUP(FS1,LIB!$B$48:$R$82,14,FALSE),"")</f>
        <v/>
      </c>
      <c r="FW3" s="279"/>
      <c r="FX3" s="280"/>
    </row>
    <row r="4" spans="1:180" ht="15.6" customHeight="1" thickBot="1" x14ac:dyDescent="0.3">
      <c r="A4" s="243" t="str">
        <f>IFERROR(VLOOKUP(A1,SKV!$B$48:$AA$82,16,FALSE),"")</f>
        <v>Chodov</v>
      </c>
      <c r="B4" s="244"/>
      <c r="C4" s="245"/>
      <c r="D4" s="246">
        <f>IFERROR(VLOOKUP(A1,SKV!$B$48:$AA$82,17,FALSE),"")</f>
        <v>2006</v>
      </c>
      <c r="E4" s="247"/>
      <c r="F4" s="124">
        <f>IFERROR(VLOOKUP(A1,SKV!$B$48:$AA$82,8,FALSE),"")</f>
        <v>5</v>
      </c>
      <c r="G4" s="34" t="str">
        <f>IFERROR(VLOOKUP(G3,SKV!$B$48:$AA$82,11,FALSE),"")</f>
        <v>L</v>
      </c>
      <c r="H4" s="269">
        <f>IFERROR(YEAR(VLOOKUP(G3,SKV!$B$48:$AA$82,2,FALSE)),"")</f>
        <v>1993</v>
      </c>
      <c r="I4" s="240"/>
      <c r="J4" s="35">
        <f ca="1">IFERROR(VLOOKUP(G3,SKV!$B$48:$AA$82,3,FALSE),"")</f>
        <v>27</v>
      </c>
      <c r="K4" s="270" t="str">
        <f>IFERROR(VLOOKUP(G3,SKV!$B$48:$AA$82,15,FALSE),"")</f>
        <v>173/68</v>
      </c>
      <c r="L4" s="271"/>
      <c r="M4" s="243" t="str">
        <f>IFERROR(VLOOKUP(M1,SKV!$B$48:$AA$82,16,FALSE),"")</f>
        <v>Slovan J. Hradec</v>
      </c>
      <c r="N4" s="244"/>
      <c r="O4" s="245"/>
      <c r="P4" s="246">
        <f>IFERROR(VLOOKUP(M1,SKV!$B$48:$AA$82,17,FALSE),"")</f>
        <v>2014</v>
      </c>
      <c r="Q4" s="247"/>
      <c r="R4" s="124">
        <f>IFERROR(VLOOKUP(M1,SKV!$B$48:$AA$82,8,FALSE),"")</f>
        <v>1</v>
      </c>
      <c r="S4" s="243" t="str">
        <f>IFERROR(VLOOKUP(S1,CHO!$B$48:$AA$82,16,FALSE),"")</f>
        <v>SPA Sokol Brno I.</v>
      </c>
      <c r="T4" s="244"/>
      <c r="U4" s="245"/>
      <c r="V4" s="246">
        <f>IFERROR(VLOOKUP(S1,CHO!$B$48:$AA$82,17,FALSE),"")</f>
        <v>1999</v>
      </c>
      <c r="W4" s="247"/>
      <c r="X4" s="124">
        <f>IFERROR(VLOOKUP(S1,CHO!$B$48:$AA$82,8,FALSE),"")</f>
        <v>12</v>
      </c>
      <c r="Y4" s="34" t="str">
        <f>IFERROR(VLOOKUP(Y3,CHO!$B$48:$AA$82,11,FALSE),"")</f>
        <v>L</v>
      </c>
      <c r="Z4" s="269">
        <f>IFERROR(YEAR(VLOOKUP(Y3,CHO!$B$48:$AA$82,2,FALSE)),"")</f>
        <v>1989</v>
      </c>
      <c r="AA4" s="240"/>
      <c r="AB4" s="35">
        <f ca="1">IFERROR(VLOOKUP(Y3,CHO!$B$48:$AA$82,3,FALSE),"")</f>
        <v>31</v>
      </c>
      <c r="AC4" s="270" t="str">
        <f>IFERROR(VLOOKUP(Y3,CHO!$B$48:$AA$82,15,FALSE),"")</f>
        <v>182/82</v>
      </c>
      <c r="AD4" s="271"/>
      <c r="AE4" s="243" t="str">
        <f>IFERROR(VLOOKUP(AE1,CHO!$B$48:$AA$82,16,FALSE),"")</f>
        <v>Tatran Střešovice</v>
      </c>
      <c r="AF4" s="244"/>
      <c r="AG4" s="245"/>
      <c r="AH4" s="246">
        <f>IFERROR(VLOOKUP(AE1,CHO!$B$48:$AA$82,17,FALSE),"")</f>
        <v>2000</v>
      </c>
      <c r="AI4" s="247"/>
      <c r="AJ4" s="124">
        <f>IFERROR(VLOOKUP(AE1,CHO!$B$48:$AA$82,8,FALSE),"")</f>
        <v>11</v>
      </c>
      <c r="AK4" s="243" t="str">
        <f>IFERROR(VLOOKUP(AK1,VIT!$B$48:$R$82,16,FALSE),"")</f>
        <v/>
      </c>
      <c r="AL4" s="244"/>
      <c r="AM4" s="245"/>
      <c r="AN4" s="246" t="str">
        <f>IFERROR(VLOOKUP(AK1,VIT!$B$48:$R$82,17,FALSE),"")</f>
        <v/>
      </c>
      <c r="AO4" s="247"/>
      <c r="AP4" s="124" t="str">
        <f>IFERROR(VLOOKUP(AK1,VIT!$B$48:$R$82,8,FALSE),"")</f>
        <v/>
      </c>
      <c r="AQ4" s="34" t="str">
        <f>IFERROR(VLOOKUP(AQ3,VIT!$B$48:$R$82,11,FALSE),"")</f>
        <v/>
      </c>
      <c r="AR4" s="269" t="str">
        <f>IFERROR(YEAR(VLOOKUP(AQ3,VIT!$B$48:$R$82,2,FALSE)),"")</f>
        <v/>
      </c>
      <c r="AS4" s="240"/>
      <c r="AT4" s="106" t="str">
        <f>IFERROR(VLOOKUP(AQ3,VIT!$B$48:$R$82,3,FALSE),"")</f>
        <v/>
      </c>
      <c r="AU4" s="270" t="str">
        <f>IFERROR(VLOOKUP(AQ3,VIT!$B$48:$R$82,15,FALSE),"")</f>
        <v/>
      </c>
      <c r="AV4" s="271"/>
      <c r="AW4" s="243" t="str">
        <f>IFERROR(VLOOKUP(AW1,VIT!$B$48:$R$82,16,FALSE),"")</f>
        <v/>
      </c>
      <c r="AX4" s="244"/>
      <c r="AY4" s="245"/>
      <c r="AZ4" s="246" t="str">
        <f>IFERROR(VLOOKUP(AW1,VIT!$B$48:$R$82,17,FALSE),"")</f>
        <v/>
      </c>
      <c r="BA4" s="247"/>
      <c r="BB4" s="124" t="str">
        <f>IFERROR(VLOOKUP(AW1,VIT!$B$48:$R$82,8,FALSE),"")</f>
        <v/>
      </c>
      <c r="BC4" s="243" t="str">
        <f>IFERROR(VLOOKUP(BC1,MB!$B$48:$R$82,16,FALSE),"")</f>
        <v>Torpedo Havířov</v>
      </c>
      <c r="BD4" s="244"/>
      <c r="BE4" s="245"/>
      <c r="BF4" s="246">
        <f>IFERROR(VLOOKUP(BC1,MB!$B$48:$R$82,17,FALSE),"")</f>
        <v>2000</v>
      </c>
      <c r="BG4" s="247"/>
      <c r="BH4" s="124">
        <f>IFERROR(VLOOKUP(BC1,MB!$B$48:$R$82,8,FALSE),"")</f>
        <v>13</v>
      </c>
      <c r="BI4" s="34" t="str">
        <f>IFERROR(VLOOKUP(BI3,MB!$B$48:$R$82,11,FALSE),"")</f>
        <v>L</v>
      </c>
      <c r="BJ4" s="269">
        <f>IFERROR(YEAR(VLOOKUP(BI3,MB!$B$48:$R$82,2,FALSE)),"")</f>
        <v>1989</v>
      </c>
      <c r="BK4" s="240"/>
      <c r="BL4" s="108">
        <f ca="1">IFERROR(VLOOKUP(BI3,MB!$B$48:$R$82,3,FALSE),"")</f>
        <v>31</v>
      </c>
      <c r="BM4" s="270" t="str">
        <f>IFERROR(VLOOKUP(BI3,MB!$B$48:$R$82,15,FALSE),"")</f>
        <v>180/77</v>
      </c>
      <c r="BN4" s="271"/>
      <c r="BO4" s="243" t="str">
        <f>IFERROR(VLOOKUP(BO1,MB!$B$48:$R$82,16,FALSE),"")</f>
        <v>ED Havlíčkův Brod</v>
      </c>
      <c r="BP4" s="244"/>
      <c r="BQ4" s="245"/>
      <c r="BR4" s="246">
        <f>IFERROR(VLOOKUP(BO1,MB!$B$48:$R$82,17,FALSE),"")</f>
        <v>2006</v>
      </c>
      <c r="BS4" s="247"/>
      <c r="BT4" s="124">
        <f>IFERROR(VLOOKUP(BO1,MB!$B$48:$R$82,8,FALSE),"")</f>
        <v>6</v>
      </c>
      <c r="BU4" s="243" t="str">
        <f>IFERROR(VLOOKUP(BU1,TAT!$B$48:$R$82,16,FALSE),"")</f>
        <v/>
      </c>
      <c r="BV4" s="244"/>
      <c r="BW4" s="245"/>
      <c r="BX4" s="246" t="str">
        <f>IFERROR(VLOOKUP(BU1,TAT!$B$48:$R$82,17,FALSE),"")</f>
        <v/>
      </c>
      <c r="BY4" s="247"/>
      <c r="BZ4" s="124" t="str">
        <f>IFERROR(VLOOKUP(BU1,TAT!$B$48:$R$82,8,FALSE),"")</f>
        <v/>
      </c>
      <c r="CA4" s="34" t="str">
        <f>IFERROR(VLOOKUP(CA3,TAT!$B$48:$R$82,11,FALSE),"")</f>
        <v/>
      </c>
      <c r="CB4" s="269" t="str">
        <f>IFERROR(YEAR(VLOOKUP(CA3,TAT!$B$48:$R$82,2,FALSE)),"")</f>
        <v/>
      </c>
      <c r="CC4" s="240"/>
      <c r="CD4" s="150" t="str">
        <f>IFERROR(VLOOKUP(CA3,TAT!$B$48:$R$82,3,FALSE),"")</f>
        <v/>
      </c>
      <c r="CE4" s="270" t="str">
        <f>IFERROR(VLOOKUP(CA3,TAT!$B$48:$R$82,15,FALSE),"")</f>
        <v/>
      </c>
      <c r="CF4" s="271"/>
      <c r="CG4" s="243" t="str">
        <f>IFERROR(VLOOKUP(CG1,TAT!$B$48:$R$82,16,FALSE),"")</f>
        <v/>
      </c>
      <c r="CH4" s="244"/>
      <c r="CI4" s="245"/>
      <c r="CJ4" s="246" t="str">
        <f>IFERROR(VLOOKUP(CG1,TAT!$B$48:$R$82,17,FALSE),"")</f>
        <v/>
      </c>
      <c r="CK4" s="247"/>
      <c r="CL4" s="124" t="str">
        <f>IFERROR(VLOOKUP(CG1,TAT!$B$48:$R$82,8,FALSE),"")</f>
        <v/>
      </c>
      <c r="CM4" s="243" t="str">
        <f>IFERROR(VLOOKUP(CM1,OTR!$B$48:$R$82,16,FALSE),"")</f>
        <v>Hattrick Brno</v>
      </c>
      <c r="CN4" s="244"/>
      <c r="CO4" s="245"/>
      <c r="CP4" s="246">
        <f>IFERROR(VLOOKUP(CM1,OTR!$B$48:$R$82,17,FALSE),"")</f>
        <v>2008</v>
      </c>
      <c r="CQ4" s="247"/>
      <c r="CR4" s="124">
        <f>IFERROR(VLOOKUP(CM1,OTR!$B$48:$R$82,8,FALSE),"")</f>
        <v>5</v>
      </c>
      <c r="CS4" s="34" t="str">
        <f>IFERROR(VLOOKUP(CS3,OTR!$B$48:$R$82,11,FALSE),"")</f>
        <v>P</v>
      </c>
      <c r="CT4" s="269">
        <f>IFERROR(YEAR(VLOOKUP(CS3,OTR!$B$48:$R$82,2,FALSE)),"")</f>
        <v>1998</v>
      </c>
      <c r="CU4" s="240"/>
      <c r="CV4" s="150">
        <f ca="1">IFERROR(VLOOKUP(CS3,OTR!$B$48:$R$82,3,FALSE),"")</f>
        <v>22</v>
      </c>
      <c r="CW4" s="270" t="str">
        <f>IFERROR(VLOOKUP(CS3,OTR!$B$48:$R$82,15,FALSE),"")</f>
        <v>180/73</v>
      </c>
      <c r="CX4" s="271"/>
      <c r="CY4" s="243" t="str">
        <f>IFERROR(VLOOKUP(CY1,OTR!$B$48:$R$82,16,FALSE),"")</f>
        <v>Čeladná Rams</v>
      </c>
      <c r="CZ4" s="244"/>
      <c r="DA4" s="245"/>
      <c r="DB4" s="246">
        <f>IFERROR(VLOOKUP(CY1,OTR!$B$48:$R$82,17,FALSE),"")</f>
        <v>1999</v>
      </c>
      <c r="DC4" s="247"/>
      <c r="DD4" s="124">
        <f>IFERROR(VLOOKUP(CY1,OTR!$B$48:$R$82,8,FALSE),"")</f>
        <v>14</v>
      </c>
      <c r="DE4" s="243" t="str">
        <f>IFERROR(VLOOKUP(DE1,BOH!$B$48:$R$82,16,FALSE),"")</f>
        <v>FbŠ Bohemians</v>
      </c>
      <c r="DF4" s="244"/>
      <c r="DG4" s="245"/>
      <c r="DH4" s="246">
        <f>IFERROR(VLOOKUP(DE1,BOH!$B$48:$R$82,17,FALSE),"")</f>
        <v>2006</v>
      </c>
      <c r="DI4" s="247"/>
      <c r="DJ4" s="124">
        <f>IFERROR(VLOOKUP(DE1,BOH!$B$48:$R$82,8,FALSE),"")</f>
        <v>3</v>
      </c>
      <c r="DK4" s="34" t="str">
        <f>IFERROR(VLOOKUP(DK3,BOH!$B$48:$R$82,11,FALSE),"")</f>
        <v>P</v>
      </c>
      <c r="DL4" s="269">
        <f>IFERROR(YEAR(VLOOKUP(DK3,BOH!$B$48:$R$82,2,FALSE)),"")</f>
        <v>1995</v>
      </c>
      <c r="DM4" s="240"/>
      <c r="DN4" s="165">
        <f ca="1">IFERROR(VLOOKUP(DK3,BOH!$B$48:$R$82,3,FALSE),"")</f>
        <v>25</v>
      </c>
      <c r="DO4" s="270" t="str">
        <f>IFERROR(VLOOKUP(DK3,BOH!$B$48:$R$82,15,FALSE),"")</f>
        <v>175/72</v>
      </c>
      <c r="DP4" s="271"/>
      <c r="DQ4" s="243" t="str">
        <f>IFERROR(VLOOKUP(DQ1,BOH!$B$48:$R$82,16,FALSE),"")</f>
        <v>Black Angels</v>
      </c>
      <c r="DR4" s="244"/>
      <c r="DS4" s="245"/>
      <c r="DT4" s="246">
        <f>IFERROR(VLOOKUP(DQ1,BOH!$B$48:$R$82,17,FALSE),"")</f>
        <v>2009</v>
      </c>
      <c r="DU4" s="247"/>
      <c r="DV4" s="124">
        <f>IFERROR(VLOOKUP(DQ1,BOH!$B$48:$R$82,8,FALSE),"")</f>
        <v>1</v>
      </c>
      <c r="DW4" s="243" t="str">
        <f>IFERROR(VLOOKUP(DW1,SPA!$B$48:$R$82,16,FALSE),"")</f>
        <v/>
      </c>
      <c r="DX4" s="244"/>
      <c r="DY4" s="245"/>
      <c r="DZ4" s="246" t="str">
        <f>IFERROR(VLOOKUP(DW1,SPA!$B$48:$R$82,17,FALSE),"")</f>
        <v/>
      </c>
      <c r="EA4" s="247"/>
      <c r="EB4" s="124" t="str">
        <f>IFERROR(VLOOKUP(DW1,SPA!$B$48:$R$82,8,FALSE),"")</f>
        <v/>
      </c>
      <c r="EC4" s="34" t="str">
        <f>IFERROR(VLOOKUP(EC3,SPA!$B$48:$R$82,11,FALSE),"")</f>
        <v/>
      </c>
      <c r="ED4" s="269" t="str">
        <f>IFERROR(YEAR(VLOOKUP(EC3,SPA!$B$48:$R$82,2,FALSE)),"")</f>
        <v/>
      </c>
      <c r="EE4" s="240"/>
      <c r="EF4" s="165" t="str">
        <f>IFERROR(VLOOKUP(EC3,SPA!$B$48:$R$82,3,FALSE),"")</f>
        <v/>
      </c>
      <c r="EG4" s="270" t="str">
        <f>IFERROR(VLOOKUP(EC3,SPA!$B$48:$R$82,15,FALSE),"")</f>
        <v/>
      </c>
      <c r="EH4" s="271"/>
      <c r="EI4" s="243" t="str">
        <f>IFERROR(VLOOKUP(EI1,SPA!$B$48:$R$82,16,FALSE),"")</f>
        <v/>
      </c>
      <c r="EJ4" s="244"/>
      <c r="EK4" s="245"/>
      <c r="EL4" s="246" t="str">
        <f>IFERROR(VLOOKUP(EI1,SPA!$B$48:$R$82,17,FALSE),"")</f>
        <v/>
      </c>
      <c r="EM4" s="247"/>
      <c r="EN4" s="124" t="str">
        <f>IFERROR(VLOOKUP(EI1,SPA!$B$48:$R$82,8,FALSE),"")</f>
        <v/>
      </c>
      <c r="EO4" s="243" t="str">
        <f>IFERROR(VLOOKUP(EO1,CLP!$B$48:$R$82,16,FALSE),"")</f>
        <v/>
      </c>
      <c r="EP4" s="244"/>
      <c r="EQ4" s="245"/>
      <c r="ER4" s="246" t="str">
        <f>IFERROR(VLOOKUP(EO1,CLP!$B$48:$R$82,17,FALSE),"")</f>
        <v/>
      </c>
      <c r="ES4" s="247"/>
      <c r="ET4" s="124" t="str">
        <f>IFERROR(VLOOKUP(EO1,CLP!$B$48:$R$82,8,FALSE),"")</f>
        <v/>
      </c>
      <c r="EU4" s="34" t="str">
        <f>IFERROR(VLOOKUP(EU3,CLP!$B$48:$R$82,11,FALSE),"")</f>
        <v/>
      </c>
      <c r="EV4" s="269" t="str">
        <f>IFERROR(YEAR(VLOOKUP(EU3,CLP!$B$48:$R$82,2,FALSE)),"")</f>
        <v/>
      </c>
      <c r="EW4" s="240"/>
      <c r="EX4" s="204" t="str">
        <f>IFERROR(VLOOKUP(EU3,CLP!$B$48:$R$82,3,FALSE),"")</f>
        <v/>
      </c>
      <c r="EY4" s="270" t="str">
        <f>IFERROR(VLOOKUP(EU3,CLP!$B$48:$R$82,15,FALSE),"")</f>
        <v/>
      </c>
      <c r="EZ4" s="271"/>
      <c r="FA4" s="243" t="str">
        <f>IFERROR(VLOOKUP(FA1,CLP!$B$48:$R$82,16,FALSE),"")</f>
        <v/>
      </c>
      <c r="FB4" s="244"/>
      <c r="FC4" s="245"/>
      <c r="FD4" s="246" t="str">
        <f>IFERROR(VLOOKUP(FA1,CLP!$B$48:$R$82,17,FALSE),"")</f>
        <v/>
      </c>
      <c r="FE4" s="247"/>
      <c r="FF4" s="124" t="str">
        <f>IFERROR(VLOOKUP(FA1,CLP!$B$48:$R$82,8,FALSE),"")</f>
        <v/>
      </c>
      <c r="FG4" s="243" t="str">
        <f>IFERROR(VLOOKUP(FG1,LIB!$B$48:$R$82,16,FALSE),"")</f>
        <v/>
      </c>
      <c r="FH4" s="244"/>
      <c r="FI4" s="245"/>
      <c r="FJ4" s="246" t="str">
        <f>IFERROR(VLOOKUP(FG1,LIB!$B$48:$R$82,17,FALSE),"")</f>
        <v/>
      </c>
      <c r="FK4" s="247"/>
      <c r="FL4" s="124" t="str">
        <f>IFERROR(VLOOKUP(FG1,LIB!$B$48:$R$82,8,FALSE),"")</f>
        <v/>
      </c>
      <c r="FM4" s="34" t="str">
        <f>IFERROR(VLOOKUP(FM3,LIB!$B$48:$R$82,11,FALSE),"")</f>
        <v/>
      </c>
      <c r="FN4" s="269" t="str">
        <f>IFERROR(YEAR(VLOOKUP(FM3,LIB!$B$48:$R$82,2,FALSE)),"")</f>
        <v/>
      </c>
      <c r="FO4" s="240"/>
      <c r="FP4" s="204" t="str">
        <f>IFERROR(VLOOKUP(FM3,LIB!$B$48:$R$82,3,FALSE),"")</f>
        <v/>
      </c>
      <c r="FQ4" s="270" t="str">
        <f>IFERROR(VLOOKUP(FM3,LIB!$B$48:$R$82,15,FALSE),"")</f>
        <v/>
      </c>
      <c r="FR4" s="271"/>
      <c r="FS4" s="243" t="str">
        <f>IFERROR(VLOOKUP(FS1,LIB!$B$48:$R$82,16,FALSE),"")</f>
        <v/>
      </c>
      <c r="FT4" s="244"/>
      <c r="FU4" s="245"/>
      <c r="FV4" s="246" t="str">
        <f>IFERROR(VLOOKUP(FS1,LIB!$B$48:$R$82,17,FALSE),"")</f>
        <v/>
      </c>
      <c r="FW4" s="247"/>
      <c r="FX4" s="124" t="str">
        <f>IFERROR(VLOOKUP(FS1,LIB!$B$48:$R$82,8,FALSE),"")</f>
        <v/>
      </c>
    </row>
    <row r="5" spans="1:180" ht="15.6" customHeight="1" thickTop="1" thickBot="1" x14ac:dyDescent="0.3">
      <c r="A5" s="16"/>
      <c r="B5" s="16"/>
      <c r="C5" s="16"/>
      <c r="D5" s="16"/>
      <c r="E5" s="33"/>
      <c r="F5" s="33"/>
      <c r="G5" s="277" t="str">
        <f>IFERROR(VLOOKUP(G3,SKV!$B$2:$O$36,14,FALSE),"")</f>
        <v>23 OZ , 17 (5+12), -12 ±</v>
      </c>
      <c r="H5" s="278"/>
      <c r="I5" s="278"/>
      <c r="J5" s="279" t="str">
        <f>IFERROR(VLOOKUP(G3,SKV!$B$48:$AA$82,14,FALSE),"")</f>
        <v>94 OZ, 82 (23+59)</v>
      </c>
      <c r="K5" s="279"/>
      <c r="L5" s="280"/>
      <c r="M5" s="33"/>
      <c r="N5" s="33"/>
      <c r="O5" s="33"/>
      <c r="P5" s="33"/>
      <c r="Q5" s="33"/>
      <c r="R5" s="33"/>
      <c r="S5" s="16"/>
      <c r="T5" s="16"/>
      <c r="U5" s="16"/>
      <c r="V5" s="16"/>
      <c r="W5" s="33"/>
      <c r="X5" s="33"/>
      <c r="Y5" s="277" t="str">
        <f>IFERROR(VLOOKUP(Y3,CHO!$B$2:$O$36,14,FALSE),"")</f>
        <v>20 OZ , 23 (14+9), +13 ±</v>
      </c>
      <c r="Z5" s="278"/>
      <c r="AA5" s="278"/>
      <c r="AB5" s="279" t="str">
        <f>IFERROR(VLOOKUP(Y3,CHO!$B$48:$AA$82,14,FALSE),"")</f>
        <v>228 OZ, 275 (139+136)</v>
      </c>
      <c r="AC5" s="279"/>
      <c r="AD5" s="280"/>
      <c r="AE5" s="33"/>
      <c r="AF5" s="33"/>
      <c r="AG5" s="33"/>
      <c r="AH5" s="33"/>
      <c r="AI5" s="33"/>
      <c r="AJ5" s="33"/>
      <c r="AK5" s="16"/>
      <c r="AL5" s="16"/>
      <c r="AM5" s="16"/>
      <c r="AN5" s="16"/>
      <c r="AO5" s="33"/>
      <c r="AP5" s="33"/>
      <c r="AQ5" s="277" t="str">
        <f>IFERROR(VLOOKUP(AQ3,VIT!$B$2:$O$36,14,FALSE),"")</f>
        <v/>
      </c>
      <c r="AR5" s="278"/>
      <c r="AS5" s="278"/>
      <c r="AT5" s="279" t="str">
        <f>IFERROR(VLOOKUP(AQ3,VIT!$B$48:$R$82,14,FALSE),"")</f>
        <v/>
      </c>
      <c r="AU5" s="279"/>
      <c r="AV5" s="280"/>
      <c r="AW5" s="33"/>
      <c r="AX5" s="33"/>
      <c r="AY5" s="33"/>
      <c r="AZ5" s="33"/>
      <c r="BA5" s="33"/>
      <c r="BB5" s="33"/>
      <c r="BC5" s="16"/>
      <c r="BD5" s="16"/>
      <c r="BE5" s="16"/>
      <c r="BF5" s="16"/>
      <c r="BG5" s="33"/>
      <c r="BH5" s="33"/>
      <c r="BI5" s="277" t="str">
        <f>IFERROR(VLOOKUP(BI3,MB!$B$2:$O$36,14,FALSE),"")</f>
        <v>22 OZ , 48 (19+29), +35 ±</v>
      </c>
      <c r="BJ5" s="278"/>
      <c r="BK5" s="278"/>
      <c r="BL5" s="279" t="str">
        <f>IFERROR(VLOOKUP(BI3,MB!$B$48:$R$82,14,FALSE),"")</f>
        <v>331 OZ, 732 (401+331)</v>
      </c>
      <c r="BM5" s="279"/>
      <c r="BN5" s="280"/>
      <c r="BO5" s="33"/>
      <c r="BP5" s="33"/>
      <c r="BQ5" s="33"/>
      <c r="BR5" s="33"/>
      <c r="BS5" s="33"/>
      <c r="BT5" s="33"/>
      <c r="BU5" s="16"/>
      <c r="BV5" s="16"/>
      <c r="BW5" s="16"/>
      <c r="BX5" s="16"/>
      <c r="BY5" s="33"/>
      <c r="BZ5" s="33"/>
      <c r="CA5" s="277" t="str">
        <f>IFERROR(VLOOKUP(CA3,TAT!$B$2:$O$36,14,FALSE),"")</f>
        <v/>
      </c>
      <c r="CB5" s="278"/>
      <c r="CC5" s="278"/>
      <c r="CD5" s="279" t="str">
        <f>IFERROR(VLOOKUP(CA3,TAT!$B$48:$R$82,14,FALSE),"")</f>
        <v/>
      </c>
      <c r="CE5" s="279"/>
      <c r="CF5" s="280"/>
      <c r="CG5" s="33"/>
      <c r="CH5" s="33"/>
      <c r="CI5" s="33"/>
      <c r="CJ5" s="33"/>
      <c r="CK5" s="33"/>
      <c r="CL5" s="33"/>
      <c r="CM5" s="16"/>
      <c r="CN5" s="16"/>
      <c r="CO5" s="16"/>
      <c r="CP5" s="16"/>
      <c r="CQ5" s="33"/>
      <c r="CR5" s="33"/>
      <c r="CS5" s="277" t="str">
        <f>IFERROR(VLOOKUP(CS3,OTR!$B$2:$O$36,14,FALSE),"")</f>
        <v>23 OZ , 22 (13+9), -24 ±</v>
      </c>
      <c r="CT5" s="278"/>
      <c r="CU5" s="278"/>
      <c r="CV5" s="279" t="str">
        <f>IFERROR(VLOOKUP(CS3,OTR!$B$48:$R$82,14,FALSE),"")</f>
        <v>96 OZ, 68 (39+29)</v>
      </c>
      <c r="CW5" s="279"/>
      <c r="CX5" s="280"/>
      <c r="CY5" s="33"/>
      <c r="CZ5" s="33"/>
      <c r="DA5" s="33"/>
      <c r="DB5" s="33"/>
      <c r="DC5" s="33"/>
      <c r="DD5" s="33"/>
      <c r="DE5" s="16"/>
      <c r="DF5" s="16"/>
      <c r="DG5" s="16"/>
      <c r="DH5" s="16"/>
      <c r="DI5" s="33"/>
      <c r="DJ5" s="33"/>
      <c r="DK5" s="277" t="str">
        <f>IFERROR(VLOOKUP(DK3,BOH!$B$2:$O$36,14,FALSE),"")</f>
        <v>23 OZ , 47 (14+33), +18 ±</v>
      </c>
      <c r="DL5" s="278"/>
      <c r="DM5" s="278"/>
      <c r="DN5" s="279" t="str">
        <f>IFERROR(VLOOKUP(DK3,BOH!$B$48:$R$82,14,FALSE),"")</f>
        <v>139 OZ, 72 (31+41)</v>
      </c>
      <c r="DO5" s="279"/>
      <c r="DP5" s="280"/>
      <c r="DQ5" s="33"/>
      <c r="DR5" s="33"/>
      <c r="DS5" s="33"/>
      <c r="DT5" s="33"/>
      <c r="DU5" s="33"/>
      <c r="DV5" s="33"/>
      <c r="DW5" s="16"/>
      <c r="DX5" s="16"/>
      <c r="DY5" s="16"/>
      <c r="DZ5" s="16"/>
      <c r="EA5" s="33"/>
      <c r="EB5" s="33"/>
      <c r="EC5" s="277" t="str">
        <f>IFERROR(VLOOKUP(EC3,SPA!$B$2:$O$36,14,FALSE),"")</f>
        <v/>
      </c>
      <c r="ED5" s="278"/>
      <c r="EE5" s="278"/>
      <c r="EF5" s="279" t="str">
        <f>IFERROR(VLOOKUP(EC3,SPA!$B$48:$R$82,14,FALSE),"")</f>
        <v/>
      </c>
      <c r="EG5" s="279"/>
      <c r="EH5" s="280"/>
      <c r="EI5" s="33"/>
      <c r="EJ5" s="33"/>
      <c r="EK5" s="33"/>
      <c r="EL5" s="33"/>
      <c r="EM5" s="33"/>
      <c r="EN5" s="33"/>
      <c r="EO5" s="16"/>
      <c r="EP5" s="16"/>
      <c r="EQ5" s="16"/>
      <c r="ER5" s="16"/>
      <c r="ES5" s="33"/>
      <c r="ET5" s="33"/>
      <c r="EU5" s="277" t="str">
        <f>IFERROR(VLOOKUP(EU3,CLP!$B$2:$O$36,14,FALSE),"")</f>
        <v/>
      </c>
      <c r="EV5" s="278"/>
      <c r="EW5" s="278"/>
      <c r="EX5" s="279" t="str">
        <f>IFERROR(VLOOKUP(EU3,CLP!$B$48:$R$82,14,FALSE),"")</f>
        <v/>
      </c>
      <c r="EY5" s="279"/>
      <c r="EZ5" s="280"/>
      <c r="FA5" s="33"/>
      <c r="FB5" s="33"/>
      <c r="FC5" s="33"/>
      <c r="FD5" s="33"/>
      <c r="FE5" s="33"/>
      <c r="FF5" s="33"/>
      <c r="FG5" s="16"/>
      <c r="FH5" s="16"/>
      <c r="FI5" s="16"/>
      <c r="FJ5" s="16"/>
      <c r="FK5" s="33"/>
      <c r="FL5" s="33"/>
      <c r="FM5" s="277" t="str">
        <f>IFERROR(VLOOKUP(FM3,LIB!$B$2:$O$36,14,FALSE),"")</f>
        <v/>
      </c>
      <c r="FN5" s="278"/>
      <c r="FO5" s="278"/>
      <c r="FP5" s="279" t="str">
        <f>IFERROR(VLOOKUP(FM3,LIB!$B$48:$R$82,14,FALSE),"")</f>
        <v/>
      </c>
      <c r="FQ5" s="279"/>
      <c r="FR5" s="280"/>
      <c r="FS5" s="33"/>
      <c r="FT5" s="33"/>
      <c r="FU5" s="33"/>
      <c r="FV5" s="33"/>
      <c r="FW5" s="33"/>
      <c r="FX5" s="33"/>
    </row>
    <row r="6" spans="1:180" ht="15.6" customHeight="1" thickTop="1" thickBot="1" x14ac:dyDescent="0.3">
      <c r="A6" s="266" t="s">
        <v>5</v>
      </c>
      <c r="B6" s="267"/>
      <c r="C6" s="267"/>
      <c r="D6" s="267"/>
      <c r="E6" s="32" t="str">
        <f>IFERROR(IF(VLOOKUP(A6,SKV!$B$48:$AA$82,10,FALSE)=0,"",VLOOKUP(A6,SKV!$B$48:$AA$82,10,FALSE)),"")</f>
        <v/>
      </c>
      <c r="F6" s="52">
        <f>IFERROR(VLOOKUP(A6,SKV!$B$48:$AA$82,9,FALSE),"")</f>
        <v>19</v>
      </c>
      <c r="G6" s="243" t="str">
        <f>IFERROR(VLOOKUP(G3,SKV!$B$48:$AA$82,16,FALSE),"")</f>
        <v>Future</v>
      </c>
      <c r="H6" s="244"/>
      <c r="I6" s="245"/>
      <c r="J6" s="246">
        <f>IFERROR(VLOOKUP(G3,SKV!$B$48:$AA$82,17,FALSE),"")</f>
        <v>2003</v>
      </c>
      <c r="K6" s="247"/>
      <c r="L6" s="124">
        <f>IFERROR(VLOOKUP(G3,SKV!$B$48:$AA$82,8,FALSE),"")</f>
        <v>5</v>
      </c>
      <c r="M6" s="266" t="s">
        <v>17</v>
      </c>
      <c r="N6" s="267"/>
      <c r="O6" s="267"/>
      <c r="P6" s="267"/>
      <c r="Q6" s="32" t="str">
        <f>IFERROR(IF(VLOOKUP(M6,SKV!$B$48:$AA$82,10,FALSE)=0,"",VLOOKUP(M6,SKV!$B$48:$AA$82,10,FALSE)),"")</f>
        <v/>
      </c>
      <c r="R6" s="52">
        <f>IFERROR(VLOOKUP(M6,SKV!$B$48:$AA$82,9,FALSE),"")</f>
        <v>4</v>
      </c>
      <c r="S6" s="266" t="s">
        <v>165</v>
      </c>
      <c r="T6" s="267"/>
      <c r="U6" s="267"/>
      <c r="V6" s="267"/>
      <c r="W6" s="32" t="str">
        <f>IFERROR(IF(VLOOKUP(S6,CHO!$B$48:$AA$82,10,FALSE)=0,"",VLOOKUP(S6,CHO!$B$48:$AA$82,10,FALSE)),"")</f>
        <v/>
      </c>
      <c r="X6" s="52">
        <f>IFERROR(VLOOKUP(S6,CHO!$B$48:$AA$82,9,FALSE),"")</f>
        <v>95</v>
      </c>
      <c r="Y6" s="243" t="str">
        <f>IFERROR(VLOOKUP(Y3,CHO!$B$48:$AA$82,16,FALSE),"")</f>
        <v>TJ Znojmo</v>
      </c>
      <c r="Z6" s="244"/>
      <c r="AA6" s="245"/>
      <c r="AB6" s="246">
        <f>IFERROR(VLOOKUP(Y3,CHO!$B$48:$AA$82,17,FALSE),"")</f>
        <v>2004</v>
      </c>
      <c r="AC6" s="247"/>
      <c r="AD6" s="124">
        <f>IFERROR(VLOOKUP(Y3,CHO!$B$48:$AA$82,8,FALSE),"")</f>
        <v>12</v>
      </c>
      <c r="AE6" s="266" t="s">
        <v>164</v>
      </c>
      <c r="AF6" s="267"/>
      <c r="AG6" s="267"/>
      <c r="AH6" s="267"/>
      <c r="AI6" s="32" t="str">
        <f>IFERROR(IF(VLOOKUP(AE6,CHO!$B$48:$AA$82,10,FALSE)=0,"",VLOOKUP(AE6,CHO!$B$48:$AA$82,10,FALSE)),"")</f>
        <v/>
      </c>
      <c r="AJ6" s="52">
        <f>IFERROR(VLOOKUP(AE6,CHO!$B$48:$AA$82,9,FALSE),"")</f>
        <v>26</v>
      </c>
      <c r="AK6" s="266"/>
      <c r="AL6" s="267"/>
      <c r="AM6" s="267"/>
      <c r="AN6" s="267"/>
      <c r="AO6" s="32" t="str">
        <f>IFERROR(IF(VLOOKUP(AK6,VIT!$B$48:$R$82,10,FALSE)=0,"",VLOOKUP(AK6,VIT!$B$48:$R$82,10,FALSE)),"")</f>
        <v/>
      </c>
      <c r="AP6" s="52" t="str">
        <f>IFERROR(VLOOKUP(AK6,VIT!$B$48:$R$82,9,FALSE),"")</f>
        <v/>
      </c>
      <c r="AQ6" s="243" t="str">
        <f>IFERROR(VLOOKUP(AQ3,VIT!$B$48:$R$82,16,FALSE),"")</f>
        <v/>
      </c>
      <c r="AR6" s="244"/>
      <c r="AS6" s="245"/>
      <c r="AT6" s="246" t="str">
        <f>IFERROR(VLOOKUP(AQ3,VIT!$B$48:$R$82,17,FALSE),"")</f>
        <v/>
      </c>
      <c r="AU6" s="247"/>
      <c r="AV6" s="124" t="str">
        <f>IFERROR(VLOOKUP(AQ3,VIT!$B$48:$R$82,8,FALSE),"")</f>
        <v/>
      </c>
      <c r="AW6" s="266"/>
      <c r="AX6" s="267"/>
      <c r="AY6" s="267"/>
      <c r="AZ6" s="267"/>
      <c r="BA6" s="32" t="str">
        <f>IFERROR(IF(VLOOKUP(AW6,VIT!$B$48:$R$82,10,FALSE)=0,"",VLOOKUP(AW6,VIT!$B$48:$R$82,10,FALSE)),"")</f>
        <v/>
      </c>
      <c r="BB6" s="52" t="str">
        <f>IFERROR(VLOOKUP(AW6,VIT!$B$48:$R$82,9,FALSE),"")</f>
        <v/>
      </c>
      <c r="BC6" s="266" t="s">
        <v>309</v>
      </c>
      <c r="BD6" s="267"/>
      <c r="BE6" s="267"/>
      <c r="BF6" s="267"/>
      <c r="BG6" s="32" t="str">
        <f>IFERROR(IF(VLOOKUP(BC6,MB!$B$48:$R$82,10,FALSE)=0,"",VLOOKUP(BC6,MB!$B$48:$R$82,10,FALSE)),"")</f>
        <v/>
      </c>
      <c r="BH6" s="52">
        <f>IFERROR(VLOOKUP(BC6,MB!$B$48:$R$82,9,FALSE),"")</f>
        <v>25</v>
      </c>
      <c r="BI6" s="243" t="str">
        <f>IFERROR(VLOOKUP(BI3,MB!$B$48:$R$82,16,FALSE),"")</f>
        <v>SK FBC Třinec</v>
      </c>
      <c r="BJ6" s="244"/>
      <c r="BK6" s="245"/>
      <c r="BL6" s="246">
        <f>IFERROR(VLOOKUP(BI3,MB!$B$48:$R$82,17,FALSE),"")</f>
        <v>2004</v>
      </c>
      <c r="BM6" s="247"/>
      <c r="BN6" s="124">
        <f>IFERROR(VLOOKUP(BI3,MB!$B$48:$R$82,8,FALSE),"")</f>
        <v>15</v>
      </c>
      <c r="BO6" s="266" t="s">
        <v>298</v>
      </c>
      <c r="BP6" s="267"/>
      <c r="BQ6" s="267"/>
      <c r="BR6" s="267"/>
      <c r="BS6" s="32" t="str">
        <f>IFERROR(IF(VLOOKUP(BO6,MB!$B$48:$R$82,10,FALSE)=0,"",VLOOKUP(BO6,MB!$B$48:$R$82,10,FALSE)),"")</f>
        <v/>
      </c>
      <c r="BT6" s="52">
        <f>IFERROR(VLOOKUP(BO6,MB!$B$48:$R$82,9,FALSE),"")</f>
        <v>70</v>
      </c>
      <c r="BU6" s="266"/>
      <c r="BV6" s="267"/>
      <c r="BW6" s="267"/>
      <c r="BX6" s="267"/>
      <c r="BY6" s="32" t="str">
        <f>IFERROR(IF(VLOOKUP(BU6,TAT!$B$48:$R$82,10,FALSE)=0,"",VLOOKUP(BU6,TAT!$B$48:$R$82,10,FALSE)),"")</f>
        <v/>
      </c>
      <c r="BZ6" s="52" t="str">
        <f>IFERROR(VLOOKUP(BU6,TAT!$B$48:$R$82,9,FALSE),"")</f>
        <v/>
      </c>
      <c r="CA6" s="243" t="str">
        <f>IFERROR(VLOOKUP(CA3,TAT!$B$48:$R$82,16,FALSE),"")</f>
        <v/>
      </c>
      <c r="CB6" s="244"/>
      <c r="CC6" s="245"/>
      <c r="CD6" s="246" t="str">
        <f>IFERROR(VLOOKUP(CA3,TAT!$B$48:$R$82,17,FALSE),"")</f>
        <v/>
      </c>
      <c r="CE6" s="247"/>
      <c r="CF6" s="124" t="str">
        <f>IFERROR(VLOOKUP(CA3,TAT!$B$48:$R$82,8,FALSE),"")</f>
        <v/>
      </c>
      <c r="CG6" s="266"/>
      <c r="CH6" s="267"/>
      <c r="CI6" s="267"/>
      <c r="CJ6" s="267"/>
      <c r="CK6" s="32" t="str">
        <f>IFERROR(IF(VLOOKUP(CG6,TAT!$B$48:$R$82,10,FALSE)=0,"",VLOOKUP(CG6,TAT!$B$48:$R$82,10,FALSE)),"")</f>
        <v/>
      </c>
      <c r="CL6" s="52" t="str">
        <f>IFERROR(VLOOKUP(CG6,TAT!$B$48:$R$82,9,FALSE),"")</f>
        <v/>
      </c>
      <c r="CM6" s="266" t="s">
        <v>428</v>
      </c>
      <c r="CN6" s="267"/>
      <c r="CO6" s="267"/>
      <c r="CP6" s="267"/>
      <c r="CQ6" s="32" t="str">
        <f>IFERROR(IF(VLOOKUP(CM6,OTR!$B$48:$R$82,10,FALSE)=0,"",VLOOKUP(CM6,OTR!$B$48:$R$82,10,FALSE)),"")</f>
        <v/>
      </c>
      <c r="CR6" s="52">
        <f>IFERROR(VLOOKUP(CM6,OTR!$B$48:$R$82,9,FALSE),"")</f>
        <v>13</v>
      </c>
      <c r="CS6" s="243" t="str">
        <f>IFERROR(VLOOKUP(CS3,OTR!$B$48:$R$82,16,FALSE),"")</f>
        <v>FBC Orel Uherský Brod</v>
      </c>
      <c r="CT6" s="244"/>
      <c r="CU6" s="245"/>
      <c r="CV6" s="246">
        <f>IFERROR(VLOOKUP(CS3,OTR!$B$48:$R$82,17,FALSE),"")</f>
        <v>2005</v>
      </c>
      <c r="CW6" s="247"/>
      <c r="CX6" s="124">
        <f>IFERROR(VLOOKUP(CS3,OTR!$B$48:$R$82,8,FALSE),"")</f>
        <v>4</v>
      </c>
      <c r="CY6" s="266" t="s">
        <v>424</v>
      </c>
      <c r="CZ6" s="267"/>
      <c r="DA6" s="267"/>
      <c r="DB6" s="267"/>
      <c r="DC6" s="32" t="str">
        <f>IFERROR(IF(VLOOKUP(CY6,OTR!$B$48:$R$82,10,FALSE)=0,"",VLOOKUP(CY6,OTR!$B$48:$R$82,10,FALSE)),"")</f>
        <v/>
      </c>
      <c r="DD6" s="52">
        <f>IFERROR(VLOOKUP(CY6,OTR!$B$48:$R$82,9,FALSE),"")</f>
        <v>56</v>
      </c>
      <c r="DE6" s="266" t="s">
        <v>497</v>
      </c>
      <c r="DF6" s="267"/>
      <c r="DG6" s="267"/>
      <c r="DH6" s="267"/>
      <c r="DI6" s="32" t="str">
        <f>IFERROR(IF(VLOOKUP(DE6,BOH!$B$48:$R$82,10,FALSE)=0,"",VLOOKUP(DE6,BOH!$B$48:$R$82,10,FALSE)),"")</f>
        <v/>
      </c>
      <c r="DJ6" s="52">
        <f>IFERROR(VLOOKUP(DE6,BOH!$B$48:$R$82,9,FALSE),"")</f>
        <v>13</v>
      </c>
      <c r="DK6" s="243" t="str">
        <f>IFERROR(VLOOKUP(DK3,BOH!$B$48:$R$82,16,FALSE),"")</f>
        <v>FbŠ Bohemians</v>
      </c>
      <c r="DL6" s="244"/>
      <c r="DM6" s="245"/>
      <c r="DN6" s="246">
        <f>IFERROR(VLOOKUP(DK3,BOH!$B$48:$R$82,17,FALSE),"")</f>
        <v>2010</v>
      </c>
      <c r="DO6" s="247"/>
      <c r="DP6" s="124">
        <f>IFERROR(VLOOKUP(DK3,BOH!$B$48:$R$82,8,FALSE),"")</f>
        <v>8</v>
      </c>
      <c r="DQ6" s="266" t="s">
        <v>494</v>
      </c>
      <c r="DR6" s="267"/>
      <c r="DS6" s="267"/>
      <c r="DT6" s="267"/>
      <c r="DU6" s="32" t="str">
        <f>IFERROR(IF(VLOOKUP(DQ6,BOH!$B$48:$R$82,10,FALSE)=0,"",VLOOKUP(DQ6,BOH!$B$48:$R$82,10,FALSE)),"")</f>
        <v/>
      </c>
      <c r="DV6" s="52">
        <f>IFERROR(VLOOKUP(DQ6,BOH!$B$48:$R$82,9,FALSE),"")</f>
        <v>41</v>
      </c>
      <c r="DW6" s="266"/>
      <c r="DX6" s="267"/>
      <c r="DY6" s="267"/>
      <c r="DZ6" s="267"/>
      <c r="EA6" s="32" t="str">
        <f>IFERROR(IF(VLOOKUP(DW6,SPA!$B$48:$R$82,10,FALSE)=0,"",VLOOKUP(DW6,SPA!$B$48:$R$82,10,FALSE)),"")</f>
        <v/>
      </c>
      <c r="EB6" s="52" t="str">
        <f>IFERROR(VLOOKUP(DW6,SPA!$B$48:$R$82,9,FALSE),"")</f>
        <v/>
      </c>
      <c r="EC6" s="243" t="str">
        <f>IFERROR(VLOOKUP(EC3,SPA!$B$48:$R$82,16,FALSE),"")</f>
        <v/>
      </c>
      <c r="ED6" s="244"/>
      <c r="EE6" s="245"/>
      <c r="EF6" s="246" t="str">
        <f>IFERROR(VLOOKUP(EC3,SPA!$B$48:$R$82,17,FALSE),"")</f>
        <v/>
      </c>
      <c r="EG6" s="247"/>
      <c r="EH6" s="124" t="str">
        <f>IFERROR(VLOOKUP(EC3,SPA!$B$48:$R$82,8,FALSE),"")</f>
        <v/>
      </c>
      <c r="EI6" s="266"/>
      <c r="EJ6" s="267"/>
      <c r="EK6" s="267"/>
      <c r="EL6" s="267"/>
      <c r="EM6" s="32" t="str">
        <f>IFERROR(IF(VLOOKUP(EI6,SPA!$B$48:$R$82,10,FALSE)=0,"",VLOOKUP(EI6,SPA!$B$48:$R$82,10,FALSE)),"")</f>
        <v/>
      </c>
      <c r="EN6" s="52" t="str">
        <f>IFERROR(VLOOKUP(EI6,SPA!$B$48:$R$82,9,FALSE),"")</f>
        <v/>
      </c>
      <c r="EO6" s="266"/>
      <c r="EP6" s="267"/>
      <c r="EQ6" s="267"/>
      <c r="ER6" s="267"/>
      <c r="ES6" s="32" t="str">
        <f>IFERROR(IF(VLOOKUP(EO6,CLP!$B$48:$R$82,10,FALSE)=0,"",VLOOKUP(EO6,CLP!$B$48:$R$82,10,FALSE)),"")</f>
        <v/>
      </c>
      <c r="ET6" s="52" t="str">
        <f>IFERROR(VLOOKUP(EO6,CLP!$B$48:$R$82,9,FALSE),"")</f>
        <v/>
      </c>
      <c r="EU6" s="243" t="str">
        <f>IFERROR(VLOOKUP(EU3,CLP!$B$48:$R$82,16,FALSE),"")</f>
        <v/>
      </c>
      <c r="EV6" s="244"/>
      <c r="EW6" s="245"/>
      <c r="EX6" s="246" t="str">
        <f>IFERROR(VLOOKUP(EU3,CLP!$B$48:$R$82,17,FALSE),"")</f>
        <v/>
      </c>
      <c r="EY6" s="247"/>
      <c r="EZ6" s="124" t="str">
        <f>IFERROR(VLOOKUP(EU3,CLP!$B$48:$R$82,8,FALSE),"")</f>
        <v/>
      </c>
      <c r="FA6" s="266"/>
      <c r="FB6" s="267"/>
      <c r="FC6" s="267"/>
      <c r="FD6" s="267"/>
      <c r="FE6" s="32" t="str">
        <f>IFERROR(IF(VLOOKUP(FA6,CLP!$B$48:$R$82,10,FALSE)=0,"",VLOOKUP(FA6,CLP!$B$48:$R$82,10,FALSE)),"")</f>
        <v/>
      </c>
      <c r="FF6" s="52" t="str">
        <f>IFERROR(VLOOKUP(FA6,CLP!$B$48:$R$82,9,FALSE),"")</f>
        <v/>
      </c>
      <c r="FG6" s="266"/>
      <c r="FH6" s="267"/>
      <c r="FI6" s="267"/>
      <c r="FJ6" s="267"/>
      <c r="FK6" s="32" t="str">
        <f>IFERROR(IF(VLOOKUP(FG6,LIB!$B$48:$R$82,10,FALSE)=0,"",VLOOKUP(FG6,LIB!$B$48:$R$82,10,FALSE)),"")</f>
        <v/>
      </c>
      <c r="FL6" s="52" t="str">
        <f>IFERROR(VLOOKUP(FG6,LIB!$B$48:$R$82,9,FALSE),"")</f>
        <v/>
      </c>
      <c r="FM6" s="243" t="str">
        <f>IFERROR(VLOOKUP(FM3,LIB!$B$48:$R$82,16,FALSE),"")</f>
        <v/>
      </c>
      <c r="FN6" s="244"/>
      <c r="FO6" s="245"/>
      <c r="FP6" s="246" t="str">
        <f>IFERROR(VLOOKUP(FM3,LIB!$B$48:$R$82,17,FALSE),"")</f>
        <v/>
      </c>
      <c r="FQ6" s="247"/>
      <c r="FR6" s="124" t="str">
        <f>IFERROR(VLOOKUP(FM3,LIB!$B$48:$R$82,8,FALSE),"")</f>
        <v/>
      </c>
      <c r="FS6" s="266"/>
      <c r="FT6" s="267"/>
      <c r="FU6" s="267"/>
      <c r="FV6" s="267"/>
      <c r="FW6" s="32" t="str">
        <f>IFERROR(IF(VLOOKUP(FS6,LIB!$B$48:$R$82,10,FALSE)=0,"",VLOOKUP(FS6,LIB!$B$48:$R$82,10,FALSE)),"")</f>
        <v/>
      </c>
      <c r="FX6" s="52" t="str">
        <f>IFERROR(VLOOKUP(FS6,LIB!$B$48:$R$82,9,FALSE),"")</f>
        <v/>
      </c>
    </row>
    <row r="7" spans="1:180" ht="15.6" customHeight="1" thickBot="1" x14ac:dyDescent="0.3">
      <c r="A7" s="34" t="str">
        <f>IFERROR(VLOOKUP(A6,SKV!$B$48:$AA$82,11,FALSE),"")</f>
        <v>P</v>
      </c>
      <c r="B7" s="269">
        <f>IFERROR(YEAR(VLOOKUP(A6,SKV!$B$48:$AA$82,2,FALSE)),"")</f>
        <v>1988</v>
      </c>
      <c r="C7" s="240"/>
      <c r="D7" s="35">
        <f ca="1">IFERROR(VLOOKUP(A6,SKV!$B$48:$AA$82,3,FALSE),"")</f>
        <v>32</v>
      </c>
      <c r="E7" s="270" t="str">
        <f>IFERROR(VLOOKUP(A6,SKV!$B$48:$AA$82,15,FALSE),"")</f>
        <v>187/92</v>
      </c>
      <c r="F7" s="271"/>
      <c r="G7" s="33"/>
      <c r="H7" s="33"/>
      <c r="I7" s="33"/>
      <c r="J7" s="33"/>
      <c r="K7" s="33"/>
      <c r="L7" s="33"/>
      <c r="M7" s="34" t="str">
        <f>IFERROR(VLOOKUP(M6,SKV!$B$48:$AA$82,11,FALSE),"")</f>
        <v>L</v>
      </c>
      <c r="N7" s="269">
        <f>IFERROR(YEAR(VLOOKUP(M6,SKV!$B$48:$AA$82,2,FALSE)),"")</f>
        <v>1992</v>
      </c>
      <c r="O7" s="240"/>
      <c r="P7" s="35">
        <f ca="1">IFERROR(VLOOKUP(M6,SKV!$B$48:$AA$82,3,FALSE),"")</f>
        <v>29</v>
      </c>
      <c r="Q7" s="270" t="str">
        <f>IFERROR(VLOOKUP(M6,SKV!$B$48:$AA$82,15,FALSE),"")</f>
        <v>197/92</v>
      </c>
      <c r="R7" s="271"/>
      <c r="S7" s="34" t="str">
        <f>IFERROR(VLOOKUP(S6,CHO!$B$48:$AA$82,11,FALSE),"")</f>
        <v>P</v>
      </c>
      <c r="T7" s="269">
        <f>IFERROR(YEAR(VLOOKUP(S6,CHO!$B$48:$AA$82,2,FALSE)),"")</f>
        <v>1990</v>
      </c>
      <c r="U7" s="240"/>
      <c r="V7" s="35">
        <f ca="1">IFERROR(VLOOKUP(S6,CHO!$B$48:$AA$82,3,FALSE),"")</f>
        <v>30</v>
      </c>
      <c r="W7" s="270" t="str">
        <f>IFERROR(VLOOKUP(S6,CHO!$B$48:$AA$82,15,FALSE),"")</f>
        <v>173/82</v>
      </c>
      <c r="X7" s="271"/>
      <c r="Y7" s="33"/>
      <c r="Z7" s="33"/>
      <c r="AA7" s="33"/>
      <c r="AB7" s="33"/>
      <c r="AC7" s="33"/>
      <c r="AD7" s="33"/>
      <c r="AE7" s="34" t="str">
        <f>IFERROR(VLOOKUP(AE6,CHO!$B$48:$AA$82,11,FALSE),"")</f>
        <v>P</v>
      </c>
      <c r="AF7" s="269">
        <f>IFERROR(YEAR(VLOOKUP(AE6,CHO!$B$48:$AA$82,2,FALSE)),"")</f>
        <v>1988</v>
      </c>
      <c r="AG7" s="240"/>
      <c r="AH7" s="35">
        <f ca="1">IFERROR(VLOOKUP(AE6,CHO!$B$48:$AA$82,3,FALSE),"")</f>
        <v>32</v>
      </c>
      <c r="AI7" s="270" t="str">
        <f>IFERROR(VLOOKUP(AE6,CHO!$B$48:$AA$82,15,FALSE),"")</f>
        <v>180/74</v>
      </c>
      <c r="AJ7" s="271"/>
      <c r="AK7" s="34" t="str">
        <f>IFERROR(VLOOKUP(AK6,VIT!$B$48:$R$82,11,FALSE),"")</f>
        <v/>
      </c>
      <c r="AL7" s="269" t="str">
        <f>IFERROR(YEAR(VLOOKUP(AK6,VIT!$B$48:$R$82,2,FALSE)),"")</f>
        <v/>
      </c>
      <c r="AM7" s="240"/>
      <c r="AN7" s="106" t="str">
        <f>IFERROR(VLOOKUP(AK6,VIT!$B$48:$R$82,3,FALSE),"")</f>
        <v/>
      </c>
      <c r="AO7" s="270" t="str">
        <f>IFERROR(VLOOKUP(AK6,VIT!$B$48:$R$82,15,FALSE),"")</f>
        <v/>
      </c>
      <c r="AP7" s="271"/>
      <c r="AQ7" s="33"/>
      <c r="AR7" s="33"/>
      <c r="AS7" s="33"/>
      <c r="AT7" s="33"/>
      <c r="AU7" s="33"/>
      <c r="AV7" s="33"/>
      <c r="AW7" s="34" t="str">
        <f>IFERROR(VLOOKUP(AW6,VIT!$B$48:$R$82,11,FALSE),"")</f>
        <v/>
      </c>
      <c r="AX7" s="269" t="str">
        <f>IFERROR(YEAR(VLOOKUP(AW6,VIT!$B$48:$R$82,2,FALSE)),"")</f>
        <v/>
      </c>
      <c r="AY7" s="240"/>
      <c r="AZ7" s="106" t="str">
        <f>IFERROR(VLOOKUP(AW6,VIT!$B$48:$R$82,3,FALSE),"")</f>
        <v/>
      </c>
      <c r="BA7" s="270" t="str">
        <f>IFERROR(VLOOKUP(AW6,VIT!$B$48:$R$82,15,FALSE),"")</f>
        <v/>
      </c>
      <c r="BB7" s="271"/>
      <c r="BC7" s="34" t="str">
        <f>IFERROR(VLOOKUP(BC6,MB!$B$48:$R$82,11,FALSE),"")</f>
        <v>P</v>
      </c>
      <c r="BD7" s="269">
        <f>IFERROR(YEAR(VLOOKUP(BC6,MB!$B$48:$R$82,2,FALSE)),"")</f>
        <v>1994</v>
      </c>
      <c r="BE7" s="240"/>
      <c r="BF7" s="108">
        <f ca="1">IFERROR(VLOOKUP(BC6,MB!$B$48:$R$82,3,FALSE),"")</f>
        <v>26</v>
      </c>
      <c r="BG7" s="270" t="str">
        <f>IFERROR(VLOOKUP(BC6,MB!$B$48:$R$82,15,FALSE),"")</f>
        <v>185/84</v>
      </c>
      <c r="BH7" s="271"/>
      <c r="BI7" s="33"/>
      <c r="BJ7" s="33"/>
      <c r="BK7" s="33"/>
      <c r="BL7" s="33"/>
      <c r="BM7" s="33"/>
      <c r="BN7" s="33"/>
      <c r="BO7" s="34" t="str">
        <f>IFERROR(VLOOKUP(BO6,MB!$B$48:$R$82,11,FALSE),"")</f>
        <v>L</v>
      </c>
      <c r="BP7" s="269">
        <f>IFERROR(YEAR(VLOOKUP(BO6,MB!$B$48:$R$82,2,FALSE)),"")</f>
        <v>1989</v>
      </c>
      <c r="BQ7" s="240"/>
      <c r="BR7" s="108">
        <f ca="1">IFERROR(VLOOKUP(BO6,MB!$B$48:$R$82,3,FALSE),"")</f>
        <v>31</v>
      </c>
      <c r="BS7" s="270" t="str">
        <f>IFERROR(VLOOKUP(BO6,MB!$B$48:$R$82,15,FALSE),"")</f>
        <v>186/88</v>
      </c>
      <c r="BT7" s="271"/>
      <c r="BU7" s="34" t="str">
        <f>IFERROR(VLOOKUP(BU6,TAT!$B$48:$R$82,11,FALSE),"")</f>
        <v/>
      </c>
      <c r="BV7" s="269" t="str">
        <f>IFERROR(YEAR(VLOOKUP(BU6,TAT!$B$48:$R$82,2,FALSE)),"")</f>
        <v/>
      </c>
      <c r="BW7" s="240"/>
      <c r="BX7" s="150" t="str">
        <f>IFERROR(VLOOKUP(BU6,TAT!$B$48:$R$82,3,FALSE),"")</f>
        <v/>
      </c>
      <c r="BY7" s="270" t="str">
        <f>IFERROR(VLOOKUP(BU6,TAT!$B$48:$R$82,15,FALSE),"")</f>
        <v/>
      </c>
      <c r="BZ7" s="271"/>
      <c r="CA7" s="33"/>
      <c r="CB7" s="33"/>
      <c r="CC7" s="33"/>
      <c r="CD7" s="33"/>
      <c r="CE7" s="33"/>
      <c r="CF7" s="33"/>
      <c r="CG7" s="34" t="str">
        <f>IFERROR(VLOOKUP(CG6,TAT!$B$48:$R$82,11,FALSE),"")</f>
        <v/>
      </c>
      <c r="CH7" s="269" t="str">
        <f>IFERROR(YEAR(VLOOKUP(CG6,TAT!$B$48:$R$82,2,FALSE)),"")</f>
        <v/>
      </c>
      <c r="CI7" s="240"/>
      <c r="CJ7" s="150" t="str">
        <f>IFERROR(VLOOKUP(CG6,TAT!$B$48:$R$82,3,FALSE),"")</f>
        <v/>
      </c>
      <c r="CK7" s="270" t="str">
        <f>IFERROR(VLOOKUP(CG6,TAT!$B$48:$R$82,15,FALSE),"")</f>
        <v/>
      </c>
      <c r="CL7" s="271"/>
      <c r="CM7" s="34" t="str">
        <f>IFERROR(VLOOKUP(CM6,OTR!$B$48:$R$82,11,FALSE),"")</f>
        <v>L</v>
      </c>
      <c r="CN7" s="269">
        <f>IFERROR(YEAR(VLOOKUP(CM6,OTR!$B$48:$R$82,2,FALSE)),"")</f>
        <v>1997</v>
      </c>
      <c r="CO7" s="240"/>
      <c r="CP7" s="150">
        <f ca="1">IFERROR(VLOOKUP(CM6,OTR!$B$48:$R$82,3,FALSE),"")</f>
        <v>23</v>
      </c>
      <c r="CQ7" s="270" t="str">
        <f>IFERROR(VLOOKUP(CM6,OTR!$B$48:$R$82,15,FALSE),"")</f>
        <v>182/74</v>
      </c>
      <c r="CR7" s="271"/>
      <c r="CS7" s="33"/>
      <c r="CT7" s="33"/>
      <c r="CU7" s="33"/>
      <c r="CV7" s="33"/>
      <c r="CW7" s="33"/>
      <c r="CX7" s="33"/>
      <c r="CY7" s="34" t="str">
        <f>IFERROR(VLOOKUP(CY6,OTR!$B$48:$R$82,11,FALSE),"")</f>
        <v>L</v>
      </c>
      <c r="CZ7" s="269">
        <f>IFERROR(YEAR(VLOOKUP(CY6,OTR!$B$48:$R$82,2,FALSE)),"")</f>
        <v>1989</v>
      </c>
      <c r="DA7" s="240"/>
      <c r="DB7" s="150">
        <f ca="1">IFERROR(VLOOKUP(CY6,OTR!$B$48:$R$82,3,FALSE),"")</f>
        <v>32</v>
      </c>
      <c r="DC7" s="270" t="str">
        <f>IFERROR(VLOOKUP(CY6,OTR!$B$48:$R$82,15,FALSE),"")</f>
        <v>182/79</v>
      </c>
      <c r="DD7" s="271"/>
      <c r="DE7" s="34" t="str">
        <f>IFERROR(VLOOKUP(DE6,BOH!$B$48:$R$82,11,FALSE),"")</f>
        <v>P</v>
      </c>
      <c r="DF7" s="269">
        <f>IFERROR(YEAR(VLOOKUP(DE6,BOH!$B$48:$R$82,2,FALSE)),"")</f>
        <v>2002</v>
      </c>
      <c r="DG7" s="240"/>
      <c r="DH7" s="165">
        <f ca="1">IFERROR(VLOOKUP(DE6,BOH!$B$48:$R$82,3,FALSE),"")</f>
        <v>18</v>
      </c>
      <c r="DI7" s="270" t="str">
        <f>IFERROR(VLOOKUP(DE6,BOH!$B$48:$R$82,15,FALSE),"")</f>
        <v>179/73</v>
      </c>
      <c r="DJ7" s="271"/>
      <c r="DK7" s="33"/>
      <c r="DL7" s="33"/>
      <c r="DM7" s="33"/>
      <c r="DN7" s="33"/>
      <c r="DO7" s="33"/>
      <c r="DP7" s="33"/>
      <c r="DQ7" s="34" t="str">
        <f>IFERROR(VLOOKUP(DQ6,BOH!$B$48:$R$82,11,FALSE),"")</f>
        <v>P</v>
      </c>
      <c r="DR7" s="269">
        <f>IFERROR(YEAR(VLOOKUP(DQ6,BOH!$B$48:$R$82,2,FALSE)),"")</f>
        <v>2002</v>
      </c>
      <c r="DS7" s="240"/>
      <c r="DT7" s="165">
        <f ca="1">IFERROR(VLOOKUP(DQ6,BOH!$B$48:$R$82,3,FALSE),"")</f>
        <v>18</v>
      </c>
      <c r="DU7" s="270" t="str">
        <f>IFERROR(VLOOKUP(DQ6,BOH!$B$48:$R$82,15,FALSE),"")</f>
        <v>168/70</v>
      </c>
      <c r="DV7" s="271"/>
      <c r="DW7" s="34" t="str">
        <f>IFERROR(VLOOKUP(DW6,SPA!$B$48:$R$82,11,FALSE),"")</f>
        <v/>
      </c>
      <c r="DX7" s="269" t="str">
        <f>IFERROR(YEAR(VLOOKUP(DW6,SPA!$B$48:$R$82,2,FALSE)),"")</f>
        <v/>
      </c>
      <c r="DY7" s="240"/>
      <c r="DZ7" s="165" t="str">
        <f>IFERROR(VLOOKUP(DW6,SPA!$B$48:$R$82,3,FALSE),"")</f>
        <v/>
      </c>
      <c r="EA7" s="270" t="str">
        <f>IFERROR(VLOOKUP(DW6,SPA!$B$48:$R$82,15,FALSE),"")</f>
        <v/>
      </c>
      <c r="EB7" s="271"/>
      <c r="EC7" s="33"/>
      <c r="ED7" s="33"/>
      <c r="EE7" s="33"/>
      <c r="EF7" s="33"/>
      <c r="EG7" s="33"/>
      <c r="EH7" s="33"/>
      <c r="EI7" s="34" t="str">
        <f>IFERROR(VLOOKUP(EI6,SPA!$B$48:$R$82,11,FALSE),"")</f>
        <v/>
      </c>
      <c r="EJ7" s="269" t="str">
        <f>IFERROR(YEAR(VLOOKUP(EI6,SPA!$B$48:$R$82,2,FALSE)),"")</f>
        <v/>
      </c>
      <c r="EK7" s="240"/>
      <c r="EL7" s="165" t="str">
        <f>IFERROR(VLOOKUP(EI6,SPA!$B$48:$R$82,3,FALSE),"")</f>
        <v/>
      </c>
      <c r="EM7" s="270" t="str">
        <f>IFERROR(VLOOKUP(EI6,SPA!$B$48:$R$82,15,FALSE),"")</f>
        <v/>
      </c>
      <c r="EN7" s="271"/>
      <c r="EO7" s="34" t="str">
        <f>IFERROR(VLOOKUP(EO6,CLP!$B$48:$R$82,11,FALSE),"")</f>
        <v/>
      </c>
      <c r="EP7" s="269" t="str">
        <f>IFERROR(YEAR(VLOOKUP(EO6,CLP!$B$48:$R$82,2,FALSE)),"")</f>
        <v/>
      </c>
      <c r="EQ7" s="240"/>
      <c r="ER7" s="204" t="str">
        <f>IFERROR(VLOOKUP(EO6,CLP!$B$48:$R$82,3,FALSE),"")</f>
        <v/>
      </c>
      <c r="ES7" s="270" t="str">
        <f>IFERROR(VLOOKUP(EO6,CLP!$B$48:$R$82,15,FALSE),"")</f>
        <v/>
      </c>
      <c r="ET7" s="271"/>
      <c r="EU7" s="33"/>
      <c r="EV7" s="33"/>
      <c r="EW7" s="33"/>
      <c r="EX7" s="33"/>
      <c r="EY7" s="33"/>
      <c r="EZ7" s="33"/>
      <c r="FA7" s="34" t="str">
        <f>IFERROR(VLOOKUP(FA6,CLP!$B$48:$R$82,11,FALSE),"")</f>
        <v/>
      </c>
      <c r="FB7" s="269" t="str">
        <f>IFERROR(YEAR(VLOOKUP(FA6,CLP!$B$48:$R$82,2,FALSE)),"")</f>
        <v/>
      </c>
      <c r="FC7" s="240"/>
      <c r="FD7" s="204" t="str">
        <f>IFERROR(VLOOKUP(FA6,CLP!$B$48:$R$82,3,FALSE),"")</f>
        <v/>
      </c>
      <c r="FE7" s="270" t="str">
        <f>IFERROR(VLOOKUP(FA6,CLP!$B$48:$R$82,15,FALSE),"")</f>
        <v/>
      </c>
      <c r="FF7" s="271"/>
      <c r="FG7" s="34" t="str">
        <f>IFERROR(VLOOKUP(FG6,LIB!$B$48:$R$82,11,FALSE),"")</f>
        <v/>
      </c>
      <c r="FH7" s="269" t="str">
        <f>IFERROR(YEAR(VLOOKUP(FG6,LIB!$B$48:$R$82,2,FALSE)),"")</f>
        <v/>
      </c>
      <c r="FI7" s="240"/>
      <c r="FJ7" s="204" t="str">
        <f>IFERROR(VLOOKUP(FG6,LIB!$B$48:$R$82,3,FALSE),"")</f>
        <v/>
      </c>
      <c r="FK7" s="270" t="str">
        <f>IFERROR(VLOOKUP(FG6,LIB!$B$48:$R$82,15,FALSE),"")</f>
        <v/>
      </c>
      <c r="FL7" s="271"/>
      <c r="FM7" s="33"/>
      <c r="FN7" s="33"/>
      <c r="FO7" s="33"/>
      <c r="FP7" s="33"/>
      <c r="FQ7" s="33"/>
      <c r="FR7" s="33"/>
      <c r="FS7" s="34" t="str">
        <f>IFERROR(VLOOKUP(FS6,LIB!$B$48:$R$82,11,FALSE),"")</f>
        <v/>
      </c>
      <c r="FT7" s="269" t="str">
        <f>IFERROR(YEAR(VLOOKUP(FS6,LIB!$B$48:$R$82,2,FALSE)),"")</f>
        <v/>
      </c>
      <c r="FU7" s="240"/>
      <c r="FV7" s="204" t="str">
        <f>IFERROR(VLOOKUP(FS6,LIB!$B$48:$R$82,3,FALSE),"")</f>
        <v/>
      </c>
      <c r="FW7" s="270" t="str">
        <f>IFERROR(VLOOKUP(FS6,LIB!$B$48:$R$82,15,FALSE),"")</f>
        <v/>
      </c>
      <c r="FX7" s="271"/>
    </row>
    <row r="8" spans="1:180" ht="15.6" customHeight="1" x14ac:dyDescent="0.25">
      <c r="A8" s="277" t="str">
        <f>IFERROR(VLOOKUP(A6,SKV!$B$2:$O$36,14,FALSE),"")</f>
        <v>23 OZ , 5 (3+2), -27 ±</v>
      </c>
      <c r="B8" s="278"/>
      <c r="C8" s="278"/>
      <c r="D8" s="279" t="str">
        <f>IFERROR(VLOOKUP(A6,SKV!$B$48:$AA$82,14,FALSE),"")</f>
        <v>94 OZ, 17 (9+8)</v>
      </c>
      <c r="E8" s="279"/>
      <c r="F8" s="280"/>
      <c r="G8" s="33"/>
      <c r="H8" s="281" t="s">
        <v>29</v>
      </c>
      <c r="I8" s="281"/>
      <c r="J8" s="281"/>
      <c r="K8" s="281"/>
      <c r="L8" s="33"/>
      <c r="M8" s="277" t="str">
        <f>IFERROR(VLOOKUP(M6,SKV!$B$2:$O$36,14,FALSE),"")</f>
        <v>21 OZ , 7 (4+3), -16 ±</v>
      </c>
      <c r="N8" s="278"/>
      <c r="O8" s="278"/>
      <c r="P8" s="279" t="str">
        <f>IFERROR(VLOOKUP(M6,SKV!$B$48:$AA$82,14,FALSE),"")</f>
        <v>100 OZ, 26 (8+18)</v>
      </c>
      <c r="Q8" s="279"/>
      <c r="R8" s="280"/>
      <c r="S8" s="277" t="str">
        <f>IFERROR(VLOOKUP(S6,CHO!$B$2:$O$36,14,FALSE),"")</f>
        <v>20 OZ , 12 (4+8), +2 ±</v>
      </c>
      <c r="T8" s="278"/>
      <c r="U8" s="278"/>
      <c r="V8" s="279" t="str">
        <f>IFERROR(VLOOKUP(S6,CHO!$B$48:$AA$82,14,FALSE),"")</f>
        <v>218 OZ, 151 (44+107)</v>
      </c>
      <c r="W8" s="279"/>
      <c r="X8" s="280"/>
      <c r="Y8" s="33"/>
      <c r="Z8" s="281" t="s">
        <v>145</v>
      </c>
      <c r="AA8" s="281"/>
      <c r="AB8" s="281"/>
      <c r="AC8" s="281"/>
      <c r="AD8" s="33"/>
      <c r="AE8" s="277" t="str">
        <f>IFERROR(VLOOKUP(AE6,CHO!$B$2:$O$36,14,FALSE),"")</f>
        <v>20 OZ , 15 (3+12), +9 ±</v>
      </c>
      <c r="AF8" s="278"/>
      <c r="AG8" s="278"/>
      <c r="AH8" s="279" t="str">
        <f>IFERROR(VLOOKUP(AE6,CHO!$B$48:$AA$82,14,FALSE),"")</f>
        <v>224 OZ, 207 (57+150)</v>
      </c>
      <c r="AI8" s="279"/>
      <c r="AJ8" s="280"/>
      <c r="AK8" s="277" t="str">
        <f>IFERROR(VLOOKUP(AK6,VIT!$B$2:$O$36,14,FALSE),"")</f>
        <v/>
      </c>
      <c r="AL8" s="278"/>
      <c r="AM8" s="278"/>
      <c r="AN8" s="279" t="str">
        <f>IFERROR(VLOOKUP(AK6,VIT!$B$48:$R$82,14,FALSE),"")</f>
        <v/>
      </c>
      <c r="AO8" s="279"/>
      <c r="AP8" s="280"/>
      <c r="AQ8" s="33"/>
      <c r="AR8" s="281" t="s">
        <v>141</v>
      </c>
      <c r="AS8" s="281"/>
      <c r="AT8" s="281"/>
      <c r="AU8" s="281"/>
      <c r="AV8" s="33"/>
      <c r="AW8" s="277" t="str">
        <f>IFERROR(VLOOKUP(AW6,VIT!$B$2:$O$36,14,FALSE),"")</f>
        <v/>
      </c>
      <c r="AX8" s="278"/>
      <c r="AY8" s="278"/>
      <c r="AZ8" s="279" t="str">
        <f>IFERROR(VLOOKUP(AW6,VIT!$B$48:$R$82,14,FALSE),"")</f>
        <v/>
      </c>
      <c r="BA8" s="279"/>
      <c r="BB8" s="280"/>
      <c r="BC8" s="277" t="str">
        <f>IFERROR(VLOOKUP(BC6,MB!$B$2:$O$36,14,FALSE),"")</f>
        <v>22 OZ , 8 (2+6), +27 ±</v>
      </c>
      <c r="BD8" s="278"/>
      <c r="BE8" s="278"/>
      <c r="BF8" s="279" t="str">
        <f>IFERROR(VLOOKUP(BC6,MB!$B$48:$R$82,14,FALSE),"")</f>
        <v>203 OZ, 135 (78+57)</v>
      </c>
      <c r="BG8" s="279"/>
      <c r="BH8" s="280"/>
      <c r="BI8" s="33"/>
      <c r="BJ8" s="281" t="s">
        <v>150</v>
      </c>
      <c r="BK8" s="281"/>
      <c r="BL8" s="281"/>
      <c r="BM8" s="281"/>
      <c r="BN8" s="33"/>
      <c r="BO8" s="277" t="str">
        <f>IFERROR(VLOOKUP(BO6,MB!$B$2:$O$36,14,FALSE),"")</f>
        <v>22 OZ , 18 (4+14), +39 ±</v>
      </c>
      <c r="BP8" s="278"/>
      <c r="BQ8" s="278"/>
      <c r="BR8" s="279" t="str">
        <f>IFERROR(VLOOKUP(BO6,MB!$B$48:$R$82,14,FALSE),"")</f>
        <v>282 OZ, 173 (47+126)</v>
      </c>
      <c r="BS8" s="279"/>
      <c r="BT8" s="280"/>
      <c r="BU8" s="277" t="str">
        <f>IFERROR(VLOOKUP(BU6,TAT!$B$2:$O$36,14,FALSE),"")</f>
        <v/>
      </c>
      <c r="BV8" s="278"/>
      <c r="BW8" s="278"/>
      <c r="BX8" s="279" t="str">
        <f>IFERROR(VLOOKUP(BU6,TAT!$B$48:$R$82,14,FALSE),"")</f>
        <v/>
      </c>
      <c r="BY8" s="279"/>
      <c r="BZ8" s="280"/>
      <c r="CA8" s="33"/>
      <c r="CB8" s="281" t="s">
        <v>142</v>
      </c>
      <c r="CC8" s="281"/>
      <c r="CD8" s="281"/>
      <c r="CE8" s="281"/>
      <c r="CF8" s="33"/>
      <c r="CG8" s="277" t="str">
        <f>IFERROR(VLOOKUP(CG6,TAT!$B$2:$O$36,14,FALSE),"")</f>
        <v/>
      </c>
      <c r="CH8" s="278"/>
      <c r="CI8" s="278"/>
      <c r="CJ8" s="279" t="str">
        <f>IFERROR(VLOOKUP(CG6,TAT!$B$48:$R$82,14,FALSE),"")</f>
        <v/>
      </c>
      <c r="CK8" s="279"/>
      <c r="CL8" s="280"/>
      <c r="CM8" s="277" t="str">
        <f>IFERROR(VLOOKUP(CM6,OTR!$B$2:$O$36,14,FALSE),"")</f>
        <v>14 OZ , 5 (2+3), -10 ±</v>
      </c>
      <c r="CN8" s="278"/>
      <c r="CO8" s="278"/>
      <c r="CP8" s="279" t="str">
        <f>IFERROR(VLOOKUP(CM6,OTR!$B$48:$R$82,14,FALSE),"")</f>
        <v>38 OZ, 11 (2+9)</v>
      </c>
      <c r="CQ8" s="279"/>
      <c r="CR8" s="280"/>
      <c r="CS8" s="33"/>
      <c r="CT8" s="281" t="s">
        <v>153</v>
      </c>
      <c r="CU8" s="281"/>
      <c r="CV8" s="281"/>
      <c r="CW8" s="281"/>
      <c r="CX8" s="33"/>
      <c r="CY8" s="277" t="str">
        <f>IFERROR(VLOOKUP(CY6,OTR!$B$2:$O$36,14,FALSE),"")</f>
        <v>16 OZ , 10 (6+4), -11 ±</v>
      </c>
      <c r="CZ8" s="278"/>
      <c r="DA8" s="278"/>
      <c r="DB8" s="279" t="str">
        <f>IFERROR(VLOOKUP(CY6,OTR!$B$48:$R$82,14,FALSE),"")</f>
        <v>221 OZ, 115 (47+68)</v>
      </c>
      <c r="DC8" s="279"/>
      <c r="DD8" s="280"/>
      <c r="DE8" s="277" t="str">
        <f>IFERROR(VLOOKUP(DE6,BOH!$B$2:$O$36,14,FALSE),"")</f>
        <v>23 OZ , 20 (12+8), +8 ±</v>
      </c>
      <c r="DF8" s="278"/>
      <c r="DG8" s="278"/>
      <c r="DH8" s="279" t="str">
        <f>IFERROR(VLOOKUP(DE6,BOH!$B$48:$R$82,14,FALSE),"")</f>
        <v>45 OZ, 24 (14+10)</v>
      </c>
      <c r="DI8" s="279"/>
      <c r="DJ8" s="280"/>
      <c r="DK8" s="33"/>
      <c r="DL8" s="281" t="s">
        <v>143</v>
      </c>
      <c r="DM8" s="281"/>
      <c r="DN8" s="281"/>
      <c r="DO8" s="281"/>
      <c r="DP8" s="33"/>
      <c r="DQ8" s="277" t="str">
        <f>IFERROR(VLOOKUP(DQ6,BOH!$B$2:$O$36,14,FALSE),"")</f>
        <v>23 OZ , 38 (25+13), +9 ±</v>
      </c>
      <c r="DR8" s="278"/>
      <c r="DS8" s="278"/>
      <c r="DT8" s="279" t="str">
        <f>IFERROR(VLOOKUP(DQ6,BOH!$B$48:$R$82,14,FALSE),"")</f>
        <v>30 OZ, 39 (26+13)</v>
      </c>
      <c r="DU8" s="279"/>
      <c r="DV8" s="280"/>
      <c r="DW8" s="277" t="str">
        <f>IFERROR(VLOOKUP(DW6,SPA!$B$2:$O$36,14,FALSE),"")</f>
        <v/>
      </c>
      <c r="DX8" s="278"/>
      <c r="DY8" s="278"/>
      <c r="DZ8" s="279" t="str">
        <f>IFERROR(VLOOKUP(DW6,SPA!$B$48:$R$82,14,FALSE),"")</f>
        <v/>
      </c>
      <c r="EA8" s="279"/>
      <c r="EB8" s="280"/>
      <c r="EC8" s="33"/>
      <c r="ED8" s="281" t="s">
        <v>148</v>
      </c>
      <c r="EE8" s="281"/>
      <c r="EF8" s="281"/>
      <c r="EG8" s="281"/>
      <c r="EH8" s="33"/>
      <c r="EI8" s="277" t="str">
        <f>IFERROR(VLOOKUP(EI6,SPA!$B$2:$O$36,14,FALSE),"")</f>
        <v/>
      </c>
      <c r="EJ8" s="278"/>
      <c r="EK8" s="278"/>
      <c r="EL8" s="279" t="str">
        <f>IFERROR(VLOOKUP(EI6,SPA!$B$48:$R$82,14,FALSE),"")</f>
        <v/>
      </c>
      <c r="EM8" s="279"/>
      <c r="EN8" s="280"/>
      <c r="EO8" s="277" t="str">
        <f>IFERROR(VLOOKUP(EO6,CLP!$B$2:$O$36,14,FALSE),"")</f>
        <v/>
      </c>
      <c r="EP8" s="278"/>
      <c r="EQ8" s="278"/>
      <c r="ER8" s="279" t="str">
        <f>IFERROR(VLOOKUP(EO6,CLP!$B$48:$R$82,14,FALSE),"")</f>
        <v/>
      </c>
      <c r="ES8" s="279"/>
      <c r="ET8" s="280"/>
      <c r="EU8" s="33"/>
      <c r="EV8" s="281" t="s">
        <v>152</v>
      </c>
      <c r="EW8" s="281"/>
      <c r="EX8" s="281"/>
      <c r="EY8" s="281"/>
      <c r="EZ8" s="33"/>
      <c r="FA8" s="277" t="str">
        <f>IFERROR(VLOOKUP(FA6,CLP!$B$2:$O$36,14,FALSE),"")</f>
        <v/>
      </c>
      <c r="FB8" s="278"/>
      <c r="FC8" s="278"/>
      <c r="FD8" s="279" t="str">
        <f>IFERROR(VLOOKUP(FA6,CLP!$B$48:$R$82,14,FALSE),"")</f>
        <v/>
      </c>
      <c r="FE8" s="279"/>
      <c r="FF8" s="280"/>
      <c r="FG8" s="277" t="str">
        <f>IFERROR(VLOOKUP(FG6,LIB!$B$2:$O$36,14,FALSE),"")</f>
        <v/>
      </c>
      <c r="FH8" s="278"/>
      <c r="FI8" s="278"/>
      <c r="FJ8" s="279" t="str">
        <f>IFERROR(VLOOKUP(FG6,LIB!$B$48:$R$82,14,FALSE),"")</f>
        <v/>
      </c>
      <c r="FK8" s="279"/>
      <c r="FL8" s="280"/>
      <c r="FM8" s="33"/>
      <c r="FN8" s="281" t="s">
        <v>144</v>
      </c>
      <c r="FO8" s="281"/>
      <c r="FP8" s="281"/>
      <c r="FQ8" s="281"/>
      <c r="FR8" s="33"/>
      <c r="FS8" s="277" t="str">
        <f>IFERROR(VLOOKUP(FS6,LIB!$B$2:$O$36,14,FALSE),"")</f>
        <v/>
      </c>
      <c r="FT8" s="278"/>
      <c r="FU8" s="278"/>
      <c r="FV8" s="279" t="str">
        <f>IFERROR(VLOOKUP(FS6,LIB!$B$48:$R$82,14,FALSE),"")</f>
        <v/>
      </c>
      <c r="FW8" s="279"/>
      <c r="FX8" s="280"/>
    </row>
    <row r="9" spans="1:180" ht="15.6" customHeight="1" thickBot="1" x14ac:dyDescent="0.3">
      <c r="A9" s="243" t="str">
        <f>IFERROR(VLOOKUP(A6,SKV!$B$48:$AA$82,16,FALSE),"")</f>
        <v>SC Sportcentrum</v>
      </c>
      <c r="B9" s="244"/>
      <c r="C9" s="245"/>
      <c r="D9" s="246">
        <f>IFERROR(VLOOKUP(A6,SKV!$B$48:$AA$82,17,FALSE),"")</f>
        <v>2000</v>
      </c>
      <c r="E9" s="247"/>
      <c r="F9" s="124">
        <f>IFERROR(VLOOKUP(A6,SKV!$B$48:$AA$82,8,FALSE),"")</f>
        <v>6</v>
      </c>
      <c r="G9" s="33"/>
      <c r="H9" s="281"/>
      <c r="I9" s="281"/>
      <c r="J9" s="281"/>
      <c r="K9" s="281"/>
      <c r="L9" s="33"/>
      <c r="M9" s="243" t="str">
        <f>IFERROR(VLOOKUP(M6,SKV!$B$48:$AA$82,16,FALSE),"")</f>
        <v>Česká Lípa</v>
      </c>
      <c r="N9" s="244"/>
      <c r="O9" s="245"/>
      <c r="P9" s="246">
        <f>IFERROR(VLOOKUP(M6,SKV!$B$48:$AA$82,17,FALSE),"")</f>
        <v>2007</v>
      </c>
      <c r="Q9" s="247"/>
      <c r="R9" s="124">
        <f>IFERROR(VLOOKUP(M6,SKV!$B$48:$AA$82,8,FALSE),"")</f>
        <v>5</v>
      </c>
      <c r="S9" s="243" t="str">
        <f>IFERROR(VLOOKUP(S6,CHO!$B$48:$AA$82,16,FALSE),"")</f>
        <v>Faraos Praha</v>
      </c>
      <c r="T9" s="244"/>
      <c r="U9" s="245"/>
      <c r="V9" s="246">
        <f>IFERROR(VLOOKUP(S6,CHO!$B$48:$AA$82,17,FALSE),"")</f>
        <v>1998</v>
      </c>
      <c r="W9" s="247"/>
      <c r="X9" s="124">
        <f>IFERROR(VLOOKUP(S6,CHO!$B$48:$AA$82,8,FALSE),"")</f>
        <v>11</v>
      </c>
      <c r="Y9" s="33"/>
      <c r="Z9" s="281"/>
      <c r="AA9" s="281"/>
      <c r="AB9" s="281"/>
      <c r="AC9" s="281"/>
      <c r="AD9" s="33"/>
      <c r="AE9" s="243" t="str">
        <f>IFERROR(VLOOKUP(AE6,CHO!$B$48:$AA$82,16,FALSE),"")</f>
        <v>SK Juvenis Přibyslav</v>
      </c>
      <c r="AF9" s="244"/>
      <c r="AG9" s="245"/>
      <c r="AH9" s="246">
        <f>IFERROR(VLOOKUP(AE6,CHO!$B$48:$AA$82,17,FALSE),"")</f>
        <v>2004</v>
      </c>
      <c r="AI9" s="247"/>
      <c r="AJ9" s="124">
        <f>IFERROR(VLOOKUP(AE6,CHO!$B$48:$AA$82,8,FALSE),"")</f>
        <v>11</v>
      </c>
      <c r="AK9" s="243" t="str">
        <f>IFERROR(VLOOKUP(AK6,VIT!$B$48:$R$82,16,FALSE),"")</f>
        <v/>
      </c>
      <c r="AL9" s="244"/>
      <c r="AM9" s="245"/>
      <c r="AN9" s="246" t="str">
        <f>IFERROR(VLOOKUP(AK6,VIT!$B$48:$R$82,17,FALSE),"")</f>
        <v/>
      </c>
      <c r="AO9" s="247"/>
      <c r="AP9" s="124" t="str">
        <f>IFERROR(VLOOKUP(AK6,VIT!$B$48:$R$82,8,FALSE),"")</f>
        <v/>
      </c>
      <c r="AQ9" s="33"/>
      <c r="AR9" s="281"/>
      <c r="AS9" s="281"/>
      <c r="AT9" s="281"/>
      <c r="AU9" s="281"/>
      <c r="AV9" s="33"/>
      <c r="AW9" s="243" t="str">
        <f>IFERROR(VLOOKUP(AW6,VIT!$B$48:$R$82,16,FALSE),"")</f>
        <v/>
      </c>
      <c r="AX9" s="244"/>
      <c r="AY9" s="245"/>
      <c r="AZ9" s="246" t="str">
        <f>IFERROR(VLOOKUP(AW6,VIT!$B$48:$R$82,17,FALSE),"")</f>
        <v/>
      </c>
      <c r="BA9" s="247"/>
      <c r="BB9" s="124" t="str">
        <f>IFERROR(VLOOKUP(AW6,VIT!$B$48:$R$82,8,FALSE),"")</f>
        <v/>
      </c>
      <c r="BC9" s="243" t="str">
        <f>IFERROR(VLOOKUP(BC6,MB!$B$48:$R$82,16,FALSE),"")</f>
        <v>TJ SKV</v>
      </c>
      <c r="BD9" s="244"/>
      <c r="BE9" s="245"/>
      <c r="BF9" s="246">
        <f>IFERROR(VLOOKUP(BC6,MB!$B$48:$R$82,17,FALSE),"")</f>
        <v>2005</v>
      </c>
      <c r="BG9" s="247"/>
      <c r="BH9" s="124">
        <f>IFERROR(VLOOKUP(BC6,MB!$B$48:$R$82,8,FALSE),"")</f>
        <v>10</v>
      </c>
      <c r="BI9" s="33"/>
      <c r="BJ9" s="281"/>
      <c r="BK9" s="281"/>
      <c r="BL9" s="281"/>
      <c r="BM9" s="281"/>
      <c r="BN9" s="33"/>
      <c r="BO9" s="243" t="str">
        <f>IFERROR(VLOOKUP(BO6,MB!$B$48:$R$82,16,FALSE),"")</f>
        <v>1. SC Vítkovice</v>
      </c>
      <c r="BP9" s="244"/>
      <c r="BQ9" s="245"/>
      <c r="BR9" s="246">
        <f>IFERROR(VLOOKUP(BO6,MB!$B$48:$R$82,17,FALSE),"")</f>
        <v>2001</v>
      </c>
      <c r="BS9" s="247"/>
      <c r="BT9" s="124">
        <f>IFERROR(VLOOKUP(BO6,MB!$B$48:$R$82,8,FALSE),"")</f>
        <v>14</v>
      </c>
      <c r="BU9" s="243" t="str">
        <f>IFERROR(VLOOKUP(BU6,TAT!$B$48:$R$82,16,FALSE),"")</f>
        <v/>
      </c>
      <c r="BV9" s="244"/>
      <c r="BW9" s="245"/>
      <c r="BX9" s="246" t="str">
        <f>IFERROR(VLOOKUP(BU6,TAT!$B$48:$R$82,17,FALSE),"")</f>
        <v/>
      </c>
      <c r="BY9" s="247"/>
      <c r="BZ9" s="124" t="str">
        <f>IFERROR(VLOOKUP(BU6,TAT!$B$48:$R$82,8,FALSE),"")</f>
        <v/>
      </c>
      <c r="CA9" s="33"/>
      <c r="CB9" s="281"/>
      <c r="CC9" s="281"/>
      <c r="CD9" s="281"/>
      <c r="CE9" s="281"/>
      <c r="CF9" s="33"/>
      <c r="CG9" s="243" t="str">
        <f>IFERROR(VLOOKUP(CG6,TAT!$B$48:$R$82,16,FALSE),"")</f>
        <v/>
      </c>
      <c r="CH9" s="244"/>
      <c r="CI9" s="245"/>
      <c r="CJ9" s="246" t="str">
        <f>IFERROR(VLOOKUP(CG6,TAT!$B$48:$R$82,17,FALSE),"")</f>
        <v/>
      </c>
      <c r="CK9" s="247"/>
      <c r="CL9" s="124" t="str">
        <f>IFERROR(VLOOKUP(CG6,TAT!$B$48:$R$82,8,FALSE),"")</f>
        <v/>
      </c>
      <c r="CM9" s="243" t="str">
        <f>IFERROR(VLOOKUP(CM6,OTR!$B$48:$R$82,16,FALSE),"")</f>
        <v>Gullivers</v>
      </c>
      <c r="CN9" s="244"/>
      <c r="CO9" s="245"/>
      <c r="CP9" s="246">
        <f>IFERROR(VLOOKUP(CM6,OTR!$B$48:$R$82,17,FALSE),"")</f>
        <v>2008</v>
      </c>
      <c r="CQ9" s="247"/>
      <c r="CR9" s="124">
        <f>IFERROR(VLOOKUP(CM6,OTR!$B$48:$R$82,8,FALSE),"")</f>
        <v>4</v>
      </c>
      <c r="CS9" s="33"/>
      <c r="CT9" s="281"/>
      <c r="CU9" s="281"/>
      <c r="CV9" s="281"/>
      <c r="CW9" s="281"/>
      <c r="CX9" s="33"/>
      <c r="CY9" s="243" t="str">
        <f>IFERROR(VLOOKUP(CY6,OTR!$B$48:$R$82,16,FALSE),"")</f>
        <v>Panthers Otrokovice</v>
      </c>
      <c r="CZ9" s="244"/>
      <c r="DA9" s="245"/>
      <c r="DB9" s="246">
        <f>IFERROR(VLOOKUP(CY6,OTR!$B$48:$R$82,17,FALSE),"")</f>
        <v>1998</v>
      </c>
      <c r="DC9" s="247"/>
      <c r="DD9" s="124">
        <f>IFERROR(VLOOKUP(CY6,OTR!$B$48:$R$82,8,FALSE),"")</f>
        <v>11</v>
      </c>
      <c r="DE9" s="243" t="str">
        <f>IFERROR(VLOOKUP(DE6,BOH!$B$48:$R$82,16,FALSE),"")</f>
        <v>SK Florbal Benešov</v>
      </c>
      <c r="DF9" s="244"/>
      <c r="DG9" s="245"/>
      <c r="DH9" s="246" t="str">
        <f>IFERROR(VLOOKUP(DE6,BOH!$B$48:$R$82,17,FALSE),"")</f>
        <v>-</v>
      </c>
      <c r="DI9" s="247"/>
      <c r="DJ9" s="124">
        <f>IFERROR(VLOOKUP(DE6,BOH!$B$48:$R$82,8,FALSE),"")</f>
        <v>2</v>
      </c>
      <c r="DK9" s="33"/>
      <c r="DL9" s="281"/>
      <c r="DM9" s="281"/>
      <c r="DN9" s="281"/>
      <c r="DO9" s="281"/>
      <c r="DP9" s="33"/>
      <c r="DQ9" s="243" t="str">
        <f>IFERROR(VLOOKUP(DQ6,BOH!$B$48:$R$82,16,FALSE),"")</f>
        <v>Florbal Chodov</v>
      </c>
      <c r="DR9" s="244"/>
      <c r="DS9" s="245"/>
      <c r="DT9" s="246" t="str">
        <f>IFERROR(VLOOKUP(DQ6,BOH!$B$48:$R$82,17,FALSE),"")</f>
        <v>-</v>
      </c>
      <c r="DU9" s="247"/>
      <c r="DV9" s="124">
        <f>IFERROR(VLOOKUP(DQ6,BOH!$B$48:$R$82,8,FALSE),"")</f>
        <v>2</v>
      </c>
      <c r="DW9" s="243" t="str">
        <f>IFERROR(VLOOKUP(DW6,SPA!$B$48:$R$82,16,FALSE),"")</f>
        <v/>
      </c>
      <c r="DX9" s="244"/>
      <c r="DY9" s="245"/>
      <c r="DZ9" s="246" t="str">
        <f>IFERROR(VLOOKUP(DW6,SPA!$B$48:$R$82,17,FALSE),"")</f>
        <v/>
      </c>
      <c r="EA9" s="247"/>
      <c r="EB9" s="124" t="str">
        <f>IFERROR(VLOOKUP(DW6,SPA!$B$48:$R$82,8,FALSE),"")</f>
        <v/>
      </c>
      <c r="EC9" s="33"/>
      <c r="ED9" s="281"/>
      <c r="EE9" s="281"/>
      <c r="EF9" s="281"/>
      <c r="EG9" s="281"/>
      <c r="EH9" s="33"/>
      <c r="EI9" s="243" t="str">
        <f>IFERROR(VLOOKUP(EI6,SPA!$B$48:$R$82,16,FALSE),"")</f>
        <v/>
      </c>
      <c r="EJ9" s="244"/>
      <c r="EK9" s="245"/>
      <c r="EL9" s="246" t="str">
        <f>IFERROR(VLOOKUP(EI6,SPA!$B$48:$R$82,17,FALSE),"")</f>
        <v/>
      </c>
      <c r="EM9" s="247"/>
      <c r="EN9" s="124" t="str">
        <f>IFERROR(VLOOKUP(EI6,SPA!$B$48:$R$82,8,FALSE),"")</f>
        <v/>
      </c>
      <c r="EO9" s="243" t="str">
        <f>IFERROR(VLOOKUP(EO6,CLP!$B$48:$R$82,16,FALSE),"")</f>
        <v/>
      </c>
      <c r="EP9" s="244"/>
      <c r="EQ9" s="245"/>
      <c r="ER9" s="246" t="str">
        <f>IFERROR(VLOOKUP(EO6,CLP!$B$48:$R$82,17,FALSE),"")</f>
        <v/>
      </c>
      <c r="ES9" s="247"/>
      <c r="ET9" s="124" t="str">
        <f>IFERROR(VLOOKUP(EO6,CLP!$B$48:$R$82,8,FALSE),"")</f>
        <v/>
      </c>
      <c r="EU9" s="33"/>
      <c r="EV9" s="281"/>
      <c r="EW9" s="281"/>
      <c r="EX9" s="281"/>
      <c r="EY9" s="281"/>
      <c r="EZ9" s="33"/>
      <c r="FA9" s="243" t="str">
        <f>IFERROR(VLOOKUP(FA6,CLP!$B$48:$R$82,16,FALSE),"")</f>
        <v/>
      </c>
      <c r="FB9" s="244"/>
      <c r="FC9" s="245"/>
      <c r="FD9" s="246" t="str">
        <f>IFERROR(VLOOKUP(FA6,CLP!$B$48:$R$82,17,FALSE),"")</f>
        <v/>
      </c>
      <c r="FE9" s="247"/>
      <c r="FF9" s="124" t="str">
        <f>IFERROR(VLOOKUP(FA6,CLP!$B$48:$R$82,8,FALSE),"")</f>
        <v/>
      </c>
      <c r="FG9" s="243" t="str">
        <f>IFERROR(VLOOKUP(FG6,LIB!$B$48:$R$82,16,FALSE),"")</f>
        <v/>
      </c>
      <c r="FH9" s="244"/>
      <c r="FI9" s="245"/>
      <c r="FJ9" s="246" t="str">
        <f>IFERROR(VLOOKUP(FG6,LIB!$B$48:$R$82,17,FALSE),"")</f>
        <v/>
      </c>
      <c r="FK9" s="247"/>
      <c r="FL9" s="124" t="str">
        <f>IFERROR(VLOOKUP(FG6,LIB!$B$48:$R$82,8,FALSE),"")</f>
        <v/>
      </c>
      <c r="FM9" s="33"/>
      <c r="FN9" s="281"/>
      <c r="FO9" s="281"/>
      <c r="FP9" s="281"/>
      <c r="FQ9" s="281"/>
      <c r="FR9" s="33"/>
      <c r="FS9" s="243" t="str">
        <f>IFERROR(VLOOKUP(FS6,LIB!$B$48:$R$82,16,FALSE),"")</f>
        <v/>
      </c>
      <c r="FT9" s="244"/>
      <c r="FU9" s="245"/>
      <c r="FV9" s="246" t="str">
        <f>IFERROR(VLOOKUP(FS6,LIB!$B$48:$R$82,17,FALSE),"")</f>
        <v/>
      </c>
      <c r="FW9" s="247"/>
      <c r="FX9" s="124" t="str">
        <f>IFERROR(VLOOKUP(FS6,LIB!$B$48:$R$82,8,FALSE),"")</f>
        <v/>
      </c>
    </row>
    <row r="10" spans="1:180"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row>
    <row r="11" spans="1:180"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row>
    <row r="12" spans="1:180" ht="15.6" customHeight="1" thickTop="1" thickBot="1" x14ac:dyDescent="0.3">
      <c r="A12" s="266" t="s">
        <v>3</v>
      </c>
      <c r="B12" s="267"/>
      <c r="C12" s="267"/>
      <c r="D12" s="267"/>
      <c r="E12" s="32" t="str">
        <f>IFERROR(IF(VLOOKUP(A12,SKV!$B$48:$AA$82,10,FALSE)=0,"",VLOOKUP(A12,SKV!$B$48:$AA$82,10,FALSE)),"")</f>
        <v/>
      </c>
      <c r="F12" s="52">
        <f>IFERROR(VLOOKUP(A12,SKV!$B$48:$AA$82,9,FALSE),"")</f>
        <v>24</v>
      </c>
      <c r="G12" s="33"/>
      <c r="H12" s="282" t="s">
        <v>155</v>
      </c>
      <c r="I12" s="282"/>
      <c r="J12" s="282"/>
      <c r="K12" s="282"/>
      <c r="L12" s="33"/>
      <c r="M12" s="266" t="s">
        <v>21</v>
      </c>
      <c r="N12" s="267"/>
      <c r="O12" s="267"/>
      <c r="P12" s="267"/>
      <c r="Q12" s="32" t="str">
        <f>IFERROR(IF(VLOOKUP(M12,SKV!$B$48:$AA$82,10,FALSE)=0,"",VLOOKUP(M12,SKV!$B$48:$AA$82,10,FALSE)),"")</f>
        <v/>
      </c>
      <c r="R12" s="52">
        <f>IFERROR(VLOOKUP(M12,SKV!$B$48:$AA$82,9,FALSE),"")</f>
        <v>27</v>
      </c>
      <c r="S12" s="266" t="s">
        <v>163</v>
      </c>
      <c r="T12" s="267"/>
      <c r="U12" s="267"/>
      <c r="V12" s="267"/>
      <c r="W12" s="32" t="str">
        <f>IFERROR(IF(VLOOKUP(S12,CHO!$B$48:$AA$82,10,FALSE)=0,"",VLOOKUP(S12,CHO!$B$48:$AA$82,10,FALSE)),"")</f>
        <v/>
      </c>
      <c r="X12" s="52">
        <f>IFERROR(VLOOKUP(S12,CHO!$B$48:$AA$82,9,FALSE),"")</f>
        <v>84</v>
      </c>
      <c r="Y12" s="33"/>
      <c r="Z12" s="282" t="s">
        <v>155</v>
      </c>
      <c r="AA12" s="282"/>
      <c r="AB12" s="282"/>
      <c r="AC12" s="282"/>
      <c r="AD12" s="33"/>
      <c r="AE12" s="266" t="s">
        <v>174</v>
      </c>
      <c r="AF12" s="267"/>
      <c r="AG12" s="267"/>
      <c r="AH12" s="267"/>
      <c r="AI12" s="32" t="str">
        <f>IFERROR(IF(VLOOKUP(AE12,CHO!$B$48:$AA$82,10,FALSE)=0,"",VLOOKUP(AE12,CHO!$B$48:$AA$82,10,FALSE)),"")</f>
        <v>C</v>
      </c>
      <c r="AJ12" s="52">
        <f>IFERROR(VLOOKUP(AE12,CHO!$B$48:$AA$82,9,FALSE),"")</f>
        <v>32</v>
      </c>
      <c r="AK12" s="266"/>
      <c r="AL12" s="267"/>
      <c r="AM12" s="267"/>
      <c r="AN12" s="267"/>
      <c r="AO12" s="32" t="str">
        <f>IFERROR(IF(VLOOKUP(AK12,VIT!$B$48:$R$82,10,FALSE)=0,"",VLOOKUP(AK12,VIT!$B$48:$R$82,10,FALSE)),"")</f>
        <v/>
      </c>
      <c r="AP12" s="52" t="str">
        <f>IFERROR(VLOOKUP(AK12,VIT!$B$48:$R$82,9,FALSE),"")</f>
        <v/>
      </c>
      <c r="AQ12" s="33"/>
      <c r="AR12" s="282" t="s">
        <v>155</v>
      </c>
      <c r="AS12" s="282"/>
      <c r="AT12" s="282"/>
      <c r="AU12" s="282"/>
      <c r="AV12" s="33"/>
      <c r="AW12" s="266"/>
      <c r="AX12" s="267"/>
      <c r="AY12" s="267"/>
      <c r="AZ12" s="267"/>
      <c r="BA12" s="32" t="str">
        <f>IFERROR(IF(VLOOKUP(AW12,VIT!$B$48:$R$82,10,FALSE)=0,"",VLOOKUP(AW12,VIT!$B$48:$R$82,10,FALSE)),"")</f>
        <v/>
      </c>
      <c r="BB12" s="52" t="str">
        <f>IFERROR(VLOOKUP(AW12,VIT!$B$48:$R$82,9,FALSE),"")</f>
        <v/>
      </c>
      <c r="BC12" s="266" t="s">
        <v>295</v>
      </c>
      <c r="BD12" s="267"/>
      <c r="BE12" s="267"/>
      <c r="BF12" s="267"/>
      <c r="BG12" s="32" t="str">
        <f>IFERROR(IF(VLOOKUP(BC12,MB!$B$48:$R$82,10,FALSE)=0,"",VLOOKUP(BC12,MB!$B$48:$R$82,10,FALSE)),"")</f>
        <v/>
      </c>
      <c r="BH12" s="52">
        <f>IFERROR(VLOOKUP(BC12,MB!$B$48:$R$82,9,FALSE),"")</f>
        <v>3</v>
      </c>
      <c r="BI12" s="33"/>
      <c r="BJ12" s="282" t="s">
        <v>155</v>
      </c>
      <c r="BK12" s="282"/>
      <c r="BL12" s="282"/>
      <c r="BM12" s="282"/>
      <c r="BN12" s="33"/>
      <c r="BO12" s="266" t="s">
        <v>296</v>
      </c>
      <c r="BP12" s="267"/>
      <c r="BQ12" s="267"/>
      <c r="BR12" s="267"/>
      <c r="BS12" s="32" t="str">
        <f>IFERROR(IF(VLOOKUP(BO12,MB!$B$48:$R$82,10,FALSE)=0,"",VLOOKUP(BO12,MB!$B$48:$R$82,10,FALSE)),"")</f>
        <v/>
      </c>
      <c r="BT12" s="52">
        <f>IFERROR(VLOOKUP(BO12,MB!$B$48:$R$82,9,FALSE),"")</f>
        <v>20</v>
      </c>
      <c r="BU12" s="266"/>
      <c r="BV12" s="267"/>
      <c r="BW12" s="267"/>
      <c r="BX12" s="267"/>
      <c r="BY12" s="32" t="str">
        <f>IFERROR(IF(VLOOKUP(BU12,TAT!$B$48:$R$82,10,FALSE)=0,"",VLOOKUP(BU12,TAT!$B$48:$R$82,10,FALSE)),"")</f>
        <v/>
      </c>
      <c r="BZ12" s="52" t="str">
        <f>IFERROR(VLOOKUP(BU12,TAT!$B$48:$R$82,9,FALSE),"")</f>
        <v/>
      </c>
      <c r="CA12" s="33"/>
      <c r="CB12" s="282" t="s">
        <v>155</v>
      </c>
      <c r="CC12" s="282"/>
      <c r="CD12" s="282"/>
      <c r="CE12" s="282"/>
      <c r="CF12" s="33"/>
      <c r="CG12" s="266"/>
      <c r="CH12" s="267"/>
      <c r="CI12" s="267"/>
      <c r="CJ12" s="267"/>
      <c r="CK12" s="32" t="str">
        <f>IFERROR(IF(VLOOKUP(CG12,TAT!$B$48:$R$82,10,FALSE)=0,"",VLOOKUP(CG12,TAT!$B$48:$R$82,10,FALSE)),"")</f>
        <v/>
      </c>
      <c r="CL12" s="52" t="str">
        <f>IFERROR(VLOOKUP(CG12,TAT!$B$48:$R$82,9,FALSE),"")</f>
        <v/>
      </c>
      <c r="CM12" s="266" t="s">
        <v>426</v>
      </c>
      <c r="CN12" s="267"/>
      <c r="CO12" s="267"/>
      <c r="CP12" s="267"/>
      <c r="CQ12" s="32" t="str">
        <f>IFERROR(IF(VLOOKUP(CM12,OTR!$B$48:$R$82,10,FALSE)=0,"",VLOOKUP(CM12,OTR!$B$48:$R$82,10,FALSE)),"")</f>
        <v/>
      </c>
      <c r="CR12" s="52">
        <f>IFERROR(VLOOKUP(CM12,OTR!$B$48:$R$82,9,FALSE),"")</f>
        <v>6</v>
      </c>
      <c r="CS12" s="33"/>
      <c r="CT12" s="282" t="s">
        <v>155</v>
      </c>
      <c r="CU12" s="282"/>
      <c r="CV12" s="282"/>
      <c r="CW12" s="282"/>
      <c r="CX12" s="33"/>
      <c r="CY12" s="266" t="s">
        <v>420</v>
      </c>
      <c r="CZ12" s="267"/>
      <c r="DA12" s="267"/>
      <c r="DB12" s="267"/>
      <c r="DC12" s="32" t="str">
        <f>IFERROR(IF(VLOOKUP(CY12,OTR!$B$48:$R$82,10,FALSE)=0,"",VLOOKUP(CY12,OTR!$B$48:$R$82,10,FALSE)),"")</f>
        <v/>
      </c>
      <c r="DD12" s="52">
        <f>IFERROR(VLOOKUP(CY12,OTR!$B$48:$R$82,9,FALSE),"")</f>
        <v>97</v>
      </c>
      <c r="DE12" s="266" t="s">
        <v>498</v>
      </c>
      <c r="DF12" s="267"/>
      <c r="DG12" s="267"/>
      <c r="DH12" s="267"/>
      <c r="DI12" s="32" t="str">
        <f>IFERROR(IF(VLOOKUP(DE12,BOH!$B$48:$R$82,10,FALSE)=0,"",VLOOKUP(DE12,BOH!$B$48:$R$82,10,FALSE)),"")</f>
        <v/>
      </c>
      <c r="DJ12" s="52">
        <f>IFERROR(VLOOKUP(DE12,BOH!$B$48:$R$82,9,FALSE),"")</f>
        <v>7</v>
      </c>
      <c r="DK12" s="33"/>
      <c r="DL12" s="282" t="s">
        <v>155</v>
      </c>
      <c r="DM12" s="282"/>
      <c r="DN12" s="282"/>
      <c r="DO12" s="282"/>
      <c r="DP12" s="33"/>
      <c r="DQ12" s="266" t="s">
        <v>493</v>
      </c>
      <c r="DR12" s="267"/>
      <c r="DS12" s="267"/>
      <c r="DT12" s="267"/>
      <c r="DU12" s="32" t="str">
        <f>IFERROR(IF(VLOOKUP(DQ12,BOH!$B$48:$R$82,10,FALSE)=0,"",VLOOKUP(DQ12,BOH!$B$48:$R$82,10,FALSE)),"")</f>
        <v/>
      </c>
      <c r="DV12" s="52">
        <f>IFERROR(VLOOKUP(DQ12,BOH!$B$48:$R$82,9,FALSE),"")</f>
        <v>9</v>
      </c>
      <c r="DW12" s="266"/>
      <c r="DX12" s="267"/>
      <c r="DY12" s="267"/>
      <c r="DZ12" s="267"/>
      <c r="EA12" s="32" t="str">
        <f>IFERROR(IF(VLOOKUP(DW12,SPA!$B$48:$R$82,10,FALSE)=0,"",VLOOKUP(DW12,SPA!$B$48:$R$82,10,FALSE)),"")</f>
        <v/>
      </c>
      <c r="EB12" s="52" t="str">
        <f>IFERROR(VLOOKUP(DW12,SPA!$B$48:$R$82,9,FALSE),"")</f>
        <v/>
      </c>
      <c r="EC12" s="33"/>
      <c r="ED12" s="282" t="s">
        <v>155</v>
      </c>
      <c r="EE12" s="282"/>
      <c r="EF12" s="282"/>
      <c r="EG12" s="282"/>
      <c r="EH12" s="33"/>
      <c r="EI12" s="266"/>
      <c r="EJ12" s="267"/>
      <c r="EK12" s="267"/>
      <c r="EL12" s="267"/>
      <c r="EM12" s="32" t="str">
        <f>IFERROR(IF(VLOOKUP(EI12,SPA!$B$48:$R$82,10,FALSE)=0,"",VLOOKUP(EI12,SPA!$B$48:$R$82,10,FALSE)),"")</f>
        <v/>
      </c>
      <c r="EN12" s="52" t="str">
        <f>IFERROR(VLOOKUP(EI12,SPA!$B$48:$R$82,9,FALSE),"")</f>
        <v/>
      </c>
      <c r="EO12" s="266"/>
      <c r="EP12" s="267"/>
      <c r="EQ12" s="267"/>
      <c r="ER12" s="267"/>
      <c r="ES12" s="32" t="str">
        <f>IFERROR(IF(VLOOKUP(EO12,CLP!$B$48:$R$82,10,FALSE)=0,"",VLOOKUP(EO12,CLP!$B$48:$R$82,10,FALSE)),"")</f>
        <v/>
      </c>
      <c r="ET12" s="52" t="str">
        <f>IFERROR(VLOOKUP(EO12,CLP!$B$48:$R$82,9,FALSE),"")</f>
        <v/>
      </c>
      <c r="EU12" s="33"/>
      <c r="EV12" s="282" t="s">
        <v>155</v>
      </c>
      <c r="EW12" s="282"/>
      <c r="EX12" s="282"/>
      <c r="EY12" s="282"/>
      <c r="EZ12" s="33"/>
      <c r="FA12" s="266"/>
      <c r="FB12" s="267"/>
      <c r="FC12" s="267"/>
      <c r="FD12" s="267"/>
      <c r="FE12" s="32" t="str">
        <f>IFERROR(IF(VLOOKUP(FA12,CLP!$B$48:$R$82,10,FALSE)=0,"",VLOOKUP(FA12,CLP!$B$48:$R$82,10,FALSE)),"")</f>
        <v/>
      </c>
      <c r="FF12" s="52" t="str">
        <f>IFERROR(VLOOKUP(FA12,CLP!$B$48:$R$82,9,FALSE),"")</f>
        <v/>
      </c>
      <c r="FG12" s="266"/>
      <c r="FH12" s="267"/>
      <c r="FI12" s="267"/>
      <c r="FJ12" s="267"/>
      <c r="FK12" s="32" t="str">
        <f>IFERROR(IF(VLOOKUP(FG12,LIB!$B$48:$R$82,10,FALSE)=0,"",VLOOKUP(FG12,LIB!$B$48:$R$82,10,FALSE)),"")</f>
        <v/>
      </c>
      <c r="FL12" s="52" t="str">
        <f>IFERROR(VLOOKUP(FG12,LIB!$B$48:$R$82,9,FALSE),"")</f>
        <v/>
      </c>
      <c r="FM12" s="33"/>
      <c r="FN12" s="282" t="s">
        <v>155</v>
      </c>
      <c r="FO12" s="282"/>
      <c r="FP12" s="282"/>
      <c r="FQ12" s="282"/>
      <c r="FR12" s="33"/>
      <c r="FS12" s="266"/>
      <c r="FT12" s="267"/>
      <c r="FU12" s="267"/>
      <c r="FV12" s="267"/>
      <c r="FW12" s="32" t="str">
        <f>IFERROR(IF(VLOOKUP(FS12,LIB!$B$48:$R$82,10,FALSE)=0,"",VLOOKUP(FS12,LIB!$B$48:$R$82,10,FALSE)),"")</f>
        <v/>
      </c>
      <c r="FX12" s="52" t="str">
        <f>IFERROR(VLOOKUP(FS12,LIB!$B$48:$R$82,9,FALSE),"")</f>
        <v/>
      </c>
    </row>
    <row r="13" spans="1:180" ht="15.6" customHeight="1" thickBot="1" x14ac:dyDescent="0.3">
      <c r="A13" s="34" t="str">
        <f>IFERROR(VLOOKUP(A12,SKV!$B$48:$AA$82,11,FALSE),"")</f>
        <v>L</v>
      </c>
      <c r="B13" s="269">
        <f>IFERROR(YEAR(VLOOKUP(A12,SKV!$B$48:$AA$82,2,FALSE)),"")</f>
        <v>1991</v>
      </c>
      <c r="C13" s="240"/>
      <c r="D13" s="35">
        <f ca="1">IFERROR(VLOOKUP(A12,SKV!$B$48:$AA$82,3,FALSE),"")</f>
        <v>29</v>
      </c>
      <c r="E13" s="270" t="str">
        <f>IFERROR(VLOOKUP(A12,SKV!$B$48:$AA$82,15,FALSE),"")</f>
        <v>180/78</v>
      </c>
      <c r="F13" s="271"/>
      <c r="G13" s="33"/>
      <c r="H13" s="33"/>
      <c r="I13" s="33"/>
      <c r="J13" s="33"/>
      <c r="K13" s="33"/>
      <c r="L13" s="33"/>
      <c r="M13" s="34" t="str">
        <f>IFERROR(VLOOKUP(M12,SKV!$B$48:$AA$82,11,FALSE),"")</f>
        <v>L</v>
      </c>
      <c r="N13" s="269">
        <f>IFERROR(YEAR(VLOOKUP(M12,SKV!$B$48:$AA$82,2,FALSE)),"")</f>
        <v>1993</v>
      </c>
      <c r="O13" s="240"/>
      <c r="P13" s="35">
        <f ca="1">IFERROR(VLOOKUP(M12,SKV!$B$48:$AA$82,3,FALSE),"")</f>
        <v>27</v>
      </c>
      <c r="Q13" s="270" t="str">
        <f>IFERROR(VLOOKUP(M12,SKV!$B$48:$AA$82,15,FALSE),"")</f>
        <v>180/78</v>
      </c>
      <c r="R13" s="271"/>
      <c r="S13" s="34" t="str">
        <f>IFERROR(VLOOKUP(S12,CHO!$B$48:$AA$82,11,FALSE),"")</f>
        <v>P</v>
      </c>
      <c r="T13" s="269">
        <f>IFERROR(YEAR(VLOOKUP(S12,CHO!$B$48:$AA$82,2,FALSE)),"")</f>
        <v>2002</v>
      </c>
      <c r="U13" s="240"/>
      <c r="V13" s="35">
        <f ca="1">IFERROR(VLOOKUP(S12,CHO!$B$48:$AA$82,3,FALSE),"")</f>
        <v>18</v>
      </c>
      <c r="W13" s="270" t="str">
        <f>IFERROR(VLOOKUP(S12,CHO!$B$48:$AA$82,15,FALSE),"")</f>
        <v>183/72</v>
      </c>
      <c r="X13" s="271"/>
      <c r="Y13" s="33"/>
      <c r="Z13" s="33"/>
      <c r="AA13" s="33"/>
      <c r="AB13" s="33"/>
      <c r="AC13" s="33"/>
      <c r="AD13" s="33"/>
      <c r="AE13" s="34" t="str">
        <f>IFERROR(VLOOKUP(AE12,CHO!$B$48:$AA$82,11,FALSE),"")</f>
        <v>L</v>
      </c>
      <c r="AF13" s="269">
        <f>IFERROR(YEAR(VLOOKUP(AE12,CHO!$B$48:$AA$82,2,FALSE)),"")</f>
        <v>1986</v>
      </c>
      <c r="AG13" s="240"/>
      <c r="AH13" s="35">
        <f ca="1">IFERROR(VLOOKUP(AE12,CHO!$B$48:$AA$82,3,FALSE),"")</f>
        <v>34</v>
      </c>
      <c r="AI13" s="270" t="str">
        <f>IFERROR(VLOOKUP(AE12,CHO!$B$48:$AA$82,15,FALSE),"")</f>
        <v>186/84</v>
      </c>
      <c r="AJ13" s="271"/>
      <c r="AK13" s="34" t="str">
        <f>IFERROR(VLOOKUP(AK12,VIT!$B$48:$R$82,11,FALSE),"")</f>
        <v/>
      </c>
      <c r="AL13" s="269" t="str">
        <f>IFERROR(YEAR(VLOOKUP(AK12,VIT!$B$48:$R$82,2,FALSE)),"")</f>
        <v/>
      </c>
      <c r="AM13" s="240"/>
      <c r="AN13" s="106" t="str">
        <f>IFERROR(VLOOKUP(AK12,VIT!$B$48:$R$82,3,FALSE),"")</f>
        <v/>
      </c>
      <c r="AO13" s="270" t="str">
        <f>IFERROR(VLOOKUP(AK12,VIT!$B$48:$R$82,15,FALSE),"")</f>
        <v/>
      </c>
      <c r="AP13" s="271"/>
      <c r="AQ13" s="33"/>
      <c r="AR13" s="33"/>
      <c r="AS13" s="33"/>
      <c r="AT13" s="33"/>
      <c r="AU13" s="33"/>
      <c r="AV13" s="33"/>
      <c r="AW13" s="34" t="str">
        <f>IFERROR(VLOOKUP(AW12,VIT!$B$48:$R$82,11,FALSE),"")</f>
        <v/>
      </c>
      <c r="AX13" s="269" t="str">
        <f>IFERROR(YEAR(VLOOKUP(AW12,VIT!$B$48:$R$82,2,FALSE)),"")</f>
        <v/>
      </c>
      <c r="AY13" s="240"/>
      <c r="AZ13" s="106" t="str">
        <f>IFERROR(VLOOKUP(AW12,VIT!$B$48:$R$82,3,FALSE),"")</f>
        <v/>
      </c>
      <c r="BA13" s="270" t="str">
        <f>IFERROR(VLOOKUP(AW12,VIT!$B$48:$R$82,15,FALSE),"")</f>
        <v/>
      </c>
      <c r="BB13" s="271"/>
      <c r="BC13" s="34" t="str">
        <f>IFERROR(VLOOKUP(BC12,MB!$B$48:$R$82,11,FALSE),"")</f>
        <v>P</v>
      </c>
      <c r="BD13" s="269">
        <f>IFERROR(YEAR(VLOOKUP(BC12,MB!$B$48:$R$82,2,FALSE)),"")</f>
        <v>1989</v>
      </c>
      <c r="BE13" s="240"/>
      <c r="BF13" s="108">
        <f ca="1">IFERROR(VLOOKUP(BC12,MB!$B$48:$R$82,3,FALSE),"")</f>
        <v>31</v>
      </c>
      <c r="BG13" s="270" t="str">
        <f>IFERROR(VLOOKUP(BC12,MB!$B$48:$R$82,15,FALSE),"")</f>
        <v>185/86</v>
      </c>
      <c r="BH13" s="271"/>
      <c r="BI13" s="33"/>
      <c r="BJ13" s="33"/>
      <c r="BK13" s="33"/>
      <c r="BL13" s="33"/>
      <c r="BM13" s="33"/>
      <c r="BN13" s="33"/>
      <c r="BO13" s="34" t="str">
        <f>IFERROR(VLOOKUP(BO12,MB!$B$48:$R$82,11,FALSE),"")</f>
        <v>L</v>
      </c>
      <c r="BP13" s="269">
        <f>IFERROR(YEAR(VLOOKUP(BO12,MB!$B$48:$R$82,2,FALSE)),"")</f>
        <v>1990</v>
      </c>
      <c r="BQ13" s="240"/>
      <c r="BR13" s="108">
        <f ca="1">IFERROR(VLOOKUP(BO12,MB!$B$48:$R$82,3,FALSE),"")</f>
        <v>30</v>
      </c>
      <c r="BS13" s="270" t="str">
        <f>IFERROR(VLOOKUP(BO12,MB!$B$48:$R$82,15,FALSE),"")</f>
        <v>183/76</v>
      </c>
      <c r="BT13" s="271"/>
      <c r="BU13" s="34" t="str">
        <f>IFERROR(VLOOKUP(BU12,TAT!$B$48:$R$82,11,FALSE),"")</f>
        <v/>
      </c>
      <c r="BV13" s="269" t="str">
        <f>IFERROR(YEAR(VLOOKUP(BU12,TAT!$B$48:$R$82,2,FALSE)),"")</f>
        <v/>
      </c>
      <c r="BW13" s="240"/>
      <c r="BX13" s="150" t="str">
        <f>IFERROR(VLOOKUP(BU12,TAT!$B$48:$R$82,3,FALSE),"")</f>
        <v/>
      </c>
      <c r="BY13" s="270" t="str">
        <f>IFERROR(VLOOKUP(BU12,TAT!$B$48:$R$82,15,FALSE),"")</f>
        <v/>
      </c>
      <c r="BZ13" s="271"/>
      <c r="CA13" s="33"/>
      <c r="CB13" s="33"/>
      <c r="CC13" s="33"/>
      <c r="CD13" s="33"/>
      <c r="CE13" s="33"/>
      <c r="CF13" s="33"/>
      <c r="CG13" s="34" t="str">
        <f>IFERROR(VLOOKUP(CG12,TAT!$B$48:$R$82,11,FALSE),"")</f>
        <v/>
      </c>
      <c r="CH13" s="269" t="str">
        <f>IFERROR(YEAR(VLOOKUP(CG12,TAT!$B$48:$R$82,2,FALSE)),"")</f>
        <v/>
      </c>
      <c r="CI13" s="240"/>
      <c r="CJ13" s="150" t="str">
        <f>IFERROR(VLOOKUP(CG12,TAT!$B$48:$R$82,3,FALSE),"")</f>
        <v/>
      </c>
      <c r="CK13" s="270" t="str">
        <f>IFERROR(VLOOKUP(CG12,TAT!$B$48:$R$82,15,FALSE),"")</f>
        <v/>
      </c>
      <c r="CL13" s="271"/>
      <c r="CM13" s="34" t="str">
        <f>IFERROR(VLOOKUP(CM12,OTR!$B$48:$R$82,11,FALSE),"")</f>
        <v>L</v>
      </c>
      <c r="CN13" s="269">
        <f>IFERROR(YEAR(VLOOKUP(CM12,OTR!$B$48:$R$82,2,FALSE)),"")</f>
        <v>1999</v>
      </c>
      <c r="CO13" s="240"/>
      <c r="CP13" s="150">
        <f ca="1">IFERROR(VLOOKUP(CM12,OTR!$B$48:$R$82,3,FALSE),"")</f>
        <v>21</v>
      </c>
      <c r="CQ13" s="270" t="str">
        <f>IFERROR(VLOOKUP(CM12,OTR!$B$48:$R$82,15,FALSE),"")</f>
        <v>177/70</v>
      </c>
      <c r="CR13" s="271"/>
      <c r="CS13" s="33"/>
      <c r="CT13" s="33"/>
      <c r="CU13" s="33"/>
      <c r="CV13" s="33"/>
      <c r="CW13" s="33"/>
      <c r="CX13" s="33"/>
      <c r="CY13" s="34" t="str">
        <f>IFERROR(VLOOKUP(CY12,OTR!$B$48:$R$82,11,FALSE),"")</f>
        <v>L</v>
      </c>
      <c r="CZ13" s="269">
        <f>IFERROR(YEAR(VLOOKUP(CY12,OTR!$B$48:$R$82,2,FALSE)),"")</f>
        <v>1994</v>
      </c>
      <c r="DA13" s="240"/>
      <c r="DB13" s="150">
        <f ca="1">IFERROR(VLOOKUP(CY12,OTR!$B$48:$R$82,3,FALSE),"")</f>
        <v>26</v>
      </c>
      <c r="DC13" s="270" t="str">
        <f>IFERROR(VLOOKUP(CY12,OTR!$B$48:$R$82,15,FALSE),"")</f>
        <v>174/73</v>
      </c>
      <c r="DD13" s="271"/>
      <c r="DE13" s="34" t="str">
        <f>IFERROR(VLOOKUP(DE12,BOH!$B$48:$R$82,11,FALSE),"")</f>
        <v>P</v>
      </c>
      <c r="DF13" s="269">
        <f>IFERROR(YEAR(VLOOKUP(DE12,BOH!$B$48:$R$82,2,FALSE)),"")</f>
        <v>2000</v>
      </c>
      <c r="DG13" s="240"/>
      <c r="DH13" s="165">
        <f ca="1">IFERROR(VLOOKUP(DE12,BOH!$B$48:$R$82,3,FALSE),"")</f>
        <v>20</v>
      </c>
      <c r="DI13" s="270" t="str">
        <f>IFERROR(VLOOKUP(DE12,BOH!$B$48:$R$82,15,FALSE),"")</f>
        <v>190/76</v>
      </c>
      <c r="DJ13" s="271"/>
      <c r="DK13" s="33"/>
      <c r="DL13" s="33"/>
      <c r="DM13" s="33"/>
      <c r="DN13" s="33"/>
      <c r="DO13" s="33"/>
      <c r="DP13" s="33"/>
      <c r="DQ13" s="34" t="str">
        <f>IFERROR(VLOOKUP(DQ12,BOH!$B$48:$R$82,11,FALSE),"")</f>
        <v>L</v>
      </c>
      <c r="DR13" s="269">
        <f>IFERROR(YEAR(VLOOKUP(DQ12,BOH!$B$48:$R$82,2,FALSE)),"")</f>
        <v>1999</v>
      </c>
      <c r="DS13" s="240"/>
      <c r="DT13" s="165">
        <f ca="1">IFERROR(VLOOKUP(DQ12,BOH!$B$48:$R$82,3,FALSE),"")</f>
        <v>21</v>
      </c>
      <c r="DU13" s="270" t="str">
        <f>IFERROR(VLOOKUP(DQ12,BOH!$B$48:$R$82,15,FALSE),"")</f>
        <v>186/95</v>
      </c>
      <c r="DV13" s="271"/>
      <c r="DW13" s="34" t="str">
        <f>IFERROR(VLOOKUP(DW12,SPA!$B$48:$R$82,11,FALSE),"")</f>
        <v/>
      </c>
      <c r="DX13" s="269" t="str">
        <f>IFERROR(YEAR(VLOOKUP(DW12,SPA!$B$48:$R$82,2,FALSE)),"")</f>
        <v/>
      </c>
      <c r="DY13" s="240"/>
      <c r="DZ13" s="165" t="str">
        <f>IFERROR(VLOOKUP(DW12,SPA!$B$48:$R$82,3,FALSE),"")</f>
        <v/>
      </c>
      <c r="EA13" s="270" t="str">
        <f>IFERROR(VLOOKUP(DW12,SPA!$B$48:$R$82,15,FALSE),"")</f>
        <v/>
      </c>
      <c r="EB13" s="271"/>
      <c r="EC13" s="33"/>
      <c r="ED13" s="33"/>
      <c r="EE13" s="33"/>
      <c r="EF13" s="33"/>
      <c r="EG13" s="33"/>
      <c r="EH13" s="33"/>
      <c r="EI13" s="34" t="str">
        <f>IFERROR(VLOOKUP(EI12,SPA!$B$48:$R$82,11,FALSE),"")</f>
        <v/>
      </c>
      <c r="EJ13" s="269" t="str">
        <f>IFERROR(YEAR(VLOOKUP(EI12,SPA!$B$48:$R$82,2,FALSE)),"")</f>
        <v/>
      </c>
      <c r="EK13" s="240"/>
      <c r="EL13" s="165" t="str">
        <f>IFERROR(VLOOKUP(EI12,SPA!$B$48:$R$82,3,FALSE),"")</f>
        <v/>
      </c>
      <c r="EM13" s="270" t="str">
        <f>IFERROR(VLOOKUP(EI12,SPA!$B$48:$R$82,15,FALSE),"")</f>
        <v/>
      </c>
      <c r="EN13" s="271"/>
      <c r="EO13" s="34" t="str">
        <f>IFERROR(VLOOKUP(EO12,CLP!$B$48:$R$82,11,FALSE),"")</f>
        <v/>
      </c>
      <c r="EP13" s="269" t="str">
        <f>IFERROR(YEAR(VLOOKUP(EO12,CLP!$B$48:$R$82,2,FALSE)),"")</f>
        <v/>
      </c>
      <c r="EQ13" s="240"/>
      <c r="ER13" s="204" t="str">
        <f>IFERROR(VLOOKUP(EO12,CLP!$B$48:$R$82,3,FALSE),"")</f>
        <v/>
      </c>
      <c r="ES13" s="270" t="str">
        <f>IFERROR(VLOOKUP(EO12,CLP!$B$48:$R$82,15,FALSE),"")</f>
        <v/>
      </c>
      <c r="ET13" s="271"/>
      <c r="EU13" s="33"/>
      <c r="EV13" s="33"/>
      <c r="EW13" s="33"/>
      <c r="EX13" s="33"/>
      <c r="EY13" s="33"/>
      <c r="EZ13" s="33"/>
      <c r="FA13" s="34" t="str">
        <f>IFERROR(VLOOKUP(FA12,CLP!$B$48:$R$82,11,FALSE),"")</f>
        <v/>
      </c>
      <c r="FB13" s="269" t="str">
        <f>IFERROR(YEAR(VLOOKUP(FA12,CLP!$B$48:$R$82,2,FALSE)),"")</f>
        <v/>
      </c>
      <c r="FC13" s="240"/>
      <c r="FD13" s="204" t="str">
        <f>IFERROR(VLOOKUP(FA12,CLP!$B$48:$R$82,3,FALSE),"")</f>
        <v/>
      </c>
      <c r="FE13" s="270" t="str">
        <f>IFERROR(VLOOKUP(FA12,CLP!$B$48:$R$82,15,FALSE),"")</f>
        <v/>
      </c>
      <c r="FF13" s="271"/>
      <c r="FG13" s="34" t="str">
        <f>IFERROR(VLOOKUP(FG12,LIB!$B$48:$R$82,11,FALSE),"")</f>
        <v/>
      </c>
      <c r="FH13" s="269" t="str">
        <f>IFERROR(YEAR(VLOOKUP(FG12,LIB!$B$48:$R$82,2,FALSE)),"")</f>
        <v/>
      </c>
      <c r="FI13" s="240"/>
      <c r="FJ13" s="204" t="str">
        <f>IFERROR(VLOOKUP(FG12,LIB!$B$48:$R$82,3,FALSE),"")</f>
        <v/>
      </c>
      <c r="FK13" s="270" t="str">
        <f>IFERROR(VLOOKUP(FG12,LIB!$B$48:$R$82,15,FALSE),"")</f>
        <v/>
      </c>
      <c r="FL13" s="271"/>
      <c r="FM13" s="33"/>
      <c r="FN13" s="33"/>
      <c r="FO13" s="33"/>
      <c r="FP13" s="33"/>
      <c r="FQ13" s="33"/>
      <c r="FR13" s="33"/>
      <c r="FS13" s="34" t="str">
        <f>IFERROR(VLOOKUP(FS12,LIB!$B$48:$R$82,11,FALSE),"")</f>
        <v/>
      </c>
      <c r="FT13" s="269" t="str">
        <f>IFERROR(YEAR(VLOOKUP(FS12,LIB!$B$48:$R$82,2,FALSE)),"")</f>
        <v/>
      </c>
      <c r="FU13" s="240"/>
      <c r="FV13" s="204" t="str">
        <f>IFERROR(VLOOKUP(FS12,LIB!$B$48:$R$82,3,FALSE),"")</f>
        <v/>
      </c>
      <c r="FW13" s="270" t="str">
        <f>IFERROR(VLOOKUP(FS12,LIB!$B$48:$R$82,15,FALSE),"")</f>
        <v/>
      </c>
      <c r="FX13" s="271"/>
    </row>
    <row r="14" spans="1:180" ht="15.6" customHeight="1" thickTop="1" thickBot="1" x14ac:dyDescent="0.3">
      <c r="A14" s="277" t="str">
        <f>IFERROR(VLOOKUP(A12,SKV!$B$2:$O$36,14,FALSE),"")</f>
        <v>23 OZ , 11 (8+3), -8 ±</v>
      </c>
      <c r="B14" s="278"/>
      <c r="C14" s="278"/>
      <c r="D14" s="279" t="str">
        <f>IFERROR(VLOOKUP(A12,SKV!$B$48:$AA$82,14,FALSE),"")</f>
        <v>79 OZ, 63 (43+20)</v>
      </c>
      <c r="E14" s="279"/>
      <c r="F14" s="280"/>
      <c r="G14" s="266" t="s">
        <v>14</v>
      </c>
      <c r="H14" s="267"/>
      <c r="I14" s="267"/>
      <c r="J14" s="267"/>
      <c r="K14" s="32" t="str">
        <f>IFERROR(IF(VLOOKUP(G14,SKV!$B$48:$AA$82,10,FALSE)=0,"",VLOOKUP(G14,SKV!$B$48:$AA$82,10,FALSE)),"")</f>
        <v/>
      </c>
      <c r="L14" s="52">
        <f>IFERROR(VLOOKUP(G14,SKV!$B$48:$AA$82,9,FALSE),"")</f>
        <v>78</v>
      </c>
      <c r="M14" s="277" t="str">
        <f>IFERROR(VLOOKUP(M12,SKV!$B$2:$O$36,14,FALSE),"")</f>
        <v>23 OZ , 24 (19+5), -22 ±</v>
      </c>
      <c r="N14" s="278"/>
      <c r="O14" s="278"/>
      <c r="P14" s="279" t="str">
        <f>IFERROR(VLOOKUP(M12,SKV!$B$48:$AA$82,14,FALSE),"")</f>
        <v>158 OZ, 137 (92+45)</v>
      </c>
      <c r="Q14" s="279"/>
      <c r="R14" s="280"/>
      <c r="S14" s="277" t="str">
        <f>IFERROR(VLOOKUP(S12,CHO!$B$2:$O$36,14,FALSE),"")</f>
        <v>20 OZ , 33 (23+10), +2 ±</v>
      </c>
      <c r="T14" s="278"/>
      <c r="U14" s="278"/>
      <c r="V14" s="279" t="str">
        <f>IFERROR(VLOOKUP(S12,CHO!$B$48:$AA$82,14,FALSE),"")</f>
        <v>35 OZ, 48 (30+18)</v>
      </c>
      <c r="W14" s="279"/>
      <c r="X14" s="280"/>
      <c r="Y14" s="266" t="s">
        <v>166</v>
      </c>
      <c r="Z14" s="267"/>
      <c r="AA14" s="267"/>
      <c r="AB14" s="267"/>
      <c r="AC14" s="32" t="str">
        <f>IFERROR(IF(VLOOKUP(Y14,CHO!$B$48:$AA$82,10,FALSE)=0,"",VLOOKUP(Y14,CHO!$B$48:$AA$82,10,FALSE)),"")</f>
        <v/>
      </c>
      <c r="AD14" s="52">
        <f>IFERROR(VLOOKUP(Y14,CHO!$B$48:$AA$82,9,FALSE),"")</f>
        <v>87</v>
      </c>
      <c r="AE14" s="277" t="str">
        <f>IFERROR(VLOOKUP(AE12,CHO!$B$2:$O$36,14,FALSE),"")</f>
        <v>19 OZ , 4 (2+2), -3 ±</v>
      </c>
      <c r="AF14" s="278"/>
      <c r="AG14" s="278"/>
      <c r="AH14" s="279" t="str">
        <f>IFERROR(VLOOKUP(AE12,CHO!$B$48:$AA$82,14,FALSE),"")</f>
        <v>272 OZ, 313 (179+134)</v>
      </c>
      <c r="AI14" s="279"/>
      <c r="AJ14" s="280"/>
      <c r="AK14" s="277" t="str">
        <f>IFERROR(VLOOKUP(AK12,VIT!$B$2:$O$36,14,FALSE),"")</f>
        <v/>
      </c>
      <c r="AL14" s="278"/>
      <c r="AM14" s="278"/>
      <c r="AN14" s="279" t="str">
        <f>IFERROR(VLOOKUP(AK12,VIT!$B$48:$R$82,14,FALSE),"")</f>
        <v/>
      </c>
      <c r="AO14" s="279"/>
      <c r="AP14" s="280"/>
      <c r="AQ14" s="266"/>
      <c r="AR14" s="267"/>
      <c r="AS14" s="267"/>
      <c r="AT14" s="267"/>
      <c r="AU14" s="32" t="str">
        <f>IFERROR(IF(VLOOKUP(AQ14,VIT!$B$48:$R$82,10,FALSE)=0,"",VLOOKUP(AQ14,VIT!$B$48:$R$82,10,FALSE)),"")</f>
        <v/>
      </c>
      <c r="AV14" s="52" t="str">
        <f>IFERROR(VLOOKUP(AQ14,VIT!$B$48:$R$82,9,FALSE),"")</f>
        <v/>
      </c>
      <c r="AW14" s="277" t="str">
        <f>IFERROR(VLOOKUP(AW12,VIT!$B$2:$O$36,14,FALSE),"")</f>
        <v/>
      </c>
      <c r="AX14" s="278"/>
      <c r="AY14" s="278"/>
      <c r="AZ14" s="279" t="str">
        <f>IFERROR(VLOOKUP(AW12,VIT!$B$48:$R$82,14,FALSE),"")</f>
        <v/>
      </c>
      <c r="BA14" s="279"/>
      <c r="BB14" s="280"/>
      <c r="BC14" s="277" t="str">
        <f>IFERROR(VLOOKUP(BC12,MB!$B$2:$O$36,14,FALSE),"")</f>
        <v>22 OZ , 28 (12+16), +35 ±</v>
      </c>
      <c r="BD14" s="278"/>
      <c r="BE14" s="278"/>
      <c r="BF14" s="279" t="str">
        <f>IFERROR(VLOOKUP(BC12,MB!$B$48:$R$82,14,FALSE),"")</f>
        <v>137 OZ, 183 (98+85)</v>
      </c>
      <c r="BG14" s="279"/>
      <c r="BH14" s="280"/>
      <c r="BI14" s="266" t="s">
        <v>303</v>
      </c>
      <c r="BJ14" s="267"/>
      <c r="BK14" s="267"/>
      <c r="BL14" s="267"/>
      <c r="BM14" s="32" t="str">
        <f>IFERROR(IF(VLOOKUP(BI14,MB!$B$48:$R$82,10,FALSE)=0,"",VLOOKUP(BI14,MB!$B$48:$R$82,10,FALSE)),"")</f>
        <v/>
      </c>
      <c r="BN14" s="52">
        <f>IFERROR(VLOOKUP(BI14,MB!$B$48:$R$82,9,FALSE),"")</f>
        <v>7</v>
      </c>
      <c r="BO14" s="277" t="str">
        <f>IFERROR(VLOOKUP(BO12,MB!$B$2:$O$36,14,FALSE),"")</f>
        <v>22 OZ , 29 (20+9), +32 ±</v>
      </c>
      <c r="BP14" s="278"/>
      <c r="BQ14" s="278"/>
      <c r="BR14" s="279" t="str">
        <f>IFERROR(VLOOKUP(BO12,MB!$B$48:$R$82,14,FALSE),"")</f>
        <v>229 OZ, 290 (179+111)</v>
      </c>
      <c r="BS14" s="279"/>
      <c r="BT14" s="280"/>
      <c r="BU14" s="277" t="str">
        <f>IFERROR(VLOOKUP(BU12,TAT!$B$2:$O$36,14,FALSE),"")</f>
        <v/>
      </c>
      <c r="BV14" s="278"/>
      <c r="BW14" s="278"/>
      <c r="BX14" s="279" t="str">
        <f>IFERROR(VLOOKUP(BU12,TAT!$B$48:$R$82,14,FALSE),"")</f>
        <v/>
      </c>
      <c r="BY14" s="279"/>
      <c r="BZ14" s="280"/>
      <c r="CA14" s="266"/>
      <c r="CB14" s="267"/>
      <c r="CC14" s="267"/>
      <c r="CD14" s="267"/>
      <c r="CE14" s="32" t="str">
        <f>IFERROR(IF(VLOOKUP(CA14,TAT!$B$48:$R$82,10,FALSE)=0,"",VLOOKUP(CA14,TAT!$B$48:$R$82,10,FALSE)),"")</f>
        <v/>
      </c>
      <c r="CF14" s="52" t="str">
        <f>IFERROR(VLOOKUP(CA14,TAT!$B$48:$R$82,9,FALSE),"")</f>
        <v/>
      </c>
      <c r="CG14" s="277" t="str">
        <f>IFERROR(VLOOKUP(CG12,TAT!$B$2:$O$36,14,FALSE),"")</f>
        <v/>
      </c>
      <c r="CH14" s="278"/>
      <c r="CI14" s="278"/>
      <c r="CJ14" s="279" t="str">
        <f>IFERROR(VLOOKUP(CG12,TAT!$B$48:$R$82,14,FALSE),"")</f>
        <v/>
      </c>
      <c r="CK14" s="279"/>
      <c r="CL14" s="280"/>
      <c r="CM14" s="277" t="str">
        <f>IFERROR(VLOOKUP(CM12,OTR!$B$2:$O$36,14,FALSE),"")</f>
        <v>19 OZ , 11 (5+6), -6 ±</v>
      </c>
      <c r="CN14" s="278"/>
      <c r="CO14" s="278"/>
      <c r="CP14" s="279" t="str">
        <f>IFERROR(VLOOKUP(CM12,OTR!$B$48:$R$82,14,FALSE),"")</f>
        <v>45 OZ, 19 (9+10)</v>
      </c>
      <c r="CQ14" s="279"/>
      <c r="CR14" s="280"/>
      <c r="CS14" s="266" t="s">
        <v>430</v>
      </c>
      <c r="CT14" s="267"/>
      <c r="CU14" s="267"/>
      <c r="CV14" s="267"/>
      <c r="CW14" s="32" t="str">
        <f>IFERROR(IF(VLOOKUP(CS14,OTR!$B$48:$R$82,10,FALSE)=0,"",VLOOKUP(CS14,OTR!$B$48:$R$82,10,FALSE)),"")</f>
        <v>C</v>
      </c>
      <c r="CX14" s="52">
        <f>IFERROR(VLOOKUP(CS14,OTR!$B$48:$R$82,9,FALSE),"")</f>
        <v>74</v>
      </c>
      <c r="CY14" s="277" t="str">
        <f>IFERROR(VLOOKUP(CY12,OTR!$B$2:$O$36,14,FALSE),"")</f>
        <v>21 OZ , 15 (12+3), -13 ±</v>
      </c>
      <c r="CZ14" s="278"/>
      <c r="DA14" s="278"/>
      <c r="DB14" s="279" t="str">
        <f>IFERROR(VLOOKUP(CY12,OTR!$B$48:$R$82,14,FALSE),"")</f>
        <v>168 OZ, 160 (99+61)</v>
      </c>
      <c r="DC14" s="279"/>
      <c r="DD14" s="280"/>
      <c r="DE14" s="277" t="str">
        <f>IFERROR(VLOOKUP(DE12,BOH!$B$2:$O$36,14,FALSE),"")</f>
        <v>22 OZ , 19 (9+10), +4 ±</v>
      </c>
      <c r="DF14" s="278"/>
      <c r="DG14" s="278"/>
      <c r="DH14" s="279" t="str">
        <f>IFERROR(VLOOKUP(DE12,BOH!$B$48:$R$82,14,FALSE),"")</f>
        <v>92 OZ, 90 (46+44)</v>
      </c>
      <c r="DI14" s="279"/>
      <c r="DJ14" s="280"/>
      <c r="DK14" s="266" t="s">
        <v>495</v>
      </c>
      <c r="DL14" s="267"/>
      <c r="DM14" s="267"/>
      <c r="DN14" s="267"/>
      <c r="DO14" s="32" t="str">
        <f>IFERROR(IF(VLOOKUP(DK14,BOH!$B$48:$R$82,10,FALSE)=0,"",VLOOKUP(DK14,BOH!$B$48:$R$82,10,FALSE)),"")</f>
        <v/>
      </c>
      <c r="DP14" s="52">
        <f>IFERROR(VLOOKUP(DK14,BOH!$B$48:$R$82,9,FALSE),"")</f>
        <v>91</v>
      </c>
      <c r="DQ14" s="277" t="str">
        <f>IFERROR(VLOOKUP(DQ12,BOH!$B$2:$O$36,14,FALSE),"")</f>
        <v>23 OZ , 37 (17+20), +4 ±</v>
      </c>
      <c r="DR14" s="278"/>
      <c r="DS14" s="278"/>
      <c r="DT14" s="279" t="str">
        <f>IFERROR(VLOOKUP(DQ12,BOH!$B$48:$R$82,14,FALSE),"")</f>
        <v>114 OZ, 161 (79+82)</v>
      </c>
      <c r="DU14" s="279"/>
      <c r="DV14" s="280"/>
      <c r="DW14" s="277" t="str">
        <f>IFERROR(VLOOKUP(DW12,SPA!$B$2:$O$36,14,FALSE),"")</f>
        <v/>
      </c>
      <c r="DX14" s="278"/>
      <c r="DY14" s="278"/>
      <c r="DZ14" s="279" t="str">
        <f>IFERROR(VLOOKUP(DW12,SPA!$B$48:$R$82,14,FALSE),"")</f>
        <v/>
      </c>
      <c r="EA14" s="279"/>
      <c r="EB14" s="280"/>
      <c r="EC14" s="266"/>
      <c r="ED14" s="267"/>
      <c r="EE14" s="267"/>
      <c r="EF14" s="267"/>
      <c r="EG14" s="32" t="str">
        <f>IFERROR(IF(VLOOKUP(EC14,SPA!$B$48:$R$82,10,FALSE)=0,"",VLOOKUP(EC14,SPA!$B$48:$R$82,10,FALSE)),"")</f>
        <v/>
      </c>
      <c r="EH14" s="52" t="str">
        <f>IFERROR(VLOOKUP(EC14,SPA!$B$48:$R$82,9,FALSE),"")</f>
        <v/>
      </c>
      <c r="EI14" s="277" t="str">
        <f>IFERROR(VLOOKUP(EI12,SPA!$B$2:$O$36,14,FALSE),"")</f>
        <v/>
      </c>
      <c r="EJ14" s="278"/>
      <c r="EK14" s="278"/>
      <c r="EL14" s="279" t="str">
        <f>IFERROR(VLOOKUP(EI12,SPA!$B$48:$R$82,14,FALSE),"")</f>
        <v/>
      </c>
      <c r="EM14" s="279"/>
      <c r="EN14" s="280"/>
      <c r="EO14" s="277" t="str">
        <f>IFERROR(VLOOKUP(EO12,CLP!$B$2:$O$36,14,FALSE),"")</f>
        <v/>
      </c>
      <c r="EP14" s="278"/>
      <c r="EQ14" s="278"/>
      <c r="ER14" s="279" t="str">
        <f>IFERROR(VLOOKUP(EO12,CLP!$B$48:$R$82,14,FALSE),"")</f>
        <v/>
      </c>
      <c r="ES14" s="279"/>
      <c r="ET14" s="280"/>
      <c r="EU14" s="266"/>
      <c r="EV14" s="267"/>
      <c r="EW14" s="267"/>
      <c r="EX14" s="267"/>
      <c r="EY14" s="32" t="str">
        <f>IFERROR(IF(VLOOKUP(EU14,CLP!$B$48:$R$82,10,FALSE)=0,"",VLOOKUP(EU14,CLP!$B$48:$R$82,10,FALSE)),"")</f>
        <v/>
      </c>
      <c r="EZ14" s="52" t="str">
        <f>IFERROR(VLOOKUP(EU14,CLP!$B$48:$R$82,9,FALSE),"")</f>
        <v/>
      </c>
      <c r="FA14" s="277" t="str">
        <f>IFERROR(VLOOKUP(FA12,CLP!$B$2:$O$36,14,FALSE),"")</f>
        <v/>
      </c>
      <c r="FB14" s="278"/>
      <c r="FC14" s="278"/>
      <c r="FD14" s="279" t="str">
        <f>IFERROR(VLOOKUP(FA12,CLP!$B$48:$R$82,14,FALSE),"")</f>
        <v/>
      </c>
      <c r="FE14" s="279"/>
      <c r="FF14" s="280"/>
      <c r="FG14" s="277" t="str">
        <f>IFERROR(VLOOKUP(FG12,LIB!$B$2:$O$36,14,FALSE),"")</f>
        <v/>
      </c>
      <c r="FH14" s="278"/>
      <c r="FI14" s="278"/>
      <c r="FJ14" s="279" t="str">
        <f>IFERROR(VLOOKUP(FG12,LIB!$B$48:$R$82,14,FALSE),"")</f>
        <v/>
      </c>
      <c r="FK14" s="279"/>
      <c r="FL14" s="280"/>
      <c r="FM14" s="266"/>
      <c r="FN14" s="267"/>
      <c r="FO14" s="267"/>
      <c r="FP14" s="267"/>
      <c r="FQ14" s="32" t="str">
        <f>IFERROR(IF(VLOOKUP(FM14,LIB!$B$48:$R$82,10,FALSE)=0,"",VLOOKUP(FM14,LIB!$B$48:$R$82,10,FALSE)),"")</f>
        <v/>
      </c>
      <c r="FR14" s="52" t="str">
        <f>IFERROR(VLOOKUP(FM14,LIB!$B$48:$R$82,9,FALSE),"")</f>
        <v/>
      </c>
      <c r="FS14" s="277" t="str">
        <f>IFERROR(VLOOKUP(FS12,LIB!$B$2:$O$36,14,FALSE),"")</f>
        <v/>
      </c>
      <c r="FT14" s="278"/>
      <c r="FU14" s="278"/>
      <c r="FV14" s="279" t="str">
        <f>IFERROR(VLOOKUP(FS12,LIB!$B$48:$R$82,14,FALSE),"")</f>
        <v/>
      </c>
      <c r="FW14" s="279"/>
      <c r="FX14" s="280"/>
    </row>
    <row r="15" spans="1:180" ht="15.6" customHeight="1" thickBot="1" x14ac:dyDescent="0.3">
      <c r="A15" s="243" t="str">
        <f>IFERROR(VLOOKUP(A12,SKV!$B$48:$AA$82,16,FALSE),"")</f>
        <v>FBK Kunovští Orli</v>
      </c>
      <c r="B15" s="244"/>
      <c r="C15" s="245"/>
      <c r="D15" s="246">
        <f>IFERROR(VLOOKUP(A12,SKV!$B$48:$AA$82,17,FALSE),"")</f>
        <v>2008</v>
      </c>
      <c r="E15" s="247"/>
      <c r="F15" s="124">
        <f>IFERROR(VLOOKUP(A12,SKV!$B$48:$AA$82,8,FALSE),"")</f>
        <v>4</v>
      </c>
      <c r="G15" s="34" t="str">
        <f>IFERROR(VLOOKUP(G14,SKV!$B$48:$AA$82,11,FALSE),"")</f>
        <v>L</v>
      </c>
      <c r="H15" s="269">
        <f>IFERROR(YEAR(VLOOKUP(G14,SKV!$B$48:$AA$82,2,FALSE)),"")</f>
        <v>1992</v>
      </c>
      <c r="I15" s="240"/>
      <c r="J15" s="35">
        <f ca="1">IFERROR(VLOOKUP(G14,SKV!$B$48:$AA$82,3,FALSE),"")</f>
        <v>28</v>
      </c>
      <c r="K15" s="270" t="str">
        <f>IFERROR(VLOOKUP(G14,SKV!$B$48:$AA$82,15,FALSE),"")</f>
        <v>172/73</v>
      </c>
      <c r="L15" s="271"/>
      <c r="M15" s="243" t="str">
        <f>IFERROR(VLOOKUP(M12,SKV!$B$48:$AA$82,16,FALSE),"")</f>
        <v>ASP Hr. Králové</v>
      </c>
      <c r="N15" s="244"/>
      <c r="O15" s="245"/>
      <c r="P15" s="246">
        <f>IFERROR(VLOOKUP(M12,SKV!$B$48:$AA$82,17,FALSE),"")</f>
        <v>2007</v>
      </c>
      <c r="Q15" s="247"/>
      <c r="R15" s="124">
        <f>IFERROR(VLOOKUP(M12,SKV!$B$48:$AA$82,8,FALSE),"")</f>
        <v>7</v>
      </c>
      <c r="S15" s="243" t="str">
        <f>IFERROR(VLOOKUP(S12,CHO!$B$48:$AA$82,16,FALSE),"")</f>
        <v>FBC Plzeň</v>
      </c>
      <c r="T15" s="244"/>
      <c r="U15" s="245"/>
      <c r="V15" s="246">
        <f>IFERROR(VLOOKUP(S12,CHO!$B$48:$AA$82,17,FALSE),"")</f>
        <v>2009</v>
      </c>
      <c r="W15" s="247"/>
      <c r="X15" s="124">
        <f>IFERROR(VLOOKUP(S12,CHO!$B$48:$AA$82,8,FALSE),"")</f>
        <v>2</v>
      </c>
      <c r="Y15" s="34" t="str">
        <f>IFERROR(VLOOKUP(Y14,CHO!$B$48:$AA$82,11,FALSE),"")</f>
        <v>L</v>
      </c>
      <c r="Z15" s="269">
        <f>IFERROR(YEAR(VLOOKUP(Y14,CHO!$B$48:$AA$82,2,FALSE)),"")</f>
        <v>1992</v>
      </c>
      <c r="AA15" s="240"/>
      <c r="AB15" s="35">
        <f ca="1">IFERROR(VLOOKUP(Y14,CHO!$B$48:$AA$82,3,FALSE),"")</f>
        <v>28</v>
      </c>
      <c r="AC15" s="270" t="str">
        <f>IFERROR(VLOOKUP(Y14,CHO!$B$48:$AA$82,15,FALSE),"")</f>
        <v>176/73</v>
      </c>
      <c r="AD15" s="271"/>
      <c r="AE15" s="243" t="str">
        <f>IFERROR(VLOOKUP(AE12,CHO!$B$48:$AA$82,16,FALSE),"")</f>
        <v>Sokol Brno III</v>
      </c>
      <c r="AF15" s="244"/>
      <c r="AG15" s="245"/>
      <c r="AH15" s="246">
        <f>IFERROR(VLOOKUP(AE12,CHO!$B$48:$AA$82,17,FALSE),"")</f>
        <v>2000</v>
      </c>
      <c r="AI15" s="247"/>
      <c r="AJ15" s="124">
        <f>IFERROR(VLOOKUP(AE12,CHO!$B$48:$AA$82,8,FALSE),"")</f>
        <v>15</v>
      </c>
      <c r="AK15" s="243" t="str">
        <f>IFERROR(VLOOKUP(AK12,VIT!$B$48:$R$82,16,FALSE),"")</f>
        <v/>
      </c>
      <c r="AL15" s="244"/>
      <c r="AM15" s="245"/>
      <c r="AN15" s="246" t="str">
        <f>IFERROR(VLOOKUP(AK12,VIT!$B$48:$R$82,17,FALSE),"")</f>
        <v/>
      </c>
      <c r="AO15" s="247"/>
      <c r="AP15" s="124" t="str">
        <f>IFERROR(VLOOKUP(AK12,VIT!$B$48:$R$82,8,FALSE),"")</f>
        <v/>
      </c>
      <c r="AQ15" s="34" t="str">
        <f>IFERROR(VLOOKUP(AQ14,VIT!$B$48:$R$82,11,FALSE),"")</f>
        <v/>
      </c>
      <c r="AR15" s="269" t="str">
        <f>IFERROR(YEAR(VLOOKUP(AQ14,VIT!$B$48:$R$82,2,FALSE)),"")</f>
        <v/>
      </c>
      <c r="AS15" s="240"/>
      <c r="AT15" s="106" t="str">
        <f>IFERROR(VLOOKUP(AQ14,VIT!$B$48:$R$82,3,FALSE),"")</f>
        <v/>
      </c>
      <c r="AU15" s="270" t="str">
        <f>IFERROR(VLOOKUP(AQ14,VIT!$B$48:$R$82,15,FALSE),"")</f>
        <v/>
      </c>
      <c r="AV15" s="271"/>
      <c r="AW15" s="243" t="str">
        <f>IFERROR(VLOOKUP(AW12,VIT!$B$48:$R$82,16,FALSE),"")</f>
        <v/>
      </c>
      <c r="AX15" s="244"/>
      <c r="AY15" s="245"/>
      <c r="AZ15" s="246" t="str">
        <f>IFERROR(VLOOKUP(AW12,VIT!$B$48:$R$82,17,FALSE),"")</f>
        <v/>
      </c>
      <c r="BA15" s="247"/>
      <c r="BB15" s="124" t="str">
        <f>IFERROR(VLOOKUP(AW12,VIT!$B$48:$R$82,8,FALSE),"")</f>
        <v/>
      </c>
      <c r="BC15" s="243" t="str">
        <f>IFERROR(VLOOKUP(BC12,MB!$B$48:$R$82,16,FALSE),"")</f>
        <v>Faraos Praha</v>
      </c>
      <c r="BD15" s="244"/>
      <c r="BE15" s="245"/>
      <c r="BF15" s="246">
        <f>IFERROR(VLOOKUP(BC12,MB!$B$48:$R$82,17,FALSE),"")</f>
        <v>1999</v>
      </c>
      <c r="BG15" s="247"/>
      <c r="BH15" s="124">
        <f>IFERROR(VLOOKUP(BC12,MB!$B$48:$R$82,8,FALSE),"")</f>
        <v>7</v>
      </c>
      <c r="BI15" s="34" t="str">
        <f>IFERROR(VLOOKUP(BI14,MB!$B$48:$R$82,11,FALSE),"")</f>
        <v>L</v>
      </c>
      <c r="BJ15" s="269">
        <f>IFERROR(YEAR(VLOOKUP(BI14,MB!$B$48:$R$82,2,FALSE)),"")</f>
        <v>1988</v>
      </c>
      <c r="BK15" s="240"/>
      <c r="BL15" s="108">
        <f ca="1">IFERROR(VLOOKUP(BI14,MB!$B$48:$R$82,3,FALSE),"")</f>
        <v>32</v>
      </c>
      <c r="BM15" s="270" t="str">
        <f>IFERROR(VLOOKUP(BI14,MB!$B$48:$R$82,15,FALSE),"")</f>
        <v>181/85</v>
      </c>
      <c r="BN15" s="271"/>
      <c r="BO15" s="243" t="str">
        <f>IFERROR(VLOOKUP(BO12,MB!$B$48:$R$82,16,FALSE),"")</f>
        <v>FBC Sok. Poruba Škorpioni</v>
      </c>
      <c r="BP15" s="244"/>
      <c r="BQ15" s="245"/>
      <c r="BR15" s="246">
        <f>IFERROR(VLOOKUP(BO12,MB!$B$48:$R$82,17,FALSE),"")</f>
        <v>1998</v>
      </c>
      <c r="BS15" s="247"/>
      <c r="BT15" s="124">
        <f>IFERROR(VLOOKUP(BO12,MB!$B$48:$R$82,8,FALSE),"")</f>
        <v>11</v>
      </c>
      <c r="BU15" s="243" t="str">
        <f>IFERROR(VLOOKUP(BU12,TAT!$B$48:$R$82,16,FALSE),"")</f>
        <v/>
      </c>
      <c r="BV15" s="244"/>
      <c r="BW15" s="245"/>
      <c r="BX15" s="246" t="str">
        <f>IFERROR(VLOOKUP(BU12,TAT!$B$48:$R$82,17,FALSE),"")</f>
        <v/>
      </c>
      <c r="BY15" s="247"/>
      <c r="BZ15" s="124" t="str">
        <f>IFERROR(VLOOKUP(BU12,TAT!$B$48:$R$82,8,FALSE),"")</f>
        <v/>
      </c>
      <c r="CA15" s="34" t="str">
        <f>IFERROR(VLOOKUP(CA14,TAT!$B$48:$R$82,11,FALSE),"")</f>
        <v/>
      </c>
      <c r="CB15" s="269" t="str">
        <f>IFERROR(YEAR(VLOOKUP(CA14,TAT!$B$48:$R$82,2,FALSE)),"")</f>
        <v/>
      </c>
      <c r="CC15" s="240"/>
      <c r="CD15" s="150" t="str">
        <f>IFERROR(VLOOKUP(CA14,TAT!$B$48:$R$82,3,FALSE),"")</f>
        <v/>
      </c>
      <c r="CE15" s="270" t="str">
        <f>IFERROR(VLOOKUP(CA14,TAT!$B$48:$R$82,15,FALSE),"")</f>
        <v/>
      </c>
      <c r="CF15" s="271"/>
      <c r="CG15" s="243" t="str">
        <f>IFERROR(VLOOKUP(CG12,TAT!$B$48:$R$82,16,FALSE),"")</f>
        <v/>
      </c>
      <c r="CH15" s="244"/>
      <c r="CI15" s="245"/>
      <c r="CJ15" s="246" t="str">
        <f>IFERROR(VLOOKUP(CG12,TAT!$B$48:$R$82,17,FALSE),"")</f>
        <v/>
      </c>
      <c r="CK15" s="247"/>
      <c r="CL15" s="124" t="str">
        <f>IFERROR(VLOOKUP(CG12,TAT!$B$48:$R$82,8,FALSE),"")</f>
        <v/>
      </c>
      <c r="CM15" s="243" t="str">
        <f>IFERROR(VLOOKUP(CM12,OTR!$B$48:$R$82,16,FALSE),"")</f>
        <v>Zlín Lions</v>
      </c>
      <c r="CN15" s="244"/>
      <c r="CO15" s="245"/>
      <c r="CP15" s="246">
        <f>IFERROR(VLOOKUP(CM12,OTR!$B$48:$R$82,17,FALSE),"")</f>
        <v>2015</v>
      </c>
      <c r="CQ15" s="247"/>
      <c r="CR15" s="124">
        <f>IFERROR(VLOOKUP(CM12,OTR!$B$48:$R$82,8,FALSE),"")</f>
        <v>2</v>
      </c>
      <c r="CS15" s="34" t="str">
        <f>IFERROR(VLOOKUP(CS14,OTR!$B$48:$R$82,11,FALSE),"")</f>
        <v>P</v>
      </c>
      <c r="CT15" s="269">
        <f>IFERROR(YEAR(VLOOKUP(CS14,OTR!$B$48:$R$82,2,FALSE)),"")</f>
        <v>1999</v>
      </c>
      <c r="CU15" s="240"/>
      <c r="CV15" s="150">
        <f ca="1">IFERROR(VLOOKUP(CS14,OTR!$B$48:$R$82,3,FALSE),"")</f>
        <v>21</v>
      </c>
      <c r="CW15" s="270" t="str">
        <f>IFERROR(VLOOKUP(CS14,OTR!$B$48:$R$82,15,FALSE),"")</f>
        <v>181/72</v>
      </c>
      <c r="CX15" s="271"/>
      <c r="CY15" s="243" t="str">
        <f>IFERROR(VLOOKUP(CY12,OTR!$B$48:$R$82,16,FALSE),"")</f>
        <v>FBC Sparta Přerov</v>
      </c>
      <c r="CZ15" s="244"/>
      <c r="DA15" s="245"/>
      <c r="DB15" s="246">
        <f>IFERROR(VLOOKUP(CY12,OTR!$B$48:$R$82,17,FALSE),"")</f>
        <v>2003</v>
      </c>
      <c r="DC15" s="247"/>
      <c r="DD15" s="124">
        <f>IFERROR(VLOOKUP(CY12,OTR!$B$48:$R$82,8,FALSE),"")</f>
        <v>10</v>
      </c>
      <c r="DE15" s="243" t="str">
        <f>IFERROR(VLOOKUP(DE12,BOH!$B$48:$R$82,16,FALSE),"")</f>
        <v>FbŠ Bohemians</v>
      </c>
      <c r="DF15" s="244"/>
      <c r="DG15" s="245"/>
      <c r="DH15" s="246">
        <f>IFERROR(VLOOKUP(DE12,BOH!$B$48:$R$82,17,FALSE),"")</f>
        <v>2011</v>
      </c>
      <c r="DI15" s="247"/>
      <c r="DJ15" s="124">
        <f>IFERROR(VLOOKUP(DE12,BOH!$B$48:$R$82,8,FALSE),"")</f>
        <v>4</v>
      </c>
      <c r="DK15" s="34" t="str">
        <f>IFERROR(VLOOKUP(DK14,BOH!$B$48:$R$82,11,FALSE),"")</f>
        <v>P</v>
      </c>
      <c r="DL15" s="269">
        <f>IFERROR(YEAR(VLOOKUP(DK14,BOH!$B$48:$R$82,2,FALSE)),"")</f>
        <v>1994</v>
      </c>
      <c r="DM15" s="240"/>
      <c r="DN15" s="165">
        <f ca="1">IFERROR(VLOOKUP(DK14,BOH!$B$48:$R$82,3,FALSE),"")</f>
        <v>26</v>
      </c>
      <c r="DO15" s="270" t="str">
        <f>IFERROR(VLOOKUP(DK14,BOH!$B$48:$R$82,15,FALSE),"")</f>
        <v>185/82</v>
      </c>
      <c r="DP15" s="271"/>
      <c r="DQ15" s="243" t="str">
        <f>IFERROR(VLOOKUP(DQ12,BOH!$B$48:$R$82,16,FALSE),"")</f>
        <v>FbŠ Bohemians</v>
      </c>
      <c r="DR15" s="244"/>
      <c r="DS15" s="245"/>
      <c r="DT15" s="246">
        <f>IFERROR(VLOOKUP(DQ12,BOH!$B$48:$R$82,17,FALSE),"")</f>
        <v>2008</v>
      </c>
      <c r="DU15" s="247"/>
      <c r="DV15" s="124">
        <f>IFERROR(VLOOKUP(DQ12,BOH!$B$48:$R$82,8,FALSE),"")</f>
        <v>5</v>
      </c>
      <c r="DW15" s="243" t="str">
        <f>IFERROR(VLOOKUP(DW12,SPA!$B$48:$R$82,16,FALSE),"")</f>
        <v/>
      </c>
      <c r="DX15" s="244"/>
      <c r="DY15" s="245"/>
      <c r="DZ15" s="246" t="str">
        <f>IFERROR(VLOOKUP(DW12,SPA!$B$48:$R$82,17,FALSE),"")</f>
        <v/>
      </c>
      <c r="EA15" s="247"/>
      <c r="EB15" s="124" t="str">
        <f>IFERROR(VLOOKUP(DW12,SPA!$B$48:$R$82,8,FALSE),"")</f>
        <v/>
      </c>
      <c r="EC15" s="34" t="str">
        <f>IFERROR(VLOOKUP(EC14,SPA!$B$48:$R$82,11,FALSE),"")</f>
        <v/>
      </c>
      <c r="ED15" s="269" t="str">
        <f>IFERROR(YEAR(VLOOKUP(EC14,SPA!$B$48:$R$82,2,FALSE)),"")</f>
        <v/>
      </c>
      <c r="EE15" s="240"/>
      <c r="EF15" s="165" t="str">
        <f>IFERROR(VLOOKUP(EC14,SPA!$B$48:$R$82,3,FALSE),"")</f>
        <v/>
      </c>
      <c r="EG15" s="270" t="str">
        <f>IFERROR(VLOOKUP(EC14,SPA!$B$48:$R$82,15,FALSE),"")</f>
        <v/>
      </c>
      <c r="EH15" s="271"/>
      <c r="EI15" s="243" t="str">
        <f>IFERROR(VLOOKUP(EI12,SPA!$B$48:$R$82,16,FALSE),"")</f>
        <v/>
      </c>
      <c r="EJ15" s="244"/>
      <c r="EK15" s="245"/>
      <c r="EL15" s="246" t="str">
        <f>IFERROR(VLOOKUP(EI12,SPA!$B$48:$R$82,17,FALSE),"")</f>
        <v/>
      </c>
      <c r="EM15" s="247"/>
      <c r="EN15" s="124" t="str">
        <f>IFERROR(VLOOKUP(EI12,SPA!$B$48:$R$82,8,FALSE),"")</f>
        <v/>
      </c>
      <c r="EO15" s="243" t="str">
        <f>IFERROR(VLOOKUP(EO12,CLP!$B$48:$R$82,16,FALSE),"")</f>
        <v/>
      </c>
      <c r="EP15" s="244"/>
      <c r="EQ15" s="245"/>
      <c r="ER15" s="246" t="str">
        <f>IFERROR(VLOOKUP(EO12,CLP!$B$48:$R$82,17,FALSE),"")</f>
        <v/>
      </c>
      <c r="ES15" s="247"/>
      <c r="ET15" s="124" t="str">
        <f>IFERROR(VLOOKUP(EO12,CLP!$B$48:$R$82,8,FALSE),"")</f>
        <v/>
      </c>
      <c r="EU15" s="34" t="str">
        <f>IFERROR(VLOOKUP(EU14,CLP!$B$48:$R$82,11,FALSE),"")</f>
        <v/>
      </c>
      <c r="EV15" s="269" t="str">
        <f>IFERROR(YEAR(VLOOKUP(EU14,CLP!$B$48:$R$82,2,FALSE)),"")</f>
        <v/>
      </c>
      <c r="EW15" s="240"/>
      <c r="EX15" s="204" t="str">
        <f>IFERROR(VLOOKUP(EU14,CLP!$B$48:$R$82,3,FALSE),"")</f>
        <v/>
      </c>
      <c r="EY15" s="270" t="str">
        <f>IFERROR(VLOOKUP(EU14,CLP!$B$48:$R$82,15,FALSE),"")</f>
        <v/>
      </c>
      <c r="EZ15" s="271"/>
      <c r="FA15" s="243" t="str">
        <f>IFERROR(VLOOKUP(FA12,CLP!$B$48:$R$82,16,FALSE),"")</f>
        <v/>
      </c>
      <c r="FB15" s="244"/>
      <c r="FC15" s="245"/>
      <c r="FD15" s="246" t="str">
        <f>IFERROR(VLOOKUP(FA12,CLP!$B$48:$R$82,17,FALSE),"")</f>
        <v/>
      </c>
      <c r="FE15" s="247"/>
      <c r="FF15" s="124" t="str">
        <f>IFERROR(VLOOKUP(FA12,CLP!$B$48:$R$82,8,FALSE),"")</f>
        <v/>
      </c>
      <c r="FG15" s="243" t="str">
        <f>IFERROR(VLOOKUP(FG12,LIB!$B$48:$R$82,16,FALSE),"")</f>
        <v/>
      </c>
      <c r="FH15" s="244"/>
      <c r="FI15" s="245"/>
      <c r="FJ15" s="246" t="str">
        <f>IFERROR(VLOOKUP(FG12,LIB!$B$48:$R$82,17,FALSE),"")</f>
        <v/>
      </c>
      <c r="FK15" s="247"/>
      <c r="FL15" s="124" t="str">
        <f>IFERROR(VLOOKUP(FG12,LIB!$B$48:$R$82,8,FALSE),"")</f>
        <v/>
      </c>
      <c r="FM15" s="34" t="str">
        <f>IFERROR(VLOOKUP(FM14,LIB!$B$48:$R$82,11,FALSE),"")</f>
        <v/>
      </c>
      <c r="FN15" s="269" t="str">
        <f>IFERROR(YEAR(VLOOKUP(FM14,LIB!$B$48:$R$82,2,FALSE)),"")</f>
        <v/>
      </c>
      <c r="FO15" s="240"/>
      <c r="FP15" s="204" t="str">
        <f>IFERROR(VLOOKUP(FM14,LIB!$B$48:$R$82,3,FALSE),"")</f>
        <v/>
      </c>
      <c r="FQ15" s="270" t="str">
        <f>IFERROR(VLOOKUP(FM14,LIB!$B$48:$R$82,15,FALSE),"")</f>
        <v/>
      </c>
      <c r="FR15" s="271"/>
      <c r="FS15" s="243" t="str">
        <f>IFERROR(VLOOKUP(FS12,LIB!$B$48:$R$82,16,FALSE),"")</f>
        <v/>
      </c>
      <c r="FT15" s="244"/>
      <c r="FU15" s="245"/>
      <c r="FV15" s="246" t="str">
        <f>IFERROR(VLOOKUP(FS12,LIB!$B$48:$R$82,17,FALSE),"")</f>
        <v/>
      </c>
      <c r="FW15" s="247"/>
      <c r="FX15" s="124" t="str">
        <f>IFERROR(VLOOKUP(FS12,LIB!$B$48:$R$82,8,FALSE),"")</f>
        <v/>
      </c>
    </row>
    <row r="16" spans="1:180" ht="15.6" customHeight="1" thickTop="1" thickBot="1" x14ac:dyDescent="0.3">
      <c r="A16" s="16"/>
      <c r="B16" s="16"/>
      <c r="C16" s="16"/>
      <c r="D16" s="16"/>
      <c r="E16" s="33"/>
      <c r="F16" s="33"/>
      <c r="G16" s="277" t="str">
        <f>IFERROR(VLOOKUP(G14,SKV!$B$2:$O$36,14,FALSE),"")</f>
        <v>22 OZ , 28 (17+11), -21 ±</v>
      </c>
      <c r="H16" s="278"/>
      <c r="I16" s="278"/>
      <c r="J16" s="279" t="str">
        <f>IFERROR(VLOOKUP(G14,SKV!$B$48:$AA$82,14,FALSE),"")</f>
        <v>200 OZ, 192 (107+85)</v>
      </c>
      <c r="K16" s="279"/>
      <c r="L16" s="280"/>
      <c r="M16" s="33"/>
      <c r="N16" s="33"/>
      <c r="O16" s="33"/>
      <c r="P16" s="33"/>
      <c r="Q16" s="33"/>
      <c r="R16" s="33"/>
      <c r="S16" s="16"/>
      <c r="T16" s="16"/>
      <c r="U16" s="16"/>
      <c r="V16" s="16"/>
      <c r="W16" s="33"/>
      <c r="X16" s="33"/>
      <c r="Y16" s="277" t="str">
        <f>IFERROR(VLOOKUP(Y14,CHO!$B$2:$O$36,14,FALSE),"")</f>
        <v>21 OZ , 12 (5+7), -7 ±</v>
      </c>
      <c r="Z16" s="278"/>
      <c r="AA16" s="278"/>
      <c r="AB16" s="279" t="str">
        <f>IFERROR(VLOOKUP(Y14,CHO!$B$48:$AA$82,14,FALSE),"")</f>
        <v>205 OZ, 210 (121+89)</v>
      </c>
      <c r="AC16" s="279"/>
      <c r="AD16" s="280"/>
      <c r="AE16" s="33"/>
      <c r="AF16" s="33"/>
      <c r="AG16" s="33"/>
      <c r="AH16" s="33"/>
      <c r="AI16" s="33"/>
      <c r="AJ16" s="33"/>
      <c r="AK16" s="16"/>
      <c r="AL16" s="16"/>
      <c r="AM16" s="16"/>
      <c r="AN16" s="16"/>
      <c r="AO16" s="33"/>
      <c r="AP16" s="33"/>
      <c r="AQ16" s="277" t="str">
        <f>IFERROR(VLOOKUP(AQ14,VIT!$B$2:$O$36,14,FALSE),"")</f>
        <v/>
      </c>
      <c r="AR16" s="278"/>
      <c r="AS16" s="278"/>
      <c r="AT16" s="279" t="str">
        <f>IFERROR(VLOOKUP(AQ14,VIT!$B$48:$R$82,14,FALSE),"")</f>
        <v/>
      </c>
      <c r="AU16" s="279"/>
      <c r="AV16" s="280"/>
      <c r="AW16" s="33"/>
      <c r="AX16" s="33"/>
      <c r="AY16" s="33"/>
      <c r="AZ16" s="33"/>
      <c r="BA16" s="33"/>
      <c r="BB16" s="33"/>
      <c r="BC16" s="16"/>
      <c r="BD16" s="16"/>
      <c r="BE16" s="16"/>
      <c r="BF16" s="16"/>
      <c r="BG16" s="33"/>
      <c r="BH16" s="33"/>
      <c r="BI16" s="277" t="str">
        <f>IFERROR(VLOOKUP(BI14,MB!$B$2:$O$36,14,FALSE),"")</f>
        <v>18 OZ , 26 (11+15), +30 ±</v>
      </c>
      <c r="BJ16" s="278"/>
      <c r="BK16" s="278"/>
      <c r="BL16" s="279" t="str">
        <f>IFERROR(VLOOKUP(BI14,MB!$B$48:$R$82,14,FALSE),"")</f>
        <v>214 OZ, 349 (180+169)</v>
      </c>
      <c r="BM16" s="279"/>
      <c r="BN16" s="280"/>
      <c r="BO16" s="33"/>
      <c r="BP16" s="33"/>
      <c r="BQ16" s="33"/>
      <c r="BR16" s="33"/>
      <c r="BS16" s="33"/>
      <c r="BT16" s="33"/>
      <c r="BU16" s="16"/>
      <c r="BV16" s="16"/>
      <c r="BW16" s="16"/>
      <c r="BX16" s="16"/>
      <c r="BY16" s="33"/>
      <c r="BZ16" s="33"/>
      <c r="CA16" s="277" t="str">
        <f>IFERROR(VLOOKUP(CA14,TAT!$B$2:$O$36,14,FALSE),"")</f>
        <v/>
      </c>
      <c r="CB16" s="278"/>
      <c r="CC16" s="278"/>
      <c r="CD16" s="279" t="str">
        <f>IFERROR(VLOOKUP(CA14,TAT!$B$48:$R$82,14,FALSE),"")</f>
        <v/>
      </c>
      <c r="CE16" s="279"/>
      <c r="CF16" s="280"/>
      <c r="CG16" s="33"/>
      <c r="CH16" s="33"/>
      <c r="CI16" s="33"/>
      <c r="CJ16" s="33"/>
      <c r="CK16" s="33"/>
      <c r="CL16" s="33"/>
      <c r="CM16" s="16"/>
      <c r="CN16" s="16"/>
      <c r="CO16" s="16"/>
      <c r="CP16" s="16"/>
      <c r="CQ16" s="33"/>
      <c r="CR16" s="33"/>
      <c r="CS16" s="277" t="str">
        <f>IFERROR(VLOOKUP(CS14,OTR!$B$2:$O$36,14,FALSE),"")</f>
        <v>21 OZ , 4 (1+3), -26 ±</v>
      </c>
      <c r="CT16" s="278"/>
      <c r="CU16" s="278"/>
      <c r="CV16" s="279" t="str">
        <f>IFERROR(VLOOKUP(CS14,OTR!$B$48:$R$82,14,FALSE),"")</f>
        <v>86 OZ, 25 (14+11)</v>
      </c>
      <c r="CW16" s="279"/>
      <c r="CX16" s="280"/>
      <c r="CY16" s="33"/>
      <c r="CZ16" s="33"/>
      <c r="DA16" s="33"/>
      <c r="DB16" s="33"/>
      <c r="DC16" s="33"/>
      <c r="DD16" s="33"/>
      <c r="DE16" s="16"/>
      <c r="DF16" s="16"/>
      <c r="DG16" s="16"/>
      <c r="DH16" s="16"/>
      <c r="DI16" s="33"/>
      <c r="DJ16" s="33"/>
      <c r="DK16" s="277" t="str">
        <f>IFERROR(VLOOKUP(DK14,BOH!$B$2:$O$36,14,FALSE),"")</f>
        <v>22 OZ , 25 (19+6), +6 ±</v>
      </c>
      <c r="DL16" s="278"/>
      <c r="DM16" s="278"/>
      <c r="DN16" s="279" t="str">
        <f>IFERROR(VLOOKUP(DK14,BOH!$B$48:$R$82,14,FALSE),"")</f>
        <v>185 OZ, 244 (154+90)</v>
      </c>
      <c r="DO16" s="279"/>
      <c r="DP16" s="280"/>
      <c r="DQ16" s="33"/>
      <c r="DR16" s="33"/>
      <c r="DS16" s="33"/>
      <c r="DT16" s="33"/>
      <c r="DU16" s="33"/>
      <c r="DV16" s="33"/>
      <c r="DW16" s="16"/>
      <c r="DX16" s="16"/>
      <c r="DY16" s="16"/>
      <c r="DZ16" s="16"/>
      <c r="EA16" s="33"/>
      <c r="EB16" s="33"/>
      <c r="EC16" s="277" t="str">
        <f>IFERROR(VLOOKUP(EC14,SPA!$B$2:$O$36,14,FALSE),"")</f>
        <v/>
      </c>
      <c r="ED16" s="278"/>
      <c r="EE16" s="278"/>
      <c r="EF16" s="279" t="str">
        <f>IFERROR(VLOOKUP(EC14,SPA!$B$48:$R$82,14,FALSE),"")</f>
        <v/>
      </c>
      <c r="EG16" s="279"/>
      <c r="EH16" s="280"/>
      <c r="EI16" s="33"/>
      <c r="EJ16" s="33"/>
      <c r="EK16" s="33"/>
      <c r="EL16" s="33"/>
      <c r="EM16" s="33"/>
      <c r="EN16" s="33"/>
      <c r="EO16" s="16"/>
      <c r="EP16" s="16"/>
      <c r="EQ16" s="16"/>
      <c r="ER16" s="16"/>
      <c r="ES16" s="33"/>
      <c r="ET16" s="33"/>
      <c r="EU16" s="277" t="str">
        <f>IFERROR(VLOOKUP(EU14,CLP!$B$2:$O$36,14,FALSE),"")</f>
        <v/>
      </c>
      <c r="EV16" s="278"/>
      <c r="EW16" s="278"/>
      <c r="EX16" s="279" t="str">
        <f>IFERROR(VLOOKUP(EU14,CLP!$B$48:$R$82,14,FALSE),"")</f>
        <v/>
      </c>
      <c r="EY16" s="279"/>
      <c r="EZ16" s="280"/>
      <c r="FA16" s="33"/>
      <c r="FB16" s="33"/>
      <c r="FC16" s="33"/>
      <c r="FD16" s="33"/>
      <c r="FE16" s="33"/>
      <c r="FF16" s="33"/>
      <c r="FG16" s="16"/>
      <c r="FH16" s="16"/>
      <c r="FI16" s="16"/>
      <c r="FJ16" s="16"/>
      <c r="FK16" s="33"/>
      <c r="FL16" s="33"/>
      <c r="FM16" s="277" t="str">
        <f>IFERROR(VLOOKUP(FM14,LIB!$B$2:$O$36,14,FALSE),"")</f>
        <v/>
      </c>
      <c r="FN16" s="278"/>
      <c r="FO16" s="278"/>
      <c r="FP16" s="279" t="str">
        <f>IFERROR(VLOOKUP(FM14,LIB!$B$48:$R$82,14,FALSE),"")</f>
        <v/>
      </c>
      <c r="FQ16" s="279"/>
      <c r="FR16" s="280"/>
      <c r="FS16" s="33"/>
      <c r="FT16" s="33"/>
      <c r="FU16" s="33"/>
      <c r="FV16" s="33"/>
      <c r="FW16" s="33"/>
      <c r="FX16" s="33"/>
    </row>
    <row r="17" spans="1:180" ht="15.6" customHeight="1" thickTop="1" thickBot="1" x14ac:dyDescent="0.3">
      <c r="A17" s="266" t="s">
        <v>56</v>
      </c>
      <c r="B17" s="267"/>
      <c r="C17" s="267"/>
      <c r="D17" s="267"/>
      <c r="E17" s="32" t="str">
        <f>IFERROR(IF(VLOOKUP(A17,SKV!$B$48:$AA$82,10,FALSE)=0,"",VLOOKUP(A17,SKV!$B$48:$AA$82,10,FALSE)),"")</f>
        <v>C</v>
      </c>
      <c r="F17" s="52">
        <f>IFERROR(VLOOKUP(A17,SKV!$B$48:$AA$82,9,FALSE),"")</f>
        <v>65</v>
      </c>
      <c r="G17" s="243" t="str">
        <f>IFERROR(VLOOKUP(G14,SKV!$B$48:$AA$82,16,FALSE),"")</f>
        <v>FC Vlci</v>
      </c>
      <c r="H17" s="244"/>
      <c r="I17" s="245"/>
      <c r="J17" s="246">
        <f>IFERROR(VLOOKUP(G14,SKV!$B$48:$AA$82,17,FALSE),"")</f>
        <v>2000</v>
      </c>
      <c r="K17" s="247"/>
      <c r="L17" s="124">
        <f>IFERROR(VLOOKUP(G14,SKV!$B$48:$AA$82,8,FALSE),"")</f>
        <v>10</v>
      </c>
      <c r="M17" s="266" t="s">
        <v>24</v>
      </c>
      <c r="N17" s="267"/>
      <c r="O17" s="267"/>
      <c r="P17" s="267"/>
      <c r="Q17" s="32" t="str">
        <f>IFERROR(IF(VLOOKUP(M17,SKV!$B$48:$AA$82,10,FALSE)=0,"",VLOOKUP(M17,SKV!$B$48:$AA$82,10,FALSE)),"")</f>
        <v/>
      </c>
      <c r="R17" s="52">
        <f>IFERROR(VLOOKUP(M17,SKV!$B$48:$AA$82,9,FALSE),"")</f>
        <v>47</v>
      </c>
      <c r="S17" s="266" t="s">
        <v>167</v>
      </c>
      <c r="T17" s="267"/>
      <c r="U17" s="267"/>
      <c r="V17" s="267"/>
      <c r="W17" s="32" t="str">
        <f>IFERROR(IF(VLOOKUP(S17,CHO!$B$48:$AA$82,10,FALSE)=0,"",VLOOKUP(S17,CHO!$B$48:$AA$82,10,FALSE)),"")</f>
        <v/>
      </c>
      <c r="X17" s="52">
        <f>IFERROR(VLOOKUP(S17,CHO!$B$48:$AA$82,9,FALSE),"")</f>
        <v>65</v>
      </c>
      <c r="Y17" s="243" t="str">
        <f>IFERROR(VLOOKUP(Y14,CHO!$B$48:$AA$82,16,FALSE),"")</f>
        <v>Bulldogs Brno</v>
      </c>
      <c r="Z17" s="244"/>
      <c r="AA17" s="245"/>
      <c r="AB17" s="246">
        <f>IFERROR(VLOOKUP(Y14,CHO!$B$48:$AA$82,17,FALSE),"")</f>
        <v>2004</v>
      </c>
      <c r="AC17" s="247"/>
      <c r="AD17" s="124">
        <f>IFERROR(VLOOKUP(Y14,CHO!$B$48:$AA$82,8,FALSE),"")</f>
        <v>11</v>
      </c>
      <c r="AE17" s="266" t="s">
        <v>172</v>
      </c>
      <c r="AF17" s="267"/>
      <c r="AG17" s="267"/>
      <c r="AH17" s="267"/>
      <c r="AI17" s="32" t="str">
        <f>IFERROR(IF(VLOOKUP(AE17,CHO!$B$48:$AA$82,10,FALSE)=0,"",VLOOKUP(AE17,CHO!$B$48:$AA$82,10,FALSE)),"")</f>
        <v/>
      </c>
      <c r="AJ17" s="52">
        <f>IFERROR(VLOOKUP(AE17,CHO!$B$48:$AA$82,9,FALSE),"")</f>
        <v>93</v>
      </c>
      <c r="AK17" s="266"/>
      <c r="AL17" s="267"/>
      <c r="AM17" s="267"/>
      <c r="AN17" s="267"/>
      <c r="AO17" s="32" t="str">
        <f>IFERROR(IF(VLOOKUP(AK17,VIT!$B$48:$R$82,10,FALSE)=0,"",VLOOKUP(AK17,VIT!$B$48:$R$82,10,FALSE)),"")</f>
        <v/>
      </c>
      <c r="AP17" s="52" t="str">
        <f>IFERROR(VLOOKUP(AK17,VIT!$B$48:$R$82,9,FALSE),"")</f>
        <v/>
      </c>
      <c r="AQ17" s="243" t="str">
        <f>IFERROR(VLOOKUP(AQ14,VIT!$B$48:$R$82,16,FALSE),"")</f>
        <v/>
      </c>
      <c r="AR17" s="244"/>
      <c r="AS17" s="245"/>
      <c r="AT17" s="246" t="str">
        <f>IFERROR(VLOOKUP(AQ14,VIT!$B$48:$R$82,17,FALSE),"")</f>
        <v/>
      </c>
      <c r="AU17" s="247"/>
      <c r="AV17" s="36" t="str">
        <f>IFERROR(VLOOKUP(AQ14,VIT!$B$48:$R$82,8,FALSE),"")</f>
        <v/>
      </c>
      <c r="AW17" s="266"/>
      <c r="AX17" s="267"/>
      <c r="AY17" s="267"/>
      <c r="AZ17" s="267"/>
      <c r="BA17" s="32" t="str">
        <f>IFERROR(IF(VLOOKUP(AW17,VIT!$B$48:$R$82,10,FALSE)=0,"",VLOOKUP(AW17,VIT!$B$48:$R$82,10,FALSE)),"")</f>
        <v/>
      </c>
      <c r="BB17" s="52" t="str">
        <f>IFERROR(VLOOKUP(AW17,VIT!$B$48:$R$82,9,FALSE),"")</f>
        <v/>
      </c>
      <c r="BC17" s="266" t="s">
        <v>305</v>
      </c>
      <c r="BD17" s="267"/>
      <c r="BE17" s="267"/>
      <c r="BF17" s="267"/>
      <c r="BG17" s="32" t="str">
        <f>IFERROR(IF(VLOOKUP(BC17,MB!$B$48:$R$82,10,FALSE)=0,"",VLOOKUP(BC17,MB!$B$48:$R$82,10,FALSE)),"")</f>
        <v/>
      </c>
      <c r="BH17" s="52">
        <f>IFERROR(VLOOKUP(BC17,MB!$B$48:$R$82,9,FALSE),"")</f>
        <v>12</v>
      </c>
      <c r="BI17" s="243" t="str">
        <f>IFERROR(VLOOKUP(BI14,MB!$B$48:$R$82,16,FALSE),"")</f>
        <v>FBC Sok. Poruba Škorpioni</v>
      </c>
      <c r="BJ17" s="244"/>
      <c r="BK17" s="245"/>
      <c r="BL17" s="246">
        <f>IFERROR(VLOOKUP(BI14,MB!$B$48:$R$82,17,FALSE),"")</f>
        <v>1995</v>
      </c>
      <c r="BM17" s="247"/>
      <c r="BN17" s="124">
        <f>IFERROR(VLOOKUP(BI14,MB!$B$48:$R$82,8,FALSE),"")</f>
        <v>11</v>
      </c>
      <c r="BO17" s="266" t="s">
        <v>308</v>
      </c>
      <c r="BP17" s="267"/>
      <c r="BQ17" s="267"/>
      <c r="BR17" s="267"/>
      <c r="BS17" s="32" t="str">
        <f>IFERROR(IF(VLOOKUP(BO17,MB!$B$48:$R$82,10,FALSE)=0,"",VLOOKUP(BO17,MB!$B$48:$R$82,10,FALSE)),"")</f>
        <v/>
      </c>
      <c r="BT17" s="52">
        <f>IFERROR(VLOOKUP(BO17,MB!$B$48:$R$82,9,FALSE),"")</f>
        <v>58</v>
      </c>
      <c r="BU17" s="266"/>
      <c r="BV17" s="267"/>
      <c r="BW17" s="267"/>
      <c r="BX17" s="267"/>
      <c r="BY17" s="32" t="str">
        <f>IFERROR(IF(VLOOKUP(BU17,TAT!$B$48:$R$82,10,FALSE)=0,"",VLOOKUP(BU17,TAT!$B$48:$R$82,10,FALSE)),"")</f>
        <v/>
      </c>
      <c r="BZ17" s="52" t="str">
        <f>IFERROR(VLOOKUP(BU17,TAT!$B$48:$R$82,9,FALSE),"")</f>
        <v/>
      </c>
      <c r="CA17" s="243" t="str">
        <f>IFERROR(VLOOKUP(CA14,TAT!$B$48:$R$82,16,FALSE),"")</f>
        <v/>
      </c>
      <c r="CB17" s="244"/>
      <c r="CC17" s="245"/>
      <c r="CD17" s="246" t="str">
        <f>IFERROR(VLOOKUP(CA14,TAT!$B$48:$R$82,17,FALSE),"")</f>
        <v/>
      </c>
      <c r="CE17" s="247"/>
      <c r="CF17" s="124" t="str">
        <f>IFERROR(VLOOKUP(CA14,TAT!$B$48:$R$82,8,FALSE),"")</f>
        <v/>
      </c>
      <c r="CG17" s="266"/>
      <c r="CH17" s="267"/>
      <c r="CI17" s="267"/>
      <c r="CJ17" s="267"/>
      <c r="CK17" s="32" t="str">
        <f>IFERROR(IF(VLOOKUP(CG17,TAT!$B$48:$R$82,10,FALSE)=0,"",VLOOKUP(CG17,TAT!$B$48:$R$82,10,FALSE)),"")</f>
        <v/>
      </c>
      <c r="CL17" s="52" t="str">
        <f>IFERROR(VLOOKUP(CG17,TAT!$B$48:$R$82,9,FALSE),"")</f>
        <v/>
      </c>
      <c r="CM17" s="266" t="s">
        <v>429</v>
      </c>
      <c r="CN17" s="267"/>
      <c r="CO17" s="267"/>
      <c r="CP17" s="267"/>
      <c r="CQ17" s="32" t="str">
        <f>IFERROR(IF(VLOOKUP(CM17,OTR!$B$48:$R$82,10,FALSE)=0,"",VLOOKUP(CM17,OTR!$B$48:$R$82,10,FALSE)),"")</f>
        <v/>
      </c>
      <c r="CR17" s="52">
        <f>IFERROR(VLOOKUP(CM17,OTR!$B$48:$R$82,9,FALSE),"")</f>
        <v>25</v>
      </c>
      <c r="CS17" s="243" t="str">
        <f>IFERROR(VLOOKUP(CS14,OTR!$B$48:$R$82,16,FALSE),"")</f>
        <v>TJ MEZ Vsetín</v>
      </c>
      <c r="CT17" s="244"/>
      <c r="CU17" s="245"/>
      <c r="CV17" s="246">
        <f>IFERROR(VLOOKUP(CS14,OTR!$B$48:$R$82,17,FALSE),"")</f>
        <v>2004</v>
      </c>
      <c r="CW17" s="247"/>
      <c r="CX17" s="124">
        <f>IFERROR(VLOOKUP(CS14,OTR!$B$48:$R$82,8,FALSE),"")</f>
        <v>4</v>
      </c>
      <c r="CY17" s="266" t="s">
        <v>422</v>
      </c>
      <c r="CZ17" s="267"/>
      <c r="DA17" s="267"/>
      <c r="DB17" s="267"/>
      <c r="DC17" s="32" t="str">
        <f>IFERROR(IF(VLOOKUP(CY17,OTR!$B$48:$R$82,10,FALSE)=0,"",VLOOKUP(CY17,OTR!$B$48:$R$82,10,FALSE)),"")</f>
        <v/>
      </c>
      <c r="DD17" s="52">
        <f>IFERROR(VLOOKUP(CY17,OTR!$B$48:$R$82,9,FALSE),"")</f>
        <v>23</v>
      </c>
      <c r="DE17" s="266" t="s">
        <v>502</v>
      </c>
      <c r="DF17" s="267"/>
      <c r="DG17" s="267"/>
      <c r="DH17" s="267"/>
      <c r="DI17" s="32" t="str">
        <f>IFERROR(IF(VLOOKUP(DE17,BOH!$B$48:$R$82,10,FALSE)=0,"",VLOOKUP(DE17,BOH!$B$48:$R$82,10,FALSE)),"")</f>
        <v>C</v>
      </c>
      <c r="DJ17" s="52">
        <f>IFERROR(VLOOKUP(DE17,BOH!$B$48:$R$82,9,FALSE),"")</f>
        <v>3</v>
      </c>
      <c r="DK17" s="243" t="str">
        <f>IFERROR(VLOOKUP(DK14,BOH!$B$48:$R$82,16,FALSE),"")</f>
        <v>FBK Vosy Praha</v>
      </c>
      <c r="DL17" s="244"/>
      <c r="DM17" s="245"/>
      <c r="DN17" s="246">
        <f>IFERROR(VLOOKUP(DK14,BOH!$B$48:$R$82,17,FALSE),"")</f>
        <v>2007</v>
      </c>
      <c r="DO17" s="247"/>
      <c r="DP17" s="124">
        <f>IFERROR(VLOOKUP(DK14,BOH!$B$48:$R$82,8,FALSE),"")</f>
        <v>9</v>
      </c>
      <c r="DQ17" s="266" t="s">
        <v>505</v>
      </c>
      <c r="DR17" s="267"/>
      <c r="DS17" s="267"/>
      <c r="DT17" s="267"/>
      <c r="DU17" s="32" t="str">
        <f>IFERROR(IF(VLOOKUP(DQ17,BOH!$B$48:$R$82,10,FALSE)=0,"",VLOOKUP(DQ17,BOH!$B$48:$R$82,10,FALSE)),"")</f>
        <v/>
      </c>
      <c r="DV17" s="52">
        <f>IFERROR(VLOOKUP(DQ17,BOH!$B$48:$R$82,9,FALSE),"")</f>
        <v>98</v>
      </c>
      <c r="DW17" s="266"/>
      <c r="DX17" s="267"/>
      <c r="DY17" s="267"/>
      <c r="DZ17" s="267"/>
      <c r="EA17" s="32" t="str">
        <f>IFERROR(IF(VLOOKUP(DW17,SPA!$B$48:$R$82,10,FALSE)=0,"",VLOOKUP(DW17,SPA!$B$48:$R$82,10,FALSE)),"")</f>
        <v/>
      </c>
      <c r="EB17" s="52" t="str">
        <f>IFERROR(VLOOKUP(DW17,SPA!$B$48:$R$82,9,FALSE),"")</f>
        <v/>
      </c>
      <c r="EC17" s="243" t="str">
        <f>IFERROR(VLOOKUP(EC14,SPA!$B$48:$R$82,16,FALSE),"")</f>
        <v/>
      </c>
      <c r="ED17" s="244"/>
      <c r="EE17" s="245"/>
      <c r="EF17" s="246" t="str">
        <f>IFERROR(VLOOKUP(EC14,SPA!$B$48:$R$82,17,FALSE),"")</f>
        <v/>
      </c>
      <c r="EG17" s="247"/>
      <c r="EH17" s="124" t="str">
        <f>IFERROR(VLOOKUP(EC14,SPA!$B$48:$R$82,8,FALSE),"")</f>
        <v/>
      </c>
      <c r="EI17" s="266"/>
      <c r="EJ17" s="267"/>
      <c r="EK17" s="267"/>
      <c r="EL17" s="267"/>
      <c r="EM17" s="32" t="str">
        <f>IFERROR(IF(VLOOKUP(EI17,SPA!$B$48:$R$82,10,FALSE)=0,"",VLOOKUP(EI17,SPA!$B$48:$R$82,10,FALSE)),"")</f>
        <v/>
      </c>
      <c r="EN17" s="52" t="str">
        <f>IFERROR(VLOOKUP(EI17,SPA!$B$48:$R$82,9,FALSE),"")</f>
        <v/>
      </c>
      <c r="EO17" s="266"/>
      <c r="EP17" s="267"/>
      <c r="EQ17" s="267"/>
      <c r="ER17" s="267"/>
      <c r="ES17" s="32" t="str">
        <f>IFERROR(IF(VLOOKUP(EO17,CLP!$B$48:$R$82,10,FALSE)=0,"",VLOOKUP(EO17,CLP!$B$48:$R$82,10,FALSE)),"")</f>
        <v/>
      </c>
      <c r="ET17" s="52" t="str">
        <f>IFERROR(VLOOKUP(EO17,CLP!$B$48:$R$82,9,FALSE),"")</f>
        <v/>
      </c>
      <c r="EU17" s="243" t="str">
        <f>IFERROR(VLOOKUP(EU14,CLP!$B$48:$R$82,16,FALSE),"")</f>
        <v/>
      </c>
      <c r="EV17" s="244"/>
      <c r="EW17" s="245"/>
      <c r="EX17" s="246" t="str">
        <f>IFERROR(VLOOKUP(EU14,CLP!$B$48:$R$82,17,FALSE),"")</f>
        <v/>
      </c>
      <c r="EY17" s="247"/>
      <c r="EZ17" s="124" t="str">
        <f>IFERROR(VLOOKUP(EU14,CLP!$B$48:$R$82,8,FALSE),"")</f>
        <v/>
      </c>
      <c r="FA17" s="266"/>
      <c r="FB17" s="267"/>
      <c r="FC17" s="267"/>
      <c r="FD17" s="267"/>
      <c r="FE17" s="32" t="str">
        <f>IFERROR(IF(VLOOKUP(FA17,CLP!$B$48:$R$82,10,FALSE)=0,"",VLOOKUP(FA17,CLP!$B$48:$R$82,10,FALSE)),"")</f>
        <v/>
      </c>
      <c r="FF17" s="52" t="str">
        <f>IFERROR(VLOOKUP(FA17,CLP!$B$48:$R$82,9,FALSE),"")</f>
        <v/>
      </c>
      <c r="FG17" s="266"/>
      <c r="FH17" s="267"/>
      <c r="FI17" s="267"/>
      <c r="FJ17" s="267"/>
      <c r="FK17" s="32" t="str">
        <f>IFERROR(IF(VLOOKUP(FG17,LIB!$B$48:$R$82,10,FALSE)=0,"",VLOOKUP(FG17,LIB!$B$48:$R$82,10,FALSE)),"")</f>
        <v/>
      </c>
      <c r="FL17" s="52" t="str">
        <f>IFERROR(VLOOKUP(FG17,LIB!$B$48:$R$82,9,FALSE),"")</f>
        <v/>
      </c>
      <c r="FM17" s="243" t="str">
        <f>IFERROR(VLOOKUP(FM14,LIB!$B$48:$R$82,16,FALSE),"")</f>
        <v/>
      </c>
      <c r="FN17" s="244"/>
      <c r="FO17" s="245"/>
      <c r="FP17" s="246" t="str">
        <f>IFERROR(VLOOKUP(FM14,LIB!$B$48:$R$82,17,FALSE),"")</f>
        <v/>
      </c>
      <c r="FQ17" s="247"/>
      <c r="FR17" s="124" t="str">
        <f>IFERROR(VLOOKUP(FM14,LIB!$B$48:$R$82,8,FALSE),"")</f>
        <v/>
      </c>
      <c r="FS17" s="266"/>
      <c r="FT17" s="267"/>
      <c r="FU17" s="267"/>
      <c r="FV17" s="267"/>
      <c r="FW17" s="32" t="str">
        <f>IFERROR(IF(VLOOKUP(FS17,LIB!$B$48:$R$82,10,FALSE)=0,"",VLOOKUP(FS17,LIB!$B$48:$R$82,10,FALSE)),"")</f>
        <v/>
      </c>
      <c r="FX17" s="52" t="str">
        <f>IFERROR(VLOOKUP(FS17,LIB!$B$48:$R$82,9,FALSE),"")</f>
        <v/>
      </c>
    </row>
    <row r="18" spans="1:180" ht="15.6" customHeight="1" thickBot="1" x14ac:dyDescent="0.3">
      <c r="A18" s="34" t="str">
        <f>IFERROR(VLOOKUP(A17,SKV!$B$48:$AA$82,11,FALSE),"")</f>
        <v>P</v>
      </c>
      <c r="B18" s="269">
        <f>IFERROR(YEAR(VLOOKUP(A17,SKV!$B$48:$AA$82,2,FALSE)),"")</f>
        <v>1993</v>
      </c>
      <c r="C18" s="240"/>
      <c r="D18" s="35">
        <f ca="1">IFERROR(VLOOKUP(A17,SKV!$B$48:$AA$82,3,FALSE),"")</f>
        <v>27</v>
      </c>
      <c r="E18" s="270" t="str">
        <f>IFERROR(VLOOKUP(A17,SKV!$B$48:$AA$82,15,FALSE),"")</f>
        <v>169/65</v>
      </c>
      <c r="F18" s="271"/>
      <c r="G18" s="33"/>
      <c r="H18" s="33"/>
      <c r="I18" s="33"/>
      <c r="J18" s="33"/>
      <c r="K18" s="33"/>
      <c r="L18" s="33"/>
      <c r="M18" s="34" t="str">
        <f>IFERROR(VLOOKUP(M17,SKV!$B$48:$AA$82,11,FALSE),"")</f>
        <v>L</v>
      </c>
      <c r="N18" s="269">
        <f>IFERROR(YEAR(VLOOKUP(M17,SKV!$B$48:$AA$82,2,FALSE)),"")</f>
        <v>1999</v>
      </c>
      <c r="O18" s="240"/>
      <c r="P18" s="35">
        <f ca="1">IFERROR(VLOOKUP(M17,SKV!$B$48:$AA$82,3,FALSE),"")</f>
        <v>21</v>
      </c>
      <c r="Q18" s="270" t="str">
        <f>IFERROR(VLOOKUP(M17,SKV!$B$48:$AA$82,15,FALSE),"")</f>
        <v>181/82</v>
      </c>
      <c r="R18" s="271"/>
      <c r="S18" s="34" t="str">
        <f>IFERROR(VLOOKUP(S17,CHO!$B$48:$AA$82,11,FALSE),"")</f>
        <v>P</v>
      </c>
      <c r="T18" s="269">
        <f>IFERROR(YEAR(VLOOKUP(S17,CHO!$B$48:$AA$82,2,FALSE)),"")</f>
        <v>1992</v>
      </c>
      <c r="U18" s="240"/>
      <c r="V18" s="35">
        <f ca="1">IFERROR(VLOOKUP(S17,CHO!$B$48:$AA$82,3,FALSE),"")</f>
        <v>28</v>
      </c>
      <c r="W18" s="270" t="str">
        <f>IFERROR(VLOOKUP(S17,CHO!$B$48:$AA$82,15,FALSE),"")</f>
        <v>195/86</v>
      </c>
      <c r="X18" s="271"/>
      <c r="Y18" s="33"/>
      <c r="Z18" s="33"/>
      <c r="AA18" s="33"/>
      <c r="AB18" s="33"/>
      <c r="AC18" s="33"/>
      <c r="AD18" s="33"/>
      <c r="AE18" s="34" t="str">
        <f>IFERROR(VLOOKUP(AE17,CHO!$B$48:$AA$82,11,FALSE),"")</f>
        <v>L</v>
      </c>
      <c r="AF18" s="269">
        <f>IFERROR(YEAR(VLOOKUP(AE17,CHO!$B$48:$AA$82,2,FALSE)),"")</f>
        <v>2003</v>
      </c>
      <c r="AG18" s="240"/>
      <c r="AH18" s="35">
        <f ca="1">IFERROR(VLOOKUP(AE17,CHO!$B$48:$AA$82,3,FALSE),"")</f>
        <v>17</v>
      </c>
      <c r="AI18" s="270" t="str">
        <f>IFERROR(VLOOKUP(AE17,CHO!$B$48:$AA$82,15,FALSE),"")</f>
        <v>175/67</v>
      </c>
      <c r="AJ18" s="271"/>
      <c r="AK18" s="34" t="str">
        <f>IFERROR(VLOOKUP(AK17,VIT!$B$48:$R$82,11,FALSE),"")</f>
        <v/>
      </c>
      <c r="AL18" s="269" t="str">
        <f>IFERROR(YEAR(VLOOKUP(AK17,VIT!$B$48:$R$82,2,FALSE)),"")</f>
        <v/>
      </c>
      <c r="AM18" s="240"/>
      <c r="AN18" s="106" t="str">
        <f>IFERROR(VLOOKUP(AK17,VIT!$B$48:$R$82,3,FALSE),"")</f>
        <v/>
      </c>
      <c r="AO18" s="270" t="str">
        <f>IFERROR(VLOOKUP(AK17,VIT!$B$48:$R$82,15,FALSE),"")</f>
        <v/>
      </c>
      <c r="AP18" s="271"/>
      <c r="AQ18" s="33"/>
      <c r="AR18" s="33"/>
      <c r="AS18" s="33"/>
      <c r="AT18" s="33"/>
      <c r="AU18" s="33"/>
      <c r="AV18" s="33"/>
      <c r="AW18" s="34" t="str">
        <f>IFERROR(VLOOKUP(AW17,VIT!$B$48:$R$82,11,FALSE),"")</f>
        <v/>
      </c>
      <c r="AX18" s="269" t="str">
        <f>IFERROR(YEAR(VLOOKUP(AW17,VIT!$B$48:$R$82,2,FALSE)),"")</f>
        <v/>
      </c>
      <c r="AY18" s="240"/>
      <c r="AZ18" s="106" t="str">
        <f>IFERROR(VLOOKUP(AW17,VIT!$B$48:$R$82,3,FALSE),"")</f>
        <v/>
      </c>
      <c r="BA18" s="270" t="str">
        <f>IFERROR(VLOOKUP(AW17,VIT!$B$48:$R$82,15,FALSE),"")</f>
        <v/>
      </c>
      <c r="BB18" s="271"/>
      <c r="BC18" s="34" t="str">
        <f>IFERROR(VLOOKUP(BC17,MB!$B$48:$R$82,11,FALSE),"")</f>
        <v>P</v>
      </c>
      <c r="BD18" s="269">
        <f>IFERROR(YEAR(VLOOKUP(BC17,MB!$B$48:$R$82,2,FALSE)),"")</f>
        <v>1990</v>
      </c>
      <c r="BE18" s="240"/>
      <c r="BF18" s="108">
        <f ca="1">IFERROR(VLOOKUP(BC17,MB!$B$48:$R$82,3,FALSE),"")</f>
        <v>30</v>
      </c>
      <c r="BG18" s="270" t="str">
        <f>IFERROR(VLOOKUP(BC17,MB!$B$48:$R$82,15,FALSE),"")</f>
        <v>170/69</v>
      </c>
      <c r="BH18" s="271"/>
      <c r="BI18" s="33"/>
      <c r="BJ18" s="33"/>
      <c r="BK18" s="33"/>
      <c r="BL18" s="33"/>
      <c r="BM18" s="33"/>
      <c r="BN18" s="33"/>
      <c r="BO18" s="34" t="str">
        <f>IFERROR(VLOOKUP(BO17,MB!$B$48:$R$82,11,FALSE),"")</f>
        <v>L</v>
      </c>
      <c r="BP18" s="269">
        <f>IFERROR(YEAR(VLOOKUP(BO17,MB!$B$48:$R$82,2,FALSE)),"")</f>
        <v>1999</v>
      </c>
      <c r="BQ18" s="240"/>
      <c r="BR18" s="108">
        <f ca="1">IFERROR(VLOOKUP(BO17,MB!$B$48:$R$82,3,FALSE),"")</f>
        <v>21</v>
      </c>
      <c r="BS18" s="270" t="str">
        <f>IFERROR(VLOOKUP(BO17,MB!$B$48:$R$82,15,FALSE),"")</f>
        <v>186/78</v>
      </c>
      <c r="BT18" s="271"/>
      <c r="BU18" s="34" t="str">
        <f>IFERROR(VLOOKUP(BU17,TAT!$B$48:$R$82,11,FALSE),"")</f>
        <v/>
      </c>
      <c r="BV18" s="269" t="str">
        <f>IFERROR(YEAR(VLOOKUP(BU17,TAT!$B$48:$R$82,2,FALSE)),"")</f>
        <v/>
      </c>
      <c r="BW18" s="240"/>
      <c r="BX18" s="150" t="str">
        <f>IFERROR(VLOOKUP(BU17,TAT!$B$48:$R$82,3,FALSE),"")</f>
        <v/>
      </c>
      <c r="BY18" s="270" t="str">
        <f>IFERROR(VLOOKUP(BU17,TAT!$B$48:$R$82,15,FALSE),"")</f>
        <v/>
      </c>
      <c r="BZ18" s="271"/>
      <c r="CA18" s="33"/>
      <c r="CB18" s="33"/>
      <c r="CC18" s="33"/>
      <c r="CD18" s="33"/>
      <c r="CE18" s="33"/>
      <c r="CF18" s="33"/>
      <c r="CG18" s="34" t="str">
        <f>IFERROR(VLOOKUP(CG17,TAT!$B$48:$R$82,11,FALSE),"")</f>
        <v/>
      </c>
      <c r="CH18" s="269" t="str">
        <f>IFERROR(YEAR(VLOOKUP(CG17,TAT!$B$48:$R$82,2,FALSE)),"")</f>
        <v/>
      </c>
      <c r="CI18" s="240"/>
      <c r="CJ18" s="150" t="str">
        <f>IFERROR(VLOOKUP(CG17,TAT!$B$48:$R$82,3,FALSE),"")</f>
        <v/>
      </c>
      <c r="CK18" s="270" t="str">
        <f>IFERROR(VLOOKUP(CG17,TAT!$B$48:$R$82,15,FALSE),"")</f>
        <v/>
      </c>
      <c r="CL18" s="271"/>
      <c r="CM18" s="34" t="str">
        <f>IFERROR(VLOOKUP(CM17,OTR!$B$48:$R$82,11,FALSE),"")</f>
        <v>L</v>
      </c>
      <c r="CN18" s="269">
        <f>IFERROR(YEAR(VLOOKUP(CM17,OTR!$B$48:$R$82,2,FALSE)),"")</f>
        <v>2000</v>
      </c>
      <c r="CO18" s="240"/>
      <c r="CP18" s="150">
        <f ca="1">IFERROR(VLOOKUP(CM17,OTR!$B$48:$R$82,3,FALSE),"")</f>
        <v>20</v>
      </c>
      <c r="CQ18" s="270" t="str">
        <f>IFERROR(VLOOKUP(CM17,OTR!$B$48:$R$82,15,FALSE),"")</f>
        <v>185/77</v>
      </c>
      <c r="CR18" s="271"/>
      <c r="CS18" s="33"/>
      <c r="CT18" s="33"/>
      <c r="CU18" s="33"/>
      <c r="CV18" s="33"/>
      <c r="CW18" s="33"/>
      <c r="CX18" s="33"/>
      <c r="CY18" s="34" t="str">
        <f>IFERROR(VLOOKUP(CY17,OTR!$B$48:$R$82,11,FALSE),"")</f>
        <v>L</v>
      </c>
      <c r="CZ18" s="269">
        <f>IFERROR(YEAR(VLOOKUP(CY17,OTR!$B$48:$R$82,2,FALSE)),"")</f>
        <v>1997</v>
      </c>
      <c r="DA18" s="240"/>
      <c r="DB18" s="150">
        <f ca="1">IFERROR(VLOOKUP(CY17,OTR!$B$48:$R$82,3,FALSE),"")</f>
        <v>24</v>
      </c>
      <c r="DC18" s="270" t="str">
        <f>IFERROR(VLOOKUP(CY17,OTR!$B$48:$R$82,15,FALSE),"")</f>
        <v>185/78</v>
      </c>
      <c r="DD18" s="271"/>
      <c r="DE18" s="34" t="str">
        <f>IFERROR(VLOOKUP(DE17,BOH!$B$48:$R$82,11,FALSE),"")</f>
        <v>L</v>
      </c>
      <c r="DF18" s="269">
        <f>IFERROR(YEAR(VLOOKUP(DE17,BOH!$B$48:$R$82,2,FALSE)),"")</f>
        <v>1990</v>
      </c>
      <c r="DG18" s="240"/>
      <c r="DH18" s="165">
        <f ca="1">IFERROR(VLOOKUP(DE17,BOH!$B$48:$R$82,3,FALSE),"")</f>
        <v>30</v>
      </c>
      <c r="DI18" s="270" t="str">
        <f>IFERROR(VLOOKUP(DE17,BOH!$B$48:$R$82,15,FALSE),"")</f>
        <v>186/88</v>
      </c>
      <c r="DJ18" s="271"/>
      <c r="DK18" s="33"/>
      <c r="DL18" s="33"/>
      <c r="DM18" s="33"/>
      <c r="DN18" s="33"/>
      <c r="DO18" s="33"/>
      <c r="DP18" s="33"/>
      <c r="DQ18" s="34" t="str">
        <f>IFERROR(VLOOKUP(DQ17,BOH!$B$48:$R$82,11,FALSE),"")</f>
        <v>L</v>
      </c>
      <c r="DR18" s="269">
        <f>IFERROR(YEAR(VLOOKUP(DQ17,BOH!$B$48:$R$82,2,FALSE)),"")</f>
        <v>1998</v>
      </c>
      <c r="DS18" s="240"/>
      <c r="DT18" s="165">
        <f ca="1">IFERROR(VLOOKUP(DQ17,BOH!$B$48:$R$82,3,FALSE),"")</f>
        <v>22</v>
      </c>
      <c r="DU18" s="270" t="str">
        <f>IFERROR(VLOOKUP(DQ17,BOH!$B$48:$R$82,15,FALSE),"")</f>
        <v>183/73</v>
      </c>
      <c r="DV18" s="271"/>
      <c r="DW18" s="34" t="str">
        <f>IFERROR(VLOOKUP(DW17,SPA!$B$48:$R$82,11,FALSE),"")</f>
        <v/>
      </c>
      <c r="DX18" s="269" t="str">
        <f>IFERROR(YEAR(VLOOKUP(DW17,SPA!$B$48:$R$82,2,FALSE)),"")</f>
        <v/>
      </c>
      <c r="DY18" s="240"/>
      <c r="DZ18" s="165" t="str">
        <f>IFERROR(VLOOKUP(DW17,SPA!$B$48:$R$82,3,FALSE),"")</f>
        <v/>
      </c>
      <c r="EA18" s="270" t="str">
        <f>IFERROR(VLOOKUP(DW17,SPA!$B$48:$R$82,15,FALSE),"")</f>
        <v/>
      </c>
      <c r="EB18" s="271"/>
      <c r="EC18" s="33"/>
      <c r="ED18" s="33"/>
      <c r="EE18" s="33"/>
      <c r="EF18" s="33"/>
      <c r="EG18" s="33"/>
      <c r="EH18" s="33"/>
      <c r="EI18" s="34" t="str">
        <f>IFERROR(VLOOKUP(EI17,SPA!$B$48:$R$82,11,FALSE),"")</f>
        <v/>
      </c>
      <c r="EJ18" s="269" t="str">
        <f>IFERROR(YEAR(VLOOKUP(EI17,SPA!$B$48:$R$82,2,FALSE)),"")</f>
        <v/>
      </c>
      <c r="EK18" s="240"/>
      <c r="EL18" s="165" t="str">
        <f>IFERROR(VLOOKUP(EI17,SPA!$B$48:$R$82,3,FALSE),"")</f>
        <v/>
      </c>
      <c r="EM18" s="270" t="str">
        <f>IFERROR(VLOOKUP(EI17,SPA!$B$48:$R$82,15,FALSE),"")</f>
        <v/>
      </c>
      <c r="EN18" s="271"/>
      <c r="EO18" s="34" t="str">
        <f>IFERROR(VLOOKUP(EO17,CLP!$B$48:$R$82,11,FALSE),"")</f>
        <v/>
      </c>
      <c r="EP18" s="269" t="str">
        <f>IFERROR(YEAR(VLOOKUP(EO17,CLP!$B$48:$R$82,2,FALSE)),"")</f>
        <v/>
      </c>
      <c r="EQ18" s="240"/>
      <c r="ER18" s="204" t="str">
        <f>IFERROR(VLOOKUP(EO17,CLP!$B$48:$R$82,3,FALSE),"")</f>
        <v/>
      </c>
      <c r="ES18" s="270" t="str">
        <f>IFERROR(VLOOKUP(EO17,CLP!$B$48:$R$82,15,FALSE),"")</f>
        <v/>
      </c>
      <c r="ET18" s="271"/>
      <c r="EU18" s="33"/>
      <c r="EV18" s="33"/>
      <c r="EW18" s="33"/>
      <c r="EX18" s="33"/>
      <c r="EY18" s="33"/>
      <c r="EZ18" s="33"/>
      <c r="FA18" s="34" t="str">
        <f>IFERROR(VLOOKUP(FA17,CLP!$B$48:$R$82,11,FALSE),"")</f>
        <v/>
      </c>
      <c r="FB18" s="269" t="str">
        <f>IFERROR(YEAR(VLOOKUP(FA17,CLP!$B$48:$R$82,2,FALSE)),"")</f>
        <v/>
      </c>
      <c r="FC18" s="240"/>
      <c r="FD18" s="204" t="str">
        <f>IFERROR(VLOOKUP(FA17,CLP!$B$48:$R$82,3,FALSE),"")</f>
        <v/>
      </c>
      <c r="FE18" s="270" t="str">
        <f>IFERROR(VLOOKUP(FA17,CLP!$B$48:$R$82,15,FALSE),"")</f>
        <v/>
      </c>
      <c r="FF18" s="271"/>
      <c r="FG18" s="34" t="str">
        <f>IFERROR(VLOOKUP(FG17,LIB!$B$48:$R$82,11,FALSE),"")</f>
        <v/>
      </c>
      <c r="FH18" s="269" t="str">
        <f>IFERROR(YEAR(VLOOKUP(FG17,LIB!$B$48:$R$82,2,FALSE)),"")</f>
        <v/>
      </c>
      <c r="FI18" s="240"/>
      <c r="FJ18" s="204" t="str">
        <f>IFERROR(VLOOKUP(FG17,LIB!$B$48:$R$82,3,FALSE),"")</f>
        <v/>
      </c>
      <c r="FK18" s="270" t="str">
        <f>IFERROR(VLOOKUP(FG17,LIB!$B$48:$R$82,15,FALSE),"")</f>
        <v/>
      </c>
      <c r="FL18" s="271"/>
      <c r="FM18" s="33"/>
      <c r="FN18" s="33"/>
      <c r="FO18" s="33"/>
      <c r="FP18" s="33"/>
      <c r="FQ18" s="33"/>
      <c r="FR18" s="33"/>
      <c r="FS18" s="34" t="str">
        <f>IFERROR(VLOOKUP(FS17,LIB!$B$48:$R$82,11,FALSE),"")</f>
        <v/>
      </c>
      <c r="FT18" s="269" t="str">
        <f>IFERROR(YEAR(VLOOKUP(FS17,LIB!$B$48:$R$82,2,FALSE)),"")</f>
        <v/>
      </c>
      <c r="FU18" s="240"/>
      <c r="FV18" s="204" t="str">
        <f>IFERROR(VLOOKUP(FS17,LIB!$B$48:$R$82,3,FALSE),"")</f>
        <v/>
      </c>
      <c r="FW18" s="270" t="str">
        <f>IFERROR(VLOOKUP(FS17,LIB!$B$48:$R$82,15,FALSE),"")</f>
        <v/>
      </c>
      <c r="FX18" s="271"/>
    </row>
    <row r="19" spans="1:180" ht="15.6" customHeight="1" x14ac:dyDescent="0.25">
      <c r="A19" s="277" t="str">
        <f>IFERROR(VLOOKUP(A17,SKV!$B$2:$O$36,14,FALSE),"")</f>
        <v>23 OZ , 14 (8+6), -21 ±</v>
      </c>
      <c r="B19" s="278"/>
      <c r="C19" s="278"/>
      <c r="D19" s="279" t="str">
        <f>IFERROR(VLOOKUP(A17,SKV!$B$48:$AA$82,14,FALSE),"")</f>
        <v>106 OZ, 56 (32+24)</v>
      </c>
      <c r="E19" s="279"/>
      <c r="F19" s="280"/>
      <c r="G19" s="33"/>
      <c r="H19" s="281" t="str">
        <f>H$8</f>
        <v>SKV</v>
      </c>
      <c r="I19" s="281"/>
      <c r="J19" s="281"/>
      <c r="K19" s="281"/>
      <c r="L19" s="33"/>
      <c r="M19" s="277" t="str">
        <f>IFERROR(VLOOKUP(M17,SKV!$B$2:$O$36,14,FALSE),"")</f>
        <v>21 OZ , 1 (0+1), -10 ±</v>
      </c>
      <c r="N19" s="278"/>
      <c r="O19" s="278"/>
      <c r="P19" s="279" t="str">
        <f>IFERROR(VLOOKUP(M17,SKV!$B$48:$AA$82,14,FALSE),"")</f>
        <v>21 OZ, 1 (0+1)</v>
      </c>
      <c r="Q19" s="279"/>
      <c r="R19" s="280"/>
      <c r="S19" s="277" t="str">
        <f>IFERROR(VLOOKUP(S17,CHO!$B$2:$O$36,14,FALSE),"")</f>
        <v>21 OZ , 15 (5+10), +8 ±</v>
      </c>
      <c r="T19" s="278"/>
      <c r="U19" s="278"/>
      <c r="V19" s="279" t="str">
        <f>IFERROR(VLOOKUP(S17,CHO!$B$48:$AA$82,14,FALSE),"")</f>
        <v>203 OZ, 169 (87+82)</v>
      </c>
      <c r="W19" s="279"/>
      <c r="X19" s="280"/>
      <c r="Y19" s="33"/>
      <c r="Z19" s="281" t="str">
        <f>$Z$8</f>
        <v>CHO</v>
      </c>
      <c r="AA19" s="281"/>
      <c r="AB19" s="281"/>
      <c r="AC19" s="281"/>
      <c r="AD19" s="33"/>
      <c r="AE19" s="277" t="str">
        <f>IFERROR(VLOOKUP(AE17,CHO!$B$2:$O$36,14,FALSE),"")</f>
        <v>18 OZ , 6 (2+4), +7 ±</v>
      </c>
      <c r="AF19" s="278"/>
      <c r="AG19" s="278"/>
      <c r="AH19" s="279" t="str">
        <f>IFERROR(VLOOKUP(AE17,CHO!$B$48:$AA$82,14,FALSE),"")</f>
        <v>18 OZ, 6 (2+4)</v>
      </c>
      <c r="AI19" s="279"/>
      <c r="AJ19" s="280"/>
      <c r="AK19" s="277" t="str">
        <f>IFERROR(VLOOKUP(AK17,VIT!$B$2:$O$36,14,FALSE),"")</f>
        <v/>
      </c>
      <c r="AL19" s="278"/>
      <c r="AM19" s="278"/>
      <c r="AN19" s="279" t="str">
        <f>IFERROR(VLOOKUP(AK17,VIT!$B$48:$R$82,14,FALSE),"")</f>
        <v/>
      </c>
      <c r="AO19" s="279"/>
      <c r="AP19" s="280"/>
      <c r="AQ19" s="33"/>
      <c r="AR19" s="281" t="str">
        <f>AR$8</f>
        <v>VIT</v>
      </c>
      <c r="AS19" s="281"/>
      <c r="AT19" s="281"/>
      <c r="AU19" s="281"/>
      <c r="AV19" s="33"/>
      <c r="AW19" s="277" t="str">
        <f>IFERROR(VLOOKUP(AW17,VIT!$B$2:$O$36,14,FALSE),"")</f>
        <v/>
      </c>
      <c r="AX19" s="278"/>
      <c r="AY19" s="278"/>
      <c r="AZ19" s="279" t="str">
        <f>IFERROR(VLOOKUP(AW17,VIT!$B$48:$R$82,14,FALSE),"")</f>
        <v/>
      </c>
      <c r="BA19" s="279"/>
      <c r="BB19" s="280"/>
      <c r="BC19" s="277" t="str">
        <f>IFERROR(VLOOKUP(BC17,MB!$B$2:$O$36,14,FALSE),"")</f>
        <v>22 OZ , 18 (9+9), +44 ±</v>
      </c>
      <c r="BD19" s="278"/>
      <c r="BE19" s="278"/>
      <c r="BF19" s="279" t="str">
        <f>IFERROR(VLOOKUP(BC17,MB!$B$48:$R$82,14,FALSE),"")</f>
        <v>179 OZ, 178 (85+93)</v>
      </c>
      <c r="BG19" s="279"/>
      <c r="BH19" s="280"/>
      <c r="BI19" s="33"/>
      <c r="BJ19" s="281" t="str">
        <f>BJ$8</f>
        <v>MB</v>
      </c>
      <c r="BK19" s="281"/>
      <c r="BL19" s="281"/>
      <c r="BM19" s="281"/>
      <c r="BN19" s="33"/>
      <c r="BO19" s="277" t="str">
        <f>IFERROR(VLOOKUP(BO17,MB!$B$2:$O$36,14,FALSE),"")</f>
        <v>22 OZ , 7 (3+4), +28 ±</v>
      </c>
      <c r="BP19" s="278"/>
      <c r="BQ19" s="278"/>
      <c r="BR19" s="279" t="str">
        <f>IFERROR(VLOOKUP(BO17,MB!$B$48:$R$82,14,FALSE),"")</f>
        <v>118 OZ, 43 (18+25)</v>
      </c>
      <c r="BS19" s="279"/>
      <c r="BT19" s="280"/>
      <c r="BU19" s="277" t="str">
        <f>IFERROR(VLOOKUP(BU17,TAT!$B$2:$O$36,14,FALSE),"")</f>
        <v/>
      </c>
      <c r="BV19" s="278"/>
      <c r="BW19" s="278"/>
      <c r="BX19" s="279" t="str">
        <f>IFERROR(VLOOKUP(BU17,TAT!$B$48:$R$82,14,FALSE),"")</f>
        <v/>
      </c>
      <c r="BY19" s="279"/>
      <c r="BZ19" s="280"/>
      <c r="CA19" s="33"/>
      <c r="CB19" s="281" t="str">
        <f>CB$8</f>
        <v>TAT</v>
      </c>
      <c r="CC19" s="281"/>
      <c r="CD19" s="281"/>
      <c r="CE19" s="281"/>
      <c r="CF19" s="33"/>
      <c r="CG19" s="277" t="str">
        <f>IFERROR(VLOOKUP(CG17,TAT!$B$2:$O$36,14,FALSE),"")</f>
        <v/>
      </c>
      <c r="CH19" s="278"/>
      <c r="CI19" s="278"/>
      <c r="CJ19" s="279" t="str">
        <f>IFERROR(VLOOKUP(CG17,TAT!$B$48:$R$82,14,FALSE),"")</f>
        <v/>
      </c>
      <c r="CK19" s="279"/>
      <c r="CL19" s="280"/>
      <c r="CM19" s="277" t="str">
        <f>IFERROR(VLOOKUP(CM17,OTR!$B$2:$O$36,14,FALSE),"")</f>
        <v>17 OZ , 12 (5+7), -22 ±</v>
      </c>
      <c r="CN19" s="278"/>
      <c r="CO19" s="278"/>
      <c r="CP19" s="279" t="str">
        <f>IFERROR(VLOOKUP(CM17,OTR!$B$48:$R$82,14,FALSE),"")</f>
        <v>88 OZ, 62 (34+28)</v>
      </c>
      <c r="CQ19" s="279"/>
      <c r="CR19" s="280"/>
      <c r="CS19" s="33"/>
      <c r="CT19" s="281" t="str">
        <f>CT$8</f>
        <v>OTR</v>
      </c>
      <c r="CU19" s="281"/>
      <c r="CV19" s="281"/>
      <c r="CW19" s="281"/>
      <c r="CX19" s="33"/>
      <c r="CY19" s="277" t="str">
        <f>IFERROR(VLOOKUP(CY17,OTR!$B$2:$O$36,14,FALSE),"")</f>
        <v>23 OZ , 10 (5+5), -12 ±</v>
      </c>
      <c r="CZ19" s="278"/>
      <c r="DA19" s="278"/>
      <c r="DB19" s="279" t="str">
        <f>IFERROR(VLOOKUP(CY17,OTR!$B$48:$R$82,14,FALSE),"")</f>
        <v>118 OZ, 44 (25+19)</v>
      </c>
      <c r="DC19" s="279"/>
      <c r="DD19" s="280"/>
      <c r="DE19" s="277" t="str">
        <f>IFERROR(VLOOKUP(DE17,BOH!$B$2:$O$36,14,FALSE),"")</f>
        <v>23 OZ , 11 (5+6), +3 ±</v>
      </c>
      <c r="DF19" s="278"/>
      <c r="DG19" s="278"/>
      <c r="DH19" s="279" t="str">
        <f>IFERROR(VLOOKUP(DE17,BOH!$B$48:$R$82,14,FALSE),"")</f>
        <v>273 OZ, 81 (28+53)</v>
      </c>
      <c r="DI19" s="279"/>
      <c r="DJ19" s="280"/>
      <c r="DK19" s="33"/>
      <c r="DL19" s="281" t="str">
        <f>DL$8</f>
        <v>BOH</v>
      </c>
      <c r="DM19" s="281"/>
      <c r="DN19" s="281"/>
      <c r="DO19" s="281"/>
      <c r="DP19" s="33"/>
      <c r="DQ19" s="277" t="str">
        <f>IFERROR(VLOOKUP(DQ17,BOH!$B$2:$O$36,14,FALSE),"")</f>
        <v>23 OZ , 7 (2+5), +1 ±</v>
      </c>
      <c r="DR19" s="278"/>
      <c r="DS19" s="278"/>
      <c r="DT19" s="279" t="str">
        <f>IFERROR(VLOOKUP(DQ17,BOH!$B$48:$R$82,14,FALSE),"")</f>
        <v>141 OZ, 53 (24+29)</v>
      </c>
      <c r="DU19" s="279"/>
      <c r="DV19" s="280"/>
      <c r="DW19" s="277" t="str">
        <f>IFERROR(VLOOKUP(DW17,SPA!$B$2:$O$36,14,FALSE),"")</f>
        <v/>
      </c>
      <c r="DX19" s="278"/>
      <c r="DY19" s="278"/>
      <c r="DZ19" s="279" t="str">
        <f>IFERROR(VLOOKUP(DW17,SPA!$B$48:$R$82,14,FALSE),"")</f>
        <v/>
      </c>
      <c r="EA19" s="279"/>
      <c r="EB19" s="280"/>
      <c r="EC19" s="33"/>
      <c r="ED19" s="281" t="str">
        <f>ED$8</f>
        <v>SPA</v>
      </c>
      <c r="EE19" s="281"/>
      <c r="EF19" s="281"/>
      <c r="EG19" s="281"/>
      <c r="EH19" s="33"/>
      <c r="EI19" s="277" t="str">
        <f>IFERROR(VLOOKUP(EI17,SPA!$B$2:$O$36,14,FALSE),"")</f>
        <v/>
      </c>
      <c r="EJ19" s="278"/>
      <c r="EK19" s="278"/>
      <c r="EL19" s="279" t="str">
        <f>IFERROR(VLOOKUP(EI17,SPA!$B$48:$R$82,14,FALSE),"")</f>
        <v/>
      </c>
      <c r="EM19" s="279"/>
      <c r="EN19" s="280"/>
      <c r="EO19" s="277" t="str">
        <f>IFERROR(VLOOKUP(EO17,CLP!$B$2:$O$36,14,FALSE),"")</f>
        <v/>
      </c>
      <c r="EP19" s="278"/>
      <c r="EQ19" s="278"/>
      <c r="ER19" s="279" t="str">
        <f>IFERROR(VLOOKUP(EO17,CLP!$B$48:$R$82,14,FALSE),"")</f>
        <v/>
      </c>
      <c r="ES19" s="279"/>
      <c r="ET19" s="280"/>
      <c r="EU19" s="33"/>
      <c r="EV19" s="281" t="str">
        <f>EV$8</f>
        <v>CLP</v>
      </c>
      <c r="EW19" s="281"/>
      <c r="EX19" s="281"/>
      <c r="EY19" s="281"/>
      <c r="EZ19" s="33"/>
      <c r="FA19" s="277" t="str">
        <f>IFERROR(VLOOKUP(FA17,CLP!$B$2:$O$36,14,FALSE),"")</f>
        <v/>
      </c>
      <c r="FB19" s="278"/>
      <c r="FC19" s="278"/>
      <c r="FD19" s="279" t="str">
        <f>IFERROR(VLOOKUP(FA17,CLP!$B$48:$R$82,14,FALSE),"")</f>
        <v/>
      </c>
      <c r="FE19" s="279"/>
      <c r="FF19" s="280"/>
      <c r="FG19" s="277" t="str">
        <f>IFERROR(VLOOKUP(FG17,LIB!$B$2:$O$36,14,FALSE),"")</f>
        <v/>
      </c>
      <c r="FH19" s="278"/>
      <c r="FI19" s="278"/>
      <c r="FJ19" s="279" t="str">
        <f>IFERROR(VLOOKUP(FG17,LIB!$B$48:$R$82,14,FALSE),"")</f>
        <v/>
      </c>
      <c r="FK19" s="279"/>
      <c r="FL19" s="280"/>
      <c r="FM19" s="33"/>
      <c r="FN19" s="281" t="str">
        <f>FN$8</f>
        <v>LIB</v>
      </c>
      <c r="FO19" s="281"/>
      <c r="FP19" s="281"/>
      <c r="FQ19" s="281"/>
      <c r="FR19" s="33"/>
      <c r="FS19" s="277" t="str">
        <f>IFERROR(VLOOKUP(FS17,LIB!$B$2:$O$36,14,FALSE),"")</f>
        <v/>
      </c>
      <c r="FT19" s="278"/>
      <c r="FU19" s="278"/>
      <c r="FV19" s="279" t="str">
        <f>IFERROR(VLOOKUP(FS17,LIB!$B$48:$R$82,14,FALSE),"")</f>
        <v/>
      </c>
      <c r="FW19" s="279"/>
      <c r="FX19" s="280"/>
    </row>
    <row r="20" spans="1:180" ht="15.6" customHeight="1" thickBot="1" x14ac:dyDescent="0.3">
      <c r="A20" s="243" t="str">
        <f>IFERROR(VLOOKUP(A17,SKV!$B$48:$AA$82,16,FALSE),"")</f>
        <v>Lhokamo</v>
      </c>
      <c r="B20" s="244"/>
      <c r="C20" s="245"/>
      <c r="D20" s="246">
        <f>IFERROR(VLOOKUP(A17,SKV!$B$48:$AA$82,17,FALSE),"")</f>
        <v>2004</v>
      </c>
      <c r="E20" s="247"/>
      <c r="F20" s="124">
        <f>IFERROR(VLOOKUP(A17,SKV!$B$48:$AA$82,8,FALSE),"")</f>
        <v>6</v>
      </c>
      <c r="G20" s="33"/>
      <c r="H20" s="281"/>
      <c r="I20" s="281"/>
      <c r="J20" s="281"/>
      <c r="K20" s="281"/>
      <c r="L20" s="33"/>
      <c r="M20" s="243" t="str">
        <f>IFERROR(VLOOKUP(M17,SKV!$B$48:$AA$82,16,FALSE),"")</f>
        <v>Bohemians</v>
      </c>
      <c r="N20" s="244"/>
      <c r="O20" s="245"/>
      <c r="P20" s="246">
        <f>IFERROR(VLOOKUP(M17,SKV!$B$48:$AA$82,17,FALSE),"")</f>
        <v>2009</v>
      </c>
      <c r="Q20" s="247"/>
      <c r="R20" s="124">
        <f>IFERROR(VLOOKUP(M17,SKV!$B$48:$AA$82,8,FALSE),"")</f>
        <v>1</v>
      </c>
      <c r="S20" s="243" t="str">
        <f>IFERROR(VLOOKUP(S17,CHO!$B$48:$AA$82,16,FALSE),"")</f>
        <v>SK JeMoBu</v>
      </c>
      <c r="T20" s="244"/>
      <c r="U20" s="245"/>
      <c r="V20" s="246">
        <f>IFERROR(VLOOKUP(S17,CHO!$B$48:$AA$82,17,FALSE),"")</f>
        <v>2002</v>
      </c>
      <c r="W20" s="247"/>
      <c r="X20" s="124">
        <f>IFERROR(VLOOKUP(S17,CHO!$B$48:$AA$82,8,FALSE),"")</f>
        <v>10</v>
      </c>
      <c r="Y20" s="33"/>
      <c r="Z20" s="281"/>
      <c r="AA20" s="281"/>
      <c r="AB20" s="281"/>
      <c r="AC20" s="281"/>
      <c r="AD20" s="33"/>
      <c r="AE20" s="243" t="str">
        <f>IFERROR(VLOOKUP(AE17,CHO!$B$48:$AA$82,16,FALSE),"")</f>
        <v>SK Dvojka Praha</v>
      </c>
      <c r="AF20" s="244"/>
      <c r="AG20" s="245"/>
      <c r="AH20" s="246">
        <f>IFERROR(VLOOKUP(AE17,CHO!$B$48:$AA$82,17,FALSE),"")</f>
        <v>2010</v>
      </c>
      <c r="AI20" s="247"/>
      <c r="AJ20" s="124">
        <f>IFERROR(VLOOKUP(AE17,CHO!$B$48:$AA$82,8,FALSE),"")</f>
        <v>1</v>
      </c>
      <c r="AK20" s="243" t="str">
        <f>IFERROR(VLOOKUP(AK17,VIT!$B$48:$R$82,16,FALSE),"")</f>
        <v/>
      </c>
      <c r="AL20" s="244"/>
      <c r="AM20" s="245"/>
      <c r="AN20" s="246" t="str">
        <f>IFERROR(VLOOKUP(AK17,VIT!$B$48:$R$82,17,FALSE),"")</f>
        <v/>
      </c>
      <c r="AO20" s="247"/>
      <c r="AP20" s="124" t="str">
        <f>IFERROR(VLOOKUP(AK17,VIT!$B$48:$R$82,8,FALSE),"")</f>
        <v/>
      </c>
      <c r="AQ20" s="33"/>
      <c r="AR20" s="281"/>
      <c r="AS20" s="281"/>
      <c r="AT20" s="281"/>
      <c r="AU20" s="281"/>
      <c r="AV20" s="33"/>
      <c r="AW20" s="243" t="str">
        <f>IFERROR(VLOOKUP(AW17,VIT!$B$48:$R$82,16,FALSE),"")</f>
        <v/>
      </c>
      <c r="AX20" s="244"/>
      <c r="AY20" s="245"/>
      <c r="AZ20" s="246" t="str">
        <f>IFERROR(VLOOKUP(AW17,VIT!$B$48:$R$82,17,FALSE),"")</f>
        <v/>
      </c>
      <c r="BA20" s="247"/>
      <c r="BB20" s="124" t="str">
        <f>IFERROR(VLOOKUP(AW17,VIT!$B$48:$R$82,8,FALSE),"")</f>
        <v/>
      </c>
      <c r="BC20" s="243" t="str">
        <f>IFERROR(VLOOKUP(BC17,MB!$B$48:$R$82,16,FALSE),"")</f>
        <v>1. SC Vítkovice</v>
      </c>
      <c r="BD20" s="244"/>
      <c r="BE20" s="245"/>
      <c r="BF20" s="246">
        <f>IFERROR(VLOOKUP(BC17,MB!$B$48:$R$82,17,FALSE),"")</f>
        <v>2001</v>
      </c>
      <c r="BG20" s="247"/>
      <c r="BH20" s="124">
        <f>IFERROR(VLOOKUP(BC17,MB!$B$48:$R$82,8,FALSE),"")</f>
        <v>9</v>
      </c>
      <c r="BI20" s="33"/>
      <c r="BJ20" s="281"/>
      <c r="BK20" s="281"/>
      <c r="BL20" s="281"/>
      <c r="BM20" s="281"/>
      <c r="BN20" s="33"/>
      <c r="BO20" s="243" t="str">
        <f>IFERROR(VLOOKUP(BO17,MB!$B$48:$R$82,16,FALSE),"")</f>
        <v>Mladá Boleslav</v>
      </c>
      <c r="BP20" s="244"/>
      <c r="BQ20" s="245"/>
      <c r="BR20" s="246">
        <f>IFERROR(VLOOKUP(BO17,MB!$B$48:$R$82,17,FALSE),"")</f>
        <v>2009</v>
      </c>
      <c r="BS20" s="247"/>
      <c r="BT20" s="124">
        <f>IFERROR(VLOOKUP(BO17,MB!$B$48:$R$82,8,FALSE),"")</f>
        <v>5</v>
      </c>
      <c r="BU20" s="243" t="str">
        <f>IFERROR(VLOOKUP(BU17,TAT!$B$48:$R$82,16,FALSE),"")</f>
        <v/>
      </c>
      <c r="BV20" s="244"/>
      <c r="BW20" s="245"/>
      <c r="BX20" s="246" t="str">
        <f>IFERROR(VLOOKUP(BU17,TAT!$B$48:$R$82,17,FALSE),"")</f>
        <v/>
      </c>
      <c r="BY20" s="247"/>
      <c r="BZ20" s="124" t="str">
        <f>IFERROR(VLOOKUP(BU17,TAT!$B$48:$R$82,8,FALSE),"")</f>
        <v/>
      </c>
      <c r="CA20" s="33"/>
      <c r="CB20" s="281"/>
      <c r="CC20" s="281"/>
      <c r="CD20" s="281"/>
      <c r="CE20" s="281"/>
      <c r="CF20" s="33"/>
      <c r="CG20" s="243" t="str">
        <f>IFERROR(VLOOKUP(CG17,TAT!$B$48:$R$82,16,FALSE),"")</f>
        <v/>
      </c>
      <c r="CH20" s="244"/>
      <c r="CI20" s="245"/>
      <c r="CJ20" s="246" t="str">
        <f>IFERROR(VLOOKUP(CG17,TAT!$B$48:$R$82,17,FALSE),"")</f>
        <v/>
      </c>
      <c r="CK20" s="247"/>
      <c r="CL20" s="124" t="str">
        <f>IFERROR(VLOOKUP(CG17,TAT!$B$48:$R$82,8,FALSE),"")</f>
        <v/>
      </c>
      <c r="CM20" s="243" t="str">
        <f>IFERROR(VLOOKUP(CM17,OTR!$B$48:$R$82,16,FALSE),"")</f>
        <v>Bulldogs Brno</v>
      </c>
      <c r="CN20" s="244"/>
      <c r="CO20" s="245"/>
      <c r="CP20" s="246">
        <f>IFERROR(VLOOKUP(CM17,OTR!$B$48:$R$82,17,FALSE),"")</f>
        <v>2008</v>
      </c>
      <c r="CQ20" s="247"/>
      <c r="CR20" s="124">
        <f>IFERROR(VLOOKUP(CM17,OTR!$B$48:$R$82,8,FALSE),"")</f>
        <v>4</v>
      </c>
      <c r="CS20" s="33"/>
      <c r="CT20" s="281"/>
      <c r="CU20" s="281"/>
      <c r="CV20" s="281"/>
      <c r="CW20" s="281"/>
      <c r="CX20" s="33"/>
      <c r="CY20" s="243" t="str">
        <f>IFERROR(VLOOKUP(CY17,OTR!$B$48:$R$82,16,FALSE),"")</f>
        <v>Z.F.K. Petrovice</v>
      </c>
      <c r="CZ20" s="244"/>
      <c r="DA20" s="245"/>
      <c r="DB20" s="246">
        <f>IFERROR(VLOOKUP(CY17,OTR!$B$48:$R$82,17,FALSE),"")</f>
        <v>2007</v>
      </c>
      <c r="DC20" s="247"/>
      <c r="DD20" s="124">
        <f>IFERROR(VLOOKUP(CY17,OTR!$B$48:$R$82,8,FALSE),"")</f>
        <v>5</v>
      </c>
      <c r="DE20" s="243" t="str">
        <f>IFERROR(VLOOKUP(DE17,BOH!$B$48:$R$82,16,FALSE),"")</f>
        <v>1. SC Ostrava</v>
      </c>
      <c r="DF20" s="244"/>
      <c r="DG20" s="245"/>
      <c r="DH20" s="246" t="str">
        <f>IFERROR(VLOOKUP(DE17,BOH!$B$48:$R$82,17,FALSE),"")</f>
        <v>-</v>
      </c>
      <c r="DI20" s="247"/>
      <c r="DJ20" s="124">
        <f>IFERROR(VLOOKUP(DE17,BOH!$B$48:$R$82,8,FALSE),"")</f>
        <v>13</v>
      </c>
      <c r="DK20" s="33"/>
      <c r="DL20" s="281"/>
      <c r="DM20" s="281"/>
      <c r="DN20" s="281"/>
      <c r="DO20" s="281"/>
      <c r="DP20" s="33"/>
      <c r="DQ20" s="243" t="str">
        <f>IFERROR(VLOOKUP(DQ17,BOH!$B$48:$R$82,16,FALSE),"")</f>
        <v>FbŠ Bohemians</v>
      </c>
      <c r="DR20" s="244"/>
      <c r="DS20" s="245"/>
      <c r="DT20" s="246">
        <f>IFERROR(VLOOKUP(DQ17,BOH!$B$48:$R$82,17,FALSE),"")</f>
        <v>2006</v>
      </c>
      <c r="DU20" s="247"/>
      <c r="DV20" s="124">
        <f>IFERROR(VLOOKUP(DQ17,BOH!$B$48:$R$82,8,FALSE),"")</f>
        <v>6</v>
      </c>
      <c r="DW20" s="243" t="str">
        <f>IFERROR(VLOOKUP(DW17,SPA!$B$48:$R$82,16,FALSE),"")</f>
        <v/>
      </c>
      <c r="DX20" s="244"/>
      <c r="DY20" s="245"/>
      <c r="DZ20" s="246" t="str">
        <f>IFERROR(VLOOKUP(DW17,SPA!$B$48:$R$82,17,FALSE),"")</f>
        <v/>
      </c>
      <c r="EA20" s="247"/>
      <c r="EB20" s="124" t="str">
        <f>IFERROR(VLOOKUP(DW17,SPA!$B$48:$R$82,8,FALSE),"")</f>
        <v/>
      </c>
      <c r="EC20" s="33"/>
      <c r="ED20" s="281"/>
      <c r="EE20" s="281"/>
      <c r="EF20" s="281"/>
      <c r="EG20" s="281"/>
      <c r="EH20" s="33"/>
      <c r="EI20" s="243" t="str">
        <f>IFERROR(VLOOKUP(EI17,SPA!$B$48:$R$82,16,FALSE),"")</f>
        <v/>
      </c>
      <c r="EJ20" s="244"/>
      <c r="EK20" s="245"/>
      <c r="EL20" s="246" t="str">
        <f>IFERROR(VLOOKUP(EI17,SPA!$B$48:$R$82,17,FALSE),"")</f>
        <v/>
      </c>
      <c r="EM20" s="247"/>
      <c r="EN20" s="124" t="str">
        <f>IFERROR(VLOOKUP(EI17,SPA!$B$48:$R$82,8,FALSE),"")</f>
        <v/>
      </c>
      <c r="EO20" s="243" t="str">
        <f>IFERROR(VLOOKUP(EO17,CLP!$B$48:$R$82,16,FALSE),"")</f>
        <v/>
      </c>
      <c r="EP20" s="244"/>
      <c r="EQ20" s="245"/>
      <c r="ER20" s="246" t="str">
        <f>IFERROR(VLOOKUP(EO17,CLP!$B$48:$R$82,17,FALSE),"")</f>
        <v/>
      </c>
      <c r="ES20" s="247"/>
      <c r="ET20" s="124" t="str">
        <f>IFERROR(VLOOKUP(EO17,CLP!$B$48:$R$82,8,FALSE),"")</f>
        <v/>
      </c>
      <c r="EU20" s="33"/>
      <c r="EV20" s="281"/>
      <c r="EW20" s="281"/>
      <c r="EX20" s="281"/>
      <c r="EY20" s="281"/>
      <c r="EZ20" s="33"/>
      <c r="FA20" s="243" t="str">
        <f>IFERROR(VLOOKUP(FA17,CLP!$B$48:$R$82,16,FALSE),"")</f>
        <v/>
      </c>
      <c r="FB20" s="244"/>
      <c r="FC20" s="245"/>
      <c r="FD20" s="246" t="str">
        <f>IFERROR(VLOOKUP(FA17,CLP!$B$48:$R$82,17,FALSE),"")</f>
        <v/>
      </c>
      <c r="FE20" s="247"/>
      <c r="FF20" s="124" t="str">
        <f>IFERROR(VLOOKUP(FA17,CLP!$B$48:$R$82,8,FALSE),"")</f>
        <v/>
      </c>
      <c r="FG20" s="243" t="str">
        <f>IFERROR(VLOOKUP(FG17,LIB!$B$48:$R$82,16,FALSE),"")</f>
        <v/>
      </c>
      <c r="FH20" s="244"/>
      <c r="FI20" s="245"/>
      <c r="FJ20" s="246" t="str">
        <f>IFERROR(VLOOKUP(FG17,LIB!$B$48:$R$82,17,FALSE),"")</f>
        <v/>
      </c>
      <c r="FK20" s="247"/>
      <c r="FL20" s="124" t="str">
        <f>IFERROR(VLOOKUP(FG17,LIB!$B$48:$R$82,8,FALSE),"")</f>
        <v/>
      </c>
      <c r="FM20" s="33"/>
      <c r="FN20" s="281"/>
      <c r="FO20" s="281"/>
      <c r="FP20" s="281"/>
      <c r="FQ20" s="281"/>
      <c r="FR20" s="33"/>
      <c r="FS20" s="243" t="str">
        <f>IFERROR(VLOOKUP(FS17,LIB!$B$48:$R$82,16,FALSE),"")</f>
        <v/>
      </c>
      <c r="FT20" s="244"/>
      <c r="FU20" s="245"/>
      <c r="FV20" s="246" t="str">
        <f>IFERROR(VLOOKUP(FS17,LIB!$B$48:$R$82,17,FALSE),"")</f>
        <v/>
      </c>
      <c r="FW20" s="247"/>
      <c r="FX20" s="124" t="str">
        <f>IFERROR(VLOOKUP(FS17,LIB!$B$48:$R$82,8,FALSE),"")</f>
        <v/>
      </c>
    </row>
    <row r="21" spans="1:180"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row>
    <row r="22" spans="1:180"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row>
    <row r="23" spans="1:180" ht="15.6" customHeight="1" thickTop="1" thickBot="1" x14ac:dyDescent="0.3">
      <c r="A23" s="266" t="s">
        <v>281</v>
      </c>
      <c r="B23" s="267"/>
      <c r="C23" s="267"/>
      <c r="D23" s="267"/>
      <c r="E23" s="32" t="str">
        <f>IFERROR(IF(VLOOKUP(A23,SKV!$B$48:$AA$82,10,FALSE)=0,"",VLOOKUP(A23,SKV!$B$48:$AA$82,10,FALSE)),"")</f>
        <v/>
      </c>
      <c r="F23" s="52">
        <f>IFERROR(VLOOKUP(A23,SKV!$B$48:$AA$82,9,FALSE),"")</f>
        <v>89</v>
      </c>
      <c r="G23" s="33"/>
      <c r="H23" s="282" t="s">
        <v>156</v>
      </c>
      <c r="I23" s="282"/>
      <c r="J23" s="282"/>
      <c r="K23" s="282"/>
      <c r="L23" s="33"/>
      <c r="M23" s="266" t="s">
        <v>31</v>
      </c>
      <c r="N23" s="267"/>
      <c r="O23" s="267"/>
      <c r="P23" s="267"/>
      <c r="Q23" s="32" t="str">
        <f>IFERROR(IF(VLOOKUP(M23,SKV!$B$48:$AA$82,10,FALSE)=0,"",VLOOKUP(M23,SKV!$B$48:$AA$82,10,FALSE)),"")</f>
        <v/>
      </c>
      <c r="R23" s="52">
        <f>IFERROR(VLOOKUP(M23,SKV!$B$48:$AA$82,9,FALSE),"")</f>
        <v>32</v>
      </c>
      <c r="S23" s="266" t="s">
        <v>171</v>
      </c>
      <c r="T23" s="267"/>
      <c r="U23" s="267"/>
      <c r="V23" s="267"/>
      <c r="W23" s="32" t="str">
        <f>IFERROR(IF(VLOOKUP(S23,CHO!$B$48:$AA$82,10,FALSE)=0,"",VLOOKUP(S23,CHO!$B$48:$AA$82,10,FALSE)),"")</f>
        <v/>
      </c>
      <c r="X23" s="52">
        <f>IFERROR(VLOOKUP(S23,CHO!$B$48:$AA$82,9,FALSE),"")</f>
        <v>27</v>
      </c>
      <c r="Y23" s="33"/>
      <c r="Z23" s="282" t="s">
        <v>156</v>
      </c>
      <c r="AA23" s="282"/>
      <c r="AB23" s="282"/>
      <c r="AC23" s="282"/>
      <c r="AD23" s="33"/>
      <c r="AE23" s="266" t="s">
        <v>169</v>
      </c>
      <c r="AF23" s="267"/>
      <c r="AG23" s="267"/>
      <c r="AH23" s="267"/>
      <c r="AI23" s="32" t="str">
        <f>IFERROR(IF(VLOOKUP(AE23,CHO!$B$48:$AA$82,10,FALSE)=0,"",VLOOKUP(AE23,CHO!$B$48:$AA$82,10,FALSE)),"")</f>
        <v/>
      </c>
      <c r="AJ23" s="52">
        <f>IFERROR(VLOOKUP(AE23,CHO!$B$48:$AA$82,9,FALSE),"")</f>
        <v>77</v>
      </c>
      <c r="AK23" s="266"/>
      <c r="AL23" s="267"/>
      <c r="AM23" s="267"/>
      <c r="AN23" s="267"/>
      <c r="AO23" s="32" t="str">
        <f>IFERROR(IF(VLOOKUP(AK23,VIT!$B$48:$R$82,10,FALSE)=0,"",VLOOKUP(AK23,VIT!$B$48:$R$82,10,FALSE)),"")</f>
        <v/>
      </c>
      <c r="AP23" s="52" t="str">
        <f>IFERROR(VLOOKUP(AK23,VIT!$B$48:$R$82,9,FALSE),"")</f>
        <v/>
      </c>
      <c r="AQ23" s="33"/>
      <c r="AR23" s="282" t="s">
        <v>156</v>
      </c>
      <c r="AS23" s="282"/>
      <c r="AT23" s="282"/>
      <c r="AU23" s="282"/>
      <c r="AV23" s="33"/>
      <c r="AW23" s="266"/>
      <c r="AX23" s="267"/>
      <c r="AY23" s="267"/>
      <c r="AZ23" s="267"/>
      <c r="BA23" s="32" t="str">
        <f>IFERROR(IF(VLOOKUP(AW23,VIT!$B$48:$R$82,10,FALSE)=0,"",VLOOKUP(AW23,VIT!$B$48:$R$82,10,FALSE)),"")</f>
        <v/>
      </c>
      <c r="BB23" s="52" t="str">
        <f>IFERROR(VLOOKUP(AW23,VIT!$B$48:$R$82,9,FALSE),"")</f>
        <v/>
      </c>
      <c r="BC23" s="266" t="s">
        <v>300</v>
      </c>
      <c r="BD23" s="267"/>
      <c r="BE23" s="267"/>
      <c r="BF23" s="267"/>
      <c r="BG23" s="32" t="str">
        <f>IFERROR(IF(VLOOKUP(BC23,MB!$B$48:$R$82,10,FALSE)=0,"",VLOOKUP(BC23,MB!$B$48:$R$82,10,FALSE)),"")</f>
        <v/>
      </c>
      <c r="BH23" s="52">
        <f>IFERROR(VLOOKUP(BC23,MB!$B$48:$R$82,9,FALSE),"")</f>
        <v>16</v>
      </c>
      <c r="BI23" s="33"/>
      <c r="BJ23" s="282" t="s">
        <v>156</v>
      </c>
      <c r="BK23" s="282"/>
      <c r="BL23" s="282"/>
      <c r="BM23" s="282"/>
      <c r="BN23" s="33"/>
      <c r="BO23" s="266" t="s">
        <v>297</v>
      </c>
      <c r="BP23" s="267"/>
      <c r="BQ23" s="267"/>
      <c r="BR23" s="267"/>
      <c r="BS23" s="32" t="str">
        <f>IFERROR(IF(VLOOKUP(BO23,MB!$B$48:$R$82,10,FALSE)=0,"",VLOOKUP(BO23,MB!$B$48:$R$82,10,FALSE)),"")</f>
        <v/>
      </c>
      <c r="BT23" s="52">
        <f>IFERROR(VLOOKUP(BO23,MB!$B$48:$R$82,9,FALSE),"")</f>
        <v>14</v>
      </c>
      <c r="BU23" s="266"/>
      <c r="BV23" s="267"/>
      <c r="BW23" s="267"/>
      <c r="BX23" s="267"/>
      <c r="BY23" s="32" t="str">
        <f>IFERROR(IF(VLOOKUP(BU23,TAT!$B$48:$R$82,10,FALSE)=0,"",VLOOKUP(BU23,TAT!$B$48:$R$82,10,FALSE)),"")</f>
        <v/>
      </c>
      <c r="BZ23" s="52" t="str">
        <f>IFERROR(VLOOKUP(BU23,TAT!$B$48:$R$82,9,FALSE),"")</f>
        <v/>
      </c>
      <c r="CA23" s="33"/>
      <c r="CB23" s="282" t="s">
        <v>156</v>
      </c>
      <c r="CC23" s="282"/>
      <c r="CD23" s="282"/>
      <c r="CE23" s="282"/>
      <c r="CF23" s="33"/>
      <c r="CG23" s="266"/>
      <c r="CH23" s="267"/>
      <c r="CI23" s="267"/>
      <c r="CJ23" s="267"/>
      <c r="CK23" s="32" t="str">
        <f>IFERROR(IF(VLOOKUP(CG23,TAT!$B$48:$R$82,10,FALSE)=0,"",VLOOKUP(CG23,TAT!$B$48:$R$82,10,FALSE)),"")</f>
        <v/>
      </c>
      <c r="CL23" s="52" t="str">
        <f>IFERROR(VLOOKUP(CG23,TAT!$B$48:$R$82,9,FALSE),"")</f>
        <v/>
      </c>
      <c r="CM23" s="266" t="s">
        <v>433</v>
      </c>
      <c r="CN23" s="267"/>
      <c r="CO23" s="267"/>
      <c r="CP23" s="267"/>
      <c r="CQ23" s="32" t="str">
        <f>IFERROR(IF(VLOOKUP(CM23,OTR!$B$48:$R$82,10,FALSE)=0,"",VLOOKUP(CM23,OTR!$B$48:$R$82,10,FALSE)),"")</f>
        <v/>
      </c>
      <c r="CR23" s="52">
        <f>IFERROR(VLOOKUP(CM23,OTR!$B$48:$R$82,9,FALSE),"")</f>
        <v>55</v>
      </c>
      <c r="CS23" s="33"/>
      <c r="CT23" s="282" t="s">
        <v>156</v>
      </c>
      <c r="CU23" s="282"/>
      <c r="CV23" s="282"/>
      <c r="CW23" s="282"/>
      <c r="CX23" s="33"/>
      <c r="CY23" s="266" t="s">
        <v>440</v>
      </c>
      <c r="CZ23" s="267"/>
      <c r="DA23" s="267"/>
      <c r="DB23" s="267"/>
      <c r="DC23" s="32" t="str">
        <f>IFERROR(IF(VLOOKUP(CY23,OTR!$B$48:$R$82,10,FALSE)=0,"",VLOOKUP(CY23,OTR!$B$48:$R$82,10,FALSE)),"")</f>
        <v/>
      </c>
      <c r="DD23" s="52">
        <f>IFERROR(VLOOKUP(CY23,OTR!$B$48:$R$82,9,FALSE),"")</f>
        <v>7</v>
      </c>
      <c r="DE23" s="266" t="s">
        <v>512</v>
      </c>
      <c r="DF23" s="267"/>
      <c r="DG23" s="267"/>
      <c r="DH23" s="267"/>
      <c r="DI23" s="32" t="str">
        <f>IFERROR(IF(VLOOKUP(DE23,BOH!$B$48:$R$82,10,FALSE)=0,"",VLOOKUP(DE23,BOH!$B$48:$R$82,10,FALSE)),"")</f>
        <v/>
      </c>
      <c r="DJ23" s="52">
        <f>IFERROR(VLOOKUP(DE23,BOH!$B$48:$R$82,9,FALSE),"")</f>
        <v>88</v>
      </c>
      <c r="DK23" s="33"/>
      <c r="DL23" s="282" t="s">
        <v>156</v>
      </c>
      <c r="DM23" s="282"/>
      <c r="DN23" s="282"/>
      <c r="DO23" s="282"/>
      <c r="DP23" s="33"/>
      <c r="DQ23" s="266" t="s">
        <v>499</v>
      </c>
      <c r="DR23" s="267"/>
      <c r="DS23" s="267"/>
      <c r="DT23" s="267"/>
      <c r="DU23" s="32" t="str">
        <f>IFERROR(IF(VLOOKUP(DQ23,BOH!$B$48:$R$82,10,FALSE)=0,"",VLOOKUP(DQ23,BOH!$B$48:$R$82,10,FALSE)),"")</f>
        <v/>
      </c>
      <c r="DV23" s="52">
        <f>IFERROR(VLOOKUP(DQ23,BOH!$B$48:$R$82,9,FALSE),"")</f>
        <v>99</v>
      </c>
      <c r="DW23" s="266"/>
      <c r="DX23" s="267"/>
      <c r="DY23" s="267"/>
      <c r="DZ23" s="267"/>
      <c r="EA23" s="32" t="str">
        <f>IFERROR(IF(VLOOKUP(DW23,SPA!$B$48:$R$82,10,FALSE)=0,"",VLOOKUP(DW23,SPA!$B$48:$R$82,10,FALSE)),"")</f>
        <v/>
      </c>
      <c r="EB23" s="52" t="str">
        <f>IFERROR(VLOOKUP(DW23,SPA!$B$48:$R$82,9,FALSE),"")</f>
        <v/>
      </c>
      <c r="EC23" s="33"/>
      <c r="ED23" s="282" t="s">
        <v>156</v>
      </c>
      <c r="EE23" s="282"/>
      <c r="EF23" s="282"/>
      <c r="EG23" s="282"/>
      <c r="EH23" s="33"/>
      <c r="EI23" s="266"/>
      <c r="EJ23" s="267"/>
      <c r="EK23" s="267"/>
      <c r="EL23" s="267"/>
      <c r="EM23" s="32" t="str">
        <f>IFERROR(IF(VLOOKUP(EI23,SPA!$B$48:$R$82,10,FALSE)=0,"",VLOOKUP(EI23,SPA!$B$48:$R$82,10,FALSE)),"")</f>
        <v/>
      </c>
      <c r="EN23" s="52" t="str">
        <f>IFERROR(VLOOKUP(EI23,SPA!$B$48:$R$82,9,FALSE),"")</f>
        <v/>
      </c>
      <c r="EO23" s="266"/>
      <c r="EP23" s="267"/>
      <c r="EQ23" s="267"/>
      <c r="ER23" s="267"/>
      <c r="ES23" s="32" t="str">
        <f>IFERROR(IF(VLOOKUP(EO23,CLP!$B$48:$R$82,10,FALSE)=0,"",VLOOKUP(EO23,CLP!$B$48:$R$82,10,FALSE)),"")</f>
        <v/>
      </c>
      <c r="ET23" s="52" t="str">
        <f>IFERROR(VLOOKUP(EO23,CLP!$B$48:$R$82,9,FALSE),"")</f>
        <v/>
      </c>
      <c r="EU23" s="33"/>
      <c r="EV23" s="282" t="s">
        <v>156</v>
      </c>
      <c r="EW23" s="282"/>
      <c r="EX23" s="282"/>
      <c r="EY23" s="282"/>
      <c r="EZ23" s="33"/>
      <c r="FA23" s="266"/>
      <c r="FB23" s="267"/>
      <c r="FC23" s="267"/>
      <c r="FD23" s="267"/>
      <c r="FE23" s="32" t="str">
        <f>IFERROR(IF(VLOOKUP(FA23,CLP!$B$48:$R$82,10,FALSE)=0,"",VLOOKUP(FA23,CLP!$B$48:$R$82,10,FALSE)),"")</f>
        <v/>
      </c>
      <c r="FF23" s="52" t="str">
        <f>IFERROR(VLOOKUP(FA23,CLP!$B$48:$R$82,9,FALSE),"")</f>
        <v/>
      </c>
      <c r="FG23" s="266"/>
      <c r="FH23" s="267"/>
      <c r="FI23" s="267"/>
      <c r="FJ23" s="267"/>
      <c r="FK23" s="32" t="str">
        <f>IFERROR(IF(VLOOKUP(FG23,LIB!$B$48:$R$82,10,FALSE)=0,"",VLOOKUP(FG23,LIB!$B$48:$R$82,10,FALSE)),"")</f>
        <v/>
      </c>
      <c r="FL23" s="52" t="str">
        <f>IFERROR(VLOOKUP(FG23,LIB!$B$48:$R$82,9,FALSE),"")</f>
        <v/>
      </c>
      <c r="FM23" s="33"/>
      <c r="FN23" s="282" t="s">
        <v>156</v>
      </c>
      <c r="FO23" s="282"/>
      <c r="FP23" s="282"/>
      <c r="FQ23" s="282"/>
      <c r="FR23" s="33"/>
      <c r="FS23" s="266"/>
      <c r="FT23" s="267"/>
      <c r="FU23" s="267"/>
      <c r="FV23" s="267"/>
      <c r="FW23" s="32" t="str">
        <f>IFERROR(IF(VLOOKUP(FS23,LIB!$B$48:$R$82,10,FALSE)=0,"",VLOOKUP(FS23,LIB!$B$48:$R$82,10,FALSE)),"")</f>
        <v/>
      </c>
      <c r="FX23" s="52" t="str">
        <f>IFERROR(VLOOKUP(FS23,LIB!$B$48:$R$82,9,FALSE),"")</f>
        <v/>
      </c>
    </row>
    <row r="24" spans="1:180" ht="15.6" customHeight="1" thickBot="1" x14ac:dyDescent="0.3">
      <c r="A24" s="34" t="str">
        <f>IFERROR(VLOOKUP(A23,SKV!$B$48:$AA$82,11,FALSE),"")</f>
        <v>L</v>
      </c>
      <c r="B24" s="269">
        <f>IFERROR(YEAR(VLOOKUP(A23,SKV!$B$48:$AA$82,2,FALSE)),"")</f>
        <v>2003</v>
      </c>
      <c r="C24" s="240"/>
      <c r="D24" s="35">
        <f ca="1">IFERROR(VLOOKUP(A23,SKV!$B$48:$AA$82,3,FALSE),"")</f>
        <v>17</v>
      </c>
      <c r="E24" s="270" t="str">
        <f>IFERROR(VLOOKUP(A23,SKV!$B$48:$AA$82,15,FALSE),"")</f>
        <v>185/71</v>
      </c>
      <c r="F24" s="271"/>
      <c r="G24" s="33"/>
      <c r="H24" s="33"/>
      <c r="I24" s="33"/>
      <c r="J24" s="33"/>
      <c r="K24" s="33"/>
      <c r="L24" s="33"/>
      <c r="M24" s="34" t="str">
        <f>IFERROR(VLOOKUP(M23,SKV!$B$48:$AA$82,11,FALSE),"")</f>
        <v>L</v>
      </c>
      <c r="N24" s="269">
        <f>IFERROR(YEAR(VLOOKUP(M23,SKV!$B$48:$AA$82,2,FALSE)),"")</f>
        <v>2000</v>
      </c>
      <c r="O24" s="240"/>
      <c r="P24" s="35">
        <f ca="1">IFERROR(VLOOKUP(M23,SKV!$B$48:$AA$82,3,FALSE),"")</f>
        <v>20</v>
      </c>
      <c r="Q24" s="270" t="str">
        <f>IFERROR(VLOOKUP(M23,SKV!$B$48:$AA$82,15,FALSE),"")</f>
        <v>175/70</v>
      </c>
      <c r="R24" s="271"/>
      <c r="S24" s="34" t="str">
        <f>IFERROR(VLOOKUP(S23,CHO!$B$48:$AA$82,11,FALSE),"")</f>
        <v>P</v>
      </c>
      <c r="T24" s="269">
        <f>IFERROR(YEAR(VLOOKUP(S23,CHO!$B$48:$AA$82,2,FALSE)),"")</f>
        <v>2000</v>
      </c>
      <c r="U24" s="240"/>
      <c r="V24" s="35">
        <f ca="1">IFERROR(VLOOKUP(S23,CHO!$B$48:$AA$82,3,FALSE),"")</f>
        <v>21</v>
      </c>
      <c r="W24" s="270" t="str">
        <f>IFERROR(VLOOKUP(S23,CHO!$B$48:$AA$82,15,FALSE),"")</f>
        <v>186/90</v>
      </c>
      <c r="X24" s="271"/>
      <c r="Y24" s="33"/>
      <c r="Z24" s="33"/>
      <c r="AA24" s="33"/>
      <c r="AB24" s="33"/>
      <c r="AC24" s="33"/>
      <c r="AD24" s="33"/>
      <c r="AE24" s="34" t="str">
        <f>IFERROR(VLOOKUP(AE23,CHO!$B$48:$AA$82,11,FALSE),"")</f>
        <v>L</v>
      </c>
      <c r="AF24" s="269">
        <f>IFERROR(YEAR(VLOOKUP(AE23,CHO!$B$48:$AA$82,2,FALSE)),"")</f>
        <v>2000</v>
      </c>
      <c r="AG24" s="240"/>
      <c r="AH24" s="35">
        <f ca="1">IFERROR(VLOOKUP(AE23,CHO!$B$48:$AA$82,3,FALSE),"")</f>
        <v>20</v>
      </c>
      <c r="AI24" s="270" t="str">
        <f>IFERROR(VLOOKUP(AE23,CHO!$B$48:$AA$82,15,FALSE),"")</f>
        <v>183/92</v>
      </c>
      <c r="AJ24" s="271"/>
      <c r="AK24" s="34" t="str">
        <f>IFERROR(VLOOKUP(AK23,VIT!$B$48:$R$82,11,FALSE),"")</f>
        <v/>
      </c>
      <c r="AL24" s="269" t="str">
        <f>IFERROR(YEAR(VLOOKUP(AK23,VIT!$B$48:$R$82,2,FALSE)),"")</f>
        <v/>
      </c>
      <c r="AM24" s="240"/>
      <c r="AN24" s="106" t="str">
        <f>IFERROR(VLOOKUP(AK23,VIT!$B$48:$R$82,3,FALSE),"")</f>
        <v/>
      </c>
      <c r="AO24" s="270" t="str">
        <f>IFERROR(VLOOKUP(AK23,VIT!$B$48:$R$82,15,FALSE),"")</f>
        <v/>
      </c>
      <c r="AP24" s="271"/>
      <c r="AQ24" s="33"/>
      <c r="AR24" s="33"/>
      <c r="AS24" s="33"/>
      <c r="AT24" s="33"/>
      <c r="AU24" s="33"/>
      <c r="AV24" s="33"/>
      <c r="AW24" s="34" t="str">
        <f>IFERROR(VLOOKUP(AW23,VIT!$B$48:$R$82,11,FALSE),"")</f>
        <v/>
      </c>
      <c r="AX24" s="269" t="str">
        <f>IFERROR(YEAR(VLOOKUP(AW23,VIT!$B$48:$R$82,2,FALSE)),"")</f>
        <v/>
      </c>
      <c r="AY24" s="240"/>
      <c r="AZ24" s="106" t="str">
        <f>IFERROR(VLOOKUP(AW23,VIT!$B$48:$R$82,3,FALSE),"")</f>
        <v/>
      </c>
      <c r="BA24" s="270" t="str">
        <f>IFERROR(VLOOKUP(AW23,VIT!$B$48:$R$82,15,FALSE),"")</f>
        <v/>
      </c>
      <c r="BB24" s="271"/>
      <c r="BC24" s="34" t="str">
        <f>IFERROR(VLOOKUP(BC23,MB!$B$48:$R$82,11,FALSE),"")</f>
        <v>P</v>
      </c>
      <c r="BD24" s="269">
        <f>IFERROR(YEAR(VLOOKUP(BC23,MB!$B$48:$R$82,2,FALSE)),"")</f>
        <v>1994</v>
      </c>
      <c r="BE24" s="240"/>
      <c r="BF24" s="108">
        <f ca="1">IFERROR(VLOOKUP(BC23,MB!$B$48:$R$82,3,FALSE),"")</f>
        <v>26</v>
      </c>
      <c r="BG24" s="270" t="str">
        <f>IFERROR(VLOOKUP(BC23,MB!$B$48:$R$82,15,FALSE),"")</f>
        <v>177/82</v>
      </c>
      <c r="BH24" s="271"/>
      <c r="BI24" s="33"/>
      <c r="BJ24" s="33"/>
      <c r="BK24" s="33"/>
      <c r="BL24" s="33"/>
      <c r="BM24" s="33"/>
      <c r="BN24" s="33"/>
      <c r="BO24" s="34" t="str">
        <f>IFERROR(VLOOKUP(BO23,MB!$B$48:$R$82,11,FALSE),"")</f>
        <v>L</v>
      </c>
      <c r="BP24" s="269">
        <f>IFERROR(YEAR(VLOOKUP(BO23,MB!$B$48:$R$82,2,FALSE)),"")</f>
        <v>1992</v>
      </c>
      <c r="BQ24" s="240"/>
      <c r="BR24" s="108">
        <f ca="1">IFERROR(VLOOKUP(BO23,MB!$B$48:$R$82,3,FALSE),"")</f>
        <v>28</v>
      </c>
      <c r="BS24" s="270" t="str">
        <f>IFERROR(VLOOKUP(BO23,MB!$B$48:$R$82,15,FALSE),"")</f>
        <v>183/73</v>
      </c>
      <c r="BT24" s="271"/>
      <c r="BU24" s="34" t="str">
        <f>IFERROR(VLOOKUP(BU23,TAT!$B$48:$R$82,11,FALSE),"")</f>
        <v/>
      </c>
      <c r="BV24" s="269" t="str">
        <f>IFERROR(YEAR(VLOOKUP(BU23,TAT!$B$48:$R$82,2,FALSE)),"")</f>
        <v/>
      </c>
      <c r="BW24" s="240"/>
      <c r="BX24" s="150" t="str">
        <f>IFERROR(VLOOKUP(BU23,TAT!$B$48:$R$82,3,FALSE),"")</f>
        <v/>
      </c>
      <c r="BY24" s="270" t="str">
        <f>IFERROR(VLOOKUP(BU23,TAT!$B$48:$R$82,15,FALSE),"")</f>
        <v/>
      </c>
      <c r="BZ24" s="271"/>
      <c r="CA24" s="33"/>
      <c r="CB24" s="33"/>
      <c r="CC24" s="33"/>
      <c r="CD24" s="33"/>
      <c r="CE24" s="33"/>
      <c r="CF24" s="33"/>
      <c r="CG24" s="34" t="str">
        <f>IFERROR(VLOOKUP(CG23,TAT!$B$48:$R$82,11,FALSE),"")</f>
        <v/>
      </c>
      <c r="CH24" s="269" t="str">
        <f>IFERROR(YEAR(VLOOKUP(CG23,TAT!$B$48:$R$82,2,FALSE)),"")</f>
        <v/>
      </c>
      <c r="CI24" s="240"/>
      <c r="CJ24" s="150" t="str">
        <f>IFERROR(VLOOKUP(CG23,TAT!$B$48:$R$82,3,FALSE),"")</f>
        <v/>
      </c>
      <c r="CK24" s="270" t="str">
        <f>IFERROR(VLOOKUP(CG23,TAT!$B$48:$R$82,15,FALSE),"")</f>
        <v/>
      </c>
      <c r="CL24" s="271"/>
      <c r="CM24" s="34" t="str">
        <f>IFERROR(VLOOKUP(CM23,OTR!$B$48:$R$82,11,FALSE),"")</f>
        <v>L</v>
      </c>
      <c r="CN24" s="269">
        <f>IFERROR(YEAR(VLOOKUP(CM23,OTR!$B$48:$R$82,2,FALSE)),"")</f>
        <v>2002</v>
      </c>
      <c r="CO24" s="240"/>
      <c r="CP24" s="150">
        <f ca="1">IFERROR(VLOOKUP(CM23,OTR!$B$48:$R$82,3,FALSE),"")</f>
        <v>18</v>
      </c>
      <c r="CQ24" s="270" t="str">
        <f>IFERROR(VLOOKUP(CM23,OTR!$B$48:$R$82,15,FALSE),"")</f>
        <v>193/90</v>
      </c>
      <c r="CR24" s="271"/>
      <c r="CS24" s="33"/>
      <c r="CT24" s="33"/>
      <c r="CU24" s="33"/>
      <c r="CV24" s="33"/>
      <c r="CW24" s="33"/>
      <c r="CX24" s="33"/>
      <c r="CY24" s="34" t="str">
        <f>IFERROR(VLOOKUP(CY23,OTR!$B$48:$R$82,11,FALSE),"")</f>
        <v>L</v>
      </c>
      <c r="CZ24" s="269">
        <f>IFERROR(YEAR(VLOOKUP(CY23,OTR!$B$48:$R$82,2,FALSE)),"")</f>
        <v>1990</v>
      </c>
      <c r="DA24" s="240"/>
      <c r="DB24" s="150">
        <f ca="1">IFERROR(VLOOKUP(CY23,OTR!$B$48:$R$82,3,FALSE),"")</f>
        <v>30</v>
      </c>
      <c r="DC24" s="270" t="str">
        <f>IFERROR(VLOOKUP(CY23,OTR!$B$48:$R$82,15,FALSE),"")</f>
        <v>190/82</v>
      </c>
      <c r="DD24" s="271"/>
      <c r="DE24" s="34" t="str">
        <f>IFERROR(VLOOKUP(DE23,BOH!$B$48:$R$82,11,FALSE),"")</f>
        <v>P</v>
      </c>
      <c r="DF24" s="269">
        <f>IFERROR(YEAR(VLOOKUP(DE23,BOH!$B$48:$R$82,2,FALSE)),"")</f>
        <v>1991</v>
      </c>
      <c r="DG24" s="240"/>
      <c r="DH24" s="165">
        <f ca="1">IFERROR(VLOOKUP(DE23,BOH!$B$48:$R$82,3,FALSE),"")</f>
        <v>29</v>
      </c>
      <c r="DI24" s="270" t="str">
        <f>IFERROR(VLOOKUP(DE23,BOH!$B$48:$R$82,15,FALSE),"")</f>
        <v>175/85</v>
      </c>
      <c r="DJ24" s="271"/>
      <c r="DK24" s="33"/>
      <c r="DL24" s="33"/>
      <c r="DM24" s="33"/>
      <c r="DN24" s="33"/>
      <c r="DO24" s="33"/>
      <c r="DP24" s="33"/>
      <c r="DQ24" s="34" t="str">
        <f>IFERROR(VLOOKUP(DQ23,BOH!$B$48:$R$82,11,FALSE),"")</f>
        <v>L</v>
      </c>
      <c r="DR24" s="269">
        <f>IFERROR(YEAR(VLOOKUP(DQ23,BOH!$B$48:$R$82,2,FALSE)),"")</f>
        <v>2002</v>
      </c>
      <c r="DS24" s="240"/>
      <c r="DT24" s="165">
        <f ca="1">IFERROR(VLOOKUP(DQ23,BOH!$B$48:$R$82,3,FALSE),"")</f>
        <v>18</v>
      </c>
      <c r="DU24" s="270" t="str">
        <f>IFERROR(VLOOKUP(DQ23,BOH!$B$48:$R$82,15,FALSE),"")</f>
        <v>180/71</v>
      </c>
      <c r="DV24" s="271"/>
      <c r="DW24" s="34" t="str">
        <f>IFERROR(VLOOKUP(DW23,SPA!$B$48:$R$82,11,FALSE),"")</f>
        <v/>
      </c>
      <c r="DX24" s="269" t="str">
        <f>IFERROR(YEAR(VLOOKUP(DW23,SPA!$B$48:$R$82,2,FALSE)),"")</f>
        <v/>
      </c>
      <c r="DY24" s="240"/>
      <c r="DZ24" s="165" t="str">
        <f>IFERROR(VLOOKUP(DW23,SPA!$B$48:$R$82,3,FALSE),"")</f>
        <v/>
      </c>
      <c r="EA24" s="270" t="str">
        <f>IFERROR(VLOOKUP(DW23,SPA!$B$48:$R$82,15,FALSE),"")</f>
        <v/>
      </c>
      <c r="EB24" s="271"/>
      <c r="EC24" s="33"/>
      <c r="ED24" s="33"/>
      <c r="EE24" s="33"/>
      <c r="EF24" s="33"/>
      <c r="EG24" s="33"/>
      <c r="EH24" s="33"/>
      <c r="EI24" s="34" t="str">
        <f>IFERROR(VLOOKUP(EI23,SPA!$B$48:$R$82,11,FALSE),"")</f>
        <v/>
      </c>
      <c r="EJ24" s="269" t="str">
        <f>IFERROR(YEAR(VLOOKUP(EI23,SPA!$B$48:$R$82,2,FALSE)),"")</f>
        <v/>
      </c>
      <c r="EK24" s="240"/>
      <c r="EL24" s="165" t="str">
        <f>IFERROR(VLOOKUP(EI23,SPA!$B$48:$R$82,3,FALSE),"")</f>
        <v/>
      </c>
      <c r="EM24" s="270" t="str">
        <f>IFERROR(VLOOKUP(EI23,SPA!$B$48:$R$82,15,FALSE),"")</f>
        <v/>
      </c>
      <c r="EN24" s="271"/>
      <c r="EO24" s="34" t="str">
        <f>IFERROR(VLOOKUP(EO23,CLP!$B$48:$R$82,11,FALSE),"")</f>
        <v/>
      </c>
      <c r="EP24" s="269" t="str">
        <f>IFERROR(YEAR(VLOOKUP(EO23,CLP!$B$48:$R$82,2,FALSE)),"")</f>
        <v/>
      </c>
      <c r="EQ24" s="240"/>
      <c r="ER24" s="204" t="str">
        <f>IFERROR(VLOOKUP(EO23,CLP!$B$48:$R$82,3,FALSE),"")</f>
        <v/>
      </c>
      <c r="ES24" s="270" t="str">
        <f>IFERROR(VLOOKUP(EO23,CLP!$B$48:$R$82,15,FALSE),"")</f>
        <v/>
      </c>
      <c r="ET24" s="271"/>
      <c r="EU24" s="33"/>
      <c r="EV24" s="33"/>
      <c r="EW24" s="33"/>
      <c r="EX24" s="33"/>
      <c r="EY24" s="33"/>
      <c r="EZ24" s="33"/>
      <c r="FA24" s="34" t="str">
        <f>IFERROR(VLOOKUP(FA23,CLP!$B$48:$R$82,11,FALSE),"")</f>
        <v/>
      </c>
      <c r="FB24" s="269" t="str">
        <f>IFERROR(YEAR(VLOOKUP(FA23,CLP!$B$48:$R$82,2,FALSE)),"")</f>
        <v/>
      </c>
      <c r="FC24" s="240"/>
      <c r="FD24" s="204" t="str">
        <f>IFERROR(VLOOKUP(FA23,CLP!$B$48:$R$82,3,FALSE),"")</f>
        <v/>
      </c>
      <c r="FE24" s="270" t="str">
        <f>IFERROR(VLOOKUP(FA23,CLP!$B$48:$R$82,15,FALSE),"")</f>
        <v/>
      </c>
      <c r="FF24" s="271"/>
      <c r="FG24" s="34" t="str">
        <f>IFERROR(VLOOKUP(FG23,LIB!$B$48:$R$82,11,FALSE),"")</f>
        <v/>
      </c>
      <c r="FH24" s="269" t="str">
        <f>IFERROR(YEAR(VLOOKUP(FG23,LIB!$B$48:$R$82,2,FALSE)),"")</f>
        <v/>
      </c>
      <c r="FI24" s="240"/>
      <c r="FJ24" s="204" t="str">
        <f>IFERROR(VLOOKUP(FG23,LIB!$B$48:$R$82,3,FALSE),"")</f>
        <v/>
      </c>
      <c r="FK24" s="270" t="str">
        <f>IFERROR(VLOOKUP(FG23,LIB!$B$48:$R$82,15,FALSE),"")</f>
        <v/>
      </c>
      <c r="FL24" s="271"/>
      <c r="FM24" s="33"/>
      <c r="FN24" s="33"/>
      <c r="FO24" s="33"/>
      <c r="FP24" s="33"/>
      <c r="FQ24" s="33"/>
      <c r="FR24" s="33"/>
      <c r="FS24" s="34" t="str">
        <f>IFERROR(VLOOKUP(FS23,LIB!$B$48:$R$82,11,FALSE),"")</f>
        <v/>
      </c>
      <c r="FT24" s="269" t="str">
        <f>IFERROR(YEAR(VLOOKUP(FS23,LIB!$B$48:$R$82,2,FALSE)),"")</f>
        <v/>
      </c>
      <c r="FU24" s="240"/>
      <c r="FV24" s="204" t="str">
        <f>IFERROR(VLOOKUP(FS23,LIB!$B$48:$R$82,3,FALSE),"")</f>
        <v/>
      </c>
      <c r="FW24" s="270" t="str">
        <f>IFERROR(VLOOKUP(FS23,LIB!$B$48:$R$82,15,FALSE),"")</f>
        <v/>
      </c>
      <c r="FX24" s="271"/>
    </row>
    <row r="25" spans="1:180" ht="15.6" customHeight="1" thickTop="1" thickBot="1" x14ac:dyDescent="0.3">
      <c r="A25" s="277" t="str">
        <f>IFERROR(VLOOKUP(A23,SKV!$B$2:$O$36,14,FALSE),"")</f>
        <v>17 OZ , 7 (4+3), -9 ±</v>
      </c>
      <c r="B25" s="278"/>
      <c r="C25" s="278"/>
      <c r="D25" s="279" t="str">
        <f>IFERROR(VLOOKUP(A23,SKV!$B$48:$AA$82,14,FALSE),"")</f>
        <v>17 OZ, 7 (4+3)</v>
      </c>
      <c r="E25" s="279"/>
      <c r="F25" s="280"/>
      <c r="G25" s="266" t="s">
        <v>26</v>
      </c>
      <c r="H25" s="267"/>
      <c r="I25" s="267"/>
      <c r="J25" s="267"/>
      <c r="K25" s="32" t="str">
        <f>IFERROR(IF(VLOOKUP(G25,SKV!$B$48:$AA$82,10,FALSE)=0,"",VLOOKUP(G25,SKV!$B$48:$AA$82,10,FALSE)),"")</f>
        <v/>
      </c>
      <c r="L25" s="52">
        <f>IFERROR(VLOOKUP(G25,SKV!$B$48:$AA$82,9,FALSE),"")</f>
        <v>11</v>
      </c>
      <c r="M25" s="277" t="str">
        <f>IFERROR(VLOOKUP(M23,SKV!$B$2:$O$36,14,FALSE),"")</f>
        <v>20 OZ , 8 (0+8), -10 ±</v>
      </c>
      <c r="N25" s="278"/>
      <c r="O25" s="278"/>
      <c r="P25" s="279" t="str">
        <f>IFERROR(VLOOKUP(M23,SKV!$B$48:$AA$82,14,FALSE),"")</f>
        <v>53 OZ, 16 (2+14)</v>
      </c>
      <c r="Q25" s="279"/>
      <c r="R25" s="280"/>
      <c r="S25" s="277" t="str">
        <f>IFERROR(VLOOKUP(S23,CHO!$B$2:$O$36,14,FALSE),"")</f>
        <v>20 OZ , 7 (2+5), -4 ±</v>
      </c>
      <c r="T25" s="278"/>
      <c r="U25" s="278"/>
      <c r="V25" s="279" t="str">
        <f>IFERROR(VLOOKUP(S23,CHO!$B$48:$AA$82,14,FALSE),"")</f>
        <v>89 OZ, 50 (25+25)</v>
      </c>
      <c r="W25" s="279"/>
      <c r="X25" s="280"/>
      <c r="Y25" s="266" t="s">
        <v>168</v>
      </c>
      <c r="Z25" s="267"/>
      <c r="AA25" s="267"/>
      <c r="AB25" s="267"/>
      <c r="AC25" s="32" t="str">
        <f>IFERROR(IF(VLOOKUP(Y25,CHO!$B$48:$AA$82,10,FALSE)=0,"",VLOOKUP(Y25,CHO!$B$48:$AA$82,10,FALSE)),"")</f>
        <v/>
      </c>
      <c r="AD25" s="52">
        <f>IFERROR(VLOOKUP(Y25,CHO!$B$48:$AA$82,9,FALSE),"")</f>
        <v>14</v>
      </c>
      <c r="AE25" s="277" t="str">
        <f>IFERROR(VLOOKUP(AE23,CHO!$B$2:$O$36,14,FALSE),"")</f>
        <v>21 OZ , 12 (10+2), +9 ±</v>
      </c>
      <c r="AF25" s="278"/>
      <c r="AG25" s="278"/>
      <c r="AH25" s="279" t="str">
        <f>IFERROR(VLOOKUP(AE23,CHO!$B$48:$AA$82,14,FALSE),"")</f>
        <v>41 OZ, 19 (13+6)</v>
      </c>
      <c r="AI25" s="279"/>
      <c r="AJ25" s="280"/>
      <c r="AK25" s="277" t="str">
        <f>IFERROR(VLOOKUP(AK23,VIT!$B$2:$O$36,14,FALSE),"")</f>
        <v/>
      </c>
      <c r="AL25" s="278"/>
      <c r="AM25" s="278"/>
      <c r="AN25" s="279" t="str">
        <f>IFERROR(VLOOKUP(AK23,VIT!$B$48:$R$82,14,FALSE),"")</f>
        <v/>
      </c>
      <c r="AO25" s="279"/>
      <c r="AP25" s="280"/>
      <c r="AQ25" s="266"/>
      <c r="AR25" s="267"/>
      <c r="AS25" s="267"/>
      <c r="AT25" s="267"/>
      <c r="AU25" s="32" t="str">
        <f>IFERROR(IF(VLOOKUP(AQ25,VIT!$B$48:$R$82,10,FALSE)=0,"",VLOOKUP(AQ25,VIT!$B$48:$R$82,10,FALSE)),"")</f>
        <v/>
      </c>
      <c r="AV25" s="52" t="str">
        <f>IFERROR(VLOOKUP(AQ25,VIT!$B$48:$R$82,9,FALSE),"")</f>
        <v/>
      </c>
      <c r="AW25" s="277" t="str">
        <f>IFERROR(VLOOKUP(AW23,VIT!$B$2:$O$36,14,FALSE),"")</f>
        <v/>
      </c>
      <c r="AX25" s="278"/>
      <c r="AY25" s="278"/>
      <c r="AZ25" s="279" t="str">
        <f>IFERROR(VLOOKUP(AW23,VIT!$B$48:$R$82,14,FALSE),"")</f>
        <v/>
      </c>
      <c r="BA25" s="279"/>
      <c r="BB25" s="280"/>
      <c r="BC25" s="277" t="str">
        <f>IFERROR(VLOOKUP(BC23,MB!$B$2:$O$36,14,FALSE),"")</f>
        <v>21 OZ , 19 (12+7), +17 ±</v>
      </c>
      <c r="BD25" s="278"/>
      <c r="BE25" s="278"/>
      <c r="BF25" s="279" t="str">
        <f>IFERROR(VLOOKUP(BC23,MB!$B$48:$R$82,14,FALSE),"")</f>
        <v>206 OZ, 182 (109+73)</v>
      </c>
      <c r="BG25" s="279"/>
      <c r="BH25" s="280"/>
      <c r="BI25" s="266" t="s">
        <v>304</v>
      </c>
      <c r="BJ25" s="267"/>
      <c r="BK25" s="267"/>
      <c r="BL25" s="267"/>
      <c r="BM25" s="32" t="str">
        <f>IFERROR(IF(VLOOKUP(BI25,MB!$B$48:$R$82,10,FALSE)=0,"",VLOOKUP(BI25,MB!$B$48:$R$82,10,FALSE)),"")</f>
        <v/>
      </c>
      <c r="BN25" s="52">
        <f>IFERROR(VLOOKUP(BI25,MB!$B$48:$R$82,9,FALSE),"")</f>
        <v>39</v>
      </c>
      <c r="BO25" s="277" t="str">
        <f>IFERROR(VLOOKUP(BO23,MB!$B$2:$O$36,14,FALSE),"")</f>
        <v>22 OZ , 16 (8+8), +18 ±</v>
      </c>
      <c r="BP25" s="278"/>
      <c r="BQ25" s="278"/>
      <c r="BR25" s="279" t="str">
        <f>IFERROR(VLOOKUP(BO23,MB!$B$48:$R$82,14,FALSE),"")</f>
        <v>205 OZ, 212 (136+76)</v>
      </c>
      <c r="BS25" s="279"/>
      <c r="BT25" s="280"/>
      <c r="BU25" s="277" t="str">
        <f>IFERROR(VLOOKUP(BU23,TAT!$B$2:$O$36,14,FALSE),"")</f>
        <v/>
      </c>
      <c r="BV25" s="278"/>
      <c r="BW25" s="278"/>
      <c r="BX25" s="279" t="str">
        <f>IFERROR(VLOOKUP(BU23,TAT!$B$48:$R$82,14,FALSE),"")</f>
        <v/>
      </c>
      <c r="BY25" s="279"/>
      <c r="BZ25" s="280"/>
      <c r="CA25" s="266"/>
      <c r="CB25" s="267"/>
      <c r="CC25" s="267"/>
      <c r="CD25" s="267"/>
      <c r="CE25" s="32" t="str">
        <f>IFERROR(IF(VLOOKUP(CA25,TAT!$B$48:$R$82,10,FALSE)=0,"",VLOOKUP(CA25,TAT!$B$48:$R$82,10,FALSE)),"")</f>
        <v/>
      </c>
      <c r="CF25" s="52" t="str">
        <f>IFERROR(VLOOKUP(CA25,TAT!$B$48:$R$82,9,FALSE),"")</f>
        <v/>
      </c>
      <c r="CG25" s="277" t="str">
        <f>IFERROR(VLOOKUP(CG23,TAT!$B$2:$O$36,14,FALSE),"")</f>
        <v/>
      </c>
      <c r="CH25" s="278"/>
      <c r="CI25" s="278"/>
      <c r="CJ25" s="279" t="str">
        <f>IFERROR(VLOOKUP(CG23,TAT!$B$48:$R$82,14,FALSE),"")</f>
        <v/>
      </c>
      <c r="CK25" s="279"/>
      <c r="CL25" s="280"/>
      <c r="CM25" s="277" t="str">
        <f>IFERROR(VLOOKUP(CM23,OTR!$B$2:$O$36,14,FALSE),"")</f>
        <v>21 OZ , 3 (3+0), -2 ±</v>
      </c>
      <c r="CN25" s="278"/>
      <c r="CO25" s="278"/>
      <c r="CP25" s="279" t="str">
        <f>IFERROR(VLOOKUP(CM23,OTR!$B$48:$R$82,14,FALSE),"")</f>
        <v>22 OZ, 3 (3+0)</v>
      </c>
      <c r="CQ25" s="279"/>
      <c r="CR25" s="280"/>
      <c r="CS25" s="266" t="s">
        <v>431</v>
      </c>
      <c r="CT25" s="267"/>
      <c r="CU25" s="267"/>
      <c r="CV25" s="267"/>
      <c r="CW25" s="32" t="str">
        <f>IFERROR(IF(VLOOKUP(CS25,OTR!$B$48:$R$82,10,FALSE)=0,"",VLOOKUP(CS25,OTR!$B$48:$R$82,10,FALSE)),"")</f>
        <v/>
      </c>
      <c r="CX25" s="52">
        <f>IFERROR(VLOOKUP(CS25,OTR!$B$48:$R$82,9,FALSE),"")</f>
        <v>22</v>
      </c>
      <c r="CY25" s="277" t="str">
        <f>IFERROR(VLOOKUP(CY23,OTR!$B$2:$O$36,14,FALSE),"")</f>
        <v>9 OZ , 2 (0+2), -7 ±</v>
      </c>
      <c r="CZ25" s="278"/>
      <c r="DA25" s="278"/>
      <c r="DB25" s="279" t="str">
        <f>IFERROR(VLOOKUP(CY23,OTR!$B$48:$R$82,14,FALSE),"")</f>
        <v>206 OZ, 169 (106+63)</v>
      </c>
      <c r="DC25" s="279"/>
      <c r="DD25" s="280"/>
      <c r="DE25" s="277" t="str">
        <f>IFERROR(VLOOKUP(DE23,BOH!$B$2:$O$36,14,FALSE),"")</f>
        <v>19 OZ , 3 (2+1), +1 ±</v>
      </c>
      <c r="DF25" s="278"/>
      <c r="DG25" s="278"/>
      <c r="DH25" s="279" t="str">
        <f>IFERROR(VLOOKUP(DE23,BOH!$B$48:$R$82,14,FALSE),"")</f>
        <v>207 OZ, 100 (44+56)</v>
      </c>
      <c r="DI25" s="279"/>
      <c r="DJ25" s="280"/>
      <c r="DK25" s="266" t="s">
        <v>507</v>
      </c>
      <c r="DL25" s="267"/>
      <c r="DM25" s="267"/>
      <c r="DN25" s="267"/>
      <c r="DO25" s="32" t="str">
        <f>IFERROR(IF(VLOOKUP(DK25,BOH!$B$48:$R$82,10,FALSE)=0,"",VLOOKUP(DK25,BOH!$B$48:$R$82,10,FALSE)),"")</f>
        <v/>
      </c>
      <c r="DP25" s="52">
        <f>IFERROR(VLOOKUP(DK25,BOH!$B$48:$R$82,9,FALSE),"")</f>
        <v>80</v>
      </c>
      <c r="DQ25" s="277" t="str">
        <f>IFERROR(VLOOKUP(DQ23,BOH!$B$2:$O$36,14,FALSE),"")</f>
        <v>21 OZ , 20 (13+7), +8 ±</v>
      </c>
      <c r="DR25" s="278"/>
      <c r="DS25" s="278"/>
      <c r="DT25" s="279" t="str">
        <f>IFERROR(VLOOKUP(DQ23,BOH!$B$48:$R$82,14,FALSE),"")</f>
        <v>34 OZ, 22 (14+8)</v>
      </c>
      <c r="DU25" s="279"/>
      <c r="DV25" s="280"/>
      <c r="DW25" s="277" t="str">
        <f>IFERROR(VLOOKUP(DW23,SPA!$B$2:$O$36,14,FALSE),"")</f>
        <v/>
      </c>
      <c r="DX25" s="278"/>
      <c r="DY25" s="278"/>
      <c r="DZ25" s="279" t="str">
        <f>IFERROR(VLOOKUP(DW23,SPA!$B$48:$R$82,14,FALSE),"")</f>
        <v/>
      </c>
      <c r="EA25" s="279"/>
      <c r="EB25" s="280"/>
      <c r="EC25" s="266"/>
      <c r="ED25" s="267"/>
      <c r="EE25" s="267"/>
      <c r="EF25" s="267"/>
      <c r="EG25" s="32" t="str">
        <f>IFERROR(IF(VLOOKUP(EC25,SPA!$B$48:$R$82,10,FALSE)=0,"",VLOOKUP(EC25,SPA!$B$48:$R$82,10,FALSE)),"")</f>
        <v/>
      </c>
      <c r="EH25" s="52" t="str">
        <f>IFERROR(VLOOKUP(EC25,SPA!$B$48:$R$82,9,FALSE),"")</f>
        <v/>
      </c>
      <c r="EI25" s="277" t="str">
        <f>IFERROR(VLOOKUP(EI23,SPA!$B$2:$O$36,14,FALSE),"")</f>
        <v/>
      </c>
      <c r="EJ25" s="278"/>
      <c r="EK25" s="278"/>
      <c r="EL25" s="279" t="str">
        <f>IFERROR(VLOOKUP(EI23,SPA!$B$48:$R$82,14,FALSE),"")</f>
        <v/>
      </c>
      <c r="EM25" s="279"/>
      <c r="EN25" s="280"/>
      <c r="EO25" s="277" t="str">
        <f>IFERROR(VLOOKUP(EO23,CLP!$B$2:$O$36,14,FALSE),"")</f>
        <v/>
      </c>
      <c r="EP25" s="278"/>
      <c r="EQ25" s="278"/>
      <c r="ER25" s="279" t="str">
        <f>IFERROR(VLOOKUP(EO23,CLP!$B$48:$R$82,14,FALSE),"")</f>
        <v/>
      </c>
      <c r="ES25" s="279"/>
      <c r="ET25" s="280"/>
      <c r="EU25" s="266"/>
      <c r="EV25" s="267"/>
      <c r="EW25" s="267"/>
      <c r="EX25" s="267"/>
      <c r="EY25" s="32" t="str">
        <f>IFERROR(IF(VLOOKUP(EU25,CLP!$B$48:$R$82,10,FALSE)=0,"",VLOOKUP(EU25,CLP!$B$48:$R$82,10,FALSE)),"")</f>
        <v/>
      </c>
      <c r="EZ25" s="52" t="str">
        <f>IFERROR(VLOOKUP(EU25,CLP!$B$48:$R$82,9,FALSE),"")</f>
        <v/>
      </c>
      <c r="FA25" s="277" t="str">
        <f>IFERROR(VLOOKUP(FA23,CLP!$B$2:$O$36,14,FALSE),"")</f>
        <v/>
      </c>
      <c r="FB25" s="278"/>
      <c r="FC25" s="278"/>
      <c r="FD25" s="279" t="str">
        <f>IFERROR(VLOOKUP(FA23,CLP!$B$48:$R$82,14,FALSE),"")</f>
        <v/>
      </c>
      <c r="FE25" s="279"/>
      <c r="FF25" s="280"/>
      <c r="FG25" s="277" t="str">
        <f>IFERROR(VLOOKUP(FG23,LIB!$B$2:$O$36,14,FALSE),"")</f>
        <v/>
      </c>
      <c r="FH25" s="278"/>
      <c r="FI25" s="278"/>
      <c r="FJ25" s="279" t="str">
        <f>IFERROR(VLOOKUP(FG23,LIB!$B$48:$R$82,14,FALSE),"")</f>
        <v/>
      </c>
      <c r="FK25" s="279"/>
      <c r="FL25" s="280"/>
      <c r="FM25" s="266"/>
      <c r="FN25" s="267"/>
      <c r="FO25" s="267"/>
      <c r="FP25" s="267"/>
      <c r="FQ25" s="32" t="str">
        <f>IFERROR(IF(VLOOKUP(FM25,LIB!$B$48:$R$82,10,FALSE)=0,"",VLOOKUP(FM25,LIB!$B$48:$R$82,10,FALSE)),"")</f>
        <v/>
      </c>
      <c r="FR25" s="52" t="str">
        <f>IFERROR(VLOOKUP(FM25,LIB!$B$48:$R$82,9,FALSE),"")</f>
        <v/>
      </c>
      <c r="FS25" s="277" t="str">
        <f>IFERROR(VLOOKUP(FS23,LIB!$B$2:$O$36,14,FALSE),"")</f>
        <v/>
      </c>
      <c r="FT25" s="278"/>
      <c r="FU25" s="278"/>
      <c r="FV25" s="279" t="str">
        <f>IFERROR(VLOOKUP(FS23,LIB!$B$48:$R$82,14,FALSE),"")</f>
        <v/>
      </c>
      <c r="FW25" s="279"/>
      <c r="FX25" s="280"/>
    </row>
    <row r="26" spans="1:180" ht="15.6" customHeight="1" thickBot="1" x14ac:dyDescent="0.3">
      <c r="A26" s="243" t="str">
        <f>IFERROR(VLOOKUP(A23,SKV!$B$48:$AA$82,16,FALSE),"")</f>
        <v>SK Florbal Benešov</v>
      </c>
      <c r="B26" s="244"/>
      <c r="C26" s="245"/>
      <c r="D26" s="246">
        <f>IFERROR(VLOOKUP(A23,SKV!$B$48:$AA$82,17,FALSE),"")</f>
        <v>2009</v>
      </c>
      <c r="E26" s="247"/>
      <c r="F26" s="124">
        <f>IFERROR(VLOOKUP(A23,SKV!$B$48:$AA$82,8,FALSE),"")</f>
        <v>1</v>
      </c>
      <c r="G26" s="34" t="str">
        <f>IFERROR(VLOOKUP(G25,SKV!$B$48:$AA$82,11,FALSE),"")</f>
        <v>L</v>
      </c>
      <c r="H26" s="269">
        <f>IFERROR(YEAR(VLOOKUP(G25,SKV!$B$48:$AA$82,2,FALSE)),"")</f>
        <v>2001</v>
      </c>
      <c r="I26" s="240"/>
      <c r="J26" s="35">
        <f ca="1">IFERROR(VLOOKUP(G25,SKV!$B$48:$AA$82,3,FALSE),"")</f>
        <v>19</v>
      </c>
      <c r="K26" s="270" t="str">
        <f>IFERROR(VLOOKUP(G25,SKV!$B$48:$AA$82,15,FALSE),"")</f>
        <v>181/80</v>
      </c>
      <c r="L26" s="271"/>
      <c r="M26" s="243" t="str">
        <f>IFERROR(VLOOKUP(M23,SKV!$B$48:$AA$82,16,FALSE),"")</f>
        <v>SKV</v>
      </c>
      <c r="N26" s="244"/>
      <c r="O26" s="245"/>
      <c r="P26" s="246">
        <f>IFERROR(VLOOKUP(M23,SKV!$B$48:$AA$82,17,FALSE),"")</f>
        <v>2015</v>
      </c>
      <c r="Q26" s="247"/>
      <c r="R26" s="124">
        <f>IFERROR(VLOOKUP(M23,SKV!$B$48:$AA$82,8,FALSE),"")</f>
        <v>3</v>
      </c>
      <c r="S26" s="243" t="str">
        <f>IFERROR(VLOOKUP(S23,CHO!$B$48:$AA$82,16,FALSE),"")</f>
        <v>FBK Vosy Praha</v>
      </c>
      <c r="T26" s="244"/>
      <c r="U26" s="245"/>
      <c r="V26" s="246">
        <f>IFERROR(VLOOKUP(S23,CHO!$B$48:$AA$82,17,FALSE),"")</f>
        <v>2007</v>
      </c>
      <c r="W26" s="247"/>
      <c r="X26" s="124">
        <f>IFERROR(VLOOKUP(S23,CHO!$B$48:$AA$82,8,FALSE),"")</f>
        <v>4</v>
      </c>
      <c r="Y26" s="34" t="str">
        <f>IFERROR(VLOOKUP(Y25,CHO!$B$48:$AA$82,11,FALSE),"")</f>
        <v>L</v>
      </c>
      <c r="Z26" s="269">
        <f>IFERROR(YEAR(VLOOKUP(Y25,CHO!$B$48:$AA$82,2,FALSE)),"")</f>
        <v>1997</v>
      </c>
      <c r="AA26" s="240"/>
      <c r="AB26" s="35">
        <f ca="1">IFERROR(VLOOKUP(Y25,CHO!$B$48:$AA$82,3,FALSE),"")</f>
        <v>24</v>
      </c>
      <c r="AC26" s="270" t="str">
        <f>IFERROR(VLOOKUP(Y25,CHO!$B$48:$AA$82,15,FALSE),"")</f>
        <v>184/78</v>
      </c>
      <c r="AD26" s="271"/>
      <c r="AE26" s="243" t="str">
        <f>IFERROR(VLOOKUP(AE23,CHO!$B$48:$AA$82,16,FALSE),"")</f>
        <v>FC Bučis Team</v>
      </c>
      <c r="AF26" s="244"/>
      <c r="AG26" s="245"/>
      <c r="AH26" s="246">
        <f>IFERROR(VLOOKUP(AE23,CHO!$B$48:$AA$82,17,FALSE),"")</f>
        <v>2007</v>
      </c>
      <c r="AI26" s="247"/>
      <c r="AJ26" s="124">
        <f>IFERROR(VLOOKUP(AE23,CHO!$B$48:$AA$82,8,FALSE),"")</f>
        <v>3</v>
      </c>
      <c r="AK26" s="243" t="str">
        <f>IFERROR(VLOOKUP(AK23,VIT!$B$48:$R$82,16,FALSE),"")</f>
        <v/>
      </c>
      <c r="AL26" s="244"/>
      <c r="AM26" s="245"/>
      <c r="AN26" s="246" t="str">
        <f>IFERROR(VLOOKUP(AK23,VIT!$B$48:$R$82,17,FALSE),"")</f>
        <v/>
      </c>
      <c r="AO26" s="247"/>
      <c r="AP26" s="124" t="str">
        <f>IFERROR(VLOOKUP(AK23,VIT!$B$48:$R$82,8,FALSE),"")</f>
        <v/>
      </c>
      <c r="AQ26" s="34" t="str">
        <f>IFERROR(VLOOKUP(AQ25,VIT!$B$48:$R$82,11,FALSE),"")</f>
        <v/>
      </c>
      <c r="AR26" s="269" t="str">
        <f>IFERROR(YEAR(VLOOKUP(AQ25,VIT!$B$48:$R$82,2,FALSE)),"")</f>
        <v/>
      </c>
      <c r="AS26" s="240"/>
      <c r="AT26" s="106" t="str">
        <f>IFERROR(VLOOKUP(AQ25,VIT!$B$48:$R$82,3,FALSE),"")</f>
        <v/>
      </c>
      <c r="AU26" s="270" t="str">
        <f>IFERROR(VLOOKUP(AQ25,VIT!$B$48:$R$82,15,FALSE),"")</f>
        <v/>
      </c>
      <c r="AV26" s="271"/>
      <c r="AW26" s="243" t="str">
        <f>IFERROR(VLOOKUP(AW23,VIT!$B$48:$R$82,16,FALSE),"")</f>
        <v/>
      </c>
      <c r="AX26" s="244"/>
      <c r="AY26" s="245"/>
      <c r="AZ26" s="246" t="str">
        <f>IFERROR(VLOOKUP(AW23,VIT!$B$48:$R$82,17,FALSE),"")</f>
        <v/>
      </c>
      <c r="BA26" s="247"/>
      <c r="BB26" s="124" t="str">
        <f>IFERROR(VLOOKUP(AW23,VIT!$B$48:$R$82,8,FALSE),"")</f>
        <v/>
      </c>
      <c r="BC26" s="243" t="str">
        <f>IFERROR(VLOOKUP(BC23,MB!$B$48:$R$82,16,FALSE),"")</f>
        <v>Vosy Praha</v>
      </c>
      <c r="BD26" s="244"/>
      <c r="BE26" s="245"/>
      <c r="BF26" s="246">
        <f>IFERROR(VLOOKUP(BC23,MB!$B$48:$R$82,17,FALSE),"")</f>
        <v>2005</v>
      </c>
      <c r="BG26" s="247"/>
      <c r="BH26" s="124">
        <f>IFERROR(VLOOKUP(BC23,MB!$B$48:$R$82,8,FALSE),"")</f>
        <v>10</v>
      </c>
      <c r="BI26" s="34" t="str">
        <f>IFERROR(VLOOKUP(BI25,MB!$B$48:$R$82,11,FALSE),"")</f>
        <v>L</v>
      </c>
      <c r="BJ26" s="269">
        <f>IFERROR(YEAR(VLOOKUP(BI25,MB!$B$48:$R$82,2,FALSE)),"")</f>
        <v>2003</v>
      </c>
      <c r="BK26" s="240"/>
      <c r="BL26" s="108">
        <f ca="1">IFERROR(VLOOKUP(BI25,MB!$B$48:$R$82,3,FALSE),"")</f>
        <v>17</v>
      </c>
      <c r="BM26" s="270" t="str">
        <f>IFERROR(VLOOKUP(BI25,MB!$B$48:$R$82,15,FALSE),"")</f>
        <v>185/71</v>
      </c>
      <c r="BN26" s="271"/>
      <c r="BO26" s="243" t="str">
        <f>IFERROR(VLOOKUP(BO23,MB!$B$48:$R$82,16,FALSE),"")</f>
        <v>Vosy Praha</v>
      </c>
      <c r="BP26" s="244"/>
      <c r="BQ26" s="245"/>
      <c r="BR26" s="246">
        <f>IFERROR(VLOOKUP(BO23,MB!$B$48:$R$82,17,FALSE),"")</f>
        <v>2005</v>
      </c>
      <c r="BS26" s="247"/>
      <c r="BT26" s="124">
        <f>IFERROR(VLOOKUP(BO23,MB!$B$48:$R$82,8,FALSE),"")</f>
        <v>9</v>
      </c>
      <c r="BU26" s="243" t="str">
        <f>IFERROR(VLOOKUP(BU23,TAT!$B$48:$R$82,16,FALSE),"")</f>
        <v/>
      </c>
      <c r="BV26" s="244"/>
      <c r="BW26" s="245"/>
      <c r="BX26" s="246" t="str">
        <f>IFERROR(VLOOKUP(BU23,TAT!$B$48:$R$82,17,FALSE),"")</f>
        <v/>
      </c>
      <c r="BY26" s="247"/>
      <c r="BZ26" s="124" t="str">
        <f>IFERROR(VLOOKUP(BU23,TAT!$B$48:$R$82,8,FALSE),"")</f>
        <v/>
      </c>
      <c r="CA26" s="34" t="str">
        <f>IFERROR(VLOOKUP(CA25,TAT!$B$48:$R$82,11,FALSE),"")</f>
        <v/>
      </c>
      <c r="CB26" s="269" t="str">
        <f>IFERROR(YEAR(VLOOKUP(CA25,TAT!$B$48:$R$82,2,FALSE)),"")</f>
        <v/>
      </c>
      <c r="CC26" s="240"/>
      <c r="CD26" s="150" t="str">
        <f>IFERROR(VLOOKUP(CA25,TAT!$B$48:$R$82,3,FALSE),"")</f>
        <v/>
      </c>
      <c r="CE26" s="270" t="str">
        <f>IFERROR(VLOOKUP(CA25,TAT!$B$48:$R$82,15,FALSE),"")</f>
        <v/>
      </c>
      <c r="CF26" s="271"/>
      <c r="CG26" s="243" t="str">
        <f>IFERROR(VLOOKUP(CG23,TAT!$B$48:$R$82,16,FALSE),"")</f>
        <v/>
      </c>
      <c r="CH26" s="244"/>
      <c r="CI26" s="245"/>
      <c r="CJ26" s="246" t="str">
        <f>IFERROR(VLOOKUP(CG23,TAT!$B$48:$R$82,17,FALSE),"")</f>
        <v/>
      </c>
      <c r="CK26" s="247"/>
      <c r="CL26" s="124" t="str">
        <f>IFERROR(VLOOKUP(CG23,TAT!$B$48:$R$82,8,FALSE),"")</f>
        <v/>
      </c>
      <c r="CM26" s="243" t="str">
        <f>IFERROR(VLOOKUP(CM23,OTR!$B$48:$R$82,16,FALSE),"")</f>
        <v>Panthers Otrokovice</v>
      </c>
      <c r="CN26" s="244"/>
      <c r="CO26" s="245"/>
      <c r="CP26" s="246">
        <f>IFERROR(VLOOKUP(CM23,OTR!$B$48:$R$82,17,FALSE),"")</f>
        <v>2016</v>
      </c>
      <c r="CQ26" s="247"/>
      <c r="CR26" s="124">
        <f>IFERROR(VLOOKUP(CM23,OTR!$B$48:$R$82,8,FALSE),"")</f>
        <v>2</v>
      </c>
      <c r="CS26" s="34" t="str">
        <f>IFERROR(VLOOKUP(CS25,OTR!$B$48:$R$82,11,FALSE),"")</f>
        <v>P</v>
      </c>
      <c r="CT26" s="269">
        <f>IFERROR(YEAR(VLOOKUP(CS25,OTR!$B$48:$R$82,2,FALSE)),"")</f>
        <v>1983</v>
      </c>
      <c r="CU26" s="240"/>
      <c r="CV26" s="150">
        <f ca="1">IFERROR(VLOOKUP(CS25,OTR!$B$48:$R$82,3,FALSE),"")</f>
        <v>37</v>
      </c>
      <c r="CW26" s="270" t="str">
        <f>IFERROR(VLOOKUP(CS25,OTR!$B$48:$R$82,15,FALSE),"")</f>
        <v>180/80</v>
      </c>
      <c r="CX26" s="271"/>
      <c r="CY26" s="243" t="str">
        <f>IFERROR(VLOOKUP(CY23,OTR!$B$48:$R$82,16,FALSE),"")</f>
        <v>Panthers Otrokovice</v>
      </c>
      <c r="CZ26" s="244"/>
      <c r="DA26" s="245"/>
      <c r="DB26" s="246">
        <f>IFERROR(VLOOKUP(CY23,OTR!$B$48:$R$82,17,FALSE),"")</f>
        <v>2004</v>
      </c>
      <c r="DC26" s="247"/>
      <c r="DD26" s="124">
        <f>IFERROR(VLOOKUP(CY23,OTR!$B$48:$R$82,8,FALSE),"")</f>
        <v>10</v>
      </c>
      <c r="DE26" s="243" t="str">
        <f>IFERROR(VLOOKUP(DE23,BOH!$B$48:$R$82,16,FALSE),"")</f>
        <v>Děkanka</v>
      </c>
      <c r="DF26" s="244"/>
      <c r="DG26" s="245"/>
      <c r="DH26" s="246" t="str">
        <f>IFERROR(VLOOKUP(DE23,BOH!$B$48:$R$82,17,FALSE),"")</f>
        <v>-</v>
      </c>
      <c r="DI26" s="247"/>
      <c r="DJ26" s="124">
        <f>IFERROR(VLOOKUP(DE23,BOH!$B$48:$R$82,8,FALSE),"")</f>
        <v>13</v>
      </c>
      <c r="DK26" s="34" t="str">
        <f>IFERROR(VLOOKUP(DK25,BOH!$B$48:$R$82,11,FALSE),"")</f>
        <v>L</v>
      </c>
      <c r="DL26" s="269">
        <f>IFERROR(YEAR(VLOOKUP(DK25,BOH!$B$48:$R$82,2,FALSE)),"")</f>
        <v>2002</v>
      </c>
      <c r="DM26" s="240"/>
      <c r="DN26" s="165">
        <f ca="1">IFERROR(VLOOKUP(DK25,BOH!$B$48:$R$82,3,FALSE),"")</f>
        <v>18</v>
      </c>
      <c r="DO26" s="270" t="str">
        <f>IFERROR(VLOOKUP(DK25,BOH!$B$48:$R$82,15,FALSE),"")</f>
        <v>187/73</v>
      </c>
      <c r="DP26" s="271"/>
      <c r="DQ26" s="243" t="str">
        <f>IFERROR(VLOOKUP(DQ23,BOH!$B$48:$R$82,16,FALSE),"")</f>
        <v>Florko Košice</v>
      </c>
      <c r="DR26" s="244"/>
      <c r="DS26" s="245"/>
      <c r="DT26" s="246" t="str">
        <f>IFERROR(VLOOKUP(DQ23,BOH!$B$48:$R$82,17,FALSE),"")</f>
        <v>-</v>
      </c>
      <c r="DU26" s="247"/>
      <c r="DV26" s="124">
        <f>IFERROR(VLOOKUP(DQ23,BOH!$B$48:$R$82,8,FALSE),"")</f>
        <v>2</v>
      </c>
      <c r="DW26" s="243" t="str">
        <f>IFERROR(VLOOKUP(DW23,SPA!$B$48:$R$82,16,FALSE),"")</f>
        <v/>
      </c>
      <c r="DX26" s="244"/>
      <c r="DY26" s="245"/>
      <c r="DZ26" s="246" t="str">
        <f>IFERROR(VLOOKUP(DW23,SPA!$B$48:$R$82,17,FALSE),"")</f>
        <v/>
      </c>
      <c r="EA26" s="247"/>
      <c r="EB26" s="124" t="str">
        <f>IFERROR(VLOOKUP(DW23,SPA!$B$48:$R$82,8,FALSE),"")</f>
        <v/>
      </c>
      <c r="EC26" s="34" t="str">
        <f>IFERROR(VLOOKUP(EC25,SPA!$B$48:$R$82,11,FALSE),"")</f>
        <v/>
      </c>
      <c r="ED26" s="269" t="str">
        <f>IFERROR(YEAR(VLOOKUP(EC25,SPA!$B$48:$R$82,2,FALSE)),"")</f>
        <v/>
      </c>
      <c r="EE26" s="240"/>
      <c r="EF26" s="165" t="str">
        <f>IFERROR(VLOOKUP(EC25,SPA!$B$48:$R$82,3,FALSE),"")</f>
        <v/>
      </c>
      <c r="EG26" s="270" t="str">
        <f>IFERROR(VLOOKUP(EC25,SPA!$B$48:$R$82,15,FALSE),"")</f>
        <v/>
      </c>
      <c r="EH26" s="271"/>
      <c r="EI26" s="243" t="str">
        <f>IFERROR(VLOOKUP(EI23,SPA!$B$48:$R$82,16,FALSE),"")</f>
        <v/>
      </c>
      <c r="EJ26" s="244"/>
      <c r="EK26" s="245"/>
      <c r="EL26" s="246" t="str">
        <f>IFERROR(VLOOKUP(EI23,SPA!$B$48:$R$82,17,FALSE),"")</f>
        <v/>
      </c>
      <c r="EM26" s="247"/>
      <c r="EN26" s="124" t="str">
        <f>IFERROR(VLOOKUP(EI23,SPA!$B$48:$R$82,8,FALSE),"")</f>
        <v/>
      </c>
      <c r="EO26" s="243" t="str">
        <f>IFERROR(VLOOKUP(EO23,CLP!$B$48:$R$82,16,FALSE),"")</f>
        <v/>
      </c>
      <c r="EP26" s="244"/>
      <c r="EQ26" s="245"/>
      <c r="ER26" s="246" t="str">
        <f>IFERROR(VLOOKUP(EO23,CLP!$B$48:$R$82,17,FALSE),"")</f>
        <v/>
      </c>
      <c r="ES26" s="247"/>
      <c r="ET26" s="124" t="str">
        <f>IFERROR(VLOOKUP(EO23,CLP!$B$48:$R$82,8,FALSE),"")</f>
        <v/>
      </c>
      <c r="EU26" s="34" t="str">
        <f>IFERROR(VLOOKUP(EU25,CLP!$B$48:$R$82,11,FALSE),"")</f>
        <v/>
      </c>
      <c r="EV26" s="269" t="str">
        <f>IFERROR(YEAR(VLOOKUP(EU25,CLP!$B$48:$R$82,2,FALSE)),"")</f>
        <v/>
      </c>
      <c r="EW26" s="240"/>
      <c r="EX26" s="204" t="str">
        <f>IFERROR(VLOOKUP(EU25,CLP!$B$48:$R$82,3,FALSE),"")</f>
        <v/>
      </c>
      <c r="EY26" s="270" t="str">
        <f>IFERROR(VLOOKUP(EU25,CLP!$B$48:$R$82,15,FALSE),"")</f>
        <v/>
      </c>
      <c r="EZ26" s="271"/>
      <c r="FA26" s="243" t="str">
        <f>IFERROR(VLOOKUP(FA23,CLP!$B$48:$R$82,16,FALSE),"")</f>
        <v/>
      </c>
      <c r="FB26" s="244"/>
      <c r="FC26" s="245"/>
      <c r="FD26" s="246" t="str">
        <f>IFERROR(VLOOKUP(FA23,CLP!$B$48:$R$82,17,FALSE),"")</f>
        <v/>
      </c>
      <c r="FE26" s="247"/>
      <c r="FF26" s="124" t="str">
        <f>IFERROR(VLOOKUP(FA23,CLP!$B$48:$R$82,8,FALSE),"")</f>
        <v/>
      </c>
      <c r="FG26" s="243" t="str">
        <f>IFERROR(VLOOKUP(FG23,LIB!$B$48:$R$82,16,FALSE),"")</f>
        <v/>
      </c>
      <c r="FH26" s="244"/>
      <c r="FI26" s="245"/>
      <c r="FJ26" s="246" t="str">
        <f>IFERROR(VLOOKUP(FG23,LIB!$B$48:$R$82,17,FALSE),"")</f>
        <v/>
      </c>
      <c r="FK26" s="247"/>
      <c r="FL26" s="124" t="str">
        <f>IFERROR(VLOOKUP(FG23,LIB!$B$48:$R$82,8,FALSE),"")</f>
        <v/>
      </c>
      <c r="FM26" s="34" t="str">
        <f>IFERROR(VLOOKUP(FM25,LIB!$B$48:$R$82,11,FALSE),"")</f>
        <v/>
      </c>
      <c r="FN26" s="269" t="str">
        <f>IFERROR(YEAR(VLOOKUP(FM25,LIB!$B$48:$R$82,2,FALSE)),"")</f>
        <v/>
      </c>
      <c r="FO26" s="240"/>
      <c r="FP26" s="204" t="str">
        <f>IFERROR(VLOOKUP(FM25,LIB!$B$48:$R$82,3,FALSE),"")</f>
        <v/>
      </c>
      <c r="FQ26" s="270" t="str">
        <f>IFERROR(VLOOKUP(FM25,LIB!$B$48:$R$82,15,FALSE),"")</f>
        <v/>
      </c>
      <c r="FR26" s="271"/>
      <c r="FS26" s="243" t="str">
        <f>IFERROR(VLOOKUP(FS23,LIB!$B$48:$R$82,16,FALSE),"")</f>
        <v/>
      </c>
      <c r="FT26" s="244"/>
      <c r="FU26" s="245"/>
      <c r="FV26" s="246" t="str">
        <f>IFERROR(VLOOKUP(FS23,LIB!$B$48:$R$82,17,FALSE),"")</f>
        <v/>
      </c>
      <c r="FW26" s="247"/>
      <c r="FX26" s="124" t="str">
        <f>IFERROR(VLOOKUP(FS23,LIB!$B$48:$R$82,8,FALSE),"")</f>
        <v/>
      </c>
    </row>
    <row r="27" spans="1:180" ht="15.6" customHeight="1" thickTop="1" thickBot="1" x14ac:dyDescent="0.3">
      <c r="A27" s="16"/>
      <c r="B27" s="16"/>
      <c r="C27" s="16"/>
      <c r="D27" s="16"/>
      <c r="E27" s="33"/>
      <c r="F27" s="33"/>
      <c r="G27" s="277" t="str">
        <f>IFERROR(VLOOKUP(G25,SKV!$B$2:$O$36,14,FALSE),"")</f>
        <v>22 OZ , 7 (5+2), -4 ±</v>
      </c>
      <c r="H27" s="278"/>
      <c r="I27" s="278"/>
      <c r="J27" s="279" t="str">
        <f>IFERROR(VLOOKUP(G25,SKV!$B$48:$AA$82,14,FALSE),"")</f>
        <v>55 OZ, 15 (8+7)</v>
      </c>
      <c r="K27" s="279"/>
      <c r="L27" s="280"/>
      <c r="M27" s="33"/>
      <c r="N27" s="33"/>
      <c r="O27" s="33"/>
      <c r="P27" s="33"/>
      <c r="Q27" s="33"/>
      <c r="R27" s="33"/>
      <c r="S27" s="16"/>
      <c r="T27" s="16"/>
      <c r="U27" s="16"/>
      <c r="V27" s="16"/>
      <c r="W27" s="33"/>
      <c r="X27" s="33"/>
      <c r="Y27" s="277" t="str">
        <f>IFERROR(VLOOKUP(Y25,CHO!$B$2:$O$36,14,FALSE),"")</f>
        <v>21 OZ , 9 (6+3), +5 ±</v>
      </c>
      <c r="Z27" s="278"/>
      <c r="AA27" s="278"/>
      <c r="AB27" s="279" t="str">
        <f>IFERROR(VLOOKUP(Y25,CHO!$B$48:$AA$82,14,FALSE),"")</f>
        <v>101 OZ, 56 (32+24)</v>
      </c>
      <c r="AC27" s="279"/>
      <c r="AD27" s="280"/>
      <c r="AE27" s="33"/>
      <c r="AF27" s="33"/>
      <c r="AG27" s="33"/>
      <c r="AH27" s="33"/>
      <c r="AI27" s="33"/>
      <c r="AJ27" s="33"/>
      <c r="AK27" s="16"/>
      <c r="AL27" s="16"/>
      <c r="AM27" s="16"/>
      <c r="AN27" s="16"/>
      <c r="AO27" s="33"/>
      <c r="AP27" s="33"/>
      <c r="AQ27" s="277" t="str">
        <f>IFERROR(VLOOKUP(AQ25,VIT!$B$2:$O$36,14,FALSE),"")</f>
        <v/>
      </c>
      <c r="AR27" s="278"/>
      <c r="AS27" s="278"/>
      <c r="AT27" s="279" t="str">
        <f>IFERROR(VLOOKUP(AQ25,VIT!$B$48:$R$82,14,FALSE),"")</f>
        <v/>
      </c>
      <c r="AU27" s="279"/>
      <c r="AV27" s="280"/>
      <c r="AW27" s="33"/>
      <c r="AX27" s="33"/>
      <c r="AY27" s="33"/>
      <c r="AZ27" s="33"/>
      <c r="BA27" s="33"/>
      <c r="BB27" s="33"/>
      <c r="BC27" s="16"/>
      <c r="BD27" s="16"/>
      <c r="BE27" s="16"/>
      <c r="BF27" s="16"/>
      <c r="BG27" s="33"/>
      <c r="BH27" s="33"/>
      <c r="BI27" s="277" t="str">
        <f>IFERROR(VLOOKUP(BI25,MB!$B$2:$O$36,14,FALSE),"")</f>
        <v>21 OZ , 11 (6+5), +16 ±</v>
      </c>
      <c r="BJ27" s="278"/>
      <c r="BK27" s="278"/>
      <c r="BL27" s="279" t="str">
        <f>IFERROR(VLOOKUP(BI25,MB!$B$48:$R$82,14,FALSE),"")</f>
        <v>21 OZ, 11 (6+5)</v>
      </c>
      <c r="BM27" s="279"/>
      <c r="BN27" s="280"/>
      <c r="BO27" s="33"/>
      <c r="BP27" s="33"/>
      <c r="BQ27" s="33"/>
      <c r="BR27" s="33"/>
      <c r="BS27" s="33"/>
      <c r="BT27" s="33"/>
      <c r="BU27" s="16"/>
      <c r="BV27" s="16"/>
      <c r="BW27" s="16"/>
      <c r="BX27" s="16"/>
      <c r="BY27" s="33"/>
      <c r="BZ27" s="33"/>
      <c r="CA27" s="277" t="str">
        <f>IFERROR(VLOOKUP(CA25,TAT!$B$2:$O$36,14,FALSE),"")</f>
        <v/>
      </c>
      <c r="CB27" s="278"/>
      <c r="CC27" s="278"/>
      <c r="CD27" s="279" t="str">
        <f>IFERROR(VLOOKUP(CA25,TAT!$B$48:$R$82,14,FALSE),"")</f>
        <v/>
      </c>
      <c r="CE27" s="279"/>
      <c r="CF27" s="280"/>
      <c r="CG27" s="33"/>
      <c r="CH27" s="33"/>
      <c r="CI27" s="33"/>
      <c r="CJ27" s="33"/>
      <c r="CK27" s="33"/>
      <c r="CL27" s="33"/>
      <c r="CM27" s="16"/>
      <c r="CN27" s="16"/>
      <c r="CO27" s="16"/>
      <c r="CP27" s="16"/>
      <c r="CQ27" s="33"/>
      <c r="CR27" s="33"/>
      <c r="CS27" s="277" t="str">
        <f>IFERROR(VLOOKUP(CS25,OTR!$B$2:$O$36,14,FALSE),"")</f>
        <v>14 OZ , 5 (3+2), -18 ±</v>
      </c>
      <c r="CT27" s="278"/>
      <c r="CU27" s="278"/>
      <c r="CV27" s="279" t="str">
        <f>IFERROR(VLOOKUP(CS25,OTR!$B$48:$R$82,14,FALSE),"")</f>
        <v>198 OZ, 117 (75+42)</v>
      </c>
      <c r="CW27" s="279"/>
      <c r="CX27" s="280"/>
      <c r="CY27" s="33"/>
      <c r="CZ27" s="33"/>
      <c r="DA27" s="33"/>
      <c r="DB27" s="33"/>
      <c r="DC27" s="33"/>
      <c r="DD27" s="33"/>
      <c r="DE27" s="16"/>
      <c r="DF27" s="16"/>
      <c r="DG27" s="16"/>
      <c r="DH27" s="16"/>
      <c r="DI27" s="33"/>
      <c r="DJ27" s="33"/>
      <c r="DK27" s="277" t="str">
        <f>IFERROR(VLOOKUP(DK25,BOH!$B$2:$O$36,14,FALSE),"")</f>
        <v>12 OZ , 5 (3+2), +8 ±</v>
      </c>
      <c r="DL27" s="278"/>
      <c r="DM27" s="278"/>
      <c r="DN27" s="279" t="str">
        <f>IFERROR(VLOOKUP(DK25,BOH!$B$48:$R$82,14,FALSE),"")</f>
        <v>12 OZ, 5 (3+2)</v>
      </c>
      <c r="DO27" s="279"/>
      <c r="DP27" s="280"/>
      <c r="DQ27" s="33"/>
      <c r="DR27" s="33"/>
      <c r="DS27" s="33"/>
      <c r="DT27" s="33"/>
      <c r="DU27" s="33"/>
      <c r="DV27" s="33"/>
      <c r="DW27" s="16"/>
      <c r="DX27" s="16"/>
      <c r="DY27" s="16"/>
      <c r="DZ27" s="16"/>
      <c r="EA27" s="33"/>
      <c r="EB27" s="33"/>
      <c r="EC27" s="277" t="str">
        <f>IFERROR(VLOOKUP(EC25,SPA!$B$2:$O$36,14,FALSE),"")</f>
        <v/>
      </c>
      <c r="ED27" s="278"/>
      <c r="EE27" s="278"/>
      <c r="EF27" s="279" t="str">
        <f>IFERROR(VLOOKUP(EC25,SPA!$B$48:$R$82,14,FALSE),"")</f>
        <v/>
      </c>
      <c r="EG27" s="279"/>
      <c r="EH27" s="280"/>
      <c r="EI27" s="33"/>
      <c r="EJ27" s="33"/>
      <c r="EK27" s="33"/>
      <c r="EL27" s="33"/>
      <c r="EM27" s="33"/>
      <c r="EN27" s="33"/>
      <c r="EO27" s="16"/>
      <c r="EP27" s="16"/>
      <c r="EQ27" s="16"/>
      <c r="ER27" s="16"/>
      <c r="ES27" s="33"/>
      <c r="ET27" s="33"/>
      <c r="EU27" s="277" t="str">
        <f>IFERROR(VLOOKUP(EU25,CLP!$B$2:$O$36,14,FALSE),"")</f>
        <v/>
      </c>
      <c r="EV27" s="278"/>
      <c r="EW27" s="278"/>
      <c r="EX27" s="279" t="str">
        <f>IFERROR(VLOOKUP(EU25,CLP!$B$48:$R$82,14,FALSE),"")</f>
        <v/>
      </c>
      <c r="EY27" s="279"/>
      <c r="EZ27" s="280"/>
      <c r="FA27" s="33"/>
      <c r="FB27" s="33"/>
      <c r="FC27" s="33"/>
      <c r="FD27" s="33"/>
      <c r="FE27" s="33"/>
      <c r="FF27" s="33"/>
      <c r="FG27" s="16"/>
      <c r="FH27" s="16"/>
      <c r="FI27" s="16"/>
      <c r="FJ27" s="16"/>
      <c r="FK27" s="33"/>
      <c r="FL27" s="33"/>
      <c r="FM27" s="277" t="str">
        <f>IFERROR(VLOOKUP(FM25,LIB!$B$2:$O$36,14,FALSE),"")</f>
        <v/>
      </c>
      <c r="FN27" s="278"/>
      <c r="FO27" s="278"/>
      <c r="FP27" s="279" t="str">
        <f>IFERROR(VLOOKUP(FM25,LIB!$B$48:$R$82,14,FALSE),"")</f>
        <v/>
      </c>
      <c r="FQ27" s="279"/>
      <c r="FR27" s="280"/>
      <c r="FS27" s="33"/>
      <c r="FT27" s="33"/>
      <c r="FU27" s="33"/>
      <c r="FV27" s="33"/>
      <c r="FW27" s="33"/>
      <c r="FX27" s="33"/>
    </row>
    <row r="28" spans="1:180" ht="15.6" customHeight="1" thickTop="1" thickBot="1" x14ac:dyDescent="0.3">
      <c r="A28" s="266" t="s">
        <v>23</v>
      </c>
      <c r="B28" s="267"/>
      <c r="C28" s="267"/>
      <c r="D28" s="267"/>
      <c r="E28" s="32" t="str">
        <f>IFERROR(IF(VLOOKUP(A28,SKV!$B$48:$AA$82,10,FALSE)=0,"",VLOOKUP(A28,SKV!$B$48:$AA$82,10,FALSE)),"")</f>
        <v/>
      </c>
      <c r="F28" s="52">
        <f>IFERROR(VLOOKUP(A28,SKV!$B$48:$AA$82,9,FALSE),"")</f>
        <v>2</v>
      </c>
      <c r="G28" s="243" t="str">
        <f>IFERROR(VLOOKUP(G25,SKV!$B$48:$AA$82,16,FALSE),"")</f>
        <v>Bulldogs Brno</v>
      </c>
      <c r="H28" s="244"/>
      <c r="I28" s="245"/>
      <c r="J28" s="246">
        <f>IFERROR(VLOOKUP(G25,SKV!$B$48:$AA$82,17,FALSE),"")</f>
        <v>2013</v>
      </c>
      <c r="K28" s="247"/>
      <c r="L28" s="124">
        <f>IFERROR(VLOOKUP(G25,SKV!$B$48:$AA$82,8,FALSE),"")</f>
        <v>3</v>
      </c>
      <c r="M28" s="266" t="s">
        <v>52</v>
      </c>
      <c r="N28" s="267"/>
      <c r="O28" s="267"/>
      <c r="P28" s="267"/>
      <c r="Q28" s="32" t="str">
        <f>IFERROR(IF(VLOOKUP(M28,SKV!$B$48:$AA$82,10,FALSE)=0,"",VLOOKUP(M28,SKV!$B$48:$AA$82,10,FALSE)),"")</f>
        <v/>
      </c>
      <c r="R28" s="52">
        <f>IFERROR(VLOOKUP(M28,SKV!$B$48:$AA$82,9,FALSE),"")</f>
        <v>81</v>
      </c>
      <c r="S28" s="266" t="s">
        <v>170</v>
      </c>
      <c r="T28" s="267"/>
      <c r="U28" s="267"/>
      <c r="V28" s="267"/>
      <c r="W28" s="32" t="str">
        <f>IFERROR(IF(VLOOKUP(S28,CHO!$B$48:$AA$82,10,FALSE)=0,"",VLOOKUP(S28,CHO!$B$48:$AA$82,10,FALSE)),"")</f>
        <v/>
      </c>
      <c r="X28" s="52">
        <f>IFERROR(VLOOKUP(S28,CHO!$B$48:$AA$82,9,FALSE),"")</f>
        <v>4</v>
      </c>
      <c r="Y28" s="243" t="str">
        <f>IFERROR(VLOOKUP(Y25,CHO!$B$48:$AA$82,16,FALSE),"")</f>
        <v>FBC Plzeň</v>
      </c>
      <c r="Z28" s="244"/>
      <c r="AA28" s="245"/>
      <c r="AB28" s="246">
        <f>IFERROR(VLOOKUP(Y25,CHO!$B$48:$AA$82,17,FALSE),"")</f>
        <v>2009</v>
      </c>
      <c r="AC28" s="247"/>
      <c r="AD28" s="124">
        <f>IFERROR(VLOOKUP(Y25,CHO!$B$48:$AA$82,8,FALSE),"")</f>
        <v>6</v>
      </c>
      <c r="AE28" s="266" t="s">
        <v>185</v>
      </c>
      <c r="AF28" s="267"/>
      <c r="AG28" s="267"/>
      <c r="AH28" s="267"/>
      <c r="AI28" s="32" t="str">
        <f>IFERROR(IF(VLOOKUP(AE28,CHO!$B$48:$AA$82,10,FALSE)=0,"",VLOOKUP(AE28,CHO!$B$48:$AA$82,10,FALSE)),"")</f>
        <v/>
      </c>
      <c r="AJ28" s="52">
        <f>IFERROR(VLOOKUP(AE28,CHO!$B$48:$AA$82,9,FALSE),"")</f>
        <v>15</v>
      </c>
      <c r="AK28" s="266"/>
      <c r="AL28" s="267"/>
      <c r="AM28" s="267"/>
      <c r="AN28" s="267"/>
      <c r="AO28" s="32" t="str">
        <f>IFERROR(IF(VLOOKUP(AK28,VIT!$B$48:$R$82,10,FALSE)=0,"",VLOOKUP(AK28,VIT!$B$48:$R$82,10,FALSE)),"")</f>
        <v/>
      </c>
      <c r="AP28" s="52" t="str">
        <f>IFERROR(VLOOKUP(AK28,VIT!$B$48:$R$82,9,FALSE),"")</f>
        <v/>
      </c>
      <c r="AQ28" s="243" t="str">
        <f>IFERROR(VLOOKUP(AQ25,VIT!$B$48:$R$82,16,FALSE),"")</f>
        <v/>
      </c>
      <c r="AR28" s="244"/>
      <c r="AS28" s="245"/>
      <c r="AT28" s="246" t="str">
        <f>IFERROR(VLOOKUP(AQ25,VIT!$B$48:$R$82,17,FALSE),"")</f>
        <v/>
      </c>
      <c r="AU28" s="247"/>
      <c r="AV28" s="36" t="str">
        <f>IFERROR(VLOOKUP(AQ25,VIT!$B$48:$R$82,8,FALSE),"")</f>
        <v/>
      </c>
      <c r="AW28" s="266"/>
      <c r="AX28" s="267"/>
      <c r="AY28" s="267"/>
      <c r="AZ28" s="267"/>
      <c r="BA28" s="32" t="str">
        <f>IFERROR(IF(VLOOKUP(AW28,VIT!$B$48:$R$82,10,FALSE)=0,"",VLOOKUP(AW28,VIT!$B$48:$R$82,10,FALSE)),"")</f>
        <v/>
      </c>
      <c r="BB28" s="52" t="str">
        <f>IFERROR(VLOOKUP(AW28,VIT!$B$48:$R$82,9,FALSE),"")</f>
        <v/>
      </c>
      <c r="BC28" s="266" t="s">
        <v>307</v>
      </c>
      <c r="BD28" s="267"/>
      <c r="BE28" s="267"/>
      <c r="BF28" s="267"/>
      <c r="BG28" s="32" t="str">
        <f>IFERROR(IF(VLOOKUP(BC28,MB!$B$48:$R$82,10,FALSE)=0,"",VLOOKUP(BC28,MB!$B$48:$R$82,10,FALSE)),"")</f>
        <v/>
      </c>
      <c r="BH28" s="52">
        <f>IFERROR(VLOOKUP(BC28,MB!$B$48:$R$82,9,FALSE),"")</f>
        <v>28</v>
      </c>
      <c r="BI28" s="243" t="str">
        <f>IFERROR(VLOOKUP(BI25,MB!$B$48:$R$82,16,FALSE),"")</f>
        <v>Mladá Boleslav</v>
      </c>
      <c r="BJ28" s="244"/>
      <c r="BK28" s="245"/>
      <c r="BL28" s="246">
        <f>IFERROR(VLOOKUP(BI25,MB!$B$48:$R$82,17,FALSE),"")</f>
        <v>2011</v>
      </c>
      <c r="BM28" s="247"/>
      <c r="BN28" s="124">
        <f>IFERROR(VLOOKUP(BI25,MB!$B$48:$R$82,8,FALSE),"")</f>
        <v>1</v>
      </c>
      <c r="BO28" s="266" t="s">
        <v>301</v>
      </c>
      <c r="BP28" s="267"/>
      <c r="BQ28" s="267"/>
      <c r="BR28" s="267"/>
      <c r="BS28" s="32" t="str">
        <f>IFERROR(IF(VLOOKUP(BO28,MB!$B$48:$R$82,10,FALSE)=0,"",VLOOKUP(BO28,MB!$B$48:$R$82,10,FALSE)),"")</f>
        <v/>
      </c>
      <c r="BT28" s="52">
        <f>IFERROR(VLOOKUP(BO28,MB!$B$48:$R$82,9,FALSE),"")</f>
        <v>18</v>
      </c>
      <c r="BU28" s="266"/>
      <c r="BV28" s="267"/>
      <c r="BW28" s="267"/>
      <c r="BX28" s="267"/>
      <c r="BY28" s="32" t="str">
        <f>IFERROR(IF(VLOOKUP(BU28,TAT!$B$48:$R$82,10,FALSE)=0,"",VLOOKUP(BU28,TAT!$B$48:$R$82,10,FALSE)),"")</f>
        <v/>
      </c>
      <c r="BZ28" s="52" t="str">
        <f>IFERROR(VLOOKUP(BU28,TAT!$B$48:$R$82,9,FALSE),"")</f>
        <v/>
      </c>
      <c r="CA28" s="243" t="str">
        <f>IFERROR(VLOOKUP(CA25,TAT!$B$48:$R$82,16,FALSE),"")</f>
        <v/>
      </c>
      <c r="CB28" s="244"/>
      <c r="CC28" s="245"/>
      <c r="CD28" s="246" t="str">
        <f>IFERROR(VLOOKUP(CA25,TAT!$B$48:$R$82,17,FALSE),"")</f>
        <v/>
      </c>
      <c r="CE28" s="247"/>
      <c r="CF28" s="124" t="str">
        <f>IFERROR(VLOOKUP(CA25,TAT!$B$48:$R$82,8,FALSE),"")</f>
        <v/>
      </c>
      <c r="CG28" s="266"/>
      <c r="CH28" s="267"/>
      <c r="CI28" s="267"/>
      <c r="CJ28" s="267"/>
      <c r="CK28" s="32" t="str">
        <f>IFERROR(IF(VLOOKUP(CG28,TAT!$B$48:$R$82,10,FALSE)=0,"",VLOOKUP(CG28,TAT!$B$48:$R$82,10,FALSE)),"")</f>
        <v/>
      </c>
      <c r="CL28" s="52" t="str">
        <f>IFERROR(VLOOKUP(CG28,TAT!$B$48:$R$82,9,FALSE),"")</f>
        <v/>
      </c>
      <c r="CM28" s="266" t="s">
        <v>435</v>
      </c>
      <c r="CN28" s="267"/>
      <c r="CO28" s="267"/>
      <c r="CP28" s="267"/>
      <c r="CQ28" s="32" t="str">
        <f>IFERROR(IF(VLOOKUP(CM28,OTR!$B$48:$R$82,10,FALSE)=0,"",VLOOKUP(CM28,OTR!$B$48:$R$82,10,FALSE)),"")</f>
        <v/>
      </c>
      <c r="CR28" s="52">
        <f>IFERROR(VLOOKUP(CM28,OTR!$B$48:$R$82,9,FALSE),"")</f>
        <v>82</v>
      </c>
      <c r="CS28" s="243" t="str">
        <f>IFERROR(VLOOKUP(CS25,OTR!$B$48:$R$82,16,FALSE),"")</f>
        <v>Bedea Kroměříž</v>
      </c>
      <c r="CT28" s="244"/>
      <c r="CU28" s="245"/>
      <c r="CV28" s="246">
        <f>IFERROR(VLOOKUP(CS25,OTR!$B$48:$R$82,17,FALSE),"")</f>
        <v>1998</v>
      </c>
      <c r="CW28" s="247"/>
      <c r="CX28" s="124">
        <f>IFERROR(VLOOKUP(CS25,OTR!$B$48:$R$82,8,FALSE),"")</f>
        <v>10</v>
      </c>
      <c r="CY28" s="266"/>
      <c r="CZ28" s="267"/>
      <c r="DA28" s="267"/>
      <c r="DB28" s="267"/>
      <c r="DC28" s="32" t="str">
        <f>IFERROR(IF(VLOOKUP(CY28,OTR!$B$48:$R$82,10,FALSE)=0,"",VLOOKUP(CY28,OTR!$B$48:$R$82,10,FALSE)),"")</f>
        <v/>
      </c>
      <c r="DD28" s="52" t="str">
        <f>IFERROR(VLOOKUP(CY28,OTR!$B$48:$R$82,9,FALSE),"")</f>
        <v/>
      </c>
      <c r="DE28" s="266" t="s">
        <v>504</v>
      </c>
      <c r="DF28" s="267"/>
      <c r="DG28" s="267"/>
      <c r="DH28" s="267"/>
      <c r="DI28" s="32" t="str">
        <f>IFERROR(IF(VLOOKUP(DE28,BOH!$B$48:$R$82,10,FALSE)=0,"",VLOOKUP(DE28,BOH!$B$48:$R$82,10,FALSE)),"")</f>
        <v/>
      </c>
      <c r="DJ28" s="52">
        <f>IFERROR(VLOOKUP(DE28,BOH!$B$48:$R$82,9,FALSE),"")</f>
        <v>44</v>
      </c>
      <c r="DK28" s="243" t="str">
        <f>IFERROR(VLOOKUP(DK25,BOH!$B$48:$R$82,16,FALSE),"")</f>
        <v>Bulldogs Brno</v>
      </c>
      <c r="DL28" s="244"/>
      <c r="DM28" s="245"/>
      <c r="DN28" s="246">
        <f>IFERROR(VLOOKUP(DK25,BOH!$B$48:$R$82,17,FALSE),"")</f>
        <v>2014</v>
      </c>
      <c r="DO28" s="247"/>
      <c r="DP28" s="124">
        <f>IFERROR(VLOOKUP(DK25,BOH!$B$48:$R$82,8,FALSE),"")</f>
        <v>1</v>
      </c>
      <c r="DQ28" s="266" t="s">
        <v>509</v>
      </c>
      <c r="DR28" s="267"/>
      <c r="DS28" s="267"/>
      <c r="DT28" s="267"/>
      <c r="DU28" s="32" t="str">
        <f>IFERROR(IF(VLOOKUP(DQ28,BOH!$B$48:$R$82,10,FALSE)=0,"",VLOOKUP(DQ28,BOH!$B$48:$R$82,10,FALSE)),"")</f>
        <v/>
      </c>
      <c r="DV28" s="52">
        <f>IFERROR(VLOOKUP(DQ28,BOH!$B$48:$R$82,9,FALSE),"")</f>
        <v>50</v>
      </c>
      <c r="DW28" s="266"/>
      <c r="DX28" s="267"/>
      <c r="DY28" s="267"/>
      <c r="DZ28" s="267"/>
      <c r="EA28" s="32" t="str">
        <f>IFERROR(IF(VLOOKUP(DW28,SPA!$B$48:$R$82,10,FALSE)=0,"",VLOOKUP(DW28,SPA!$B$48:$R$82,10,FALSE)),"")</f>
        <v/>
      </c>
      <c r="EB28" s="52" t="str">
        <f>IFERROR(VLOOKUP(DW28,SPA!$B$48:$R$82,9,FALSE),"")</f>
        <v/>
      </c>
      <c r="EC28" s="243" t="str">
        <f>IFERROR(VLOOKUP(EC25,SPA!$B$48:$R$82,16,FALSE),"")</f>
        <v/>
      </c>
      <c r="ED28" s="244"/>
      <c r="EE28" s="245"/>
      <c r="EF28" s="246" t="str">
        <f>IFERROR(VLOOKUP(EC25,SPA!$B$48:$R$82,17,FALSE),"")</f>
        <v/>
      </c>
      <c r="EG28" s="247"/>
      <c r="EH28" s="124" t="str">
        <f>IFERROR(VLOOKUP(EC25,SPA!$B$48:$R$82,8,FALSE),"")</f>
        <v/>
      </c>
      <c r="EI28" s="266"/>
      <c r="EJ28" s="267"/>
      <c r="EK28" s="267"/>
      <c r="EL28" s="267"/>
      <c r="EM28" s="32" t="str">
        <f>IFERROR(IF(VLOOKUP(EI28,SPA!$B$48:$R$82,10,FALSE)=0,"",VLOOKUP(EI28,SPA!$B$48:$R$82,10,FALSE)),"")</f>
        <v/>
      </c>
      <c r="EN28" s="52" t="str">
        <f>IFERROR(VLOOKUP(EI28,SPA!$B$48:$R$82,9,FALSE),"")</f>
        <v/>
      </c>
      <c r="EO28" s="266"/>
      <c r="EP28" s="267"/>
      <c r="EQ28" s="267"/>
      <c r="ER28" s="267"/>
      <c r="ES28" s="32" t="str">
        <f>IFERROR(IF(VLOOKUP(EO28,CLP!$B$48:$R$82,10,FALSE)=0,"",VLOOKUP(EO28,CLP!$B$48:$R$82,10,FALSE)),"")</f>
        <v/>
      </c>
      <c r="ET28" s="52" t="str">
        <f>IFERROR(VLOOKUP(EO28,CLP!$B$48:$R$82,9,FALSE),"")</f>
        <v/>
      </c>
      <c r="EU28" s="243" t="str">
        <f>IFERROR(VLOOKUP(EU25,CLP!$B$48:$R$82,16,FALSE),"")</f>
        <v/>
      </c>
      <c r="EV28" s="244"/>
      <c r="EW28" s="245"/>
      <c r="EX28" s="246" t="str">
        <f>IFERROR(VLOOKUP(EU25,CLP!$B$48:$R$82,17,FALSE),"")</f>
        <v/>
      </c>
      <c r="EY28" s="247"/>
      <c r="EZ28" s="124" t="str">
        <f>IFERROR(VLOOKUP(EU25,CLP!$B$48:$R$82,8,FALSE),"")</f>
        <v/>
      </c>
      <c r="FA28" s="266"/>
      <c r="FB28" s="267"/>
      <c r="FC28" s="267"/>
      <c r="FD28" s="267"/>
      <c r="FE28" s="32" t="str">
        <f>IFERROR(IF(VLOOKUP(FA28,CLP!$B$48:$R$82,10,FALSE)=0,"",VLOOKUP(FA28,CLP!$B$48:$R$82,10,FALSE)),"")</f>
        <v/>
      </c>
      <c r="FF28" s="52" t="str">
        <f>IFERROR(VLOOKUP(FA28,CLP!$B$48:$R$82,9,FALSE),"")</f>
        <v/>
      </c>
      <c r="FG28" s="266"/>
      <c r="FH28" s="267"/>
      <c r="FI28" s="267"/>
      <c r="FJ28" s="267"/>
      <c r="FK28" s="32" t="str">
        <f>IFERROR(IF(VLOOKUP(FG28,LIB!$B$48:$R$82,10,FALSE)=0,"",VLOOKUP(FG28,LIB!$B$48:$R$82,10,FALSE)),"")</f>
        <v/>
      </c>
      <c r="FL28" s="52" t="str">
        <f>IFERROR(VLOOKUP(FG28,LIB!$B$48:$R$82,9,FALSE),"")</f>
        <v/>
      </c>
      <c r="FM28" s="243" t="str">
        <f>IFERROR(VLOOKUP(FM25,LIB!$B$48:$R$82,16,FALSE),"")</f>
        <v/>
      </c>
      <c r="FN28" s="244"/>
      <c r="FO28" s="245"/>
      <c r="FP28" s="246" t="str">
        <f>IFERROR(VLOOKUP(FM25,LIB!$B$48:$R$82,17,FALSE),"")</f>
        <v/>
      </c>
      <c r="FQ28" s="247"/>
      <c r="FR28" s="124" t="str">
        <f>IFERROR(VLOOKUP(FM25,LIB!$B$48:$R$82,8,FALSE),"")</f>
        <v/>
      </c>
      <c r="FS28" s="266"/>
      <c r="FT28" s="267"/>
      <c r="FU28" s="267"/>
      <c r="FV28" s="267"/>
      <c r="FW28" s="32" t="str">
        <f>IFERROR(IF(VLOOKUP(FS28,LIB!$B$48:$R$82,10,FALSE)=0,"",VLOOKUP(FS28,LIB!$B$48:$R$82,10,FALSE)),"")</f>
        <v/>
      </c>
      <c r="FX28" s="52" t="str">
        <f>IFERROR(VLOOKUP(FS28,LIB!$B$48:$R$82,9,FALSE),"")</f>
        <v/>
      </c>
    </row>
    <row r="29" spans="1:180" ht="15.6" customHeight="1" thickBot="1" x14ac:dyDescent="0.3">
      <c r="A29" s="34" t="str">
        <f>IFERROR(VLOOKUP(A28,SKV!$B$48:$AA$82,11,FALSE),"")</f>
        <v>P</v>
      </c>
      <c r="B29" s="269">
        <f>IFERROR(YEAR(VLOOKUP(A28,SKV!$B$48:$AA$82,2,FALSE)),"")</f>
        <v>1994</v>
      </c>
      <c r="C29" s="240"/>
      <c r="D29" s="35">
        <f ca="1">IFERROR(VLOOKUP(A28,SKV!$B$48:$AA$82,3,FALSE),"")</f>
        <v>27</v>
      </c>
      <c r="E29" s="270" t="str">
        <f>IFERROR(VLOOKUP(A28,SKV!$B$48:$AA$82,15,FALSE),"")</f>
        <v>187/93</v>
      </c>
      <c r="F29" s="271"/>
      <c r="G29" s="33"/>
      <c r="H29" s="33"/>
      <c r="I29" s="33"/>
      <c r="J29" s="33"/>
      <c r="K29" s="33"/>
      <c r="L29" s="33"/>
      <c r="M29" s="34" t="str">
        <f>IFERROR(VLOOKUP(M28,SKV!$B$48:$AA$82,11,FALSE),"")</f>
        <v>L</v>
      </c>
      <c r="N29" s="269">
        <f>IFERROR(YEAR(VLOOKUP(M28,SKV!$B$48:$AA$82,2,FALSE)),"")</f>
        <v>2002</v>
      </c>
      <c r="O29" s="240"/>
      <c r="P29" s="35">
        <f ca="1">IFERROR(VLOOKUP(M28,SKV!$B$48:$AA$82,3,FALSE),"")</f>
        <v>18</v>
      </c>
      <c r="Q29" s="270" t="str">
        <f>IFERROR(VLOOKUP(M28,SKV!$B$48:$AA$82,15,FALSE),"")</f>
        <v>187/61</v>
      </c>
      <c r="R29" s="271"/>
      <c r="S29" s="34" t="str">
        <f>IFERROR(VLOOKUP(S28,CHO!$B$48:$AA$82,11,FALSE),"")</f>
        <v>L</v>
      </c>
      <c r="T29" s="269">
        <f>IFERROR(YEAR(VLOOKUP(S28,CHO!$B$48:$AA$82,2,FALSE)),"")</f>
        <v>1999</v>
      </c>
      <c r="U29" s="240"/>
      <c r="V29" s="35">
        <f ca="1">IFERROR(VLOOKUP(S28,CHO!$B$48:$AA$82,3,FALSE),"")</f>
        <v>22</v>
      </c>
      <c r="W29" s="270" t="str">
        <f>IFERROR(VLOOKUP(S28,CHO!$B$48:$AA$82,15,FALSE),"")</f>
        <v>184/78</v>
      </c>
      <c r="X29" s="271"/>
      <c r="Y29" s="33"/>
      <c r="Z29" s="33"/>
      <c r="AA29" s="33"/>
      <c r="AB29" s="33"/>
      <c r="AC29" s="33"/>
      <c r="AD29" s="33"/>
      <c r="AE29" s="34" t="str">
        <f>IFERROR(VLOOKUP(AE28,CHO!$B$48:$AA$82,11,FALSE),"")</f>
        <v>L</v>
      </c>
      <c r="AF29" s="269">
        <f>IFERROR(YEAR(VLOOKUP(AE28,CHO!$B$48:$AA$82,2,FALSE)),"")</f>
        <v>1987</v>
      </c>
      <c r="AG29" s="240"/>
      <c r="AH29" s="35">
        <f ca="1">IFERROR(VLOOKUP(AE28,CHO!$B$48:$AA$82,3,FALSE),"")</f>
        <v>33</v>
      </c>
      <c r="AI29" s="270" t="str">
        <f>IFERROR(VLOOKUP(AE28,CHO!$B$48:$AA$82,15,FALSE),"")</f>
        <v>178/80</v>
      </c>
      <c r="AJ29" s="271"/>
      <c r="AK29" s="34" t="str">
        <f>IFERROR(VLOOKUP(AK28,VIT!$B$48:$R$82,11,FALSE),"")</f>
        <v/>
      </c>
      <c r="AL29" s="269" t="str">
        <f>IFERROR(YEAR(VLOOKUP(AK28,VIT!$B$48:$R$82,2,FALSE)),"")</f>
        <v/>
      </c>
      <c r="AM29" s="240"/>
      <c r="AN29" s="106" t="str">
        <f>IFERROR(VLOOKUP(AK28,VIT!$B$48:$R$82,3,FALSE),"")</f>
        <v/>
      </c>
      <c r="AO29" s="270" t="str">
        <f>IFERROR(VLOOKUP(AK28,VIT!$B$48:$R$82,15,FALSE),"")</f>
        <v/>
      </c>
      <c r="AP29" s="271"/>
      <c r="AQ29" s="33"/>
      <c r="AR29" s="33"/>
      <c r="AS29" s="33"/>
      <c r="AT29" s="33"/>
      <c r="AU29" s="33"/>
      <c r="AV29" s="33"/>
      <c r="AW29" s="34" t="str">
        <f>IFERROR(VLOOKUP(AW28,VIT!$B$48:$R$82,11,FALSE),"")</f>
        <v/>
      </c>
      <c r="AX29" s="269" t="str">
        <f>IFERROR(YEAR(VLOOKUP(AW28,VIT!$B$48:$R$82,2,FALSE)),"")</f>
        <v/>
      </c>
      <c r="AY29" s="240"/>
      <c r="AZ29" s="106" t="str">
        <f>IFERROR(VLOOKUP(AW28,VIT!$B$48:$R$82,3,FALSE),"")</f>
        <v/>
      </c>
      <c r="BA29" s="270" t="str">
        <f>IFERROR(VLOOKUP(AW28,VIT!$B$48:$R$82,15,FALSE),"")</f>
        <v/>
      </c>
      <c r="BB29" s="271"/>
      <c r="BC29" s="34" t="str">
        <f>IFERROR(VLOOKUP(BC28,MB!$B$48:$R$82,11,FALSE),"")</f>
        <v>P</v>
      </c>
      <c r="BD29" s="269">
        <f>IFERROR(YEAR(VLOOKUP(BC28,MB!$B$48:$R$82,2,FALSE)),"")</f>
        <v>1996</v>
      </c>
      <c r="BE29" s="240"/>
      <c r="BF29" s="108">
        <f ca="1">IFERROR(VLOOKUP(BC28,MB!$B$48:$R$82,3,FALSE),"")</f>
        <v>24</v>
      </c>
      <c r="BG29" s="270" t="str">
        <f>IFERROR(VLOOKUP(BC28,MB!$B$48:$R$82,15,FALSE),"")</f>
        <v>183/85</v>
      </c>
      <c r="BH29" s="271"/>
      <c r="BI29" s="33"/>
      <c r="BJ29" s="33"/>
      <c r="BK29" s="33"/>
      <c r="BL29" s="33"/>
      <c r="BM29" s="33"/>
      <c r="BN29" s="33"/>
      <c r="BO29" s="34" t="str">
        <f>IFERROR(VLOOKUP(BO28,MB!$B$48:$R$82,11,FALSE),"")</f>
        <v>L</v>
      </c>
      <c r="BP29" s="269">
        <f>IFERROR(YEAR(VLOOKUP(BO28,MB!$B$48:$R$82,2,FALSE)),"")</f>
        <v>1994</v>
      </c>
      <c r="BQ29" s="240"/>
      <c r="BR29" s="108">
        <f ca="1">IFERROR(VLOOKUP(BO28,MB!$B$48:$R$82,3,FALSE),"")</f>
        <v>26</v>
      </c>
      <c r="BS29" s="270" t="str">
        <f>IFERROR(VLOOKUP(BO28,MB!$B$48:$R$82,15,FALSE),"")</f>
        <v>182/71</v>
      </c>
      <c r="BT29" s="271"/>
      <c r="BU29" s="34" t="str">
        <f>IFERROR(VLOOKUP(BU28,TAT!$B$48:$R$82,11,FALSE),"")</f>
        <v/>
      </c>
      <c r="BV29" s="269" t="str">
        <f>IFERROR(YEAR(VLOOKUP(BU28,TAT!$B$48:$R$82,2,FALSE)),"")</f>
        <v/>
      </c>
      <c r="BW29" s="240"/>
      <c r="BX29" s="150" t="str">
        <f>IFERROR(VLOOKUP(BU28,TAT!$B$48:$R$82,3,FALSE),"")</f>
        <v/>
      </c>
      <c r="BY29" s="270" t="str">
        <f>IFERROR(VLOOKUP(BU28,TAT!$B$48:$R$82,15,FALSE),"")</f>
        <v/>
      </c>
      <c r="BZ29" s="271"/>
      <c r="CA29" s="33"/>
      <c r="CB29" s="33"/>
      <c r="CC29" s="33"/>
      <c r="CD29" s="33"/>
      <c r="CE29" s="33"/>
      <c r="CF29" s="33"/>
      <c r="CG29" s="34" t="str">
        <f>IFERROR(VLOOKUP(CG28,TAT!$B$48:$R$82,11,FALSE),"")</f>
        <v/>
      </c>
      <c r="CH29" s="269" t="str">
        <f>IFERROR(YEAR(VLOOKUP(CG28,TAT!$B$48:$R$82,2,FALSE)),"")</f>
        <v/>
      </c>
      <c r="CI29" s="240"/>
      <c r="CJ29" s="150" t="str">
        <f>IFERROR(VLOOKUP(CG28,TAT!$B$48:$R$82,3,FALSE),"")</f>
        <v/>
      </c>
      <c r="CK29" s="270" t="str">
        <f>IFERROR(VLOOKUP(CG28,TAT!$B$48:$R$82,15,FALSE),"")</f>
        <v/>
      </c>
      <c r="CL29" s="271"/>
      <c r="CM29" s="34" t="str">
        <f>IFERROR(VLOOKUP(CM28,OTR!$B$48:$R$82,11,FALSE),"")</f>
        <v>L</v>
      </c>
      <c r="CN29" s="269">
        <f>IFERROR(YEAR(VLOOKUP(CM28,OTR!$B$48:$R$82,2,FALSE)),"")</f>
        <v>2002</v>
      </c>
      <c r="CO29" s="240"/>
      <c r="CP29" s="150">
        <f ca="1">IFERROR(VLOOKUP(CM28,OTR!$B$48:$R$82,3,FALSE),"")</f>
        <v>18</v>
      </c>
      <c r="CQ29" s="270" t="str">
        <f>IFERROR(VLOOKUP(CM28,OTR!$B$48:$R$82,15,FALSE),"")</f>
        <v>187/78</v>
      </c>
      <c r="CR29" s="271"/>
      <c r="CS29" s="33"/>
      <c r="CT29" s="33"/>
      <c r="CU29" s="33"/>
      <c r="CV29" s="33"/>
      <c r="CW29" s="33"/>
      <c r="CX29" s="33"/>
      <c r="CY29" s="34" t="str">
        <f>IFERROR(VLOOKUP(CY28,OTR!$B$48:$R$82,11,FALSE),"")</f>
        <v/>
      </c>
      <c r="CZ29" s="269" t="str">
        <f>IFERROR(YEAR(VLOOKUP(CY28,OTR!$B$48:$R$82,2,FALSE)),"")</f>
        <v/>
      </c>
      <c r="DA29" s="240"/>
      <c r="DB29" s="150" t="str">
        <f>IFERROR(VLOOKUP(CY28,OTR!$B$48:$R$82,3,FALSE),"")</f>
        <v/>
      </c>
      <c r="DC29" s="270" t="str">
        <f>IFERROR(VLOOKUP(CY28,OTR!$B$48:$R$82,15,FALSE),"")</f>
        <v/>
      </c>
      <c r="DD29" s="271"/>
      <c r="DE29" s="34" t="str">
        <f>IFERROR(VLOOKUP(DE28,BOH!$B$48:$R$82,11,FALSE),"")</f>
        <v>P</v>
      </c>
      <c r="DF29" s="269">
        <f>IFERROR(YEAR(VLOOKUP(DE28,BOH!$B$48:$R$82,2,FALSE)),"")</f>
        <v>1992</v>
      </c>
      <c r="DG29" s="240"/>
      <c r="DH29" s="165">
        <f ca="1">IFERROR(VLOOKUP(DE28,BOH!$B$48:$R$82,3,FALSE),"")</f>
        <v>28</v>
      </c>
      <c r="DI29" s="270" t="str">
        <f>IFERROR(VLOOKUP(DE28,BOH!$B$48:$R$82,15,FALSE),"")</f>
        <v>184/84</v>
      </c>
      <c r="DJ29" s="271"/>
      <c r="DK29" s="33"/>
      <c r="DL29" s="33"/>
      <c r="DM29" s="33"/>
      <c r="DN29" s="33"/>
      <c r="DO29" s="33"/>
      <c r="DP29" s="33"/>
      <c r="DQ29" s="34" t="str">
        <f>IFERROR(VLOOKUP(DQ28,BOH!$B$48:$R$82,11,FALSE),"")</f>
        <v>P</v>
      </c>
      <c r="DR29" s="269">
        <f>IFERROR(YEAR(VLOOKUP(DQ28,BOH!$B$48:$R$82,2,FALSE)),"")</f>
        <v>2002</v>
      </c>
      <c r="DS29" s="240"/>
      <c r="DT29" s="165">
        <f ca="1">IFERROR(VLOOKUP(DQ28,BOH!$B$48:$R$82,3,FALSE),"")</f>
        <v>18</v>
      </c>
      <c r="DU29" s="270" t="str">
        <f>IFERROR(VLOOKUP(DQ28,BOH!$B$48:$R$82,15,FALSE),"")</f>
        <v>180/65</v>
      </c>
      <c r="DV29" s="271"/>
      <c r="DW29" s="34" t="str">
        <f>IFERROR(VLOOKUP(DW28,SPA!$B$48:$R$82,11,FALSE),"")</f>
        <v/>
      </c>
      <c r="DX29" s="269" t="str">
        <f>IFERROR(YEAR(VLOOKUP(DW28,SPA!$B$48:$R$82,2,FALSE)),"")</f>
        <v/>
      </c>
      <c r="DY29" s="240"/>
      <c r="DZ29" s="165" t="str">
        <f>IFERROR(VLOOKUP(DW28,SPA!$B$48:$R$82,3,FALSE),"")</f>
        <v/>
      </c>
      <c r="EA29" s="270" t="str">
        <f>IFERROR(VLOOKUP(DW28,SPA!$B$48:$R$82,15,FALSE),"")</f>
        <v/>
      </c>
      <c r="EB29" s="271"/>
      <c r="EC29" s="33"/>
      <c r="ED29" s="33"/>
      <c r="EE29" s="33"/>
      <c r="EF29" s="33"/>
      <c r="EG29" s="33"/>
      <c r="EH29" s="33"/>
      <c r="EI29" s="34" t="str">
        <f>IFERROR(VLOOKUP(EI28,SPA!$B$48:$R$82,11,FALSE),"")</f>
        <v/>
      </c>
      <c r="EJ29" s="269" t="str">
        <f>IFERROR(YEAR(VLOOKUP(EI28,SPA!$B$48:$R$82,2,FALSE)),"")</f>
        <v/>
      </c>
      <c r="EK29" s="240"/>
      <c r="EL29" s="165" t="str">
        <f>IFERROR(VLOOKUP(EI28,SPA!$B$48:$R$82,3,FALSE),"")</f>
        <v/>
      </c>
      <c r="EM29" s="270" t="str">
        <f>IFERROR(VLOOKUP(EI28,SPA!$B$48:$R$82,15,FALSE),"")</f>
        <v/>
      </c>
      <c r="EN29" s="271"/>
      <c r="EO29" s="34" t="str">
        <f>IFERROR(VLOOKUP(EO28,CLP!$B$48:$R$82,11,FALSE),"")</f>
        <v/>
      </c>
      <c r="EP29" s="269" t="str">
        <f>IFERROR(YEAR(VLOOKUP(EO28,CLP!$B$48:$R$82,2,FALSE)),"")</f>
        <v/>
      </c>
      <c r="EQ29" s="240"/>
      <c r="ER29" s="204" t="str">
        <f>IFERROR(VLOOKUP(EO28,CLP!$B$48:$R$82,3,FALSE),"")</f>
        <v/>
      </c>
      <c r="ES29" s="270" t="str">
        <f>IFERROR(VLOOKUP(EO28,CLP!$B$48:$R$82,15,FALSE),"")</f>
        <v/>
      </c>
      <c r="ET29" s="271"/>
      <c r="EU29" s="33"/>
      <c r="EV29" s="33"/>
      <c r="EW29" s="33"/>
      <c r="EX29" s="33"/>
      <c r="EY29" s="33"/>
      <c r="EZ29" s="33"/>
      <c r="FA29" s="34" t="str">
        <f>IFERROR(VLOOKUP(FA28,CLP!$B$48:$R$82,11,FALSE),"")</f>
        <v/>
      </c>
      <c r="FB29" s="269" t="str">
        <f>IFERROR(YEAR(VLOOKUP(FA28,CLP!$B$48:$R$82,2,FALSE)),"")</f>
        <v/>
      </c>
      <c r="FC29" s="240"/>
      <c r="FD29" s="204" t="str">
        <f>IFERROR(VLOOKUP(FA28,CLP!$B$48:$R$82,3,FALSE),"")</f>
        <v/>
      </c>
      <c r="FE29" s="270" t="str">
        <f>IFERROR(VLOOKUP(FA28,CLP!$B$48:$R$82,15,FALSE),"")</f>
        <v/>
      </c>
      <c r="FF29" s="271"/>
      <c r="FG29" s="34" t="str">
        <f>IFERROR(VLOOKUP(FG28,LIB!$B$48:$R$82,11,FALSE),"")</f>
        <v/>
      </c>
      <c r="FH29" s="269" t="str">
        <f>IFERROR(YEAR(VLOOKUP(FG28,LIB!$B$48:$R$82,2,FALSE)),"")</f>
        <v/>
      </c>
      <c r="FI29" s="240"/>
      <c r="FJ29" s="204" t="str">
        <f>IFERROR(VLOOKUP(FG28,LIB!$B$48:$R$82,3,FALSE),"")</f>
        <v/>
      </c>
      <c r="FK29" s="270" t="str">
        <f>IFERROR(VLOOKUP(FG28,LIB!$B$48:$R$82,15,FALSE),"")</f>
        <v/>
      </c>
      <c r="FL29" s="271"/>
      <c r="FM29" s="33"/>
      <c r="FN29" s="33"/>
      <c r="FO29" s="33"/>
      <c r="FP29" s="33"/>
      <c r="FQ29" s="33"/>
      <c r="FR29" s="33"/>
      <c r="FS29" s="34" t="str">
        <f>IFERROR(VLOOKUP(FS28,LIB!$B$48:$R$82,11,FALSE),"")</f>
        <v/>
      </c>
      <c r="FT29" s="269" t="str">
        <f>IFERROR(YEAR(VLOOKUP(FS28,LIB!$B$48:$R$82,2,FALSE)),"")</f>
        <v/>
      </c>
      <c r="FU29" s="240"/>
      <c r="FV29" s="204" t="str">
        <f>IFERROR(VLOOKUP(FS28,LIB!$B$48:$R$82,3,FALSE),"")</f>
        <v/>
      </c>
      <c r="FW29" s="270" t="str">
        <f>IFERROR(VLOOKUP(FS28,LIB!$B$48:$R$82,15,FALSE),"")</f>
        <v/>
      </c>
      <c r="FX29" s="271"/>
    </row>
    <row r="30" spans="1:180" ht="15.6" customHeight="1" x14ac:dyDescent="0.25">
      <c r="A30" s="277" t="str">
        <f>IFERROR(VLOOKUP(A28,SKV!$B$2:$O$36,14,FALSE),"")</f>
        <v>20 OZ , 2 (1+1), -13 ±</v>
      </c>
      <c r="B30" s="278"/>
      <c r="C30" s="278"/>
      <c r="D30" s="279" t="str">
        <f>IFERROR(VLOOKUP(A28,SKV!$B$48:$AA$82,14,FALSE),"")</f>
        <v>135 OZ, 29 (14+15)</v>
      </c>
      <c r="E30" s="279"/>
      <c r="F30" s="280"/>
      <c r="G30" s="33"/>
      <c r="H30" s="281" t="str">
        <f>H$8</f>
        <v>SKV</v>
      </c>
      <c r="I30" s="281"/>
      <c r="J30" s="281"/>
      <c r="K30" s="281"/>
      <c r="L30" s="33"/>
      <c r="M30" s="277" t="str">
        <f>IFERROR(VLOOKUP(M28,SKV!$B$2:$O$36,14,FALSE),"")</f>
        <v>15 OZ , 2 (2+0), -10 ±</v>
      </c>
      <c r="N30" s="278"/>
      <c r="O30" s="278"/>
      <c r="P30" s="279" t="str">
        <f>IFERROR(VLOOKUP(M28,SKV!$B$48:$AA$82,14,FALSE),"")</f>
        <v>15 OZ, 2 (2+0)</v>
      </c>
      <c r="Q30" s="279"/>
      <c r="R30" s="280"/>
      <c r="S30" s="277" t="str">
        <f>IFERROR(VLOOKUP(S28,CHO!$B$2:$O$36,14,FALSE),"")</f>
        <v>16 OZ , 11 (5+6), +6 ±</v>
      </c>
      <c r="T30" s="278"/>
      <c r="U30" s="278"/>
      <c r="V30" s="279" t="str">
        <f>IFERROR(VLOOKUP(S28,CHO!$B$48:$AA$82,14,FALSE),"")</f>
        <v>94 OZ, 53 (36+17)</v>
      </c>
      <c r="W30" s="279"/>
      <c r="X30" s="280"/>
      <c r="Y30" s="33"/>
      <c r="Z30" s="281" t="str">
        <f>$Z$8</f>
        <v>CHO</v>
      </c>
      <c r="AA30" s="281"/>
      <c r="AB30" s="281"/>
      <c r="AC30" s="281"/>
      <c r="AD30" s="33"/>
      <c r="AE30" s="277" t="str">
        <f>IFERROR(VLOOKUP(AE28,CHO!$B$2:$O$36,14,FALSE),"")</f>
        <v>20 OZ , 0 (0+0), +2 ±</v>
      </c>
      <c r="AF30" s="278"/>
      <c r="AG30" s="278"/>
      <c r="AH30" s="279" t="str">
        <f>IFERROR(VLOOKUP(AE28,CHO!$B$48:$AA$82,14,FALSE),"")</f>
        <v>313 OZ, 190 (95+95)</v>
      </c>
      <c r="AI30" s="279"/>
      <c r="AJ30" s="280"/>
      <c r="AK30" s="277" t="str">
        <f>IFERROR(VLOOKUP(AK28,VIT!$B$2:$O$36,14,FALSE),"")</f>
        <v/>
      </c>
      <c r="AL30" s="278"/>
      <c r="AM30" s="278"/>
      <c r="AN30" s="279" t="str">
        <f>IFERROR(VLOOKUP(AK28,VIT!$B$48:$R$82,14,FALSE),"")</f>
        <v/>
      </c>
      <c r="AO30" s="279"/>
      <c r="AP30" s="280"/>
      <c r="AQ30" s="33"/>
      <c r="AR30" s="281" t="str">
        <f>AR$8</f>
        <v>VIT</v>
      </c>
      <c r="AS30" s="281"/>
      <c r="AT30" s="281"/>
      <c r="AU30" s="281"/>
      <c r="AV30" s="33"/>
      <c r="AW30" s="277" t="str">
        <f>IFERROR(VLOOKUP(AW28,VIT!$B$2:$O$36,14,FALSE),"")</f>
        <v/>
      </c>
      <c r="AX30" s="278"/>
      <c r="AY30" s="278"/>
      <c r="AZ30" s="279" t="str">
        <f>IFERROR(VLOOKUP(AW28,VIT!$B$48:$R$82,14,FALSE),"")</f>
        <v/>
      </c>
      <c r="BA30" s="279"/>
      <c r="BB30" s="280"/>
      <c r="BC30" s="277" t="str">
        <f>IFERROR(VLOOKUP(BC28,MB!$B$2:$O$36,14,FALSE),"")</f>
        <v>18 OZ , 4 (2+2), +6 ±</v>
      </c>
      <c r="BD30" s="278"/>
      <c r="BE30" s="278"/>
      <c r="BF30" s="279" t="str">
        <f>IFERROR(VLOOKUP(BC28,MB!$B$48:$R$82,14,FALSE),"")</f>
        <v>148 OZ, 69 (37+32)</v>
      </c>
      <c r="BG30" s="279"/>
      <c r="BH30" s="280"/>
      <c r="BI30" s="33"/>
      <c r="BJ30" s="281" t="str">
        <f>BJ$8</f>
        <v>MB</v>
      </c>
      <c r="BK30" s="281"/>
      <c r="BL30" s="281"/>
      <c r="BM30" s="281"/>
      <c r="BN30" s="33"/>
      <c r="BO30" s="277" t="str">
        <f>IFERROR(VLOOKUP(BO28,MB!$B$2:$O$36,14,FALSE),"")</f>
        <v>22 OZ , 16 (6+10), +19 ±</v>
      </c>
      <c r="BP30" s="278"/>
      <c r="BQ30" s="278"/>
      <c r="BR30" s="279" t="str">
        <f>IFERROR(VLOOKUP(BO28,MB!$B$48:$R$82,14,FALSE),"")</f>
        <v>180 OZ, 120 (60+60)</v>
      </c>
      <c r="BS30" s="279"/>
      <c r="BT30" s="280"/>
      <c r="BU30" s="277" t="str">
        <f>IFERROR(VLOOKUP(BU28,TAT!$B$2:$O$36,14,FALSE),"")</f>
        <v/>
      </c>
      <c r="BV30" s="278"/>
      <c r="BW30" s="278"/>
      <c r="BX30" s="279" t="str">
        <f>IFERROR(VLOOKUP(BU28,TAT!$B$48:$R$82,14,FALSE),"")</f>
        <v/>
      </c>
      <c r="BY30" s="279"/>
      <c r="BZ30" s="280"/>
      <c r="CA30" s="33"/>
      <c r="CB30" s="281" t="str">
        <f>CB$8</f>
        <v>TAT</v>
      </c>
      <c r="CC30" s="281"/>
      <c r="CD30" s="281"/>
      <c r="CE30" s="281"/>
      <c r="CF30" s="33"/>
      <c r="CG30" s="277" t="str">
        <f>IFERROR(VLOOKUP(CG28,TAT!$B$2:$O$36,14,FALSE),"")</f>
        <v/>
      </c>
      <c r="CH30" s="278"/>
      <c r="CI30" s="278"/>
      <c r="CJ30" s="279" t="str">
        <f>IFERROR(VLOOKUP(CG28,TAT!$B$48:$R$82,14,FALSE),"")</f>
        <v/>
      </c>
      <c r="CK30" s="279"/>
      <c r="CL30" s="280"/>
      <c r="CM30" s="277" t="str">
        <f>IFERROR(VLOOKUP(CM28,OTR!$B$2:$O$36,14,FALSE),"")</f>
        <v>18 OZ , 2 (0+2), -19 ±</v>
      </c>
      <c r="CN30" s="278"/>
      <c r="CO30" s="278"/>
      <c r="CP30" s="279" t="str">
        <f>IFERROR(VLOOKUP(CM28,OTR!$B$48:$R$82,14,FALSE),"")</f>
        <v>30 OZ, 3 (0+3)</v>
      </c>
      <c r="CQ30" s="279"/>
      <c r="CR30" s="280"/>
      <c r="CS30" s="33"/>
      <c r="CT30" s="281" t="str">
        <f>CT$8</f>
        <v>OTR</v>
      </c>
      <c r="CU30" s="281"/>
      <c r="CV30" s="281"/>
      <c r="CW30" s="281"/>
      <c r="CX30" s="33"/>
      <c r="CY30" s="277" t="str">
        <f>IFERROR(VLOOKUP(CY28,OTR!$B$2:$O$36,14,FALSE),"")</f>
        <v/>
      </c>
      <c r="CZ30" s="278"/>
      <c r="DA30" s="278"/>
      <c r="DB30" s="279" t="str">
        <f>IFERROR(VLOOKUP(CY28,OTR!$B$48:$R$82,14,FALSE),"")</f>
        <v/>
      </c>
      <c r="DC30" s="279"/>
      <c r="DD30" s="280"/>
      <c r="DE30" s="277" t="str">
        <f>IFERROR(VLOOKUP(DE28,BOH!$B$2:$O$36,14,FALSE),"")</f>
        <v>21 OZ , 12 (3+9), -3 ±</v>
      </c>
      <c r="DF30" s="278"/>
      <c r="DG30" s="278"/>
      <c r="DH30" s="279" t="str">
        <f>IFERROR(VLOOKUP(DE28,BOH!$B$48:$R$82,14,FALSE),"")</f>
        <v>241 OZ, 134 (69+65)</v>
      </c>
      <c r="DI30" s="279"/>
      <c r="DJ30" s="280"/>
      <c r="DK30" s="33"/>
      <c r="DL30" s="281" t="str">
        <f>DL$8</f>
        <v>BOH</v>
      </c>
      <c r="DM30" s="281"/>
      <c r="DN30" s="281"/>
      <c r="DO30" s="281"/>
      <c r="DP30" s="33"/>
      <c r="DQ30" s="277" t="str">
        <f>IFERROR(VLOOKUP(DQ28,BOH!$B$2:$O$36,14,FALSE),"")</f>
        <v>13 OZ , 3 (2+1), +4 ±</v>
      </c>
      <c r="DR30" s="278"/>
      <c r="DS30" s="278"/>
      <c r="DT30" s="279" t="str">
        <f>IFERROR(VLOOKUP(DQ28,BOH!$B$48:$R$82,14,FALSE),"")</f>
        <v>13 OZ, 3 (2+1)</v>
      </c>
      <c r="DU30" s="279"/>
      <c r="DV30" s="280"/>
      <c r="DW30" s="277" t="str">
        <f>IFERROR(VLOOKUP(DW28,SPA!$B$2:$O$36,14,FALSE),"")</f>
        <v/>
      </c>
      <c r="DX30" s="278"/>
      <c r="DY30" s="278"/>
      <c r="DZ30" s="279" t="str">
        <f>IFERROR(VLOOKUP(DW28,SPA!$B$48:$R$82,14,FALSE),"")</f>
        <v/>
      </c>
      <c r="EA30" s="279"/>
      <c r="EB30" s="280"/>
      <c r="EC30" s="33"/>
      <c r="ED30" s="281" t="str">
        <f>ED$8</f>
        <v>SPA</v>
      </c>
      <c r="EE30" s="281"/>
      <c r="EF30" s="281"/>
      <c r="EG30" s="281"/>
      <c r="EH30" s="33"/>
      <c r="EI30" s="277" t="str">
        <f>IFERROR(VLOOKUP(EI28,SPA!$B$2:$O$36,14,FALSE),"")</f>
        <v/>
      </c>
      <c r="EJ30" s="278"/>
      <c r="EK30" s="278"/>
      <c r="EL30" s="279" t="str">
        <f>IFERROR(VLOOKUP(EI28,SPA!$B$48:$R$82,14,FALSE),"")</f>
        <v/>
      </c>
      <c r="EM30" s="279"/>
      <c r="EN30" s="280"/>
      <c r="EO30" s="277" t="str">
        <f>IFERROR(VLOOKUP(EO28,CLP!$B$2:$O$36,14,FALSE),"")</f>
        <v/>
      </c>
      <c r="EP30" s="278"/>
      <c r="EQ30" s="278"/>
      <c r="ER30" s="279" t="str">
        <f>IFERROR(VLOOKUP(EO28,CLP!$B$48:$R$82,14,FALSE),"")</f>
        <v/>
      </c>
      <c r="ES30" s="279"/>
      <c r="ET30" s="280"/>
      <c r="EU30" s="33"/>
      <c r="EV30" s="281" t="str">
        <f>EV$8</f>
        <v>CLP</v>
      </c>
      <c r="EW30" s="281"/>
      <c r="EX30" s="281"/>
      <c r="EY30" s="281"/>
      <c r="EZ30" s="33"/>
      <c r="FA30" s="277" t="str">
        <f>IFERROR(VLOOKUP(FA28,CLP!$B$2:$O$36,14,FALSE),"")</f>
        <v/>
      </c>
      <c r="FB30" s="278"/>
      <c r="FC30" s="278"/>
      <c r="FD30" s="279" t="str">
        <f>IFERROR(VLOOKUP(FA28,CLP!$B$48:$R$82,14,FALSE),"")</f>
        <v/>
      </c>
      <c r="FE30" s="279"/>
      <c r="FF30" s="280"/>
      <c r="FG30" s="277" t="str">
        <f>IFERROR(VLOOKUP(FG28,LIB!$B$2:$O$36,14,FALSE),"")</f>
        <v/>
      </c>
      <c r="FH30" s="278"/>
      <c r="FI30" s="278"/>
      <c r="FJ30" s="279" t="str">
        <f>IFERROR(VLOOKUP(FG28,LIB!$B$48:$R$82,14,FALSE),"")</f>
        <v/>
      </c>
      <c r="FK30" s="279"/>
      <c r="FL30" s="280"/>
      <c r="FM30" s="33"/>
      <c r="FN30" s="281" t="str">
        <f>FN$8</f>
        <v>LIB</v>
      </c>
      <c r="FO30" s="281"/>
      <c r="FP30" s="281"/>
      <c r="FQ30" s="281"/>
      <c r="FR30" s="33"/>
      <c r="FS30" s="277" t="str">
        <f>IFERROR(VLOOKUP(FS28,LIB!$B$2:$O$36,14,FALSE),"")</f>
        <v/>
      </c>
      <c r="FT30" s="278"/>
      <c r="FU30" s="278"/>
      <c r="FV30" s="279" t="str">
        <f>IFERROR(VLOOKUP(FS28,LIB!$B$48:$R$82,14,FALSE),"")</f>
        <v/>
      </c>
      <c r="FW30" s="279"/>
      <c r="FX30" s="280"/>
    </row>
    <row r="31" spans="1:180" ht="15.6" customHeight="1" thickBot="1" x14ac:dyDescent="0.3">
      <c r="A31" s="243" t="str">
        <f>IFERROR(VLOOKUP(A28,SKV!$B$48:$AA$82,16,FALSE),"")</f>
        <v>Florbal Chodov</v>
      </c>
      <c r="B31" s="244"/>
      <c r="C31" s="245"/>
      <c r="D31" s="246">
        <f>IFERROR(VLOOKUP(A28,SKV!$B$48:$AA$82,17,FALSE),"")</f>
        <v>2001</v>
      </c>
      <c r="E31" s="247"/>
      <c r="F31" s="124">
        <f>IFERROR(VLOOKUP(A28,SKV!$B$48:$AA$82,8,FALSE),"")</f>
        <v>8</v>
      </c>
      <c r="G31" s="33"/>
      <c r="H31" s="281"/>
      <c r="I31" s="281"/>
      <c r="J31" s="281"/>
      <c r="K31" s="281"/>
      <c r="L31" s="33"/>
      <c r="M31" s="243" t="str">
        <f>IFERROR(VLOOKUP(M28,SKV!$B$48:$AA$82,16,FALSE),"")</f>
        <v>SKV</v>
      </c>
      <c r="N31" s="244"/>
      <c r="O31" s="245"/>
      <c r="P31" s="246">
        <f>IFERROR(VLOOKUP(M28,SKV!$B$48:$AA$82,17,FALSE),"")</f>
        <v>2013</v>
      </c>
      <c r="Q31" s="247"/>
      <c r="R31" s="124">
        <f>IFERROR(VLOOKUP(M28,SKV!$B$48:$AA$82,8,FALSE),"")</f>
        <v>1</v>
      </c>
      <c r="S31" s="243" t="str">
        <f>IFERROR(VLOOKUP(S28,CHO!$B$48:$AA$82,16,FALSE),"")</f>
        <v>Wizards DDM</v>
      </c>
      <c r="T31" s="244"/>
      <c r="U31" s="245"/>
      <c r="V31" s="246">
        <f>IFERROR(VLOOKUP(S28,CHO!$B$48:$AA$82,17,FALSE),"")</f>
        <v>2008</v>
      </c>
      <c r="W31" s="247"/>
      <c r="X31" s="124">
        <f>IFERROR(VLOOKUP(S28,CHO!$B$48:$AA$82,8,FALSE),"")</f>
        <v>5</v>
      </c>
      <c r="Y31" s="33"/>
      <c r="Z31" s="281"/>
      <c r="AA31" s="281"/>
      <c r="AB31" s="281"/>
      <c r="AC31" s="281"/>
      <c r="AD31" s="33"/>
      <c r="AE31" s="243" t="str">
        <f>IFERROR(VLOOKUP(AE28,CHO!$B$48:$AA$82,16,FALSE),"")</f>
        <v>Tatran Střešovice</v>
      </c>
      <c r="AF31" s="244"/>
      <c r="AG31" s="245"/>
      <c r="AH31" s="246">
        <f>IFERROR(VLOOKUP(AE28,CHO!$B$48:$AA$82,17,FALSE),"")</f>
        <v>2002</v>
      </c>
      <c r="AI31" s="247"/>
      <c r="AJ31" s="124">
        <f>IFERROR(VLOOKUP(AE28,CHO!$B$48:$AA$82,8,FALSE),"")</f>
        <v>17</v>
      </c>
      <c r="AK31" s="243" t="str">
        <f>IFERROR(VLOOKUP(AK28,VIT!$B$48:$R$82,16,FALSE),"")</f>
        <v/>
      </c>
      <c r="AL31" s="244"/>
      <c r="AM31" s="245"/>
      <c r="AN31" s="246" t="str">
        <f>IFERROR(VLOOKUP(AK28,VIT!$B$48:$R$82,17,FALSE),"")</f>
        <v/>
      </c>
      <c r="AO31" s="247"/>
      <c r="AP31" s="124" t="str">
        <f>IFERROR(VLOOKUP(AK28,VIT!$B$48:$R$82,8,FALSE),"")</f>
        <v/>
      </c>
      <c r="AQ31" s="33"/>
      <c r="AR31" s="281"/>
      <c r="AS31" s="281"/>
      <c r="AT31" s="281"/>
      <c r="AU31" s="281"/>
      <c r="AV31" s="33"/>
      <c r="AW31" s="243" t="str">
        <f>IFERROR(VLOOKUP(AW28,VIT!$B$48:$R$82,16,FALSE),"")</f>
        <v/>
      </c>
      <c r="AX31" s="244"/>
      <c r="AY31" s="245"/>
      <c r="AZ31" s="246" t="str">
        <f>IFERROR(VLOOKUP(AW28,VIT!$B$48:$R$82,17,FALSE),"")</f>
        <v/>
      </c>
      <c r="BA31" s="247"/>
      <c r="BB31" s="124" t="str">
        <f>IFERROR(VLOOKUP(AW28,VIT!$B$48:$R$82,8,FALSE),"")</f>
        <v/>
      </c>
      <c r="BC31" s="243" t="str">
        <f>IFERROR(VLOOKUP(BC28,MB!$B$48:$R$82,16,FALSE),"")</f>
        <v>FbŠ Bohemians</v>
      </c>
      <c r="BD31" s="244"/>
      <c r="BE31" s="245"/>
      <c r="BF31" s="246">
        <f>IFERROR(VLOOKUP(BC28,MB!$B$48:$R$82,17,FALSE),"")</f>
        <v>2006</v>
      </c>
      <c r="BG31" s="247"/>
      <c r="BH31" s="124">
        <f>IFERROR(VLOOKUP(BC28,MB!$B$48:$R$82,8,FALSE),"")</f>
        <v>8</v>
      </c>
      <c r="BI31" s="33"/>
      <c r="BJ31" s="281"/>
      <c r="BK31" s="281"/>
      <c r="BL31" s="281"/>
      <c r="BM31" s="281"/>
      <c r="BN31" s="33"/>
      <c r="BO31" s="243" t="str">
        <f>IFERROR(VLOOKUP(BO28,MB!$B$48:$R$82,16,FALSE),"")</f>
        <v>SSK Future</v>
      </c>
      <c r="BP31" s="244"/>
      <c r="BQ31" s="245"/>
      <c r="BR31" s="246">
        <f>IFERROR(VLOOKUP(BO28,MB!$B$48:$R$82,17,FALSE),"")</f>
        <v>2004</v>
      </c>
      <c r="BS31" s="247"/>
      <c r="BT31" s="124">
        <f>IFERROR(VLOOKUP(BO28,MB!$B$48:$R$82,8,FALSE),"")</f>
        <v>9</v>
      </c>
      <c r="BU31" s="243" t="str">
        <f>IFERROR(VLOOKUP(BU28,TAT!$B$48:$R$82,16,FALSE),"")</f>
        <v/>
      </c>
      <c r="BV31" s="244"/>
      <c r="BW31" s="245"/>
      <c r="BX31" s="246" t="str">
        <f>IFERROR(VLOOKUP(BU28,TAT!$B$48:$R$82,17,FALSE),"")</f>
        <v/>
      </c>
      <c r="BY31" s="247"/>
      <c r="BZ31" s="124" t="str">
        <f>IFERROR(VLOOKUP(BU28,TAT!$B$48:$R$82,8,FALSE),"")</f>
        <v/>
      </c>
      <c r="CA31" s="33"/>
      <c r="CB31" s="281"/>
      <c r="CC31" s="281"/>
      <c r="CD31" s="281"/>
      <c r="CE31" s="281"/>
      <c r="CF31" s="33"/>
      <c r="CG31" s="243" t="str">
        <f>IFERROR(VLOOKUP(CG28,TAT!$B$48:$R$82,16,FALSE),"")</f>
        <v/>
      </c>
      <c r="CH31" s="244"/>
      <c r="CI31" s="245"/>
      <c r="CJ31" s="246" t="str">
        <f>IFERROR(VLOOKUP(CG28,TAT!$B$48:$R$82,17,FALSE),"")</f>
        <v/>
      </c>
      <c r="CK31" s="247"/>
      <c r="CL31" s="124" t="str">
        <f>IFERROR(VLOOKUP(CG28,TAT!$B$48:$R$82,8,FALSE),"")</f>
        <v/>
      </c>
      <c r="CM31" s="243" t="str">
        <f>IFERROR(VLOOKUP(CM28,OTR!$B$48:$R$82,16,FALSE),"")</f>
        <v>Panthers Otrokovice</v>
      </c>
      <c r="CN31" s="244"/>
      <c r="CO31" s="245"/>
      <c r="CP31" s="246">
        <f>IFERROR(VLOOKUP(CM28,OTR!$B$48:$R$82,17,FALSE),"")</f>
        <v>2012</v>
      </c>
      <c r="CQ31" s="247"/>
      <c r="CR31" s="124">
        <f>IFERROR(VLOOKUP(CM28,OTR!$B$48:$R$82,8,FALSE),"")</f>
        <v>2</v>
      </c>
      <c r="CS31" s="33"/>
      <c r="CT31" s="281"/>
      <c r="CU31" s="281"/>
      <c r="CV31" s="281"/>
      <c r="CW31" s="281"/>
      <c r="CX31" s="33"/>
      <c r="CY31" s="243" t="str">
        <f>IFERROR(VLOOKUP(CY28,OTR!$B$48:$R$82,16,FALSE),"")</f>
        <v/>
      </c>
      <c r="CZ31" s="244"/>
      <c r="DA31" s="245"/>
      <c r="DB31" s="246" t="str">
        <f>IFERROR(VLOOKUP(CY28,OTR!$B$48:$R$82,17,FALSE),"")</f>
        <v/>
      </c>
      <c r="DC31" s="247"/>
      <c r="DD31" s="124" t="str">
        <f>IFERROR(VLOOKUP(CY28,OTR!$B$48:$R$82,8,FALSE),"")</f>
        <v/>
      </c>
      <c r="DE31" s="243" t="str">
        <f>IFERROR(VLOOKUP(DE28,BOH!$B$48:$R$82,16,FALSE),"")</f>
        <v>Faraos</v>
      </c>
      <c r="DF31" s="244"/>
      <c r="DG31" s="245"/>
      <c r="DH31" s="246">
        <f>IFERROR(VLOOKUP(DE28,BOH!$B$48:$R$82,17,FALSE),"")</f>
        <v>2002</v>
      </c>
      <c r="DI31" s="247"/>
      <c r="DJ31" s="124">
        <f>IFERROR(VLOOKUP(DE28,BOH!$B$48:$R$82,8,FALSE),"")</f>
        <v>11</v>
      </c>
      <c r="DK31" s="33"/>
      <c r="DL31" s="281"/>
      <c r="DM31" s="281"/>
      <c r="DN31" s="281"/>
      <c r="DO31" s="281"/>
      <c r="DP31" s="33"/>
      <c r="DQ31" s="243" t="str">
        <f>IFERROR(VLOOKUP(DQ28,BOH!$B$48:$R$82,16,FALSE),"")</f>
        <v>Florbal Ústí</v>
      </c>
      <c r="DR31" s="244"/>
      <c r="DS31" s="245"/>
      <c r="DT31" s="246">
        <f>IFERROR(VLOOKUP(DQ28,BOH!$B$48:$R$82,17,FALSE),"")</f>
        <v>2011</v>
      </c>
      <c r="DU31" s="247"/>
      <c r="DV31" s="124">
        <f>IFERROR(VLOOKUP(DQ28,BOH!$B$48:$R$82,8,FALSE),"")</f>
        <v>1</v>
      </c>
      <c r="DW31" s="243" t="str">
        <f>IFERROR(VLOOKUP(DW28,SPA!$B$48:$R$82,16,FALSE),"")</f>
        <v/>
      </c>
      <c r="DX31" s="244"/>
      <c r="DY31" s="245"/>
      <c r="DZ31" s="246" t="str">
        <f>IFERROR(VLOOKUP(DW28,SPA!$B$48:$R$82,17,FALSE),"")</f>
        <v/>
      </c>
      <c r="EA31" s="247"/>
      <c r="EB31" s="124" t="str">
        <f>IFERROR(VLOOKUP(DW28,SPA!$B$48:$R$82,8,FALSE),"")</f>
        <v/>
      </c>
      <c r="EC31" s="33"/>
      <c r="ED31" s="281"/>
      <c r="EE31" s="281"/>
      <c r="EF31" s="281"/>
      <c r="EG31" s="281"/>
      <c r="EH31" s="33"/>
      <c r="EI31" s="243" t="str">
        <f>IFERROR(VLOOKUP(EI28,SPA!$B$48:$R$82,16,FALSE),"")</f>
        <v/>
      </c>
      <c r="EJ31" s="244"/>
      <c r="EK31" s="245"/>
      <c r="EL31" s="246" t="str">
        <f>IFERROR(VLOOKUP(EI28,SPA!$B$48:$R$82,17,FALSE),"")</f>
        <v/>
      </c>
      <c r="EM31" s="247"/>
      <c r="EN31" s="124" t="str">
        <f>IFERROR(VLOOKUP(EI28,SPA!$B$48:$R$82,8,FALSE),"")</f>
        <v/>
      </c>
      <c r="EO31" s="243" t="str">
        <f>IFERROR(VLOOKUP(EO28,CLP!$B$48:$R$82,16,FALSE),"")</f>
        <v/>
      </c>
      <c r="EP31" s="244"/>
      <c r="EQ31" s="245"/>
      <c r="ER31" s="246" t="str">
        <f>IFERROR(VLOOKUP(EO28,CLP!$B$48:$R$82,17,FALSE),"")</f>
        <v/>
      </c>
      <c r="ES31" s="247"/>
      <c r="ET31" s="124" t="str">
        <f>IFERROR(VLOOKUP(EO28,CLP!$B$48:$R$82,8,FALSE),"")</f>
        <v/>
      </c>
      <c r="EU31" s="33"/>
      <c r="EV31" s="281"/>
      <c r="EW31" s="281"/>
      <c r="EX31" s="281"/>
      <c r="EY31" s="281"/>
      <c r="EZ31" s="33"/>
      <c r="FA31" s="243" t="str">
        <f>IFERROR(VLOOKUP(FA28,CLP!$B$48:$R$82,16,FALSE),"")</f>
        <v/>
      </c>
      <c r="FB31" s="244"/>
      <c r="FC31" s="245"/>
      <c r="FD31" s="246" t="str">
        <f>IFERROR(VLOOKUP(FA28,CLP!$B$48:$R$82,17,FALSE),"")</f>
        <v/>
      </c>
      <c r="FE31" s="247"/>
      <c r="FF31" s="124" t="str">
        <f>IFERROR(VLOOKUP(FA28,CLP!$B$48:$R$82,8,FALSE),"")</f>
        <v/>
      </c>
      <c r="FG31" s="243" t="str">
        <f>IFERROR(VLOOKUP(FG28,LIB!$B$48:$R$82,16,FALSE),"")</f>
        <v/>
      </c>
      <c r="FH31" s="244"/>
      <c r="FI31" s="245"/>
      <c r="FJ31" s="246" t="str">
        <f>IFERROR(VLOOKUP(FG28,LIB!$B$48:$R$82,17,FALSE),"")</f>
        <v/>
      </c>
      <c r="FK31" s="247"/>
      <c r="FL31" s="124" t="str">
        <f>IFERROR(VLOOKUP(FG28,LIB!$B$48:$R$82,8,FALSE),"")</f>
        <v/>
      </c>
      <c r="FM31" s="33"/>
      <c r="FN31" s="281"/>
      <c r="FO31" s="281"/>
      <c r="FP31" s="281"/>
      <c r="FQ31" s="281"/>
      <c r="FR31" s="33"/>
      <c r="FS31" s="243" t="str">
        <f>IFERROR(VLOOKUP(FS28,LIB!$B$48:$R$82,16,FALSE),"")</f>
        <v/>
      </c>
      <c r="FT31" s="244"/>
      <c r="FU31" s="245"/>
      <c r="FV31" s="246" t="str">
        <f>IFERROR(VLOOKUP(FS28,LIB!$B$48:$R$82,17,FALSE),"")</f>
        <v/>
      </c>
      <c r="FW31" s="247"/>
      <c r="FX31" s="124" t="str">
        <f>IFERROR(VLOOKUP(FS28,LIB!$B$48:$R$82,8,FALSE),"")</f>
        <v/>
      </c>
    </row>
    <row r="32" spans="1:180"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row>
    <row r="33" spans="1:180"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row>
    <row r="34" spans="1:180" ht="15.6" customHeight="1" thickTop="1" thickBot="1" x14ac:dyDescent="0.3">
      <c r="A34" s="266" t="s">
        <v>32</v>
      </c>
      <c r="B34" s="267"/>
      <c r="C34" s="267"/>
      <c r="D34" s="267"/>
      <c r="E34" s="32" t="str">
        <f>IFERROR(IF(VLOOKUP(A34,SKV!$B$48:$AA$82,10,FALSE)=0,"",VLOOKUP(A34,SKV!$B$48:$AA$82,10,FALSE)),"")</f>
        <v/>
      </c>
      <c r="F34" s="52">
        <f>IFERROR(VLOOKUP(A34,SKV!$B$48:$AA$82,9,FALSE),"")</f>
        <v>42</v>
      </c>
      <c r="G34" s="33"/>
      <c r="H34" s="268" t="s">
        <v>157</v>
      </c>
      <c r="I34" s="33"/>
      <c r="J34" s="266" t="s">
        <v>28</v>
      </c>
      <c r="K34" s="267"/>
      <c r="L34" s="267"/>
      <c r="M34" s="267"/>
      <c r="N34" s="267"/>
      <c r="O34" s="267"/>
      <c r="P34" s="267"/>
      <c r="Q34" s="32" t="str">
        <f>IFERROR(IF(VLOOKUP(J34,SKV!$B$48:$AA$82,10,FALSE)=0,"",VLOOKUP(M34,SKV!$B$48:$AA$82,10,FALSE)),"")</f>
        <v/>
      </c>
      <c r="R34" s="52">
        <f>IFERROR(VLOOKUP(J34,SKV!$B$48:$AA$82,9,FALSE),"")</f>
        <v>26</v>
      </c>
      <c r="S34" s="266" t="s">
        <v>186</v>
      </c>
      <c r="T34" s="267"/>
      <c r="U34" s="267"/>
      <c r="V34" s="267"/>
      <c r="W34" s="32" t="str">
        <f>IFERROR(IF(VLOOKUP(S34,CHO!$B$48:$AA$82,10,FALSE)=0,"",VLOOKUP(S34,CHO!$B$48:$AA$82,10,FALSE)),"")</f>
        <v/>
      </c>
      <c r="X34" s="52">
        <f>IFERROR(VLOOKUP(S34,CHO!$B$48:$AA$82,9,FALSE),"")</f>
        <v>31</v>
      </c>
      <c r="Y34" s="33"/>
      <c r="Z34" s="268" t="s">
        <v>157</v>
      </c>
      <c r="AA34" s="33"/>
      <c r="AB34" s="266" t="s">
        <v>182</v>
      </c>
      <c r="AC34" s="267"/>
      <c r="AD34" s="267"/>
      <c r="AE34" s="267"/>
      <c r="AF34" s="267"/>
      <c r="AG34" s="267"/>
      <c r="AH34" s="267"/>
      <c r="AI34" s="32" t="str">
        <f>IFERROR(IF(VLOOKUP(AB34,CHO!$B$48:$AA$82,10,FALSE)=0,"",VLOOKUP(AB34,CHO!$B$48:$AA$82,10,FALSE)),"")</f>
        <v/>
      </c>
      <c r="AJ34" s="52">
        <f>IFERROR(VLOOKUP(AB34,CHO!$B$48:$AA$82,9,FALSE),"")</f>
        <v>91</v>
      </c>
      <c r="AK34" s="266"/>
      <c r="AL34" s="267"/>
      <c r="AM34" s="267"/>
      <c r="AN34" s="267"/>
      <c r="AO34" s="32" t="str">
        <f>IFERROR(IF(VLOOKUP(AK34,VIT!$B$48:$R$82,10,FALSE)=0,"",VLOOKUP(AK34,VIT!$B$48:$R$82,10,FALSE)),"")</f>
        <v/>
      </c>
      <c r="AP34" s="52" t="str">
        <f>IFERROR(VLOOKUP(AK34,VIT!$B$48:$R$82,9,FALSE),"")</f>
        <v/>
      </c>
      <c r="AQ34" s="33"/>
      <c r="AR34" s="268" t="s">
        <v>157</v>
      </c>
      <c r="AS34" s="33"/>
      <c r="AT34" s="266"/>
      <c r="AU34" s="267"/>
      <c r="AV34" s="267"/>
      <c r="AW34" s="267"/>
      <c r="AX34" s="267"/>
      <c r="AY34" s="267"/>
      <c r="AZ34" s="267"/>
      <c r="BA34" s="32" t="str">
        <f>IFERROR(IF(VLOOKUP(AT34,VIT!$B$48:$R$82,10,FALSE)=0,"",VLOOKUP(AT34,VIT!$B$48:$R$82,10,FALSE)),"")</f>
        <v/>
      </c>
      <c r="BB34" s="52" t="str">
        <f>IFERROR(VLOOKUP(AT34,VIT!$B$48:$R$82,9,FALSE),"")</f>
        <v/>
      </c>
      <c r="BC34" s="266" t="s">
        <v>318</v>
      </c>
      <c r="BD34" s="267"/>
      <c r="BE34" s="267"/>
      <c r="BF34" s="267"/>
      <c r="BG34" s="32" t="str">
        <f>IFERROR(IF(VLOOKUP(BC34,MB!$B$48:$R$82,10,FALSE)=0,"",VLOOKUP(BC34,MB!$B$48:$R$82,10,FALSE)),"")</f>
        <v/>
      </c>
      <c r="BH34" s="52">
        <f>IFERROR(VLOOKUP(BC34,MB!$B$48:$R$82,9,FALSE),"")</f>
        <v>74</v>
      </c>
      <c r="BI34" s="33"/>
      <c r="BJ34" s="268" t="s">
        <v>157</v>
      </c>
      <c r="BK34" s="33"/>
      <c r="BL34" s="266" t="s">
        <v>299</v>
      </c>
      <c r="BM34" s="267"/>
      <c r="BN34" s="267"/>
      <c r="BO34" s="267"/>
      <c r="BP34" s="267"/>
      <c r="BQ34" s="267"/>
      <c r="BR34" s="267"/>
      <c r="BS34" s="32" t="str">
        <f>IFERROR(IF(VLOOKUP(BL34,MB!$B$48:$R$82,10,FALSE)=0,"",VLOOKUP(BL34,MB!$B$48:$R$82,10,FALSE)),"")</f>
        <v/>
      </c>
      <c r="BT34" s="52">
        <f>IFERROR(VLOOKUP(BL34,MB!$B$48:$R$82,9,FALSE),"")</f>
        <v>10</v>
      </c>
      <c r="BU34" s="266"/>
      <c r="BV34" s="267"/>
      <c r="BW34" s="267"/>
      <c r="BX34" s="267"/>
      <c r="BY34" s="32" t="str">
        <f>IFERROR(IF(VLOOKUP(BU34,TAT!$B$48:$R$82,10,FALSE)=0,"",VLOOKUP(BU34,TAT!$B$48:$R$82,10,FALSE)),"")</f>
        <v/>
      </c>
      <c r="BZ34" s="52" t="str">
        <f>IFERROR(VLOOKUP(BU34,TAT!$B$48:$R$82,9,FALSE),"")</f>
        <v/>
      </c>
      <c r="CA34" s="33"/>
      <c r="CB34" s="268" t="s">
        <v>157</v>
      </c>
      <c r="CC34" s="33"/>
      <c r="CD34" s="266"/>
      <c r="CE34" s="267"/>
      <c r="CF34" s="267"/>
      <c r="CG34" s="267"/>
      <c r="CH34" s="267"/>
      <c r="CI34" s="267"/>
      <c r="CJ34" s="267"/>
      <c r="CK34" s="32" t="str">
        <f>IFERROR(IF(VLOOKUP(CD34,TAT!$B$48:$R$82,10,FALSE)=0,"",VLOOKUP(CD34,TAT!$B$48:$R$82,10,FALSE)),"")</f>
        <v/>
      </c>
      <c r="CL34" s="52" t="str">
        <f>IFERROR(VLOOKUP(CD34,TAT!$B$48:$R$82,9,FALSE),"")</f>
        <v/>
      </c>
      <c r="CM34" s="266" t="s">
        <v>446</v>
      </c>
      <c r="CN34" s="267"/>
      <c r="CO34" s="267"/>
      <c r="CP34" s="267"/>
      <c r="CQ34" s="32" t="str">
        <f>IFERROR(IF(VLOOKUP(CM34,OTR!$B$48:$R$82,10,FALSE)=0,"",VLOOKUP(CM34,OTR!$B$48:$R$82,10,FALSE)),"")</f>
        <v/>
      </c>
      <c r="CR34" s="52">
        <f>IFERROR(VLOOKUP(CM34,OTR!$B$48:$R$82,9,FALSE),"")</f>
        <v>29</v>
      </c>
      <c r="CS34" s="33"/>
      <c r="CT34" s="268" t="s">
        <v>157</v>
      </c>
      <c r="CU34" s="33"/>
      <c r="CV34" s="266" t="s">
        <v>421</v>
      </c>
      <c r="CW34" s="267"/>
      <c r="CX34" s="267"/>
      <c r="CY34" s="267"/>
      <c r="CZ34" s="267"/>
      <c r="DA34" s="267"/>
      <c r="DB34" s="267"/>
      <c r="DC34" s="32" t="str">
        <f>IFERROR(IF(VLOOKUP(CV34,OTR!$B$48:$R$82,10,FALSE)=0,"",VLOOKUP(CV34,OTR!$B$48:$R$82,10,FALSE)),"")</f>
        <v/>
      </c>
      <c r="DD34" s="52">
        <f>IFERROR(VLOOKUP(CV34,OTR!$B$48:$R$82,9,FALSE),"")</f>
        <v>33</v>
      </c>
      <c r="DE34" s="266" t="s">
        <v>517</v>
      </c>
      <c r="DF34" s="267"/>
      <c r="DG34" s="267"/>
      <c r="DH34" s="267"/>
      <c r="DI34" s="32" t="str">
        <f>IFERROR(IF(VLOOKUP(DE34,BOH!$B$48:$R$82,10,FALSE)=0,"",VLOOKUP(DE34,BOH!$B$48:$R$82,10,FALSE)),"")</f>
        <v/>
      </c>
      <c r="DJ34" s="52">
        <f>IFERROR(VLOOKUP(DE34,BOH!$B$48:$R$82,9,FALSE),"")</f>
        <v>1</v>
      </c>
      <c r="DK34" s="33"/>
      <c r="DL34" s="268" t="s">
        <v>157</v>
      </c>
      <c r="DM34" s="33"/>
      <c r="DN34" s="266" t="s">
        <v>500</v>
      </c>
      <c r="DO34" s="267"/>
      <c r="DP34" s="267"/>
      <c r="DQ34" s="267"/>
      <c r="DR34" s="267"/>
      <c r="DS34" s="267"/>
      <c r="DT34" s="267"/>
      <c r="DU34" s="32" t="str">
        <f>IFERROR(IF(VLOOKUP(DN34,BOH!$B$48:$R$82,10,FALSE)=0,"",VLOOKUP(DN34,BOH!$B$48:$R$82,10,FALSE)),"")</f>
        <v/>
      </c>
      <c r="DV34" s="52">
        <f>IFERROR(VLOOKUP(DN34,BOH!$B$48:$R$82,9,FALSE),"")</f>
        <v>12</v>
      </c>
      <c r="DW34" s="266"/>
      <c r="DX34" s="267"/>
      <c r="DY34" s="267"/>
      <c r="DZ34" s="267"/>
      <c r="EA34" s="32" t="str">
        <f>IFERROR(IF(VLOOKUP(DW34,SPA!$B$48:$R$82,10,FALSE)=0,"",VLOOKUP(DW34,SPA!$B$48:$R$82,10,FALSE)),"")</f>
        <v/>
      </c>
      <c r="EB34" s="52" t="str">
        <f>IFERROR(VLOOKUP(DW34,SPA!$B$48:$R$82,9,FALSE),"")</f>
        <v/>
      </c>
      <c r="EC34" s="33"/>
      <c r="ED34" s="268" t="s">
        <v>157</v>
      </c>
      <c r="EE34" s="33"/>
      <c r="EF34" s="266"/>
      <c r="EG34" s="267"/>
      <c r="EH34" s="267"/>
      <c r="EI34" s="267"/>
      <c r="EJ34" s="267"/>
      <c r="EK34" s="267"/>
      <c r="EL34" s="267"/>
      <c r="EM34" s="32" t="str">
        <f>IFERROR(IF(VLOOKUP(EF34,SPA!$B$48:$R$82,10,FALSE)=0,"",VLOOKUP(EF34,SPA!$B$48:$R$82,10,FALSE)),"")</f>
        <v/>
      </c>
      <c r="EN34" s="52" t="str">
        <f>IFERROR(VLOOKUP(EF34,SPA!$B$48:$R$82,9,FALSE),"")</f>
        <v/>
      </c>
      <c r="EO34" s="266"/>
      <c r="EP34" s="267"/>
      <c r="EQ34" s="267"/>
      <c r="ER34" s="267"/>
      <c r="ES34" s="32" t="str">
        <f>IFERROR(IF(VLOOKUP(EO34,CLP!$B$48:$R$82,10,FALSE)=0,"",VLOOKUP(EO34,CLP!$B$48:$R$82,10,FALSE)),"")</f>
        <v/>
      </c>
      <c r="ET34" s="52" t="str">
        <f>IFERROR(VLOOKUP(EO34,CLP!$B$48:$R$82,9,FALSE),"")</f>
        <v/>
      </c>
      <c r="EU34" s="33"/>
      <c r="EV34" s="268" t="s">
        <v>157</v>
      </c>
      <c r="EW34" s="33"/>
      <c r="EX34" s="266"/>
      <c r="EY34" s="267"/>
      <c r="EZ34" s="267"/>
      <c r="FA34" s="267"/>
      <c r="FB34" s="267"/>
      <c r="FC34" s="267"/>
      <c r="FD34" s="267"/>
      <c r="FE34" s="32" t="str">
        <f>IFERROR(IF(VLOOKUP(EX34,CLP!$B$48:$R$82,10,FALSE)=0,"",VLOOKUP(EX34,CLP!$B$48:$R$82,10,FALSE)),"")</f>
        <v/>
      </c>
      <c r="FF34" s="52" t="str">
        <f>IFERROR(VLOOKUP(EX34,CLP!$B$48:$R$82,9,FALSE),"")</f>
        <v/>
      </c>
      <c r="FG34" s="266"/>
      <c r="FH34" s="267"/>
      <c r="FI34" s="267"/>
      <c r="FJ34" s="267"/>
      <c r="FK34" s="32" t="str">
        <f>IFERROR(IF(VLOOKUP(FG34,LIB!$B$48:$R$82,10,FALSE)=0,"",VLOOKUP(FG34,LIB!$B$48:$R$82,10,FALSE)),"")</f>
        <v/>
      </c>
      <c r="FL34" s="52" t="str">
        <f>IFERROR(VLOOKUP(FG34,LIB!$B$48:$R$82,9,FALSE),"")</f>
        <v/>
      </c>
      <c r="FM34" s="33"/>
      <c r="FN34" s="268" t="s">
        <v>157</v>
      </c>
      <c r="FO34" s="33"/>
      <c r="FP34" s="266"/>
      <c r="FQ34" s="267"/>
      <c r="FR34" s="267"/>
      <c r="FS34" s="267"/>
      <c r="FT34" s="267"/>
      <c r="FU34" s="267"/>
      <c r="FV34" s="267"/>
      <c r="FW34" s="32" t="str">
        <f>IFERROR(IF(VLOOKUP(FP34,LIB!$B$48:$R$82,10,FALSE)=0,"",VLOOKUP(FP34,LIB!$B$48:$R$82,10,FALSE)),"")</f>
        <v/>
      </c>
      <c r="FX34" s="52" t="str">
        <f>IFERROR(VLOOKUP(FP34,LIB!$B$48:$R$82,9,FALSE),"")</f>
        <v/>
      </c>
    </row>
    <row r="35" spans="1:180" ht="15.6" customHeight="1" thickBot="1" x14ac:dyDescent="0.3">
      <c r="A35" s="42">
        <f>IFERROR(VLOOKUP(A34,SKV!$B$48:$AA$82,8,FALSE),"")</f>
        <v>6</v>
      </c>
      <c r="B35" s="269">
        <f>IFERROR(YEAR(VLOOKUP(A34,SKV!$B$48:$AA$82,2,FALSE)),"")</f>
        <v>1996</v>
      </c>
      <c r="C35" s="240"/>
      <c r="D35" s="35">
        <f ca="1">IFERROR(VLOOKUP(A34,SKV!$B$48:$AA$82,3,FALSE),"")</f>
        <v>24</v>
      </c>
      <c r="E35" s="270" t="str">
        <f>IFERROR(VLOOKUP(A34,SKV!$B$48:$AA$82,15,FALSE),"")</f>
        <v>187/88</v>
      </c>
      <c r="F35" s="271"/>
      <c r="G35" s="33"/>
      <c r="H35" s="268"/>
      <c r="I35" s="33"/>
      <c r="J35" s="34" t="str">
        <f>IFERROR(VLOOKUP(J34,SKV!$B$48:$AA$82,11,FALSE),"")</f>
        <v>L</v>
      </c>
      <c r="K35" s="240">
        <f>IFERROR(YEAR(VLOOKUP(J34,SKV!$B$48:$AA$82,2,FALSE)),"")</f>
        <v>2002</v>
      </c>
      <c r="L35" s="241"/>
      <c r="M35" s="43">
        <f ca="1">IFERROR(VLOOKUP(J34,SKV!$B$48:$AA$82,3,FALSE),"")</f>
        <v>18</v>
      </c>
      <c r="N35" s="241" t="str">
        <f>IFERROR(VLOOKUP(J34,SKV!$B$48:$AA$82,15,FALSE),"")</f>
        <v>181/66</v>
      </c>
      <c r="O35" s="241"/>
      <c r="P35" s="241" t="str">
        <f>IFERROR(VLOOKUP(J34,SKV!$B$2:$O$36,14,FALSE),"")</f>
        <v>20 OZ , 0 (0+0), -9 ±</v>
      </c>
      <c r="Q35" s="241"/>
      <c r="R35" s="242"/>
      <c r="S35" s="42">
        <f>IFERROR(VLOOKUP(S34,CHO!$B$48:$S$82,8,FALSE),"")</f>
        <v>4</v>
      </c>
      <c r="T35" s="269">
        <f>IFERROR(YEAR(VLOOKUP(S34,CHO!$B$48:$S$82,2,FALSE)),"")</f>
        <v>2000</v>
      </c>
      <c r="U35" s="240"/>
      <c r="V35" s="35">
        <f ca="1">IFERROR(VLOOKUP(S34,CHO!$B$48:$S$82,3,FALSE),"")</f>
        <v>20</v>
      </c>
      <c r="W35" s="270" t="str">
        <f>IFERROR(VLOOKUP(S34,CHO!$B$48:$S$82,15,FALSE),"")</f>
        <v>175/76</v>
      </c>
      <c r="X35" s="271"/>
      <c r="Y35" s="33"/>
      <c r="Z35" s="268"/>
      <c r="AA35" s="33"/>
      <c r="AB35" s="34" t="str">
        <f>IFERROR(VLOOKUP(AB34,CHO!$B$48:$AA$82,11,FALSE),"")</f>
        <v>L</v>
      </c>
      <c r="AC35" s="240">
        <f>IFERROR(YEAR(VLOOKUP(AB34,CHO!$B$48:$AA$82,2,FALSE)),"")</f>
        <v>1900</v>
      </c>
      <c r="AD35" s="241"/>
      <c r="AE35" s="43" t="str">
        <f>IFERROR(VLOOKUP(AB34,CHO!$B$48:$AA$82,3,FALSE),"")</f>
        <v/>
      </c>
      <c r="AF35" s="241" t="str">
        <f>IFERROR(VLOOKUP(AB34,CHO!$B$48:$AA$82,15,FALSE),"")</f>
        <v>183/78</v>
      </c>
      <c r="AG35" s="241"/>
      <c r="AH35" s="241" t="str">
        <f>IFERROR(VLOOKUP(AB34,CHO!$B$2:$O$36,14,FALSE),"")</f>
        <v>7 OZ , 0 (0+0), 0 ±</v>
      </c>
      <c r="AI35" s="241"/>
      <c r="AJ35" s="242"/>
      <c r="AK35" s="42" t="str">
        <f>IFERROR(VLOOKUP(AK34,VIT!$B$48:$S$82,8,FALSE),"")</f>
        <v/>
      </c>
      <c r="AL35" s="269" t="str">
        <f>IFERROR(YEAR(VLOOKUP(AK34,VIT!$B$48:$S$82,2,FALSE)),"")</f>
        <v/>
      </c>
      <c r="AM35" s="240"/>
      <c r="AN35" s="106" t="str">
        <f>IFERROR(VLOOKUP(AK34,VIT!$B$48:$S$82,3,FALSE),"")</f>
        <v/>
      </c>
      <c r="AO35" s="270" t="str">
        <f>IFERROR(VLOOKUP(AK34,VIT!$B$48:$S$82,15,FALSE),"")</f>
        <v/>
      </c>
      <c r="AP35" s="271"/>
      <c r="AQ35" s="33"/>
      <c r="AR35" s="268"/>
      <c r="AS35" s="33"/>
      <c r="AT35" s="34" t="str">
        <f>IFERROR(VLOOKUP(AT34,VIT!$B$48:$R$82,11,FALSE),"")</f>
        <v/>
      </c>
      <c r="AU35" s="240" t="str">
        <f>IFERROR(YEAR(VLOOKUP(AT34,VIT!$B$48:$R$82,2,FALSE)),"")</f>
        <v/>
      </c>
      <c r="AV35" s="241"/>
      <c r="AW35" s="105" t="str">
        <f>IFERROR(VLOOKUP(AT34,VIT!$B$48:$R$82,3,FALSE),"")</f>
        <v/>
      </c>
      <c r="AX35" s="241" t="str">
        <f>IFERROR(VLOOKUP(AT34,VIT!$B$48:$R$82,15,FALSE),"")</f>
        <v/>
      </c>
      <c r="AY35" s="241"/>
      <c r="AZ35" s="241" t="str">
        <f>IFERROR(VLOOKUP(AT34,VIT!$B$2:$O$36,14,FALSE),"")</f>
        <v/>
      </c>
      <c r="BA35" s="241"/>
      <c r="BB35" s="242"/>
      <c r="BC35" s="42">
        <f>IFERROR(VLOOKUP(BC34,MB!$B$48:$S$82,8,FALSE),"")</f>
        <v>11</v>
      </c>
      <c r="BD35" s="269">
        <f>IFERROR(YEAR(VLOOKUP(BC34,MB!$B$48:$S$82,2,FALSE)),"")</f>
        <v>1991</v>
      </c>
      <c r="BE35" s="240"/>
      <c r="BF35" s="108">
        <f ca="1">IFERROR(VLOOKUP(BC34,MB!$B$48:$S$82,3,FALSE),"")</f>
        <v>29</v>
      </c>
      <c r="BG35" s="270" t="str">
        <f>IFERROR(VLOOKUP(BC34,MB!$B$48:$S$82,15,FALSE),"")</f>
        <v>192/98</v>
      </c>
      <c r="BH35" s="271"/>
      <c r="BI35" s="33"/>
      <c r="BJ35" s="268"/>
      <c r="BK35" s="33"/>
      <c r="BL35" s="34" t="str">
        <f>IFERROR(VLOOKUP(BL34,MB!$B$48:$R$82,11,FALSE),"")</f>
        <v>L</v>
      </c>
      <c r="BM35" s="240">
        <f>IFERROR(YEAR(VLOOKUP(BL34,MB!$B$48:$R$82,2,FALSE)),"")</f>
        <v>1996</v>
      </c>
      <c r="BN35" s="241"/>
      <c r="BO35" s="107">
        <f ca="1">IFERROR(VLOOKUP(BL34,MB!$B$48:$R$82,3,FALSE),"")</f>
        <v>24</v>
      </c>
      <c r="BP35" s="241" t="str">
        <f>IFERROR(VLOOKUP(BL34,MB!$B$48:$R$82,15,FALSE),"")</f>
        <v>185/85</v>
      </c>
      <c r="BQ35" s="241"/>
      <c r="BR35" s="241" t="str">
        <f>IFERROR(VLOOKUP(BL34,MB!$B$2:$O$36,14,FALSE),"")</f>
        <v>21 OZ , 21 (9+12), +20 ±</v>
      </c>
      <c r="BS35" s="241"/>
      <c r="BT35" s="242"/>
      <c r="BU35" s="42" t="str">
        <f>IFERROR(VLOOKUP(BU34,TAT!$B$48:$S$82,8,FALSE),"")</f>
        <v/>
      </c>
      <c r="BV35" s="269" t="str">
        <f>IFERROR(YEAR(VLOOKUP(BU34,TAT!$B$48:$S$82,2,FALSE)),"")</f>
        <v/>
      </c>
      <c r="BW35" s="240"/>
      <c r="BX35" s="150" t="str">
        <f>IFERROR(VLOOKUP(BU34,TAT!$B$48:$S$82,3,FALSE),"")</f>
        <v/>
      </c>
      <c r="BY35" s="270" t="str">
        <f>IFERROR(VLOOKUP(BU34,TAT!$B$48:$S$82,15,FALSE),"")</f>
        <v/>
      </c>
      <c r="BZ35" s="271"/>
      <c r="CA35" s="33"/>
      <c r="CB35" s="268"/>
      <c r="CC35" s="33"/>
      <c r="CD35" s="34" t="str">
        <f>IFERROR(VLOOKUP(CD34,TAT!$B$48:$R$82,11,FALSE),"")</f>
        <v/>
      </c>
      <c r="CE35" s="240" t="str">
        <f>IFERROR(YEAR(VLOOKUP(CD34,TAT!$B$48:$R$82,2,FALSE)),"")</f>
        <v/>
      </c>
      <c r="CF35" s="241"/>
      <c r="CG35" s="149" t="str">
        <f>IFERROR(VLOOKUP(CD34,TAT!$B$48:$R$82,3,FALSE),"")</f>
        <v/>
      </c>
      <c r="CH35" s="241" t="str">
        <f>IFERROR(VLOOKUP(CD34,TAT!$B$48:$R$82,15,FALSE),"")</f>
        <v/>
      </c>
      <c r="CI35" s="241"/>
      <c r="CJ35" s="241" t="str">
        <f>IFERROR(VLOOKUP(CD34,TAT!$B$2:$O$36,14,FALSE),"")</f>
        <v/>
      </c>
      <c r="CK35" s="241"/>
      <c r="CL35" s="242"/>
      <c r="CM35" s="42">
        <f>IFERROR(VLOOKUP(CM34,OTR!$B$48:$S$82,8,FALSE),"")</f>
        <v>5</v>
      </c>
      <c r="CN35" s="269">
        <f>IFERROR(YEAR(VLOOKUP(CM34,OTR!$B$48:$S$82,2,FALSE)),"")</f>
        <v>1998</v>
      </c>
      <c r="CO35" s="240"/>
      <c r="CP35" s="150">
        <f ca="1">IFERROR(VLOOKUP(CM34,OTR!$B$48:$S$82,3,FALSE),"")</f>
        <v>23</v>
      </c>
      <c r="CQ35" s="270" t="str">
        <f>IFERROR(VLOOKUP(CM34,OTR!$B$48:$S$82,15,FALSE),"")</f>
        <v>181/76</v>
      </c>
      <c r="CR35" s="271"/>
      <c r="CS35" s="33"/>
      <c r="CT35" s="268"/>
      <c r="CU35" s="33"/>
      <c r="CV35" s="34" t="str">
        <f>IFERROR(VLOOKUP(CV34,OTR!$B$48:$R$82,11,FALSE),"")</f>
        <v>L</v>
      </c>
      <c r="CW35" s="240">
        <f>IFERROR(YEAR(VLOOKUP(CV34,OTR!$B$48:$R$82,2,FALSE)),"")</f>
        <v>1993</v>
      </c>
      <c r="CX35" s="241"/>
      <c r="CY35" s="149">
        <f ca="1">IFERROR(VLOOKUP(CV34,OTR!$B$48:$R$82,3,FALSE),"")</f>
        <v>27</v>
      </c>
      <c r="CZ35" s="241" t="str">
        <f>IFERROR(VLOOKUP(CV34,OTR!$B$48:$R$82,15,FALSE),"")</f>
        <v>177/77</v>
      </c>
      <c r="DA35" s="241"/>
      <c r="DB35" s="241" t="str">
        <f>IFERROR(VLOOKUP(CV34,OTR!$B$2:$O$36,14,FALSE),"")</f>
        <v>18 OZ , 10 (6+4), -17 ±</v>
      </c>
      <c r="DC35" s="241"/>
      <c r="DD35" s="242"/>
      <c r="DE35" s="42">
        <f>IFERROR(VLOOKUP(DE34,BOH!$B$48:$S$82,8,FALSE),"")</f>
        <v>10</v>
      </c>
      <c r="DF35" s="269">
        <f>IFERROR(YEAR(VLOOKUP(DE34,BOH!$B$48:$S$82,2,FALSE)),"")</f>
        <v>1986</v>
      </c>
      <c r="DG35" s="240"/>
      <c r="DH35" s="165">
        <f ca="1">IFERROR(VLOOKUP(DE34,BOH!$B$48:$S$82,3,FALSE),"")</f>
        <v>34</v>
      </c>
      <c r="DI35" s="270" t="str">
        <f>IFERROR(VLOOKUP(DE34,BOH!$B$48:$S$82,15,FALSE),"")</f>
        <v>175/75</v>
      </c>
      <c r="DJ35" s="271"/>
      <c r="DK35" s="33"/>
      <c r="DL35" s="268"/>
      <c r="DM35" s="33"/>
      <c r="DN35" s="34" t="str">
        <f>IFERROR(VLOOKUP(DN34,BOH!$B$48:$R$82,11,FALSE),"")</f>
        <v>P</v>
      </c>
      <c r="DO35" s="240">
        <f>IFERROR(YEAR(VLOOKUP(DN34,BOH!$B$48:$R$82,2,FALSE)),"")</f>
        <v>1995</v>
      </c>
      <c r="DP35" s="241"/>
      <c r="DQ35" s="164">
        <f ca="1">IFERROR(VLOOKUP(DN34,BOH!$B$48:$R$82,3,FALSE),"")</f>
        <v>25</v>
      </c>
      <c r="DR35" s="241" t="str">
        <f>IFERROR(VLOOKUP(DN34,BOH!$B$48:$R$82,15,FALSE),"")</f>
        <v>175/72</v>
      </c>
      <c r="DS35" s="241"/>
      <c r="DT35" s="241" t="str">
        <f>IFERROR(VLOOKUP(DN34,BOH!$B$2:$O$36,14,FALSE),"")</f>
        <v>20 OZ , 11 (8+3), +6 ±</v>
      </c>
      <c r="DU35" s="241"/>
      <c r="DV35" s="242"/>
      <c r="DW35" s="42" t="str">
        <f>IFERROR(VLOOKUP(DW34,SPA!$B$48:$S$82,8,FALSE),"")</f>
        <v/>
      </c>
      <c r="DX35" s="269" t="str">
        <f>IFERROR(YEAR(VLOOKUP(DW34,SPA!$B$48:$S$82,2,FALSE)),"")</f>
        <v/>
      </c>
      <c r="DY35" s="240"/>
      <c r="DZ35" s="165" t="str">
        <f>IFERROR(VLOOKUP(DW34,SPA!$B$48:$S$82,3,FALSE),"")</f>
        <v/>
      </c>
      <c r="EA35" s="270" t="str">
        <f>IFERROR(VLOOKUP(DW34,SPA!$B$48:$S$82,15,FALSE),"")</f>
        <v/>
      </c>
      <c r="EB35" s="271"/>
      <c r="EC35" s="33"/>
      <c r="ED35" s="268"/>
      <c r="EE35" s="33"/>
      <c r="EF35" s="34" t="str">
        <f>IFERROR(VLOOKUP(EF34,SPA!$B$48:$R$82,11,FALSE),"")</f>
        <v/>
      </c>
      <c r="EG35" s="240" t="str">
        <f>IFERROR(YEAR(VLOOKUP(EF34,SPA!$B$48:$R$82,2,FALSE)),"")</f>
        <v/>
      </c>
      <c r="EH35" s="241"/>
      <c r="EI35" s="164" t="str">
        <f>IFERROR(VLOOKUP(EF34,SPA!$B$48:$R$82,3,FALSE),"")</f>
        <v/>
      </c>
      <c r="EJ35" s="241" t="str">
        <f>IFERROR(VLOOKUP(EF34,SPA!$B$48:$R$82,15,FALSE),"")</f>
        <v/>
      </c>
      <c r="EK35" s="241"/>
      <c r="EL35" s="241" t="str">
        <f>IFERROR(VLOOKUP(EF34,SPA!$B$2:$O$36,14,FALSE),"")</f>
        <v/>
      </c>
      <c r="EM35" s="241"/>
      <c r="EN35" s="242"/>
      <c r="EO35" s="42" t="str">
        <f>IFERROR(VLOOKUP(EO34,CLP!$B$48:$S$82,8,FALSE),"")</f>
        <v/>
      </c>
      <c r="EP35" s="269" t="str">
        <f>IFERROR(YEAR(VLOOKUP(EO34,CLP!$B$48:$S$82,2,FALSE)),"")</f>
        <v/>
      </c>
      <c r="EQ35" s="240"/>
      <c r="ER35" s="204" t="str">
        <f>IFERROR(VLOOKUP(EO34,CLP!$B$48:$S$82,3,FALSE),"")</f>
        <v/>
      </c>
      <c r="ES35" s="270" t="str">
        <f>IFERROR(VLOOKUP(EO34,CLP!$B$48:$S$82,15,FALSE),"")</f>
        <v/>
      </c>
      <c r="ET35" s="271"/>
      <c r="EU35" s="33"/>
      <c r="EV35" s="268"/>
      <c r="EW35" s="33"/>
      <c r="EX35" s="34" t="str">
        <f>IFERROR(VLOOKUP(EX34,CLP!$B$48:$R$82,11,FALSE),"")</f>
        <v/>
      </c>
      <c r="EY35" s="240" t="str">
        <f>IFERROR(YEAR(VLOOKUP(EX34,CLP!$B$48:$R$82,2,FALSE)),"")</f>
        <v/>
      </c>
      <c r="EZ35" s="241"/>
      <c r="FA35" s="203" t="str">
        <f>IFERROR(VLOOKUP(EX34,CLP!$B$48:$R$82,3,FALSE),"")</f>
        <v/>
      </c>
      <c r="FB35" s="241" t="str">
        <f>IFERROR(VLOOKUP(EX34,CLP!$B$48:$R$82,15,FALSE),"")</f>
        <v/>
      </c>
      <c r="FC35" s="241"/>
      <c r="FD35" s="241" t="str">
        <f>IFERROR(VLOOKUP(EX34,CLP!$B$2:$O$36,14,FALSE),"")</f>
        <v/>
      </c>
      <c r="FE35" s="241"/>
      <c r="FF35" s="242"/>
      <c r="FG35" s="42" t="str">
        <f>IFERROR(VLOOKUP(FG34,LIB!$B$48:$S$82,8,FALSE),"")</f>
        <v/>
      </c>
      <c r="FH35" s="269" t="str">
        <f>IFERROR(YEAR(VLOOKUP(FG34,LIB!$B$48:$S$82,2,FALSE)),"")</f>
        <v/>
      </c>
      <c r="FI35" s="240"/>
      <c r="FJ35" s="204" t="str">
        <f>IFERROR(VLOOKUP(FG34,LIB!$B$48:$S$82,3,FALSE),"")</f>
        <v/>
      </c>
      <c r="FK35" s="270" t="str">
        <f>IFERROR(VLOOKUP(FG34,LIB!$B$48:$S$82,15,FALSE),"")</f>
        <v/>
      </c>
      <c r="FL35" s="271"/>
      <c r="FM35" s="33"/>
      <c r="FN35" s="268"/>
      <c r="FO35" s="33"/>
      <c r="FP35" s="34" t="str">
        <f>IFERROR(VLOOKUP(FP34,LIB!$B$48:$R$82,11,FALSE),"")</f>
        <v/>
      </c>
      <c r="FQ35" s="240" t="str">
        <f>IFERROR(YEAR(VLOOKUP(FP34,LIB!$B$48:$R$82,2,FALSE)),"")</f>
        <v/>
      </c>
      <c r="FR35" s="241"/>
      <c r="FS35" s="203" t="str">
        <f>IFERROR(VLOOKUP(FP34,LIB!$B$48:$R$82,3,FALSE),"")</f>
        <v/>
      </c>
      <c r="FT35" s="241" t="str">
        <f>IFERROR(VLOOKUP(FP34,LIB!$B$48:$R$82,15,FALSE),"")</f>
        <v/>
      </c>
      <c r="FU35" s="241"/>
      <c r="FV35" s="241" t="str">
        <f>IFERROR(VLOOKUP(FP34,LIB!$B$2:$O$36,14,FALSE),"")</f>
        <v/>
      </c>
      <c r="FW35" s="241"/>
      <c r="FX35" s="242"/>
    </row>
    <row r="36" spans="1:180" ht="15.6" customHeight="1" thickBot="1" x14ac:dyDescent="0.3">
      <c r="A36" s="44">
        <f>IFERROR(VLOOKUP(A34,SKV!$B$39:$R$42,4,FALSE),"")</f>
        <v>18</v>
      </c>
      <c r="B36" s="272" t="str">
        <f>IFERROR(VLOOKUP(A34,SKV!$B$39:$S$45,17,FALSE),"")</f>
        <v>4 V, 14 P</v>
      </c>
      <c r="C36" s="272"/>
      <c r="D36" s="273">
        <f>IFERROR(VLOOKUP(A34,SKV!$B$39:$R$42,7,FALSE),"")</f>
        <v>114</v>
      </c>
      <c r="E36" s="274"/>
      <c r="F36" s="45">
        <f>IFERROR(ROUND(VLOOKUP(A34,SKV!$B$39:$R$42,16,FALSE),2),"")</f>
        <v>74.67</v>
      </c>
      <c r="G36" s="33"/>
      <c r="H36" s="268"/>
      <c r="I36" s="33"/>
      <c r="J36" s="125">
        <f>IFERROR(VLOOKUP(J34,SKV!$B$48:$AA$82,8,FALSE),"")</f>
        <v>1</v>
      </c>
      <c r="K36" s="248" t="str">
        <f>IFERROR(VLOOKUP(J34,SKV!$B$48:$AA$82,14,FALSE),"")</f>
        <v>20 OZ, 0 (0+0)</v>
      </c>
      <c r="L36" s="248"/>
      <c r="M36" s="248"/>
      <c r="N36" s="249" t="str">
        <f>IFERROR(VLOOKUP(J34,SKV!$B$48:$AA$82,16,FALSE),"")</f>
        <v>SKV</v>
      </c>
      <c r="O36" s="249"/>
      <c r="P36" s="249"/>
      <c r="Q36" s="248" t="str">
        <f>IFERROR(VLOOKUP(J34,SKV!$B$48:$AA$82,17,FALSE),"")</f>
        <v>-</v>
      </c>
      <c r="R36" s="250"/>
      <c r="S36" s="44">
        <f>IFERROR(VLOOKUP(S34,CHO!$B$39:$R$42,4,FALSE),"")</f>
        <v>7</v>
      </c>
      <c r="T36" s="272" t="str">
        <f>IFERROR(VLOOKUP(S34,CHO!$B$39:$S$45,17,FALSE),"")</f>
        <v>5 V, 2 P</v>
      </c>
      <c r="U36" s="272"/>
      <c r="V36" s="273">
        <f>IFERROR(VLOOKUP(S34,CHO!$B$39:$R$42,7,FALSE),"")</f>
        <v>41</v>
      </c>
      <c r="W36" s="274"/>
      <c r="X36" s="45">
        <f>IFERROR(ROUND(VLOOKUP(S34,CHO!$B$39:$R$42,16,FALSE),2),"")</f>
        <v>74.05</v>
      </c>
      <c r="Y36" s="33"/>
      <c r="Z36" s="268"/>
      <c r="AA36" s="33"/>
      <c r="AB36" s="125">
        <f>IFERROR(VLOOKUP(AB34,CHO!$B$48:$AA$82,8,FALSE),"")</f>
        <v>1</v>
      </c>
      <c r="AC36" s="248" t="str">
        <f>IFERROR(VLOOKUP(AB34,CHO!$B$48:$AA$82,14,FALSE),"")</f>
        <v>7 OZ, 0 (0+0)</v>
      </c>
      <c r="AD36" s="248"/>
      <c r="AE36" s="248"/>
      <c r="AF36" s="249">
        <f>IFERROR(VLOOKUP(AB34,CHO!$B$48:$AA$82,16,FALSE),"")</f>
        <v>0</v>
      </c>
      <c r="AG36" s="249"/>
      <c r="AH36" s="249"/>
      <c r="AI36" s="248">
        <f>IFERROR(VLOOKUP(AB34,CHO!$B$48:$AA$82,17,FALSE),"")</f>
        <v>0</v>
      </c>
      <c r="AJ36" s="250"/>
      <c r="AK36" s="44" t="str">
        <f>IFERROR(VLOOKUP(AK34,VIT!$B$39:$R$44,4,FALSE),"")</f>
        <v/>
      </c>
      <c r="AL36" s="272" t="str">
        <f>IFERROR(VLOOKUP(AK34,VIT!$B$39:$S$45,17,FALSE),"")</f>
        <v/>
      </c>
      <c r="AM36" s="272"/>
      <c r="AN36" s="273" t="str">
        <f>IFERROR(VLOOKUP(AK34,VIT!$B$39:$R$44,7,FALSE),"")</f>
        <v/>
      </c>
      <c r="AO36" s="274"/>
      <c r="AP36" s="45" t="str">
        <f>IFERROR(ROUND(VLOOKUP(AK34,VIT!$B$39:$R$44,16,FALSE),2),"")</f>
        <v/>
      </c>
      <c r="AQ36" s="33"/>
      <c r="AR36" s="268"/>
      <c r="AS36" s="33"/>
      <c r="AT36" s="125" t="str">
        <f>IFERROR(VLOOKUP(AT34,VIT!$B$48:$R$82,8,FALSE),"")</f>
        <v/>
      </c>
      <c r="AU36" s="248" t="str">
        <f>IFERROR(VLOOKUP(AT34,VIT!$B$48:$R$82,14,FALSE),"")</f>
        <v/>
      </c>
      <c r="AV36" s="248"/>
      <c r="AW36" s="248"/>
      <c r="AX36" s="249" t="str">
        <f>IFERROR(VLOOKUP(AT34,VIT!$B$48:$R$82,16,FALSE),"")</f>
        <v/>
      </c>
      <c r="AY36" s="249"/>
      <c r="AZ36" s="249"/>
      <c r="BA36" s="248" t="str">
        <f>IFERROR(VLOOKUP(AT34,VIT!$B$48:$R$82,17,FALSE),"")</f>
        <v/>
      </c>
      <c r="BB36" s="250"/>
      <c r="BC36" s="44">
        <f>IFERROR(VLOOKUP(BC34,MB!$B$39:$R$44,4,FALSE),"")</f>
        <v>19</v>
      </c>
      <c r="BD36" s="272" t="str">
        <f>IFERROR(VLOOKUP(BC34,MB!$B$39:$S$45,17,FALSE),"")</f>
        <v>18 V, 1 P</v>
      </c>
      <c r="BE36" s="272"/>
      <c r="BF36" s="273">
        <f>IFERROR(VLOOKUP(BC34,MB!$B$39:$R$44,7,FALSE),"")</f>
        <v>64</v>
      </c>
      <c r="BG36" s="274"/>
      <c r="BH36" s="45">
        <f>IFERROR(ROUND(VLOOKUP(BC34,MB!$B$39:$R$44,16,FALSE),2),"")</f>
        <v>80.31</v>
      </c>
      <c r="BI36" s="33"/>
      <c r="BJ36" s="268"/>
      <c r="BK36" s="33"/>
      <c r="BL36" s="125">
        <f>IFERROR(VLOOKUP(BL34,MB!$B$48:$R$82,8,FALSE),"")</f>
        <v>7</v>
      </c>
      <c r="BM36" s="248" t="str">
        <f>IFERROR(VLOOKUP(BL34,MB!$B$48:$R$82,14,FALSE),"")</f>
        <v>111 OZ, 98 (58+40)</v>
      </c>
      <c r="BN36" s="248"/>
      <c r="BO36" s="248"/>
      <c r="BP36" s="249" t="str">
        <f>IFERROR(VLOOKUP(BL34,MB!$B$48:$R$82,16,FALSE),"")</f>
        <v>Tatran Střešovice</v>
      </c>
      <c r="BQ36" s="249"/>
      <c r="BR36" s="249"/>
      <c r="BS36" s="248">
        <f>IFERROR(VLOOKUP(BL34,MB!$B$48:$R$82,17,FALSE),"")</f>
        <v>2006</v>
      </c>
      <c r="BT36" s="250"/>
      <c r="BU36" s="44" t="str">
        <f>IFERROR(VLOOKUP(BU34,TAT!$B$39:$R$44,4,FALSE),"")</f>
        <v/>
      </c>
      <c r="BV36" s="272" t="str">
        <f>IFERROR(VLOOKUP(BU34,TAT!$B$39:$S$45,17,FALSE),"")</f>
        <v/>
      </c>
      <c r="BW36" s="272"/>
      <c r="BX36" s="273" t="str">
        <f>IFERROR(VLOOKUP(BU34,TAT!$B$39:$R$44,7,FALSE),"")</f>
        <v/>
      </c>
      <c r="BY36" s="274"/>
      <c r="BZ36" s="45" t="str">
        <f>IFERROR(ROUND(VLOOKUP(BU34,TAT!$B$39:$R$44,16,FALSE),2),"")</f>
        <v/>
      </c>
      <c r="CA36" s="33"/>
      <c r="CB36" s="268"/>
      <c r="CC36" s="33"/>
      <c r="CD36" s="125" t="str">
        <f>IFERROR(VLOOKUP(CD34,TAT!$B$48:$R$82,8,FALSE),"")</f>
        <v/>
      </c>
      <c r="CE36" s="248" t="str">
        <f>IFERROR(VLOOKUP(CD34,TAT!$B$48:$R$82,14,FALSE),"")</f>
        <v/>
      </c>
      <c r="CF36" s="248"/>
      <c r="CG36" s="248"/>
      <c r="CH36" s="249" t="str">
        <f>IFERROR(VLOOKUP(CD34,TAT!$B$48:$R$82,16,FALSE),"")</f>
        <v/>
      </c>
      <c r="CI36" s="249"/>
      <c r="CJ36" s="249"/>
      <c r="CK36" s="248" t="str">
        <f>IFERROR(VLOOKUP(CD34,TAT!$B$48:$R$82,17,FALSE),"")</f>
        <v/>
      </c>
      <c r="CL36" s="250"/>
      <c r="CM36" s="44">
        <f>IFERROR(VLOOKUP(CM34,OTR!$B$39:$R$44,4,FALSE),"")</f>
        <v>21</v>
      </c>
      <c r="CN36" s="272" t="str">
        <f>IFERROR(VLOOKUP(CM34,OTR!$B$39:$S$45,17,FALSE),"")</f>
        <v>2 V, 19 P</v>
      </c>
      <c r="CO36" s="272"/>
      <c r="CP36" s="273">
        <f>IFERROR(VLOOKUP(CM34,OTR!$B$39:$R$44,7,FALSE),"")</f>
        <v>137</v>
      </c>
      <c r="CQ36" s="274"/>
      <c r="CR36" s="45">
        <f>IFERROR(ROUND(VLOOKUP(CM34,OTR!$B$39:$R$44,16,FALSE),2),"")</f>
        <v>70.599999999999994</v>
      </c>
      <c r="CS36" s="33"/>
      <c r="CT36" s="268"/>
      <c r="CU36" s="33"/>
      <c r="CV36" s="125">
        <f>IFERROR(VLOOKUP(CV34,OTR!$B$48:$R$82,8,FALSE),"")</f>
        <v>8</v>
      </c>
      <c r="CW36" s="248" t="str">
        <f>IFERROR(VLOOKUP(CV34,OTR!$B$48:$R$82,14,FALSE),"")</f>
        <v>153 OZ, 98 (56+42)</v>
      </c>
      <c r="CX36" s="248"/>
      <c r="CY36" s="248"/>
      <c r="CZ36" s="249" t="str">
        <f>IFERROR(VLOOKUP(CV34,OTR!$B$48:$R$82,16,FALSE),"")</f>
        <v>ATU Košice (SVK)</v>
      </c>
      <c r="DA36" s="249"/>
      <c r="DB36" s="249"/>
      <c r="DC36" s="248">
        <f>IFERROR(VLOOKUP(CV34,OTR!$B$48:$R$82,17,FALSE),"")</f>
        <v>2005</v>
      </c>
      <c r="DD36" s="250"/>
      <c r="DE36" s="44">
        <f>IFERROR(VLOOKUP(DE34,BOH!$B$39:$R$44,4,FALSE),"")</f>
        <v>20</v>
      </c>
      <c r="DF36" s="272" t="str">
        <f>IFERROR(VLOOKUP(DE34,BOH!$B$39:$S$45,17,FALSE),"")</f>
        <v>12 V, 8 P</v>
      </c>
      <c r="DG36" s="272"/>
      <c r="DH36" s="273">
        <f>IFERROR(VLOOKUP(DE34,BOH!$B$39:$R$44,7,FALSE),"")</f>
        <v>104</v>
      </c>
      <c r="DI36" s="274"/>
      <c r="DJ36" s="45">
        <f>IFERROR(ROUND(VLOOKUP(DE34,BOH!$B$39:$R$44,16,FALSE),2),"")</f>
        <v>78.69</v>
      </c>
      <c r="DK36" s="33"/>
      <c r="DL36" s="268"/>
      <c r="DM36" s="33"/>
      <c r="DN36" s="125">
        <f>IFERROR(VLOOKUP(DN34,BOH!$B$48:$R$82,8,FALSE),"")</f>
        <v>8</v>
      </c>
      <c r="DO36" s="248" t="str">
        <f>IFERROR(VLOOKUP(DN34,BOH!$B$48:$R$82,14,FALSE),"")</f>
        <v>136 OZ, 36 (25+11)</v>
      </c>
      <c r="DP36" s="248"/>
      <c r="DQ36" s="248"/>
      <c r="DR36" s="249" t="str">
        <f>IFERROR(VLOOKUP(DN34,BOH!$B$48:$R$82,16,FALSE),"")</f>
        <v>FbŠ Bohemians</v>
      </c>
      <c r="DS36" s="249"/>
      <c r="DT36" s="249"/>
      <c r="DU36" s="248" t="str">
        <f>IFERROR(VLOOKUP(DN34,BOH!$B$48:$R$82,17,FALSE),"")</f>
        <v>-</v>
      </c>
      <c r="DV36" s="250"/>
      <c r="DW36" s="44" t="str">
        <f>IFERROR(VLOOKUP(DW34,SPA!$B$39:$R$44,4,FALSE),"")</f>
        <v/>
      </c>
      <c r="DX36" s="272" t="str">
        <f>IFERROR(VLOOKUP(DW34,SPA!$B$39:$S$45,17,FALSE),"")</f>
        <v/>
      </c>
      <c r="DY36" s="272"/>
      <c r="DZ36" s="273" t="str">
        <f>IFERROR(VLOOKUP(DW34,SPA!$B$39:$R$44,7,FALSE),"")</f>
        <v/>
      </c>
      <c r="EA36" s="274"/>
      <c r="EB36" s="45" t="str">
        <f>IFERROR(ROUND(VLOOKUP(DW34,SPA!$B$39:$R$44,16,FALSE),2),"")</f>
        <v/>
      </c>
      <c r="EC36" s="33"/>
      <c r="ED36" s="268"/>
      <c r="EE36" s="33"/>
      <c r="EF36" s="125" t="str">
        <f>IFERROR(VLOOKUP(EF34,SPA!$B$48:$R$82,8,FALSE),"")</f>
        <v/>
      </c>
      <c r="EG36" s="248" t="str">
        <f>IFERROR(VLOOKUP(EF34,SPA!$B$48:$R$82,14,FALSE),"")</f>
        <v/>
      </c>
      <c r="EH36" s="248"/>
      <c r="EI36" s="248"/>
      <c r="EJ36" s="249" t="str">
        <f>IFERROR(VLOOKUP(EF34,SPA!$B$48:$R$82,16,FALSE),"")</f>
        <v/>
      </c>
      <c r="EK36" s="249"/>
      <c r="EL36" s="249"/>
      <c r="EM36" s="248" t="str">
        <f>IFERROR(VLOOKUP(EF34,SPA!$B$48:$R$82,17,FALSE),"")</f>
        <v/>
      </c>
      <c r="EN36" s="250"/>
      <c r="EO36" s="44" t="str">
        <f>IFERROR(VLOOKUP(EO34,CLP!$B$39:$R$44,4,FALSE),"")</f>
        <v/>
      </c>
      <c r="EP36" s="272" t="str">
        <f>IFERROR(VLOOKUP(EO34,CLP!$B$39:$S$45,17,FALSE),"")</f>
        <v/>
      </c>
      <c r="EQ36" s="272"/>
      <c r="ER36" s="273" t="str">
        <f>IFERROR(VLOOKUP(EO34,CLP!$B$39:$R$44,7,FALSE),"")</f>
        <v/>
      </c>
      <c r="ES36" s="274"/>
      <c r="ET36" s="45" t="str">
        <f>IFERROR(ROUND(VLOOKUP(EO34,CLP!$B$39:$R$44,16,FALSE),2),"")</f>
        <v/>
      </c>
      <c r="EU36" s="33"/>
      <c r="EV36" s="268"/>
      <c r="EW36" s="33"/>
      <c r="EX36" s="125" t="str">
        <f>IFERROR(VLOOKUP(EX34,CLP!$B$48:$R$82,8,FALSE),"")</f>
        <v/>
      </c>
      <c r="EY36" s="248" t="str">
        <f>IFERROR(VLOOKUP(EX34,CLP!$B$48:$R$82,14,FALSE),"")</f>
        <v/>
      </c>
      <c r="EZ36" s="248"/>
      <c r="FA36" s="248"/>
      <c r="FB36" s="249" t="str">
        <f>IFERROR(VLOOKUP(EX34,CLP!$B$48:$R$82,16,FALSE),"")</f>
        <v/>
      </c>
      <c r="FC36" s="249"/>
      <c r="FD36" s="249"/>
      <c r="FE36" s="248" t="str">
        <f>IFERROR(VLOOKUP(EX34,CLP!$B$48:$R$82,17,FALSE),"")</f>
        <v/>
      </c>
      <c r="FF36" s="250"/>
      <c r="FG36" s="44" t="str">
        <f>IFERROR(VLOOKUP(FG34,LIB!$B$39:$R$44,4,FALSE),"")</f>
        <v/>
      </c>
      <c r="FH36" s="272" t="str">
        <f>IFERROR(VLOOKUP(FG34,LIB!$B$39:$S$45,17,FALSE),"")</f>
        <v/>
      </c>
      <c r="FI36" s="272"/>
      <c r="FJ36" s="273" t="str">
        <f>IFERROR(VLOOKUP(FG34,LIB!$B$39:$R$44,7,FALSE),"")</f>
        <v/>
      </c>
      <c r="FK36" s="274"/>
      <c r="FL36" s="45" t="str">
        <f>IFERROR(ROUND(VLOOKUP(FG34,LIB!$B$39:$R$44,16,FALSE),2),"")</f>
        <v/>
      </c>
      <c r="FM36" s="33"/>
      <c r="FN36" s="268"/>
      <c r="FO36" s="33"/>
      <c r="FP36" s="125" t="str">
        <f>IFERROR(VLOOKUP(FP34,LIB!$B$48:$R$82,8,FALSE),"")</f>
        <v/>
      </c>
      <c r="FQ36" s="248" t="str">
        <f>IFERROR(VLOOKUP(FP34,LIB!$B$48:$R$82,14,FALSE),"")</f>
        <v/>
      </c>
      <c r="FR36" s="248"/>
      <c r="FS36" s="248"/>
      <c r="FT36" s="249" t="str">
        <f>IFERROR(VLOOKUP(FP34,LIB!$B$48:$R$82,16,FALSE),"")</f>
        <v/>
      </c>
      <c r="FU36" s="249"/>
      <c r="FV36" s="249"/>
      <c r="FW36" s="248" t="str">
        <f>IFERROR(VLOOKUP(FP34,LIB!$B$48:$R$82,17,FALSE),"")</f>
        <v/>
      </c>
      <c r="FX36" s="250"/>
    </row>
    <row r="37" spans="1:180" ht="15.6" customHeight="1" thickTop="1" thickBot="1" x14ac:dyDescent="0.3">
      <c r="A37" s="275">
        <f>IFERROR(ROUND(VLOOKUP(A34,SKV!$B$39:$R$42,5,FALSE),2),"")</f>
        <v>1008.84</v>
      </c>
      <c r="B37" s="276"/>
      <c r="C37" s="236">
        <f>IFERROR(VLOOKUP(A34,SKV!$B$39:$R$42,15,FALSE),"")</f>
        <v>6.7800642321874625</v>
      </c>
      <c r="D37" s="237"/>
      <c r="E37" s="238" t="str">
        <f>IFERROR(VLOOKUP(A34,SKV!$B$48:$AA$82,18,FALSE),"")</f>
        <v>38 OZ, 2 A</v>
      </c>
      <c r="F37" s="239"/>
      <c r="G37" s="33"/>
      <c r="H37" s="268"/>
      <c r="I37" s="33"/>
      <c r="J37" s="33"/>
      <c r="K37" s="33"/>
      <c r="L37" s="33"/>
      <c r="M37" s="33"/>
      <c r="N37" s="33"/>
      <c r="O37" s="33"/>
      <c r="P37" s="33"/>
      <c r="Q37" s="33"/>
      <c r="R37" s="33"/>
      <c r="S37" s="275">
        <f>IFERROR(ROUND(VLOOKUP(S34,CHO!$B$39:$R$42,5,FALSE),2),"")</f>
        <v>417.77</v>
      </c>
      <c r="T37" s="276"/>
      <c r="U37" s="236">
        <f>IFERROR(VLOOKUP(S34,CHO!$B$39:$R$42,15,FALSE),"")</f>
        <v>5.8884074969480817</v>
      </c>
      <c r="V37" s="237"/>
      <c r="W37" s="238" t="str">
        <f>IFERROR(VLOOKUP(S34,CHO!$B$48:$S$82,18,FALSE),"")</f>
        <v>12 OZ, 1 A</v>
      </c>
      <c r="X37" s="239"/>
      <c r="Y37" s="33"/>
      <c r="Z37" s="268"/>
      <c r="AA37" s="33"/>
      <c r="AB37" s="33"/>
      <c r="AC37" s="33"/>
      <c r="AD37" s="33"/>
      <c r="AE37" s="33"/>
      <c r="AF37" s="33"/>
      <c r="AG37" s="33"/>
      <c r="AH37" s="33"/>
      <c r="AI37" s="33"/>
      <c r="AJ37" s="33"/>
      <c r="AK37" s="275" t="str">
        <f>IFERROR(ROUND(VLOOKUP(AK34,VIT!$B$39:$R$44,5,FALSE),2),"")</f>
        <v/>
      </c>
      <c r="AL37" s="276"/>
      <c r="AM37" s="236" t="str">
        <f>IFERROR(VLOOKUP(AK34,VIT!$B$39:$R$44,15,FALSE),"")</f>
        <v/>
      </c>
      <c r="AN37" s="237"/>
      <c r="AO37" s="238" t="str">
        <f>IFERROR(VLOOKUP(AK34,VIT!$B$48:$S$82,18,FALSE),"")</f>
        <v/>
      </c>
      <c r="AP37" s="239"/>
      <c r="AQ37" s="33"/>
      <c r="AR37" s="268"/>
      <c r="AS37" s="33"/>
      <c r="AT37" s="33"/>
      <c r="AU37" s="33"/>
      <c r="AV37" s="33"/>
      <c r="AW37" s="33"/>
      <c r="AX37" s="33"/>
      <c r="AY37" s="33"/>
      <c r="AZ37" s="33"/>
      <c r="BA37" s="33"/>
      <c r="BB37" s="33"/>
      <c r="BC37" s="275">
        <f>IFERROR(ROUND(VLOOKUP(BC34,MB!$B$39:$R$44,5,FALSE),2),"")</f>
        <v>1105.3</v>
      </c>
      <c r="BD37" s="276"/>
      <c r="BE37" s="236">
        <f>IFERROR(VLOOKUP(BC34,MB!$B$39:$R$44,15,FALSE),"")</f>
        <v>3.4741699086220934</v>
      </c>
      <c r="BF37" s="237"/>
      <c r="BG37" s="238" t="str">
        <f>IFERROR(VLOOKUP(BC34,MB!$B$48:$S$82,18,FALSE),"")</f>
        <v>156 OZ, 9 A</v>
      </c>
      <c r="BH37" s="239"/>
      <c r="BI37" s="33"/>
      <c r="BJ37" s="268"/>
      <c r="BK37" s="33"/>
      <c r="BL37" s="33"/>
      <c r="BM37" s="33"/>
      <c r="BN37" s="33"/>
      <c r="BO37" s="33"/>
      <c r="BP37" s="33"/>
      <c r="BQ37" s="33"/>
      <c r="BR37" s="33"/>
      <c r="BS37" s="33"/>
      <c r="BT37" s="33"/>
      <c r="BU37" s="275" t="str">
        <f>IFERROR(ROUND(VLOOKUP(BU34,TAT!$B$39:$R$44,5,FALSE),2),"")</f>
        <v/>
      </c>
      <c r="BV37" s="276"/>
      <c r="BW37" s="236" t="str">
        <f>IFERROR(VLOOKUP(BU34,TAT!$B$39:$R$44,15,FALSE),"")</f>
        <v/>
      </c>
      <c r="BX37" s="237"/>
      <c r="BY37" s="238" t="str">
        <f>IFERROR(VLOOKUP(BU34,TAT!$B$48:$S$82,18,FALSE),"")</f>
        <v/>
      </c>
      <c r="BZ37" s="239"/>
      <c r="CA37" s="33"/>
      <c r="CB37" s="268"/>
      <c r="CC37" s="33"/>
      <c r="CD37" s="33"/>
      <c r="CE37" s="33"/>
      <c r="CF37" s="33"/>
      <c r="CG37" s="33"/>
      <c r="CH37" s="33"/>
      <c r="CI37" s="33"/>
      <c r="CJ37" s="33"/>
      <c r="CK37" s="33"/>
      <c r="CL37" s="33"/>
      <c r="CM37" s="275">
        <f>IFERROR(ROUND(VLOOKUP(CM34,OTR!$B$39:$R$44,5,FALSE),2),"")</f>
        <v>1236.4000000000001</v>
      </c>
      <c r="CN37" s="276"/>
      <c r="CO37" s="236">
        <f>IFERROR(VLOOKUP(CM34,OTR!$B$39:$R$44,15,FALSE),"")</f>
        <v>6.6483338725331604</v>
      </c>
      <c r="CP37" s="237"/>
      <c r="CQ37" s="238" t="str">
        <f>IFERROR(VLOOKUP(CM34,OTR!$B$48:$S$82,18,FALSE),"")</f>
        <v>31 OZ, 1 A</v>
      </c>
      <c r="CR37" s="239"/>
      <c r="CS37" s="33"/>
      <c r="CT37" s="268"/>
      <c r="CU37" s="33"/>
      <c r="CV37" s="33"/>
      <c r="CW37" s="33"/>
      <c r="CX37" s="33"/>
      <c r="CY37" s="33"/>
      <c r="CZ37" s="33"/>
      <c r="DA37" s="33"/>
      <c r="DB37" s="33"/>
      <c r="DC37" s="33"/>
      <c r="DD37" s="33"/>
      <c r="DE37" s="275">
        <f>IFERROR(ROUND(VLOOKUP(DE34,BOH!$B$39:$R$44,5,FALSE),2),"")</f>
        <v>1186.54</v>
      </c>
      <c r="DF37" s="276"/>
      <c r="DG37" s="236">
        <f>IFERROR(VLOOKUP(DE34,BOH!$B$39:$R$44,15,FALSE),"")</f>
        <v>5.2589883189778686</v>
      </c>
      <c r="DH37" s="237"/>
      <c r="DI37" s="238" t="str">
        <f>IFERROR(VLOOKUP(DE34,BOH!$B$48:$S$82,18,FALSE),"")</f>
        <v>192 OZ, 4 A</v>
      </c>
      <c r="DJ37" s="239"/>
      <c r="DK37" s="33"/>
      <c r="DL37" s="268"/>
      <c r="DM37" s="33"/>
      <c r="DN37" s="33"/>
      <c r="DO37" s="33"/>
      <c r="DP37" s="33"/>
      <c r="DQ37" s="33"/>
      <c r="DR37" s="33"/>
      <c r="DS37" s="33"/>
      <c r="DT37" s="33"/>
      <c r="DU37" s="33"/>
      <c r="DV37" s="33"/>
      <c r="DW37" s="275" t="str">
        <f>IFERROR(ROUND(VLOOKUP(DW34,SPA!$B$39:$R$44,5,FALSE),2),"")</f>
        <v/>
      </c>
      <c r="DX37" s="276"/>
      <c r="DY37" s="236" t="str">
        <f>IFERROR(VLOOKUP(DW34,SPA!$B$39:$R$44,15,FALSE),"")</f>
        <v/>
      </c>
      <c r="DZ37" s="237"/>
      <c r="EA37" s="238" t="str">
        <f>IFERROR(VLOOKUP(DW34,SPA!$B$48:$S$82,18,FALSE),"")</f>
        <v/>
      </c>
      <c r="EB37" s="239"/>
      <c r="EC37" s="33"/>
      <c r="ED37" s="268"/>
      <c r="EE37" s="33"/>
      <c r="EF37" s="33"/>
      <c r="EG37" s="33"/>
      <c r="EH37" s="33"/>
      <c r="EI37" s="33"/>
      <c r="EJ37" s="33"/>
      <c r="EK37" s="33"/>
      <c r="EL37" s="33"/>
      <c r="EM37" s="33"/>
      <c r="EN37" s="33"/>
      <c r="EO37" s="275" t="str">
        <f>IFERROR(ROUND(VLOOKUP(EO34,CLP!$B$39:$R$44,5,FALSE),2),"")</f>
        <v/>
      </c>
      <c r="EP37" s="276"/>
      <c r="EQ37" s="236" t="str">
        <f>IFERROR(VLOOKUP(EO34,CLP!$B$39:$R$44,15,FALSE),"")</f>
        <v/>
      </c>
      <c r="ER37" s="237"/>
      <c r="ES37" s="238" t="str">
        <f>IFERROR(VLOOKUP(EO34,CLP!$B$48:$S$82,18,FALSE),"")</f>
        <v/>
      </c>
      <c r="ET37" s="239"/>
      <c r="EU37" s="33"/>
      <c r="EV37" s="268"/>
      <c r="EW37" s="33"/>
      <c r="EX37" s="33"/>
      <c r="EY37" s="33"/>
      <c r="EZ37" s="33"/>
      <c r="FA37" s="33"/>
      <c r="FB37" s="33"/>
      <c r="FC37" s="33"/>
      <c r="FD37" s="33"/>
      <c r="FE37" s="33"/>
      <c r="FF37" s="33"/>
      <c r="FG37" s="275" t="str">
        <f>IFERROR(ROUND(VLOOKUP(FG34,LIB!$B$39:$R$44,5,FALSE),2),"")</f>
        <v/>
      </c>
      <c r="FH37" s="276"/>
      <c r="FI37" s="236" t="str">
        <f>IFERROR(VLOOKUP(FG34,LIB!$B$39:$R$44,15,FALSE),"")</f>
        <v/>
      </c>
      <c r="FJ37" s="237"/>
      <c r="FK37" s="238" t="str">
        <f>IFERROR(VLOOKUP(FG34,LIB!$B$48:$S$82,18,FALSE),"")</f>
        <v/>
      </c>
      <c r="FL37" s="239"/>
      <c r="FM37" s="33"/>
      <c r="FN37" s="268"/>
      <c r="FO37" s="33"/>
      <c r="FP37" s="33"/>
      <c r="FQ37" s="33"/>
      <c r="FR37" s="33"/>
      <c r="FS37" s="33"/>
      <c r="FT37" s="33"/>
      <c r="FU37" s="33"/>
      <c r="FV37" s="33"/>
      <c r="FW37" s="33"/>
      <c r="FX37" s="33"/>
    </row>
    <row r="38" spans="1:180" ht="15.6" customHeight="1" thickTop="1" thickBot="1" x14ac:dyDescent="0.3">
      <c r="A38" s="243" t="str">
        <f>IFERROR(VLOOKUP(A34,SKV!$B$48:$AA$82,16,FALSE),"")</f>
        <v>Chodov</v>
      </c>
      <c r="B38" s="244"/>
      <c r="C38" s="245"/>
      <c r="D38" s="246">
        <f>IFERROR(VLOOKUP(A34,SKV!$B$48:$AA$82,17,FALSE),"")</f>
        <v>2008</v>
      </c>
      <c r="E38" s="247"/>
      <c r="F38" s="46">
        <f>IFERROR(VLOOKUP(A34,SKV!$B$39:$R$42,8,FALSE),"")</f>
        <v>1</v>
      </c>
      <c r="G38" s="33"/>
      <c r="H38" s="268"/>
      <c r="I38" s="33"/>
      <c r="J38" s="266" t="s">
        <v>55</v>
      </c>
      <c r="K38" s="267"/>
      <c r="L38" s="267"/>
      <c r="M38" s="267"/>
      <c r="N38" s="267"/>
      <c r="O38" s="267"/>
      <c r="P38" s="267"/>
      <c r="Q38" s="32" t="str">
        <f>IFERROR(IF(VLOOKUP(J38,SKV!$B$48:$AA$82,10,FALSE)=0,"",VLOOKUP(M38,SKV!$B$48:$AA$82,10,FALSE)),"")</f>
        <v/>
      </c>
      <c r="R38" s="52">
        <f>IFERROR(VLOOKUP(J38,SKV!$B$48:$AA$82,9,FALSE),"")</f>
        <v>87</v>
      </c>
      <c r="S38" s="243" t="str">
        <f>IFERROR(VLOOKUP(S34,CHO!$B$48:$AA$82,16,FALSE),"")</f>
        <v>TJ Sokol Rokycany</v>
      </c>
      <c r="T38" s="244"/>
      <c r="U38" s="245"/>
      <c r="V38" s="246">
        <f>IFERROR(VLOOKUP(S34,CHO!$B$48:$AA$82,17,FALSE),"")</f>
        <v>2010</v>
      </c>
      <c r="W38" s="247"/>
      <c r="X38" s="46">
        <f>IFERROR(VLOOKUP(S34,CHO!$B$39:$R$42,8,FALSE),"")</f>
        <v>0</v>
      </c>
      <c r="Y38" s="33"/>
      <c r="Z38" s="268"/>
      <c r="AA38" s="33"/>
      <c r="AB38" s="266" t="s">
        <v>176</v>
      </c>
      <c r="AC38" s="267"/>
      <c r="AD38" s="267"/>
      <c r="AE38" s="267"/>
      <c r="AF38" s="267"/>
      <c r="AG38" s="267"/>
      <c r="AH38" s="267"/>
      <c r="AI38" s="32" t="str">
        <f>IFERROR(IF(VLOOKUP(AB38,CHO!$B$48:$AA$82,10,FALSE)=0,"",VLOOKUP(AB38,CHO!$B$48:$AA$82,10,FALSE)),"")</f>
        <v/>
      </c>
      <c r="AJ38" s="52">
        <f>IFERROR(VLOOKUP(AB38,CHO!$B$48:$AA$82,9,FALSE),"")</f>
        <v>10</v>
      </c>
      <c r="AK38" s="243" t="str">
        <f>IFERROR(VLOOKUP(AK34,VIT!$B$48:$R$82,16,FALSE),"")</f>
        <v/>
      </c>
      <c r="AL38" s="244"/>
      <c r="AM38" s="245"/>
      <c r="AN38" s="246" t="str">
        <f>IFERROR(VLOOKUP(AK34,VIT!$B$48:$R$82,17,FALSE),"")</f>
        <v/>
      </c>
      <c r="AO38" s="247"/>
      <c r="AP38" s="46" t="str">
        <f>IFERROR(VLOOKUP(AK34,VIT!$B$39:$R$44,8,FALSE),"")</f>
        <v/>
      </c>
      <c r="AQ38" s="33"/>
      <c r="AR38" s="268"/>
      <c r="AS38" s="33"/>
      <c r="AT38" s="266"/>
      <c r="AU38" s="267"/>
      <c r="AV38" s="267"/>
      <c r="AW38" s="267"/>
      <c r="AX38" s="267"/>
      <c r="AY38" s="267"/>
      <c r="AZ38" s="267"/>
      <c r="BA38" s="32" t="str">
        <f>IFERROR(IF(VLOOKUP(AT38,VIT!$B$48:$R$82,10,FALSE)=0,"",VLOOKUP(AT38,VIT!$B$48:$R$82,10,FALSE)),"")</f>
        <v/>
      </c>
      <c r="BB38" s="52" t="str">
        <f>IFERROR(VLOOKUP(AT38,VIT!$B$48:$R$82,9,FALSE),"")</f>
        <v/>
      </c>
      <c r="BC38" s="243" t="str">
        <f>IFERROR(VLOOKUP(BC34,MB!$B$48:$R$82,16,FALSE),"")</f>
        <v>TJ SKV</v>
      </c>
      <c r="BD38" s="244"/>
      <c r="BE38" s="245"/>
      <c r="BF38" s="246">
        <f>IFERROR(VLOOKUP(BC34,MB!$B$48:$R$82,17,FALSE),"")</f>
        <v>0</v>
      </c>
      <c r="BG38" s="247"/>
      <c r="BH38" s="46">
        <f>IFERROR(VLOOKUP(BC34,MB!$B$39:$R$44,8,FALSE),"")</f>
        <v>0</v>
      </c>
      <c r="BI38" s="33"/>
      <c r="BJ38" s="268"/>
      <c r="BK38" s="33"/>
      <c r="BL38" s="266" t="s">
        <v>302</v>
      </c>
      <c r="BM38" s="267"/>
      <c r="BN38" s="267"/>
      <c r="BO38" s="267"/>
      <c r="BP38" s="267"/>
      <c r="BQ38" s="267"/>
      <c r="BR38" s="267"/>
      <c r="BS38" s="32" t="str">
        <f>IFERROR(IF(VLOOKUP(BL38,MB!$B$48:$R$82,10,FALSE)=0,"",VLOOKUP(BL38,MB!$B$48:$R$82,10,FALSE)),"")</f>
        <v/>
      </c>
      <c r="BT38" s="52">
        <f>IFERROR(VLOOKUP(BL38,MB!$B$48:$R$82,9,FALSE),"")</f>
        <v>24</v>
      </c>
      <c r="BU38" s="243" t="str">
        <f>IFERROR(VLOOKUP(BU34,TAT!$B$48:$R$82,16,FALSE),"")</f>
        <v/>
      </c>
      <c r="BV38" s="244"/>
      <c r="BW38" s="245"/>
      <c r="BX38" s="246" t="str">
        <f>IFERROR(VLOOKUP(BU34,TAT!$B$48:$R$82,17,FALSE),"")</f>
        <v/>
      </c>
      <c r="BY38" s="247"/>
      <c r="BZ38" s="46" t="str">
        <f>IFERROR(VLOOKUP(BU34,TAT!$B$39:$R$44,8,FALSE),"")</f>
        <v/>
      </c>
      <c r="CA38" s="33"/>
      <c r="CB38" s="268"/>
      <c r="CC38" s="33"/>
      <c r="CD38" s="266"/>
      <c r="CE38" s="267"/>
      <c r="CF38" s="267"/>
      <c r="CG38" s="267"/>
      <c r="CH38" s="267"/>
      <c r="CI38" s="267"/>
      <c r="CJ38" s="267"/>
      <c r="CK38" s="32" t="str">
        <f>IFERROR(IF(VLOOKUP(CD38,TAT!$B$48:$R$82,10,FALSE)=0,"",VLOOKUP(CD38,TAT!$B$48:$R$82,10,FALSE)),"")</f>
        <v/>
      </c>
      <c r="CL38" s="52" t="str">
        <f>IFERROR(VLOOKUP(CD38,TAT!$B$48:$R$82,9,FALSE),"")</f>
        <v/>
      </c>
      <c r="CM38" s="243" t="str">
        <f>IFERROR(VLOOKUP(CM34,OTR!$B$48:$R$82,16,FALSE),"")</f>
        <v>Sokol Zlín</v>
      </c>
      <c r="CN38" s="244"/>
      <c r="CO38" s="245"/>
      <c r="CP38" s="246">
        <f>IFERROR(VLOOKUP(CM34,OTR!$B$48:$R$82,17,FALSE),"")</f>
        <v>2012</v>
      </c>
      <c r="CQ38" s="247"/>
      <c r="CR38" s="46">
        <f>IFERROR(VLOOKUP(CM34,OTR!$B$39:$R$44,8,FALSE),"")</f>
        <v>0</v>
      </c>
      <c r="CS38" s="33"/>
      <c r="CT38" s="268"/>
      <c r="CU38" s="33"/>
      <c r="CV38" s="266" t="s">
        <v>434</v>
      </c>
      <c r="CW38" s="267"/>
      <c r="CX38" s="267"/>
      <c r="CY38" s="267"/>
      <c r="CZ38" s="267"/>
      <c r="DA38" s="267"/>
      <c r="DB38" s="267"/>
      <c r="DC38" s="32" t="str">
        <f>IFERROR(IF(VLOOKUP(CV38,OTR!$B$48:$R$82,10,FALSE)=0,"",VLOOKUP(CV38,OTR!$B$48:$R$82,10,FALSE)),"")</f>
        <v/>
      </c>
      <c r="DD38" s="52">
        <f>IFERROR(VLOOKUP(CV38,OTR!$B$48:$R$82,9,FALSE),"")</f>
        <v>61</v>
      </c>
      <c r="DE38" s="243" t="str">
        <f>IFERROR(VLOOKUP(DE34,BOH!$B$48:$R$82,16,FALSE),"")</f>
        <v>SK Florbal Kroměříž</v>
      </c>
      <c r="DF38" s="244"/>
      <c r="DG38" s="245"/>
      <c r="DH38" s="246">
        <f>IFERROR(VLOOKUP(DE34,BOH!$B$48:$R$82,17,FALSE),"")</f>
        <v>2000</v>
      </c>
      <c r="DI38" s="247"/>
      <c r="DJ38" s="46">
        <f>IFERROR(VLOOKUP(DE34,BOH!$B$39:$R$44,8,FALSE),"")</f>
        <v>0</v>
      </c>
      <c r="DK38" s="33"/>
      <c r="DL38" s="268"/>
      <c r="DM38" s="33"/>
      <c r="DN38" s="266" t="s">
        <v>515</v>
      </c>
      <c r="DO38" s="267"/>
      <c r="DP38" s="267"/>
      <c r="DQ38" s="267"/>
      <c r="DR38" s="267"/>
      <c r="DS38" s="267"/>
      <c r="DT38" s="267"/>
      <c r="DU38" s="32" t="str">
        <f>IFERROR(IF(VLOOKUP(DN38,BOH!$B$48:$R$82,10,FALSE)=0,"",VLOOKUP(DN38,BOH!$B$48:$R$82,10,FALSE)),"")</f>
        <v/>
      </c>
      <c r="DV38" s="52">
        <f>IFERROR(VLOOKUP(DN38,BOH!$B$48:$R$82,9,FALSE),"")</f>
        <v>39</v>
      </c>
      <c r="DW38" s="243" t="str">
        <f>IFERROR(VLOOKUP(DW34,SPA!$B$48:$R$82,16,FALSE),"")</f>
        <v/>
      </c>
      <c r="DX38" s="244"/>
      <c r="DY38" s="245"/>
      <c r="DZ38" s="246" t="str">
        <f>IFERROR(VLOOKUP(DW34,SPA!$B$48:$R$82,17,FALSE),"")</f>
        <v/>
      </c>
      <c r="EA38" s="247"/>
      <c r="EB38" s="46" t="str">
        <f>IFERROR(VLOOKUP(DW34,SPA!$B$39:$R$44,8,FALSE),"")</f>
        <v/>
      </c>
      <c r="EC38" s="33"/>
      <c r="ED38" s="268"/>
      <c r="EE38" s="33"/>
      <c r="EF38" s="266"/>
      <c r="EG38" s="267"/>
      <c r="EH38" s="267"/>
      <c r="EI38" s="267"/>
      <c r="EJ38" s="267"/>
      <c r="EK38" s="267"/>
      <c r="EL38" s="267"/>
      <c r="EM38" s="32" t="str">
        <f>IFERROR(IF(VLOOKUP(EF38,SPA!$B$48:$R$82,10,FALSE)=0,"",VLOOKUP(EF38,SPA!$B$48:$R$82,10,FALSE)),"")</f>
        <v/>
      </c>
      <c r="EN38" s="52" t="str">
        <f>IFERROR(VLOOKUP(EF38,SPA!$B$48:$R$82,9,FALSE),"")</f>
        <v/>
      </c>
      <c r="EO38" s="243" t="str">
        <f>IFERROR(VLOOKUP(EO34,CLP!$B$48:$R$82,16,FALSE),"")</f>
        <v/>
      </c>
      <c r="EP38" s="244"/>
      <c r="EQ38" s="245"/>
      <c r="ER38" s="246" t="str">
        <f>IFERROR(VLOOKUP(EO34,CLP!$B$48:$R$82,17,FALSE),"")</f>
        <v/>
      </c>
      <c r="ES38" s="247"/>
      <c r="ET38" s="46" t="str">
        <f>IFERROR(VLOOKUP(EO34,CLP!$B$39:$R$44,8,FALSE),"")</f>
        <v/>
      </c>
      <c r="EU38" s="33"/>
      <c r="EV38" s="268"/>
      <c r="EW38" s="33"/>
      <c r="EX38" s="266"/>
      <c r="EY38" s="267"/>
      <c r="EZ38" s="267"/>
      <c r="FA38" s="267"/>
      <c r="FB38" s="267"/>
      <c r="FC38" s="267"/>
      <c r="FD38" s="267"/>
      <c r="FE38" s="32" t="str">
        <f>IFERROR(IF(VLOOKUP(EX38,CLP!$B$48:$R$82,10,FALSE)=0,"",VLOOKUP(EX38,CLP!$B$48:$R$82,10,FALSE)),"")</f>
        <v/>
      </c>
      <c r="FF38" s="52" t="str">
        <f>IFERROR(VLOOKUP(EX38,CLP!$B$48:$R$82,9,FALSE),"")</f>
        <v/>
      </c>
      <c r="FG38" s="243" t="str">
        <f>IFERROR(VLOOKUP(FG34,LIB!$B$48:$R$82,16,FALSE),"")</f>
        <v/>
      </c>
      <c r="FH38" s="244"/>
      <c r="FI38" s="245"/>
      <c r="FJ38" s="246" t="str">
        <f>IFERROR(VLOOKUP(FG34,LIB!$B$48:$R$82,17,FALSE),"")</f>
        <v/>
      </c>
      <c r="FK38" s="247"/>
      <c r="FL38" s="46" t="str">
        <f>IFERROR(VLOOKUP(FG34,LIB!$B$39:$R$44,8,FALSE),"")</f>
        <v/>
      </c>
      <c r="FM38" s="33"/>
      <c r="FN38" s="268"/>
      <c r="FO38" s="33"/>
      <c r="FP38" s="266"/>
      <c r="FQ38" s="267"/>
      <c r="FR38" s="267"/>
      <c r="FS38" s="267"/>
      <c r="FT38" s="267"/>
      <c r="FU38" s="267"/>
      <c r="FV38" s="267"/>
      <c r="FW38" s="32" t="str">
        <f>IFERROR(IF(VLOOKUP(FP38,LIB!$B$48:$R$82,10,FALSE)=0,"",VLOOKUP(FP38,LIB!$B$48:$R$82,10,FALSE)),"")</f>
        <v/>
      </c>
      <c r="FX38" s="52" t="str">
        <f>IFERROR(VLOOKUP(FP38,LIB!$B$48:$R$82,9,FALSE),"")</f>
        <v/>
      </c>
    </row>
    <row r="39" spans="1:180" ht="15.6" customHeight="1" thickTop="1" thickBot="1" x14ac:dyDescent="0.3">
      <c r="A39" s="33"/>
      <c r="B39" s="33"/>
      <c r="C39" s="33"/>
      <c r="D39" s="33"/>
      <c r="E39" s="33"/>
      <c r="F39" s="33"/>
      <c r="G39" s="33"/>
      <c r="H39" s="268"/>
      <c r="I39" s="33"/>
      <c r="J39" s="34" t="str">
        <f>IFERROR(VLOOKUP(J38,SKV!$B$48:$AA$82,11,FALSE),"")</f>
        <v>P</v>
      </c>
      <c r="K39" s="240">
        <f>IFERROR(YEAR(VLOOKUP(J38,SKV!$B$48:$AA$82,2,FALSE)),"")</f>
        <v>2002</v>
      </c>
      <c r="L39" s="241"/>
      <c r="M39" s="43">
        <f ca="1">IFERROR(VLOOKUP(J38,SKV!$B$48:$AA$82,3,FALSE),"")</f>
        <v>18</v>
      </c>
      <c r="N39" s="241" t="str">
        <f>IFERROR(VLOOKUP(J38,SKV!$B$48:$AA$82,15,FALSE),"")</f>
        <v>181/75</v>
      </c>
      <c r="O39" s="241"/>
      <c r="P39" s="241" t="str">
        <f>IFERROR(VLOOKUP(J38,SKV!$B$2:$O$36,14,FALSE),"")</f>
        <v>11 OZ , 0 (0+0), -1 ±</v>
      </c>
      <c r="Q39" s="241"/>
      <c r="R39" s="242"/>
      <c r="S39" s="33"/>
      <c r="T39" s="33"/>
      <c r="U39" s="33"/>
      <c r="V39" s="33"/>
      <c r="W39" s="33"/>
      <c r="X39" s="33"/>
      <c r="Y39" s="33"/>
      <c r="Z39" s="268"/>
      <c r="AA39" s="33"/>
      <c r="AB39" s="34" t="str">
        <f>IFERROR(VLOOKUP(AB38,CHO!$B$48:$AA$82,11,FALSE),"")</f>
        <v>L</v>
      </c>
      <c r="AC39" s="240">
        <f>IFERROR(YEAR(VLOOKUP(AB38,CHO!$B$48:$AA$82,2,FALSE)),"")</f>
        <v>1997</v>
      </c>
      <c r="AD39" s="241"/>
      <c r="AE39" s="43">
        <f ca="1">IFERROR(VLOOKUP(AB38,CHO!$B$48:$AA$82,3,FALSE),"")</f>
        <v>24</v>
      </c>
      <c r="AF39" s="241" t="str">
        <f>IFERROR(VLOOKUP(AB38,CHO!$B$48:$AA$82,15,FALSE),"")</f>
        <v>172/73</v>
      </c>
      <c r="AG39" s="241"/>
      <c r="AH39" s="241" t="str">
        <f>IFERROR(VLOOKUP(AB38,CHO!$B$2:$O$36,14,FALSE),"")</f>
        <v>20 OZ , 2 (1+1), -4 ±</v>
      </c>
      <c r="AI39" s="241"/>
      <c r="AJ39" s="242"/>
      <c r="AK39" s="33"/>
      <c r="AL39" s="33"/>
      <c r="AM39" s="33"/>
      <c r="AN39" s="33"/>
      <c r="AO39" s="33"/>
      <c r="AP39" s="33"/>
      <c r="AQ39" s="33"/>
      <c r="AR39" s="268"/>
      <c r="AS39" s="33"/>
      <c r="AT39" s="34" t="str">
        <f>IFERROR(VLOOKUP(AT38,VIT!$B$48:$R$82,11,FALSE),"")</f>
        <v/>
      </c>
      <c r="AU39" s="240" t="str">
        <f>IFERROR(YEAR(VLOOKUP(AT38,VIT!$B$48:$R$82,2,FALSE)),"")</f>
        <v/>
      </c>
      <c r="AV39" s="241"/>
      <c r="AW39" s="105" t="str">
        <f>IFERROR(VLOOKUP(AT38,VIT!$B$48:$R$82,3,FALSE),"")</f>
        <v/>
      </c>
      <c r="AX39" s="241" t="str">
        <f>IFERROR(VLOOKUP(AT38,VIT!$B$48:$R$82,15,FALSE),"")</f>
        <v/>
      </c>
      <c r="AY39" s="241"/>
      <c r="AZ39" s="241" t="str">
        <f>IFERROR(VLOOKUP(AT38,VIT!$B$2:$O$36,14,FALSE),"")</f>
        <v/>
      </c>
      <c r="BA39" s="241"/>
      <c r="BB39" s="242"/>
      <c r="BC39" s="33"/>
      <c r="BD39" s="33"/>
      <c r="BE39" s="33"/>
      <c r="BF39" s="33"/>
      <c r="BG39" s="33"/>
      <c r="BH39" s="33"/>
      <c r="BI39" s="33"/>
      <c r="BJ39" s="268"/>
      <c r="BK39" s="33"/>
      <c r="BL39" s="34" t="str">
        <f>IFERROR(VLOOKUP(BL38,MB!$B$48:$R$82,11,FALSE),"")</f>
        <v>L</v>
      </c>
      <c r="BM39" s="240">
        <f>IFERROR(YEAR(VLOOKUP(BL38,MB!$B$48:$R$82,2,FALSE)),"")</f>
        <v>2002</v>
      </c>
      <c r="BN39" s="241"/>
      <c r="BO39" s="107">
        <f ca="1">IFERROR(VLOOKUP(BL38,MB!$B$48:$R$82,3,FALSE),"")</f>
        <v>18</v>
      </c>
      <c r="BP39" s="241" t="str">
        <f>IFERROR(VLOOKUP(BL38,MB!$B$48:$R$82,15,FALSE),"")</f>
        <v>187/71</v>
      </c>
      <c r="BQ39" s="241"/>
      <c r="BR39" s="241" t="str">
        <f>IFERROR(VLOOKUP(BL38,MB!$B$2:$O$36,14,FALSE),"")</f>
        <v>13 OZ , 9 (6+3), +9 ±</v>
      </c>
      <c r="BS39" s="241"/>
      <c r="BT39" s="242"/>
      <c r="BU39" s="33"/>
      <c r="BV39" s="33"/>
      <c r="BW39" s="33"/>
      <c r="BX39" s="33"/>
      <c r="BY39" s="33"/>
      <c r="BZ39" s="33"/>
      <c r="CA39" s="33"/>
      <c r="CB39" s="268"/>
      <c r="CC39" s="33"/>
      <c r="CD39" s="34" t="str">
        <f>IFERROR(VLOOKUP(CD38,TAT!$B$48:$R$82,11,FALSE),"")</f>
        <v/>
      </c>
      <c r="CE39" s="240" t="str">
        <f>IFERROR(YEAR(VLOOKUP(CD38,TAT!$B$48:$R$82,2,FALSE)),"")</f>
        <v/>
      </c>
      <c r="CF39" s="241"/>
      <c r="CG39" s="149" t="str">
        <f>IFERROR(VLOOKUP(CD38,TAT!$B$48:$R$82,3,FALSE),"")</f>
        <v/>
      </c>
      <c r="CH39" s="241" t="str">
        <f>IFERROR(VLOOKUP(CD38,TAT!$B$48:$R$82,15,FALSE),"")</f>
        <v/>
      </c>
      <c r="CI39" s="241"/>
      <c r="CJ39" s="241" t="str">
        <f>IFERROR(VLOOKUP(CD38,TAT!$B$2:$O$36,14,FALSE),"")</f>
        <v/>
      </c>
      <c r="CK39" s="241"/>
      <c r="CL39" s="242"/>
      <c r="CM39" s="33"/>
      <c r="CN39" s="33"/>
      <c r="CO39" s="33"/>
      <c r="CP39" s="33"/>
      <c r="CQ39" s="33"/>
      <c r="CR39" s="33"/>
      <c r="CS39" s="33"/>
      <c r="CT39" s="268"/>
      <c r="CU39" s="33"/>
      <c r="CV39" s="34" t="str">
        <f>IFERROR(VLOOKUP(CV38,OTR!$B$48:$R$82,11,FALSE),"")</f>
        <v>L</v>
      </c>
      <c r="CW39" s="240">
        <f>IFERROR(YEAR(VLOOKUP(CV38,OTR!$B$48:$R$82,2,FALSE)),"")</f>
        <v>2003</v>
      </c>
      <c r="CX39" s="241"/>
      <c r="CY39" s="149">
        <f ca="1">IFERROR(VLOOKUP(CV38,OTR!$B$48:$R$82,3,FALSE),"")</f>
        <v>18</v>
      </c>
      <c r="CZ39" s="241" t="str">
        <f>IFERROR(VLOOKUP(CV38,OTR!$B$48:$R$82,15,FALSE),"")</f>
        <v>184/72</v>
      </c>
      <c r="DA39" s="241"/>
      <c r="DB39" s="241" t="str">
        <f>IFERROR(VLOOKUP(CV38,OTR!$B$2:$O$36,14,FALSE),"")</f>
        <v>18 OZ , 1 (0+1), -21 ±</v>
      </c>
      <c r="DC39" s="241"/>
      <c r="DD39" s="242"/>
      <c r="DE39" s="33"/>
      <c r="DF39" s="33"/>
      <c r="DG39" s="33"/>
      <c r="DH39" s="33"/>
      <c r="DI39" s="33"/>
      <c r="DJ39" s="33"/>
      <c r="DK39" s="33"/>
      <c r="DL39" s="268"/>
      <c r="DM39" s="33"/>
      <c r="DN39" s="34" t="str">
        <f>IFERROR(VLOOKUP(DN38,BOH!$B$48:$R$82,11,FALSE),"")</f>
        <v>P</v>
      </c>
      <c r="DO39" s="240">
        <f>IFERROR(YEAR(VLOOKUP(DN38,BOH!$B$48:$R$82,2,FALSE)),"")</f>
        <v>1990</v>
      </c>
      <c r="DP39" s="241"/>
      <c r="DQ39" s="164">
        <f ca="1">IFERROR(VLOOKUP(DN38,BOH!$B$48:$R$82,3,FALSE),"")</f>
        <v>30</v>
      </c>
      <c r="DR39" s="241" t="str">
        <f>IFERROR(VLOOKUP(DN38,BOH!$B$48:$R$82,15,FALSE),"")</f>
        <v>184/90</v>
      </c>
      <c r="DS39" s="241"/>
      <c r="DT39" s="241" t="str">
        <f>IFERROR(VLOOKUP(DN38,BOH!$B$2:$O$36,14,FALSE),"")</f>
        <v>20 OZ , 0 (0+0), +1 ±</v>
      </c>
      <c r="DU39" s="241"/>
      <c r="DV39" s="242"/>
      <c r="DW39" s="33"/>
      <c r="DX39" s="33"/>
      <c r="DY39" s="33"/>
      <c r="DZ39" s="33"/>
      <c r="EA39" s="33"/>
      <c r="EB39" s="33"/>
      <c r="EC39" s="33"/>
      <c r="ED39" s="268"/>
      <c r="EE39" s="33"/>
      <c r="EF39" s="34" t="str">
        <f>IFERROR(VLOOKUP(EF38,SPA!$B$48:$R$82,11,FALSE),"")</f>
        <v/>
      </c>
      <c r="EG39" s="240" t="str">
        <f>IFERROR(YEAR(VLOOKUP(EF38,SPA!$B$48:$R$82,2,FALSE)),"")</f>
        <v/>
      </c>
      <c r="EH39" s="241"/>
      <c r="EI39" s="164" t="str">
        <f>IFERROR(VLOOKUP(EF38,SPA!$B$48:$R$82,3,FALSE),"")</f>
        <v/>
      </c>
      <c r="EJ39" s="241" t="str">
        <f>IFERROR(VLOOKUP(EF38,SPA!$B$48:$R$82,15,FALSE),"")</f>
        <v/>
      </c>
      <c r="EK39" s="241"/>
      <c r="EL39" s="241" t="str">
        <f>IFERROR(VLOOKUP(EF38,SPA!$B$2:$O$36,14,FALSE),"")</f>
        <v/>
      </c>
      <c r="EM39" s="241"/>
      <c r="EN39" s="242"/>
      <c r="EO39" s="33"/>
      <c r="EP39" s="33"/>
      <c r="EQ39" s="33"/>
      <c r="ER39" s="33"/>
      <c r="ES39" s="33"/>
      <c r="ET39" s="33"/>
      <c r="EU39" s="33"/>
      <c r="EV39" s="268"/>
      <c r="EW39" s="33"/>
      <c r="EX39" s="34" t="str">
        <f>IFERROR(VLOOKUP(EX38,CLP!$B$48:$R$82,11,FALSE),"")</f>
        <v/>
      </c>
      <c r="EY39" s="240" t="str">
        <f>IFERROR(YEAR(VLOOKUP(EX38,CLP!$B$48:$R$82,2,FALSE)),"")</f>
        <v/>
      </c>
      <c r="EZ39" s="241"/>
      <c r="FA39" s="203" t="str">
        <f>IFERROR(VLOOKUP(EX38,CLP!$B$48:$R$82,3,FALSE),"")</f>
        <v/>
      </c>
      <c r="FB39" s="241" t="str">
        <f>IFERROR(VLOOKUP(EX38,CLP!$B$48:$R$82,15,FALSE),"")</f>
        <v/>
      </c>
      <c r="FC39" s="241"/>
      <c r="FD39" s="241" t="str">
        <f>IFERROR(VLOOKUP(EX38,CLP!$B$2:$O$36,14,FALSE),"")</f>
        <v/>
      </c>
      <c r="FE39" s="241"/>
      <c r="FF39" s="242"/>
      <c r="FG39" s="33"/>
      <c r="FH39" s="33"/>
      <c r="FI39" s="33"/>
      <c r="FJ39" s="33"/>
      <c r="FK39" s="33"/>
      <c r="FL39" s="33"/>
      <c r="FM39" s="33"/>
      <c r="FN39" s="268"/>
      <c r="FO39" s="33"/>
      <c r="FP39" s="34" t="str">
        <f>IFERROR(VLOOKUP(FP38,LIB!$B$48:$R$82,11,FALSE),"")</f>
        <v/>
      </c>
      <c r="FQ39" s="240" t="str">
        <f>IFERROR(YEAR(VLOOKUP(FP38,LIB!$B$48:$R$82,2,FALSE)),"")</f>
        <v/>
      </c>
      <c r="FR39" s="241"/>
      <c r="FS39" s="203" t="str">
        <f>IFERROR(VLOOKUP(FP38,LIB!$B$48:$R$82,3,FALSE),"")</f>
        <v/>
      </c>
      <c r="FT39" s="241" t="str">
        <f>IFERROR(VLOOKUP(FP38,LIB!$B$48:$R$82,15,FALSE),"")</f>
        <v/>
      </c>
      <c r="FU39" s="241"/>
      <c r="FV39" s="241" t="str">
        <f>IFERROR(VLOOKUP(FP38,LIB!$B$2:$O$36,14,FALSE),"")</f>
        <v/>
      </c>
      <c r="FW39" s="241"/>
      <c r="FX39" s="242"/>
    </row>
    <row r="40" spans="1:180" ht="15.6" customHeight="1" thickTop="1" thickBot="1" x14ac:dyDescent="0.3">
      <c r="A40" s="266" t="s">
        <v>33</v>
      </c>
      <c r="B40" s="267"/>
      <c r="C40" s="267"/>
      <c r="D40" s="267"/>
      <c r="E40" s="32" t="str">
        <f>IFERROR(IF(VLOOKUP(A40,SKV!$B$48:$AA$82,10,FALSE)=0,"",VLOOKUP(A40,SKV!$B$48:$AA$82,10,FALSE)),"")</f>
        <v/>
      </c>
      <c r="F40" s="52">
        <f>IFERROR(VLOOKUP(A40,SKV!$B$48:$AA$82,9,FALSE),"")</f>
        <v>13</v>
      </c>
      <c r="G40" s="33"/>
      <c r="H40" s="268"/>
      <c r="I40" s="33"/>
      <c r="J40" s="125">
        <f>IFERROR(VLOOKUP(J38,SKV!$B$48:$AA$82,8,FALSE),"")</f>
        <v>2</v>
      </c>
      <c r="K40" s="248" t="str">
        <f>IFERROR(VLOOKUP(J38,SKV!$B$48:$AA$82,14,FALSE),"")</f>
        <v>15 OZ, 1 (1+0)</v>
      </c>
      <c r="L40" s="248"/>
      <c r="M40" s="248"/>
      <c r="N40" s="249" t="str">
        <f>IFERROR(VLOOKUP(J38,SKV!$B$48:$AA$82,16,FALSE),"")</f>
        <v>SKV</v>
      </c>
      <c r="O40" s="249"/>
      <c r="P40" s="249"/>
      <c r="Q40" s="248">
        <f>IFERROR(VLOOKUP(J38,SKV!$B$48:$AA$82,17,FALSE),"")</f>
        <v>2013</v>
      </c>
      <c r="R40" s="250"/>
      <c r="S40" s="266" t="s">
        <v>183</v>
      </c>
      <c r="T40" s="267"/>
      <c r="U40" s="267"/>
      <c r="V40" s="267"/>
      <c r="W40" s="32" t="str">
        <f>IFERROR(IF(VLOOKUP(S40,CHO!$B$48:$AA$82,10,FALSE)=0,"",VLOOKUP(S40,CHO!$B$48:$AA$82,10,FALSE)),"")</f>
        <v/>
      </c>
      <c r="X40" s="52">
        <f>IFERROR(VLOOKUP(S40,CHO!$B$48:$AA$82,9,FALSE),"")</f>
        <v>30</v>
      </c>
      <c r="Y40" s="33"/>
      <c r="Z40" s="268"/>
      <c r="AA40" s="33"/>
      <c r="AB40" s="125">
        <f>IFERROR(VLOOKUP(AB38,CHO!$B$48:$AA$82,8,FALSE),"")</f>
        <v>7</v>
      </c>
      <c r="AC40" s="248" t="str">
        <f>IFERROR(VLOOKUP(AB38,CHO!$B$48:$AA$82,14,FALSE),"")</f>
        <v>112 OZ, 48 (30+18)</v>
      </c>
      <c r="AD40" s="248"/>
      <c r="AE40" s="248"/>
      <c r="AF40" s="249" t="str">
        <f>IFERROR(VLOOKUP(AB38,CHO!$B$48:$AA$82,16,FALSE),"")</f>
        <v>Florbal Chodov</v>
      </c>
      <c r="AG40" s="249"/>
      <c r="AH40" s="249"/>
      <c r="AI40" s="248">
        <f>IFERROR(VLOOKUP(AB38,CHO!$B$48:$AA$82,17,FALSE),"")</f>
        <v>2006</v>
      </c>
      <c r="AJ40" s="250"/>
      <c r="AK40" s="266"/>
      <c r="AL40" s="267"/>
      <c r="AM40" s="267"/>
      <c r="AN40" s="267"/>
      <c r="AO40" s="32" t="str">
        <f>IFERROR(IF(VLOOKUP(AK40,VIT!$B$48:$R$82,10,FALSE)=0,"",VLOOKUP(AK40,VIT!$B$48:$R$82,10,FALSE)),"")</f>
        <v/>
      </c>
      <c r="AP40" s="52" t="str">
        <f>IFERROR(VLOOKUP(AK40,VIT!$B$48:$R$82,9,FALSE),"")</f>
        <v/>
      </c>
      <c r="AQ40" s="33"/>
      <c r="AR40" s="268"/>
      <c r="AS40" s="33"/>
      <c r="AT40" s="125" t="str">
        <f>IFERROR(VLOOKUP(AT38,VIT!$B$48:$R$82,8,FALSE),"")</f>
        <v/>
      </c>
      <c r="AU40" s="248" t="str">
        <f>IFERROR(VLOOKUP(AT38,VIT!$B$48:$R$82,14,FALSE),"")</f>
        <v/>
      </c>
      <c r="AV40" s="248"/>
      <c r="AW40" s="248"/>
      <c r="AX40" s="249" t="str">
        <f>IFERROR(VLOOKUP(AT38,VIT!$B$48:$R$82,16,FALSE),"")</f>
        <v/>
      </c>
      <c r="AY40" s="249"/>
      <c r="AZ40" s="249"/>
      <c r="BA40" s="248" t="str">
        <f>IFERROR(VLOOKUP(AT38,VIT!$B$48:$R$82,17,FALSE),"")</f>
        <v/>
      </c>
      <c r="BB40" s="250"/>
      <c r="BC40" s="266" t="s">
        <v>317</v>
      </c>
      <c r="BD40" s="267"/>
      <c r="BE40" s="267"/>
      <c r="BF40" s="267"/>
      <c r="BG40" s="32" t="str">
        <f>IFERROR(IF(VLOOKUP(BC40,MB!$B$48:$R$82,10,FALSE)=0,"",VLOOKUP(BC40,MB!$B$48:$R$82,10,FALSE)),"")</f>
        <v/>
      </c>
      <c r="BH40" s="52">
        <f>IFERROR(VLOOKUP(BC40,MB!$B$48:$R$82,9,FALSE),"")</f>
        <v>80</v>
      </c>
      <c r="BI40" s="33"/>
      <c r="BJ40" s="268"/>
      <c r="BK40" s="33"/>
      <c r="BL40" s="125">
        <f>IFERROR(VLOOKUP(BL38,MB!$B$48:$R$82,8,FALSE),"")</f>
        <v>2</v>
      </c>
      <c r="BM40" s="248" t="str">
        <f>IFERROR(VLOOKUP(BL38,MB!$B$48:$R$82,14,FALSE),"")</f>
        <v>26 OZ, 12 (8+4)</v>
      </c>
      <c r="BN40" s="248"/>
      <c r="BO40" s="248"/>
      <c r="BP40" s="249" t="str">
        <f>IFERROR(VLOOKUP(BL38,MB!$B$48:$R$82,16,FALSE),"")</f>
        <v>Mladá Boleslav</v>
      </c>
      <c r="BQ40" s="249"/>
      <c r="BR40" s="249"/>
      <c r="BS40" s="248">
        <f>IFERROR(VLOOKUP(BL38,MB!$B$48:$R$82,17,FALSE),"")</f>
        <v>2010</v>
      </c>
      <c r="BT40" s="250"/>
      <c r="BU40" s="266"/>
      <c r="BV40" s="267"/>
      <c r="BW40" s="267"/>
      <c r="BX40" s="267"/>
      <c r="BY40" s="32" t="str">
        <f>IFERROR(IF(VLOOKUP(BU40,TAT!$B$48:$R$82,10,FALSE)=0,"",VLOOKUP(BU40,TAT!$B$48:$R$82,10,FALSE)),"")</f>
        <v/>
      </c>
      <c r="BZ40" s="52" t="str">
        <f>IFERROR(VLOOKUP(BU40,TAT!$B$48:$R$82,9,FALSE),"")</f>
        <v/>
      </c>
      <c r="CA40" s="33"/>
      <c r="CB40" s="268"/>
      <c r="CC40" s="33"/>
      <c r="CD40" s="125" t="str">
        <f>IFERROR(VLOOKUP(CD38,TAT!$B$48:$R$82,8,FALSE),"")</f>
        <v/>
      </c>
      <c r="CE40" s="248" t="str">
        <f>IFERROR(VLOOKUP(CD38,TAT!$B$48:$R$82,14,FALSE),"")</f>
        <v/>
      </c>
      <c r="CF40" s="248"/>
      <c r="CG40" s="248"/>
      <c r="CH40" s="249" t="str">
        <f>IFERROR(VLOOKUP(CD38,TAT!$B$48:$R$82,16,FALSE),"")</f>
        <v/>
      </c>
      <c r="CI40" s="249"/>
      <c r="CJ40" s="249"/>
      <c r="CK40" s="248" t="str">
        <f>IFERROR(VLOOKUP(CD38,TAT!$B$48:$R$82,17,FALSE),"")</f>
        <v/>
      </c>
      <c r="CL40" s="250"/>
      <c r="CM40" s="266" t="s">
        <v>444</v>
      </c>
      <c r="CN40" s="267"/>
      <c r="CO40" s="267"/>
      <c r="CP40" s="267"/>
      <c r="CQ40" s="32" t="str">
        <f>IFERROR(IF(VLOOKUP(CM40,OTR!$B$48:$R$82,10,FALSE)=0,"",VLOOKUP(CM40,OTR!$B$48:$R$82,10,FALSE)),"")</f>
        <v/>
      </c>
      <c r="CR40" s="52">
        <f>IFERROR(VLOOKUP(CM40,OTR!$B$48:$R$82,9,FALSE),"")</f>
        <v>30</v>
      </c>
      <c r="CS40" s="33"/>
      <c r="CT40" s="268"/>
      <c r="CU40" s="33"/>
      <c r="CV40" s="125">
        <f>IFERROR(VLOOKUP(CV38,OTR!$B$48:$R$82,8,FALSE),"")</f>
        <v>1</v>
      </c>
      <c r="CW40" s="248" t="str">
        <f>IFERROR(VLOOKUP(CV38,OTR!$B$48:$R$82,14,FALSE),"")</f>
        <v>18 OZ, 1 (0+1)</v>
      </c>
      <c r="CX40" s="248"/>
      <c r="CY40" s="248"/>
      <c r="CZ40" s="249" t="str">
        <f>IFERROR(VLOOKUP(CV38,OTR!$B$48:$R$82,16,FALSE),"")</f>
        <v>Panthers Otrokovice</v>
      </c>
      <c r="DA40" s="249"/>
      <c r="DB40" s="249"/>
      <c r="DC40" s="248">
        <f>IFERROR(VLOOKUP(CV38,OTR!$B$48:$R$82,17,FALSE),"")</f>
        <v>2013</v>
      </c>
      <c r="DD40" s="250"/>
      <c r="DE40" s="266" t="s">
        <v>516</v>
      </c>
      <c r="DF40" s="267"/>
      <c r="DG40" s="267"/>
      <c r="DH40" s="267"/>
      <c r="DI40" s="32" t="str">
        <f>IFERROR(IF(VLOOKUP(DE40,BOH!$B$48:$R$82,10,FALSE)=0,"",VLOOKUP(DE40,BOH!$B$48:$R$82,10,FALSE)),"")</f>
        <v/>
      </c>
      <c r="DJ40" s="52">
        <f>IFERROR(VLOOKUP(DE40,BOH!$B$48:$R$82,9,FALSE),"")</f>
        <v>30</v>
      </c>
      <c r="DK40" s="33"/>
      <c r="DL40" s="268"/>
      <c r="DM40" s="33"/>
      <c r="DN40" s="125">
        <f>IFERROR(VLOOKUP(DN38,BOH!$B$48:$R$82,8,FALSE),"")</f>
        <v>10</v>
      </c>
      <c r="DO40" s="248" t="str">
        <f>IFERROR(VLOOKUP(DN38,BOH!$B$48:$R$82,14,FALSE),"")</f>
        <v>175 OZ, 68 (32+36)</v>
      </c>
      <c r="DP40" s="248"/>
      <c r="DQ40" s="248"/>
      <c r="DR40" s="249" t="str">
        <f>IFERROR(VLOOKUP(DN38,BOH!$B$48:$R$82,16,FALSE),"")</f>
        <v>FbŠ Bohemians</v>
      </c>
      <c r="DS40" s="249"/>
      <c r="DT40" s="249"/>
      <c r="DU40" s="248" t="str">
        <f>IFERROR(VLOOKUP(DN38,BOH!$B$48:$R$82,17,FALSE),"")</f>
        <v>-</v>
      </c>
      <c r="DV40" s="250"/>
      <c r="DW40" s="266"/>
      <c r="DX40" s="267"/>
      <c r="DY40" s="267"/>
      <c r="DZ40" s="267"/>
      <c r="EA40" s="32" t="str">
        <f>IFERROR(IF(VLOOKUP(DW40,SPA!$B$48:$R$82,10,FALSE)=0,"",VLOOKUP(DW40,SPA!$B$48:$R$82,10,FALSE)),"")</f>
        <v/>
      </c>
      <c r="EB40" s="52" t="str">
        <f>IFERROR(VLOOKUP(DW40,SPA!$B$48:$R$82,9,FALSE),"")</f>
        <v/>
      </c>
      <c r="EC40" s="33"/>
      <c r="ED40" s="268"/>
      <c r="EE40" s="33"/>
      <c r="EF40" s="125" t="str">
        <f>IFERROR(VLOOKUP(EF38,SPA!$B$48:$R$82,8,FALSE),"")</f>
        <v/>
      </c>
      <c r="EG40" s="248" t="str">
        <f>IFERROR(VLOOKUP(EF38,SPA!$B$48:$R$82,14,FALSE),"")</f>
        <v/>
      </c>
      <c r="EH40" s="248"/>
      <c r="EI40" s="248"/>
      <c r="EJ40" s="249" t="str">
        <f>IFERROR(VLOOKUP(EF38,SPA!$B$48:$R$82,16,FALSE),"")</f>
        <v/>
      </c>
      <c r="EK40" s="249"/>
      <c r="EL40" s="249"/>
      <c r="EM40" s="248" t="str">
        <f>IFERROR(VLOOKUP(EF38,SPA!$B$48:$R$82,17,FALSE),"")</f>
        <v/>
      </c>
      <c r="EN40" s="250"/>
      <c r="EO40" s="266"/>
      <c r="EP40" s="267"/>
      <c r="EQ40" s="267"/>
      <c r="ER40" s="267"/>
      <c r="ES40" s="32" t="str">
        <f>IFERROR(IF(VLOOKUP(EO40,CLP!$B$48:$R$82,10,FALSE)=0,"",VLOOKUP(EO40,CLP!$B$48:$R$82,10,FALSE)),"")</f>
        <v/>
      </c>
      <c r="ET40" s="52" t="str">
        <f>IFERROR(VLOOKUP(EO40,CLP!$B$48:$R$82,9,FALSE),"")</f>
        <v/>
      </c>
      <c r="EU40" s="33"/>
      <c r="EV40" s="268"/>
      <c r="EW40" s="33"/>
      <c r="EX40" s="125" t="str">
        <f>IFERROR(VLOOKUP(EX38,CLP!$B$48:$R$82,8,FALSE),"")</f>
        <v/>
      </c>
      <c r="EY40" s="248" t="str">
        <f>IFERROR(VLOOKUP(EX38,CLP!$B$48:$R$82,14,FALSE),"")</f>
        <v/>
      </c>
      <c r="EZ40" s="248"/>
      <c r="FA40" s="248"/>
      <c r="FB40" s="249" t="str">
        <f>IFERROR(VLOOKUP(EX38,CLP!$B$48:$R$82,16,FALSE),"")</f>
        <v/>
      </c>
      <c r="FC40" s="249"/>
      <c r="FD40" s="249"/>
      <c r="FE40" s="248" t="str">
        <f>IFERROR(VLOOKUP(EX38,CLP!$B$48:$R$82,17,FALSE),"")</f>
        <v/>
      </c>
      <c r="FF40" s="250"/>
      <c r="FG40" s="266"/>
      <c r="FH40" s="267"/>
      <c r="FI40" s="267"/>
      <c r="FJ40" s="267"/>
      <c r="FK40" s="32" t="str">
        <f>IFERROR(IF(VLOOKUP(FG40,LIB!$B$48:$R$82,10,FALSE)=0,"",VLOOKUP(FG40,LIB!$B$48:$R$82,10,FALSE)),"")</f>
        <v/>
      </c>
      <c r="FL40" s="52" t="str">
        <f>IFERROR(VLOOKUP(FG40,LIB!$B$48:$R$82,9,FALSE),"")</f>
        <v/>
      </c>
      <c r="FM40" s="33"/>
      <c r="FN40" s="268"/>
      <c r="FO40" s="33"/>
      <c r="FP40" s="125" t="str">
        <f>IFERROR(VLOOKUP(FP38,LIB!$B$48:$R$82,8,FALSE),"")</f>
        <v/>
      </c>
      <c r="FQ40" s="248" t="str">
        <f>IFERROR(VLOOKUP(FP38,LIB!$B$48:$R$82,14,FALSE),"")</f>
        <v/>
      </c>
      <c r="FR40" s="248"/>
      <c r="FS40" s="248"/>
      <c r="FT40" s="249" t="str">
        <f>IFERROR(VLOOKUP(FP38,LIB!$B$48:$R$82,16,FALSE),"")</f>
        <v/>
      </c>
      <c r="FU40" s="249"/>
      <c r="FV40" s="249"/>
      <c r="FW40" s="248" t="str">
        <f>IFERROR(VLOOKUP(FP38,LIB!$B$48:$R$82,17,FALSE),"")</f>
        <v/>
      </c>
      <c r="FX40" s="250"/>
    </row>
    <row r="41" spans="1:180" ht="15.6" customHeight="1" thickBot="1" x14ac:dyDescent="0.3">
      <c r="A41" s="42">
        <f>IFERROR(VLOOKUP(A40,SKV!$B$48:$AA$82,8,FALSE),"")</f>
        <v>4</v>
      </c>
      <c r="B41" s="269">
        <f>IFERROR(YEAR(VLOOKUP(A40,SKV!$B$48:$AA$82,2,FALSE)),"")</f>
        <v>1988</v>
      </c>
      <c r="C41" s="240"/>
      <c r="D41" s="35">
        <f ca="1">IFERROR(VLOOKUP(A40,SKV!$B$48:$AA$82,3,FALSE),"")</f>
        <v>33</v>
      </c>
      <c r="E41" s="270" t="str">
        <f>IFERROR(VLOOKUP(A40,SKV!$B$48:$AA$82,15,FALSE),"")</f>
        <v>177/87</v>
      </c>
      <c r="F41" s="271"/>
      <c r="G41" s="33"/>
      <c r="H41" s="268"/>
      <c r="I41" s="33"/>
      <c r="J41" s="33"/>
      <c r="K41" s="33"/>
      <c r="L41" s="33"/>
      <c r="M41" s="16"/>
      <c r="N41" s="16"/>
      <c r="O41" s="16"/>
      <c r="P41" s="16"/>
      <c r="Q41" s="16"/>
      <c r="R41" s="16"/>
      <c r="S41" s="42">
        <f>IFERROR(VLOOKUP(S40,CHO!$B$48:$S$82,8,FALSE),"")</f>
        <v>1</v>
      </c>
      <c r="T41" s="269">
        <f>IFERROR(YEAR(VLOOKUP(S40,CHO!$B$48:$S$82,2,FALSE)),"")</f>
        <v>2003</v>
      </c>
      <c r="U41" s="240"/>
      <c r="V41" s="35">
        <f ca="1">IFERROR(VLOOKUP(S40,CHO!$B$48:$S$82,3,FALSE),"")</f>
        <v>17</v>
      </c>
      <c r="W41" s="270" t="str">
        <f>IFERROR(VLOOKUP(S40,CHO!$B$48:$S$82,15,FALSE),"")</f>
        <v>198/98</v>
      </c>
      <c r="X41" s="271"/>
      <c r="Y41" s="33"/>
      <c r="Z41" s="268"/>
      <c r="AA41" s="33"/>
      <c r="AB41" s="33"/>
      <c r="AC41" s="33"/>
      <c r="AD41" s="33"/>
      <c r="AE41" s="16"/>
      <c r="AF41" s="16"/>
      <c r="AG41" s="16"/>
      <c r="AH41" s="16"/>
      <c r="AI41" s="16"/>
      <c r="AJ41" s="16"/>
      <c r="AK41" s="42" t="str">
        <f>IFERROR(VLOOKUP(AK40,VIT!$B$48:$S$82,8,FALSE),"")</f>
        <v/>
      </c>
      <c r="AL41" s="269" t="str">
        <f>IFERROR(YEAR(VLOOKUP(AK40,VIT!$B$48:$S$82,2,FALSE)),"")</f>
        <v/>
      </c>
      <c r="AM41" s="240"/>
      <c r="AN41" s="106" t="str">
        <f>IFERROR(VLOOKUP(AK40,VIT!$B$48:$S$82,3,FALSE),"")</f>
        <v/>
      </c>
      <c r="AO41" s="270" t="str">
        <f>IFERROR(VLOOKUP(AK40,VIT!$B$48:$S$82,15,FALSE),"")</f>
        <v/>
      </c>
      <c r="AP41" s="271"/>
      <c r="AQ41" s="33"/>
      <c r="AR41" s="268"/>
      <c r="AS41" s="33"/>
      <c r="AT41" s="33"/>
      <c r="AU41" s="33"/>
      <c r="AV41" s="33"/>
      <c r="AW41" s="16"/>
      <c r="AX41" s="16"/>
      <c r="AY41" s="16"/>
      <c r="AZ41" s="16"/>
      <c r="BA41" s="16"/>
      <c r="BB41" s="16"/>
      <c r="BC41" s="42">
        <f>IFERROR(VLOOKUP(BC40,MB!$B$48:$S$82,8,FALSE),"")</f>
        <v>6</v>
      </c>
      <c r="BD41" s="269">
        <f>IFERROR(YEAR(VLOOKUP(BC40,MB!$B$48:$S$82,2,FALSE)),"")</f>
        <v>1998</v>
      </c>
      <c r="BE41" s="240"/>
      <c r="BF41" s="108">
        <f ca="1">IFERROR(VLOOKUP(BC40,MB!$B$48:$S$82,3,FALSE),"")</f>
        <v>22</v>
      </c>
      <c r="BG41" s="270" t="str">
        <f>IFERROR(VLOOKUP(BC40,MB!$B$48:$S$82,15,FALSE),"")</f>
        <v>175/69</v>
      </c>
      <c r="BH41" s="271"/>
      <c r="BI41" s="33"/>
      <c r="BJ41" s="268"/>
      <c r="BK41" s="33"/>
      <c r="BL41" s="33"/>
      <c r="BM41" s="33"/>
      <c r="BN41" s="33"/>
      <c r="BO41" s="16"/>
      <c r="BP41" s="16"/>
      <c r="BQ41" s="16"/>
      <c r="BR41" s="16"/>
      <c r="BS41" s="16"/>
      <c r="BT41" s="16"/>
      <c r="BU41" s="42" t="str">
        <f>IFERROR(VLOOKUP(BU40,TAT!$B$48:$S$82,8,FALSE),"")</f>
        <v/>
      </c>
      <c r="BV41" s="269" t="str">
        <f>IFERROR(YEAR(VLOOKUP(BU40,TAT!$B$48:$S$82,2,FALSE)),"")</f>
        <v/>
      </c>
      <c r="BW41" s="240"/>
      <c r="BX41" s="150" t="str">
        <f>IFERROR(VLOOKUP(BU40,TAT!$B$48:$S$82,3,FALSE),"")</f>
        <v/>
      </c>
      <c r="BY41" s="270" t="str">
        <f>IFERROR(VLOOKUP(BU40,TAT!$B$48:$S$82,15,FALSE),"")</f>
        <v/>
      </c>
      <c r="BZ41" s="271"/>
      <c r="CA41" s="33"/>
      <c r="CB41" s="268"/>
      <c r="CC41" s="33"/>
      <c r="CD41" s="33"/>
      <c r="CE41" s="33"/>
      <c r="CF41" s="33"/>
      <c r="CG41" s="16"/>
      <c r="CH41" s="16"/>
      <c r="CI41" s="16"/>
      <c r="CJ41" s="16"/>
      <c r="CK41" s="16"/>
      <c r="CL41" s="16"/>
      <c r="CM41" s="42">
        <f>IFERROR(VLOOKUP(CM40,OTR!$B$48:$S$82,8,FALSE),"")</f>
        <v>1</v>
      </c>
      <c r="CN41" s="269">
        <f>IFERROR(YEAR(VLOOKUP(CM40,OTR!$B$48:$S$82,2,FALSE)),"")</f>
        <v>1998</v>
      </c>
      <c r="CO41" s="240"/>
      <c r="CP41" s="150">
        <f ca="1">IFERROR(VLOOKUP(CM40,OTR!$B$48:$S$82,3,FALSE),"")</f>
        <v>22</v>
      </c>
      <c r="CQ41" s="270" t="str">
        <f>IFERROR(VLOOKUP(CM40,OTR!$B$48:$S$82,15,FALSE),"")</f>
        <v>183/93</v>
      </c>
      <c r="CR41" s="271"/>
      <c r="CS41" s="33"/>
      <c r="CT41" s="268"/>
      <c r="CU41" s="33"/>
      <c r="CV41" s="33"/>
      <c r="CW41" s="33"/>
      <c r="CX41" s="33"/>
      <c r="CY41" s="16"/>
      <c r="CZ41" s="16"/>
      <c r="DA41" s="16"/>
      <c r="DB41" s="16"/>
      <c r="DC41" s="16"/>
      <c r="DD41" s="16"/>
      <c r="DE41" s="42">
        <f>IFERROR(VLOOKUP(DE40,BOH!$B$48:$S$82,8,FALSE),"")</f>
        <v>6</v>
      </c>
      <c r="DF41" s="269">
        <f>IFERROR(YEAR(VLOOKUP(DE40,BOH!$B$48:$S$82,2,FALSE)),"")</f>
        <v>1994</v>
      </c>
      <c r="DG41" s="240"/>
      <c r="DH41" s="165">
        <f ca="1">IFERROR(VLOOKUP(DE40,BOH!$B$48:$S$82,3,FALSE),"")</f>
        <v>26</v>
      </c>
      <c r="DI41" s="270" t="str">
        <f>IFERROR(VLOOKUP(DE40,BOH!$B$48:$S$82,15,FALSE),"")</f>
        <v>185/75</v>
      </c>
      <c r="DJ41" s="271"/>
      <c r="DK41" s="33"/>
      <c r="DL41" s="268"/>
      <c r="DM41" s="33"/>
      <c r="DN41" s="33"/>
      <c r="DO41" s="33"/>
      <c r="DP41" s="33"/>
      <c r="DQ41" s="16"/>
      <c r="DR41" s="16"/>
      <c r="DS41" s="16"/>
      <c r="DT41" s="16"/>
      <c r="DU41" s="16"/>
      <c r="DV41" s="16"/>
      <c r="DW41" s="42" t="str">
        <f>IFERROR(VLOOKUP(DW40,SPA!$B$48:$S$82,8,FALSE),"")</f>
        <v/>
      </c>
      <c r="DX41" s="269" t="str">
        <f>IFERROR(YEAR(VLOOKUP(DW40,SPA!$B$48:$S$82,2,FALSE)),"")</f>
        <v/>
      </c>
      <c r="DY41" s="240"/>
      <c r="DZ41" s="165" t="str">
        <f>IFERROR(VLOOKUP(DW40,SPA!$B$48:$S$82,3,FALSE),"")</f>
        <v/>
      </c>
      <c r="EA41" s="270" t="str">
        <f>IFERROR(VLOOKUP(DW40,SPA!$B$48:$S$82,15,FALSE),"")</f>
        <v/>
      </c>
      <c r="EB41" s="271"/>
      <c r="EC41" s="33"/>
      <c r="ED41" s="268"/>
      <c r="EE41" s="33"/>
      <c r="EF41" s="33"/>
      <c r="EG41" s="33"/>
      <c r="EH41" s="33"/>
      <c r="EI41" s="16"/>
      <c r="EJ41" s="16"/>
      <c r="EK41" s="16"/>
      <c r="EL41" s="16"/>
      <c r="EM41" s="16"/>
      <c r="EN41" s="16"/>
      <c r="EO41" s="42" t="str">
        <f>IFERROR(VLOOKUP(EO40,CLP!$B$48:$S$82,8,FALSE),"")</f>
        <v/>
      </c>
      <c r="EP41" s="269" t="str">
        <f>IFERROR(YEAR(VLOOKUP(EO40,CLP!$B$48:$S$82,2,FALSE)),"")</f>
        <v/>
      </c>
      <c r="EQ41" s="240"/>
      <c r="ER41" s="204" t="str">
        <f>IFERROR(VLOOKUP(EO40,CLP!$B$48:$S$82,3,FALSE),"")</f>
        <v/>
      </c>
      <c r="ES41" s="270" t="str">
        <f>IFERROR(VLOOKUP(EO40,CLP!$B$48:$S$82,15,FALSE),"")</f>
        <v/>
      </c>
      <c r="ET41" s="271"/>
      <c r="EU41" s="33"/>
      <c r="EV41" s="268"/>
      <c r="EW41" s="33"/>
      <c r="EX41" s="33"/>
      <c r="EY41" s="33"/>
      <c r="EZ41" s="33"/>
      <c r="FA41" s="16"/>
      <c r="FB41" s="16"/>
      <c r="FC41" s="16"/>
      <c r="FD41" s="16"/>
      <c r="FE41" s="16"/>
      <c r="FF41" s="16"/>
      <c r="FG41" s="42" t="str">
        <f>IFERROR(VLOOKUP(FG40,LIB!$B$48:$S$82,8,FALSE),"")</f>
        <v/>
      </c>
      <c r="FH41" s="269" t="str">
        <f>IFERROR(YEAR(VLOOKUP(FG40,LIB!$B$48:$S$82,2,FALSE)),"")</f>
        <v/>
      </c>
      <c r="FI41" s="240"/>
      <c r="FJ41" s="204" t="str">
        <f>IFERROR(VLOOKUP(FG40,LIB!$B$48:$S$82,3,FALSE),"")</f>
        <v/>
      </c>
      <c r="FK41" s="270" t="str">
        <f>IFERROR(VLOOKUP(FG40,LIB!$B$48:$S$82,15,FALSE),"")</f>
        <v/>
      </c>
      <c r="FL41" s="271"/>
      <c r="FM41" s="33"/>
      <c r="FN41" s="268"/>
      <c r="FO41" s="33"/>
      <c r="FP41" s="33"/>
      <c r="FQ41" s="33"/>
      <c r="FR41" s="33"/>
      <c r="FS41" s="16"/>
      <c r="FT41" s="16"/>
      <c r="FU41" s="16"/>
      <c r="FV41" s="16"/>
      <c r="FW41" s="16"/>
      <c r="FX41" s="16"/>
    </row>
    <row r="42" spans="1:180" ht="15.6" customHeight="1" thickTop="1" thickBot="1" x14ac:dyDescent="0.3">
      <c r="A42" s="44">
        <f>IFERROR(VLOOKUP(A40,SKV!$B$39:$R$42,4,FALSE),"")</f>
        <v>5</v>
      </c>
      <c r="B42" s="272" t="str">
        <f>IFERROR(VLOOKUP(A40,SKV!$B$39:$S$45,17,FALSE),"")</f>
        <v>0 V, 5 P</v>
      </c>
      <c r="C42" s="272"/>
      <c r="D42" s="273">
        <f>IFERROR(VLOOKUP(A40,SKV!$B$39:$R$42,7,FALSE),"")</f>
        <v>37</v>
      </c>
      <c r="E42" s="274"/>
      <c r="F42" s="45">
        <f>IFERROR(ROUND(VLOOKUP(A40,SKV!$B$39:$R$42,16,FALSE),2),"")</f>
        <v>70.87</v>
      </c>
      <c r="G42" s="33"/>
      <c r="H42" s="268"/>
      <c r="I42" s="33"/>
      <c r="J42" s="266" t="s">
        <v>12</v>
      </c>
      <c r="K42" s="267"/>
      <c r="L42" s="267"/>
      <c r="M42" s="267"/>
      <c r="N42" s="267"/>
      <c r="O42" s="267"/>
      <c r="P42" s="267"/>
      <c r="Q42" s="32" t="str">
        <f>IFERROR(IF(VLOOKUP(J42,SKV!$B$48:$AA$82,10,FALSE)=0,"",VLOOKUP(M42,SKV!$B$48:$AA$82,10,FALSE)),"")</f>
        <v/>
      </c>
      <c r="R42" s="52">
        <f>IFERROR(VLOOKUP(J42,SKV!$B$48:$AA$82,9,FALSE),"")</f>
        <v>23</v>
      </c>
      <c r="S42" s="44">
        <f>IFERROR(VLOOKUP(S40,CHO!$B$39:$R$42,4,FALSE),"")</f>
        <v>8</v>
      </c>
      <c r="T42" s="272" t="str">
        <f>IFERROR(VLOOKUP(S40,CHO!$B$39:$S$45,17,FALSE),"")</f>
        <v>5 V, 3 P</v>
      </c>
      <c r="U42" s="272"/>
      <c r="V42" s="273">
        <f>IFERROR(VLOOKUP(S40,CHO!$B$39:$R$42,7,FALSE),"")</f>
        <v>44</v>
      </c>
      <c r="W42" s="274"/>
      <c r="X42" s="45">
        <f>IFERROR(ROUND(VLOOKUP(S40,CHO!$B$39:$R$42,16,FALSE),2),"")</f>
        <v>77.319999999999993</v>
      </c>
      <c r="Y42" s="33"/>
      <c r="Z42" s="268"/>
      <c r="AA42" s="33"/>
      <c r="AB42" s="266" t="s">
        <v>173</v>
      </c>
      <c r="AC42" s="267"/>
      <c r="AD42" s="267"/>
      <c r="AE42" s="267"/>
      <c r="AF42" s="267"/>
      <c r="AG42" s="267"/>
      <c r="AH42" s="267"/>
      <c r="AI42" s="32" t="str">
        <f>IFERROR(IF(VLOOKUP(AB42,CHO!$B$48:$AA$82,10,FALSE)=0,"",VLOOKUP(AB42,CHO!$B$48:$AA$82,10,FALSE)),"")</f>
        <v/>
      </c>
      <c r="AJ42" s="52">
        <f>IFERROR(VLOOKUP(AB42,CHO!$B$48:$AA$82,9,FALSE),"")</f>
        <v>99</v>
      </c>
      <c r="AK42" s="44" t="str">
        <f>IFERROR(VLOOKUP(AK40,VIT!$B$39:$R$44,4,FALSE),"")</f>
        <v/>
      </c>
      <c r="AL42" s="272" t="str">
        <f>IFERROR(VLOOKUP(AK40,VIT!$B$39:$S$45,17,FALSE),"")</f>
        <v/>
      </c>
      <c r="AM42" s="272"/>
      <c r="AN42" s="273" t="str">
        <f>IFERROR(VLOOKUP(AK40,VIT!$B$39:$R$44,7,FALSE),"")</f>
        <v/>
      </c>
      <c r="AO42" s="274"/>
      <c r="AP42" s="45" t="str">
        <f>IFERROR(ROUND(VLOOKUP(AK40,VIT!$B$39:$R$44,16,FALSE),2),"")</f>
        <v/>
      </c>
      <c r="AQ42" s="33"/>
      <c r="AR42" s="268"/>
      <c r="AS42" s="33"/>
      <c r="AT42" s="266"/>
      <c r="AU42" s="267"/>
      <c r="AV42" s="267"/>
      <c r="AW42" s="267"/>
      <c r="AX42" s="267"/>
      <c r="AY42" s="267"/>
      <c r="AZ42" s="267"/>
      <c r="BA42" s="32" t="str">
        <f>IFERROR(IF(VLOOKUP(AT42,VIT!$B$48:$R$82,10,FALSE)=0,"",VLOOKUP(AT42,VIT!$B$48:$R$82,10,FALSE)),"")</f>
        <v/>
      </c>
      <c r="BB42" s="52" t="str">
        <f>IFERROR(VLOOKUP(AT42,VIT!$B$48:$R$82,9,FALSE),"")</f>
        <v/>
      </c>
      <c r="BC42" s="44">
        <f>IFERROR(VLOOKUP(BC40,MB!$B$39:$R$44,4,FALSE),"")</f>
        <v>3</v>
      </c>
      <c r="BD42" s="272" t="str">
        <f>IFERROR(VLOOKUP(BC40,MB!$B$39:$S$45,17,FALSE),"")</f>
        <v>3 V, 0 P</v>
      </c>
      <c r="BE42" s="272"/>
      <c r="BF42" s="273">
        <f>IFERROR(VLOOKUP(BC40,MB!$B$39:$R$44,7,FALSE),"")</f>
        <v>14</v>
      </c>
      <c r="BG42" s="274"/>
      <c r="BH42" s="45">
        <f>IFERROR(ROUND(VLOOKUP(BC40,MB!$B$39:$R$44,16,FALSE),2),"")</f>
        <v>77.42</v>
      </c>
      <c r="BI42" s="33"/>
      <c r="BJ42" s="268"/>
      <c r="BK42" s="33"/>
      <c r="BL42" s="266" t="s">
        <v>313</v>
      </c>
      <c r="BM42" s="267"/>
      <c r="BN42" s="267"/>
      <c r="BO42" s="267"/>
      <c r="BP42" s="267"/>
      <c r="BQ42" s="267"/>
      <c r="BR42" s="267"/>
      <c r="BS42" s="32" t="str">
        <f>IFERROR(IF(VLOOKUP(BL42,MB!$B$48:$R$82,10,FALSE)=0,"",VLOOKUP(BL42,MB!$B$48:$R$82,10,FALSE)),"")</f>
        <v/>
      </c>
      <c r="BT42" s="52">
        <f>IFERROR(VLOOKUP(BL42,MB!$B$48:$R$82,9,FALSE),"")</f>
        <v>95</v>
      </c>
      <c r="BU42" s="44" t="str">
        <f>IFERROR(VLOOKUP(BU40,TAT!$B$39:$R$44,4,FALSE),"")</f>
        <v/>
      </c>
      <c r="BV42" s="272" t="str">
        <f>IFERROR(VLOOKUP(BU40,TAT!$B$39:$S$45,17,FALSE),"")</f>
        <v/>
      </c>
      <c r="BW42" s="272"/>
      <c r="BX42" s="273" t="str">
        <f>IFERROR(VLOOKUP(BU40,TAT!$B$39:$R$44,7,FALSE),"")</f>
        <v/>
      </c>
      <c r="BY42" s="274"/>
      <c r="BZ42" s="45" t="str">
        <f>IFERROR(ROUND(VLOOKUP(BU40,TAT!$B$39:$R$44,16,FALSE),2),"")</f>
        <v/>
      </c>
      <c r="CA42" s="33"/>
      <c r="CB42" s="268"/>
      <c r="CC42" s="33"/>
      <c r="CD42" s="266"/>
      <c r="CE42" s="267"/>
      <c r="CF42" s="267"/>
      <c r="CG42" s="267"/>
      <c r="CH42" s="267"/>
      <c r="CI42" s="267"/>
      <c r="CJ42" s="267"/>
      <c r="CK42" s="32" t="str">
        <f>IFERROR(IF(VLOOKUP(CD42,TAT!$B$48:$R$82,10,FALSE)=0,"",VLOOKUP(CD42,TAT!$B$48:$R$82,10,FALSE)),"")</f>
        <v/>
      </c>
      <c r="CL42" s="52" t="str">
        <f>IFERROR(VLOOKUP(CD42,TAT!$B$48:$R$82,9,FALSE),"")</f>
        <v/>
      </c>
      <c r="CM42" s="44">
        <f>IFERROR(VLOOKUP(CM40,OTR!$B$39:$R$44,4,FALSE),"")</f>
        <v>2</v>
      </c>
      <c r="CN42" s="272" t="str">
        <f>IFERROR(VLOOKUP(CM40,OTR!$B$39:$S$45,17,FALSE),"")</f>
        <v>0 V, 2 P</v>
      </c>
      <c r="CO42" s="272"/>
      <c r="CP42" s="273">
        <f>IFERROR(VLOOKUP(CM40,OTR!$B$39:$R$44,7,FALSE),"")</f>
        <v>13</v>
      </c>
      <c r="CQ42" s="274"/>
      <c r="CR42" s="45">
        <f>IFERROR(ROUND(VLOOKUP(CM40,OTR!$B$39:$R$44,16,FALSE),2),"")</f>
        <v>63.89</v>
      </c>
      <c r="CS42" s="33"/>
      <c r="CT42" s="268"/>
      <c r="CU42" s="33"/>
      <c r="CV42" s="266" t="s">
        <v>423</v>
      </c>
      <c r="CW42" s="267"/>
      <c r="CX42" s="267"/>
      <c r="CY42" s="267"/>
      <c r="CZ42" s="267"/>
      <c r="DA42" s="267"/>
      <c r="DB42" s="267"/>
      <c r="DC42" s="32" t="str">
        <f>IFERROR(IF(VLOOKUP(CV42,OTR!$B$48:$R$82,10,FALSE)=0,"",VLOOKUP(CV42,OTR!$B$48:$R$82,10,FALSE)),"")</f>
        <v/>
      </c>
      <c r="DD42" s="52">
        <f>IFERROR(VLOOKUP(CV42,OTR!$B$48:$R$82,9,FALSE),"")</f>
        <v>99</v>
      </c>
      <c r="DE42" s="44">
        <f>IFERROR(VLOOKUP(DE40,BOH!$B$39:$R$44,4,FALSE),"")</f>
        <v>3</v>
      </c>
      <c r="DF42" s="272" t="str">
        <f>IFERROR(VLOOKUP(DE40,BOH!$B$39:$S$45,17,FALSE),"")</f>
        <v>2 V, 1 P</v>
      </c>
      <c r="DG42" s="272"/>
      <c r="DH42" s="273">
        <f>IFERROR(VLOOKUP(DE40,BOH!$B$39:$R$44,7,FALSE),"")</f>
        <v>9</v>
      </c>
      <c r="DI42" s="274"/>
      <c r="DJ42" s="45">
        <f>IFERROR(ROUND(VLOOKUP(DE40,BOH!$B$39:$R$44,16,FALSE),2),"")</f>
        <v>52.63</v>
      </c>
      <c r="DK42" s="33"/>
      <c r="DL42" s="268"/>
      <c r="DM42" s="33"/>
      <c r="DN42" s="266" t="s">
        <v>510</v>
      </c>
      <c r="DO42" s="267"/>
      <c r="DP42" s="267"/>
      <c r="DQ42" s="267"/>
      <c r="DR42" s="267"/>
      <c r="DS42" s="267"/>
      <c r="DT42" s="267"/>
      <c r="DU42" s="32" t="str">
        <f>IFERROR(IF(VLOOKUP(DN42,BOH!$B$48:$R$82,10,FALSE)=0,"",VLOOKUP(DN42,BOH!$B$48:$R$82,10,FALSE)),"")</f>
        <v/>
      </c>
      <c r="DV42" s="52">
        <f>IFERROR(VLOOKUP(DN42,BOH!$B$48:$R$82,9,FALSE),"")</f>
        <v>74</v>
      </c>
      <c r="DW42" s="44" t="str">
        <f>IFERROR(VLOOKUP(DW40,SPA!$B$39:$R$44,4,FALSE),"")</f>
        <v/>
      </c>
      <c r="DX42" s="272" t="str">
        <f>IFERROR(VLOOKUP(DW40,SPA!$B$39:$S$45,17,FALSE),"")</f>
        <v/>
      </c>
      <c r="DY42" s="272"/>
      <c r="DZ42" s="273" t="str">
        <f>IFERROR(VLOOKUP(DW40,SPA!$B$39:$R$44,7,FALSE),"")</f>
        <v/>
      </c>
      <c r="EA42" s="274"/>
      <c r="EB42" s="45" t="str">
        <f>IFERROR(ROUND(VLOOKUP(DW40,SPA!$B$39:$R$44,16,FALSE),2),"")</f>
        <v/>
      </c>
      <c r="EC42" s="33"/>
      <c r="ED42" s="268"/>
      <c r="EE42" s="33"/>
      <c r="EF42" s="266"/>
      <c r="EG42" s="267"/>
      <c r="EH42" s="267"/>
      <c r="EI42" s="267"/>
      <c r="EJ42" s="267"/>
      <c r="EK42" s="267"/>
      <c r="EL42" s="267"/>
      <c r="EM42" s="32" t="str">
        <f>IFERROR(IF(VLOOKUP(EF42,SPA!$B$48:$R$82,10,FALSE)=0,"",VLOOKUP(EF42,SPA!$B$48:$R$82,10,FALSE)),"")</f>
        <v/>
      </c>
      <c r="EN42" s="52" t="str">
        <f>IFERROR(VLOOKUP(EF42,SPA!$B$48:$R$82,9,FALSE),"")</f>
        <v/>
      </c>
      <c r="EO42" s="44" t="str">
        <f>IFERROR(VLOOKUP(EO40,CLP!$B$39:$R$44,4,FALSE),"")</f>
        <v/>
      </c>
      <c r="EP42" s="272" t="str">
        <f>IFERROR(VLOOKUP(EO40,CLP!$B$39:$S$45,17,FALSE),"")</f>
        <v/>
      </c>
      <c r="EQ42" s="272"/>
      <c r="ER42" s="273" t="str">
        <f>IFERROR(VLOOKUP(EO40,CLP!$B$39:$R$44,7,FALSE),"")</f>
        <v/>
      </c>
      <c r="ES42" s="274"/>
      <c r="ET42" s="45" t="str">
        <f>IFERROR(ROUND(VLOOKUP(EO40,CLP!$B$39:$R$44,16,FALSE),2),"")</f>
        <v/>
      </c>
      <c r="EU42" s="33"/>
      <c r="EV42" s="268"/>
      <c r="EW42" s="33"/>
      <c r="EX42" s="266"/>
      <c r="EY42" s="267"/>
      <c r="EZ42" s="267"/>
      <c r="FA42" s="267"/>
      <c r="FB42" s="267"/>
      <c r="FC42" s="267"/>
      <c r="FD42" s="267"/>
      <c r="FE42" s="32" t="str">
        <f>IFERROR(IF(VLOOKUP(EX42,CLP!$B$48:$R$82,10,FALSE)=0,"",VLOOKUP(EX42,CLP!$B$48:$R$82,10,FALSE)),"")</f>
        <v/>
      </c>
      <c r="FF42" s="52" t="str">
        <f>IFERROR(VLOOKUP(EX42,CLP!$B$48:$R$82,9,FALSE),"")</f>
        <v/>
      </c>
      <c r="FG42" s="44" t="str">
        <f>IFERROR(VLOOKUP(FG40,LIB!$B$39:$R$44,4,FALSE),"")</f>
        <v/>
      </c>
      <c r="FH42" s="272" t="str">
        <f>IFERROR(VLOOKUP(FG40,LIB!$B$39:$S$45,17,FALSE),"")</f>
        <v/>
      </c>
      <c r="FI42" s="272"/>
      <c r="FJ42" s="273" t="str">
        <f>IFERROR(VLOOKUP(FG40,LIB!$B$39:$R$44,7,FALSE),"")</f>
        <v/>
      </c>
      <c r="FK42" s="274"/>
      <c r="FL42" s="45" t="str">
        <f>IFERROR(ROUND(VLOOKUP(FG40,LIB!$B$39:$R$44,16,FALSE),2),"")</f>
        <v/>
      </c>
      <c r="FM42" s="33"/>
      <c r="FN42" s="268"/>
      <c r="FO42" s="33"/>
      <c r="FP42" s="266"/>
      <c r="FQ42" s="267"/>
      <c r="FR42" s="267"/>
      <c r="FS42" s="267"/>
      <c r="FT42" s="267"/>
      <c r="FU42" s="267"/>
      <c r="FV42" s="267"/>
      <c r="FW42" s="32" t="str">
        <f>IFERROR(IF(VLOOKUP(FP42,LIB!$B$48:$R$82,10,FALSE)=0,"",VLOOKUP(FP42,LIB!$B$48:$R$82,10,FALSE)),"")</f>
        <v/>
      </c>
      <c r="FX42" s="52" t="str">
        <f>IFERROR(VLOOKUP(FP42,LIB!$B$48:$R$82,9,FALSE),"")</f>
        <v/>
      </c>
    </row>
    <row r="43" spans="1:180" ht="15.6" customHeight="1" thickBot="1" x14ac:dyDescent="0.3">
      <c r="A43" s="275">
        <f>IFERROR(ROUND(VLOOKUP(A40,SKV!$B$39:$R$42,5,FALSE),2),"")</f>
        <v>257.5</v>
      </c>
      <c r="B43" s="276"/>
      <c r="C43" s="236">
        <f>IFERROR(VLOOKUP(A40,SKV!$B$39:$R$42,15,FALSE),"")</f>
        <v>8.6213592233009706</v>
      </c>
      <c r="D43" s="237"/>
      <c r="E43" s="238" t="str">
        <f>IFERROR(VLOOKUP(A40,SKV!$B$48:$AA$82,18,FALSE),"")</f>
        <v>19 OZ, 0 A</v>
      </c>
      <c r="F43" s="239"/>
      <c r="G43" s="33"/>
      <c r="H43" s="268"/>
      <c r="I43" s="33"/>
      <c r="J43" s="34" t="str">
        <f>IFERROR(VLOOKUP(J42,SKV!$B$48:$AA$82,11,FALSE),"")</f>
        <v>L</v>
      </c>
      <c r="K43" s="240">
        <f>IFERROR(YEAR(VLOOKUP(J42,SKV!$B$48:$AA$82,2,FALSE)),"")</f>
        <v>1992</v>
      </c>
      <c r="L43" s="241"/>
      <c r="M43" s="43">
        <f ca="1">IFERROR(VLOOKUP(J42,SKV!$B$48:$AA$82,3,FALSE),"")</f>
        <v>28</v>
      </c>
      <c r="N43" s="241" t="str">
        <f>IFERROR(VLOOKUP(J42,SKV!$B$48:$AA$82,15,FALSE),"")</f>
        <v>181/78</v>
      </c>
      <c r="O43" s="241"/>
      <c r="P43" s="241" t="str">
        <f>IFERROR(VLOOKUP(J42,SKV!$B$2:$O$36,14,FALSE),"")</f>
        <v>21 OZ , 18 (10+8), -7 ±</v>
      </c>
      <c r="Q43" s="241"/>
      <c r="R43" s="242"/>
      <c r="S43" s="275">
        <f>IFERROR(ROUND(VLOOKUP(S40,CHO!$B$39:$R$42,5,FALSE),2),"")</f>
        <v>448.1</v>
      </c>
      <c r="T43" s="276"/>
      <c r="U43" s="236">
        <f>IFERROR(VLOOKUP(S40,CHO!$B$39:$R$42,15,FALSE),"")</f>
        <v>5.8915420665030123</v>
      </c>
      <c r="V43" s="237"/>
      <c r="W43" s="238" t="str">
        <f>IFERROR(VLOOKUP(S40,CHO!$B$48:$S$82,18,FALSE),"")</f>
        <v>8 OZ, 0 A</v>
      </c>
      <c r="X43" s="239"/>
      <c r="Y43" s="33"/>
      <c r="Z43" s="268"/>
      <c r="AA43" s="33"/>
      <c r="AB43" s="34" t="str">
        <f>IFERROR(VLOOKUP(AB42,CHO!$B$48:$AA$82,11,FALSE),"")</f>
        <v>L</v>
      </c>
      <c r="AC43" s="240">
        <f>IFERROR(YEAR(VLOOKUP(AB42,CHO!$B$48:$AA$82,2,FALSE)),"")</f>
        <v>2000</v>
      </c>
      <c r="AD43" s="241"/>
      <c r="AE43" s="43">
        <f ca="1">IFERROR(VLOOKUP(AB42,CHO!$B$48:$AA$82,3,FALSE),"")</f>
        <v>21</v>
      </c>
      <c r="AF43" s="241" t="str">
        <f>IFERROR(VLOOKUP(AB42,CHO!$B$48:$AA$82,15,FALSE),"")</f>
        <v>182/75</v>
      </c>
      <c r="AG43" s="241"/>
      <c r="AH43" s="241" t="str">
        <f>IFERROR(VLOOKUP(AB42,CHO!$B$2:$O$36,14,FALSE),"")</f>
        <v>21 OZ , 4 (2+2), -8 ±</v>
      </c>
      <c r="AI43" s="241"/>
      <c r="AJ43" s="242"/>
      <c r="AK43" s="275" t="str">
        <f>IFERROR(ROUND(VLOOKUP(AK40,VIT!$B$39:$R$44,5,FALSE),2),"")</f>
        <v/>
      </c>
      <c r="AL43" s="276"/>
      <c r="AM43" s="236" t="str">
        <f>IFERROR(VLOOKUP(AK40,VIT!$B$39:$R$44,15,FALSE),"")</f>
        <v/>
      </c>
      <c r="AN43" s="237"/>
      <c r="AO43" s="238" t="str">
        <f>IFERROR(VLOOKUP(AK40,VIT!$B$48:$S$82,18,FALSE),"")</f>
        <v/>
      </c>
      <c r="AP43" s="239"/>
      <c r="AQ43" s="33"/>
      <c r="AR43" s="268"/>
      <c r="AS43" s="33"/>
      <c r="AT43" s="34" t="str">
        <f>IFERROR(VLOOKUP(AT42,VIT!$B$48:$R$82,11,FALSE),"")</f>
        <v/>
      </c>
      <c r="AU43" s="240" t="str">
        <f>IFERROR(YEAR(VLOOKUP(AT42,VIT!$B$48:$R$82,2,FALSE)),"")</f>
        <v/>
      </c>
      <c r="AV43" s="241"/>
      <c r="AW43" s="105" t="str">
        <f>IFERROR(VLOOKUP(AT42,VIT!$B$48:$R$82,3,FALSE),"")</f>
        <v/>
      </c>
      <c r="AX43" s="241" t="str">
        <f>IFERROR(VLOOKUP(AT42,VIT!$B$48:$R$82,15,FALSE),"")</f>
        <v/>
      </c>
      <c r="AY43" s="241"/>
      <c r="AZ43" s="241" t="str">
        <f>IFERROR(VLOOKUP(AT42,VIT!$B$2:$O$36,14,FALSE),"")</f>
        <v/>
      </c>
      <c r="BA43" s="241"/>
      <c r="BB43" s="242"/>
      <c r="BC43" s="275">
        <f>IFERROR(ROUND(VLOOKUP(BC40,MB!$B$39:$R$44,5,FALSE),2),"")</f>
        <v>177.18</v>
      </c>
      <c r="BD43" s="276"/>
      <c r="BE43" s="236">
        <f>IFERROR(VLOOKUP(BC40,MB!$B$39:$R$44,15,FALSE),"")</f>
        <v>4.740941415509651</v>
      </c>
      <c r="BF43" s="237"/>
      <c r="BG43" s="238" t="str">
        <f>IFERROR(VLOOKUP(BC40,MB!$B$48:$S$82,18,FALSE),"")</f>
        <v>32 OZ, 0 A</v>
      </c>
      <c r="BH43" s="239"/>
      <c r="BI43" s="33"/>
      <c r="BJ43" s="268"/>
      <c r="BK43" s="33"/>
      <c r="BL43" s="34" t="str">
        <f>IFERROR(VLOOKUP(BL42,MB!$B$48:$R$82,11,FALSE),"")</f>
        <v>L</v>
      </c>
      <c r="BM43" s="240">
        <f>IFERROR(YEAR(VLOOKUP(BL42,MB!$B$48:$R$82,2,FALSE)),"")</f>
        <v>2001</v>
      </c>
      <c r="BN43" s="241"/>
      <c r="BO43" s="107">
        <f ca="1">IFERROR(VLOOKUP(BL42,MB!$B$48:$R$82,3,FALSE),"")</f>
        <v>19</v>
      </c>
      <c r="BP43" s="241" t="str">
        <f>IFERROR(VLOOKUP(BL42,MB!$B$48:$R$82,15,FALSE),"")</f>
        <v>174/64</v>
      </c>
      <c r="BQ43" s="241"/>
      <c r="BR43" s="241" t="str">
        <f>IFERROR(VLOOKUP(BL42,MB!$B$2:$O$36,14,FALSE),"")</f>
        <v>4 OZ , 0 (0+0), 0 ±</v>
      </c>
      <c r="BS43" s="241"/>
      <c r="BT43" s="242"/>
      <c r="BU43" s="275" t="str">
        <f>IFERROR(ROUND(VLOOKUP(BU40,TAT!$B$39:$R$44,5,FALSE),2),"")</f>
        <v/>
      </c>
      <c r="BV43" s="276"/>
      <c r="BW43" s="236" t="str">
        <f>IFERROR(VLOOKUP(BU40,TAT!$B$39:$R$44,15,FALSE),"")</f>
        <v/>
      </c>
      <c r="BX43" s="237"/>
      <c r="BY43" s="238" t="str">
        <f>IFERROR(VLOOKUP(BU40,TAT!$B$48:$S$82,18,FALSE),"")</f>
        <v/>
      </c>
      <c r="BZ43" s="239"/>
      <c r="CA43" s="33"/>
      <c r="CB43" s="268"/>
      <c r="CC43" s="33"/>
      <c r="CD43" s="34" t="str">
        <f>IFERROR(VLOOKUP(CD42,TAT!$B$48:$R$82,11,FALSE),"")</f>
        <v/>
      </c>
      <c r="CE43" s="240" t="str">
        <f>IFERROR(YEAR(VLOOKUP(CD42,TAT!$B$48:$R$82,2,FALSE)),"")</f>
        <v/>
      </c>
      <c r="CF43" s="241"/>
      <c r="CG43" s="149" t="str">
        <f>IFERROR(VLOOKUP(CD42,TAT!$B$48:$R$82,3,FALSE),"")</f>
        <v/>
      </c>
      <c r="CH43" s="241" t="str">
        <f>IFERROR(VLOOKUP(CD42,TAT!$B$48:$R$82,15,FALSE),"")</f>
        <v/>
      </c>
      <c r="CI43" s="241"/>
      <c r="CJ43" s="241" t="str">
        <f>IFERROR(VLOOKUP(CD42,TAT!$B$2:$O$36,14,FALSE),"")</f>
        <v/>
      </c>
      <c r="CK43" s="241"/>
      <c r="CL43" s="242"/>
      <c r="CM43" s="275">
        <f>IFERROR(ROUND(VLOOKUP(CM40,OTR!$B$39:$R$44,5,FALSE),2),"")</f>
        <v>80</v>
      </c>
      <c r="CN43" s="276"/>
      <c r="CO43" s="236">
        <f>IFERROR(VLOOKUP(CM40,OTR!$B$39:$R$44,15,FALSE),"")</f>
        <v>9.75</v>
      </c>
      <c r="CP43" s="237"/>
      <c r="CQ43" s="238" t="str">
        <f>IFERROR(VLOOKUP(CM40,OTR!$B$48:$S$82,18,FALSE),"")</f>
        <v>2 OZ, 0 A</v>
      </c>
      <c r="CR43" s="239"/>
      <c r="CS43" s="33"/>
      <c r="CT43" s="268"/>
      <c r="CU43" s="33"/>
      <c r="CV43" s="34" t="str">
        <f>IFERROR(VLOOKUP(CV42,OTR!$B$48:$R$82,11,FALSE),"")</f>
        <v>L</v>
      </c>
      <c r="CW43" s="240">
        <f>IFERROR(YEAR(VLOOKUP(CV42,OTR!$B$48:$R$82,2,FALSE)),"")</f>
        <v>1995</v>
      </c>
      <c r="CX43" s="241"/>
      <c r="CY43" s="149">
        <f ca="1">IFERROR(VLOOKUP(CV42,OTR!$B$48:$R$82,3,FALSE),"")</f>
        <v>25</v>
      </c>
      <c r="CZ43" s="241" t="str">
        <f>IFERROR(VLOOKUP(CV42,OTR!$B$48:$R$82,15,FALSE),"")</f>
        <v>179/77</v>
      </c>
      <c r="DA43" s="241"/>
      <c r="DB43" s="241" t="str">
        <f>IFERROR(VLOOKUP(CV42,OTR!$B$2:$O$36,14,FALSE),"")</f>
        <v>20 OZ , 12 (10+2), -12 ±</v>
      </c>
      <c r="DC43" s="241"/>
      <c r="DD43" s="242"/>
      <c r="DE43" s="275">
        <f>IFERROR(ROUND(VLOOKUP(DE40,BOH!$B$39:$R$44,5,FALSE),2),"")</f>
        <v>39.32</v>
      </c>
      <c r="DF43" s="276"/>
      <c r="DG43" s="236">
        <f>IFERROR(VLOOKUP(DE40,BOH!$B$39:$R$44,15,FALSE),"")</f>
        <v>13.733468972533062</v>
      </c>
      <c r="DH43" s="237"/>
      <c r="DI43" s="238" t="str">
        <f>IFERROR(VLOOKUP(DE40,BOH!$B$48:$S$82,18,FALSE),"")</f>
        <v>26 OZ, 0 A</v>
      </c>
      <c r="DJ43" s="239"/>
      <c r="DK43" s="33"/>
      <c r="DL43" s="268"/>
      <c r="DM43" s="33"/>
      <c r="DN43" s="34" t="str">
        <f>IFERROR(VLOOKUP(DN42,BOH!$B$48:$R$82,11,FALSE),"")</f>
        <v>-</v>
      </c>
      <c r="DO43" s="240">
        <f>IFERROR(YEAR(VLOOKUP(DN42,BOH!$B$48:$R$82,2,FALSE)),"")</f>
        <v>2001</v>
      </c>
      <c r="DP43" s="241"/>
      <c r="DQ43" s="164">
        <f ca="1">IFERROR(VLOOKUP(DN42,BOH!$B$48:$R$82,3,FALSE),"")</f>
        <v>19</v>
      </c>
      <c r="DR43" s="241" t="str">
        <f>IFERROR(VLOOKUP(DN42,BOH!$B$48:$R$82,15,FALSE),"")</f>
        <v>-/-</v>
      </c>
      <c r="DS43" s="241"/>
      <c r="DT43" s="241" t="str">
        <f>IFERROR(VLOOKUP(DN42,BOH!$B$2:$O$36,14,FALSE),"")</f>
        <v>17 OZ , 2 (2+0), -1 ±</v>
      </c>
      <c r="DU43" s="241"/>
      <c r="DV43" s="242"/>
      <c r="DW43" s="275" t="str">
        <f>IFERROR(ROUND(VLOOKUP(DW40,SPA!$B$39:$R$44,5,FALSE),2),"")</f>
        <v/>
      </c>
      <c r="DX43" s="276"/>
      <c r="DY43" s="236" t="str">
        <f>IFERROR(VLOOKUP(DW40,SPA!$B$39:$R$44,15,FALSE),"")</f>
        <v/>
      </c>
      <c r="DZ43" s="237"/>
      <c r="EA43" s="238" t="str">
        <f>IFERROR(VLOOKUP(DW40,SPA!$B$48:$S$82,18,FALSE),"")</f>
        <v/>
      </c>
      <c r="EB43" s="239"/>
      <c r="EC43" s="33"/>
      <c r="ED43" s="268"/>
      <c r="EE43" s="33"/>
      <c r="EF43" s="34" t="str">
        <f>IFERROR(VLOOKUP(EF42,SPA!$B$48:$R$82,11,FALSE),"")</f>
        <v/>
      </c>
      <c r="EG43" s="240" t="str">
        <f>IFERROR(YEAR(VLOOKUP(EF42,SPA!$B$48:$R$82,2,FALSE)),"")</f>
        <v/>
      </c>
      <c r="EH43" s="241"/>
      <c r="EI43" s="164" t="str">
        <f>IFERROR(VLOOKUP(EF42,SPA!$B$48:$R$82,3,FALSE),"")</f>
        <v/>
      </c>
      <c r="EJ43" s="241" t="str">
        <f>IFERROR(VLOOKUP(EF42,SPA!$B$48:$R$82,15,FALSE),"")</f>
        <v/>
      </c>
      <c r="EK43" s="241"/>
      <c r="EL43" s="241" t="str">
        <f>IFERROR(VLOOKUP(EF42,SPA!$B$2:$O$36,14,FALSE),"")</f>
        <v/>
      </c>
      <c r="EM43" s="241"/>
      <c r="EN43" s="242"/>
      <c r="EO43" s="275" t="str">
        <f>IFERROR(ROUND(VLOOKUP(EO40,CLP!$B$39:$R$44,5,FALSE),2),"")</f>
        <v/>
      </c>
      <c r="EP43" s="276"/>
      <c r="EQ43" s="236" t="str">
        <f>IFERROR(VLOOKUP(EO40,CLP!$B$39:$R$44,15,FALSE),"")</f>
        <v/>
      </c>
      <c r="ER43" s="237"/>
      <c r="ES43" s="238" t="str">
        <f>IFERROR(VLOOKUP(EO40,CLP!$B$48:$S$82,18,FALSE),"")</f>
        <v/>
      </c>
      <c r="ET43" s="239"/>
      <c r="EU43" s="33"/>
      <c r="EV43" s="268"/>
      <c r="EW43" s="33"/>
      <c r="EX43" s="34" t="str">
        <f>IFERROR(VLOOKUP(EX42,CLP!$B$48:$R$82,11,FALSE),"")</f>
        <v/>
      </c>
      <c r="EY43" s="240" t="str">
        <f>IFERROR(YEAR(VLOOKUP(EX42,CLP!$B$48:$R$82,2,FALSE)),"")</f>
        <v/>
      </c>
      <c r="EZ43" s="241"/>
      <c r="FA43" s="203" t="str">
        <f>IFERROR(VLOOKUP(EX42,CLP!$B$48:$R$82,3,FALSE),"")</f>
        <v/>
      </c>
      <c r="FB43" s="241" t="str">
        <f>IFERROR(VLOOKUP(EX42,CLP!$B$48:$R$82,15,FALSE),"")</f>
        <v/>
      </c>
      <c r="FC43" s="241"/>
      <c r="FD43" s="241" t="str">
        <f>IFERROR(VLOOKUP(EX42,CLP!$B$2:$O$36,14,FALSE),"")</f>
        <v/>
      </c>
      <c r="FE43" s="241"/>
      <c r="FF43" s="242"/>
      <c r="FG43" s="275" t="str">
        <f>IFERROR(ROUND(VLOOKUP(FG40,LIB!$B$39:$R$44,5,FALSE),2),"")</f>
        <v/>
      </c>
      <c r="FH43" s="276"/>
      <c r="FI43" s="236" t="str">
        <f>IFERROR(VLOOKUP(FG40,LIB!$B$39:$R$44,15,FALSE),"")</f>
        <v/>
      </c>
      <c r="FJ43" s="237"/>
      <c r="FK43" s="238" t="str">
        <f>IFERROR(VLOOKUP(FG40,LIB!$B$48:$S$82,18,FALSE),"")</f>
        <v/>
      </c>
      <c r="FL43" s="239"/>
      <c r="FM43" s="33"/>
      <c r="FN43" s="268"/>
      <c r="FO43" s="33"/>
      <c r="FP43" s="34" t="str">
        <f>IFERROR(VLOOKUP(FP42,LIB!$B$48:$R$82,11,FALSE),"")</f>
        <v/>
      </c>
      <c r="FQ43" s="240" t="str">
        <f>IFERROR(YEAR(VLOOKUP(FP42,LIB!$B$48:$R$82,2,FALSE)),"")</f>
        <v/>
      </c>
      <c r="FR43" s="241"/>
      <c r="FS43" s="203" t="str">
        <f>IFERROR(VLOOKUP(FP42,LIB!$B$48:$R$82,3,FALSE),"")</f>
        <v/>
      </c>
      <c r="FT43" s="241" t="str">
        <f>IFERROR(VLOOKUP(FP42,LIB!$B$48:$R$82,15,FALSE),"")</f>
        <v/>
      </c>
      <c r="FU43" s="241"/>
      <c r="FV43" s="241" t="str">
        <f>IFERROR(VLOOKUP(FP42,LIB!$B$2:$O$36,14,FALSE),"")</f>
        <v/>
      </c>
      <c r="FW43" s="241"/>
      <c r="FX43" s="242"/>
    </row>
    <row r="44" spans="1:180" ht="15.6" customHeight="1" thickBot="1" x14ac:dyDescent="0.3">
      <c r="A44" s="243" t="str">
        <f>IFERROR(VLOOKUP(A40,SKV!$B$48:$AA$82,16,FALSE),"")</f>
        <v>FBK Atlas Sloup</v>
      </c>
      <c r="B44" s="244"/>
      <c r="C44" s="245"/>
      <c r="D44" s="246">
        <f>IFERROR(VLOOKUP(A40,SKV!$B$48:$AA$82,17,FALSE),"")</f>
        <v>1999</v>
      </c>
      <c r="E44" s="247"/>
      <c r="F44" s="46">
        <f>IFERROR(VLOOKUP(A40,SKV!$B$39:$R$42,8,FALSE),"")</f>
        <v>0</v>
      </c>
      <c r="G44" s="33"/>
      <c r="H44" s="268"/>
      <c r="I44" s="33"/>
      <c r="J44" s="125">
        <f>IFERROR(VLOOKUP(J42,SKV!$B$48:$AA$82,8,FALSE),"")</f>
        <v>9</v>
      </c>
      <c r="K44" s="248" t="str">
        <f>IFERROR(VLOOKUP(J42,SKV!$B$48:$AA$82,14,FALSE),"")</f>
        <v>138 OZ, 147 (89+58)</v>
      </c>
      <c r="L44" s="248"/>
      <c r="M44" s="248"/>
      <c r="N44" s="249" t="str">
        <f>IFERROR(VLOOKUP(J42,SKV!$B$48:$AA$82,16,FALSE),"")</f>
        <v>Pelhřimov</v>
      </c>
      <c r="O44" s="249"/>
      <c r="P44" s="249"/>
      <c r="Q44" s="248">
        <f>IFERROR(VLOOKUP(J42,SKV!$B$48:$AA$82,17,FALSE),"")</f>
        <v>2003</v>
      </c>
      <c r="R44" s="250"/>
      <c r="S44" s="243" t="str">
        <f>IFERROR(VLOOKUP(S40,CHO!$B$48:$AA$82,16,FALSE),"")</f>
        <v>Florbal Benešov</v>
      </c>
      <c r="T44" s="244"/>
      <c r="U44" s="245"/>
      <c r="V44" s="246">
        <f>IFERROR(VLOOKUP(S40,CHO!$B$48:$AA$82,17,FALSE),"")</f>
        <v>2009</v>
      </c>
      <c r="W44" s="247"/>
      <c r="X44" s="46">
        <f>IFERROR(VLOOKUP(S40,CHO!$B$39:$R$42,8,FALSE),"")</f>
        <v>0</v>
      </c>
      <c r="Y44" s="33"/>
      <c r="Z44" s="268"/>
      <c r="AA44" s="33"/>
      <c r="AB44" s="125">
        <f>IFERROR(VLOOKUP(AB42,CHO!$B$48:$AA$82,8,FALSE),"")</f>
        <v>4</v>
      </c>
      <c r="AC44" s="248" t="str">
        <f>IFERROR(VLOOKUP(AB42,CHO!$B$48:$AA$82,14,FALSE),"")</f>
        <v>87 OZ, 6 (4+2)</v>
      </c>
      <c r="AD44" s="248"/>
      <c r="AE44" s="248"/>
      <c r="AF44" s="249" t="str">
        <f>IFERROR(VLOOKUP(AB42,CHO!$B$48:$AA$82,16,FALSE),"")</f>
        <v>FBK Vosy Praha</v>
      </c>
      <c r="AG44" s="249"/>
      <c r="AH44" s="249"/>
      <c r="AI44" s="248">
        <f>IFERROR(VLOOKUP(AB42,CHO!$B$48:$AA$82,17,FALSE),"")</f>
        <v>2007</v>
      </c>
      <c r="AJ44" s="250"/>
      <c r="AK44" s="243" t="str">
        <f>IFERROR(VLOOKUP(AK40,VIT!$B$48:$R$82,16,FALSE),"")</f>
        <v/>
      </c>
      <c r="AL44" s="244"/>
      <c r="AM44" s="245"/>
      <c r="AN44" s="246" t="str">
        <f>IFERROR(VLOOKUP(AK40,VIT!$B$48:$R$82,17,FALSE),"")</f>
        <v/>
      </c>
      <c r="AO44" s="247"/>
      <c r="AP44" s="46" t="str">
        <f>IFERROR(VLOOKUP(AK40,VIT!$B$39:$R$44,8,FALSE),"")</f>
        <v/>
      </c>
      <c r="AQ44" s="33"/>
      <c r="AR44" s="268"/>
      <c r="AS44" s="33"/>
      <c r="AT44" s="125" t="str">
        <f>IFERROR(VLOOKUP(AT42,VIT!$B$48:$R$82,8,FALSE),"")</f>
        <v/>
      </c>
      <c r="AU44" s="248" t="str">
        <f>IFERROR(VLOOKUP(AT42,VIT!$B$48:$R$82,14,FALSE),"")</f>
        <v/>
      </c>
      <c r="AV44" s="248"/>
      <c r="AW44" s="248"/>
      <c r="AX44" s="249" t="str">
        <f>IFERROR(VLOOKUP(AT42,VIT!$B$48:$R$82,16,FALSE),"")</f>
        <v/>
      </c>
      <c r="AY44" s="249"/>
      <c r="AZ44" s="249"/>
      <c r="BA44" s="248" t="str">
        <f>IFERROR(VLOOKUP(AT42,VIT!$B$48:$R$82,17,FALSE),"")</f>
        <v/>
      </c>
      <c r="BB44" s="250"/>
      <c r="BC44" s="243" t="str">
        <f>IFERROR(VLOOKUP(BC40,MB!$B$48:$R$82,16,FALSE),"")</f>
        <v>FTC Vysoké Mýto</v>
      </c>
      <c r="BD44" s="244"/>
      <c r="BE44" s="245"/>
      <c r="BF44" s="246">
        <f>IFERROR(VLOOKUP(BC40,MB!$B$48:$R$82,17,FALSE),"")</f>
        <v>2012</v>
      </c>
      <c r="BG44" s="247"/>
      <c r="BH44" s="46">
        <f>IFERROR(VLOOKUP(BC40,MB!$B$39:$R$44,8,FALSE),"")</f>
        <v>0</v>
      </c>
      <c r="BI44" s="33"/>
      <c r="BJ44" s="268"/>
      <c r="BK44" s="33"/>
      <c r="BL44" s="125">
        <f>IFERROR(VLOOKUP(BL42,MB!$B$48:$R$82,8,FALSE),"")</f>
        <v>2</v>
      </c>
      <c r="BM44" s="248" t="str">
        <f>IFERROR(VLOOKUP(BL42,MB!$B$48:$R$82,14,FALSE),"")</f>
        <v>6 OZ, 0 (0+0)</v>
      </c>
      <c r="BN44" s="248"/>
      <c r="BO44" s="248"/>
      <c r="BP44" s="249" t="str">
        <f>IFERROR(VLOOKUP(BL42,MB!$B$48:$R$82,16,FALSE),"")</f>
        <v>FBC Liberec</v>
      </c>
      <c r="BQ44" s="249"/>
      <c r="BR44" s="249"/>
      <c r="BS44" s="248">
        <f>IFERROR(VLOOKUP(BL42,MB!$B$48:$R$82,17,FALSE),"")</f>
        <v>2010</v>
      </c>
      <c r="BT44" s="250"/>
      <c r="BU44" s="243" t="str">
        <f>IFERROR(VLOOKUP(BU40,TAT!$B$48:$R$82,16,FALSE),"")</f>
        <v/>
      </c>
      <c r="BV44" s="244"/>
      <c r="BW44" s="245"/>
      <c r="BX44" s="246" t="str">
        <f>IFERROR(VLOOKUP(BU40,TAT!$B$48:$R$82,17,FALSE),"")</f>
        <v/>
      </c>
      <c r="BY44" s="247"/>
      <c r="BZ44" s="46" t="str">
        <f>IFERROR(VLOOKUP(BU40,TAT!$B$39:$R$44,8,FALSE),"")</f>
        <v/>
      </c>
      <c r="CA44" s="33"/>
      <c r="CB44" s="268"/>
      <c r="CC44" s="33"/>
      <c r="CD44" s="125" t="str">
        <f>IFERROR(VLOOKUP(CD42,TAT!$B$48:$R$82,8,FALSE),"")</f>
        <v/>
      </c>
      <c r="CE44" s="248" t="str">
        <f>IFERROR(VLOOKUP(CD42,TAT!$B$48:$R$82,14,FALSE),"")</f>
        <v/>
      </c>
      <c r="CF44" s="248"/>
      <c r="CG44" s="248"/>
      <c r="CH44" s="249" t="str">
        <f>IFERROR(VLOOKUP(CD42,TAT!$B$48:$R$82,16,FALSE),"")</f>
        <v/>
      </c>
      <c r="CI44" s="249"/>
      <c r="CJ44" s="249"/>
      <c r="CK44" s="248" t="str">
        <f>IFERROR(VLOOKUP(CD42,TAT!$B$48:$R$82,17,FALSE),"")</f>
        <v/>
      </c>
      <c r="CL44" s="250"/>
      <c r="CM44" s="243" t="str">
        <f>IFERROR(VLOOKUP(CM40,OTR!$B$48:$R$82,16,FALSE),"")</f>
        <v>Přerov</v>
      </c>
      <c r="CN44" s="244"/>
      <c r="CO44" s="245"/>
      <c r="CP44" s="246">
        <f>IFERROR(VLOOKUP(CM40,OTR!$B$48:$R$82,17,FALSE),"")</f>
        <v>2002</v>
      </c>
      <c r="CQ44" s="247"/>
      <c r="CR44" s="46">
        <f>IFERROR(VLOOKUP(CM40,OTR!$B$39:$R$44,8,FALSE),"")</f>
        <v>0</v>
      </c>
      <c r="CS44" s="33"/>
      <c r="CT44" s="268"/>
      <c r="CU44" s="33"/>
      <c r="CV44" s="125">
        <f>IFERROR(VLOOKUP(CV42,OTR!$B$48:$R$82,8,FALSE),"")</f>
        <v>4</v>
      </c>
      <c r="CW44" s="248" t="str">
        <f>IFERROR(VLOOKUP(CV42,OTR!$B$48:$R$82,14,FALSE),"")</f>
        <v>59 OZ, 31 (19+12)</v>
      </c>
      <c r="CX44" s="248"/>
      <c r="CY44" s="248"/>
      <c r="CZ44" s="249" t="str">
        <f>IFERROR(VLOOKUP(CV42,OTR!$B$48:$R$82,16,FALSE),"")</f>
        <v>FBC Predátor Sabinov</v>
      </c>
      <c r="DA44" s="249"/>
      <c r="DB44" s="249"/>
      <c r="DC44" s="248">
        <f>IFERROR(VLOOKUP(CV42,OTR!$B$48:$R$82,17,FALSE),"")</f>
        <v>2007</v>
      </c>
      <c r="DD44" s="250"/>
      <c r="DE44" s="243" t="str">
        <f>IFERROR(VLOOKUP(DE40,BOH!$B$48:$R$82,16,FALSE),"")</f>
        <v>FbŠ Bohemians</v>
      </c>
      <c r="DF44" s="244"/>
      <c r="DG44" s="245"/>
      <c r="DH44" s="246" t="str">
        <f>IFERROR(VLOOKUP(DE40,BOH!$B$48:$R$82,17,FALSE),"")</f>
        <v>-</v>
      </c>
      <c r="DI44" s="247"/>
      <c r="DJ44" s="46">
        <f>IFERROR(VLOOKUP(DE40,BOH!$B$39:$R$44,8,FALSE),"")</f>
        <v>0</v>
      </c>
      <c r="DK44" s="33"/>
      <c r="DL44" s="268"/>
      <c r="DM44" s="33"/>
      <c r="DN44" s="125">
        <f>IFERROR(VLOOKUP(DN42,BOH!$B$48:$R$82,8,FALSE),"")</f>
        <v>1</v>
      </c>
      <c r="DO44" s="248" t="str">
        <f>IFERROR(VLOOKUP(DN42,BOH!$B$48:$R$82,14,FALSE),"")</f>
        <v>17 OZ, 2 (2+0)</v>
      </c>
      <c r="DP44" s="248"/>
      <c r="DQ44" s="248"/>
      <c r="DR44" s="249" t="str">
        <f>IFERROR(VLOOKUP(DN42,BOH!$B$48:$R$82,16,FALSE),"")</f>
        <v>FbŠ Bohemians</v>
      </c>
      <c r="DS44" s="249"/>
      <c r="DT44" s="249"/>
      <c r="DU44" s="248">
        <f>IFERROR(VLOOKUP(DN42,BOH!$B$48:$R$82,17,FALSE),"")</f>
        <v>2009</v>
      </c>
      <c r="DV44" s="250"/>
      <c r="DW44" s="243" t="str">
        <f>IFERROR(VLOOKUP(DW40,SPA!$B$48:$R$82,16,FALSE),"")</f>
        <v/>
      </c>
      <c r="DX44" s="244"/>
      <c r="DY44" s="245"/>
      <c r="DZ44" s="246" t="str">
        <f>IFERROR(VLOOKUP(DW40,SPA!$B$48:$R$82,17,FALSE),"")</f>
        <v/>
      </c>
      <c r="EA44" s="247"/>
      <c r="EB44" s="46" t="str">
        <f>IFERROR(VLOOKUP(DW40,SPA!$B$39:$R$44,8,FALSE),"")</f>
        <v/>
      </c>
      <c r="EC44" s="33"/>
      <c r="ED44" s="268"/>
      <c r="EE44" s="33"/>
      <c r="EF44" s="125" t="str">
        <f>IFERROR(VLOOKUP(EF42,SPA!$B$48:$R$82,8,FALSE),"")</f>
        <v/>
      </c>
      <c r="EG44" s="248" t="str">
        <f>IFERROR(VLOOKUP(EF42,SPA!$B$48:$R$82,14,FALSE),"")</f>
        <v/>
      </c>
      <c r="EH44" s="248"/>
      <c r="EI44" s="248"/>
      <c r="EJ44" s="249" t="str">
        <f>IFERROR(VLOOKUP(EF42,SPA!$B$48:$R$82,16,FALSE),"")</f>
        <v/>
      </c>
      <c r="EK44" s="249"/>
      <c r="EL44" s="249"/>
      <c r="EM44" s="248" t="str">
        <f>IFERROR(VLOOKUP(EF42,SPA!$B$48:$R$82,17,FALSE),"")</f>
        <v/>
      </c>
      <c r="EN44" s="250"/>
      <c r="EO44" s="243" t="str">
        <f>IFERROR(VLOOKUP(EO40,CLP!$B$48:$R$82,16,FALSE),"")</f>
        <v/>
      </c>
      <c r="EP44" s="244"/>
      <c r="EQ44" s="245"/>
      <c r="ER44" s="246" t="str">
        <f>IFERROR(VLOOKUP(EO40,CLP!$B$48:$R$82,17,FALSE),"")</f>
        <v/>
      </c>
      <c r="ES44" s="247"/>
      <c r="ET44" s="46" t="str">
        <f>IFERROR(VLOOKUP(EO40,CLP!$B$39:$R$44,8,FALSE),"")</f>
        <v/>
      </c>
      <c r="EU44" s="33"/>
      <c r="EV44" s="268"/>
      <c r="EW44" s="33"/>
      <c r="EX44" s="125" t="str">
        <f>IFERROR(VLOOKUP(EX42,CLP!$B$48:$R$82,8,FALSE),"")</f>
        <v/>
      </c>
      <c r="EY44" s="248" t="str">
        <f>IFERROR(VLOOKUP(EX42,CLP!$B$48:$R$82,14,FALSE),"")</f>
        <v/>
      </c>
      <c r="EZ44" s="248"/>
      <c r="FA44" s="248"/>
      <c r="FB44" s="249" t="str">
        <f>IFERROR(VLOOKUP(EX42,CLP!$B$48:$R$82,16,FALSE),"")</f>
        <v/>
      </c>
      <c r="FC44" s="249"/>
      <c r="FD44" s="249"/>
      <c r="FE44" s="248" t="str">
        <f>IFERROR(VLOOKUP(EX42,CLP!$B$48:$R$82,17,FALSE),"")</f>
        <v/>
      </c>
      <c r="FF44" s="250"/>
      <c r="FG44" s="243" t="str">
        <f>IFERROR(VLOOKUP(FG40,LIB!$B$48:$R$82,16,FALSE),"")</f>
        <v/>
      </c>
      <c r="FH44" s="244"/>
      <c r="FI44" s="245"/>
      <c r="FJ44" s="246" t="str">
        <f>IFERROR(VLOOKUP(FG40,LIB!$B$48:$R$82,17,FALSE),"")</f>
        <v/>
      </c>
      <c r="FK44" s="247"/>
      <c r="FL44" s="46" t="str">
        <f>IFERROR(VLOOKUP(FG40,LIB!$B$39:$R$44,8,FALSE),"")</f>
        <v/>
      </c>
      <c r="FM44" s="33"/>
      <c r="FN44" s="268"/>
      <c r="FO44" s="33"/>
      <c r="FP44" s="125" t="str">
        <f>IFERROR(VLOOKUP(FP42,LIB!$B$48:$R$82,8,FALSE),"")</f>
        <v/>
      </c>
      <c r="FQ44" s="248" t="str">
        <f>IFERROR(VLOOKUP(FP42,LIB!$B$48:$R$82,14,FALSE),"")</f>
        <v/>
      </c>
      <c r="FR44" s="248"/>
      <c r="FS44" s="248"/>
      <c r="FT44" s="249" t="str">
        <f>IFERROR(VLOOKUP(FP42,LIB!$B$48:$R$82,16,FALSE),"")</f>
        <v/>
      </c>
      <c r="FU44" s="249"/>
      <c r="FV44" s="249"/>
      <c r="FW44" s="248" t="str">
        <f>IFERROR(VLOOKUP(FP42,LIB!$B$48:$R$82,17,FALSE),"")</f>
        <v/>
      </c>
      <c r="FX44" s="250"/>
    </row>
    <row r="45" spans="1:180"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row>
    <row r="46" spans="1:180"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row>
    <row r="47" spans="1:180" ht="15.6" customHeight="1" thickTop="1" x14ac:dyDescent="0.25">
      <c r="A47" s="251" t="s">
        <v>95</v>
      </c>
      <c r="B47" s="252"/>
      <c r="C47" s="252"/>
      <c r="D47" s="252"/>
      <c r="E47" s="253" t="str">
        <f>IFERROR(VLOOKUP(A47,SKV!$B$85:$K$92,4,FALSE),"")</f>
        <v>trenér</v>
      </c>
      <c r="F47" s="253"/>
      <c r="G47" s="253"/>
      <c r="H47" s="253"/>
      <c r="I47" s="254"/>
      <c r="J47" s="255" t="s">
        <v>96</v>
      </c>
      <c r="K47" s="252"/>
      <c r="L47" s="252"/>
      <c r="M47" s="252"/>
      <c r="N47" s="253" t="str">
        <f>IFERROR(VLOOKUP(J47,SKV!$B$85:$K$92,4,FALSE),"")</f>
        <v>trenér</v>
      </c>
      <c r="O47" s="253"/>
      <c r="P47" s="253"/>
      <c r="Q47" s="253"/>
      <c r="R47" s="254"/>
      <c r="S47" s="251" t="s">
        <v>187</v>
      </c>
      <c r="T47" s="252"/>
      <c r="U47" s="252"/>
      <c r="V47" s="252"/>
      <c r="W47" s="253" t="str">
        <f>IFERROR(VLOOKUP(S47,CHO!$B$85:$K$92,4,FALSE),"")</f>
        <v>hlavní trenér</v>
      </c>
      <c r="X47" s="253"/>
      <c r="Y47" s="253"/>
      <c r="Z47" s="253"/>
      <c r="AA47" s="254"/>
      <c r="AB47" s="255" t="s">
        <v>193</v>
      </c>
      <c r="AC47" s="252"/>
      <c r="AD47" s="252"/>
      <c r="AE47" s="252"/>
      <c r="AF47" s="253" t="str">
        <f>IFERROR(VLOOKUP(AB47,CHO!$B$85:$K$92,4,FALSE),"")</f>
        <v>asistent trenéra</v>
      </c>
      <c r="AG47" s="253"/>
      <c r="AH47" s="253"/>
      <c r="AI47" s="253"/>
      <c r="AJ47" s="254"/>
      <c r="AK47" s="251" t="s">
        <v>274</v>
      </c>
      <c r="AL47" s="252"/>
      <c r="AM47" s="252"/>
      <c r="AN47" s="252"/>
      <c r="AO47" s="253" t="str">
        <f>IFERROR(VLOOKUP(AK47,VIT!$B$85:$K$92,4,FALSE),"")</f>
        <v>hlavní trenér</v>
      </c>
      <c r="AP47" s="253"/>
      <c r="AQ47" s="253"/>
      <c r="AR47" s="253"/>
      <c r="AS47" s="254"/>
      <c r="AT47" s="255" t="s">
        <v>276</v>
      </c>
      <c r="AU47" s="252"/>
      <c r="AV47" s="252"/>
      <c r="AW47" s="252"/>
      <c r="AX47" s="253" t="str">
        <f>IFERROR(VLOOKUP(AT47,VIT!$B$85:$K$92,4,FALSE),"")</f>
        <v>asistent trenéra</v>
      </c>
      <c r="AY47" s="253"/>
      <c r="AZ47" s="253"/>
      <c r="BA47" s="253"/>
      <c r="BB47" s="254"/>
      <c r="BC47" s="251" t="s">
        <v>319</v>
      </c>
      <c r="BD47" s="252"/>
      <c r="BE47" s="252"/>
      <c r="BF47" s="252"/>
      <c r="BG47" s="253" t="str">
        <f>IFERROR(VLOOKUP(BC47,MB!$B$85:$K$92,4,FALSE),"")</f>
        <v>hlavní trenér</v>
      </c>
      <c r="BH47" s="253"/>
      <c r="BI47" s="253"/>
      <c r="BJ47" s="253"/>
      <c r="BK47" s="254"/>
      <c r="BL47" s="255" t="s">
        <v>323</v>
      </c>
      <c r="BM47" s="252"/>
      <c r="BN47" s="252"/>
      <c r="BO47" s="252"/>
      <c r="BP47" s="253" t="str">
        <f>IFERROR(VLOOKUP(BL47,MB!$B$85:$K$92,4,FALSE),"")</f>
        <v>asistent trenéra</v>
      </c>
      <c r="BQ47" s="253"/>
      <c r="BR47" s="253"/>
      <c r="BS47" s="253"/>
      <c r="BT47" s="254"/>
      <c r="BU47" s="251"/>
      <c r="BV47" s="252"/>
      <c r="BW47" s="252"/>
      <c r="BX47" s="252"/>
      <c r="BY47" s="253" t="str">
        <f>IFERROR(VLOOKUP(BU47,TAT!$B$85:$K$92,4,FALSE),"")</f>
        <v/>
      </c>
      <c r="BZ47" s="253"/>
      <c r="CA47" s="253"/>
      <c r="CB47" s="253"/>
      <c r="CC47" s="254"/>
      <c r="CD47" s="255"/>
      <c r="CE47" s="252"/>
      <c r="CF47" s="252"/>
      <c r="CG47" s="252"/>
      <c r="CH47" s="253" t="str">
        <f>IFERROR(VLOOKUP(CD47,TAT!$B$85:$K$92,4,FALSE),"")</f>
        <v/>
      </c>
      <c r="CI47" s="253"/>
      <c r="CJ47" s="253"/>
      <c r="CK47" s="253"/>
      <c r="CL47" s="254"/>
      <c r="CM47" s="251" t="s">
        <v>475</v>
      </c>
      <c r="CN47" s="252"/>
      <c r="CO47" s="252"/>
      <c r="CP47" s="252"/>
      <c r="CQ47" s="253" t="str">
        <f>IFERROR(VLOOKUP(CM47,OTR!$B$85:$K$92,4,FALSE),"")</f>
        <v>hlavní trenér</v>
      </c>
      <c r="CR47" s="253"/>
      <c r="CS47" s="253"/>
      <c r="CT47" s="253"/>
      <c r="CU47" s="254"/>
      <c r="CV47" s="255" t="s">
        <v>476</v>
      </c>
      <c r="CW47" s="252"/>
      <c r="CX47" s="252"/>
      <c r="CY47" s="252"/>
      <c r="CZ47" s="253" t="str">
        <f>IFERROR(VLOOKUP(CV47,OTR!$B$85:$K$92,4,FALSE),"")</f>
        <v>asistent trenéra</v>
      </c>
      <c r="DA47" s="253"/>
      <c r="DB47" s="253"/>
      <c r="DC47" s="253"/>
      <c r="DD47" s="254"/>
      <c r="DE47" s="251" t="s">
        <v>607</v>
      </c>
      <c r="DF47" s="252"/>
      <c r="DG47" s="252"/>
      <c r="DH47" s="252"/>
      <c r="DI47" s="253" t="str">
        <f>IFERROR(VLOOKUP(DE47,BOH!$B$85:$K$92,4,FALSE),"")</f>
        <v>hlavní trenér</v>
      </c>
      <c r="DJ47" s="253"/>
      <c r="DK47" s="253"/>
      <c r="DL47" s="253"/>
      <c r="DM47" s="254"/>
      <c r="DN47" s="255" t="s">
        <v>609</v>
      </c>
      <c r="DO47" s="252"/>
      <c r="DP47" s="252"/>
      <c r="DQ47" s="252"/>
      <c r="DR47" s="253" t="str">
        <f>IFERROR(VLOOKUP(DN47,BOH!$B$85:$K$92,4,FALSE),"")</f>
        <v>asistent trenéra</v>
      </c>
      <c r="DS47" s="253"/>
      <c r="DT47" s="253"/>
      <c r="DU47" s="253"/>
      <c r="DV47" s="254"/>
      <c r="DW47" s="251"/>
      <c r="DX47" s="252"/>
      <c r="DY47" s="252"/>
      <c r="DZ47" s="252"/>
      <c r="EA47" s="253" t="str">
        <f>IFERROR(VLOOKUP(DW47,SPA!$B$85:$K$92,4,FALSE),"")</f>
        <v/>
      </c>
      <c r="EB47" s="253"/>
      <c r="EC47" s="253"/>
      <c r="ED47" s="253"/>
      <c r="EE47" s="254"/>
      <c r="EF47" s="255"/>
      <c r="EG47" s="252"/>
      <c r="EH47" s="252"/>
      <c r="EI47" s="252"/>
      <c r="EJ47" s="253" t="str">
        <f>IFERROR(VLOOKUP(EF47,SPA!$B$85:$K$92,4,FALSE),"")</f>
        <v/>
      </c>
      <c r="EK47" s="253"/>
      <c r="EL47" s="253"/>
      <c r="EM47" s="253"/>
      <c r="EN47" s="254"/>
      <c r="EO47" s="251"/>
      <c r="EP47" s="252"/>
      <c r="EQ47" s="252"/>
      <c r="ER47" s="252"/>
      <c r="ES47" s="253" t="str">
        <f>IFERROR(VLOOKUP(EO47,CLP!$B$85:$K$92,4,FALSE),"")</f>
        <v/>
      </c>
      <c r="ET47" s="253"/>
      <c r="EU47" s="253"/>
      <c r="EV47" s="253"/>
      <c r="EW47" s="254"/>
      <c r="EX47" s="255"/>
      <c r="EY47" s="252"/>
      <c r="EZ47" s="252"/>
      <c r="FA47" s="252"/>
      <c r="FB47" s="253" t="str">
        <f>IFERROR(VLOOKUP(EX47,CLP!$B$85:$K$92,4,FALSE),"")</f>
        <v/>
      </c>
      <c r="FC47" s="253"/>
      <c r="FD47" s="253"/>
      <c r="FE47" s="253"/>
      <c r="FF47" s="254"/>
      <c r="FG47" s="251"/>
      <c r="FH47" s="252"/>
      <c r="FI47" s="252"/>
      <c r="FJ47" s="252"/>
      <c r="FK47" s="253" t="str">
        <f>IFERROR(VLOOKUP(FG47,LIB!$B$85:$K$92,4,FALSE),"")</f>
        <v/>
      </c>
      <c r="FL47" s="253"/>
      <c r="FM47" s="253"/>
      <c r="FN47" s="253"/>
      <c r="FO47" s="254"/>
      <c r="FP47" s="255"/>
      <c r="FQ47" s="252"/>
      <c r="FR47" s="252"/>
      <c r="FS47" s="252"/>
      <c r="FT47" s="253" t="str">
        <f>IFERROR(VLOOKUP(FP47,LIB!$B$85:$K$92,4,FALSE),"")</f>
        <v/>
      </c>
      <c r="FU47" s="253"/>
      <c r="FV47" s="253"/>
      <c r="FW47" s="253"/>
      <c r="FX47" s="254"/>
    </row>
    <row r="48" spans="1:180" ht="15.6" customHeight="1" thickBot="1" x14ac:dyDescent="0.3">
      <c r="A48" s="256">
        <f ca="1">IFERROR(VLOOKUP(A47,SKV!$B$85:$K$92,3,FALSE),"")</f>
        <v>37</v>
      </c>
      <c r="B48" s="258" t="str">
        <f>IFERROR(VLOOKUP(A47,SKV!$B$85:$K$92,6,FALSE),"")</f>
        <v>vicemistr světa (2004), all-star tým juniorského MS, 2x mistr české ligy (Chodov)</v>
      </c>
      <c r="C48" s="258"/>
      <c r="D48" s="258"/>
      <c r="E48" s="258"/>
      <c r="F48" s="258"/>
      <c r="G48" s="258"/>
      <c r="H48" s="258"/>
      <c r="I48" s="259"/>
      <c r="J48" s="51">
        <f ca="1">IFERROR(VLOOKUP(J47,SKV!$B$85:$K$92,3,FALSE),"")</f>
        <v>35</v>
      </c>
      <c r="K48" s="262" t="str">
        <f>IFERROR(VLOOKUP(J47,SKV!$B$85:$K$92,6,FALSE),"")</f>
        <v>2x mistr české ligy (Chodov)</v>
      </c>
      <c r="L48" s="262"/>
      <c r="M48" s="262"/>
      <c r="N48" s="262"/>
      <c r="O48" s="262"/>
      <c r="P48" s="262"/>
      <c r="Q48" s="262"/>
      <c r="R48" s="263"/>
      <c r="S48" s="256">
        <f ca="1">IFERROR(VLOOKUP(S47,CHO!$B$85:$K$92,3,FALSE),"")</f>
        <v>34</v>
      </c>
      <c r="T48" s="258" t="str">
        <f>IFERROR(VLOOKUP(S47,CHO!$B$85:$K$92,6,FALSE),"")</f>
        <v>mistr české ligy (Tatran), 2x vítěz Poháru (Tatran, Chodov), 2x mistr ligy (trenér)</v>
      </c>
      <c r="U48" s="258"/>
      <c r="V48" s="258"/>
      <c r="W48" s="258"/>
      <c r="X48" s="258"/>
      <c r="Y48" s="258"/>
      <c r="Z48" s="258"/>
      <c r="AA48" s="259"/>
      <c r="AB48" s="133">
        <f ca="1">IFERROR(VLOOKUP(AB47,CHO!$B$85:$K$92,3,FALSE),"")</f>
        <v>41</v>
      </c>
      <c r="AC48" s="262" t="str">
        <f>IFERROR(VLOOKUP(AB47,CHO!$B$85:$K$92,6,FALSE),"")</f>
        <v>mistr české ligy, stříbro z MS juniorů</v>
      </c>
      <c r="AD48" s="262"/>
      <c r="AE48" s="262"/>
      <c r="AF48" s="262"/>
      <c r="AG48" s="262"/>
      <c r="AH48" s="262"/>
      <c r="AI48" s="262"/>
      <c r="AJ48" s="263"/>
      <c r="AK48" s="256">
        <f ca="1">IFERROR(VLOOKUP(AK47,VIT!$B$85:$K$92,3,FALSE),"")</f>
        <v>33</v>
      </c>
      <c r="AL48" s="258" t="str">
        <f>IFERROR(VLOOKUP(AK47,VIT!$B$85:$K$92,6,FALSE),"")</f>
        <v>3x mistr české ligy, 2x vítěz Poháru ČP</v>
      </c>
      <c r="AM48" s="258"/>
      <c r="AN48" s="258"/>
      <c r="AO48" s="258"/>
      <c r="AP48" s="258"/>
      <c r="AQ48" s="258"/>
      <c r="AR48" s="258"/>
      <c r="AS48" s="259"/>
      <c r="AT48" s="104">
        <f ca="1">IFERROR(VLOOKUP(AT47,VIT!$B$85:$K$92,3,FALSE),"")</f>
        <v>28</v>
      </c>
      <c r="AU48" s="262" t="str">
        <f>IFERROR(VLOOKUP(AT47,VIT!$B$85:$K$92,6,FALSE),"")</f>
        <v>-</v>
      </c>
      <c r="AV48" s="262"/>
      <c r="AW48" s="262"/>
      <c r="AX48" s="262"/>
      <c r="AY48" s="262"/>
      <c r="AZ48" s="262"/>
      <c r="BA48" s="262"/>
      <c r="BB48" s="263"/>
      <c r="BC48" s="256">
        <f ca="1">IFERROR(VLOOKUP(BC47,MB!$B$85:$K$92,3,FALSE),"")</f>
        <v>38</v>
      </c>
      <c r="BD48" s="258" t="str">
        <f>IFERROR(VLOOKUP(BC47,MB!$B$85:$K$92,6,FALSE),"")</f>
        <v>mistr české ligy, 3x vítěz Poháru, 2x 4. místo na MS</v>
      </c>
      <c r="BE48" s="258"/>
      <c r="BF48" s="258"/>
      <c r="BG48" s="258"/>
      <c r="BH48" s="258"/>
      <c r="BI48" s="258"/>
      <c r="BJ48" s="258"/>
      <c r="BK48" s="259"/>
      <c r="BL48" s="109">
        <f ca="1">IFERROR(VLOOKUP(BL47,MB!$B$85:$K$92,3,FALSE),"")</f>
        <v>37</v>
      </c>
      <c r="BM48" s="262" t="str">
        <f>IFERROR(VLOOKUP(BL47,MB!$B$85:$K$92,6,FALSE),"")</f>
        <v>5. místo v ZČ KB ligy juniorů (trenér)</v>
      </c>
      <c r="BN48" s="262"/>
      <c r="BO48" s="262"/>
      <c r="BP48" s="262"/>
      <c r="BQ48" s="262"/>
      <c r="BR48" s="262"/>
      <c r="BS48" s="262"/>
      <c r="BT48" s="263"/>
      <c r="BU48" s="256" t="str">
        <f>IFERROR(VLOOKUP(BU47,TAT!$B$85:$K$92,3,FALSE),"")</f>
        <v/>
      </c>
      <c r="BV48" s="258" t="str">
        <f>IFERROR(VLOOKUP(BU47,TAT!$B$85:$K$92,6,FALSE),"")</f>
        <v/>
      </c>
      <c r="BW48" s="258"/>
      <c r="BX48" s="258"/>
      <c r="BY48" s="258"/>
      <c r="BZ48" s="258"/>
      <c r="CA48" s="258"/>
      <c r="CB48" s="258"/>
      <c r="CC48" s="259"/>
      <c r="CD48" s="148" t="str">
        <f>IFERROR(VLOOKUP(CD47,TAT!$B$85:$K$92,3,FALSE),"")</f>
        <v/>
      </c>
      <c r="CE48" s="262" t="str">
        <f>IFERROR(VLOOKUP(CD47,TAT!$B$85:$K$92,6,FALSE),"")</f>
        <v/>
      </c>
      <c r="CF48" s="262"/>
      <c r="CG48" s="262"/>
      <c r="CH48" s="262"/>
      <c r="CI48" s="262"/>
      <c r="CJ48" s="262"/>
      <c r="CK48" s="262"/>
      <c r="CL48" s="263"/>
      <c r="CM48" s="256">
        <f ca="1">IFERROR(VLOOKUP(CM47,OTR!$B$85:$K$92,3,FALSE),"")</f>
        <v>46</v>
      </c>
      <c r="CN48" s="258" t="str">
        <f>IFERROR(VLOOKUP(CM47,OTR!$B$85:$K$92,6,FALSE),"")</f>
        <v>-</v>
      </c>
      <c r="CO48" s="258"/>
      <c r="CP48" s="258"/>
      <c r="CQ48" s="258"/>
      <c r="CR48" s="258"/>
      <c r="CS48" s="258"/>
      <c r="CT48" s="258"/>
      <c r="CU48" s="259"/>
      <c r="CV48" s="148">
        <f ca="1">IFERROR(VLOOKUP(CV47,OTR!$B$85:$K$92,3,FALSE),"")</f>
        <v>28</v>
      </c>
      <c r="CW48" s="262" t="str">
        <f>IFERROR(VLOOKUP(CV47,OTR!$B$85:$K$92,6,FALSE),"")</f>
        <v>-</v>
      </c>
      <c r="CX48" s="262"/>
      <c r="CY48" s="262"/>
      <c r="CZ48" s="262"/>
      <c r="DA48" s="262"/>
      <c r="DB48" s="262"/>
      <c r="DC48" s="262"/>
      <c r="DD48" s="263"/>
      <c r="DE48" s="256">
        <f ca="1">IFERROR(VLOOKUP(DE47,BOH!$B$85:$K$92,3,FALSE),"")</f>
        <v>40</v>
      </c>
      <c r="DF48" s="258" t="str">
        <f>IFERROR(VLOOKUP(DE47,BOH!$B$85:$K$92,6,FALSE),"")</f>
        <v>několikanásobný mistr ČR jako hráč</v>
      </c>
      <c r="DG48" s="258"/>
      <c r="DH48" s="258"/>
      <c r="DI48" s="258"/>
      <c r="DJ48" s="258"/>
      <c r="DK48" s="258"/>
      <c r="DL48" s="258"/>
      <c r="DM48" s="259"/>
      <c r="DN48" s="163">
        <f ca="1">IFERROR(VLOOKUP(DN47,BOH!$B$85:$K$92,3,FALSE),"")</f>
        <v>28</v>
      </c>
      <c r="DO48" s="262" t="str">
        <f>IFERROR(VLOOKUP(DN47,BOH!$B$85:$K$92,6,FALSE),"")</f>
        <v>trenér juniorských mistrů ČR</v>
      </c>
      <c r="DP48" s="262"/>
      <c r="DQ48" s="262"/>
      <c r="DR48" s="262"/>
      <c r="DS48" s="262"/>
      <c r="DT48" s="262"/>
      <c r="DU48" s="262"/>
      <c r="DV48" s="263"/>
      <c r="DW48" s="256" t="str">
        <f>IFERROR(VLOOKUP(DW47,SPA!$B$85:$K$92,3,FALSE),"")</f>
        <v/>
      </c>
      <c r="DX48" s="258" t="str">
        <f>IFERROR(VLOOKUP(DW47,SPA!$B$85:$K$92,6,FALSE),"")</f>
        <v/>
      </c>
      <c r="DY48" s="258"/>
      <c r="DZ48" s="258"/>
      <c r="EA48" s="258"/>
      <c r="EB48" s="258"/>
      <c r="EC48" s="258"/>
      <c r="ED48" s="258"/>
      <c r="EE48" s="259"/>
      <c r="EF48" s="163" t="str">
        <f>IFERROR(VLOOKUP(EF47,SPA!$B$85:$K$92,3,FALSE),"")</f>
        <v/>
      </c>
      <c r="EG48" s="262" t="str">
        <f>IFERROR(VLOOKUP(EF47,SPA!$B$85:$K$92,6,FALSE),"")</f>
        <v/>
      </c>
      <c r="EH48" s="262"/>
      <c r="EI48" s="262"/>
      <c r="EJ48" s="262"/>
      <c r="EK48" s="262"/>
      <c r="EL48" s="262"/>
      <c r="EM48" s="262"/>
      <c r="EN48" s="263"/>
      <c r="EO48" s="256" t="str">
        <f>IFERROR(VLOOKUP(EO47,CLP!$B$85:$K$92,3,FALSE),"")</f>
        <v/>
      </c>
      <c r="EP48" s="258" t="str">
        <f>IFERROR(VLOOKUP(EO47,CLP!$B$85:$K$92,6,FALSE),"")</f>
        <v/>
      </c>
      <c r="EQ48" s="258"/>
      <c r="ER48" s="258"/>
      <c r="ES48" s="258"/>
      <c r="ET48" s="258"/>
      <c r="EU48" s="258"/>
      <c r="EV48" s="258"/>
      <c r="EW48" s="259"/>
      <c r="EX48" s="202" t="str">
        <f>IFERROR(VLOOKUP(EX47,CLP!$B$85:$K$92,3,FALSE),"")</f>
        <v/>
      </c>
      <c r="EY48" s="262" t="str">
        <f>IFERROR(VLOOKUP(EX47,CLP!$B$85:$K$92,6,FALSE),"")</f>
        <v/>
      </c>
      <c r="EZ48" s="262"/>
      <c r="FA48" s="262"/>
      <c r="FB48" s="262"/>
      <c r="FC48" s="262"/>
      <c r="FD48" s="262"/>
      <c r="FE48" s="262"/>
      <c r="FF48" s="263"/>
      <c r="FG48" s="256" t="str">
        <f>IFERROR(VLOOKUP(FG47,LIB!$B$85:$K$92,3,FALSE),"")</f>
        <v/>
      </c>
      <c r="FH48" s="258" t="str">
        <f>IFERROR(VLOOKUP(FG47,LIB!$B$85:$K$92,6,FALSE),"")</f>
        <v/>
      </c>
      <c r="FI48" s="258"/>
      <c r="FJ48" s="258"/>
      <c r="FK48" s="258"/>
      <c r="FL48" s="258"/>
      <c r="FM48" s="258"/>
      <c r="FN48" s="258"/>
      <c r="FO48" s="259"/>
      <c r="FP48" s="202" t="str">
        <f>IFERROR(VLOOKUP(FP47,LIB!$B$85:$K$92,3,FALSE),"")</f>
        <v/>
      </c>
      <c r="FQ48" s="262" t="str">
        <f>IFERROR(VLOOKUP(FP47,LIB!$B$85:$K$92,6,FALSE),"")</f>
        <v/>
      </c>
      <c r="FR48" s="262"/>
      <c r="FS48" s="262"/>
      <c r="FT48" s="262"/>
      <c r="FU48" s="262"/>
      <c r="FV48" s="262"/>
      <c r="FW48" s="262"/>
      <c r="FX48" s="263"/>
    </row>
    <row r="49" spans="1:180" ht="15.6" customHeight="1" thickTop="1" x14ac:dyDescent="0.25">
      <c r="A49" s="256"/>
      <c r="B49" s="258"/>
      <c r="C49" s="258"/>
      <c r="D49" s="258"/>
      <c r="E49" s="258"/>
      <c r="F49" s="258"/>
      <c r="G49" s="258"/>
      <c r="H49" s="258"/>
      <c r="I49" s="259"/>
      <c r="J49" s="264" t="s">
        <v>614</v>
      </c>
      <c r="K49" s="265"/>
      <c r="L49" s="265"/>
      <c r="M49" s="265"/>
      <c r="N49" s="253" t="str">
        <f>IFERROR(VLOOKUP(J49,SKV!$B$85:$K$92,4,FALSE),"")</f>
        <v>sportovní ředitel</v>
      </c>
      <c r="O49" s="253"/>
      <c r="P49" s="253"/>
      <c r="Q49" s="253"/>
      <c r="R49" s="254"/>
      <c r="S49" s="256"/>
      <c r="T49" s="258"/>
      <c r="U49" s="258"/>
      <c r="V49" s="258"/>
      <c r="W49" s="258"/>
      <c r="X49" s="258"/>
      <c r="Y49" s="258"/>
      <c r="Z49" s="258"/>
      <c r="AA49" s="259"/>
      <c r="AB49" s="264" t="s">
        <v>196</v>
      </c>
      <c r="AC49" s="265"/>
      <c r="AD49" s="265"/>
      <c r="AE49" s="265"/>
      <c r="AF49" s="253" t="str">
        <f>IFERROR(VLOOKUP(AB49,CHO!$B$85:$K$92,4,FALSE),"")</f>
        <v>vedoucí týmu</v>
      </c>
      <c r="AG49" s="253"/>
      <c r="AH49" s="253"/>
      <c r="AI49" s="253"/>
      <c r="AJ49" s="254"/>
      <c r="AK49" s="256"/>
      <c r="AL49" s="258"/>
      <c r="AM49" s="258"/>
      <c r="AN49" s="258"/>
      <c r="AO49" s="258"/>
      <c r="AP49" s="258"/>
      <c r="AQ49" s="258"/>
      <c r="AR49" s="258"/>
      <c r="AS49" s="259"/>
      <c r="AT49" s="264" t="s">
        <v>279</v>
      </c>
      <c r="AU49" s="265"/>
      <c r="AV49" s="265"/>
      <c r="AW49" s="265"/>
      <c r="AX49" s="253" t="str">
        <f>IFERROR(VLOOKUP(AT49,VIT!$B$85:$K$92,4,FALSE),"")</f>
        <v>vedoucí družstva</v>
      </c>
      <c r="AY49" s="253"/>
      <c r="AZ49" s="253"/>
      <c r="BA49" s="253"/>
      <c r="BB49" s="254"/>
      <c r="BC49" s="256"/>
      <c r="BD49" s="258"/>
      <c r="BE49" s="258"/>
      <c r="BF49" s="258"/>
      <c r="BG49" s="258"/>
      <c r="BH49" s="258"/>
      <c r="BI49" s="258"/>
      <c r="BJ49" s="258"/>
      <c r="BK49" s="259"/>
      <c r="BL49" s="264" t="s">
        <v>321</v>
      </c>
      <c r="BM49" s="265"/>
      <c r="BN49" s="265"/>
      <c r="BO49" s="265"/>
      <c r="BP49" s="253" t="str">
        <f>IFERROR(VLOOKUP(BL49,MB!$B$85:$K$92,4,FALSE),"")</f>
        <v>kondiční trenér</v>
      </c>
      <c r="BQ49" s="253"/>
      <c r="BR49" s="253"/>
      <c r="BS49" s="253"/>
      <c r="BT49" s="254"/>
      <c r="BU49" s="256"/>
      <c r="BV49" s="258"/>
      <c r="BW49" s="258"/>
      <c r="BX49" s="258"/>
      <c r="BY49" s="258"/>
      <c r="BZ49" s="258"/>
      <c r="CA49" s="258"/>
      <c r="CB49" s="258"/>
      <c r="CC49" s="259"/>
      <c r="CD49" s="264"/>
      <c r="CE49" s="265"/>
      <c r="CF49" s="265"/>
      <c r="CG49" s="265"/>
      <c r="CH49" s="253" t="str">
        <f>IFERROR(VLOOKUP(CD49,TAT!$B$85:$K$92,4,FALSE),"")</f>
        <v/>
      </c>
      <c r="CI49" s="253"/>
      <c r="CJ49" s="253"/>
      <c r="CK49" s="253"/>
      <c r="CL49" s="254"/>
      <c r="CM49" s="256"/>
      <c r="CN49" s="258"/>
      <c r="CO49" s="258"/>
      <c r="CP49" s="258"/>
      <c r="CQ49" s="258"/>
      <c r="CR49" s="258"/>
      <c r="CS49" s="258"/>
      <c r="CT49" s="258"/>
      <c r="CU49" s="259"/>
      <c r="CV49" s="264" t="s">
        <v>477</v>
      </c>
      <c r="CW49" s="265"/>
      <c r="CX49" s="265"/>
      <c r="CY49" s="265"/>
      <c r="CZ49" s="253" t="str">
        <f>IFERROR(VLOOKUP(CV49,OTR!$B$85:$K$92,4,FALSE),"")</f>
        <v>kondiční trenér</v>
      </c>
      <c r="DA49" s="253"/>
      <c r="DB49" s="253"/>
      <c r="DC49" s="253"/>
      <c r="DD49" s="254"/>
      <c r="DE49" s="256"/>
      <c r="DF49" s="258"/>
      <c r="DG49" s="258"/>
      <c r="DH49" s="258"/>
      <c r="DI49" s="258"/>
      <c r="DJ49" s="258"/>
      <c r="DK49" s="258"/>
      <c r="DL49" s="258"/>
      <c r="DM49" s="259"/>
      <c r="DN49" s="264" t="s">
        <v>611</v>
      </c>
      <c r="DO49" s="265"/>
      <c r="DP49" s="265"/>
      <c r="DQ49" s="265"/>
      <c r="DR49" s="253" t="str">
        <f>IFERROR(VLOOKUP(DN49,BOH!$B$85:$K$92,4,FALSE),"")</f>
        <v>asistent trenéra</v>
      </c>
      <c r="DS49" s="253"/>
      <c r="DT49" s="253"/>
      <c r="DU49" s="253"/>
      <c r="DV49" s="254"/>
      <c r="DW49" s="256"/>
      <c r="DX49" s="258"/>
      <c r="DY49" s="258"/>
      <c r="DZ49" s="258"/>
      <c r="EA49" s="258"/>
      <c r="EB49" s="258"/>
      <c r="EC49" s="258"/>
      <c r="ED49" s="258"/>
      <c r="EE49" s="259"/>
      <c r="EF49" s="264"/>
      <c r="EG49" s="265"/>
      <c r="EH49" s="265"/>
      <c r="EI49" s="265"/>
      <c r="EJ49" s="253" t="str">
        <f>IFERROR(VLOOKUP(EF49,SPA!$B$85:$K$92,4,FALSE),"")</f>
        <v/>
      </c>
      <c r="EK49" s="253"/>
      <c r="EL49" s="253"/>
      <c r="EM49" s="253"/>
      <c r="EN49" s="254"/>
      <c r="EO49" s="256"/>
      <c r="EP49" s="258"/>
      <c r="EQ49" s="258"/>
      <c r="ER49" s="258"/>
      <c r="ES49" s="258"/>
      <c r="ET49" s="258"/>
      <c r="EU49" s="258"/>
      <c r="EV49" s="258"/>
      <c r="EW49" s="259"/>
      <c r="EX49" s="264"/>
      <c r="EY49" s="265"/>
      <c r="EZ49" s="265"/>
      <c r="FA49" s="265"/>
      <c r="FB49" s="253" t="str">
        <f>IFERROR(VLOOKUP(EX49,CLP!$B$85:$K$92,4,FALSE),"")</f>
        <v/>
      </c>
      <c r="FC49" s="253"/>
      <c r="FD49" s="253"/>
      <c r="FE49" s="253"/>
      <c r="FF49" s="254"/>
      <c r="FG49" s="256"/>
      <c r="FH49" s="258"/>
      <c r="FI49" s="258"/>
      <c r="FJ49" s="258"/>
      <c r="FK49" s="258"/>
      <c r="FL49" s="258"/>
      <c r="FM49" s="258"/>
      <c r="FN49" s="258"/>
      <c r="FO49" s="259"/>
      <c r="FP49" s="264"/>
      <c r="FQ49" s="265"/>
      <c r="FR49" s="265"/>
      <c r="FS49" s="265"/>
      <c r="FT49" s="253" t="str">
        <f>IFERROR(VLOOKUP(FP49,LIB!$B$85:$K$92,4,FALSE),"")</f>
        <v/>
      </c>
      <c r="FU49" s="253"/>
      <c r="FV49" s="253"/>
      <c r="FW49" s="253"/>
      <c r="FX49" s="254"/>
    </row>
    <row r="50" spans="1:180" ht="15.6" customHeight="1" thickBot="1" x14ac:dyDescent="0.3">
      <c r="A50" s="257"/>
      <c r="B50" s="260"/>
      <c r="C50" s="260"/>
      <c r="D50" s="260"/>
      <c r="E50" s="260"/>
      <c r="F50" s="260"/>
      <c r="G50" s="260"/>
      <c r="H50" s="260"/>
      <c r="I50" s="261"/>
      <c r="J50" s="51">
        <f ca="1">IFERROR(VLOOKUP(J49,SKV!$B$85:$K$92,3,FALSE),"")</f>
        <v>30</v>
      </c>
      <c r="K50" s="262" t="str">
        <f>IFERROR(VLOOKUP(J49,SKV!$B$85:$K$92,6,FALSE),"")</f>
        <v>postup do Tipsport superligy (hráč)</v>
      </c>
      <c r="L50" s="262"/>
      <c r="M50" s="262"/>
      <c r="N50" s="262"/>
      <c r="O50" s="262"/>
      <c r="P50" s="262"/>
      <c r="Q50" s="262"/>
      <c r="R50" s="263"/>
      <c r="S50" s="257"/>
      <c r="T50" s="260"/>
      <c r="U50" s="260"/>
      <c r="V50" s="260"/>
      <c r="W50" s="260"/>
      <c r="X50" s="260"/>
      <c r="Y50" s="260"/>
      <c r="Z50" s="260"/>
      <c r="AA50" s="261"/>
      <c r="AB50" s="133">
        <f ca="1">IFERROR(VLOOKUP(AB49,CHO!$B$85:$K$92,3,FALSE),"")</f>
        <v>35</v>
      </c>
      <c r="AC50" s="262" t="str">
        <f>IFERROR(VLOOKUP(AB49,CHO!$B$85:$K$92,6,FALSE),"")</f>
        <v>2x mistr české ligy</v>
      </c>
      <c r="AD50" s="262"/>
      <c r="AE50" s="262"/>
      <c r="AF50" s="262"/>
      <c r="AG50" s="262"/>
      <c r="AH50" s="262"/>
      <c r="AI50" s="262"/>
      <c r="AJ50" s="263"/>
      <c r="AK50" s="257"/>
      <c r="AL50" s="260"/>
      <c r="AM50" s="260"/>
      <c r="AN50" s="260"/>
      <c r="AO50" s="260"/>
      <c r="AP50" s="260"/>
      <c r="AQ50" s="260"/>
      <c r="AR50" s="260"/>
      <c r="AS50" s="261"/>
      <c r="AT50" s="104">
        <f ca="1">IFERROR(VLOOKUP(AT49,VIT!$B$85:$K$92,3,FALSE),"")</f>
        <v>54</v>
      </c>
      <c r="AU50" s="262" t="str">
        <f>IFERROR(VLOOKUP(AT49,VIT!$B$85:$K$92,6,FALSE),"")</f>
        <v>-</v>
      </c>
      <c r="AV50" s="262"/>
      <c r="AW50" s="262"/>
      <c r="AX50" s="262"/>
      <c r="AY50" s="262"/>
      <c r="AZ50" s="262"/>
      <c r="BA50" s="262"/>
      <c r="BB50" s="263"/>
      <c r="BC50" s="257"/>
      <c r="BD50" s="260"/>
      <c r="BE50" s="260"/>
      <c r="BF50" s="260"/>
      <c r="BG50" s="260"/>
      <c r="BH50" s="260"/>
      <c r="BI50" s="260"/>
      <c r="BJ50" s="260"/>
      <c r="BK50" s="261"/>
      <c r="BL50" s="109">
        <f ca="1">IFERROR(VLOOKUP(BL49,MB!$B$85:$K$92,3,FALSE),"")</f>
        <v>30</v>
      </c>
      <c r="BM50" s="262" t="str">
        <f>IFERROR(VLOOKUP(BL49,MB!$B$85:$K$92,6,FALSE),"")</f>
        <v>3x vítěz Poháru (hráč), mistr české ligy (kondiční trenér)</v>
      </c>
      <c r="BN50" s="262"/>
      <c r="BO50" s="262"/>
      <c r="BP50" s="262"/>
      <c r="BQ50" s="262"/>
      <c r="BR50" s="262"/>
      <c r="BS50" s="262"/>
      <c r="BT50" s="263"/>
      <c r="BU50" s="257"/>
      <c r="BV50" s="260"/>
      <c r="BW50" s="260"/>
      <c r="BX50" s="260"/>
      <c r="BY50" s="260"/>
      <c r="BZ50" s="260"/>
      <c r="CA50" s="260"/>
      <c r="CB50" s="260"/>
      <c r="CC50" s="261"/>
      <c r="CD50" s="148" t="str">
        <f>IFERROR(VLOOKUP(CD49,TAT!$B$85:$K$92,3,FALSE),"")</f>
        <v/>
      </c>
      <c r="CE50" s="262" t="str">
        <f>IFERROR(VLOOKUP(CD49,TAT!$B$85:$K$92,6,FALSE),"")</f>
        <v/>
      </c>
      <c r="CF50" s="262"/>
      <c r="CG50" s="262"/>
      <c r="CH50" s="262"/>
      <c r="CI50" s="262"/>
      <c r="CJ50" s="262"/>
      <c r="CK50" s="262"/>
      <c r="CL50" s="263"/>
      <c r="CM50" s="257"/>
      <c r="CN50" s="260"/>
      <c r="CO50" s="260"/>
      <c r="CP50" s="260"/>
      <c r="CQ50" s="260"/>
      <c r="CR50" s="260"/>
      <c r="CS50" s="260"/>
      <c r="CT50" s="260"/>
      <c r="CU50" s="261"/>
      <c r="CV50" s="148">
        <f ca="1">IFERROR(VLOOKUP(CV49,OTR!$B$85:$K$92,3,FALSE),"")</f>
        <v>49</v>
      </c>
      <c r="CW50" s="262" t="str">
        <f>IFERROR(VLOOKUP(CV49,OTR!$B$85:$K$92,6,FALSE),"")</f>
        <v>-</v>
      </c>
      <c r="CX50" s="262"/>
      <c r="CY50" s="262"/>
      <c r="CZ50" s="262"/>
      <c r="DA50" s="262"/>
      <c r="DB50" s="262"/>
      <c r="DC50" s="262"/>
      <c r="DD50" s="263"/>
      <c r="DE50" s="257"/>
      <c r="DF50" s="260"/>
      <c r="DG50" s="260"/>
      <c r="DH50" s="260"/>
      <c r="DI50" s="260"/>
      <c r="DJ50" s="260"/>
      <c r="DK50" s="260"/>
      <c r="DL50" s="260"/>
      <c r="DM50" s="261"/>
      <c r="DN50" s="163">
        <f ca="1">IFERROR(VLOOKUP(DN49,BOH!$B$85:$K$92,3,FALSE),"")</f>
        <v>43</v>
      </c>
      <c r="DO50" s="262" t="str">
        <f>IFERROR(VLOOKUP(DN49,BOH!$B$85:$K$92,6,FALSE),"")</f>
        <v>-</v>
      </c>
      <c r="DP50" s="262"/>
      <c r="DQ50" s="262"/>
      <c r="DR50" s="262"/>
      <c r="DS50" s="262"/>
      <c r="DT50" s="262"/>
      <c r="DU50" s="262"/>
      <c r="DV50" s="263"/>
      <c r="DW50" s="257"/>
      <c r="DX50" s="260"/>
      <c r="DY50" s="260"/>
      <c r="DZ50" s="260"/>
      <c r="EA50" s="260"/>
      <c r="EB50" s="260"/>
      <c r="EC50" s="260"/>
      <c r="ED50" s="260"/>
      <c r="EE50" s="261"/>
      <c r="EF50" s="163" t="str">
        <f>IFERROR(VLOOKUP(EF49,SPA!$B$85:$K$92,3,FALSE),"")</f>
        <v/>
      </c>
      <c r="EG50" s="262" t="str">
        <f>IFERROR(VLOOKUP(EF49,SPA!$B$85:$K$92,6,FALSE),"")</f>
        <v/>
      </c>
      <c r="EH50" s="262"/>
      <c r="EI50" s="262"/>
      <c r="EJ50" s="262"/>
      <c r="EK50" s="262"/>
      <c r="EL50" s="262"/>
      <c r="EM50" s="262"/>
      <c r="EN50" s="263"/>
      <c r="EO50" s="257"/>
      <c r="EP50" s="260"/>
      <c r="EQ50" s="260"/>
      <c r="ER50" s="260"/>
      <c r="ES50" s="260"/>
      <c r="ET50" s="260"/>
      <c r="EU50" s="260"/>
      <c r="EV50" s="260"/>
      <c r="EW50" s="261"/>
      <c r="EX50" s="202" t="str">
        <f>IFERROR(VLOOKUP(EX49,CLP!$B$85:$K$92,3,FALSE),"")</f>
        <v/>
      </c>
      <c r="EY50" s="262" t="str">
        <f>IFERROR(VLOOKUP(EX49,CLP!$B$85:$K$92,6,FALSE),"")</f>
        <v/>
      </c>
      <c r="EZ50" s="262"/>
      <c r="FA50" s="262"/>
      <c r="FB50" s="262"/>
      <c r="FC50" s="262"/>
      <c r="FD50" s="262"/>
      <c r="FE50" s="262"/>
      <c r="FF50" s="263"/>
      <c r="FG50" s="257"/>
      <c r="FH50" s="260"/>
      <c r="FI50" s="260"/>
      <c r="FJ50" s="260"/>
      <c r="FK50" s="260"/>
      <c r="FL50" s="260"/>
      <c r="FM50" s="260"/>
      <c r="FN50" s="260"/>
      <c r="FO50" s="261"/>
      <c r="FP50" s="202" t="str">
        <f>IFERROR(VLOOKUP(FP49,LIB!$B$85:$K$92,3,FALSE),"")</f>
        <v/>
      </c>
      <c r="FQ50" s="262" t="str">
        <f>IFERROR(VLOOKUP(FP49,LIB!$B$85:$K$92,6,FALSE),"")</f>
        <v/>
      </c>
      <c r="FR50" s="262"/>
      <c r="FS50" s="262"/>
      <c r="FT50" s="262"/>
      <c r="FU50" s="262"/>
      <c r="FV50" s="262"/>
      <c r="FW50" s="262"/>
      <c r="FX50" s="263"/>
    </row>
    <row r="51" spans="1:180" ht="15.6" customHeight="1" thickTop="1" x14ac:dyDescent="0.25">
      <c r="A51" s="285" t="s">
        <v>29</v>
      </c>
      <c r="B51" s="285"/>
      <c r="C51" s="285"/>
      <c r="D51" s="285"/>
      <c r="E51" s="285"/>
      <c r="F51" s="285"/>
      <c r="G51" s="285"/>
      <c r="H51" s="285"/>
      <c r="I51" s="285"/>
      <c r="J51" s="285" t="s">
        <v>150</v>
      </c>
      <c r="K51" s="285"/>
      <c r="L51" s="285"/>
      <c r="M51" s="285"/>
      <c r="N51" s="285"/>
      <c r="O51" s="285"/>
      <c r="P51" s="285"/>
      <c r="Q51" s="285"/>
      <c r="R51" s="285"/>
    </row>
    <row r="52" spans="1:180" ht="15.6" customHeight="1" thickBot="1" x14ac:dyDescent="0.3">
      <c r="A52" s="286"/>
      <c r="B52" s="286"/>
      <c r="C52" s="286"/>
      <c r="D52" s="286"/>
      <c r="E52" s="286"/>
      <c r="F52" s="286"/>
      <c r="G52" s="286"/>
      <c r="H52" s="286"/>
      <c r="I52" s="286"/>
      <c r="J52" s="286"/>
      <c r="K52" s="286"/>
      <c r="L52" s="286"/>
      <c r="M52" s="286"/>
      <c r="N52" s="286"/>
      <c r="O52" s="286"/>
      <c r="P52" s="286"/>
      <c r="Q52" s="286"/>
      <c r="R52" s="286"/>
    </row>
    <row r="53" spans="1:180" ht="15" customHeight="1" thickTop="1" thickBot="1" x14ac:dyDescent="0.3">
      <c r="A53" s="60"/>
      <c r="B53" s="60"/>
      <c r="C53" s="60"/>
      <c r="D53" s="60"/>
      <c r="E53" s="60"/>
      <c r="F53" s="60"/>
      <c r="G53" s="57"/>
      <c r="H53" s="57"/>
      <c r="I53" s="57"/>
      <c r="J53" s="57"/>
      <c r="K53" s="58"/>
      <c r="L53" s="59"/>
      <c r="M53" s="60"/>
      <c r="N53" s="60"/>
      <c r="O53" s="60"/>
      <c r="P53" s="60"/>
      <c r="Q53" s="60"/>
      <c r="R53" s="60"/>
      <c r="S53" s="374" t="s">
        <v>376</v>
      </c>
      <c r="T53" s="374"/>
      <c r="U53" s="374"/>
      <c r="V53" s="374"/>
      <c r="W53" s="374"/>
      <c r="X53" s="374"/>
      <c r="Y53" s="374"/>
      <c r="Z53" s="374"/>
      <c r="AA53" s="374"/>
      <c r="AB53" s="374"/>
      <c r="AC53" s="374"/>
      <c r="AD53" s="374"/>
      <c r="AE53" s="374"/>
      <c r="AF53" s="374"/>
      <c r="AG53" s="374"/>
      <c r="AH53" s="374"/>
      <c r="AI53" s="374"/>
      <c r="AJ53" s="374"/>
    </row>
    <row r="54" spans="1:180" ht="15" customHeight="1" thickTop="1" thickBot="1" x14ac:dyDescent="0.3">
      <c r="A54" s="206" t="s">
        <v>221</v>
      </c>
      <c r="B54" s="207"/>
      <c r="C54" s="74" t="s">
        <v>40</v>
      </c>
      <c r="D54" s="74" t="s">
        <v>41</v>
      </c>
      <c r="E54" s="207" t="s">
        <v>42</v>
      </c>
      <c r="F54" s="207"/>
      <c r="G54" s="74" t="s">
        <v>43</v>
      </c>
      <c r="H54" s="74" t="s">
        <v>44</v>
      </c>
      <c r="I54" s="75" t="s">
        <v>38</v>
      </c>
      <c r="J54" s="283" t="s">
        <v>221</v>
      </c>
      <c r="K54" s="284"/>
      <c r="L54" s="89" t="s">
        <v>40</v>
      </c>
      <c r="M54" s="89" t="s">
        <v>41</v>
      </c>
      <c r="N54" s="284" t="s">
        <v>42</v>
      </c>
      <c r="O54" s="284"/>
      <c r="P54" s="89" t="s">
        <v>43</v>
      </c>
      <c r="Q54" s="89" t="s">
        <v>44</v>
      </c>
      <c r="R54" s="90" t="s">
        <v>38</v>
      </c>
      <c r="S54" s="371" t="s">
        <v>232</v>
      </c>
      <c r="T54" s="372"/>
      <c r="U54" s="372"/>
      <c r="V54" s="372"/>
      <c r="W54" s="372"/>
      <c r="X54" s="372"/>
      <c r="Y54" s="372"/>
      <c r="Z54" s="373"/>
      <c r="AA54" s="144"/>
      <c r="AB54" s="144"/>
      <c r="AC54" s="206" t="s">
        <v>582</v>
      </c>
      <c r="AD54" s="207"/>
      <c r="AE54" s="207"/>
      <c r="AF54" s="207"/>
      <c r="AG54" s="207"/>
      <c r="AH54" s="207"/>
      <c r="AI54" s="207"/>
      <c r="AJ54" s="208"/>
    </row>
    <row r="55" spans="1:180" ht="15" customHeight="1" thickBot="1" x14ac:dyDescent="0.3">
      <c r="A55" s="348" t="str">
        <f>CONCATENATE(IFERROR(VLOOKUP(VLOOKUP($A$51,Tabulka!$A$42:$B$55,2,FALSE),Tabulka!$B$26:$AK$39,36,FALSE),""), ". místo")</f>
        <v>13. místo</v>
      </c>
      <c r="B55" s="349"/>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19</v>
      </c>
      <c r="E55" s="349" t="str">
        <f>CONCATENATE(IFERROR(VLOOKUP(VLOOKUP($A$51,Tabulka!$A$42:$B$55,2,FALSE),Tabulka!$B$26:$AK$39,8,FALSE),""), ":",IFERROR(VLOOKUP(VLOOKUP($A$51,Tabulka!$A$42:$B$55,2,FALSE),Tabulka!$B$26:$AK$39,9,FALSE),""))</f>
        <v>104:171</v>
      </c>
      <c r="F55" s="349"/>
      <c r="G55" s="78">
        <f>ROUND(IFERROR(VLOOKUP(VLOOKUP($A$51,Tabulka!$A$42:$B$55,2,FALSE),Tabulka!$B$26:$AK$39,14,FALSE),""),1)</f>
        <v>42.4</v>
      </c>
      <c r="H55" s="78">
        <f>ROUND(IFERROR(VLOOKUP(VLOOKUP($A$51,Tabulka!$A$42:$B$55,2,FALSE),Tabulka!$B$26:$AK$39,18,FALSE),""),1)</f>
        <v>42.9</v>
      </c>
      <c r="I55" s="77">
        <f>IFERROR(VLOOKUP(VLOOKUP($A$51,Tabulka!$A$42:$B$55,2,FALSE),Tabulka!$B$26:$AK$39,25,FALSE),"")</f>
        <v>63</v>
      </c>
      <c r="J55" s="350" t="str">
        <f>CONCATENATE(IFERROR(VLOOKUP(VLOOKUP($J$51,Tabulka!$A$42:$B$55,2,FALSE),Tabulka!$B$26:$AK$39,36,FALSE),""), ". místo")</f>
        <v>1. místo</v>
      </c>
      <c r="K55" s="335"/>
      <c r="L55" s="91">
        <f>IFERROR(VLOOKUP(VLOOKUP($J$51,Tabulka!$A$42:$B$55,2,FALSE),Tabulka!$B$26:$AK$39,3,FALSE),"") +IFERROR(VLOOKUP(VLOOKUP($J$51,Tabulka!$A$42:$B$55,2,FALSE),Tabulka!$B$26:$AK$39,4,FALSE),"")</f>
        <v>21</v>
      </c>
      <c r="M55" s="92">
        <f>IFERROR(VLOOKUP(VLOOKUP($J$51,Tabulka!$A$42:$B$55,2,FALSE),Tabulka!$B$26:$AK$39,5,FALSE),"") +IFERROR(VLOOKUP(VLOOKUP($J$51,Tabulka!$A$42:$B$55,2,FALSE),Tabulka!$B$26:$AK$39,6,FALSE),"")</f>
        <v>1</v>
      </c>
      <c r="N55" s="335" t="str">
        <f>CONCATENATE(IFERROR(VLOOKUP(VLOOKUP($J$51,Tabulka!$A$42:$B$55,2,FALSE),Tabulka!$B$26:$AK$39,8,FALSE),""), ":",IFERROR(VLOOKUP(VLOOKUP($J$51,Tabulka!$A$42:$B$55,2,FALSE),Tabulka!$B$26:$AK$39,9,FALSE),""))</f>
        <v>185:83</v>
      </c>
      <c r="O55" s="335"/>
      <c r="P55" s="92">
        <f>ROUND(IFERROR(VLOOKUP(VLOOKUP($J$51,Tabulka!$A$42:$B$55,2,FALSE),Tabulka!$B$26:$AK$39,14,FALSE),""),1)</f>
        <v>30.8</v>
      </c>
      <c r="Q55" s="92">
        <f>ROUND(IFERROR(VLOOKUP(VLOOKUP($J$51,Tabulka!$A$42:$B$55,2,FALSE),Tabulka!$B$26:$AK$39,18,FALSE),""),1)</f>
        <v>84.1</v>
      </c>
      <c r="R55" s="93">
        <f>IFERROR(VLOOKUP(VLOOKUP($J$51,Tabulka!$A$42:$B$55,2,FALSE),Tabulka!$B$26:$AK$39,25,FALSE),"")</f>
        <v>102</v>
      </c>
      <c r="S55" s="356" t="s">
        <v>232</v>
      </c>
      <c r="T55" s="357"/>
      <c r="U55" s="357"/>
      <c r="V55" s="357"/>
      <c r="W55" s="154" t="s">
        <v>417</v>
      </c>
      <c r="X55" s="358">
        <v>44209</v>
      </c>
      <c r="Y55" s="359"/>
      <c r="Z55" s="360"/>
      <c r="AA55" s="144"/>
      <c r="AB55" s="144"/>
      <c r="AC55" s="231" t="s">
        <v>582</v>
      </c>
      <c r="AD55" s="232"/>
      <c r="AE55" s="232"/>
      <c r="AF55" s="232"/>
      <c r="AG55" s="145" t="s">
        <v>632</v>
      </c>
      <c r="AH55" s="233">
        <v>44213</v>
      </c>
      <c r="AI55" s="234"/>
      <c r="AJ55" s="235"/>
    </row>
    <row r="56" spans="1:180" ht="15" customHeight="1" thickTop="1" x14ac:dyDescent="0.25">
      <c r="A56" s="57"/>
      <c r="B56" s="57"/>
      <c r="C56" s="57"/>
      <c r="D56" s="57"/>
      <c r="E56" s="58"/>
      <c r="F56" s="59"/>
      <c r="G56" s="79">
        <f>IFERROR(VLOOKUP(VLOOKUP($A$51,Tabulka!$A$42:$B$55,2,FALSE),Tabulka!$B$26:$AK$39,33,FALSE),"")</f>
        <v>5</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10</v>
      </c>
      <c r="Q56" s="79">
        <f>IFERROR(VLOOKUP(VLOOKUP($J$51,Tabulka!$A$42:$B$55,2,FALSE),Tabulka!$B$26:$AK$39,34,FALSE),"")</f>
        <v>1</v>
      </c>
      <c r="R56" s="79">
        <f>IFERROR(VLOOKUP(VLOOKUP($J$51,Tabulka!$A$42:$B$55,2,FALSE),Tabulka!$B$26:$AK$39,35,FALSE),"")</f>
        <v>5</v>
      </c>
      <c r="S56" s="226" t="s">
        <v>46</v>
      </c>
      <c r="T56" s="227"/>
      <c r="U56" s="227"/>
      <c r="V56" s="227"/>
      <c r="W56" s="146" t="s">
        <v>336</v>
      </c>
      <c r="X56" s="228">
        <v>44205</v>
      </c>
      <c r="Y56" s="229"/>
      <c r="Z56" s="230"/>
      <c r="AA56" s="144"/>
      <c r="AB56" s="144"/>
      <c r="AC56" s="351" t="s">
        <v>579</v>
      </c>
      <c r="AD56" s="352"/>
      <c r="AE56" s="352"/>
      <c r="AF56" s="352"/>
      <c r="AG56" s="179" t="s">
        <v>580</v>
      </c>
      <c r="AH56" s="353">
        <v>44184</v>
      </c>
      <c r="AI56" s="354"/>
      <c r="AJ56" s="355"/>
    </row>
    <row r="57" spans="1:180" ht="15" customHeight="1" x14ac:dyDescent="0.25">
      <c r="A57" s="61"/>
      <c r="B57" s="60"/>
      <c r="C57" s="60"/>
      <c r="D57" s="62"/>
      <c r="E57" s="60"/>
      <c r="F57" s="60"/>
      <c r="G57" s="60"/>
      <c r="H57" s="60"/>
      <c r="I57" s="60"/>
      <c r="J57" s="60"/>
      <c r="K57" s="60"/>
      <c r="L57" s="60"/>
      <c r="M57" s="61"/>
      <c r="N57" s="60"/>
      <c r="O57" s="60"/>
      <c r="P57" s="62"/>
      <c r="Q57" s="60"/>
      <c r="R57" s="60"/>
      <c r="S57" s="226" t="s">
        <v>46</v>
      </c>
      <c r="T57" s="227"/>
      <c r="U57" s="227"/>
      <c r="V57" s="227"/>
      <c r="W57" s="146" t="s">
        <v>231</v>
      </c>
      <c r="X57" s="228">
        <v>43877</v>
      </c>
      <c r="Y57" s="229"/>
      <c r="Z57" s="230"/>
      <c r="AA57" s="144"/>
      <c r="AB57" s="144"/>
      <c r="AC57" s="226" t="s">
        <v>579</v>
      </c>
      <c r="AD57" s="227"/>
      <c r="AE57" s="227"/>
      <c r="AF57" s="227"/>
      <c r="AG57" s="146" t="s">
        <v>581</v>
      </c>
      <c r="AH57" s="228">
        <v>43805</v>
      </c>
      <c r="AI57" s="229"/>
      <c r="AJ57" s="230"/>
    </row>
    <row r="58" spans="1:180" ht="15" customHeight="1" thickBot="1" x14ac:dyDescent="0.3">
      <c r="A58" s="61"/>
      <c r="B58" s="60"/>
      <c r="C58" s="60"/>
      <c r="D58" s="62"/>
      <c r="E58" s="60"/>
      <c r="F58" s="60"/>
      <c r="G58" s="60"/>
      <c r="H58" s="60"/>
      <c r="I58" s="60"/>
      <c r="J58" s="60"/>
      <c r="K58" s="60"/>
      <c r="L58" s="60"/>
      <c r="M58" s="61"/>
      <c r="N58" s="60"/>
      <c r="O58" s="60"/>
      <c r="P58" s="62"/>
      <c r="Q58" s="60"/>
      <c r="R58" s="60"/>
      <c r="S58" s="226" t="s">
        <v>232</v>
      </c>
      <c r="T58" s="227"/>
      <c r="U58" s="227"/>
      <c r="V58" s="227"/>
      <c r="W58" s="146" t="s">
        <v>233</v>
      </c>
      <c r="X58" s="228">
        <v>43798</v>
      </c>
      <c r="Y58" s="229"/>
      <c r="Z58" s="230"/>
      <c r="AA58" s="144"/>
      <c r="AB58" s="144"/>
      <c r="AC58" s="226" t="s">
        <v>582</v>
      </c>
      <c r="AD58" s="227"/>
      <c r="AE58" s="227"/>
      <c r="AF58" s="227"/>
      <c r="AG58" s="146" t="s">
        <v>583</v>
      </c>
      <c r="AH58" s="228">
        <v>43729</v>
      </c>
      <c r="AI58" s="229"/>
      <c r="AJ58" s="230"/>
    </row>
    <row r="59" spans="1:180" ht="15" customHeight="1" thickTop="1" thickBot="1" x14ac:dyDescent="0.3">
      <c r="A59" s="295" t="s">
        <v>39</v>
      </c>
      <c r="B59" s="296"/>
      <c r="C59" s="297" t="str">
        <f ca="1">IFERROR(INDIRECT(A$51 &amp; "_nej!B41"),"")</f>
        <v>PP - P - P - V - P - P - P - VP - P - P</v>
      </c>
      <c r="D59" s="297"/>
      <c r="E59" s="297"/>
      <c r="F59" s="297"/>
      <c r="G59" s="297"/>
      <c r="H59" s="298"/>
      <c r="I59" s="60"/>
      <c r="J59" s="299" t="s">
        <v>39</v>
      </c>
      <c r="K59" s="300"/>
      <c r="L59" s="331" t="str">
        <f ca="1">IFERROR(INDIRECT(J$51 &amp; "_nej!B41"),"")</f>
        <v>VP - V - V - V - V - V - V - V - V - V</v>
      </c>
      <c r="M59" s="331"/>
      <c r="N59" s="331"/>
      <c r="O59" s="331"/>
      <c r="P59" s="331"/>
      <c r="Q59" s="332"/>
      <c r="R59" s="60"/>
      <c r="S59" s="226" t="s">
        <v>46</v>
      </c>
      <c r="T59" s="227"/>
      <c r="U59" s="227"/>
      <c r="V59" s="227"/>
      <c r="W59" s="146" t="s">
        <v>234</v>
      </c>
      <c r="X59" s="228">
        <v>43454</v>
      </c>
      <c r="Y59" s="229"/>
      <c r="Z59" s="230"/>
      <c r="AA59" s="144"/>
      <c r="AB59" s="144"/>
      <c r="AC59" s="226" t="s">
        <v>579</v>
      </c>
      <c r="AD59" s="227"/>
      <c r="AE59" s="227"/>
      <c r="AF59" s="227"/>
      <c r="AG59" s="146" t="s">
        <v>584</v>
      </c>
      <c r="AH59" s="228">
        <v>43492</v>
      </c>
      <c r="AI59" s="229"/>
      <c r="AJ59" s="230"/>
    </row>
    <row r="60" spans="1:180" ht="15" customHeight="1" thickTop="1" thickBot="1" x14ac:dyDescent="0.3">
      <c r="A60" s="60"/>
      <c r="B60" s="60"/>
      <c r="C60" s="60"/>
      <c r="D60" s="60"/>
      <c r="E60" s="60"/>
      <c r="F60" s="61"/>
      <c r="G60" s="60"/>
      <c r="H60" s="60"/>
      <c r="I60" s="60"/>
      <c r="J60" s="60"/>
      <c r="K60" s="60"/>
      <c r="L60" s="60"/>
      <c r="M60" s="60"/>
      <c r="N60" s="60"/>
      <c r="O60" s="60"/>
      <c r="P60" s="60"/>
      <c r="Q60" s="60"/>
      <c r="R60" s="61"/>
      <c r="S60" s="226" t="s">
        <v>232</v>
      </c>
      <c r="T60" s="227"/>
      <c r="U60" s="227"/>
      <c r="V60" s="227"/>
      <c r="W60" s="146" t="s">
        <v>235</v>
      </c>
      <c r="X60" s="228">
        <v>43384</v>
      </c>
      <c r="Y60" s="229"/>
      <c r="Z60" s="230"/>
      <c r="AA60" s="144"/>
      <c r="AB60" s="144"/>
      <c r="AC60" s="226" t="s">
        <v>582</v>
      </c>
      <c r="AD60" s="227"/>
      <c r="AE60" s="227"/>
      <c r="AF60" s="227"/>
      <c r="AG60" s="146" t="s">
        <v>585</v>
      </c>
      <c r="AH60" s="228">
        <v>43406</v>
      </c>
      <c r="AI60" s="229"/>
      <c r="AJ60" s="230"/>
    </row>
    <row r="61" spans="1:180" ht="15" customHeight="1" thickTop="1" thickBot="1" x14ac:dyDescent="0.3">
      <c r="A61" s="206" t="s">
        <v>224</v>
      </c>
      <c r="B61" s="207"/>
      <c r="C61" s="207"/>
      <c r="D61" s="208"/>
      <c r="E61" s="287" t="s">
        <v>223</v>
      </c>
      <c r="F61" s="207"/>
      <c r="G61" s="207"/>
      <c r="H61" s="208"/>
      <c r="I61" s="60"/>
      <c r="J61" s="206" t="s">
        <v>224</v>
      </c>
      <c r="K61" s="207"/>
      <c r="L61" s="207"/>
      <c r="M61" s="208"/>
      <c r="N61" s="287" t="s">
        <v>223</v>
      </c>
      <c r="O61" s="207"/>
      <c r="P61" s="207"/>
      <c r="Q61" s="208"/>
      <c r="R61" s="62"/>
      <c r="S61" s="226" t="s">
        <v>232</v>
      </c>
      <c r="T61" s="227"/>
      <c r="U61" s="227"/>
      <c r="V61" s="227"/>
      <c r="W61" s="146" t="s">
        <v>236</v>
      </c>
      <c r="X61" s="228">
        <v>42428</v>
      </c>
      <c r="Y61" s="229"/>
      <c r="Z61" s="230"/>
      <c r="AA61" s="144"/>
      <c r="AB61" s="144"/>
      <c r="AC61" s="226" t="s">
        <v>582</v>
      </c>
      <c r="AD61" s="227"/>
      <c r="AE61" s="227"/>
      <c r="AF61" s="227"/>
      <c r="AG61" s="146" t="s">
        <v>586</v>
      </c>
      <c r="AH61" s="228">
        <v>42351</v>
      </c>
      <c r="AI61" s="229"/>
      <c r="AJ61" s="230"/>
    </row>
    <row r="62" spans="1:180" ht="15" customHeight="1" thickBot="1" x14ac:dyDescent="0.3">
      <c r="A62" s="333" t="str">
        <f ca="1">IFERROR(INDIRECT(A$51 &amp; "_nej!C31"),"")</f>
        <v>MB</v>
      </c>
      <c r="B62" s="334"/>
      <c r="C62" s="329" t="str">
        <f ca="1">IFERROR(INDIRECT(A$51 &amp; "_nej!E31"),"")</f>
        <v>3:7</v>
      </c>
      <c r="D62" s="330"/>
      <c r="E62" s="344" t="str">
        <f ca="1">IFERROR(IF(INDIRECT(A$51 &amp; "_nej!C36")&lt;&gt;0,INDIRECT(A$51 &amp; "_nej!C36"),""),"")</f>
        <v>VIT</v>
      </c>
      <c r="F62" s="334"/>
      <c r="G62" s="329" t="str">
        <f ca="1">IFERROR(IF(INDIRECT(A$51 &amp; "_nej!B36")&lt;&gt;0,INDIRECT(A$51 &amp; "_nej!B36"),""),"")</f>
        <v>21. 2.</v>
      </c>
      <c r="H62" s="330"/>
      <c r="I62" s="60"/>
      <c r="J62" s="333" t="str">
        <f ca="1">IFERROR(INDIRECT(J$51 &amp; "_nej!C31"),"")</f>
        <v>LIB</v>
      </c>
      <c r="K62" s="334"/>
      <c r="L62" s="329" t="str">
        <f ca="1">IFERROR(INDIRECT(J$51 &amp; "_nej!E31"),"")</f>
        <v>9:5</v>
      </c>
      <c r="M62" s="330"/>
      <c r="N62" s="344" t="str">
        <f ca="1">IFERROR(IF(INDIRECT(J$51 &amp; "_nej!C36")&lt;&gt;0,INDIRECT(J$51 &amp; "_nej!C36"),""),"")</f>
        <v>SPA</v>
      </c>
      <c r="O62" s="334"/>
      <c r="P62" s="329" t="str">
        <f ca="1">IFERROR(IF(INDIRECT(J$51 &amp; "_nej!B36")&lt;&gt;0,INDIRECT(J$51 &amp; "_nej!B36"),""),"")</f>
        <v>20. 2.</v>
      </c>
      <c r="Q62" s="330"/>
      <c r="R62" s="60"/>
      <c r="S62" s="375" t="s">
        <v>46</v>
      </c>
      <c r="T62" s="376"/>
      <c r="U62" s="376"/>
      <c r="V62" s="376"/>
      <c r="W62" s="155" t="s">
        <v>237</v>
      </c>
      <c r="X62" s="377">
        <v>42295</v>
      </c>
      <c r="Y62" s="378"/>
      <c r="Z62" s="379"/>
      <c r="AA62" s="144"/>
      <c r="AB62" s="144"/>
      <c r="AC62" s="221" t="s">
        <v>579</v>
      </c>
      <c r="AD62" s="222"/>
      <c r="AE62" s="222"/>
      <c r="AF62" s="222"/>
      <c r="AG62" s="147" t="s">
        <v>587</v>
      </c>
      <c r="AH62" s="223">
        <v>42323</v>
      </c>
      <c r="AI62" s="224"/>
      <c r="AJ62" s="225"/>
    </row>
    <row r="63" spans="1:180" ht="15" customHeight="1" thickTop="1" thickBot="1" x14ac:dyDescent="0.3">
      <c r="A63" s="317" t="str">
        <f ca="1">IFERROR(INDIRECT(A$51 &amp; "_nej!C32"),"")</f>
        <v>PAR</v>
      </c>
      <c r="B63" s="318"/>
      <c r="C63" s="319" t="str">
        <f ca="1">IFERROR(INDIRECT(A$51 &amp; "_nej!E32"),"")</f>
        <v>3:10</v>
      </c>
      <c r="D63" s="320"/>
      <c r="E63" s="322" t="str">
        <f ca="1">IFERROR(IF(INDIRECT(A$51 &amp; "_nej!C37")&lt;&gt;0,INDIRECT(A$51 &amp; "_nej!C37"),""),"")</f>
        <v>SPA</v>
      </c>
      <c r="F63" s="318"/>
      <c r="G63" s="319" t="str">
        <f ca="1">IFERROR(IF(INDIRECT(A$51 &amp; "_nej!B37")&lt;&gt;0,INDIRECT(A$51 &amp; "_nej!B37"),""),"")</f>
        <v>28. 2.</v>
      </c>
      <c r="H63" s="320"/>
      <c r="I63" s="57"/>
      <c r="J63" s="317" t="str">
        <f ca="1">IFERROR(INDIRECT(J$51 &amp; "_nej!C32"),"")</f>
        <v>SKV</v>
      </c>
      <c r="K63" s="318"/>
      <c r="L63" s="319" t="str">
        <f ca="1">IFERROR(INDIRECT(J$51 &amp; "_nej!E32"),"")</f>
        <v>7:3</v>
      </c>
      <c r="M63" s="320"/>
      <c r="N63" s="322" t="str">
        <f ca="1">IFERROR(IF(INDIRECT(J$51 &amp; "_nej!C37")&lt;&gt;0,INDIRECT(J$51 &amp; "_nej!C37"),""),"")</f>
        <v>SPA</v>
      </c>
      <c r="O63" s="318"/>
      <c r="P63" s="319" t="str">
        <f ca="1">IFERROR(IF(INDIRECT(J$51 &amp; "_nej!B37")&lt;&gt;0,INDIRECT(J$51 &amp; "_nej!B37"),""),"")</f>
        <v>22. 2.</v>
      </c>
      <c r="Q63" s="320"/>
      <c r="R63" s="59"/>
      <c r="S63" s="157"/>
      <c r="T63" s="157"/>
      <c r="U63" s="157"/>
      <c r="V63" s="157"/>
      <c r="W63" s="156"/>
      <c r="X63" s="158"/>
      <c r="Y63" s="159"/>
      <c r="Z63" s="159"/>
      <c r="AA63" s="138"/>
      <c r="AB63" s="138"/>
      <c r="AC63" s="138"/>
      <c r="AD63" s="138"/>
      <c r="AE63" s="138"/>
      <c r="AF63" s="138"/>
      <c r="AG63" s="138"/>
      <c r="AH63" s="138"/>
      <c r="AI63" s="138"/>
      <c r="AJ63" s="138"/>
    </row>
    <row r="64" spans="1:180" ht="15" customHeight="1" thickTop="1" thickBot="1" x14ac:dyDescent="0.3">
      <c r="A64" s="337" t="str">
        <f ca="1">IFERROR(INDIRECT(A$51 &amp; "_nej!C33"),"")</f>
        <v>HAT</v>
      </c>
      <c r="B64" s="314"/>
      <c r="C64" s="303" t="str">
        <f ca="1">IFERROR(INDIRECT(A$51 &amp; "_nej!E33"),"")</f>
        <v>5:4p</v>
      </c>
      <c r="D64" s="304"/>
      <c r="E64" s="313" t="str">
        <f ca="1">IFERROR(IF(INDIRECT(A$51 &amp; "_nej!C38")&lt;&gt;0,INDIRECT(A$51 &amp; "_nej!C38"),""),"")</f>
        <v>LIB</v>
      </c>
      <c r="F64" s="314"/>
      <c r="G64" s="303" t="str">
        <f ca="1">IFERROR(IF(INDIRECT(A$51 &amp; "_nej!B38")&lt;&gt;0,INDIRECT(A$51 &amp; "_nej!B38"),""),"")</f>
        <v>7. 3.</v>
      </c>
      <c r="H64" s="304"/>
      <c r="I64" s="60"/>
      <c r="J64" s="337" t="str">
        <f ca="1">IFERROR(INDIRECT(J$51 &amp; "_nej!C33"),"")</f>
        <v>PAR</v>
      </c>
      <c r="K64" s="314"/>
      <c r="L64" s="303" t="str">
        <f ca="1">IFERROR(INDIRECT(J$51 &amp; "_nej!E33"),"")</f>
        <v>12:3</v>
      </c>
      <c r="M64" s="304"/>
      <c r="N64" s="313" t="str">
        <f ca="1">IFERROR(IF(INDIRECT(J$51 &amp; "_nej!C38")&lt;&gt;0,INDIRECT(J$51 &amp; "_nej!C38"),""),"")</f>
        <v>TAT</v>
      </c>
      <c r="O64" s="314"/>
      <c r="P64" s="303" t="str">
        <f ca="1">IFERROR(IF(INDIRECT(J$51 &amp; "_nej!B38")&lt;&gt;0,INDIRECT(J$51 &amp; "_nej!B38"),""),"")</f>
        <v>28. 2.</v>
      </c>
      <c r="Q64" s="304"/>
      <c r="R64" s="60"/>
      <c r="S64" s="206" t="s">
        <v>635</v>
      </c>
      <c r="T64" s="207"/>
      <c r="U64" s="207"/>
      <c r="V64" s="207"/>
      <c r="W64" s="207"/>
      <c r="X64" s="207"/>
      <c r="Y64" s="207"/>
      <c r="Z64" s="208"/>
      <c r="AA64" s="138"/>
      <c r="AB64" s="138"/>
      <c r="AC64" s="206" t="s">
        <v>756</v>
      </c>
      <c r="AD64" s="207"/>
      <c r="AE64" s="207"/>
      <c r="AF64" s="207"/>
      <c r="AG64" s="207"/>
      <c r="AH64" s="207"/>
      <c r="AI64" s="207"/>
      <c r="AJ64" s="208"/>
    </row>
    <row r="65" spans="1:36" ht="15" customHeight="1" x14ac:dyDescent="0.25">
      <c r="A65" s="317" t="str">
        <f ca="1">IFERROR(INDIRECT(A$51 &amp; "_nej!C34"),"")</f>
        <v>BA</v>
      </c>
      <c r="B65" s="318"/>
      <c r="C65" s="319" t="str">
        <f ca="1">IFERROR(INDIRECT(A$51 &amp; "_nej!E34"),"")</f>
        <v>8:13</v>
      </c>
      <c r="D65" s="320"/>
      <c r="E65" s="322" t="str">
        <f ca="1">IFERROR(IF(INDIRECT(A$51 &amp; "_nej!C39")&lt;&gt;0,INDIRECT(A$51 &amp; "_nej!C39"),""),"")</f>
        <v/>
      </c>
      <c r="F65" s="318"/>
      <c r="G65" s="319" t="str">
        <f ca="1">IFERROR(IF(INDIRECT(A$51 &amp; "_nej!B39")&lt;&gt;0,INDIRECT(A$51 &amp; "_nej!B39"),""),"")</f>
        <v/>
      </c>
      <c r="H65" s="320"/>
      <c r="I65" s="57"/>
      <c r="J65" s="317" t="str">
        <f ca="1">IFERROR(INDIRECT(J$51 &amp; "_nej!C34"),"")</f>
        <v>VIT</v>
      </c>
      <c r="K65" s="318"/>
      <c r="L65" s="319" t="str">
        <f ca="1">IFERROR(INDIRECT(J$51 &amp; "_nej!E34"),"")</f>
        <v>6:4</v>
      </c>
      <c r="M65" s="320"/>
      <c r="N65" s="322" t="str">
        <f ca="1">IFERROR(IF(INDIRECT(J$51 &amp; "_nej!C39")&lt;&gt;0,INDIRECT(J$51 &amp; "_nej!C39"),""),"")</f>
        <v>OTR</v>
      </c>
      <c r="O65" s="318"/>
      <c r="P65" s="319" t="str">
        <f ca="1">IFERROR(IF(INDIRECT(J$51 &amp; "_nej!B39")&lt;&gt;0,INDIRECT(J$51 &amp; "_nej!B39"),""),"")</f>
        <v>7. 3.</v>
      </c>
      <c r="Q65" s="320"/>
      <c r="R65" s="60"/>
      <c r="S65" s="356" t="s">
        <v>635</v>
      </c>
      <c r="T65" s="357"/>
      <c r="U65" s="357"/>
      <c r="V65" s="357"/>
      <c r="W65" s="154" t="s">
        <v>655</v>
      </c>
      <c r="X65" s="358">
        <v>44218</v>
      </c>
      <c r="Y65" s="359"/>
      <c r="Z65" s="360"/>
      <c r="AA65" s="138"/>
      <c r="AB65" s="138"/>
      <c r="AC65" s="209" t="s">
        <v>756</v>
      </c>
      <c r="AD65" s="210"/>
      <c r="AE65" s="210"/>
      <c r="AF65" s="211"/>
      <c r="AG65" s="195" t="s">
        <v>903</v>
      </c>
      <c r="AH65" s="212">
        <v>44239</v>
      </c>
      <c r="AI65" s="213"/>
      <c r="AJ65" s="214"/>
    </row>
    <row r="66" spans="1:36" ht="15" customHeight="1" thickBot="1" x14ac:dyDescent="0.3">
      <c r="A66" s="321" t="str">
        <f ca="1">IFERROR(INDIRECT(A$51 &amp; "_nej!C35"),"")</f>
        <v>BOH</v>
      </c>
      <c r="B66" s="306"/>
      <c r="C66" s="310" t="str">
        <f ca="1">IFERROR(INDIRECT(A$51 &amp; "_nej!E35"),"")</f>
        <v>5:14</v>
      </c>
      <c r="D66" s="311"/>
      <c r="E66" s="305" t="str">
        <f ca="1">IFERROR(IF(INDIRECT(A$51 &amp; "_nej!C40")&lt;&gt;0,INDIRECT(A$51 &amp; "_nej!C40"),""),"")</f>
        <v/>
      </c>
      <c r="F66" s="306"/>
      <c r="G66" s="310" t="str">
        <f ca="1">IFERROR(IF(INDIRECT(A$51 &amp; "_nej!B40")&lt;&gt;0,INDIRECT(A$51 &amp; "_nej!B40"),""),"")</f>
        <v/>
      </c>
      <c r="H66" s="311"/>
      <c r="I66" s="60"/>
      <c r="J66" s="321" t="str">
        <f ca="1">IFERROR(INDIRECT(J$51 &amp; "_nej!C35"),"")</f>
        <v>CHO</v>
      </c>
      <c r="K66" s="306"/>
      <c r="L66" s="310" t="str">
        <f ca="1">IFERROR(INDIRECT(J$51 &amp; "_nej!E35"),"")</f>
        <v>8:3</v>
      </c>
      <c r="M66" s="311"/>
      <c r="N66" s="305" t="str">
        <f ca="1">IFERROR(IF(INDIRECT(J$51 &amp; "_nej!C40")&lt;&gt;0,INDIRECT(J$51 &amp; "_nej!C40"),""),"")</f>
        <v/>
      </c>
      <c r="O66" s="306"/>
      <c r="P66" s="310" t="str">
        <f ca="1">IFERROR(IF(INDIRECT(J$51 &amp; "_nej!B40")&lt;&gt;0,INDIRECT(J$51 &amp; "_nej!B40"),""),"")</f>
        <v/>
      </c>
      <c r="Q66" s="311"/>
      <c r="R66" s="61"/>
      <c r="S66" s="226" t="s">
        <v>633</v>
      </c>
      <c r="T66" s="227"/>
      <c r="U66" s="227"/>
      <c r="V66" s="227"/>
      <c r="W66" s="146" t="s">
        <v>634</v>
      </c>
      <c r="X66" s="228">
        <v>44216</v>
      </c>
      <c r="Y66" s="229"/>
      <c r="Z66" s="230"/>
      <c r="AA66" s="138"/>
      <c r="AB66" s="138"/>
      <c r="AC66" s="215" t="s">
        <v>757</v>
      </c>
      <c r="AD66" s="216"/>
      <c r="AE66" s="216"/>
      <c r="AF66" s="217"/>
      <c r="AG66" s="193" t="s">
        <v>584</v>
      </c>
      <c r="AH66" s="218">
        <v>44199</v>
      </c>
      <c r="AI66" s="219"/>
      <c r="AJ66" s="220"/>
    </row>
    <row r="67" spans="1:36" ht="15" customHeight="1" thickTop="1" x14ac:dyDescent="0.25">
      <c r="A67" s="60"/>
      <c r="B67" s="60"/>
      <c r="C67" s="60"/>
      <c r="D67" s="60"/>
      <c r="E67" s="60"/>
      <c r="F67" s="60"/>
      <c r="G67" s="60"/>
      <c r="H67" s="60"/>
      <c r="I67" s="60"/>
      <c r="J67" s="60"/>
      <c r="K67" s="60"/>
      <c r="L67" s="60"/>
      <c r="M67" s="60"/>
      <c r="N67" s="60"/>
      <c r="O67" s="60"/>
      <c r="P67" s="60"/>
      <c r="Q67" s="60"/>
      <c r="R67" s="60"/>
      <c r="S67" s="226" t="s">
        <v>635</v>
      </c>
      <c r="T67" s="227"/>
      <c r="U67" s="227"/>
      <c r="V67" s="227"/>
      <c r="W67" s="146" t="s">
        <v>636</v>
      </c>
      <c r="X67" s="228">
        <v>43821</v>
      </c>
      <c r="Y67" s="229"/>
      <c r="Z67" s="230"/>
      <c r="AA67" s="138"/>
      <c r="AB67" s="138"/>
      <c r="AC67" s="215" t="s">
        <v>757</v>
      </c>
      <c r="AD67" s="216"/>
      <c r="AE67" s="216"/>
      <c r="AF67" s="217"/>
      <c r="AG67" s="193" t="s">
        <v>758</v>
      </c>
      <c r="AH67" s="218">
        <v>43898</v>
      </c>
      <c r="AI67" s="219"/>
      <c r="AJ67" s="220"/>
    </row>
    <row r="68" spans="1:36" ht="15" customHeight="1" x14ac:dyDescent="0.25">
      <c r="A68" s="60"/>
      <c r="B68" s="60"/>
      <c r="C68" s="60"/>
      <c r="D68" s="60"/>
      <c r="E68" s="60"/>
      <c r="F68" s="60"/>
      <c r="G68" s="60"/>
      <c r="H68" s="60"/>
      <c r="I68" s="60"/>
      <c r="J68" s="60"/>
      <c r="K68" s="60"/>
      <c r="L68" s="60"/>
      <c r="M68" s="60"/>
      <c r="N68" s="60"/>
      <c r="O68" s="60"/>
      <c r="P68" s="60"/>
      <c r="Q68" s="60"/>
      <c r="R68" s="60"/>
      <c r="S68" s="226" t="s">
        <v>633</v>
      </c>
      <c r="T68" s="227"/>
      <c r="U68" s="227"/>
      <c r="V68" s="227"/>
      <c r="W68" s="146" t="s">
        <v>637</v>
      </c>
      <c r="X68" s="228">
        <v>43751</v>
      </c>
      <c r="Y68" s="229"/>
      <c r="Z68" s="230"/>
      <c r="AA68" s="138"/>
      <c r="AB68" s="138"/>
      <c r="AC68" s="215" t="s">
        <v>757</v>
      </c>
      <c r="AD68" s="216"/>
      <c r="AE68" s="216"/>
      <c r="AF68" s="217"/>
      <c r="AG68" s="193" t="s">
        <v>758</v>
      </c>
      <c r="AH68" s="218">
        <v>43897</v>
      </c>
      <c r="AI68" s="219"/>
      <c r="AJ68" s="220"/>
    </row>
    <row r="69" spans="1:36" ht="15" customHeight="1" thickBot="1" x14ac:dyDescent="0.3">
      <c r="A69" s="312" t="s">
        <v>225</v>
      </c>
      <c r="B69" s="312"/>
      <c r="C69" s="312"/>
      <c r="D69" s="312"/>
      <c r="E69" s="312"/>
      <c r="F69" s="312"/>
      <c r="G69" s="312"/>
      <c r="H69" s="312"/>
      <c r="I69" s="312"/>
      <c r="J69" s="312"/>
      <c r="K69" s="312"/>
      <c r="L69" s="312"/>
      <c r="M69" s="312"/>
      <c r="N69" s="312"/>
      <c r="O69" s="312"/>
      <c r="P69" s="312"/>
      <c r="Q69" s="312"/>
      <c r="R69" s="312"/>
      <c r="S69" s="226" t="s">
        <v>635</v>
      </c>
      <c r="T69" s="227"/>
      <c r="U69" s="227"/>
      <c r="V69" s="227"/>
      <c r="W69" s="146" t="s">
        <v>638</v>
      </c>
      <c r="X69" s="228">
        <v>43520</v>
      </c>
      <c r="Y69" s="229"/>
      <c r="Z69" s="230"/>
      <c r="AA69" s="138"/>
      <c r="AB69" s="138"/>
      <c r="AC69" s="215" t="s">
        <v>756</v>
      </c>
      <c r="AD69" s="216"/>
      <c r="AE69" s="216"/>
      <c r="AF69" s="217"/>
      <c r="AG69" s="193" t="s">
        <v>760</v>
      </c>
      <c r="AH69" s="218">
        <v>43793</v>
      </c>
      <c r="AI69" s="219"/>
      <c r="AJ69" s="220"/>
    </row>
    <row r="70" spans="1:36" ht="15" customHeight="1" thickTop="1" thickBot="1" x14ac:dyDescent="0.3">
      <c r="A70" s="206" t="s">
        <v>226</v>
      </c>
      <c r="B70" s="207"/>
      <c r="C70" s="336"/>
      <c r="D70" s="345" t="s">
        <v>227</v>
      </c>
      <c r="E70" s="207"/>
      <c r="F70" s="346"/>
      <c r="G70" s="287" t="s">
        <v>228</v>
      </c>
      <c r="H70" s="207"/>
      <c r="I70" s="208"/>
      <c r="J70" s="283" t="s">
        <v>226</v>
      </c>
      <c r="K70" s="284"/>
      <c r="L70" s="347"/>
      <c r="M70" s="324" t="s">
        <v>227</v>
      </c>
      <c r="N70" s="284"/>
      <c r="O70" s="325"/>
      <c r="P70" s="307" t="s">
        <v>228</v>
      </c>
      <c r="Q70" s="284"/>
      <c r="R70" s="308"/>
      <c r="S70" s="226" t="s">
        <v>633</v>
      </c>
      <c r="T70" s="227"/>
      <c r="U70" s="227"/>
      <c r="V70" s="227"/>
      <c r="W70" s="146" t="s">
        <v>639</v>
      </c>
      <c r="X70" s="228">
        <v>43409</v>
      </c>
      <c r="Y70" s="229"/>
      <c r="Z70" s="230"/>
      <c r="AA70" s="138"/>
      <c r="AB70" s="138"/>
      <c r="AC70" s="215" t="s">
        <v>757</v>
      </c>
      <c r="AD70" s="216"/>
      <c r="AE70" s="216"/>
      <c r="AF70" s="217"/>
      <c r="AG70" s="193" t="s">
        <v>759</v>
      </c>
      <c r="AH70" s="218">
        <v>43727</v>
      </c>
      <c r="AI70" s="219"/>
      <c r="AJ70" s="220"/>
    </row>
    <row r="71" spans="1:36" ht="15" customHeight="1" x14ac:dyDescent="0.25">
      <c r="A71" s="342" t="str">
        <f ca="1">IFERROR(VLOOKUP(INDIRECT(A$51 &amp; "_nej!D1"), INDIRECT(A$51 &amp; "!B48:AA82"),19,FALSE),"")</f>
        <v>Strachota</v>
      </c>
      <c r="B71" s="316"/>
      <c r="C71" s="101">
        <f ca="1">IFERROR(INDIRECT(A$51 &amp; "_nej!C1"),"")</f>
        <v>28</v>
      </c>
      <c r="D71" s="315" t="str">
        <f ca="1">IFERROR(VLOOKUP(INDIRECT(A$51 &amp; "_nej!D11"), INDIRECT(A$51 &amp; "!B48:AA82"),19,FALSE),"")</f>
        <v>Gregor</v>
      </c>
      <c r="E71" s="316"/>
      <c r="F71" s="101">
        <f ca="1">IFERROR(INDIRECT(A$51 &amp; "_nej!C11"),"")</f>
        <v>19</v>
      </c>
      <c r="G71" s="315" t="str">
        <f ca="1">IFERROR(VLOOKUP(INDIRECT(A$51 &amp; "_nej!D21"), INDIRECT(A$51 &amp; "!B48:AA82"),19,FALSE),"")</f>
        <v>Stuchlík Z.</v>
      </c>
      <c r="H71" s="316"/>
      <c r="I71" s="101">
        <f ca="1">IFERROR(INDIRECT(A$51 &amp; "_nej!C21"),"")</f>
        <v>12</v>
      </c>
      <c r="J71" s="343" t="str">
        <f ca="1">IFERROR(VLOOKUP(INDIRECT(J$51 &amp; "_nej!D1"), INDIRECT(J$51 &amp; "!B48:AA82"),19,FALSE),"")</f>
        <v>Curney</v>
      </c>
      <c r="K71" s="289"/>
      <c r="L71" s="103">
        <f ca="1">IFERROR(INDIRECT(J$51 &amp; "_nej!C1"),"")</f>
        <v>48</v>
      </c>
      <c r="M71" s="288" t="str">
        <f ca="1">IFERROR(VLOOKUP(INDIRECT(J$51 &amp; "_nej!D11"), INDIRECT(J$51 &amp; "!B48:AA82"),19,FALSE),"")</f>
        <v>Bína</v>
      </c>
      <c r="N71" s="289"/>
      <c r="O71" s="103">
        <f ca="1">IFERROR(INDIRECT(J$51 &amp; "_nej!C11"),"")</f>
        <v>30</v>
      </c>
      <c r="P71" s="288" t="str">
        <f ca="1">IFERROR(VLOOKUP(INDIRECT(J$51 &amp; "_nej!D21"), INDIRECT(J$51 &amp; "!B48:AA82"),19,FALSE),"")</f>
        <v>Curney</v>
      </c>
      <c r="Q71" s="289"/>
      <c r="R71" s="160">
        <f ca="1">IFERROR(INDIRECT(J$51 &amp; "_nej!C21"),"")</f>
        <v>29</v>
      </c>
      <c r="S71" s="226" t="s">
        <v>633</v>
      </c>
      <c r="T71" s="227"/>
      <c r="U71" s="227"/>
      <c r="V71" s="227"/>
      <c r="W71" s="146" t="s">
        <v>584</v>
      </c>
      <c r="X71" s="228">
        <v>42359</v>
      </c>
      <c r="Y71" s="229"/>
      <c r="Z71" s="230"/>
      <c r="AA71" s="138"/>
      <c r="AB71" s="138"/>
      <c r="AC71" s="215" t="s">
        <v>756</v>
      </c>
      <c r="AD71" s="216"/>
      <c r="AE71" s="216"/>
      <c r="AF71" s="217"/>
      <c r="AG71" s="193" t="s">
        <v>761</v>
      </c>
      <c r="AH71" s="218">
        <v>43484</v>
      </c>
      <c r="AI71" s="219"/>
      <c r="AJ71" s="220"/>
    </row>
    <row r="72" spans="1:36" ht="15" customHeight="1" thickBot="1" x14ac:dyDescent="0.3">
      <c r="A72" s="323" t="str">
        <f ca="1">IFERROR(VLOOKUP(INDIRECT(A$51 &amp; "_nej!D2"), INDIRECT(A$51 &amp; "!B48:AA82"),19,FALSE),"")</f>
        <v>Gregor</v>
      </c>
      <c r="B72" s="302"/>
      <c r="C72" s="80">
        <f ca="1">IFERROR(INDIRECT(A$51 &amp; "_nej!C2"),"")</f>
        <v>24</v>
      </c>
      <c r="D72" s="301" t="str">
        <f ca="1">IFERROR(VLOOKUP(INDIRECT(A$51 &amp; "_nej!D12"), INDIRECT(A$51 &amp; "!B48:AA82"),19,FALSE),"")</f>
        <v>Strachota</v>
      </c>
      <c r="E72" s="302"/>
      <c r="F72" s="82">
        <f ca="1">IFERROR(INDIRECT(A$51 &amp; "_nej!C12"),"")</f>
        <v>17</v>
      </c>
      <c r="G72" s="309" t="str">
        <f ca="1">IFERROR(VLOOKUP(INDIRECT(A$51 &amp; "_nej!D22"), INDIRECT(A$51 &amp; "!B48:AA82"),19,FALSE),"")</f>
        <v>Strachota</v>
      </c>
      <c r="H72" s="302"/>
      <c r="I72" s="129">
        <f ca="1">IFERROR(INDIRECT(A$51 &amp; "_nej!C22"),"")</f>
        <v>11</v>
      </c>
      <c r="J72" s="290" t="str">
        <f ca="1">IFERROR(VLOOKUP(INDIRECT(J$51 &amp; "_nej!D2"), INDIRECT(J$51 &amp; "!B48:AA82"),19,FALSE),"")</f>
        <v>Natov</v>
      </c>
      <c r="K72" s="291"/>
      <c r="L72" s="84">
        <f ca="1">IFERROR(INDIRECT(J$51 &amp; "_nej!C2"),"")</f>
        <v>35</v>
      </c>
      <c r="M72" s="292" t="str">
        <f ca="1">IFERROR(VLOOKUP(INDIRECT(J$51 &amp; "_nej!D12"), INDIRECT(J$51 &amp; "!B48:AA82"),19,FALSE),"")</f>
        <v>Natov</v>
      </c>
      <c r="N72" s="291"/>
      <c r="O72" s="85">
        <f ca="1">IFERROR(INDIRECT(J$51 &amp; "_nej!C12"),"")</f>
        <v>23</v>
      </c>
      <c r="P72" s="338" t="str">
        <f ca="1">IFERROR(VLOOKUP(INDIRECT(J$51 &amp; "_nej!D22"), INDIRECT(J$51 &amp; "!B48:AA82"),19,FALSE),"")</f>
        <v>Šebek</v>
      </c>
      <c r="Q72" s="291"/>
      <c r="R72" s="86">
        <f ca="1">IFERROR(INDIRECT(J$51 &amp; "_nej!C22"),"")</f>
        <v>16</v>
      </c>
      <c r="S72" s="221" t="s">
        <v>635</v>
      </c>
      <c r="T72" s="222"/>
      <c r="U72" s="222"/>
      <c r="V72" s="222"/>
      <c r="W72" s="147" t="s">
        <v>640</v>
      </c>
      <c r="X72" s="223">
        <v>42267</v>
      </c>
      <c r="Y72" s="224"/>
      <c r="Z72" s="225"/>
      <c r="AA72" s="138"/>
      <c r="AB72" s="138"/>
      <c r="AC72" s="221" t="s">
        <v>757</v>
      </c>
      <c r="AD72" s="222"/>
      <c r="AE72" s="222"/>
      <c r="AF72" s="222"/>
      <c r="AG72" s="194" t="s">
        <v>336</v>
      </c>
      <c r="AH72" s="223">
        <v>43368</v>
      </c>
      <c r="AI72" s="224"/>
      <c r="AJ72" s="225"/>
    </row>
    <row r="73" spans="1:36" ht="15" customHeight="1" thickTop="1" x14ac:dyDescent="0.25">
      <c r="A73" s="323" t="str">
        <f ca="1">IFERROR(VLOOKUP(INDIRECT(A$51 &amp; "_nej!D3"), INDIRECT(A$51 &amp; "!B48:AA82"),19,FALSE),"")</f>
        <v>Bína</v>
      </c>
      <c r="B73" s="302"/>
      <c r="C73" s="80">
        <f ca="1">IFERROR(INDIRECT(A$51 &amp; "_nej!C3"),"")</f>
        <v>18</v>
      </c>
      <c r="D73" s="301" t="str">
        <f ca="1">IFERROR(VLOOKUP(INDIRECT(A$51 &amp; "_nej!D13"), INDIRECT(A$51 &amp; "!B48:AA82"),19,FALSE),"")</f>
        <v>Bína</v>
      </c>
      <c r="E73" s="302"/>
      <c r="F73" s="82">
        <f ca="1">IFERROR(INDIRECT(A$51 &amp; "_nej!C13"),"")</f>
        <v>10</v>
      </c>
      <c r="G73" s="309" t="str">
        <f ca="1">IFERROR(VLOOKUP(INDIRECT(A$51 &amp; "_nej!D23"), INDIRECT(A$51 &amp; "!B48:AA82"),19,FALSE),"")</f>
        <v>Procházka</v>
      </c>
      <c r="H73" s="302"/>
      <c r="I73" s="129">
        <f ca="1">IFERROR(INDIRECT(A$51 &amp; "_nej!C23"),"")</f>
        <v>9</v>
      </c>
      <c r="J73" s="290" t="str">
        <f ca="1">IFERROR(VLOOKUP(INDIRECT(J$51 &amp; "_nej!D3"), INDIRECT(J$51 &amp; "!B48:AA82"),19,FALSE),"")</f>
        <v>Bína</v>
      </c>
      <c r="K73" s="291"/>
      <c r="L73" s="84">
        <f ca="1">IFERROR(INDIRECT(J$51 &amp; "_nej!C3"),"")</f>
        <v>34</v>
      </c>
      <c r="M73" s="292" t="str">
        <f ca="1">IFERROR(VLOOKUP(INDIRECT(J$51 &amp; "_nej!D13"), INDIRECT(J$51 &amp; "!B48:AA82"),19,FALSE),"")</f>
        <v>Tokoš</v>
      </c>
      <c r="N73" s="291"/>
      <c r="O73" s="85">
        <f ca="1">IFERROR(INDIRECT(J$51 &amp; "_nej!C13"),"")</f>
        <v>20</v>
      </c>
      <c r="P73" s="338" t="str">
        <f ca="1">IFERROR(VLOOKUP(INDIRECT(J$51 &amp; "_nej!D23"), INDIRECT(J$51 &amp; "!B48:AA82"),19,FALSE),"")</f>
        <v>Tomašík</v>
      </c>
      <c r="Q73" s="291"/>
      <c r="R73" s="86">
        <f ca="1">IFERROR(INDIRECT(J$51 &amp; "_nej!C23"),"")</f>
        <v>15</v>
      </c>
      <c r="AA73" s="138"/>
      <c r="AB73" s="138"/>
      <c r="AC73" s="181"/>
      <c r="AD73" s="181"/>
      <c r="AE73" s="181"/>
      <c r="AF73" s="181"/>
      <c r="AG73" s="182"/>
      <c r="AH73" s="183"/>
      <c r="AI73" s="184"/>
      <c r="AJ73" s="184"/>
    </row>
    <row r="74" spans="1:36" ht="15" customHeight="1" x14ac:dyDescent="0.25">
      <c r="A74" s="323" t="str">
        <f ca="1">IFERROR(VLOOKUP(INDIRECT(A$51 &amp; "_nej!D4"), INDIRECT(A$51 &amp; "!B48:AA82"),19,FALSE),"")</f>
        <v>Stuchlík Z.</v>
      </c>
      <c r="B74" s="302"/>
      <c r="C74" s="80">
        <f ca="1">IFERROR(INDIRECT(A$51 &amp; "_nej!C4"),"")</f>
        <v>17</v>
      </c>
      <c r="D74" s="301" t="str">
        <f ca="1">IFERROR(VLOOKUP(INDIRECT(A$51 &amp; "_nej!D14"), INDIRECT(A$51 &amp; "!B48:AA82"),19,FALSE),"")</f>
        <v>Stuchlík O.</v>
      </c>
      <c r="E74" s="302"/>
      <c r="F74" s="82">
        <f ca="1">IFERROR(INDIRECT(A$51 &amp; "_nej!C14"),"")</f>
        <v>8</v>
      </c>
      <c r="G74" s="309" t="str">
        <f ca="1">IFERROR(VLOOKUP(INDIRECT(A$51 &amp; "_nej!D24"), INDIRECT(A$51 &amp; "!B48:AA82"),19,FALSE),"")</f>
        <v>Bína</v>
      </c>
      <c r="H74" s="302"/>
      <c r="I74" s="129">
        <f ca="1">IFERROR(INDIRECT(A$51 &amp; "_nej!C24"),"")</f>
        <v>8</v>
      </c>
      <c r="J74" s="290" t="str">
        <f ca="1">IFERROR(VLOOKUP(INDIRECT(J$51 &amp; "_nej!D4"), INDIRECT(J$51 &amp; "!B48:AA82"),19,FALSE),"")</f>
        <v>Tokoš</v>
      </c>
      <c r="K74" s="291"/>
      <c r="L74" s="84">
        <f ca="1">IFERROR(INDIRECT(J$51 &amp; "_nej!C4"),"")</f>
        <v>29</v>
      </c>
      <c r="M74" s="292" t="str">
        <f ca="1">IFERROR(VLOOKUP(INDIRECT(J$51 &amp; "_nej!D14"), INDIRECT(J$51 &amp; "!B48:AA82"),19,FALSE),"")</f>
        <v>Curney</v>
      </c>
      <c r="N74" s="291"/>
      <c r="O74" s="85">
        <f ca="1">IFERROR(INDIRECT(J$51 &amp; "_nej!C14"),"")</f>
        <v>19</v>
      </c>
      <c r="P74" s="338" t="str">
        <f ca="1">IFERROR(VLOOKUP(INDIRECT(J$51 &amp; "_nej!D24"), INDIRECT(J$51 &amp; "!B48:AA82"),19,FALSE),"")</f>
        <v>Krzyžanek</v>
      </c>
      <c r="Q74" s="291"/>
      <c r="R74" s="86">
        <f ca="1">IFERROR(INDIRECT(J$51 &amp; "_nej!C24"),"")</f>
        <v>14</v>
      </c>
      <c r="AA74" s="138"/>
      <c r="AB74" s="138"/>
      <c r="AC74" s="138"/>
      <c r="AD74" s="138"/>
      <c r="AE74" s="138"/>
      <c r="AF74" s="138"/>
      <c r="AG74" s="138"/>
      <c r="AH74" s="138"/>
      <c r="AI74" s="138"/>
      <c r="AJ74" s="138"/>
    </row>
    <row r="75" spans="1:36" ht="15" customHeight="1" thickBot="1" x14ac:dyDescent="0.3">
      <c r="A75" s="326" t="str">
        <f ca="1">IFERROR(VLOOKUP(INDIRECT(A$51 &amp; "_nej!D5"), INDIRECT(A$51 &amp; "!B48:AA82"),19,FALSE),"")</f>
        <v>Stuchlík O.</v>
      </c>
      <c r="B75" s="327"/>
      <c r="C75" s="81">
        <f ca="1">IFERROR(INDIRECT(A$51 &amp; "_nej!C5"),"")</f>
        <v>14</v>
      </c>
      <c r="D75" s="339" t="str">
        <f ca="1">IFERROR(VLOOKUP(INDIRECT(A$51 &amp; "_nej!D15"), INDIRECT(A$51 &amp; "!B48:AA82"),19,FALSE),"")</f>
        <v>Hartman</v>
      </c>
      <c r="E75" s="327"/>
      <c r="F75" s="83">
        <f ca="1">IFERROR(INDIRECT(A$51 &amp; "_nej!C15"),"")</f>
        <v>8</v>
      </c>
      <c r="G75" s="340" t="str">
        <f ca="1">IFERROR(VLOOKUP(INDIRECT(A$51 &amp; "_nej!D25"), INDIRECT(A$51 &amp; "!B48:AA82"),19,FALSE),"")</f>
        <v>Hájek</v>
      </c>
      <c r="H75" s="327"/>
      <c r="I75" s="130">
        <f ca="1">IFERROR(INDIRECT(A$51 &amp; "_nej!C25"),"")</f>
        <v>8</v>
      </c>
      <c r="J75" s="341" t="str">
        <f ca="1">IFERROR(VLOOKUP(INDIRECT(J$51 &amp; "_nej!D5"), INDIRECT(J$51 &amp; "!B48:AA82"),19,FALSE),"")</f>
        <v>Šebek</v>
      </c>
      <c r="K75" s="294"/>
      <c r="L75" s="87">
        <f ca="1">IFERROR(INDIRECT(J$51 &amp; "_nej!C5"),"")</f>
        <v>28</v>
      </c>
      <c r="M75" s="328" t="str">
        <f ca="1">IFERROR(VLOOKUP(INDIRECT(J$51 &amp; "_nej!D15"), INDIRECT(J$51 &amp; "!B48:AA82"),19,FALSE),"")</f>
        <v>Šebek</v>
      </c>
      <c r="N75" s="294"/>
      <c r="O75" s="88">
        <f ca="1">IFERROR(INDIRECT(J$51 &amp; "_nej!C15"),"")</f>
        <v>12</v>
      </c>
      <c r="P75" s="293" t="str">
        <f ca="1">IFERROR(VLOOKUP(INDIRECT(J$51 &amp; "_nej!D25"), INDIRECT(J$51 &amp; "!B48:AA82"),19,FALSE),"")</f>
        <v>Natov</v>
      </c>
      <c r="Q75" s="294"/>
      <c r="R75" s="98">
        <f ca="1">IFERROR(INDIRECT(J$51 &amp; "_nej!C25"),"")</f>
        <v>12</v>
      </c>
      <c r="AA75" s="138"/>
      <c r="AB75" s="138"/>
      <c r="AC75" s="138"/>
      <c r="AD75" s="138"/>
      <c r="AE75" s="138"/>
      <c r="AF75" s="138"/>
      <c r="AG75" s="138"/>
      <c r="AH75" s="138"/>
      <c r="AI75" s="138"/>
      <c r="AJ75" s="138"/>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8"/>
      <c r="AB76" s="138"/>
      <c r="AC76" s="138"/>
      <c r="AD76" s="138"/>
      <c r="AE76" s="138"/>
      <c r="AF76" s="138"/>
      <c r="AG76" s="138"/>
      <c r="AH76" s="138"/>
      <c r="AI76" s="138"/>
      <c r="AJ76" s="138"/>
    </row>
    <row r="77" spans="1:36" ht="15" customHeight="1" thickTop="1" thickBot="1" x14ac:dyDescent="0.3">
      <c r="A77" s="206" t="s">
        <v>229</v>
      </c>
      <c r="B77" s="207"/>
      <c r="C77" s="336"/>
      <c r="D77" s="345" t="s">
        <v>90</v>
      </c>
      <c r="E77" s="207"/>
      <c r="F77" s="346"/>
      <c r="G77" s="287" t="s">
        <v>230</v>
      </c>
      <c r="H77" s="207"/>
      <c r="I77" s="208"/>
      <c r="J77" s="283" t="s">
        <v>229</v>
      </c>
      <c r="K77" s="284"/>
      <c r="L77" s="347"/>
      <c r="M77" s="324" t="s">
        <v>90</v>
      </c>
      <c r="N77" s="284"/>
      <c r="O77" s="325"/>
      <c r="P77" s="307" t="s">
        <v>230</v>
      </c>
      <c r="Q77" s="284"/>
      <c r="R77" s="308"/>
      <c r="AA77" s="144"/>
      <c r="AB77" s="144"/>
      <c r="AC77" s="144"/>
      <c r="AD77" s="144"/>
      <c r="AE77" s="144"/>
      <c r="AF77" s="144"/>
      <c r="AG77" s="144"/>
      <c r="AH77" s="144"/>
      <c r="AI77" s="144"/>
      <c r="AJ77" s="144"/>
    </row>
    <row r="78" spans="1:36" ht="15" customHeight="1" x14ac:dyDescent="0.25">
      <c r="A78" s="342" t="str">
        <f ca="1">IFERROR(VLOOKUP(INDIRECT(A$51 &amp; "_nej!D26"), INDIRECT(A$51 &amp; "!B48:AA82"),19,FALSE),"")</f>
        <v>Stuchlík Z.</v>
      </c>
      <c r="B78" s="316"/>
      <c r="C78" s="101">
        <f ca="1">IFERROR(INDIRECT(A$51 &amp; "_nej!C26"),"")</f>
        <v>11</v>
      </c>
      <c r="D78" s="315" t="str">
        <f ca="1">IFERROR(VLOOKUP(INDIRECT(A$51 &amp; "_nej!D6"), INDIRECT(A$51 &amp; "!B48:AA82"),19,FALSE),"")</f>
        <v>Šantora</v>
      </c>
      <c r="E78" s="316"/>
      <c r="F78" s="116">
        <f ca="1">IFERROR(INDIRECT(A$51 &amp; "_nej!F6"),"")</f>
        <v>6.78</v>
      </c>
      <c r="G78" s="315" t="str">
        <f ca="1">IFERROR(VLOOKUP(INDIRECT(A$51 &amp; "_nej!D16"), INDIRECT(A$51 &amp; "!B48:AA82"),19,FALSE),"")</f>
        <v>Šantora</v>
      </c>
      <c r="H78" s="316"/>
      <c r="I78" s="101">
        <f ca="1">IFERROR(INDIRECT(A$51 &amp; "_nej!F16"),"")</f>
        <v>4</v>
      </c>
      <c r="J78" s="343" t="str">
        <f ca="1">IFERROR(VLOOKUP(INDIRECT(J$51 &amp; "_nej!D26"), INDIRECT(J$51 &amp; "!B48:AA82"),19,FALSE),"")</f>
        <v>Tokoš</v>
      </c>
      <c r="K78" s="289"/>
      <c r="L78" s="103">
        <f ca="1">IFERROR(INDIRECT(J$51 &amp; "_nej!C26"),"")</f>
        <v>20</v>
      </c>
      <c r="M78" s="288" t="str">
        <f ca="1">IFERROR(VLOOKUP(INDIRECT(J$51 &amp; "_nej!D6"), INDIRECT(J$51 &amp; "!B48:AA82"),19,FALSE),"")</f>
        <v>Bauer</v>
      </c>
      <c r="N78" s="289"/>
      <c r="O78" s="114">
        <f ca="1">IFERROR(INDIRECT(J$51 &amp; "_nej!F6"),"")</f>
        <v>3.47</v>
      </c>
      <c r="P78" s="288" t="str">
        <f ca="1">IFERROR(VLOOKUP(INDIRECT(J$51 &amp; "_nej!D16"), INDIRECT(J$51 &amp; "!B48:AA82"),19,FALSE),"")</f>
        <v>Bauer</v>
      </c>
      <c r="Q78" s="289"/>
      <c r="R78" s="160">
        <f ca="1">IFERROR(INDIRECT(J$51 &amp; "_nej!F16"),"")</f>
        <v>18</v>
      </c>
      <c r="AA78" s="144"/>
      <c r="AB78" s="144"/>
      <c r="AC78" s="144"/>
      <c r="AD78" s="144"/>
      <c r="AE78" s="144"/>
      <c r="AF78" s="144"/>
      <c r="AG78" s="144"/>
      <c r="AH78" s="144"/>
      <c r="AI78" s="144"/>
      <c r="AJ78" s="144"/>
    </row>
    <row r="79" spans="1:36" ht="15" customHeight="1" x14ac:dyDescent="0.25">
      <c r="A79" s="323" t="str">
        <f ca="1">IFERROR(VLOOKUP(INDIRECT(A$51 &amp; "_nej!D27"), INDIRECT(A$51 &amp; "!B48:AA82"),19,FALSE),"")</f>
        <v>Strachota</v>
      </c>
      <c r="B79" s="302"/>
      <c r="C79" s="80">
        <f ca="1">IFERROR(INDIRECT(A$51 &amp; "_nej!C27"),"")</f>
        <v>10</v>
      </c>
      <c r="D79" s="301" t="str">
        <f ca="1">IFERROR(VLOOKUP(INDIRECT(A$51 &amp; "_nej!D7"), INDIRECT(A$51 &amp; "!B48:AA82"),19,FALSE),"")</f>
        <v>Mazák</v>
      </c>
      <c r="E79" s="302"/>
      <c r="F79" s="96">
        <f ca="1">IFERROR(INDIRECT(A$51 &amp; "_nej!F7"),"")</f>
        <v>7.18</v>
      </c>
      <c r="G79" s="309" t="str">
        <f ca="1">IFERROR(VLOOKUP(INDIRECT(A$51 &amp; "_nej!D17"), INDIRECT(A$51 &amp; "!B48:AA82"),19,FALSE),"")</f>
        <v>Buchta</v>
      </c>
      <c r="H79" s="302"/>
      <c r="I79" s="129">
        <f ca="1">IFERROR(INDIRECT(A$51 &amp; "_nej!F17"),"")</f>
        <v>0</v>
      </c>
      <c r="J79" s="290" t="str">
        <f ca="1">IFERROR(VLOOKUP(INDIRECT(J$51 &amp; "_nej!D27"), INDIRECT(J$51 &amp; "!B48:AA82"),19,FALSE),"")</f>
        <v>Natov</v>
      </c>
      <c r="K79" s="291"/>
      <c r="L79" s="84">
        <f ca="1">IFERROR(INDIRECT(J$51 &amp; "_nej!C27"),"")</f>
        <v>18</v>
      </c>
      <c r="M79" s="292" t="str">
        <f ca="1">IFERROR(VLOOKUP(INDIRECT(J$51 &amp; "_nej!D7"), INDIRECT(J$51 &amp; "!B48:AA82"),19,FALSE),"")</f>
        <v>Musil</v>
      </c>
      <c r="N79" s="291"/>
      <c r="O79" s="94">
        <f ca="1">IFERROR(INDIRECT(J$51 &amp; "_nej!F7"),"")</f>
        <v>4.74</v>
      </c>
      <c r="P79" s="338" t="str">
        <f ca="1">IFERROR(VLOOKUP(INDIRECT(J$51 &amp; "_nej!D17"), INDIRECT(J$51 &amp; "!B48:AA82"),19,FALSE),"")</f>
        <v>Musil</v>
      </c>
      <c r="Q79" s="291"/>
      <c r="R79" s="86">
        <f ca="1">IFERROR(INDIRECT(J$51 &amp; "_nej!F17"),"")</f>
        <v>3</v>
      </c>
      <c r="AA79" s="144"/>
      <c r="AB79" s="144"/>
      <c r="AC79" s="144"/>
      <c r="AD79" s="144"/>
      <c r="AE79" s="144"/>
      <c r="AF79" s="144"/>
      <c r="AG79" s="144"/>
      <c r="AH79" s="144"/>
      <c r="AI79" s="144"/>
      <c r="AJ79" s="144"/>
    </row>
    <row r="80" spans="1:36" ht="15" customHeight="1" x14ac:dyDescent="0.25">
      <c r="A80" s="323" t="str">
        <f ca="1">IFERROR(VLOOKUP(INDIRECT(A$51 &amp; "_nej!D28"), INDIRECT(A$51 &amp; "!B48:AA82"),19,FALSE),"")</f>
        <v>Svoboda</v>
      </c>
      <c r="B80" s="302"/>
      <c r="C80" s="80">
        <f ca="1">IFERROR(INDIRECT(A$51 &amp; "_nej!C28"),"")</f>
        <v>8</v>
      </c>
      <c r="D80" s="301" t="str">
        <f ca="1">IFERROR(VLOOKUP(INDIRECT(A$51 &amp; "_nej!D8"), INDIRECT(A$51 &amp; "!B48:AA82"),19,FALSE),"")</f>
        <v>Buchta</v>
      </c>
      <c r="E80" s="302"/>
      <c r="F80" s="96">
        <f ca="1">IFERROR(INDIRECT(A$51 &amp; "_nej!F8"),"")</f>
        <v>8.6199999999999992</v>
      </c>
      <c r="G80" s="309" t="str">
        <f ca="1">IFERROR(VLOOKUP(INDIRECT(A$51 &amp; "_nej!D18"), INDIRECT(A$51 &amp; "!B48:AA82"),19,FALSE),"")</f>
        <v>Lorenc</v>
      </c>
      <c r="H80" s="302"/>
      <c r="I80" s="129">
        <f ca="1">IFERROR(INDIRECT(A$51 &amp; "_nej!F18"),"")</f>
        <v>0</v>
      </c>
      <c r="J80" s="290" t="str">
        <f ca="1">IFERROR(VLOOKUP(INDIRECT(J$51 &amp; "_nej!D28"), INDIRECT(J$51 &amp; "!B48:AA82"),19,FALSE),"")</f>
        <v>Suchánek</v>
      </c>
      <c r="K80" s="291"/>
      <c r="L80" s="84">
        <f ca="1">IFERROR(INDIRECT(J$51 &amp; "_nej!C28"),"")</f>
        <v>8</v>
      </c>
      <c r="M80" s="292" t="str">
        <f ca="1">IFERROR(VLOOKUP(INDIRECT(J$51 &amp; "_nej!D8"), INDIRECT(J$51 &amp; "!B48:AA82"),19,FALSE),"")</f>
        <v>Macík</v>
      </c>
      <c r="N80" s="291"/>
      <c r="O80" s="94">
        <f ca="1">IFERROR(INDIRECT(J$51 &amp; "_nej!F8"),"")</f>
        <v>0</v>
      </c>
      <c r="P80" s="338" t="str">
        <f ca="1">IFERROR(VLOOKUP(INDIRECT(J$51 &amp; "_nej!D18"), INDIRECT(J$51 &amp; "!B48:AA82"),19,FALSE),"")</f>
        <v>Macík</v>
      </c>
      <c r="Q80" s="291"/>
      <c r="R80" s="86">
        <f ca="1">IFERROR(INDIRECT(J$51 &amp; "_nej!F18"),"")</f>
        <v>1</v>
      </c>
      <c r="S80" s="144"/>
      <c r="T80" s="144"/>
      <c r="U80" s="144"/>
      <c r="V80" s="144"/>
      <c r="W80" s="144"/>
      <c r="X80" s="144"/>
      <c r="Y80" s="144"/>
      <c r="Z80" s="144"/>
      <c r="AA80" s="144"/>
      <c r="AB80" s="144"/>
      <c r="AC80" s="144"/>
      <c r="AD80" s="144"/>
      <c r="AE80" s="144"/>
      <c r="AF80" s="144"/>
      <c r="AG80" s="144"/>
      <c r="AH80" s="144"/>
      <c r="AI80" s="144"/>
      <c r="AJ80" s="144"/>
    </row>
    <row r="81" spans="1:36" ht="15" customHeight="1" x14ac:dyDescent="0.25">
      <c r="A81" s="323" t="str">
        <f ca="1">IFERROR(VLOOKUP(INDIRECT(A$51 &amp; "_nej!D29"), INDIRECT(A$51 &amp; "!B48:AA82"),19,FALSE),"")</f>
        <v>Stuchlík O.</v>
      </c>
      <c r="B81" s="302"/>
      <c r="C81" s="80">
        <f ca="1">IFERROR(INDIRECT(A$51 &amp; "_nej!C29"),"")</f>
        <v>6</v>
      </c>
      <c r="D81" s="301" t="str">
        <f ca="1">IFERROR(VLOOKUP(INDIRECT(A$51 &amp; "_nej!D9"), INDIRECT(A$51 &amp; "!B48:AA82"),19,FALSE),"")</f>
        <v>Lorenc</v>
      </c>
      <c r="E81" s="302"/>
      <c r="F81" s="96">
        <f ca="1">IFERROR(INDIRECT(A$51 &amp; "_nej!F9"),"")</f>
        <v>12</v>
      </c>
      <c r="G81" s="309" t="str">
        <f ca="1">IFERROR(VLOOKUP(INDIRECT(A$51 &amp; "_nej!D19"), INDIRECT(A$51 &amp; "!B48:AA82"),19,FALSE),"")</f>
        <v>Mazák</v>
      </c>
      <c r="H81" s="302"/>
      <c r="I81" s="129">
        <f ca="1">IFERROR(INDIRECT(A$51 &amp; "_nej!F19"),"")</f>
        <v>0</v>
      </c>
      <c r="J81" s="290" t="str">
        <f ca="1">IFERROR(VLOOKUP(INDIRECT(J$51 &amp; "_nej!D29"), INDIRECT(J$51 &amp; "!B48:AA82"),19,FALSE),"")</f>
        <v>Krzyžanek</v>
      </c>
      <c r="K81" s="291"/>
      <c r="L81" s="84">
        <f ca="1">IFERROR(INDIRECT(J$51 &amp; "_nej!C29"),"")</f>
        <v>8</v>
      </c>
      <c r="M81" s="292" t="str">
        <f ca="1">IFERROR(VLOOKUP(INDIRECT(J$51 &amp; "_nej!D9"), INDIRECT(J$51 &amp; "!B48:AA82"),19,FALSE),"")</f>
        <v>Tomšík</v>
      </c>
      <c r="N81" s="291"/>
      <c r="O81" s="94">
        <f ca="1">IFERROR(INDIRECT(J$51 &amp; "_nej!F9"),"")</f>
        <v>15</v>
      </c>
      <c r="P81" s="338" t="str">
        <f ca="1">IFERROR(VLOOKUP(INDIRECT(J$51 &amp; "_nej!D19"), INDIRECT(J$51 &amp; "!B48:AA82"),19,FALSE),"")</f>
        <v>Tomšík</v>
      </c>
      <c r="Q81" s="291"/>
      <c r="R81" s="86">
        <f ca="1">IFERROR(INDIRECT(J$51 &amp; "_nej!F19"),"")</f>
        <v>1</v>
      </c>
      <c r="S81" s="144"/>
      <c r="T81" s="144"/>
      <c r="U81" s="144"/>
      <c r="V81" s="144"/>
      <c r="W81" s="144"/>
      <c r="X81" s="144"/>
      <c r="Y81" s="144"/>
      <c r="Z81" s="144"/>
      <c r="AA81" s="144"/>
      <c r="AB81" s="144"/>
      <c r="AC81" s="144"/>
      <c r="AD81" s="144"/>
      <c r="AE81" s="144"/>
      <c r="AF81" s="144"/>
      <c r="AG81" s="144"/>
      <c r="AH81" s="144"/>
      <c r="AI81" s="144"/>
      <c r="AJ81" s="144"/>
    </row>
    <row r="82" spans="1:36" ht="15" customHeight="1" thickBot="1" x14ac:dyDescent="0.3">
      <c r="A82" s="326" t="str">
        <f ca="1">IFERROR(VLOOKUP(INDIRECT(A$51 &amp; "_nej!D30"), INDIRECT(A$51 &amp; "!B48:AA82"),19,FALSE),"")</f>
        <v>Vnuk</v>
      </c>
      <c r="B82" s="327"/>
      <c r="C82" s="81">
        <f ca="1">IFERROR(INDIRECT(A$51 &amp; "_nej!C30"),"")</f>
        <v>6</v>
      </c>
      <c r="D82" s="339" t="str">
        <f ca="1">IFERROR(VLOOKUP(INDIRECT(A$51 &amp; "_nej!D10"), INDIRECT(A$51 &amp; "!B48:AA82"),19,FALSE),"")</f>
        <v/>
      </c>
      <c r="E82" s="327"/>
      <c r="F82" s="97" t="str">
        <f ca="1">IFERROR(INDIRECT(A$51 &amp; "_nej!F10"),"")</f>
        <v/>
      </c>
      <c r="G82" s="340" t="str">
        <f ca="1">IFERROR(VLOOKUP(INDIRECT(A$51 &amp; "_nej!D20"), INDIRECT(A$51 &amp; "!B48:AA82"),19,FALSE),"")</f>
        <v/>
      </c>
      <c r="H82" s="327"/>
      <c r="I82" s="130" t="str">
        <f ca="1">IFERROR(INDIRECT(A$51 &amp; "_nej!F20"),"")</f>
        <v/>
      </c>
      <c r="J82" s="341" t="str">
        <f ca="1">IFERROR(VLOOKUP(INDIRECT(J$51 &amp; "_nej!D30"), INDIRECT(J$51 &amp; "!B48:AA82"),19,FALSE),"")</f>
        <v>Šebek</v>
      </c>
      <c r="K82" s="294"/>
      <c r="L82" s="87">
        <f ca="1">IFERROR(INDIRECT(J$51 &amp; "_nej!C30"),"")</f>
        <v>6</v>
      </c>
      <c r="M82" s="328" t="str">
        <f ca="1">IFERROR(VLOOKUP(INDIRECT(J$51 &amp; "_nej!D10"), INDIRECT(J$51 &amp; "!B48:AA82"),19,FALSE),"")</f>
        <v/>
      </c>
      <c r="N82" s="294"/>
      <c r="O82" s="95" t="str">
        <f ca="1">IFERROR(INDIRECT(J$51 &amp; "_nej!F10"),"")</f>
        <v/>
      </c>
      <c r="P82" s="293" t="str">
        <f ca="1">IFERROR(VLOOKUP(INDIRECT(J$51 &amp; "_nej!D20"), INDIRECT(J$51 &amp; "!B48:AA82"),19,FALSE),"")</f>
        <v/>
      </c>
      <c r="Q82" s="294"/>
      <c r="R82" s="98" t="str">
        <f ca="1">IFERROR(INDIRECT(J$51 &amp; "_nej!F20"),"")</f>
        <v/>
      </c>
      <c r="S82" s="144"/>
      <c r="T82" s="144"/>
      <c r="U82" s="144"/>
      <c r="V82" s="144"/>
      <c r="W82" s="144"/>
      <c r="X82" s="144"/>
      <c r="Y82" s="144"/>
      <c r="Z82" s="144"/>
      <c r="AA82" s="144"/>
      <c r="AB82" s="144"/>
      <c r="AC82" s="144"/>
      <c r="AD82" s="144"/>
      <c r="AE82" s="144"/>
      <c r="AF82" s="144"/>
      <c r="AG82" s="144"/>
      <c r="AH82" s="144"/>
      <c r="AI82" s="144"/>
      <c r="AJ82" s="144"/>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206" t="s">
        <v>47</v>
      </c>
      <c r="B85" s="207"/>
      <c r="C85" s="207"/>
      <c r="D85" s="207"/>
      <c r="E85" s="207"/>
      <c r="F85" s="207"/>
      <c r="G85" s="207"/>
      <c r="H85" s="208"/>
      <c r="I85" s="60"/>
      <c r="J85" s="283" t="s">
        <v>47</v>
      </c>
      <c r="K85" s="284"/>
      <c r="L85" s="284"/>
      <c r="M85" s="284"/>
      <c r="N85" s="284"/>
      <c r="O85" s="284"/>
      <c r="P85" s="284"/>
      <c r="Q85" s="308"/>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333" t="str">
        <f ca="1">IFERROR(INDIRECT($A$51 &amp; "!Q2"),"")</f>
        <v>Gregor - 6 GP</v>
      </c>
      <c r="B86" s="334"/>
      <c r="C86" s="334"/>
      <c r="D86" s="334"/>
      <c r="E86" s="334" t="str">
        <f ca="1">IFERROR(INDIRECT($A$51 &amp; "!Q4"),"")</f>
        <v>Králík - návrat do SKV</v>
      </c>
      <c r="F86" s="334"/>
      <c r="G86" s="334"/>
      <c r="H86" s="363"/>
      <c r="I86" s="60"/>
      <c r="J86" s="365" t="str">
        <f ca="1">IFERROR(INDIRECT($J$51 &amp; "!Q2"),"")</f>
        <v>jediná prohra první zápas (VIT)</v>
      </c>
      <c r="K86" s="366"/>
      <c r="L86" s="366"/>
      <c r="M86" s="366"/>
      <c r="N86" s="366" t="str">
        <f ca="1">IFERROR(INDIRECT($J$51 &amp; "!Q4"),"")</f>
        <v>nejlepší obrana v lize (75 OG)</v>
      </c>
      <c r="O86" s="366"/>
      <c r="P86" s="366"/>
      <c r="Q86" s="367"/>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21" t="str">
        <f ca="1">IFERROR(INDIRECT($A$51 &amp; "!Q3"),"")</f>
        <v>Stuchlík O. - 4 GP</v>
      </c>
      <c r="B87" s="306"/>
      <c r="C87" s="306"/>
      <c r="D87" s="306"/>
      <c r="E87" s="306" t="str">
        <f ca="1">IFERROR(INDIRECT($A$51 &amp; "!Q5"),"")</f>
        <v>Lanc -    -25 ±</v>
      </c>
      <c r="F87" s="306"/>
      <c r="G87" s="306"/>
      <c r="H87" s="364"/>
      <c r="I87" s="60"/>
      <c r="J87" s="368" t="str">
        <f ca="1">IFERROR(INDIRECT($J$51 &amp; "!Q3"),"")</f>
        <v>19 V v řadě (17 V, 1 VP, 1 VN)</v>
      </c>
      <c r="K87" s="369"/>
      <c r="L87" s="369"/>
      <c r="M87" s="369"/>
      <c r="N87" s="369" t="str">
        <f ca="1">IFERROR(INDIRECT($J$51 &amp; "!Q5"),"")</f>
        <v>Bauer - 16 V a 3,41 OG/Z</v>
      </c>
      <c r="O87" s="369"/>
      <c r="P87" s="369"/>
      <c r="Q87" s="370"/>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206" t="s">
        <v>656</v>
      </c>
      <c r="G90" s="207"/>
      <c r="H90" s="207"/>
      <c r="I90" s="207"/>
      <c r="J90" s="207"/>
      <c r="K90" s="207"/>
      <c r="L90" s="207"/>
      <c r="M90" s="208"/>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356" t="s">
        <v>757</v>
      </c>
      <c r="G91" s="357"/>
      <c r="H91" s="357"/>
      <c r="I91" s="357"/>
      <c r="J91" s="154" t="s">
        <v>584</v>
      </c>
      <c r="K91" s="358">
        <v>44199</v>
      </c>
      <c r="L91" s="359"/>
      <c r="M91" s="360"/>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226" t="s">
        <v>757</v>
      </c>
      <c r="G92" s="227"/>
      <c r="H92" s="227"/>
      <c r="I92" s="227"/>
      <c r="J92" s="146" t="s">
        <v>758</v>
      </c>
      <c r="K92" s="228">
        <v>43898</v>
      </c>
      <c r="L92" s="229"/>
      <c r="M92" s="230"/>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226" t="s">
        <v>757</v>
      </c>
      <c r="G93" s="227"/>
      <c r="H93" s="227"/>
      <c r="I93" s="227"/>
      <c r="J93" s="146" t="s">
        <v>758</v>
      </c>
      <c r="K93" s="228">
        <v>43897</v>
      </c>
      <c r="L93" s="229"/>
      <c r="M93" s="230"/>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26" t="s">
        <v>756</v>
      </c>
      <c r="G94" s="227"/>
      <c r="H94" s="227"/>
      <c r="I94" s="227"/>
      <c r="J94" s="146" t="s">
        <v>760</v>
      </c>
      <c r="K94" s="228">
        <v>43793</v>
      </c>
      <c r="L94" s="229"/>
      <c r="M94" s="230"/>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26" t="s">
        <v>757</v>
      </c>
      <c r="G95" s="227"/>
      <c r="H95" s="227"/>
      <c r="I95" s="227"/>
      <c r="J95" s="146" t="s">
        <v>759</v>
      </c>
      <c r="K95" s="228">
        <v>43727</v>
      </c>
      <c r="L95" s="229"/>
      <c r="M95" s="230"/>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26" t="s">
        <v>756</v>
      </c>
      <c r="G96" s="227"/>
      <c r="H96" s="227"/>
      <c r="I96" s="227"/>
      <c r="J96" s="146" t="s">
        <v>761</v>
      </c>
      <c r="K96" s="228">
        <v>43484</v>
      </c>
      <c r="L96" s="229"/>
      <c r="M96" s="230"/>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26" t="s">
        <v>757</v>
      </c>
      <c r="G97" s="227"/>
      <c r="H97" s="227"/>
      <c r="I97" s="227"/>
      <c r="J97" s="146" t="s">
        <v>336</v>
      </c>
      <c r="K97" s="228">
        <v>43368</v>
      </c>
      <c r="L97" s="229"/>
      <c r="M97" s="230"/>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21" t="s">
        <v>757</v>
      </c>
      <c r="G98" s="222"/>
      <c r="H98" s="222"/>
      <c r="I98" s="222"/>
      <c r="J98" s="147" t="s">
        <v>762</v>
      </c>
      <c r="K98" s="223">
        <v>42392</v>
      </c>
      <c r="L98" s="224"/>
      <c r="M98" s="225"/>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61">
        <f ca="1">TODAY()</f>
        <v>44244</v>
      </c>
      <c r="H100" s="362"/>
      <c r="I100" s="362"/>
      <c r="J100" s="362"/>
      <c r="K100" s="362"/>
      <c r="L100" s="362"/>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CvV2aaMKPB8dWqr+vNnJNdz1Y3HUrdXm4ThTAZI6d4WSWdJX9FvfFzhcIZbbdtKAKgruvwt/3XrS1N828bOokQ==" saltValue="z72YvfI5sqD/6vsolab33A==" spinCount="100000" sheet="1" objects="1" scenarios="1" selectLockedCells="1"/>
  <mergeCells count="1858">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K37:AL37"/>
    <mergeCell ref="AQ6:AS6"/>
    <mergeCell ref="AT6:AU6"/>
    <mergeCell ref="AW6:AZ6"/>
    <mergeCell ref="AX7:AY7"/>
    <mergeCell ref="BA7:BB7"/>
    <mergeCell ref="AK25:AM25"/>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W9:AY9"/>
    <mergeCell ref="AK8:AM8"/>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26:AD26"/>
    <mergeCell ref="AE26:AG26"/>
    <mergeCell ref="AH26:AI26"/>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V25:X25"/>
    <mergeCell ref="G16:I16"/>
    <mergeCell ref="M17:P17"/>
    <mergeCell ref="N18:O18"/>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s>
  <conditionalFormatting sqref="A51:R52">
    <cfRule type="cellIs" dxfId="453" priority="477" stopIfTrue="1" operator="equal">
      <formula>"OTR"</formula>
    </cfRule>
    <cfRule type="cellIs" dxfId="452" priority="478" stopIfTrue="1" operator="equal">
      <formula>"PAR"</formula>
    </cfRule>
    <cfRule type="cellIs" dxfId="451" priority="479" stopIfTrue="1" operator="equal">
      <formula>"CLP"</formula>
    </cfRule>
    <cfRule type="cellIs" dxfId="450" priority="480" stopIfTrue="1" operator="equal">
      <formula>"HAT"</formula>
    </cfRule>
    <cfRule type="cellIs" dxfId="449" priority="481" stopIfTrue="1" operator="equal">
      <formula>"LIB"</formula>
    </cfRule>
    <cfRule type="cellIs" dxfId="448" priority="482" stopIfTrue="1" operator="equal">
      <formula>"BA"</formula>
    </cfRule>
    <cfRule type="cellIs" dxfId="447" priority="483" stopIfTrue="1" operator="equal">
      <formula>"SPA"</formula>
    </cfRule>
    <cfRule type="cellIs" dxfId="446" priority="484" stopIfTrue="1" operator="equal">
      <formula>"OST"</formula>
    </cfRule>
    <cfRule type="cellIs" dxfId="445" priority="485" stopIfTrue="1" operator="equal">
      <formula>"BOH"</formula>
    </cfRule>
    <cfRule type="cellIs" dxfId="444" priority="486" stopIfTrue="1" operator="equal">
      <formula>"TAT"</formula>
    </cfRule>
    <cfRule type="cellIs" dxfId="443" priority="487" stopIfTrue="1" operator="equal">
      <formula>"MB"</formula>
    </cfRule>
    <cfRule type="cellIs" dxfId="442" priority="488" stopIfTrue="1" operator="equal">
      <formula>"VIT"</formula>
    </cfRule>
    <cfRule type="cellIs" dxfId="441" priority="489" stopIfTrue="1" operator="equal">
      <formula>"CHO"</formula>
    </cfRule>
    <cfRule type="cellIs" dxfId="440" priority="490" stopIfTrue="1" operator="equal">
      <formula>"SKV"</formula>
    </cfRule>
  </conditionalFormatting>
  <conditionalFormatting sqref="H19:K20">
    <cfRule type="cellIs" dxfId="439" priority="463" stopIfTrue="1" operator="equal">
      <formula>"OTR"</formula>
    </cfRule>
    <cfRule type="cellIs" dxfId="438" priority="464" stopIfTrue="1" operator="equal">
      <formula>"PAR"</formula>
    </cfRule>
    <cfRule type="cellIs" dxfId="437" priority="465" stopIfTrue="1" operator="equal">
      <formula>"CLP"</formula>
    </cfRule>
    <cfRule type="cellIs" dxfId="436" priority="466" stopIfTrue="1" operator="equal">
      <formula>"HAT"</formula>
    </cfRule>
    <cfRule type="cellIs" dxfId="435" priority="467" stopIfTrue="1" operator="equal">
      <formula>"LIB"</formula>
    </cfRule>
    <cfRule type="cellIs" dxfId="434" priority="468" stopIfTrue="1" operator="equal">
      <formula>"BA"</formula>
    </cfRule>
    <cfRule type="cellIs" dxfId="433" priority="469" stopIfTrue="1" operator="equal">
      <formula>"SPA"</formula>
    </cfRule>
    <cfRule type="cellIs" dxfId="432" priority="470" stopIfTrue="1" operator="equal">
      <formula>"OST"</formula>
    </cfRule>
    <cfRule type="cellIs" dxfId="431" priority="471" stopIfTrue="1" operator="equal">
      <formula>"BOH"</formula>
    </cfRule>
    <cfRule type="cellIs" dxfId="430" priority="472" stopIfTrue="1" operator="equal">
      <formula>"TAT"</formula>
    </cfRule>
    <cfRule type="cellIs" dxfId="429" priority="473" stopIfTrue="1" operator="equal">
      <formula>"MB"</formula>
    </cfRule>
    <cfRule type="cellIs" dxfId="428" priority="474" stopIfTrue="1" operator="equal">
      <formula>"VIT"</formula>
    </cfRule>
    <cfRule type="cellIs" dxfId="427" priority="475" stopIfTrue="1" operator="equal">
      <formula>"CHO"</formula>
    </cfRule>
    <cfRule type="cellIs" dxfId="426" priority="476" stopIfTrue="1" operator="equal">
      <formula>"SKV"</formula>
    </cfRule>
  </conditionalFormatting>
  <conditionalFormatting sqref="Z8:AC9">
    <cfRule type="cellIs" dxfId="425" priority="421" stopIfTrue="1" operator="equal">
      <formula>"OTR"</formula>
    </cfRule>
    <cfRule type="cellIs" dxfId="424" priority="422" stopIfTrue="1" operator="equal">
      <formula>"PAR"</formula>
    </cfRule>
    <cfRule type="cellIs" dxfId="423" priority="423" stopIfTrue="1" operator="equal">
      <formula>"CLP"</formula>
    </cfRule>
    <cfRule type="cellIs" dxfId="422" priority="424" stopIfTrue="1" operator="equal">
      <formula>"HAT"</formula>
    </cfRule>
    <cfRule type="cellIs" dxfId="421" priority="425" stopIfTrue="1" operator="equal">
      <formula>"LIB"</formula>
    </cfRule>
    <cfRule type="cellIs" dxfId="420" priority="426" stopIfTrue="1" operator="equal">
      <formula>"BA"</formula>
    </cfRule>
    <cfRule type="cellIs" dxfId="419" priority="427" stopIfTrue="1" operator="equal">
      <formula>"SPA"</formula>
    </cfRule>
    <cfRule type="cellIs" dxfId="418" priority="428" stopIfTrue="1" operator="equal">
      <formula>"OST"</formula>
    </cfRule>
    <cfRule type="cellIs" dxfId="417" priority="429" stopIfTrue="1" operator="equal">
      <formula>"BOH"</formula>
    </cfRule>
    <cfRule type="cellIs" dxfId="416" priority="430" stopIfTrue="1" operator="equal">
      <formula>"TAT"</formula>
    </cfRule>
    <cfRule type="cellIs" dxfId="415" priority="431" stopIfTrue="1" operator="equal">
      <formula>"MB"</formula>
    </cfRule>
    <cfRule type="cellIs" dxfId="414" priority="432" stopIfTrue="1" operator="equal">
      <formula>"VIT"</formula>
    </cfRule>
    <cfRule type="cellIs" dxfId="413" priority="433" stopIfTrue="1" operator="equal">
      <formula>"CHO"</formula>
    </cfRule>
    <cfRule type="cellIs" dxfId="412" priority="434" stopIfTrue="1" operator="equal">
      <formula>"SKV"</formula>
    </cfRule>
  </conditionalFormatting>
  <conditionalFormatting sqref="H8:K9">
    <cfRule type="cellIs" dxfId="411" priority="435" stopIfTrue="1" operator="equal">
      <formula>"OTR"</formula>
    </cfRule>
    <cfRule type="cellIs" dxfId="410" priority="436" stopIfTrue="1" operator="equal">
      <formula>"PAR"</formula>
    </cfRule>
    <cfRule type="cellIs" dxfId="409" priority="437" stopIfTrue="1" operator="equal">
      <formula>"CLP"</formula>
    </cfRule>
    <cfRule type="cellIs" dxfId="408" priority="438" stopIfTrue="1" operator="equal">
      <formula>"HAT"</formula>
    </cfRule>
    <cfRule type="cellIs" dxfId="407" priority="439" stopIfTrue="1" operator="equal">
      <formula>"LIB"</formula>
    </cfRule>
    <cfRule type="cellIs" dxfId="406" priority="440" stopIfTrue="1" operator="equal">
      <formula>"BA"</formula>
    </cfRule>
    <cfRule type="cellIs" dxfId="405" priority="441" stopIfTrue="1" operator="equal">
      <formula>"SPA"</formula>
    </cfRule>
    <cfRule type="cellIs" dxfId="404" priority="442" stopIfTrue="1" operator="equal">
      <formula>"OST"</formula>
    </cfRule>
    <cfRule type="cellIs" dxfId="403" priority="443" stopIfTrue="1" operator="equal">
      <formula>"BOH"</formula>
    </cfRule>
    <cfRule type="cellIs" dxfId="402" priority="444" stopIfTrue="1" operator="equal">
      <formula>"TAT"</formula>
    </cfRule>
    <cfRule type="cellIs" dxfId="401" priority="445" stopIfTrue="1" operator="equal">
      <formula>"MB"</formula>
    </cfRule>
    <cfRule type="cellIs" dxfId="400" priority="446" stopIfTrue="1" operator="equal">
      <formula>"VIT"</formula>
    </cfRule>
    <cfRule type="cellIs" dxfId="399" priority="447" stopIfTrue="1" operator="equal">
      <formula>"CHO"</formula>
    </cfRule>
    <cfRule type="cellIs" dxfId="398" priority="448" stopIfTrue="1" operator="equal">
      <formula>"SKV"</formula>
    </cfRule>
  </conditionalFormatting>
  <conditionalFormatting sqref="Z19:AC20">
    <cfRule type="cellIs" dxfId="397" priority="407" stopIfTrue="1" operator="equal">
      <formula>"OTR"</formula>
    </cfRule>
    <cfRule type="cellIs" dxfId="396" priority="408" stopIfTrue="1" operator="equal">
      <formula>"PAR"</formula>
    </cfRule>
    <cfRule type="cellIs" dxfId="395" priority="409" stopIfTrue="1" operator="equal">
      <formula>"CLP"</formula>
    </cfRule>
    <cfRule type="cellIs" dxfId="394" priority="410" stopIfTrue="1" operator="equal">
      <formula>"HAT"</formula>
    </cfRule>
    <cfRule type="cellIs" dxfId="393" priority="411" stopIfTrue="1" operator="equal">
      <formula>"LIB"</formula>
    </cfRule>
    <cfRule type="cellIs" dxfId="392" priority="412" stopIfTrue="1" operator="equal">
      <formula>"BA"</formula>
    </cfRule>
    <cfRule type="cellIs" dxfId="391" priority="413" stopIfTrue="1" operator="equal">
      <formula>"SPA"</formula>
    </cfRule>
    <cfRule type="cellIs" dxfId="390" priority="414" stopIfTrue="1" operator="equal">
      <formula>"OST"</formula>
    </cfRule>
    <cfRule type="cellIs" dxfId="389" priority="415" stopIfTrue="1" operator="equal">
      <formula>"BOH"</formula>
    </cfRule>
    <cfRule type="cellIs" dxfId="388" priority="416" stopIfTrue="1" operator="equal">
      <formula>"TAT"</formula>
    </cfRule>
    <cfRule type="cellIs" dxfId="387" priority="417" stopIfTrue="1" operator="equal">
      <formula>"MB"</formula>
    </cfRule>
    <cfRule type="cellIs" dxfId="386" priority="418" stopIfTrue="1" operator="equal">
      <formula>"VIT"</formula>
    </cfRule>
    <cfRule type="cellIs" dxfId="385" priority="419" stopIfTrue="1" operator="equal">
      <formula>"CHO"</formula>
    </cfRule>
    <cfRule type="cellIs" dxfId="384" priority="420" stopIfTrue="1" operator="equal">
      <formula>"SKV"</formula>
    </cfRule>
  </conditionalFormatting>
  <conditionalFormatting sqref="H30:K31">
    <cfRule type="cellIs" dxfId="383" priority="379" stopIfTrue="1" operator="equal">
      <formula>"OTR"</formula>
    </cfRule>
    <cfRule type="cellIs" dxfId="382" priority="380" stopIfTrue="1" operator="equal">
      <formula>"PAR"</formula>
    </cfRule>
    <cfRule type="cellIs" dxfId="381" priority="381" stopIfTrue="1" operator="equal">
      <formula>"CLP"</formula>
    </cfRule>
    <cfRule type="cellIs" dxfId="380" priority="382" stopIfTrue="1" operator="equal">
      <formula>"HAT"</formula>
    </cfRule>
    <cfRule type="cellIs" dxfId="379" priority="383" stopIfTrue="1" operator="equal">
      <formula>"LIB"</formula>
    </cfRule>
    <cfRule type="cellIs" dxfId="378" priority="384" stopIfTrue="1" operator="equal">
      <formula>"BA"</formula>
    </cfRule>
    <cfRule type="cellIs" dxfId="377" priority="385" stopIfTrue="1" operator="equal">
      <formula>"SPA"</formula>
    </cfRule>
    <cfRule type="cellIs" dxfId="376" priority="386" stopIfTrue="1" operator="equal">
      <formula>"OST"</formula>
    </cfRule>
    <cfRule type="cellIs" dxfId="375" priority="387" stopIfTrue="1" operator="equal">
      <formula>"BOH"</formula>
    </cfRule>
    <cfRule type="cellIs" dxfId="374" priority="388" stopIfTrue="1" operator="equal">
      <formula>"TAT"</formula>
    </cfRule>
    <cfRule type="cellIs" dxfId="373" priority="389" stopIfTrue="1" operator="equal">
      <formula>"MB"</formula>
    </cfRule>
    <cfRule type="cellIs" dxfId="372" priority="390" stopIfTrue="1" operator="equal">
      <formula>"VIT"</formula>
    </cfRule>
    <cfRule type="cellIs" dxfId="371" priority="391" stopIfTrue="1" operator="equal">
      <formula>"CHO"</formula>
    </cfRule>
    <cfRule type="cellIs" dxfId="370" priority="392" stopIfTrue="1" operator="equal">
      <formula>"SKV"</formula>
    </cfRule>
  </conditionalFormatting>
  <conditionalFormatting sqref="Z30:AC31">
    <cfRule type="cellIs" dxfId="369" priority="365" stopIfTrue="1" operator="equal">
      <formula>"OTR"</formula>
    </cfRule>
    <cfRule type="cellIs" dxfId="368" priority="366" stopIfTrue="1" operator="equal">
      <formula>"PAR"</formula>
    </cfRule>
    <cfRule type="cellIs" dxfId="367" priority="367" stopIfTrue="1" operator="equal">
      <formula>"CLP"</formula>
    </cfRule>
    <cfRule type="cellIs" dxfId="366" priority="368" stopIfTrue="1" operator="equal">
      <formula>"HAT"</formula>
    </cfRule>
    <cfRule type="cellIs" dxfId="365" priority="369" stopIfTrue="1" operator="equal">
      <formula>"LIB"</formula>
    </cfRule>
    <cfRule type="cellIs" dxfId="364" priority="370" stopIfTrue="1" operator="equal">
      <formula>"BA"</formula>
    </cfRule>
    <cfRule type="cellIs" dxfId="363" priority="371" stopIfTrue="1" operator="equal">
      <formula>"SPA"</formula>
    </cfRule>
    <cfRule type="cellIs" dxfId="362" priority="372" stopIfTrue="1" operator="equal">
      <formula>"OST"</formula>
    </cfRule>
    <cfRule type="cellIs" dxfId="361" priority="373" stopIfTrue="1" operator="equal">
      <formula>"BOH"</formula>
    </cfRule>
    <cfRule type="cellIs" dxfId="360" priority="374" stopIfTrue="1" operator="equal">
      <formula>"TAT"</formula>
    </cfRule>
    <cfRule type="cellIs" dxfId="359" priority="375" stopIfTrue="1" operator="equal">
      <formula>"MB"</formula>
    </cfRule>
    <cfRule type="cellIs" dxfId="358" priority="376" stopIfTrue="1" operator="equal">
      <formula>"VIT"</formula>
    </cfRule>
    <cfRule type="cellIs" dxfId="357" priority="377" stopIfTrue="1" operator="equal">
      <formula>"CHO"</formula>
    </cfRule>
    <cfRule type="cellIs" dxfId="356" priority="378" stopIfTrue="1" operator="equal">
      <formula>"SKV"</formula>
    </cfRule>
  </conditionalFormatting>
  <conditionalFormatting sqref="AR8:AU9">
    <cfRule type="cellIs" dxfId="355" priority="351" stopIfTrue="1" operator="equal">
      <formula>"OTR"</formula>
    </cfRule>
    <cfRule type="cellIs" dxfId="354" priority="352" stopIfTrue="1" operator="equal">
      <formula>"PAR"</formula>
    </cfRule>
    <cfRule type="cellIs" dxfId="353" priority="353" stopIfTrue="1" operator="equal">
      <formula>"CLP"</formula>
    </cfRule>
    <cfRule type="cellIs" dxfId="352" priority="354" stopIfTrue="1" operator="equal">
      <formula>"HAT"</formula>
    </cfRule>
    <cfRule type="cellIs" dxfId="351" priority="355" stopIfTrue="1" operator="equal">
      <formula>"LIB"</formula>
    </cfRule>
    <cfRule type="cellIs" dxfId="350" priority="356" stopIfTrue="1" operator="equal">
      <formula>"BA"</formula>
    </cfRule>
    <cfRule type="cellIs" dxfId="349" priority="357" stopIfTrue="1" operator="equal">
      <formula>"SPA"</formula>
    </cfRule>
    <cfRule type="cellIs" dxfId="348" priority="358" stopIfTrue="1" operator="equal">
      <formula>"OST"</formula>
    </cfRule>
    <cfRule type="cellIs" dxfId="347" priority="359" stopIfTrue="1" operator="equal">
      <formula>"BOH"</formula>
    </cfRule>
    <cfRule type="cellIs" dxfId="346" priority="360" stopIfTrue="1" operator="equal">
      <formula>"TAT"</formula>
    </cfRule>
    <cfRule type="cellIs" dxfId="345" priority="361" stopIfTrue="1" operator="equal">
      <formula>"MB"</formula>
    </cfRule>
    <cfRule type="cellIs" dxfId="344" priority="362" stopIfTrue="1" operator="equal">
      <formula>"VIT"</formula>
    </cfRule>
    <cfRule type="cellIs" dxfId="343" priority="363" stopIfTrue="1" operator="equal">
      <formula>"CHO"</formula>
    </cfRule>
    <cfRule type="cellIs" dxfId="342" priority="364" stopIfTrue="1" operator="equal">
      <formula>"SKV"</formula>
    </cfRule>
  </conditionalFormatting>
  <conditionalFormatting sqref="AR30:AU31">
    <cfRule type="cellIs" dxfId="341" priority="309" stopIfTrue="1" operator="equal">
      <formula>"OTR"</formula>
    </cfRule>
    <cfRule type="cellIs" dxfId="340" priority="310" stopIfTrue="1" operator="equal">
      <formula>"PAR"</formula>
    </cfRule>
    <cfRule type="cellIs" dxfId="339" priority="311" stopIfTrue="1" operator="equal">
      <formula>"CLP"</formula>
    </cfRule>
    <cfRule type="cellIs" dxfId="338" priority="312" stopIfTrue="1" operator="equal">
      <formula>"HAT"</formula>
    </cfRule>
    <cfRule type="cellIs" dxfId="337" priority="313" stopIfTrue="1" operator="equal">
      <formula>"LIB"</formula>
    </cfRule>
    <cfRule type="cellIs" dxfId="336" priority="314" stopIfTrue="1" operator="equal">
      <formula>"BA"</formula>
    </cfRule>
    <cfRule type="cellIs" dxfId="335" priority="315" stopIfTrue="1" operator="equal">
      <formula>"SPA"</formula>
    </cfRule>
    <cfRule type="cellIs" dxfId="334" priority="316" stopIfTrue="1" operator="equal">
      <formula>"OST"</formula>
    </cfRule>
    <cfRule type="cellIs" dxfId="333" priority="317" stopIfTrue="1" operator="equal">
      <formula>"BOH"</formula>
    </cfRule>
    <cfRule type="cellIs" dxfId="332" priority="318" stopIfTrue="1" operator="equal">
      <formula>"TAT"</formula>
    </cfRule>
    <cfRule type="cellIs" dxfId="331" priority="319" stopIfTrue="1" operator="equal">
      <formula>"MB"</formula>
    </cfRule>
    <cfRule type="cellIs" dxfId="330" priority="320" stopIfTrue="1" operator="equal">
      <formula>"VIT"</formula>
    </cfRule>
    <cfRule type="cellIs" dxfId="329" priority="321" stopIfTrue="1" operator="equal">
      <formula>"CHO"</formula>
    </cfRule>
    <cfRule type="cellIs" dxfId="328" priority="322" stopIfTrue="1" operator="equal">
      <formula>"SKV"</formula>
    </cfRule>
  </conditionalFormatting>
  <conditionalFormatting sqref="AR19:AU20">
    <cfRule type="cellIs" dxfId="327" priority="295" stopIfTrue="1" operator="equal">
      <formula>"OTR"</formula>
    </cfRule>
    <cfRule type="cellIs" dxfId="326" priority="296" stopIfTrue="1" operator="equal">
      <formula>"PAR"</formula>
    </cfRule>
    <cfRule type="cellIs" dxfId="325" priority="297" stopIfTrue="1" operator="equal">
      <formula>"CLP"</formula>
    </cfRule>
    <cfRule type="cellIs" dxfId="324" priority="298" stopIfTrue="1" operator="equal">
      <formula>"HAT"</formula>
    </cfRule>
    <cfRule type="cellIs" dxfId="323" priority="299" stopIfTrue="1" operator="equal">
      <formula>"LIB"</formula>
    </cfRule>
    <cfRule type="cellIs" dxfId="322" priority="300" stopIfTrue="1" operator="equal">
      <formula>"BA"</formula>
    </cfRule>
    <cfRule type="cellIs" dxfId="321" priority="301" stopIfTrue="1" operator="equal">
      <formula>"SPA"</formula>
    </cfRule>
    <cfRule type="cellIs" dxfId="320" priority="302" stopIfTrue="1" operator="equal">
      <formula>"OST"</formula>
    </cfRule>
    <cfRule type="cellIs" dxfId="319" priority="303" stopIfTrue="1" operator="equal">
      <formula>"BOH"</formula>
    </cfRule>
    <cfRule type="cellIs" dxfId="318" priority="304" stopIfTrue="1" operator="equal">
      <formula>"TAT"</formula>
    </cfRule>
    <cfRule type="cellIs" dxfId="317" priority="305" stopIfTrue="1" operator="equal">
      <formula>"MB"</formula>
    </cfRule>
    <cfRule type="cellIs" dxfId="316" priority="306" stopIfTrue="1" operator="equal">
      <formula>"VIT"</formula>
    </cfRule>
    <cfRule type="cellIs" dxfId="315" priority="307" stopIfTrue="1" operator="equal">
      <formula>"CHO"</formula>
    </cfRule>
    <cfRule type="cellIs" dxfId="314" priority="308" stopIfTrue="1" operator="equal">
      <formula>"SKV"</formula>
    </cfRule>
  </conditionalFormatting>
  <conditionalFormatting sqref="BJ8:BM9">
    <cfRule type="cellIs" dxfId="313" priority="281" stopIfTrue="1" operator="equal">
      <formula>"OTR"</formula>
    </cfRule>
    <cfRule type="cellIs" dxfId="312" priority="282" stopIfTrue="1" operator="equal">
      <formula>"PAR"</formula>
    </cfRule>
    <cfRule type="cellIs" dxfId="311" priority="283" stopIfTrue="1" operator="equal">
      <formula>"CLP"</formula>
    </cfRule>
    <cfRule type="cellIs" dxfId="310" priority="284" stopIfTrue="1" operator="equal">
      <formula>"HAT"</formula>
    </cfRule>
    <cfRule type="cellIs" dxfId="309" priority="285" stopIfTrue="1" operator="equal">
      <formula>"LIB"</formula>
    </cfRule>
    <cfRule type="cellIs" dxfId="308" priority="286" stopIfTrue="1" operator="equal">
      <formula>"BA"</formula>
    </cfRule>
    <cfRule type="cellIs" dxfId="307" priority="287" stopIfTrue="1" operator="equal">
      <formula>"SPA"</formula>
    </cfRule>
    <cfRule type="cellIs" dxfId="306" priority="288" stopIfTrue="1" operator="equal">
      <formula>"OST"</formula>
    </cfRule>
    <cfRule type="cellIs" dxfId="305" priority="289" stopIfTrue="1" operator="equal">
      <formula>"BOH"</formula>
    </cfRule>
    <cfRule type="cellIs" dxfId="304" priority="290" stopIfTrue="1" operator="equal">
      <formula>"TAT"</formula>
    </cfRule>
    <cfRule type="cellIs" dxfId="303" priority="291" stopIfTrue="1" operator="equal">
      <formula>"MB"</formula>
    </cfRule>
    <cfRule type="cellIs" dxfId="302" priority="292" stopIfTrue="1" operator="equal">
      <formula>"VIT"</formula>
    </cfRule>
    <cfRule type="cellIs" dxfId="301" priority="293" stopIfTrue="1" operator="equal">
      <formula>"CHO"</formula>
    </cfRule>
    <cfRule type="cellIs" dxfId="300" priority="294" stopIfTrue="1" operator="equal">
      <formula>"SKV"</formula>
    </cfRule>
  </conditionalFormatting>
  <conditionalFormatting sqref="BJ30:BM31">
    <cfRule type="cellIs" dxfId="299" priority="267" stopIfTrue="1" operator="equal">
      <formula>"OTR"</formula>
    </cfRule>
    <cfRule type="cellIs" dxfId="298" priority="268" stopIfTrue="1" operator="equal">
      <formula>"PAR"</formula>
    </cfRule>
    <cfRule type="cellIs" dxfId="297" priority="269" stopIfTrue="1" operator="equal">
      <formula>"CLP"</formula>
    </cfRule>
    <cfRule type="cellIs" dxfId="296" priority="270" stopIfTrue="1" operator="equal">
      <formula>"HAT"</formula>
    </cfRule>
    <cfRule type="cellIs" dxfId="295" priority="271" stopIfTrue="1" operator="equal">
      <formula>"LIB"</formula>
    </cfRule>
    <cfRule type="cellIs" dxfId="294" priority="272" stopIfTrue="1" operator="equal">
      <formula>"BA"</formula>
    </cfRule>
    <cfRule type="cellIs" dxfId="293" priority="273" stopIfTrue="1" operator="equal">
      <formula>"SPA"</formula>
    </cfRule>
    <cfRule type="cellIs" dxfId="292" priority="274" stopIfTrue="1" operator="equal">
      <formula>"OST"</formula>
    </cfRule>
    <cfRule type="cellIs" dxfId="291" priority="275" stopIfTrue="1" operator="equal">
      <formula>"BOH"</formula>
    </cfRule>
    <cfRule type="cellIs" dxfId="290" priority="276" stopIfTrue="1" operator="equal">
      <formula>"TAT"</formula>
    </cfRule>
    <cfRule type="cellIs" dxfId="289" priority="277" stopIfTrue="1" operator="equal">
      <formula>"MB"</formula>
    </cfRule>
    <cfRule type="cellIs" dxfId="288" priority="278" stopIfTrue="1" operator="equal">
      <formula>"VIT"</formula>
    </cfRule>
    <cfRule type="cellIs" dxfId="287" priority="279" stopIfTrue="1" operator="equal">
      <formula>"CHO"</formula>
    </cfRule>
    <cfRule type="cellIs" dxfId="286" priority="280" stopIfTrue="1" operator="equal">
      <formula>"SKV"</formula>
    </cfRule>
  </conditionalFormatting>
  <conditionalFormatting sqref="BJ19:BM20">
    <cfRule type="cellIs" dxfId="285" priority="253" stopIfTrue="1" operator="equal">
      <formula>"OTR"</formula>
    </cfRule>
    <cfRule type="cellIs" dxfId="284" priority="254" stopIfTrue="1" operator="equal">
      <formula>"PAR"</formula>
    </cfRule>
    <cfRule type="cellIs" dxfId="283" priority="255" stopIfTrue="1" operator="equal">
      <formula>"CLP"</formula>
    </cfRule>
    <cfRule type="cellIs" dxfId="282" priority="256" stopIfTrue="1" operator="equal">
      <formula>"HAT"</formula>
    </cfRule>
    <cfRule type="cellIs" dxfId="281" priority="257" stopIfTrue="1" operator="equal">
      <formula>"LIB"</formula>
    </cfRule>
    <cfRule type="cellIs" dxfId="280" priority="258" stopIfTrue="1" operator="equal">
      <formula>"BA"</formula>
    </cfRule>
    <cfRule type="cellIs" dxfId="279" priority="259" stopIfTrue="1" operator="equal">
      <formula>"SPA"</formula>
    </cfRule>
    <cfRule type="cellIs" dxfId="278" priority="260" stopIfTrue="1" operator="equal">
      <formula>"OST"</formula>
    </cfRule>
    <cfRule type="cellIs" dxfId="277" priority="261" stopIfTrue="1" operator="equal">
      <formula>"BOH"</formula>
    </cfRule>
    <cfRule type="cellIs" dxfId="276" priority="262" stopIfTrue="1" operator="equal">
      <formula>"TAT"</formula>
    </cfRule>
    <cfRule type="cellIs" dxfId="275" priority="263" stopIfTrue="1" operator="equal">
      <formula>"MB"</formula>
    </cfRule>
    <cfRule type="cellIs" dxfId="274" priority="264" stopIfTrue="1" operator="equal">
      <formula>"VIT"</formula>
    </cfRule>
    <cfRule type="cellIs" dxfId="273" priority="265" stopIfTrue="1" operator="equal">
      <formula>"CHO"</formula>
    </cfRule>
    <cfRule type="cellIs" dxfId="272" priority="266" stopIfTrue="1" operator="equal">
      <formula>"SKV"</formula>
    </cfRule>
  </conditionalFormatting>
  <conditionalFormatting sqref="CB8:CE9">
    <cfRule type="cellIs" dxfId="271" priority="239" stopIfTrue="1" operator="equal">
      <formula>"OTR"</formula>
    </cfRule>
    <cfRule type="cellIs" dxfId="270" priority="240" stopIfTrue="1" operator="equal">
      <formula>"PAR"</formula>
    </cfRule>
    <cfRule type="cellIs" dxfId="269" priority="241" stopIfTrue="1" operator="equal">
      <formula>"CLP"</formula>
    </cfRule>
    <cfRule type="cellIs" dxfId="268" priority="242" stopIfTrue="1" operator="equal">
      <formula>"HAT"</formula>
    </cfRule>
    <cfRule type="cellIs" dxfId="267" priority="243" stopIfTrue="1" operator="equal">
      <formula>"LIB"</formula>
    </cfRule>
    <cfRule type="cellIs" dxfId="266" priority="244" stopIfTrue="1" operator="equal">
      <formula>"BA"</formula>
    </cfRule>
    <cfRule type="cellIs" dxfId="265" priority="245" stopIfTrue="1" operator="equal">
      <formula>"SPA"</formula>
    </cfRule>
    <cfRule type="cellIs" dxfId="264" priority="246" stopIfTrue="1" operator="equal">
      <formula>"OST"</formula>
    </cfRule>
    <cfRule type="cellIs" dxfId="263" priority="247" stopIfTrue="1" operator="equal">
      <formula>"BOH"</formula>
    </cfRule>
    <cfRule type="cellIs" dxfId="262" priority="248" stopIfTrue="1" operator="equal">
      <formula>"TAT"</formula>
    </cfRule>
    <cfRule type="cellIs" dxfId="261" priority="249" stopIfTrue="1" operator="equal">
      <formula>"MB"</formula>
    </cfRule>
    <cfRule type="cellIs" dxfId="260" priority="250" stopIfTrue="1" operator="equal">
      <formula>"VIT"</formula>
    </cfRule>
    <cfRule type="cellIs" dxfId="259" priority="251" stopIfTrue="1" operator="equal">
      <formula>"CHO"</formula>
    </cfRule>
    <cfRule type="cellIs" dxfId="258" priority="252" stopIfTrue="1" operator="equal">
      <formula>"SKV"</formula>
    </cfRule>
  </conditionalFormatting>
  <conditionalFormatting sqref="CB30:CE31">
    <cfRule type="cellIs" dxfId="257" priority="225" stopIfTrue="1" operator="equal">
      <formula>"OTR"</formula>
    </cfRule>
    <cfRule type="cellIs" dxfId="256" priority="226" stopIfTrue="1" operator="equal">
      <formula>"PAR"</formula>
    </cfRule>
    <cfRule type="cellIs" dxfId="255" priority="227" stopIfTrue="1" operator="equal">
      <formula>"CLP"</formula>
    </cfRule>
    <cfRule type="cellIs" dxfId="254" priority="228" stopIfTrue="1" operator="equal">
      <formula>"HAT"</formula>
    </cfRule>
    <cfRule type="cellIs" dxfId="253" priority="229" stopIfTrue="1" operator="equal">
      <formula>"LIB"</formula>
    </cfRule>
    <cfRule type="cellIs" dxfId="252" priority="230" stopIfTrue="1" operator="equal">
      <formula>"BA"</formula>
    </cfRule>
    <cfRule type="cellIs" dxfId="251" priority="231" stopIfTrue="1" operator="equal">
      <formula>"SPA"</formula>
    </cfRule>
    <cfRule type="cellIs" dxfId="250" priority="232" stopIfTrue="1" operator="equal">
      <formula>"OST"</formula>
    </cfRule>
    <cfRule type="cellIs" dxfId="249" priority="233" stopIfTrue="1" operator="equal">
      <formula>"BOH"</formula>
    </cfRule>
    <cfRule type="cellIs" dxfId="248" priority="234" stopIfTrue="1" operator="equal">
      <formula>"TAT"</formula>
    </cfRule>
    <cfRule type="cellIs" dxfId="247" priority="235" stopIfTrue="1" operator="equal">
      <formula>"MB"</formula>
    </cfRule>
    <cfRule type="cellIs" dxfId="246" priority="236" stopIfTrue="1" operator="equal">
      <formula>"VIT"</formula>
    </cfRule>
    <cfRule type="cellIs" dxfId="245" priority="237" stopIfTrue="1" operator="equal">
      <formula>"CHO"</formula>
    </cfRule>
    <cfRule type="cellIs" dxfId="244" priority="238" stopIfTrue="1" operator="equal">
      <formula>"SKV"</formula>
    </cfRule>
  </conditionalFormatting>
  <conditionalFormatting sqref="CB19:CE20">
    <cfRule type="cellIs" dxfId="243" priority="211" stopIfTrue="1" operator="equal">
      <formula>"OTR"</formula>
    </cfRule>
    <cfRule type="cellIs" dxfId="242" priority="212" stopIfTrue="1" operator="equal">
      <formula>"PAR"</formula>
    </cfRule>
    <cfRule type="cellIs" dxfId="241" priority="213" stopIfTrue="1" operator="equal">
      <formula>"CLP"</formula>
    </cfRule>
    <cfRule type="cellIs" dxfId="240" priority="214" stopIfTrue="1" operator="equal">
      <formula>"HAT"</formula>
    </cfRule>
    <cfRule type="cellIs" dxfId="239" priority="215" stopIfTrue="1" operator="equal">
      <formula>"LIB"</formula>
    </cfRule>
    <cfRule type="cellIs" dxfId="238" priority="216" stopIfTrue="1" operator="equal">
      <formula>"BA"</formula>
    </cfRule>
    <cfRule type="cellIs" dxfId="237" priority="217" stopIfTrue="1" operator="equal">
      <formula>"SPA"</formula>
    </cfRule>
    <cfRule type="cellIs" dxfId="236" priority="218" stopIfTrue="1" operator="equal">
      <formula>"OST"</formula>
    </cfRule>
    <cfRule type="cellIs" dxfId="235" priority="219" stopIfTrue="1" operator="equal">
      <formula>"BOH"</formula>
    </cfRule>
    <cfRule type="cellIs" dxfId="234" priority="220" stopIfTrue="1" operator="equal">
      <formula>"TAT"</formula>
    </cfRule>
    <cfRule type="cellIs" dxfId="233" priority="221" stopIfTrue="1" operator="equal">
      <formula>"MB"</formula>
    </cfRule>
    <cfRule type="cellIs" dxfId="232" priority="222" stopIfTrue="1" operator="equal">
      <formula>"VIT"</formula>
    </cfRule>
    <cfRule type="cellIs" dxfId="231" priority="223" stopIfTrue="1" operator="equal">
      <formula>"CHO"</formula>
    </cfRule>
    <cfRule type="cellIs" dxfId="230" priority="224" stopIfTrue="1" operator="equal">
      <formula>"SKV"</formula>
    </cfRule>
  </conditionalFormatting>
  <conditionalFormatting sqref="CT8:CW9">
    <cfRule type="cellIs" dxfId="229" priority="197" stopIfTrue="1" operator="equal">
      <formula>"OTR"</formula>
    </cfRule>
    <cfRule type="cellIs" dxfId="228" priority="198" stopIfTrue="1" operator="equal">
      <formula>"PAR"</formula>
    </cfRule>
    <cfRule type="cellIs" dxfId="227" priority="199" stopIfTrue="1" operator="equal">
      <formula>"CLP"</formula>
    </cfRule>
    <cfRule type="cellIs" dxfId="226" priority="200" stopIfTrue="1" operator="equal">
      <formula>"HAT"</formula>
    </cfRule>
    <cfRule type="cellIs" dxfId="225" priority="201" stopIfTrue="1" operator="equal">
      <formula>"LIB"</formula>
    </cfRule>
    <cfRule type="cellIs" dxfId="224" priority="202" stopIfTrue="1" operator="equal">
      <formula>"BA"</formula>
    </cfRule>
    <cfRule type="cellIs" dxfId="223" priority="203" stopIfTrue="1" operator="equal">
      <formula>"SPA"</formula>
    </cfRule>
    <cfRule type="cellIs" dxfId="222" priority="204" stopIfTrue="1" operator="equal">
      <formula>"OST"</formula>
    </cfRule>
    <cfRule type="cellIs" dxfId="221" priority="205" stopIfTrue="1" operator="equal">
      <formula>"BOH"</formula>
    </cfRule>
    <cfRule type="cellIs" dxfId="220" priority="206" stopIfTrue="1" operator="equal">
      <formula>"TAT"</formula>
    </cfRule>
    <cfRule type="cellIs" dxfId="219" priority="207" stopIfTrue="1" operator="equal">
      <formula>"MB"</formula>
    </cfRule>
    <cfRule type="cellIs" dxfId="218" priority="208" stopIfTrue="1" operator="equal">
      <formula>"VIT"</formula>
    </cfRule>
    <cfRule type="cellIs" dxfId="217" priority="209" stopIfTrue="1" operator="equal">
      <formula>"CHO"</formula>
    </cfRule>
    <cfRule type="cellIs" dxfId="216" priority="210" stopIfTrue="1" operator="equal">
      <formula>"SKV"</formula>
    </cfRule>
  </conditionalFormatting>
  <conditionalFormatting sqref="CT30:CW31">
    <cfRule type="cellIs" dxfId="215" priority="183" stopIfTrue="1" operator="equal">
      <formula>"OTR"</formula>
    </cfRule>
    <cfRule type="cellIs" dxfId="214" priority="184" stopIfTrue="1" operator="equal">
      <formula>"PAR"</formula>
    </cfRule>
    <cfRule type="cellIs" dxfId="213" priority="185" stopIfTrue="1" operator="equal">
      <formula>"CLP"</formula>
    </cfRule>
    <cfRule type="cellIs" dxfId="212" priority="186" stopIfTrue="1" operator="equal">
      <formula>"HAT"</formula>
    </cfRule>
    <cfRule type="cellIs" dxfId="211" priority="187" stopIfTrue="1" operator="equal">
      <formula>"LIB"</formula>
    </cfRule>
    <cfRule type="cellIs" dxfId="210" priority="188" stopIfTrue="1" operator="equal">
      <formula>"BA"</formula>
    </cfRule>
    <cfRule type="cellIs" dxfId="209" priority="189" stopIfTrue="1" operator="equal">
      <formula>"SPA"</formula>
    </cfRule>
    <cfRule type="cellIs" dxfId="208" priority="190" stopIfTrue="1" operator="equal">
      <formula>"OST"</formula>
    </cfRule>
    <cfRule type="cellIs" dxfId="207" priority="191" stopIfTrue="1" operator="equal">
      <formula>"BOH"</formula>
    </cfRule>
    <cfRule type="cellIs" dxfId="206" priority="192" stopIfTrue="1" operator="equal">
      <formula>"TAT"</formula>
    </cfRule>
    <cfRule type="cellIs" dxfId="205" priority="193" stopIfTrue="1" operator="equal">
      <formula>"MB"</formula>
    </cfRule>
    <cfRule type="cellIs" dxfId="204" priority="194" stopIfTrue="1" operator="equal">
      <formula>"VIT"</formula>
    </cfRule>
    <cfRule type="cellIs" dxfId="203" priority="195" stopIfTrue="1" operator="equal">
      <formula>"CHO"</formula>
    </cfRule>
    <cfRule type="cellIs" dxfId="202" priority="196" stopIfTrue="1" operator="equal">
      <formula>"SKV"</formula>
    </cfRule>
  </conditionalFormatting>
  <conditionalFormatting sqref="CT19:CW20">
    <cfRule type="cellIs" dxfId="201" priority="169" stopIfTrue="1" operator="equal">
      <formula>"OTR"</formula>
    </cfRule>
    <cfRule type="cellIs" dxfId="200" priority="170" stopIfTrue="1" operator="equal">
      <formula>"PAR"</formula>
    </cfRule>
    <cfRule type="cellIs" dxfId="199" priority="171" stopIfTrue="1" operator="equal">
      <formula>"CLP"</formula>
    </cfRule>
    <cfRule type="cellIs" dxfId="198" priority="172" stopIfTrue="1" operator="equal">
      <formula>"HAT"</formula>
    </cfRule>
    <cfRule type="cellIs" dxfId="197" priority="173" stopIfTrue="1" operator="equal">
      <formula>"LIB"</formula>
    </cfRule>
    <cfRule type="cellIs" dxfId="196" priority="174" stopIfTrue="1" operator="equal">
      <formula>"BA"</formula>
    </cfRule>
    <cfRule type="cellIs" dxfId="195" priority="175" stopIfTrue="1" operator="equal">
      <formula>"SPA"</formula>
    </cfRule>
    <cfRule type="cellIs" dxfId="194" priority="176" stopIfTrue="1" operator="equal">
      <formula>"OST"</formula>
    </cfRule>
    <cfRule type="cellIs" dxfId="193" priority="177" stopIfTrue="1" operator="equal">
      <formula>"BOH"</formula>
    </cfRule>
    <cfRule type="cellIs" dxfId="192" priority="178" stopIfTrue="1" operator="equal">
      <formula>"TAT"</formula>
    </cfRule>
    <cfRule type="cellIs" dxfId="191" priority="179" stopIfTrue="1" operator="equal">
      <formula>"MB"</formula>
    </cfRule>
    <cfRule type="cellIs" dxfId="190" priority="180" stopIfTrue="1" operator="equal">
      <formula>"VIT"</formula>
    </cfRule>
    <cfRule type="cellIs" dxfId="189" priority="181" stopIfTrue="1" operator="equal">
      <formula>"CHO"</formula>
    </cfRule>
    <cfRule type="cellIs" dxfId="188" priority="182" stopIfTrue="1" operator="equal">
      <formula>"SKV"</formula>
    </cfRule>
  </conditionalFormatting>
  <conditionalFormatting sqref="DL8:DO9">
    <cfRule type="cellIs" dxfId="187" priority="155" stopIfTrue="1" operator="equal">
      <formula>"OTR"</formula>
    </cfRule>
    <cfRule type="cellIs" dxfId="186" priority="156" stopIfTrue="1" operator="equal">
      <formula>"PAR"</formula>
    </cfRule>
    <cfRule type="cellIs" dxfId="185" priority="157" stopIfTrue="1" operator="equal">
      <formula>"CLP"</formula>
    </cfRule>
    <cfRule type="cellIs" dxfId="184" priority="158" stopIfTrue="1" operator="equal">
      <formula>"HAT"</formula>
    </cfRule>
    <cfRule type="cellIs" dxfId="183" priority="159" stopIfTrue="1" operator="equal">
      <formula>"LIB"</formula>
    </cfRule>
    <cfRule type="cellIs" dxfId="182" priority="160" stopIfTrue="1" operator="equal">
      <formula>"BA"</formula>
    </cfRule>
    <cfRule type="cellIs" dxfId="181" priority="161" stopIfTrue="1" operator="equal">
      <formula>"SPA"</formula>
    </cfRule>
    <cfRule type="cellIs" dxfId="180" priority="162" stopIfTrue="1" operator="equal">
      <formula>"OST"</formula>
    </cfRule>
    <cfRule type="cellIs" dxfId="179" priority="163" stopIfTrue="1" operator="equal">
      <formula>"BOH"</formula>
    </cfRule>
    <cfRule type="cellIs" dxfId="178" priority="164" stopIfTrue="1" operator="equal">
      <formula>"TAT"</formula>
    </cfRule>
    <cfRule type="cellIs" dxfId="177" priority="165" stopIfTrue="1" operator="equal">
      <formula>"MB"</formula>
    </cfRule>
    <cfRule type="cellIs" dxfId="176" priority="166" stopIfTrue="1" operator="equal">
      <formula>"VIT"</formula>
    </cfRule>
    <cfRule type="cellIs" dxfId="175" priority="167" stopIfTrue="1" operator="equal">
      <formula>"CHO"</formula>
    </cfRule>
    <cfRule type="cellIs" dxfId="174" priority="168" stopIfTrue="1" operator="equal">
      <formula>"SKV"</formula>
    </cfRule>
  </conditionalFormatting>
  <conditionalFormatting sqref="DL30:DO31">
    <cfRule type="cellIs" dxfId="173" priority="141" stopIfTrue="1" operator="equal">
      <formula>"OTR"</formula>
    </cfRule>
    <cfRule type="cellIs" dxfId="172" priority="142" stopIfTrue="1" operator="equal">
      <formula>"PAR"</formula>
    </cfRule>
    <cfRule type="cellIs" dxfId="171" priority="143" stopIfTrue="1" operator="equal">
      <formula>"CLP"</formula>
    </cfRule>
    <cfRule type="cellIs" dxfId="170" priority="144" stopIfTrue="1" operator="equal">
      <formula>"HAT"</formula>
    </cfRule>
    <cfRule type="cellIs" dxfId="169" priority="145" stopIfTrue="1" operator="equal">
      <formula>"LIB"</formula>
    </cfRule>
    <cfRule type="cellIs" dxfId="168" priority="146" stopIfTrue="1" operator="equal">
      <formula>"BA"</formula>
    </cfRule>
    <cfRule type="cellIs" dxfId="167" priority="147" stopIfTrue="1" operator="equal">
      <formula>"SPA"</formula>
    </cfRule>
    <cfRule type="cellIs" dxfId="166" priority="148" stopIfTrue="1" operator="equal">
      <formula>"OST"</formula>
    </cfRule>
    <cfRule type="cellIs" dxfId="165" priority="149" stopIfTrue="1" operator="equal">
      <formula>"BOH"</formula>
    </cfRule>
    <cfRule type="cellIs" dxfId="164" priority="150" stopIfTrue="1" operator="equal">
      <formula>"TAT"</formula>
    </cfRule>
    <cfRule type="cellIs" dxfId="163" priority="151" stopIfTrue="1" operator="equal">
      <formula>"MB"</formula>
    </cfRule>
    <cfRule type="cellIs" dxfId="162" priority="152" stopIfTrue="1" operator="equal">
      <formula>"VIT"</formula>
    </cfRule>
    <cfRule type="cellIs" dxfId="161" priority="153" stopIfTrue="1" operator="equal">
      <formula>"CHO"</formula>
    </cfRule>
    <cfRule type="cellIs" dxfId="160" priority="154" stopIfTrue="1" operator="equal">
      <formula>"SKV"</formula>
    </cfRule>
  </conditionalFormatting>
  <conditionalFormatting sqref="DL19:DO20">
    <cfRule type="cellIs" dxfId="159" priority="127" stopIfTrue="1" operator="equal">
      <formula>"OTR"</formula>
    </cfRule>
    <cfRule type="cellIs" dxfId="158" priority="128" stopIfTrue="1" operator="equal">
      <formula>"PAR"</formula>
    </cfRule>
    <cfRule type="cellIs" dxfId="157" priority="129" stopIfTrue="1" operator="equal">
      <formula>"CLP"</formula>
    </cfRule>
    <cfRule type="cellIs" dxfId="156" priority="130" stopIfTrue="1" operator="equal">
      <formula>"HAT"</formula>
    </cfRule>
    <cfRule type="cellIs" dxfId="155" priority="131" stopIfTrue="1" operator="equal">
      <formula>"LIB"</formula>
    </cfRule>
    <cfRule type="cellIs" dxfId="154" priority="132" stopIfTrue="1" operator="equal">
      <formula>"BA"</formula>
    </cfRule>
    <cfRule type="cellIs" dxfId="153" priority="133" stopIfTrue="1" operator="equal">
      <formula>"SPA"</formula>
    </cfRule>
    <cfRule type="cellIs" dxfId="152" priority="134" stopIfTrue="1" operator="equal">
      <formula>"OST"</formula>
    </cfRule>
    <cfRule type="cellIs" dxfId="151" priority="135" stopIfTrue="1" operator="equal">
      <formula>"BOH"</formula>
    </cfRule>
    <cfRule type="cellIs" dxfId="150" priority="136" stopIfTrue="1" operator="equal">
      <formula>"TAT"</formula>
    </cfRule>
    <cfRule type="cellIs" dxfId="149" priority="137" stopIfTrue="1" operator="equal">
      <formula>"MB"</formula>
    </cfRule>
    <cfRule type="cellIs" dxfId="148" priority="138" stopIfTrue="1" operator="equal">
      <formula>"VIT"</formula>
    </cfRule>
    <cfRule type="cellIs" dxfId="147" priority="139" stopIfTrue="1" operator="equal">
      <formula>"CHO"</formula>
    </cfRule>
    <cfRule type="cellIs" dxfId="146" priority="140" stopIfTrue="1" operator="equal">
      <formula>"SKV"</formula>
    </cfRule>
  </conditionalFormatting>
  <conditionalFormatting sqref="ED8:EG9">
    <cfRule type="cellIs" dxfId="145" priority="113" stopIfTrue="1" operator="equal">
      <formula>"OTR"</formula>
    </cfRule>
    <cfRule type="cellIs" dxfId="144" priority="114" stopIfTrue="1" operator="equal">
      <formula>"PAR"</formula>
    </cfRule>
    <cfRule type="cellIs" dxfId="143" priority="115" stopIfTrue="1" operator="equal">
      <formula>"CLP"</formula>
    </cfRule>
    <cfRule type="cellIs" dxfId="142" priority="116" stopIfTrue="1" operator="equal">
      <formula>"HAT"</formula>
    </cfRule>
    <cfRule type="cellIs" dxfId="141" priority="117" stopIfTrue="1" operator="equal">
      <formula>"LIB"</formula>
    </cfRule>
    <cfRule type="cellIs" dxfId="140" priority="118" stopIfTrue="1" operator="equal">
      <formula>"BA"</formula>
    </cfRule>
    <cfRule type="cellIs" dxfId="139" priority="119" stopIfTrue="1" operator="equal">
      <formula>"SPA"</formula>
    </cfRule>
    <cfRule type="cellIs" dxfId="138" priority="120" stopIfTrue="1" operator="equal">
      <formula>"OST"</formula>
    </cfRule>
    <cfRule type="cellIs" dxfId="137" priority="121" stopIfTrue="1" operator="equal">
      <formula>"BOH"</formula>
    </cfRule>
    <cfRule type="cellIs" dxfId="136" priority="122" stopIfTrue="1" operator="equal">
      <formula>"TAT"</formula>
    </cfRule>
    <cfRule type="cellIs" dxfId="135" priority="123" stopIfTrue="1" operator="equal">
      <formula>"MB"</formula>
    </cfRule>
    <cfRule type="cellIs" dxfId="134" priority="124" stopIfTrue="1" operator="equal">
      <formula>"VIT"</formula>
    </cfRule>
    <cfRule type="cellIs" dxfId="133" priority="125" stopIfTrue="1" operator="equal">
      <formula>"CHO"</formula>
    </cfRule>
    <cfRule type="cellIs" dxfId="132" priority="126" stopIfTrue="1" operator="equal">
      <formula>"SKV"</formula>
    </cfRule>
  </conditionalFormatting>
  <conditionalFormatting sqref="ED30:EG31">
    <cfRule type="cellIs" dxfId="131" priority="99" stopIfTrue="1" operator="equal">
      <formula>"OTR"</formula>
    </cfRule>
    <cfRule type="cellIs" dxfId="130" priority="100" stopIfTrue="1" operator="equal">
      <formula>"PAR"</formula>
    </cfRule>
    <cfRule type="cellIs" dxfId="129" priority="101" stopIfTrue="1" operator="equal">
      <formula>"CLP"</formula>
    </cfRule>
    <cfRule type="cellIs" dxfId="128" priority="102" stopIfTrue="1" operator="equal">
      <formula>"HAT"</formula>
    </cfRule>
    <cfRule type="cellIs" dxfId="127" priority="103" stopIfTrue="1" operator="equal">
      <formula>"LIB"</formula>
    </cfRule>
    <cfRule type="cellIs" dxfId="126" priority="104" stopIfTrue="1" operator="equal">
      <formula>"BA"</formula>
    </cfRule>
    <cfRule type="cellIs" dxfId="125" priority="105" stopIfTrue="1" operator="equal">
      <formula>"SPA"</formula>
    </cfRule>
    <cfRule type="cellIs" dxfId="124" priority="106" stopIfTrue="1" operator="equal">
      <formula>"OST"</formula>
    </cfRule>
    <cfRule type="cellIs" dxfId="123" priority="107" stopIfTrue="1" operator="equal">
      <formula>"BOH"</formula>
    </cfRule>
    <cfRule type="cellIs" dxfId="122" priority="108" stopIfTrue="1" operator="equal">
      <formula>"TAT"</formula>
    </cfRule>
    <cfRule type="cellIs" dxfId="121" priority="109" stopIfTrue="1" operator="equal">
      <formula>"MB"</formula>
    </cfRule>
    <cfRule type="cellIs" dxfId="120" priority="110" stopIfTrue="1" operator="equal">
      <formula>"VIT"</formula>
    </cfRule>
    <cfRule type="cellIs" dxfId="119" priority="111" stopIfTrue="1" operator="equal">
      <formula>"CHO"</formula>
    </cfRule>
    <cfRule type="cellIs" dxfId="118" priority="112" stopIfTrue="1" operator="equal">
      <formula>"SKV"</formula>
    </cfRule>
  </conditionalFormatting>
  <conditionalFormatting sqref="ED19:EG20">
    <cfRule type="cellIs" dxfId="117" priority="85" stopIfTrue="1" operator="equal">
      <formula>"OTR"</formula>
    </cfRule>
    <cfRule type="cellIs" dxfId="116" priority="86" stopIfTrue="1" operator="equal">
      <formula>"PAR"</formula>
    </cfRule>
    <cfRule type="cellIs" dxfId="115" priority="87" stopIfTrue="1" operator="equal">
      <formula>"CLP"</formula>
    </cfRule>
    <cfRule type="cellIs" dxfId="114" priority="88" stopIfTrue="1" operator="equal">
      <formula>"HAT"</formula>
    </cfRule>
    <cfRule type="cellIs" dxfId="113" priority="89" stopIfTrue="1" operator="equal">
      <formula>"LIB"</formula>
    </cfRule>
    <cfRule type="cellIs" dxfId="112" priority="90" stopIfTrue="1" operator="equal">
      <formula>"BA"</formula>
    </cfRule>
    <cfRule type="cellIs" dxfId="111" priority="91" stopIfTrue="1" operator="equal">
      <formula>"SPA"</formula>
    </cfRule>
    <cfRule type="cellIs" dxfId="110" priority="92" stopIfTrue="1" operator="equal">
      <formula>"OST"</formula>
    </cfRule>
    <cfRule type="cellIs" dxfId="109" priority="93" stopIfTrue="1" operator="equal">
      <formula>"BOH"</formula>
    </cfRule>
    <cfRule type="cellIs" dxfId="108" priority="94" stopIfTrue="1" operator="equal">
      <formula>"TAT"</formula>
    </cfRule>
    <cfRule type="cellIs" dxfId="107" priority="95" stopIfTrue="1" operator="equal">
      <formula>"MB"</formula>
    </cfRule>
    <cfRule type="cellIs" dxfId="106" priority="96" stopIfTrue="1" operator="equal">
      <formula>"VIT"</formula>
    </cfRule>
    <cfRule type="cellIs" dxfId="105" priority="97" stopIfTrue="1" operator="equal">
      <formula>"CHO"</formula>
    </cfRule>
    <cfRule type="cellIs" dxfId="104" priority="98" stopIfTrue="1" operator="equal">
      <formula>"SKV"</formula>
    </cfRule>
  </conditionalFormatting>
  <conditionalFormatting sqref="EV8:EY9">
    <cfRule type="cellIs" dxfId="83" priority="71" stopIfTrue="1" operator="equal">
      <formula>"OTR"</formula>
    </cfRule>
    <cfRule type="cellIs" dxfId="82" priority="72" stopIfTrue="1" operator="equal">
      <formula>"PAR"</formula>
    </cfRule>
    <cfRule type="cellIs" dxfId="81" priority="73" stopIfTrue="1" operator="equal">
      <formula>"CLP"</formula>
    </cfRule>
    <cfRule type="cellIs" dxfId="80" priority="74" stopIfTrue="1" operator="equal">
      <formula>"HAT"</formula>
    </cfRule>
    <cfRule type="cellIs" dxfId="79" priority="75" stopIfTrue="1" operator="equal">
      <formula>"LIB"</formula>
    </cfRule>
    <cfRule type="cellIs" dxfId="78" priority="76" stopIfTrue="1" operator="equal">
      <formula>"BA"</formula>
    </cfRule>
    <cfRule type="cellIs" dxfId="77" priority="77" stopIfTrue="1" operator="equal">
      <formula>"SPA"</formula>
    </cfRule>
    <cfRule type="cellIs" dxfId="76" priority="78" stopIfTrue="1" operator="equal">
      <formula>"OST"</formula>
    </cfRule>
    <cfRule type="cellIs" dxfId="75" priority="79" stopIfTrue="1" operator="equal">
      <formula>"BOH"</formula>
    </cfRule>
    <cfRule type="cellIs" dxfId="74" priority="80" stopIfTrue="1" operator="equal">
      <formula>"TAT"</formula>
    </cfRule>
    <cfRule type="cellIs" dxfId="73" priority="81" stopIfTrue="1" operator="equal">
      <formula>"MB"</formula>
    </cfRule>
    <cfRule type="cellIs" dxfId="72" priority="82" stopIfTrue="1" operator="equal">
      <formula>"VIT"</formula>
    </cfRule>
    <cfRule type="cellIs" dxfId="71" priority="83" stopIfTrue="1" operator="equal">
      <formula>"CHO"</formula>
    </cfRule>
    <cfRule type="cellIs" dxfId="70" priority="84" stopIfTrue="1" operator="equal">
      <formula>"SKV"</formula>
    </cfRule>
  </conditionalFormatting>
  <conditionalFormatting sqref="EV30:EY31">
    <cfRule type="cellIs" dxfId="69" priority="57" stopIfTrue="1" operator="equal">
      <formula>"OTR"</formula>
    </cfRule>
    <cfRule type="cellIs" dxfId="68" priority="58" stopIfTrue="1" operator="equal">
      <formula>"PAR"</formula>
    </cfRule>
    <cfRule type="cellIs" dxfId="67" priority="59" stopIfTrue="1" operator="equal">
      <formula>"CLP"</formula>
    </cfRule>
    <cfRule type="cellIs" dxfId="66" priority="60" stopIfTrue="1" operator="equal">
      <formula>"HAT"</formula>
    </cfRule>
    <cfRule type="cellIs" dxfId="65" priority="61" stopIfTrue="1" operator="equal">
      <formula>"LIB"</formula>
    </cfRule>
    <cfRule type="cellIs" dxfId="64" priority="62" stopIfTrue="1" operator="equal">
      <formula>"BA"</formula>
    </cfRule>
    <cfRule type="cellIs" dxfId="63" priority="63" stopIfTrue="1" operator="equal">
      <formula>"SPA"</formula>
    </cfRule>
    <cfRule type="cellIs" dxfId="62" priority="64" stopIfTrue="1" operator="equal">
      <formula>"OST"</formula>
    </cfRule>
    <cfRule type="cellIs" dxfId="61" priority="65" stopIfTrue="1" operator="equal">
      <formula>"BOH"</formula>
    </cfRule>
    <cfRule type="cellIs" dxfId="60" priority="66" stopIfTrue="1" operator="equal">
      <formula>"TAT"</formula>
    </cfRule>
    <cfRule type="cellIs" dxfId="59" priority="67" stopIfTrue="1" operator="equal">
      <formula>"MB"</formula>
    </cfRule>
    <cfRule type="cellIs" dxfId="58" priority="68" stopIfTrue="1" operator="equal">
      <formula>"VIT"</formula>
    </cfRule>
    <cfRule type="cellIs" dxfId="57" priority="69" stopIfTrue="1" operator="equal">
      <formula>"CHO"</formula>
    </cfRule>
    <cfRule type="cellIs" dxfId="56" priority="70" stopIfTrue="1" operator="equal">
      <formula>"SKV"</formula>
    </cfRule>
  </conditionalFormatting>
  <conditionalFormatting sqref="EV19:EY20">
    <cfRule type="cellIs" dxfId="55" priority="43" stopIfTrue="1" operator="equal">
      <formula>"OTR"</formula>
    </cfRule>
    <cfRule type="cellIs" dxfId="54" priority="44" stopIfTrue="1" operator="equal">
      <formula>"PAR"</formula>
    </cfRule>
    <cfRule type="cellIs" dxfId="53" priority="45" stopIfTrue="1" operator="equal">
      <formula>"CLP"</formula>
    </cfRule>
    <cfRule type="cellIs" dxfId="52" priority="46" stopIfTrue="1" operator="equal">
      <formula>"HAT"</formula>
    </cfRule>
    <cfRule type="cellIs" dxfId="51" priority="47" stopIfTrue="1" operator="equal">
      <formula>"LIB"</formula>
    </cfRule>
    <cfRule type="cellIs" dxfId="50" priority="48" stopIfTrue="1" operator="equal">
      <formula>"BA"</formula>
    </cfRule>
    <cfRule type="cellIs" dxfId="49" priority="49" stopIfTrue="1" operator="equal">
      <formula>"SPA"</formula>
    </cfRule>
    <cfRule type="cellIs" dxfId="48" priority="50" stopIfTrue="1" operator="equal">
      <formula>"OST"</formula>
    </cfRule>
    <cfRule type="cellIs" dxfId="47" priority="51" stopIfTrue="1" operator="equal">
      <formula>"BOH"</formula>
    </cfRule>
    <cfRule type="cellIs" dxfId="46" priority="52" stopIfTrue="1" operator="equal">
      <formula>"TAT"</formula>
    </cfRule>
    <cfRule type="cellIs" dxfId="45" priority="53" stopIfTrue="1" operator="equal">
      <formula>"MB"</formula>
    </cfRule>
    <cfRule type="cellIs" dxfId="44" priority="54" stopIfTrue="1" operator="equal">
      <formula>"VIT"</formula>
    </cfRule>
    <cfRule type="cellIs" dxfId="43" priority="55" stopIfTrue="1" operator="equal">
      <formula>"CHO"</formula>
    </cfRule>
    <cfRule type="cellIs" dxfId="42" priority="56" stopIfTrue="1" operator="equal">
      <formula>"SKV"</formula>
    </cfRule>
  </conditionalFormatting>
  <conditionalFormatting sqref="FN8:FQ9">
    <cfRule type="cellIs" dxfId="41" priority="29" stopIfTrue="1" operator="equal">
      <formula>"OTR"</formula>
    </cfRule>
    <cfRule type="cellIs" dxfId="40" priority="30" stopIfTrue="1" operator="equal">
      <formula>"PAR"</formula>
    </cfRule>
    <cfRule type="cellIs" dxfId="39" priority="31" stopIfTrue="1" operator="equal">
      <formula>"CLP"</formula>
    </cfRule>
    <cfRule type="cellIs" dxfId="38" priority="32" stopIfTrue="1" operator="equal">
      <formula>"HAT"</formula>
    </cfRule>
    <cfRule type="cellIs" dxfId="37" priority="33" stopIfTrue="1" operator="equal">
      <formula>"LIB"</formula>
    </cfRule>
    <cfRule type="cellIs" dxfId="36" priority="34" stopIfTrue="1" operator="equal">
      <formula>"BA"</formula>
    </cfRule>
    <cfRule type="cellIs" dxfId="35" priority="35" stopIfTrue="1" operator="equal">
      <formula>"SPA"</formula>
    </cfRule>
    <cfRule type="cellIs" dxfId="34" priority="36" stopIfTrue="1" operator="equal">
      <formula>"OST"</formula>
    </cfRule>
    <cfRule type="cellIs" dxfId="33" priority="37" stopIfTrue="1" operator="equal">
      <formula>"BOH"</formula>
    </cfRule>
    <cfRule type="cellIs" dxfId="32" priority="38" stopIfTrue="1" operator="equal">
      <formula>"TAT"</formula>
    </cfRule>
    <cfRule type="cellIs" dxfId="31" priority="39" stopIfTrue="1" operator="equal">
      <formula>"MB"</formula>
    </cfRule>
    <cfRule type="cellIs" dxfId="30" priority="40" stopIfTrue="1" operator="equal">
      <formula>"VIT"</formula>
    </cfRule>
    <cfRule type="cellIs" dxfId="29" priority="41" stopIfTrue="1" operator="equal">
      <formula>"CHO"</formula>
    </cfRule>
    <cfRule type="cellIs" dxfId="28" priority="42" stopIfTrue="1" operator="equal">
      <formula>"SKV"</formula>
    </cfRule>
  </conditionalFormatting>
  <conditionalFormatting sqref="FN30:FQ31">
    <cfRule type="cellIs" dxfId="27" priority="15" stopIfTrue="1" operator="equal">
      <formula>"OTR"</formula>
    </cfRule>
    <cfRule type="cellIs" dxfId="26" priority="16" stopIfTrue="1" operator="equal">
      <formula>"PAR"</formula>
    </cfRule>
    <cfRule type="cellIs" dxfId="25" priority="17" stopIfTrue="1" operator="equal">
      <formula>"CLP"</formula>
    </cfRule>
    <cfRule type="cellIs" dxfId="24" priority="18" stopIfTrue="1" operator="equal">
      <formula>"HAT"</formula>
    </cfRule>
    <cfRule type="cellIs" dxfId="23" priority="19" stopIfTrue="1" operator="equal">
      <formula>"LIB"</formula>
    </cfRule>
    <cfRule type="cellIs" dxfId="22" priority="20" stopIfTrue="1" operator="equal">
      <formula>"BA"</formula>
    </cfRule>
    <cfRule type="cellIs" dxfId="21" priority="21" stopIfTrue="1" operator="equal">
      <formula>"SPA"</formula>
    </cfRule>
    <cfRule type="cellIs" dxfId="20" priority="22" stopIfTrue="1" operator="equal">
      <formula>"OST"</formula>
    </cfRule>
    <cfRule type="cellIs" dxfId="19" priority="23" stopIfTrue="1" operator="equal">
      <formula>"BOH"</formula>
    </cfRule>
    <cfRule type="cellIs" dxfId="18" priority="24" stopIfTrue="1" operator="equal">
      <formula>"TAT"</formula>
    </cfRule>
    <cfRule type="cellIs" dxfId="17" priority="25" stopIfTrue="1" operator="equal">
      <formula>"MB"</formula>
    </cfRule>
    <cfRule type="cellIs" dxfId="16" priority="26" stopIfTrue="1" operator="equal">
      <formula>"VIT"</formula>
    </cfRule>
    <cfRule type="cellIs" dxfId="15" priority="27" stopIfTrue="1" operator="equal">
      <formula>"CHO"</formula>
    </cfRule>
    <cfRule type="cellIs" dxfId="14" priority="28" stopIfTrue="1" operator="equal">
      <formula>"SKV"</formula>
    </cfRule>
  </conditionalFormatting>
  <conditionalFormatting sqref="FN19:FQ20">
    <cfRule type="cellIs" dxfId="13" priority="1" stopIfTrue="1" operator="equal">
      <formula>"OTR"</formula>
    </cfRule>
    <cfRule type="cellIs" dxfId="12" priority="2" stopIfTrue="1" operator="equal">
      <formula>"PAR"</formula>
    </cfRule>
    <cfRule type="cellIs" dxfId="11" priority="3" stopIfTrue="1" operator="equal">
      <formula>"CLP"</formula>
    </cfRule>
    <cfRule type="cellIs" dxfId="10" priority="4" stopIfTrue="1" operator="equal">
      <formula>"HAT"</formula>
    </cfRule>
    <cfRule type="cellIs" dxfId="9" priority="5" stopIfTrue="1" operator="equal">
      <formula>"LIB"</formula>
    </cfRule>
    <cfRule type="cellIs" dxfId="8" priority="6" stopIfTrue="1" operator="equal">
      <formula>"BA"</formula>
    </cfRule>
    <cfRule type="cellIs" dxfId="7" priority="7" stopIfTrue="1" operator="equal">
      <formula>"SPA"</formula>
    </cfRule>
    <cfRule type="cellIs" dxfId="6" priority="8" stopIfTrue="1" operator="equal">
      <formula>"OST"</formula>
    </cfRule>
    <cfRule type="cellIs" dxfId="5" priority="9" stopIfTrue="1" operator="equal">
      <formula>"BOH"</formula>
    </cfRule>
    <cfRule type="cellIs" dxfId="4" priority="10" stopIfTrue="1" operator="equal">
      <formula>"TAT"</formula>
    </cfRule>
    <cfRule type="cellIs" dxfId="3" priority="11" stopIfTrue="1" operator="equal">
      <formula>"MB"</formula>
    </cfRule>
    <cfRule type="cellIs" dxfId="2" priority="12" stopIfTrue="1" operator="equal">
      <formula>"VIT"</formula>
    </cfRule>
    <cfRule type="cellIs" dxfId="1" priority="13" stopIfTrue="1" operator="equal">
      <formula>"CHO"</formula>
    </cfRule>
    <cfRule type="cellIs" dxfId="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3">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topLeftCell="A9"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22</v>
      </c>
      <c r="D2" s="62">
        <f t="shared" si="0"/>
        <v>19</v>
      </c>
      <c r="E2" s="62">
        <f t="shared" si="0"/>
        <v>2</v>
      </c>
      <c r="F2" s="62">
        <f t="shared" si="0"/>
        <v>0</v>
      </c>
      <c r="G2" s="62">
        <f t="shared" si="0"/>
        <v>1</v>
      </c>
      <c r="H2" s="18">
        <f t="shared" si="0"/>
        <v>61</v>
      </c>
      <c r="I2" s="62">
        <f>I26</f>
        <v>185</v>
      </c>
      <c r="J2" s="62">
        <f t="shared" si="0"/>
        <v>83</v>
      </c>
      <c r="K2" s="62">
        <f t="shared" si="0"/>
        <v>102</v>
      </c>
      <c r="L2" s="62">
        <f>L26</f>
        <v>39</v>
      </c>
      <c r="M2" s="62">
        <f t="shared" ref="M2:R2" si="1">M26</f>
        <v>12</v>
      </c>
      <c r="N2" s="62">
        <f t="shared" si="1"/>
        <v>2</v>
      </c>
      <c r="O2" s="173">
        <f t="shared" si="1"/>
        <v>30.77</v>
      </c>
      <c r="P2" s="62">
        <f t="shared" si="1"/>
        <v>44</v>
      </c>
      <c r="Q2" s="62">
        <f t="shared" si="1"/>
        <v>7</v>
      </c>
      <c r="R2" s="62">
        <f t="shared" si="1"/>
        <v>7</v>
      </c>
      <c r="S2" s="173">
        <f>S26</f>
        <v>84.09</v>
      </c>
      <c r="T2" s="62">
        <f>Z26</f>
        <v>102</v>
      </c>
      <c r="U2" s="62">
        <f>AA26</f>
        <v>648</v>
      </c>
      <c r="V2" s="174">
        <f>AB26</f>
        <v>28.55</v>
      </c>
    </row>
    <row r="3" spans="1:33" s="175" customFormat="1" ht="24" customHeight="1" x14ac:dyDescent="0.25">
      <c r="A3" s="19">
        <v>2</v>
      </c>
      <c r="B3" s="20" t="str">
        <f t="shared" ref="B3:K3" si="2">B27</f>
        <v>1. SC TEMPISH Vítkovice</v>
      </c>
      <c r="C3" s="21">
        <f t="shared" si="2"/>
        <v>22</v>
      </c>
      <c r="D3" s="21">
        <f t="shared" si="2"/>
        <v>19</v>
      </c>
      <c r="E3" s="21">
        <f t="shared" si="2"/>
        <v>0</v>
      </c>
      <c r="F3" s="21">
        <f t="shared" si="2"/>
        <v>1</v>
      </c>
      <c r="G3" s="21">
        <f t="shared" si="2"/>
        <v>2</v>
      </c>
      <c r="H3" s="18">
        <f t="shared" si="2"/>
        <v>58</v>
      </c>
      <c r="I3" s="21">
        <f t="shared" si="2"/>
        <v>189</v>
      </c>
      <c r="J3" s="21">
        <f t="shared" si="2"/>
        <v>98</v>
      </c>
      <c r="K3" s="21">
        <f t="shared" si="2"/>
        <v>91</v>
      </c>
      <c r="L3" s="21">
        <f t="shared" ref="L3:S3" si="3">L27</f>
        <v>36</v>
      </c>
      <c r="M3" s="21">
        <f t="shared" si="3"/>
        <v>14</v>
      </c>
      <c r="N3" s="21">
        <f t="shared" si="3"/>
        <v>2</v>
      </c>
      <c r="O3" s="22">
        <f t="shared" si="3"/>
        <v>38.89</v>
      </c>
      <c r="P3" s="21">
        <f t="shared" si="3"/>
        <v>27</v>
      </c>
      <c r="Q3" s="21">
        <f t="shared" si="3"/>
        <v>7</v>
      </c>
      <c r="R3" s="21">
        <f t="shared" si="3"/>
        <v>0</v>
      </c>
      <c r="S3" s="22">
        <f t="shared" si="3"/>
        <v>74.069999999999993</v>
      </c>
      <c r="T3" s="21">
        <f t="shared" ref="T3:T15" si="4">Z27</f>
        <v>58</v>
      </c>
      <c r="U3" s="21">
        <f t="shared" ref="U3:U15" si="5">AA27</f>
        <v>663</v>
      </c>
      <c r="V3" s="23">
        <f t="shared" ref="V3:V15" si="6">AB27</f>
        <v>28.51</v>
      </c>
    </row>
    <row r="4" spans="1:33" s="175" customFormat="1" ht="24" customHeight="1" x14ac:dyDescent="0.25">
      <c r="A4" s="172">
        <v>3</v>
      </c>
      <c r="B4" s="60" t="str">
        <f t="shared" ref="B4:K4" si="7">B28</f>
        <v>Tatran Teka Střešovice</v>
      </c>
      <c r="C4" s="62">
        <f t="shared" si="7"/>
        <v>22</v>
      </c>
      <c r="D4" s="62">
        <f t="shared" si="7"/>
        <v>15</v>
      </c>
      <c r="E4" s="62">
        <f t="shared" si="7"/>
        <v>1</v>
      </c>
      <c r="F4" s="62">
        <f t="shared" si="7"/>
        <v>1</v>
      </c>
      <c r="G4" s="62">
        <f t="shared" si="7"/>
        <v>5</v>
      </c>
      <c r="H4" s="18">
        <f t="shared" si="7"/>
        <v>48</v>
      </c>
      <c r="I4" s="62">
        <f t="shared" si="7"/>
        <v>160</v>
      </c>
      <c r="J4" s="62">
        <f t="shared" si="7"/>
        <v>96</v>
      </c>
      <c r="K4" s="62">
        <f t="shared" si="7"/>
        <v>64</v>
      </c>
      <c r="L4" s="62">
        <f t="shared" ref="L4:S4" si="8">L28</f>
        <v>51</v>
      </c>
      <c r="M4" s="62">
        <f t="shared" si="8"/>
        <v>22</v>
      </c>
      <c r="N4" s="62">
        <f t="shared" si="8"/>
        <v>1</v>
      </c>
      <c r="O4" s="173">
        <f t="shared" si="8"/>
        <v>43.14</v>
      </c>
      <c r="P4" s="62">
        <f t="shared" si="8"/>
        <v>43</v>
      </c>
      <c r="Q4" s="62">
        <f t="shared" si="8"/>
        <v>10</v>
      </c>
      <c r="R4" s="62">
        <f t="shared" si="8"/>
        <v>2</v>
      </c>
      <c r="S4" s="173">
        <f t="shared" si="8"/>
        <v>76.739999999999995</v>
      </c>
      <c r="T4" s="62">
        <f t="shared" si="4"/>
        <v>100</v>
      </c>
      <c r="U4" s="62">
        <f t="shared" si="5"/>
        <v>633</v>
      </c>
      <c r="V4" s="174">
        <f t="shared" si="6"/>
        <v>25.28</v>
      </c>
    </row>
    <row r="5" spans="1:33" s="175" customFormat="1" ht="24" customHeight="1" x14ac:dyDescent="0.25">
      <c r="A5" s="19">
        <v>4</v>
      </c>
      <c r="B5" s="20" t="str">
        <f t="shared" ref="B5:K5" si="9">B29</f>
        <v>FbŠ Bohemians</v>
      </c>
      <c r="C5" s="21">
        <f t="shared" si="9"/>
        <v>23</v>
      </c>
      <c r="D5" s="21">
        <f t="shared" si="9"/>
        <v>13</v>
      </c>
      <c r="E5" s="21">
        <f t="shared" si="9"/>
        <v>2</v>
      </c>
      <c r="F5" s="21">
        <f t="shared" si="9"/>
        <v>1</v>
      </c>
      <c r="G5" s="21">
        <f t="shared" si="9"/>
        <v>7</v>
      </c>
      <c r="H5" s="18">
        <f t="shared" si="9"/>
        <v>44</v>
      </c>
      <c r="I5" s="21">
        <f t="shared" si="9"/>
        <v>178</v>
      </c>
      <c r="J5" s="21">
        <f t="shared" si="9"/>
        <v>129</v>
      </c>
      <c r="K5" s="21">
        <f t="shared" si="9"/>
        <v>49</v>
      </c>
      <c r="L5" s="21">
        <f t="shared" ref="L5:S5" si="10">L29</f>
        <v>66</v>
      </c>
      <c r="M5" s="21">
        <f t="shared" si="10"/>
        <v>31</v>
      </c>
      <c r="N5" s="21">
        <f t="shared" si="10"/>
        <v>5</v>
      </c>
      <c r="O5" s="22">
        <f t="shared" si="10"/>
        <v>46.97</v>
      </c>
      <c r="P5" s="21">
        <f t="shared" si="10"/>
        <v>32</v>
      </c>
      <c r="Q5" s="21">
        <f t="shared" si="10"/>
        <v>6</v>
      </c>
      <c r="R5" s="21">
        <f t="shared" si="10"/>
        <v>4</v>
      </c>
      <c r="S5" s="22">
        <f t="shared" si="10"/>
        <v>81.25</v>
      </c>
      <c r="T5" s="21">
        <f t="shared" si="4"/>
        <v>74</v>
      </c>
      <c r="U5" s="21">
        <f t="shared" si="5"/>
        <v>723</v>
      </c>
      <c r="V5" s="23">
        <f t="shared" si="6"/>
        <v>24.62</v>
      </c>
    </row>
    <row r="6" spans="1:33" s="175" customFormat="1" ht="24" customHeight="1" x14ac:dyDescent="0.25">
      <c r="A6" s="172">
        <v>5</v>
      </c>
      <c r="B6" s="60" t="str">
        <f t="shared" ref="B6:K6" si="11">B30</f>
        <v>FAT PIPE FLORBAL CHODOV</v>
      </c>
      <c r="C6" s="62">
        <f t="shared" si="11"/>
        <v>21</v>
      </c>
      <c r="D6" s="62">
        <f t="shared" si="11"/>
        <v>13</v>
      </c>
      <c r="E6" s="62">
        <f t="shared" si="11"/>
        <v>1</v>
      </c>
      <c r="F6" s="62">
        <f t="shared" si="11"/>
        <v>1</v>
      </c>
      <c r="G6" s="62">
        <f t="shared" si="11"/>
        <v>7</v>
      </c>
      <c r="H6" s="18">
        <f t="shared" si="11"/>
        <v>42</v>
      </c>
      <c r="I6" s="62">
        <f t="shared" si="11"/>
        <v>143</v>
      </c>
      <c r="J6" s="62">
        <f t="shared" si="11"/>
        <v>134</v>
      </c>
      <c r="K6" s="62">
        <f t="shared" si="11"/>
        <v>9</v>
      </c>
      <c r="L6" s="62">
        <f t="shared" ref="L6:S6" si="12">L30</f>
        <v>32</v>
      </c>
      <c r="M6" s="62">
        <f t="shared" si="12"/>
        <v>10</v>
      </c>
      <c r="N6" s="62">
        <f t="shared" si="12"/>
        <v>2</v>
      </c>
      <c r="O6" s="173">
        <f t="shared" si="12"/>
        <v>31.25</v>
      </c>
      <c r="P6" s="62">
        <f t="shared" si="12"/>
        <v>38</v>
      </c>
      <c r="Q6" s="62">
        <f t="shared" si="12"/>
        <v>15</v>
      </c>
      <c r="R6" s="62">
        <f t="shared" si="12"/>
        <v>1</v>
      </c>
      <c r="S6" s="173">
        <f t="shared" si="12"/>
        <v>60.53</v>
      </c>
      <c r="T6" s="62">
        <f t="shared" si="4"/>
        <v>108</v>
      </c>
      <c r="U6" s="62">
        <f t="shared" si="5"/>
        <v>597</v>
      </c>
      <c r="V6" s="174">
        <f t="shared" si="6"/>
        <v>23.95</v>
      </c>
    </row>
    <row r="7" spans="1:33" s="175" customFormat="1" ht="24" customHeight="1" x14ac:dyDescent="0.25">
      <c r="A7" s="19">
        <v>6</v>
      </c>
      <c r="B7" s="20" t="str">
        <f t="shared" ref="B7:K7" si="13">B31</f>
        <v>ACEMA Sparta Praha</v>
      </c>
      <c r="C7" s="21">
        <f t="shared" si="13"/>
        <v>21</v>
      </c>
      <c r="D7" s="21">
        <f t="shared" si="13"/>
        <v>13</v>
      </c>
      <c r="E7" s="21">
        <f t="shared" si="13"/>
        <v>1</v>
      </c>
      <c r="F7" s="21">
        <f t="shared" si="13"/>
        <v>0</v>
      </c>
      <c r="G7" s="21">
        <f t="shared" si="13"/>
        <v>7</v>
      </c>
      <c r="H7" s="18">
        <f t="shared" si="13"/>
        <v>41</v>
      </c>
      <c r="I7" s="21">
        <f t="shared" si="13"/>
        <v>136</v>
      </c>
      <c r="J7" s="21">
        <f t="shared" si="13"/>
        <v>103</v>
      </c>
      <c r="K7" s="21">
        <f t="shared" si="13"/>
        <v>33</v>
      </c>
      <c r="L7" s="21">
        <f t="shared" ref="L7:S7" si="14">L31</f>
        <v>29</v>
      </c>
      <c r="M7" s="21">
        <f t="shared" si="14"/>
        <v>16</v>
      </c>
      <c r="N7" s="21">
        <f t="shared" si="14"/>
        <v>0</v>
      </c>
      <c r="O7" s="22">
        <f t="shared" si="14"/>
        <v>55.17</v>
      </c>
      <c r="P7" s="21">
        <f t="shared" si="14"/>
        <v>41</v>
      </c>
      <c r="Q7" s="21">
        <f t="shared" si="14"/>
        <v>17</v>
      </c>
      <c r="R7" s="21">
        <f t="shared" si="14"/>
        <v>3</v>
      </c>
      <c r="S7" s="22">
        <f t="shared" si="14"/>
        <v>58.54</v>
      </c>
      <c r="T7" s="21">
        <f t="shared" si="4"/>
        <v>100</v>
      </c>
      <c r="U7" s="21">
        <f t="shared" si="5"/>
        <v>571</v>
      </c>
      <c r="V7" s="23">
        <f t="shared" si="6"/>
        <v>23.82</v>
      </c>
    </row>
    <row r="8" spans="1:33" s="175" customFormat="1" ht="24" customHeight="1" x14ac:dyDescent="0.25">
      <c r="A8" s="172">
        <v>7</v>
      </c>
      <c r="B8" s="60" t="str">
        <f t="shared" ref="B8:K8" si="15">B32</f>
        <v>FBC ČPP OSTRAVA</v>
      </c>
      <c r="C8" s="62">
        <f t="shared" si="15"/>
        <v>23</v>
      </c>
      <c r="D8" s="62">
        <f t="shared" si="15"/>
        <v>11</v>
      </c>
      <c r="E8" s="62">
        <f t="shared" si="15"/>
        <v>2</v>
      </c>
      <c r="F8" s="62">
        <f t="shared" si="15"/>
        <v>2</v>
      </c>
      <c r="G8" s="62">
        <f t="shared" si="15"/>
        <v>8</v>
      </c>
      <c r="H8" s="18">
        <f t="shared" si="15"/>
        <v>39</v>
      </c>
      <c r="I8" s="62">
        <f t="shared" si="15"/>
        <v>124</v>
      </c>
      <c r="J8" s="62">
        <f t="shared" si="15"/>
        <v>118</v>
      </c>
      <c r="K8" s="62">
        <f t="shared" si="15"/>
        <v>6</v>
      </c>
      <c r="L8" s="62">
        <f t="shared" ref="L8:S8" si="16">L32</f>
        <v>36</v>
      </c>
      <c r="M8" s="62">
        <f t="shared" si="16"/>
        <v>9</v>
      </c>
      <c r="N8" s="62">
        <f t="shared" si="16"/>
        <v>1</v>
      </c>
      <c r="O8" s="173">
        <f t="shared" si="16"/>
        <v>25</v>
      </c>
      <c r="P8" s="62">
        <f t="shared" si="16"/>
        <v>42</v>
      </c>
      <c r="Q8" s="62">
        <f t="shared" si="16"/>
        <v>13</v>
      </c>
      <c r="R8" s="62">
        <f t="shared" si="16"/>
        <v>2</v>
      </c>
      <c r="S8" s="173">
        <f t="shared" si="16"/>
        <v>69.05</v>
      </c>
      <c r="T8" s="62">
        <f t="shared" si="4"/>
        <v>88</v>
      </c>
      <c r="U8" s="62">
        <f t="shared" si="5"/>
        <v>561</v>
      </c>
      <c r="V8" s="174">
        <f t="shared" si="6"/>
        <v>22.1</v>
      </c>
    </row>
    <row r="9" spans="1:33" s="175" customFormat="1" ht="24" customHeight="1" x14ac:dyDescent="0.25">
      <c r="A9" s="19">
        <v>8</v>
      </c>
      <c r="B9" s="20" t="str">
        <f t="shared" ref="B9:K9" si="17">B33</f>
        <v>FBC Liberec</v>
      </c>
      <c r="C9" s="21">
        <f t="shared" si="17"/>
        <v>23</v>
      </c>
      <c r="D9" s="21">
        <f t="shared" si="17"/>
        <v>8</v>
      </c>
      <c r="E9" s="21">
        <f t="shared" si="17"/>
        <v>3</v>
      </c>
      <c r="F9" s="21">
        <f t="shared" si="17"/>
        <v>0</v>
      </c>
      <c r="G9" s="21">
        <f t="shared" si="17"/>
        <v>12</v>
      </c>
      <c r="H9" s="18">
        <f t="shared" si="17"/>
        <v>30</v>
      </c>
      <c r="I9" s="21">
        <f t="shared" si="17"/>
        <v>118</v>
      </c>
      <c r="J9" s="21">
        <f t="shared" si="17"/>
        <v>138</v>
      </c>
      <c r="K9" s="21">
        <f t="shared" si="17"/>
        <v>-20</v>
      </c>
      <c r="L9" s="21">
        <f t="shared" ref="L9:S9" si="18">L33</f>
        <v>45</v>
      </c>
      <c r="M9" s="21">
        <f t="shared" si="18"/>
        <v>17</v>
      </c>
      <c r="N9" s="21">
        <f t="shared" si="18"/>
        <v>5</v>
      </c>
      <c r="O9" s="22">
        <f t="shared" si="18"/>
        <v>37.78</v>
      </c>
      <c r="P9" s="21">
        <f t="shared" si="18"/>
        <v>37</v>
      </c>
      <c r="Q9" s="21">
        <f t="shared" si="18"/>
        <v>10</v>
      </c>
      <c r="R9" s="21">
        <f t="shared" si="18"/>
        <v>2</v>
      </c>
      <c r="S9" s="22">
        <f t="shared" si="18"/>
        <v>72.97</v>
      </c>
      <c r="T9" s="21">
        <f t="shared" si="4"/>
        <v>86</v>
      </c>
      <c r="U9" s="21">
        <f t="shared" si="5"/>
        <v>529</v>
      </c>
      <c r="V9" s="23">
        <f t="shared" si="6"/>
        <v>22.31</v>
      </c>
    </row>
    <row r="10" spans="1:33" s="175" customFormat="1" ht="24" customHeight="1" x14ac:dyDescent="0.25">
      <c r="A10" s="176">
        <v>9</v>
      </c>
      <c r="B10" s="60" t="str">
        <f t="shared" ref="B10:K10" si="19">B34</f>
        <v>BLACK ANGELS</v>
      </c>
      <c r="C10" s="62">
        <f t="shared" si="19"/>
        <v>22</v>
      </c>
      <c r="D10" s="62">
        <f t="shared" si="19"/>
        <v>7</v>
      </c>
      <c r="E10" s="62">
        <f t="shared" si="19"/>
        <v>3</v>
      </c>
      <c r="F10" s="62">
        <f t="shared" si="19"/>
        <v>1</v>
      </c>
      <c r="G10" s="62">
        <f t="shared" si="19"/>
        <v>11</v>
      </c>
      <c r="H10" s="18">
        <f t="shared" si="19"/>
        <v>28</v>
      </c>
      <c r="I10" s="62">
        <f t="shared" si="19"/>
        <v>134</v>
      </c>
      <c r="J10" s="62">
        <f t="shared" si="19"/>
        <v>160</v>
      </c>
      <c r="K10" s="62">
        <f t="shared" si="19"/>
        <v>-26</v>
      </c>
      <c r="L10" s="62">
        <f t="shared" ref="L10:S10" si="20">L34</f>
        <v>44</v>
      </c>
      <c r="M10" s="62">
        <f t="shared" si="20"/>
        <v>10</v>
      </c>
      <c r="N10" s="62">
        <f t="shared" si="20"/>
        <v>3</v>
      </c>
      <c r="O10" s="173">
        <f t="shared" si="20"/>
        <v>22.73</v>
      </c>
      <c r="P10" s="62">
        <f t="shared" si="20"/>
        <v>43</v>
      </c>
      <c r="Q10" s="62">
        <f t="shared" si="20"/>
        <v>19</v>
      </c>
      <c r="R10" s="62">
        <f t="shared" si="20"/>
        <v>1</v>
      </c>
      <c r="S10" s="173">
        <f t="shared" si="20"/>
        <v>55.81</v>
      </c>
      <c r="T10" s="62">
        <f t="shared" si="4"/>
        <v>92</v>
      </c>
      <c r="U10" s="62">
        <f t="shared" si="5"/>
        <v>579</v>
      </c>
      <c r="V10" s="174">
        <f t="shared" si="6"/>
        <v>23.14</v>
      </c>
    </row>
    <row r="11" spans="1:33" s="175" customFormat="1" ht="24" customHeight="1" x14ac:dyDescent="0.25">
      <c r="A11" s="24">
        <v>10</v>
      </c>
      <c r="B11" s="20" t="str">
        <f t="shared" ref="B11:K11" si="21">B35</f>
        <v>FBC 4CLEAN Česká Lípa</v>
      </c>
      <c r="C11" s="21">
        <f t="shared" si="21"/>
        <v>22</v>
      </c>
      <c r="D11" s="21">
        <f t="shared" si="21"/>
        <v>4</v>
      </c>
      <c r="E11" s="21">
        <f t="shared" si="21"/>
        <v>3</v>
      </c>
      <c r="F11" s="21">
        <f t="shared" si="21"/>
        <v>0</v>
      </c>
      <c r="G11" s="21">
        <f t="shared" si="21"/>
        <v>15</v>
      </c>
      <c r="H11" s="18">
        <f t="shared" si="21"/>
        <v>18</v>
      </c>
      <c r="I11" s="21">
        <f t="shared" si="21"/>
        <v>120</v>
      </c>
      <c r="J11" s="21">
        <f t="shared" si="21"/>
        <v>187</v>
      </c>
      <c r="K11" s="21">
        <f t="shared" si="21"/>
        <v>-67</v>
      </c>
      <c r="L11" s="21">
        <f t="shared" ref="L11:S11" si="22">L35</f>
        <v>22</v>
      </c>
      <c r="M11" s="21">
        <f t="shared" si="22"/>
        <v>8</v>
      </c>
      <c r="N11" s="21">
        <f t="shared" si="22"/>
        <v>0</v>
      </c>
      <c r="O11" s="22">
        <f t="shared" si="22"/>
        <v>36.36</v>
      </c>
      <c r="P11" s="21">
        <f t="shared" si="22"/>
        <v>38</v>
      </c>
      <c r="Q11" s="21">
        <f t="shared" si="22"/>
        <v>24</v>
      </c>
      <c r="R11" s="21">
        <f t="shared" si="22"/>
        <v>2</v>
      </c>
      <c r="S11" s="22">
        <f t="shared" si="22"/>
        <v>36.840000000000003</v>
      </c>
      <c r="T11" s="21">
        <f t="shared" si="4"/>
        <v>100</v>
      </c>
      <c r="U11" s="21">
        <f t="shared" si="5"/>
        <v>452</v>
      </c>
      <c r="V11" s="23">
        <f t="shared" si="6"/>
        <v>26.55</v>
      </c>
    </row>
    <row r="12" spans="1:33" s="175" customFormat="1" ht="24" customHeight="1" x14ac:dyDescent="0.25">
      <c r="A12" s="177">
        <v>11</v>
      </c>
      <c r="B12" s="60" t="str">
        <f t="shared" ref="B12:K12" si="23">B36</f>
        <v>SOKOLI Pardubice</v>
      </c>
      <c r="C12" s="62">
        <f t="shared" si="23"/>
        <v>19</v>
      </c>
      <c r="D12" s="62">
        <f t="shared" si="23"/>
        <v>5</v>
      </c>
      <c r="E12" s="62">
        <f t="shared" si="23"/>
        <v>0</v>
      </c>
      <c r="F12" s="62">
        <f t="shared" si="23"/>
        <v>2</v>
      </c>
      <c r="G12" s="62">
        <f t="shared" si="23"/>
        <v>12</v>
      </c>
      <c r="H12" s="18">
        <f t="shared" si="23"/>
        <v>17</v>
      </c>
      <c r="I12" s="62">
        <f t="shared" si="23"/>
        <v>103</v>
      </c>
      <c r="J12" s="62">
        <f t="shared" si="23"/>
        <v>149</v>
      </c>
      <c r="K12" s="62">
        <f t="shared" si="23"/>
        <v>-46</v>
      </c>
      <c r="L12" s="62">
        <f t="shared" ref="L12:S12" si="24">L36</f>
        <v>34</v>
      </c>
      <c r="M12" s="62">
        <f t="shared" si="24"/>
        <v>6</v>
      </c>
      <c r="N12" s="62">
        <f t="shared" si="24"/>
        <v>2</v>
      </c>
      <c r="O12" s="173">
        <f t="shared" si="24"/>
        <v>17.649999999999999</v>
      </c>
      <c r="P12" s="62">
        <f t="shared" si="24"/>
        <v>46</v>
      </c>
      <c r="Q12" s="62">
        <f t="shared" si="24"/>
        <v>22</v>
      </c>
      <c r="R12" s="62">
        <f t="shared" si="24"/>
        <v>5</v>
      </c>
      <c r="S12" s="173">
        <f t="shared" si="24"/>
        <v>52.17</v>
      </c>
      <c r="T12" s="62">
        <f t="shared" si="4"/>
        <v>106</v>
      </c>
      <c r="U12" s="62">
        <f t="shared" si="5"/>
        <v>401</v>
      </c>
      <c r="V12" s="174">
        <f t="shared" si="6"/>
        <v>25.69</v>
      </c>
    </row>
    <row r="13" spans="1:33" s="175" customFormat="1" ht="24" customHeight="1" x14ac:dyDescent="0.25">
      <c r="A13" s="25">
        <v>12</v>
      </c>
      <c r="B13" s="20" t="str">
        <f t="shared" ref="B13:K13" si="25">B37</f>
        <v>FBŠ Hummel Hattrick Brno</v>
      </c>
      <c r="C13" s="21">
        <f t="shared" si="25"/>
        <v>22</v>
      </c>
      <c r="D13" s="21">
        <f t="shared" si="25"/>
        <v>4</v>
      </c>
      <c r="E13" s="21">
        <f t="shared" si="25"/>
        <v>0</v>
      </c>
      <c r="F13" s="21">
        <f t="shared" si="25"/>
        <v>5</v>
      </c>
      <c r="G13" s="21">
        <f t="shared" si="25"/>
        <v>14</v>
      </c>
      <c r="H13" s="18">
        <f t="shared" si="25"/>
        <v>17</v>
      </c>
      <c r="I13" s="21">
        <f t="shared" si="25"/>
        <v>89</v>
      </c>
      <c r="J13" s="21">
        <f t="shared" si="25"/>
        <v>137</v>
      </c>
      <c r="K13" s="21">
        <f t="shared" si="25"/>
        <v>-48</v>
      </c>
      <c r="L13" s="21">
        <f t="shared" ref="L13:S13" si="26">L37</f>
        <v>31</v>
      </c>
      <c r="M13" s="21">
        <f t="shared" si="26"/>
        <v>15</v>
      </c>
      <c r="N13" s="21">
        <f t="shared" si="26"/>
        <v>2</v>
      </c>
      <c r="O13" s="22">
        <f t="shared" si="26"/>
        <v>48.39</v>
      </c>
      <c r="P13" s="21">
        <f t="shared" si="26"/>
        <v>37</v>
      </c>
      <c r="Q13" s="21">
        <f t="shared" si="26"/>
        <v>14</v>
      </c>
      <c r="R13" s="21">
        <f t="shared" si="26"/>
        <v>3</v>
      </c>
      <c r="S13" s="22">
        <f t="shared" si="26"/>
        <v>62.16</v>
      </c>
      <c r="T13" s="21">
        <f t="shared" si="4"/>
        <v>114</v>
      </c>
      <c r="U13" s="21">
        <f t="shared" si="5"/>
        <v>452</v>
      </c>
      <c r="V13" s="23">
        <f t="shared" si="6"/>
        <v>19.690000000000001</v>
      </c>
    </row>
    <row r="14" spans="1:33" s="175" customFormat="1" ht="24" customHeight="1" x14ac:dyDescent="0.25">
      <c r="A14" s="177">
        <v>13</v>
      </c>
      <c r="B14" s="60" t="str">
        <f t="shared" ref="B14:K14" si="27">B38</f>
        <v>TJ Sokol Královské Vinohrady</v>
      </c>
      <c r="C14" s="62">
        <f t="shared" si="27"/>
        <v>23</v>
      </c>
      <c r="D14" s="62">
        <f t="shared" si="27"/>
        <v>3</v>
      </c>
      <c r="E14" s="62">
        <f t="shared" si="27"/>
        <v>1</v>
      </c>
      <c r="F14" s="62">
        <f t="shared" si="27"/>
        <v>2</v>
      </c>
      <c r="G14" s="62">
        <f t="shared" si="27"/>
        <v>17</v>
      </c>
      <c r="H14" s="18">
        <f t="shared" si="27"/>
        <v>13</v>
      </c>
      <c r="I14" s="62">
        <f t="shared" si="27"/>
        <v>104</v>
      </c>
      <c r="J14" s="62">
        <f t="shared" si="27"/>
        <v>171</v>
      </c>
      <c r="K14" s="62">
        <f t="shared" si="27"/>
        <v>-67</v>
      </c>
      <c r="L14" s="62">
        <f t="shared" ref="L14:S14" si="28">L38</f>
        <v>33</v>
      </c>
      <c r="M14" s="62">
        <f t="shared" si="28"/>
        <v>14</v>
      </c>
      <c r="N14" s="62">
        <f t="shared" si="28"/>
        <v>6</v>
      </c>
      <c r="O14" s="173">
        <f t="shared" si="28"/>
        <v>42.42</v>
      </c>
      <c r="P14" s="62">
        <f t="shared" si="28"/>
        <v>28</v>
      </c>
      <c r="Q14" s="62">
        <f t="shared" si="28"/>
        <v>16</v>
      </c>
      <c r="R14" s="62">
        <f t="shared" si="28"/>
        <v>2</v>
      </c>
      <c r="S14" s="173">
        <f t="shared" si="28"/>
        <v>42.86</v>
      </c>
      <c r="T14" s="62">
        <f t="shared" si="4"/>
        <v>63</v>
      </c>
      <c r="U14" s="62">
        <f t="shared" si="5"/>
        <v>461</v>
      </c>
      <c r="V14" s="174">
        <f t="shared" si="6"/>
        <v>22.56</v>
      </c>
    </row>
    <row r="15" spans="1:33" s="175" customFormat="1" ht="24" customHeight="1" thickBot="1" x14ac:dyDescent="0.3">
      <c r="A15" s="26">
        <v>14</v>
      </c>
      <c r="B15" s="27" t="str">
        <f t="shared" ref="B15:K15" si="29">B39</f>
        <v>Hu-Fa PANTHERS OTROKOVICE</v>
      </c>
      <c r="C15" s="28">
        <f t="shared" si="29"/>
        <v>23</v>
      </c>
      <c r="D15" s="28">
        <f t="shared" si="29"/>
        <v>2</v>
      </c>
      <c r="E15" s="28">
        <f t="shared" si="29"/>
        <v>0</v>
      </c>
      <c r="F15" s="28">
        <f t="shared" si="29"/>
        <v>3</v>
      </c>
      <c r="G15" s="28">
        <f t="shared" si="29"/>
        <v>18</v>
      </c>
      <c r="H15" s="29">
        <f t="shared" si="29"/>
        <v>9</v>
      </c>
      <c r="I15" s="28">
        <f t="shared" si="29"/>
        <v>84</v>
      </c>
      <c r="J15" s="28">
        <f t="shared" si="29"/>
        <v>164</v>
      </c>
      <c r="K15" s="28">
        <f t="shared" si="29"/>
        <v>-80</v>
      </c>
      <c r="L15" s="28">
        <f t="shared" ref="L15:S15" si="30">L39</f>
        <v>44</v>
      </c>
      <c r="M15" s="28">
        <f t="shared" si="30"/>
        <v>11</v>
      </c>
      <c r="N15" s="28">
        <f t="shared" si="30"/>
        <v>5</v>
      </c>
      <c r="O15" s="30">
        <f t="shared" si="30"/>
        <v>25</v>
      </c>
      <c r="P15" s="28">
        <f t="shared" si="30"/>
        <v>46</v>
      </c>
      <c r="Q15" s="28">
        <f t="shared" si="30"/>
        <v>15</v>
      </c>
      <c r="R15" s="28">
        <f t="shared" si="30"/>
        <v>2</v>
      </c>
      <c r="S15" s="30">
        <f t="shared" si="30"/>
        <v>67.39</v>
      </c>
      <c r="T15" s="28">
        <f t="shared" si="4"/>
        <v>106</v>
      </c>
      <c r="U15" s="28">
        <f t="shared" si="5"/>
        <v>461</v>
      </c>
      <c r="V15" s="31">
        <f t="shared" si="6"/>
        <v>18.22</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22</v>
      </c>
      <c r="D26" s="6">
        <v>19</v>
      </c>
      <c r="E26" s="6">
        <v>2</v>
      </c>
      <c r="F26" s="6">
        <v>0</v>
      </c>
      <c r="G26" s="6">
        <v>1</v>
      </c>
      <c r="H26" s="6">
        <v>61</v>
      </c>
      <c r="I26" s="6">
        <v>185</v>
      </c>
      <c r="J26" s="6">
        <v>83</v>
      </c>
      <c r="K26" s="6">
        <v>102</v>
      </c>
      <c r="L26" s="6">
        <v>39</v>
      </c>
      <c r="M26" s="6">
        <v>12</v>
      </c>
      <c r="N26" s="6">
        <v>2</v>
      </c>
      <c r="O26" s="6">
        <v>30.77</v>
      </c>
      <c r="P26" s="6">
        <v>44</v>
      </c>
      <c r="Q26" s="6">
        <v>7</v>
      </c>
      <c r="R26" s="6">
        <v>7</v>
      </c>
      <c r="S26" s="6">
        <v>84.09</v>
      </c>
      <c r="T26" s="6">
        <v>46</v>
      </c>
      <c r="U26" s="6">
        <v>0</v>
      </c>
      <c r="V26" s="6">
        <v>1</v>
      </c>
      <c r="W26" s="6">
        <v>0</v>
      </c>
      <c r="X26" s="6">
        <v>0</v>
      </c>
      <c r="Y26" s="6">
        <v>0</v>
      </c>
      <c r="Z26" s="6">
        <v>102</v>
      </c>
      <c r="AA26" s="6">
        <v>648</v>
      </c>
      <c r="AB26" s="6">
        <v>28.55</v>
      </c>
      <c r="AC26" s="6">
        <v>370</v>
      </c>
      <c r="AD26" s="6">
        <v>0</v>
      </c>
      <c r="AE26" s="6">
        <v>34</v>
      </c>
      <c r="AF26" s="6">
        <v>0</v>
      </c>
      <c r="AG26" s="6">
        <v>14</v>
      </c>
      <c r="AH26" s="6">
        <f>_xlfn.RANK.EQ(O26,$O$26:$O$39,0)</f>
        <v>10</v>
      </c>
      <c r="AI26" s="6">
        <f>_xlfn.RANK.EQ(S26,$S$26:$S$39,0)</f>
        <v>1</v>
      </c>
      <c r="AJ26" s="6">
        <f>_xlfn.RANK.EQ(Z26,$Z$26:$Z$39,0)</f>
        <v>5</v>
      </c>
      <c r="AK26" s="6">
        <f>A26</f>
        <v>1</v>
      </c>
    </row>
    <row r="27" spans="1:37" hidden="1" x14ac:dyDescent="0.25">
      <c r="A27" s="118">
        <v>2</v>
      </c>
      <c r="B27" s="1" t="s">
        <v>104</v>
      </c>
      <c r="C27" s="6">
        <v>22</v>
      </c>
      <c r="D27" s="6">
        <v>19</v>
      </c>
      <c r="E27" s="6">
        <v>0</v>
      </c>
      <c r="F27" s="6">
        <v>1</v>
      </c>
      <c r="G27" s="6">
        <v>2</v>
      </c>
      <c r="H27" s="6">
        <v>58</v>
      </c>
      <c r="I27" s="6">
        <v>189</v>
      </c>
      <c r="J27" s="6">
        <v>98</v>
      </c>
      <c r="K27" s="6">
        <v>91</v>
      </c>
      <c r="L27" s="6">
        <v>36</v>
      </c>
      <c r="M27" s="6">
        <v>14</v>
      </c>
      <c r="N27" s="6">
        <v>2</v>
      </c>
      <c r="O27" s="6">
        <v>38.89</v>
      </c>
      <c r="P27" s="6">
        <v>27</v>
      </c>
      <c r="Q27" s="6">
        <v>7</v>
      </c>
      <c r="R27" s="6">
        <v>0</v>
      </c>
      <c r="S27" s="6">
        <v>74.069999999999993</v>
      </c>
      <c r="T27" s="6">
        <v>29</v>
      </c>
      <c r="U27" s="6">
        <v>0</v>
      </c>
      <c r="V27" s="6">
        <v>0</v>
      </c>
      <c r="W27" s="6">
        <v>0</v>
      </c>
      <c r="X27" s="6">
        <v>0</v>
      </c>
      <c r="Y27" s="6">
        <v>0</v>
      </c>
      <c r="Z27" s="6">
        <v>58</v>
      </c>
      <c r="AA27" s="6">
        <v>663</v>
      </c>
      <c r="AB27" s="6">
        <v>28.51</v>
      </c>
      <c r="AC27" s="6">
        <v>387</v>
      </c>
      <c r="AD27" s="6">
        <v>357</v>
      </c>
      <c r="AE27" s="6">
        <v>35</v>
      </c>
      <c r="AF27" s="6">
        <v>32</v>
      </c>
      <c r="AG27" s="6">
        <v>29</v>
      </c>
      <c r="AH27" s="6">
        <f t="shared" ref="AH27:AH39" si="31">_xlfn.RANK.EQ(O27,$O$26:$O$39,0)</f>
        <v>6</v>
      </c>
      <c r="AI27" s="6">
        <f t="shared" ref="AI27:AI39" si="32">_xlfn.RANK.EQ(S27,$S$26:$S$39,0)</f>
        <v>4</v>
      </c>
      <c r="AJ27" s="6">
        <f t="shared" ref="AJ27:AJ39" si="33">_xlfn.RANK.EQ(Z27,$Z$26:$Z$39,0)</f>
        <v>14</v>
      </c>
      <c r="AK27" s="6">
        <f t="shared" ref="AK27:AK39" si="34">A27</f>
        <v>2</v>
      </c>
    </row>
    <row r="28" spans="1:37" hidden="1" x14ac:dyDescent="0.25">
      <c r="A28" s="118">
        <v>3</v>
      </c>
      <c r="B28" s="1" t="s">
        <v>106</v>
      </c>
      <c r="C28" s="6">
        <v>22</v>
      </c>
      <c r="D28" s="6">
        <v>15</v>
      </c>
      <c r="E28" s="6">
        <v>1</v>
      </c>
      <c r="F28" s="6">
        <v>1</v>
      </c>
      <c r="G28" s="6">
        <v>5</v>
      </c>
      <c r="H28" s="6">
        <v>48</v>
      </c>
      <c r="I28" s="6">
        <v>160</v>
      </c>
      <c r="J28" s="6">
        <v>96</v>
      </c>
      <c r="K28" s="6">
        <v>64</v>
      </c>
      <c r="L28" s="6">
        <v>51</v>
      </c>
      <c r="M28" s="6">
        <v>22</v>
      </c>
      <c r="N28" s="6">
        <v>1</v>
      </c>
      <c r="O28" s="6">
        <v>43.14</v>
      </c>
      <c r="P28" s="6">
        <v>43</v>
      </c>
      <c r="Q28" s="6">
        <v>10</v>
      </c>
      <c r="R28" s="6">
        <v>2</v>
      </c>
      <c r="S28" s="6">
        <v>76.739999999999995</v>
      </c>
      <c r="T28" s="6">
        <v>45</v>
      </c>
      <c r="U28" s="6">
        <v>0</v>
      </c>
      <c r="V28" s="6">
        <v>1</v>
      </c>
      <c r="W28" s="6">
        <v>0</v>
      </c>
      <c r="X28" s="6">
        <v>0</v>
      </c>
      <c r="Y28" s="6">
        <v>0</v>
      </c>
      <c r="Z28" s="6">
        <v>100</v>
      </c>
      <c r="AA28" s="6">
        <v>633</v>
      </c>
      <c r="AB28" s="6">
        <v>25.28</v>
      </c>
      <c r="AC28" s="6">
        <v>301</v>
      </c>
      <c r="AD28" s="6">
        <v>211</v>
      </c>
      <c r="AE28" s="6">
        <v>30</v>
      </c>
      <c r="AF28" s="6">
        <v>18</v>
      </c>
      <c r="AG28" s="6">
        <v>20</v>
      </c>
      <c r="AH28" s="6">
        <f t="shared" si="31"/>
        <v>4</v>
      </c>
      <c r="AI28" s="6">
        <f t="shared" si="32"/>
        <v>3</v>
      </c>
      <c r="AJ28" s="6">
        <f t="shared" si="33"/>
        <v>6</v>
      </c>
      <c r="AK28" s="6">
        <f t="shared" si="34"/>
        <v>3</v>
      </c>
    </row>
    <row r="29" spans="1:37" hidden="1" x14ac:dyDescent="0.25">
      <c r="A29" s="118">
        <v>4</v>
      </c>
      <c r="B29" s="1" t="s">
        <v>107</v>
      </c>
      <c r="C29" s="6">
        <v>23</v>
      </c>
      <c r="D29" s="6">
        <v>13</v>
      </c>
      <c r="E29" s="6">
        <v>2</v>
      </c>
      <c r="F29" s="6">
        <v>1</v>
      </c>
      <c r="G29" s="6">
        <v>7</v>
      </c>
      <c r="H29" s="6">
        <v>44</v>
      </c>
      <c r="I29" s="6">
        <v>178</v>
      </c>
      <c r="J29" s="6">
        <v>129</v>
      </c>
      <c r="K29" s="6">
        <v>49</v>
      </c>
      <c r="L29" s="6">
        <v>66</v>
      </c>
      <c r="M29" s="6">
        <v>31</v>
      </c>
      <c r="N29" s="6">
        <v>5</v>
      </c>
      <c r="O29" s="6">
        <v>46.97</v>
      </c>
      <c r="P29" s="6">
        <v>32</v>
      </c>
      <c r="Q29" s="6">
        <v>6</v>
      </c>
      <c r="R29" s="6">
        <v>4</v>
      </c>
      <c r="S29" s="6">
        <v>81.25</v>
      </c>
      <c r="T29" s="6">
        <v>32</v>
      </c>
      <c r="U29" s="6">
        <v>0</v>
      </c>
      <c r="V29" s="6">
        <v>1</v>
      </c>
      <c r="W29" s="6">
        <v>0</v>
      </c>
      <c r="X29" s="6">
        <v>0</v>
      </c>
      <c r="Y29" s="6">
        <v>0</v>
      </c>
      <c r="Z29" s="6">
        <v>74</v>
      </c>
      <c r="AA29" s="6">
        <v>723</v>
      </c>
      <c r="AB29" s="6">
        <v>24.62</v>
      </c>
      <c r="AC29" s="6">
        <v>320</v>
      </c>
      <c r="AD29" s="6">
        <v>830</v>
      </c>
      <c r="AE29" s="6">
        <v>27</v>
      </c>
      <c r="AF29" s="6">
        <v>75</v>
      </c>
      <c r="AG29" s="6">
        <v>44</v>
      </c>
      <c r="AH29" s="6">
        <f t="shared" si="31"/>
        <v>3</v>
      </c>
      <c r="AI29" s="6">
        <f t="shared" si="32"/>
        <v>2</v>
      </c>
      <c r="AJ29" s="6">
        <f t="shared" si="33"/>
        <v>12</v>
      </c>
      <c r="AK29" s="6">
        <f t="shared" si="34"/>
        <v>4</v>
      </c>
    </row>
    <row r="30" spans="1:37" hidden="1" x14ac:dyDescent="0.25">
      <c r="A30" s="118">
        <v>5</v>
      </c>
      <c r="B30" s="1" t="s">
        <v>108</v>
      </c>
      <c r="C30" s="6">
        <v>21</v>
      </c>
      <c r="D30" s="6">
        <v>13</v>
      </c>
      <c r="E30" s="6">
        <v>1</v>
      </c>
      <c r="F30" s="6">
        <v>1</v>
      </c>
      <c r="G30" s="6">
        <v>7</v>
      </c>
      <c r="H30" s="6">
        <v>42</v>
      </c>
      <c r="I30" s="6">
        <v>143</v>
      </c>
      <c r="J30" s="6">
        <v>134</v>
      </c>
      <c r="K30" s="6">
        <v>9</v>
      </c>
      <c r="L30" s="6">
        <v>32</v>
      </c>
      <c r="M30" s="6">
        <v>10</v>
      </c>
      <c r="N30" s="6">
        <v>2</v>
      </c>
      <c r="O30" s="6">
        <v>31.25</v>
      </c>
      <c r="P30" s="6">
        <v>38</v>
      </c>
      <c r="Q30" s="6">
        <v>15</v>
      </c>
      <c r="R30" s="6">
        <v>1</v>
      </c>
      <c r="S30" s="6">
        <v>60.53</v>
      </c>
      <c r="T30" s="6">
        <v>39</v>
      </c>
      <c r="U30" s="6">
        <v>0</v>
      </c>
      <c r="V30" s="6">
        <v>3</v>
      </c>
      <c r="W30" s="6">
        <v>0</v>
      </c>
      <c r="X30" s="6">
        <v>0</v>
      </c>
      <c r="Y30" s="6">
        <v>0</v>
      </c>
      <c r="Z30" s="6">
        <v>108</v>
      </c>
      <c r="AA30" s="6">
        <v>597</v>
      </c>
      <c r="AB30" s="6">
        <v>23.95</v>
      </c>
      <c r="AC30" s="6">
        <v>162</v>
      </c>
      <c r="AD30" s="6">
        <v>410</v>
      </c>
      <c r="AE30" s="6">
        <v>18</v>
      </c>
      <c r="AF30" s="6">
        <v>34</v>
      </c>
      <c r="AG30" s="6">
        <v>22</v>
      </c>
      <c r="AH30" s="6">
        <f t="shared" si="31"/>
        <v>9</v>
      </c>
      <c r="AI30" s="6">
        <f t="shared" si="32"/>
        <v>9</v>
      </c>
      <c r="AJ30" s="6">
        <f t="shared" si="33"/>
        <v>2</v>
      </c>
      <c r="AK30" s="6">
        <f t="shared" si="34"/>
        <v>5</v>
      </c>
    </row>
    <row r="31" spans="1:37" hidden="1" x14ac:dyDescent="0.25">
      <c r="A31" s="118">
        <v>6</v>
      </c>
      <c r="B31" s="1" t="s">
        <v>110</v>
      </c>
      <c r="C31" s="6">
        <v>21</v>
      </c>
      <c r="D31" s="6">
        <v>13</v>
      </c>
      <c r="E31" s="6">
        <v>1</v>
      </c>
      <c r="F31" s="6">
        <v>0</v>
      </c>
      <c r="G31" s="6">
        <v>7</v>
      </c>
      <c r="H31" s="6">
        <v>41</v>
      </c>
      <c r="I31" s="6">
        <v>136</v>
      </c>
      <c r="J31" s="6">
        <v>103</v>
      </c>
      <c r="K31" s="6">
        <v>33</v>
      </c>
      <c r="L31" s="6">
        <v>29</v>
      </c>
      <c r="M31" s="6">
        <v>16</v>
      </c>
      <c r="N31" s="6">
        <v>0</v>
      </c>
      <c r="O31" s="6">
        <v>55.17</v>
      </c>
      <c r="P31" s="6">
        <v>41</v>
      </c>
      <c r="Q31" s="6">
        <v>17</v>
      </c>
      <c r="R31" s="6">
        <v>3</v>
      </c>
      <c r="S31" s="6">
        <v>58.54</v>
      </c>
      <c r="T31" s="6">
        <v>45</v>
      </c>
      <c r="U31" s="6">
        <v>0</v>
      </c>
      <c r="V31" s="6">
        <v>1</v>
      </c>
      <c r="W31" s="6">
        <v>0</v>
      </c>
      <c r="X31" s="6">
        <v>0</v>
      </c>
      <c r="Y31" s="6">
        <v>0</v>
      </c>
      <c r="Z31" s="6">
        <v>100</v>
      </c>
      <c r="AA31" s="6">
        <v>571</v>
      </c>
      <c r="AB31" s="6">
        <v>23.82</v>
      </c>
      <c r="AC31" s="6">
        <v>872</v>
      </c>
      <c r="AD31" s="6">
        <v>245</v>
      </c>
      <c r="AE31" s="6">
        <v>73</v>
      </c>
      <c r="AF31" s="6">
        <v>27</v>
      </c>
      <c r="AG31" s="6">
        <v>43</v>
      </c>
      <c r="AH31" s="6">
        <f t="shared" si="31"/>
        <v>1</v>
      </c>
      <c r="AI31" s="6">
        <f t="shared" si="32"/>
        <v>10</v>
      </c>
      <c r="AJ31" s="6">
        <f t="shared" si="33"/>
        <v>6</v>
      </c>
      <c r="AK31" s="6">
        <f t="shared" si="34"/>
        <v>6</v>
      </c>
    </row>
    <row r="32" spans="1:37" hidden="1" x14ac:dyDescent="0.25">
      <c r="A32" s="118">
        <v>7</v>
      </c>
      <c r="B32" s="1" t="s">
        <v>109</v>
      </c>
      <c r="C32" s="6">
        <v>23</v>
      </c>
      <c r="D32" s="6">
        <v>11</v>
      </c>
      <c r="E32" s="6">
        <v>2</v>
      </c>
      <c r="F32" s="6">
        <v>2</v>
      </c>
      <c r="G32" s="6">
        <v>8</v>
      </c>
      <c r="H32" s="6">
        <v>39</v>
      </c>
      <c r="I32" s="6">
        <v>124</v>
      </c>
      <c r="J32" s="6">
        <v>118</v>
      </c>
      <c r="K32" s="6">
        <v>6</v>
      </c>
      <c r="L32" s="6">
        <v>36</v>
      </c>
      <c r="M32" s="6">
        <v>9</v>
      </c>
      <c r="N32" s="6">
        <v>1</v>
      </c>
      <c r="O32" s="6">
        <v>25</v>
      </c>
      <c r="P32" s="6">
        <v>42</v>
      </c>
      <c r="Q32" s="6">
        <v>13</v>
      </c>
      <c r="R32" s="6">
        <v>2</v>
      </c>
      <c r="S32" s="6">
        <v>69.05</v>
      </c>
      <c r="T32" s="6">
        <v>44</v>
      </c>
      <c r="U32" s="6">
        <v>0</v>
      </c>
      <c r="V32" s="6">
        <v>0</v>
      </c>
      <c r="W32" s="6">
        <v>0</v>
      </c>
      <c r="X32" s="6">
        <v>0</v>
      </c>
      <c r="Y32" s="6">
        <v>0</v>
      </c>
      <c r="Z32" s="6">
        <v>88</v>
      </c>
      <c r="AA32" s="6">
        <v>561</v>
      </c>
      <c r="AB32" s="6">
        <v>22.1</v>
      </c>
      <c r="AC32" s="6">
        <v>296</v>
      </c>
      <c r="AD32" s="6">
        <v>487</v>
      </c>
      <c r="AE32" s="6">
        <v>25</v>
      </c>
      <c r="AF32" s="6">
        <v>44</v>
      </c>
      <c r="AG32" s="6">
        <v>30</v>
      </c>
      <c r="AH32" s="6">
        <f t="shared" si="31"/>
        <v>11</v>
      </c>
      <c r="AI32" s="6">
        <f t="shared" si="32"/>
        <v>6</v>
      </c>
      <c r="AJ32" s="6">
        <f t="shared" si="33"/>
        <v>10</v>
      </c>
      <c r="AK32" s="6">
        <f t="shared" si="34"/>
        <v>7</v>
      </c>
    </row>
    <row r="33" spans="1:37" hidden="1" x14ac:dyDescent="0.25">
      <c r="A33" s="118">
        <v>8</v>
      </c>
      <c r="B33" s="1" t="s">
        <v>112</v>
      </c>
      <c r="C33" s="6">
        <v>23</v>
      </c>
      <c r="D33" s="6">
        <v>8</v>
      </c>
      <c r="E33" s="6">
        <v>3</v>
      </c>
      <c r="F33" s="6">
        <v>0</v>
      </c>
      <c r="G33" s="6">
        <v>12</v>
      </c>
      <c r="H33" s="6">
        <v>30</v>
      </c>
      <c r="I33" s="6">
        <v>118</v>
      </c>
      <c r="J33" s="6">
        <v>138</v>
      </c>
      <c r="K33" s="6">
        <v>-20</v>
      </c>
      <c r="L33" s="6">
        <v>45</v>
      </c>
      <c r="M33" s="6">
        <v>17</v>
      </c>
      <c r="N33" s="6">
        <v>5</v>
      </c>
      <c r="O33" s="6">
        <v>37.78</v>
      </c>
      <c r="P33" s="6">
        <v>37</v>
      </c>
      <c r="Q33" s="6">
        <v>10</v>
      </c>
      <c r="R33" s="6">
        <v>2</v>
      </c>
      <c r="S33" s="6">
        <v>72.97</v>
      </c>
      <c r="T33" s="6">
        <v>43</v>
      </c>
      <c r="U33" s="6">
        <v>0</v>
      </c>
      <c r="V33" s="6">
        <v>0</v>
      </c>
      <c r="W33" s="6">
        <v>0</v>
      </c>
      <c r="X33" s="6">
        <v>0</v>
      </c>
      <c r="Y33" s="6">
        <v>0</v>
      </c>
      <c r="Z33" s="6">
        <v>86</v>
      </c>
      <c r="AA33" s="6">
        <v>529</v>
      </c>
      <c r="AB33" s="6">
        <v>22.31</v>
      </c>
      <c r="AC33" s="6">
        <v>227</v>
      </c>
      <c r="AD33" s="6">
        <v>107</v>
      </c>
      <c r="AE33" s="6">
        <v>19</v>
      </c>
      <c r="AF33" s="6">
        <v>10</v>
      </c>
      <c r="AG33" s="6">
        <v>13</v>
      </c>
      <c r="AH33" s="6">
        <f t="shared" si="31"/>
        <v>7</v>
      </c>
      <c r="AI33" s="6">
        <f t="shared" si="32"/>
        <v>5</v>
      </c>
      <c r="AJ33" s="6">
        <f t="shared" si="33"/>
        <v>11</v>
      </c>
      <c r="AK33" s="6">
        <f t="shared" si="34"/>
        <v>8</v>
      </c>
    </row>
    <row r="34" spans="1:37" hidden="1" x14ac:dyDescent="0.25">
      <c r="A34" s="118">
        <v>9</v>
      </c>
      <c r="B34" s="1" t="s">
        <v>111</v>
      </c>
      <c r="C34" s="6">
        <v>22</v>
      </c>
      <c r="D34" s="6">
        <v>7</v>
      </c>
      <c r="E34" s="6">
        <v>3</v>
      </c>
      <c r="F34" s="6">
        <v>1</v>
      </c>
      <c r="G34" s="6">
        <v>11</v>
      </c>
      <c r="H34" s="6">
        <v>28</v>
      </c>
      <c r="I34" s="6">
        <v>134</v>
      </c>
      <c r="J34" s="6">
        <v>160</v>
      </c>
      <c r="K34" s="6">
        <v>-26</v>
      </c>
      <c r="L34" s="6">
        <v>44</v>
      </c>
      <c r="M34" s="6">
        <v>10</v>
      </c>
      <c r="N34" s="6">
        <v>3</v>
      </c>
      <c r="O34" s="6">
        <v>22.73</v>
      </c>
      <c r="P34" s="6">
        <v>43</v>
      </c>
      <c r="Q34" s="6">
        <v>19</v>
      </c>
      <c r="R34" s="6">
        <v>1</v>
      </c>
      <c r="S34" s="6">
        <v>55.81</v>
      </c>
      <c r="T34" s="6">
        <v>46</v>
      </c>
      <c r="U34" s="6">
        <v>0</v>
      </c>
      <c r="V34" s="6">
        <v>0</v>
      </c>
      <c r="W34" s="6">
        <v>0</v>
      </c>
      <c r="X34" s="6">
        <v>0</v>
      </c>
      <c r="Y34" s="6">
        <v>0</v>
      </c>
      <c r="Z34" s="6">
        <v>92</v>
      </c>
      <c r="AA34" s="6">
        <v>579</v>
      </c>
      <c r="AB34" s="6">
        <v>23.14</v>
      </c>
      <c r="AC34" s="6">
        <v>280</v>
      </c>
      <c r="AD34" s="6">
        <v>540</v>
      </c>
      <c r="AE34" s="6">
        <v>25</v>
      </c>
      <c r="AF34" s="6">
        <v>49</v>
      </c>
      <c r="AG34" s="6">
        <v>32</v>
      </c>
      <c r="AH34" s="6">
        <f t="shared" si="31"/>
        <v>13</v>
      </c>
      <c r="AI34" s="6">
        <f t="shared" si="32"/>
        <v>11</v>
      </c>
      <c r="AJ34" s="6">
        <f t="shared" si="33"/>
        <v>9</v>
      </c>
      <c r="AK34" s="6">
        <f t="shared" si="34"/>
        <v>9</v>
      </c>
    </row>
    <row r="35" spans="1:37" hidden="1" x14ac:dyDescent="0.25">
      <c r="A35" s="118">
        <v>10</v>
      </c>
      <c r="B35" s="1" t="s">
        <v>114</v>
      </c>
      <c r="C35" s="6">
        <v>22</v>
      </c>
      <c r="D35" s="6">
        <v>4</v>
      </c>
      <c r="E35" s="6">
        <v>3</v>
      </c>
      <c r="F35" s="6">
        <v>0</v>
      </c>
      <c r="G35" s="6">
        <v>15</v>
      </c>
      <c r="H35" s="6">
        <v>18</v>
      </c>
      <c r="I35" s="6">
        <v>120</v>
      </c>
      <c r="J35" s="6">
        <v>187</v>
      </c>
      <c r="K35" s="6">
        <v>-67</v>
      </c>
      <c r="L35" s="6">
        <v>22</v>
      </c>
      <c r="M35" s="6">
        <v>8</v>
      </c>
      <c r="N35" s="6">
        <v>0</v>
      </c>
      <c r="O35" s="6">
        <v>36.36</v>
      </c>
      <c r="P35" s="6">
        <v>38</v>
      </c>
      <c r="Q35" s="6">
        <v>24</v>
      </c>
      <c r="R35" s="6">
        <v>2</v>
      </c>
      <c r="S35" s="6">
        <v>36.840000000000003</v>
      </c>
      <c r="T35" s="6">
        <v>40</v>
      </c>
      <c r="U35" s="6">
        <v>0</v>
      </c>
      <c r="V35" s="6">
        <v>2</v>
      </c>
      <c r="W35" s="6">
        <v>0</v>
      </c>
      <c r="X35" s="6">
        <v>0</v>
      </c>
      <c r="Y35" s="6">
        <v>0</v>
      </c>
      <c r="Z35" s="6">
        <v>100</v>
      </c>
      <c r="AA35" s="6">
        <v>452</v>
      </c>
      <c r="AB35" s="6">
        <v>26.55</v>
      </c>
      <c r="AC35" s="6">
        <v>290</v>
      </c>
      <c r="AD35" s="6">
        <v>532</v>
      </c>
      <c r="AE35" s="6">
        <v>26</v>
      </c>
      <c r="AF35" s="6">
        <v>48</v>
      </c>
      <c r="AG35" s="6">
        <v>32</v>
      </c>
      <c r="AH35" s="6">
        <f t="shared" si="31"/>
        <v>8</v>
      </c>
      <c r="AI35" s="6">
        <f t="shared" si="32"/>
        <v>14</v>
      </c>
      <c r="AJ35" s="6">
        <f t="shared" si="33"/>
        <v>6</v>
      </c>
      <c r="AK35" s="6">
        <f t="shared" si="34"/>
        <v>10</v>
      </c>
    </row>
    <row r="36" spans="1:37" hidden="1" x14ac:dyDescent="0.25">
      <c r="A36" s="118">
        <v>11</v>
      </c>
      <c r="B36" s="1" t="s">
        <v>115</v>
      </c>
      <c r="C36" s="6">
        <v>19</v>
      </c>
      <c r="D36" s="6">
        <v>5</v>
      </c>
      <c r="E36" s="6">
        <v>0</v>
      </c>
      <c r="F36" s="6">
        <v>2</v>
      </c>
      <c r="G36" s="6">
        <v>12</v>
      </c>
      <c r="H36" s="6">
        <v>17</v>
      </c>
      <c r="I36" s="6">
        <v>103</v>
      </c>
      <c r="J36" s="6">
        <v>149</v>
      </c>
      <c r="K36" s="6">
        <v>-46</v>
      </c>
      <c r="L36" s="6">
        <v>34</v>
      </c>
      <c r="M36" s="6">
        <v>6</v>
      </c>
      <c r="N36" s="6">
        <v>2</v>
      </c>
      <c r="O36" s="6">
        <v>17.649999999999999</v>
      </c>
      <c r="P36" s="6">
        <v>46</v>
      </c>
      <c r="Q36" s="6">
        <v>22</v>
      </c>
      <c r="R36" s="6">
        <v>5</v>
      </c>
      <c r="S36" s="6">
        <v>52.17</v>
      </c>
      <c r="T36" s="6">
        <v>53</v>
      </c>
      <c r="U36" s="6">
        <v>0</v>
      </c>
      <c r="V36" s="6">
        <v>0</v>
      </c>
      <c r="W36" s="6">
        <v>0</v>
      </c>
      <c r="X36" s="6">
        <v>0</v>
      </c>
      <c r="Y36" s="6">
        <v>0</v>
      </c>
      <c r="Z36" s="6">
        <v>106</v>
      </c>
      <c r="AA36" s="6">
        <v>401</v>
      </c>
      <c r="AB36" s="6">
        <v>25.69</v>
      </c>
      <c r="AC36" s="6">
        <v>268</v>
      </c>
      <c r="AD36" s="6">
        <v>460</v>
      </c>
      <c r="AE36" s="6">
        <v>30</v>
      </c>
      <c r="AF36" s="6">
        <v>46</v>
      </c>
      <c r="AG36" s="6">
        <v>28</v>
      </c>
      <c r="AH36" s="6">
        <f t="shared" si="31"/>
        <v>14</v>
      </c>
      <c r="AI36" s="6">
        <f t="shared" si="32"/>
        <v>12</v>
      </c>
      <c r="AJ36" s="6">
        <f t="shared" si="33"/>
        <v>3</v>
      </c>
      <c r="AK36" s="6">
        <f t="shared" si="34"/>
        <v>11</v>
      </c>
    </row>
    <row r="37" spans="1:37" hidden="1" x14ac:dyDescent="0.25">
      <c r="A37" s="118">
        <v>12</v>
      </c>
      <c r="B37" s="1" t="s">
        <v>113</v>
      </c>
      <c r="C37" s="6">
        <v>22</v>
      </c>
      <c r="D37" s="6">
        <v>4</v>
      </c>
      <c r="E37" s="6">
        <v>0</v>
      </c>
      <c r="F37" s="6">
        <v>5</v>
      </c>
      <c r="G37" s="6">
        <v>14</v>
      </c>
      <c r="H37" s="6">
        <v>17</v>
      </c>
      <c r="I37" s="6">
        <v>89</v>
      </c>
      <c r="J37" s="6">
        <v>137</v>
      </c>
      <c r="K37" s="6">
        <v>-48</v>
      </c>
      <c r="L37" s="6">
        <v>31</v>
      </c>
      <c r="M37" s="6">
        <v>15</v>
      </c>
      <c r="N37" s="6">
        <v>2</v>
      </c>
      <c r="O37" s="6">
        <v>48.39</v>
      </c>
      <c r="P37" s="6">
        <v>37</v>
      </c>
      <c r="Q37" s="6">
        <v>14</v>
      </c>
      <c r="R37" s="6">
        <v>3</v>
      </c>
      <c r="S37" s="6">
        <v>62.16</v>
      </c>
      <c r="T37" s="6">
        <v>42</v>
      </c>
      <c r="U37" s="6">
        <v>2</v>
      </c>
      <c r="V37" s="6">
        <v>0</v>
      </c>
      <c r="W37" s="6">
        <v>0</v>
      </c>
      <c r="X37" s="6">
        <v>1</v>
      </c>
      <c r="Y37" s="6">
        <v>0</v>
      </c>
      <c r="Z37" s="6">
        <v>114</v>
      </c>
      <c r="AA37" s="6">
        <v>452</v>
      </c>
      <c r="AB37" s="6">
        <v>19.690000000000001</v>
      </c>
      <c r="AC37" s="6">
        <v>407</v>
      </c>
      <c r="AD37" s="6">
        <v>324</v>
      </c>
      <c r="AE37" s="6">
        <v>34</v>
      </c>
      <c r="AF37" s="6">
        <v>32</v>
      </c>
      <c r="AG37" s="6">
        <v>28</v>
      </c>
      <c r="AH37" s="6">
        <f t="shared" si="31"/>
        <v>2</v>
      </c>
      <c r="AI37" s="6">
        <f t="shared" si="32"/>
        <v>8</v>
      </c>
      <c r="AJ37" s="6">
        <f t="shared" si="33"/>
        <v>1</v>
      </c>
      <c r="AK37" s="6">
        <f t="shared" si="34"/>
        <v>12</v>
      </c>
    </row>
    <row r="38" spans="1:37" hidden="1" x14ac:dyDescent="0.25">
      <c r="A38" s="118">
        <v>13</v>
      </c>
      <c r="B38" s="1" t="s">
        <v>117</v>
      </c>
      <c r="C38" s="6">
        <v>23</v>
      </c>
      <c r="D38" s="6">
        <v>3</v>
      </c>
      <c r="E38" s="6">
        <v>1</v>
      </c>
      <c r="F38" s="6">
        <v>2</v>
      </c>
      <c r="G38" s="6">
        <v>17</v>
      </c>
      <c r="H38" s="6">
        <v>13</v>
      </c>
      <c r="I38" s="6">
        <v>104</v>
      </c>
      <c r="J38" s="6">
        <v>171</v>
      </c>
      <c r="K38" s="6">
        <v>-67</v>
      </c>
      <c r="L38" s="6">
        <v>33</v>
      </c>
      <c r="M38" s="6">
        <v>14</v>
      </c>
      <c r="N38" s="6">
        <v>6</v>
      </c>
      <c r="O38" s="6">
        <v>42.42</v>
      </c>
      <c r="P38" s="6">
        <v>28</v>
      </c>
      <c r="Q38" s="6">
        <v>16</v>
      </c>
      <c r="R38" s="6">
        <v>2</v>
      </c>
      <c r="S38" s="6">
        <v>42.86</v>
      </c>
      <c r="T38" s="6">
        <v>29</v>
      </c>
      <c r="U38" s="6">
        <v>1</v>
      </c>
      <c r="V38" s="6">
        <v>0</v>
      </c>
      <c r="W38" s="6">
        <v>0</v>
      </c>
      <c r="X38" s="6">
        <v>0</v>
      </c>
      <c r="Y38" s="6">
        <v>0</v>
      </c>
      <c r="Z38" s="6">
        <v>63</v>
      </c>
      <c r="AA38" s="6">
        <v>461</v>
      </c>
      <c r="AB38" s="6">
        <v>22.56</v>
      </c>
      <c r="AC38" s="6">
        <v>311</v>
      </c>
      <c r="AD38" s="6">
        <v>150</v>
      </c>
      <c r="AE38" s="6">
        <v>31</v>
      </c>
      <c r="AF38" s="6">
        <v>12</v>
      </c>
      <c r="AG38" s="6">
        <v>18</v>
      </c>
      <c r="AH38" s="6">
        <f t="shared" si="31"/>
        <v>5</v>
      </c>
      <c r="AI38" s="6">
        <f t="shared" si="32"/>
        <v>13</v>
      </c>
      <c r="AJ38" s="6">
        <f t="shared" si="33"/>
        <v>13</v>
      </c>
      <c r="AK38" s="6">
        <f t="shared" si="34"/>
        <v>13</v>
      </c>
    </row>
    <row r="39" spans="1:37" hidden="1" x14ac:dyDescent="0.25">
      <c r="A39" s="118">
        <v>14</v>
      </c>
      <c r="B39" s="1" t="s">
        <v>116</v>
      </c>
      <c r="C39" s="6">
        <v>23</v>
      </c>
      <c r="D39" s="6">
        <v>2</v>
      </c>
      <c r="E39" s="6">
        <v>0</v>
      </c>
      <c r="F39" s="6">
        <v>3</v>
      </c>
      <c r="G39" s="6">
        <v>18</v>
      </c>
      <c r="H39" s="6">
        <v>9</v>
      </c>
      <c r="I39" s="6">
        <v>84</v>
      </c>
      <c r="J39" s="6">
        <v>164</v>
      </c>
      <c r="K39" s="6">
        <v>-80</v>
      </c>
      <c r="L39" s="6">
        <v>44</v>
      </c>
      <c r="M39" s="6">
        <v>11</v>
      </c>
      <c r="N39" s="6">
        <v>5</v>
      </c>
      <c r="O39" s="6">
        <v>25</v>
      </c>
      <c r="P39" s="6">
        <v>46</v>
      </c>
      <c r="Q39" s="6">
        <v>15</v>
      </c>
      <c r="R39" s="6">
        <v>2</v>
      </c>
      <c r="S39" s="6">
        <v>67.39</v>
      </c>
      <c r="T39" s="6">
        <v>53</v>
      </c>
      <c r="U39" s="6">
        <v>0</v>
      </c>
      <c r="V39" s="6">
        <v>0</v>
      </c>
      <c r="W39" s="6">
        <v>0</v>
      </c>
      <c r="X39" s="6">
        <v>0</v>
      </c>
      <c r="Y39" s="6">
        <v>0</v>
      </c>
      <c r="Z39" s="6">
        <v>106</v>
      </c>
      <c r="AA39" s="6">
        <v>461</v>
      </c>
      <c r="AB39" s="6">
        <v>18.22</v>
      </c>
      <c r="AC39" s="6">
        <v>275</v>
      </c>
      <c r="AD39" s="6">
        <v>113</v>
      </c>
      <c r="AE39" s="6">
        <v>23</v>
      </c>
      <c r="AF39" s="6">
        <v>10</v>
      </c>
      <c r="AG39" s="6">
        <v>15</v>
      </c>
      <c r="AH39" s="6">
        <f t="shared" si="31"/>
        <v>11</v>
      </c>
      <c r="AI39" s="6">
        <f t="shared" si="32"/>
        <v>7</v>
      </c>
      <c r="AJ39" s="6">
        <f t="shared" si="33"/>
        <v>3</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x6UMDwKWlgMU2OAET1SlCc6QBxFmV8tSFVuvj0CNqLRMei1h4d8RH0MDBRAvFLbqS3vjBMc/bLuvcpw0axEWxw==" saltValue="yi2ouGgoBo+5sq6RHFeSRQ=="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455</v>
      </c>
      <c r="Q1" s="115" t="s">
        <v>47</v>
      </c>
    </row>
    <row r="2" spans="1:19" s="4" customFormat="1" ht="15" customHeight="1" x14ac:dyDescent="0.25">
      <c r="A2" s="53">
        <v>1</v>
      </c>
      <c r="B2" s="4" t="s">
        <v>14</v>
      </c>
      <c r="D2" s="5" t="s">
        <v>51</v>
      </c>
      <c r="E2" s="5">
        <v>22</v>
      </c>
      <c r="F2" s="5">
        <v>17</v>
      </c>
      <c r="G2" s="5">
        <v>2</v>
      </c>
      <c r="H2" s="5">
        <v>1</v>
      </c>
      <c r="I2" s="5">
        <v>11</v>
      </c>
      <c r="J2" s="5">
        <v>28</v>
      </c>
      <c r="K2" s="5">
        <v>10</v>
      </c>
      <c r="L2" s="5">
        <v>44</v>
      </c>
      <c r="M2" s="5">
        <v>65</v>
      </c>
      <c r="N2" s="5">
        <v>-21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28 (17+11), -21 ±</v>
      </c>
      <c r="P2" s="5" t="str">
        <f>IF(B2&lt;&gt;0,IF(IFERROR(VLOOKUP(B2,$B$48:$B$82,1,FALSE)=B2,FALSE),"ANO","NE"),"")</f>
        <v>ANO</v>
      </c>
      <c r="Q2" s="142" t="s">
        <v>750</v>
      </c>
      <c r="S2" s="5"/>
    </row>
    <row r="3" spans="1:19" s="4" customFormat="1" ht="15" customHeight="1" x14ac:dyDescent="0.25">
      <c r="A3" s="53">
        <v>2</v>
      </c>
      <c r="B3" s="4" t="s">
        <v>21</v>
      </c>
      <c r="D3" s="5" t="s">
        <v>51</v>
      </c>
      <c r="E3" s="5">
        <v>23</v>
      </c>
      <c r="F3" s="5">
        <v>19</v>
      </c>
      <c r="G3" s="5">
        <v>6</v>
      </c>
      <c r="H3" s="5">
        <v>0</v>
      </c>
      <c r="I3" s="5">
        <v>5</v>
      </c>
      <c r="J3" s="5">
        <v>24</v>
      </c>
      <c r="K3" s="5">
        <v>2</v>
      </c>
      <c r="L3" s="5">
        <v>27</v>
      </c>
      <c r="M3" s="5">
        <v>49</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24 (19+5), -22 ±</v>
      </c>
      <c r="P3" s="5" t="str">
        <f t="shared" ref="P3:P36" si="1">IF(B3&lt;&gt;0,IF(IFERROR(VLOOKUP(B3,$B$48:$B$82,1,FALSE)=B3,FALSE),"ANO","NE"),"")</f>
        <v>ANO</v>
      </c>
      <c r="Q3" s="142" t="s">
        <v>415</v>
      </c>
      <c r="S3" s="5"/>
    </row>
    <row r="4" spans="1:19" s="4" customFormat="1" ht="15" customHeight="1" x14ac:dyDescent="0.25">
      <c r="A4" s="53">
        <v>3</v>
      </c>
      <c r="B4" s="4" t="s">
        <v>12</v>
      </c>
      <c r="D4" s="5" t="s">
        <v>51</v>
      </c>
      <c r="E4" s="5">
        <v>21</v>
      </c>
      <c r="F4" s="5">
        <v>10</v>
      </c>
      <c r="G4" s="5">
        <v>2</v>
      </c>
      <c r="H4" s="5">
        <v>0</v>
      </c>
      <c r="I4" s="5">
        <v>8</v>
      </c>
      <c r="J4" s="5">
        <v>18</v>
      </c>
      <c r="K4" s="5">
        <v>0</v>
      </c>
      <c r="L4" s="5">
        <v>33</v>
      </c>
      <c r="M4" s="5">
        <v>40</v>
      </c>
      <c r="N4" s="5">
        <v>-7</v>
      </c>
      <c r="O4" s="161" t="str">
        <f t="shared" si="0"/>
        <v>21 OZ , 18 (10+8), -7 ±</v>
      </c>
      <c r="P4" s="5" t="str">
        <f t="shared" si="1"/>
        <v>ANO</v>
      </c>
      <c r="Q4" s="142" t="s">
        <v>627</v>
      </c>
      <c r="S4" s="5"/>
    </row>
    <row r="5" spans="1:19" s="4" customFormat="1" ht="15" customHeight="1" x14ac:dyDescent="0.25">
      <c r="A5" s="53">
        <v>4</v>
      </c>
      <c r="B5" s="4" t="s">
        <v>20</v>
      </c>
      <c r="D5" s="5"/>
      <c r="E5" s="5">
        <v>23</v>
      </c>
      <c r="F5" s="5">
        <v>5</v>
      </c>
      <c r="G5" s="5">
        <v>0</v>
      </c>
      <c r="H5" s="5">
        <v>0</v>
      </c>
      <c r="I5" s="5">
        <v>12</v>
      </c>
      <c r="J5" s="5">
        <v>17</v>
      </c>
      <c r="K5" s="5">
        <v>11</v>
      </c>
      <c r="L5" s="5">
        <v>34</v>
      </c>
      <c r="M5" s="5">
        <v>46</v>
      </c>
      <c r="N5" s="5">
        <v>-12</v>
      </c>
      <c r="O5" s="161" t="str">
        <f t="shared" si="0"/>
        <v>23 OZ , 17 (5+12), -12 ±</v>
      </c>
      <c r="P5" s="5" t="str">
        <f t="shared" si="1"/>
        <v>ANO</v>
      </c>
      <c r="Q5" s="142" t="s">
        <v>751</v>
      </c>
      <c r="S5" s="5"/>
    </row>
    <row r="6" spans="1:19" ht="15" customHeight="1" x14ac:dyDescent="0.25">
      <c r="A6" s="54">
        <v>5</v>
      </c>
      <c r="B6" s="1" t="s">
        <v>56</v>
      </c>
      <c r="D6" s="205" t="s">
        <v>48</v>
      </c>
      <c r="E6" s="205">
        <v>23</v>
      </c>
      <c r="F6" s="205">
        <v>8</v>
      </c>
      <c r="G6" s="205">
        <v>4</v>
      </c>
      <c r="H6" s="205">
        <v>0</v>
      </c>
      <c r="I6" s="205">
        <v>6</v>
      </c>
      <c r="J6" s="205">
        <v>14</v>
      </c>
      <c r="K6" s="205">
        <v>6</v>
      </c>
      <c r="L6" s="205">
        <v>40</v>
      </c>
      <c r="M6" s="205">
        <v>61</v>
      </c>
      <c r="N6" s="205">
        <v>-21</v>
      </c>
      <c r="O6" s="161" t="str">
        <f t="shared" si="0"/>
        <v>23 OZ , 14 (8+6), -21 ±</v>
      </c>
      <c r="P6" s="5" t="str">
        <f t="shared" si="1"/>
        <v>ANO</v>
      </c>
    </row>
    <row r="7" spans="1:19" ht="15" customHeight="1" x14ac:dyDescent="0.25">
      <c r="A7" s="54">
        <v>6</v>
      </c>
      <c r="B7" s="1" t="s">
        <v>19</v>
      </c>
      <c r="D7" s="205" t="s">
        <v>51</v>
      </c>
      <c r="E7" s="205">
        <v>21</v>
      </c>
      <c r="F7" s="205">
        <v>4</v>
      </c>
      <c r="G7" s="205">
        <v>0</v>
      </c>
      <c r="H7" s="205">
        <v>0</v>
      </c>
      <c r="I7" s="205">
        <v>9</v>
      </c>
      <c r="J7" s="205">
        <v>13</v>
      </c>
      <c r="K7" s="205">
        <v>0</v>
      </c>
      <c r="L7" s="205">
        <v>17</v>
      </c>
      <c r="M7" s="205">
        <v>29</v>
      </c>
      <c r="N7" s="205">
        <v>-12</v>
      </c>
      <c r="O7" s="161" t="str">
        <f t="shared" si="0"/>
        <v>21 OZ , 13 (4+9), -12 ±</v>
      </c>
      <c r="P7" s="5" t="str">
        <f t="shared" si="1"/>
        <v>ANO</v>
      </c>
    </row>
    <row r="8" spans="1:19" ht="15" customHeight="1" x14ac:dyDescent="0.25">
      <c r="A8" s="54">
        <v>7</v>
      </c>
      <c r="B8" s="1" t="s">
        <v>3</v>
      </c>
      <c r="D8" s="205" t="s">
        <v>51</v>
      </c>
      <c r="E8" s="205">
        <v>23</v>
      </c>
      <c r="F8" s="205">
        <v>8</v>
      </c>
      <c r="G8" s="205">
        <v>0</v>
      </c>
      <c r="H8" s="205">
        <v>0</v>
      </c>
      <c r="I8" s="205">
        <v>3</v>
      </c>
      <c r="J8" s="205">
        <v>11</v>
      </c>
      <c r="K8" s="205">
        <v>4</v>
      </c>
      <c r="L8" s="205">
        <v>21</v>
      </c>
      <c r="M8" s="205">
        <v>29</v>
      </c>
      <c r="N8" s="205">
        <v>-8</v>
      </c>
      <c r="O8" s="161" t="str">
        <f t="shared" si="0"/>
        <v>23 OZ , 11 (8+3), -8 ±</v>
      </c>
      <c r="P8" s="5" t="str">
        <f t="shared" si="1"/>
        <v>ANO</v>
      </c>
    </row>
    <row r="9" spans="1:19" ht="15" customHeight="1" x14ac:dyDescent="0.25">
      <c r="A9" s="54">
        <v>8</v>
      </c>
      <c r="B9" s="1" t="s">
        <v>2</v>
      </c>
      <c r="D9" s="205"/>
      <c r="E9" s="205">
        <v>10</v>
      </c>
      <c r="F9" s="205">
        <v>5</v>
      </c>
      <c r="G9" s="205">
        <v>0</v>
      </c>
      <c r="H9" s="205">
        <v>0</v>
      </c>
      <c r="I9" s="205">
        <v>6</v>
      </c>
      <c r="J9" s="205">
        <v>11</v>
      </c>
      <c r="K9" s="205">
        <v>0</v>
      </c>
      <c r="L9" s="205">
        <v>17</v>
      </c>
      <c r="M9" s="205">
        <v>33</v>
      </c>
      <c r="N9" s="205">
        <v>-16</v>
      </c>
      <c r="O9" s="161" t="str">
        <f t="shared" si="0"/>
        <v>10 OZ , 11 (5+6), -16 ±</v>
      </c>
      <c r="P9" s="5" t="str">
        <f t="shared" si="1"/>
        <v>ANO</v>
      </c>
    </row>
    <row r="10" spans="1:19" ht="15" customHeight="1" x14ac:dyDescent="0.25">
      <c r="A10" s="54">
        <v>9</v>
      </c>
      <c r="B10" s="1" t="s">
        <v>4</v>
      </c>
      <c r="D10" s="205" t="s">
        <v>48</v>
      </c>
      <c r="E10" s="205">
        <v>23</v>
      </c>
      <c r="F10" s="205">
        <v>7</v>
      </c>
      <c r="G10" s="205">
        <v>0</v>
      </c>
      <c r="H10" s="205">
        <v>1</v>
      </c>
      <c r="I10" s="205">
        <v>3</v>
      </c>
      <c r="J10" s="205">
        <v>10</v>
      </c>
      <c r="K10" s="205">
        <v>4</v>
      </c>
      <c r="L10" s="205">
        <v>27</v>
      </c>
      <c r="M10" s="205">
        <v>39</v>
      </c>
      <c r="N10" s="205">
        <v>-12</v>
      </c>
      <c r="O10" s="161" t="str">
        <f t="shared" si="0"/>
        <v>23 OZ , 10 (7+3), -12 ±</v>
      </c>
      <c r="P10" s="5" t="str">
        <f t="shared" si="1"/>
        <v>ANO</v>
      </c>
    </row>
    <row r="11" spans="1:19" ht="15" customHeight="1" x14ac:dyDescent="0.25">
      <c r="A11" s="54">
        <v>10</v>
      </c>
      <c r="B11" s="1" t="s">
        <v>31</v>
      </c>
      <c r="D11" s="205"/>
      <c r="E11" s="205">
        <v>20</v>
      </c>
      <c r="F11" s="205">
        <v>0</v>
      </c>
      <c r="G11" s="205">
        <v>0</v>
      </c>
      <c r="H11" s="205">
        <v>0</v>
      </c>
      <c r="I11" s="205">
        <v>8</v>
      </c>
      <c r="J11" s="205">
        <v>8</v>
      </c>
      <c r="K11" s="205">
        <v>2</v>
      </c>
      <c r="L11" s="205">
        <v>16</v>
      </c>
      <c r="M11" s="205">
        <v>26</v>
      </c>
      <c r="N11" s="205">
        <v>-10</v>
      </c>
      <c r="O11" s="161" t="str">
        <f t="shared" si="0"/>
        <v>20 OZ , 8 (0+8), -10 ±</v>
      </c>
      <c r="P11" s="5" t="str">
        <f t="shared" si="1"/>
        <v>ANO</v>
      </c>
    </row>
    <row r="12" spans="1:19" ht="15" customHeight="1" x14ac:dyDescent="0.25">
      <c r="A12" s="54">
        <v>11</v>
      </c>
      <c r="B12" s="1" t="s">
        <v>26</v>
      </c>
      <c r="D12" s="205" t="s">
        <v>48</v>
      </c>
      <c r="E12" s="205">
        <v>22</v>
      </c>
      <c r="F12" s="205">
        <v>5</v>
      </c>
      <c r="G12" s="205">
        <v>0</v>
      </c>
      <c r="H12" s="205">
        <v>0</v>
      </c>
      <c r="I12" s="205">
        <v>2</v>
      </c>
      <c r="J12" s="205">
        <v>7</v>
      </c>
      <c r="K12" s="205">
        <v>0</v>
      </c>
      <c r="L12" s="205">
        <v>19</v>
      </c>
      <c r="M12" s="205">
        <v>23</v>
      </c>
      <c r="N12" s="205">
        <v>-4</v>
      </c>
      <c r="O12" s="161" t="str">
        <f t="shared" si="0"/>
        <v>22 OZ , 7 (5+2), -4 ±</v>
      </c>
      <c r="P12" s="5" t="str">
        <f t="shared" si="1"/>
        <v>ANO</v>
      </c>
    </row>
    <row r="13" spans="1:19" ht="15" customHeight="1" x14ac:dyDescent="0.25">
      <c r="A13" s="54">
        <v>12</v>
      </c>
      <c r="B13" s="1" t="s">
        <v>17</v>
      </c>
      <c r="D13" s="205" t="s">
        <v>51</v>
      </c>
      <c r="E13" s="205">
        <v>21</v>
      </c>
      <c r="F13" s="205">
        <v>4</v>
      </c>
      <c r="G13" s="205">
        <v>0</v>
      </c>
      <c r="H13" s="205">
        <v>0</v>
      </c>
      <c r="I13" s="205">
        <v>3</v>
      </c>
      <c r="J13" s="205">
        <v>7</v>
      </c>
      <c r="K13" s="205">
        <v>6</v>
      </c>
      <c r="L13" s="205">
        <v>19</v>
      </c>
      <c r="M13" s="205">
        <v>35</v>
      </c>
      <c r="N13" s="205">
        <v>-16</v>
      </c>
      <c r="O13" s="161" t="str">
        <f t="shared" si="0"/>
        <v>21 OZ , 7 (4+3), -16 ±</v>
      </c>
      <c r="P13" s="5" t="str">
        <f t="shared" si="1"/>
        <v>ANO</v>
      </c>
    </row>
    <row r="14" spans="1:19" ht="15" customHeight="1" x14ac:dyDescent="0.25">
      <c r="A14" s="54">
        <v>13</v>
      </c>
      <c r="B14" s="1" t="s">
        <v>10</v>
      </c>
      <c r="D14" s="205" t="s">
        <v>51</v>
      </c>
      <c r="E14" s="205">
        <v>16</v>
      </c>
      <c r="F14" s="205">
        <v>1</v>
      </c>
      <c r="G14" s="205">
        <v>0</v>
      </c>
      <c r="H14" s="205">
        <v>0</v>
      </c>
      <c r="I14" s="205">
        <v>6</v>
      </c>
      <c r="J14" s="205">
        <v>7</v>
      </c>
      <c r="K14" s="205">
        <v>8</v>
      </c>
      <c r="L14" s="205">
        <v>20</v>
      </c>
      <c r="M14" s="205">
        <v>22</v>
      </c>
      <c r="N14" s="205">
        <v>-2</v>
      </c>
      <c r="O14" s="161" t="str">
        <f t="shared" si="0"/>
        <v>16 OZ , 7 (1+6), -2 ±</v>
      </c>
      <c r="P14" s="5" t="str">
        <f t="shared" si="1"/>
        <v>ANO</v>
      </c>
    </row>
    <row r="15" spans="1:19" ht="15" customHeight="1" x14ac:dyDescent="0.25">
      <c r="A15" s="54">
        <v>14</v>
      </c>
      <c r="B15" s="1" t="s">
        <v>281</v>
      </c>
      <c r="D15" s="205"/>
      <c r="E15" s="205">
        <v>9</v>
      </c>
      <c r="F15" s="205">
        <v>4</v>
      </c>
      <c r="G15" s="205">
        <v>0</v>
      </c>
      <c r="H15" s="205">
        <v>0</v>
      </c>
      <c r="I15" s="205">
        <v>2</v>
      </c>
      <c r="J15" s="205">
        <v>6</v>
      </c>
      <c r="K15" s="205">
        <v>0</v>
      </c>
      <c r="L15" s="205">
        <v>16</v>
      </c>
      <c r="M15" s="205">
        <v>25</v>
      </c>
      <c r="N15" s="205">
        <v>-9</v>
      </c>
      <c r="O15" s="161" t="str">
        <f t="shared" si="0"/>
        <v>17 OZ , 7 (4+3), -9 ±</v>
      </c>
      <c r="P15" s="5" t="str">
        <f t="shared" si="1"/>
        <v>ANO</v>
      </c>
    </row>
    <row r="16" spans="1:19" ht="15" customHeight="1" x14ac:dyDescent="0.25">
      <c r="A16" s="54">
        <v>15</v>
      </c>
      <c r="B16" s="1" t="s">
        <v>5</v>
      </c>
      <c r="D16" s="205"/>
      <c r="E16" s="205">
        <v>23</v>
      </c>
      <c r="F16" s="205">
        <v>3</v>
      </c>
      <c r="G16" s="205">
        <v>0</v>
      </c>
      <c r="H16" s="205">
        <v>0</v>
      </c>
      <c r="I16" s="205">
        <v>2</v>
      </c>
      <c r="J16" s="205">
        <v>5</v>
      </c>
      <c r="K16" s="205">
        <v>0</v>
      </c>
      <c r="L16" s="205">
        <v>25</v>
      </c>
      <c r="M16" s="205">
        <v>52</v>
      </c>
      <c r="N16" s="205">
        <v>-27</v>
      </c>
      <c r="O16" s="161" t="str">
        <f t="shared" si="0"/>
        <v>23 OZ , 5 (3+2), -27 ±</v>
      </c>
      <c r="P16" s="5" t="str">
        <f t="shared" si="1"/>
        <v>ANO</v>
      </c>
    </row>
    <row r="17" spans="1:19" ht="15" customHeight="1" x14ac:dyDescent="0.25">
      <c r="A17" s="54">
        <v>16</v>
      </c>
      <c r="B17" s="1" t="s">
        <v>52</v>
      </c>
      <c r="D17" s="205"/>
      <c r="E17" s="205">
        <v>15</v>
      </c>
      <c r="F17" s="205">
        <v>2</v>
      </c>
      <c r="G17" s="205">
        <v>0</v>
      </c>
      <c r="H17" s="205">
        <v>0</v>
      </c>
      <c r="I17" s="205">
        <v>0</v>
      </c>
      <c r="J17" s="205">
        <v>2</v>
      </c>
      <c r="K17" s="205">
        <v>0</v>
      </c>
      <c r="L17" s="205">
        <v>7</v>
      </c>
      <c r="M17" s="205">
        <v>17</v>
      </c>
      <c r="N17" s="205">
        <v>-10</v>
      </c>
      <c r="O17" s="161" t="str">
        <f t="shared" si="0"/>
        <v>15 OZ , 2 (2+0), -10 ±</v>
      </c>
      <c r="P17" s="5" t="str">
        <f t="shared" si="1"/>
        <v>ANO</v>
      </c>
    </row>
    <row r="18" spans="1:19" ht="15" customHeight="1" x14ac:dyDescent="0.25">
      <c r="A18" s="54">
        <v>17</v>
      </c>
      <c r="B18" s="1" t="s">
        <v>23</v>
      </c>
      <c r="D18" s="205" t="s">
        <v>48</v>
      </c>
      <c r="E18" s="205">
        <v>20</v>
      </c>
      <c r="F18" s="205">
        <v>1</v>
      </c>
      <c r="G18" s="205">
        <v>0</v>
      </c>
      <c r="H18" s="205">
        <v>0</v>
      </c>
      <c r="I18" s="205">
        <v>1</v>
      </c>
      <c r="J18" s="205">
        <v>2</v>
      </c>
      <c r="K18" s="205">
        <v>2</v>
      </c>
      <c r="L18" s="205">
        <v>23</v>
      </c>
      <c r="M18" s="205">
        <v>36</v>
      </c>
      <c r="N18" s="205">
        <v>-13</v>
      </c>
      <c r="O18" s="161" t="str">
        <f t="shared" si="0"/>
        <v>20 OZ , 2 (1+1), -13 ±</v>
      </c>
      <c r="P18" s="5" t="str">
        <f t="shared" si="1"/>
        <v>ANO</v>
      </c>
    </row>
    <row r="19" spans="1:19" ht="15" customHeight="1" x14ac:dyDescent="0.25">
      <c r="A19" s="54">
        <v>18</v>
      </c>
      <c r="B19" s="1" t="s">
        <v>0</v>
      </c>
      <c r="D19" s="205" t="s">
        <v>48</v>
      </c>
      <c r="E19" s="205">
        <v>7</v>
      </c>
      <c r="F19" s="205">
        <v>0</v>
      </c>
      <c r="G19" s="205">
        <v>0</v>
      </c>
      <c r="H19" s="205">
        <v>0</v>
      </c>
      <c r="I19" s="205">
        <v>2</v>
      </c>
      <c r="J19" s="205">
        <v>2</v>
      </c>
      <c r="K19" s="205">
        <v>2</v>
      </c>
      <c r="L19" s="205">
        <v>4</v>
      </c>
      <c r="M19" s="205">
        <v>16</v>
      </c>
      <c r="N19" s="205">
        <v>-12</v>
      </c>
      <c r="O19" s="161" t="str">
        <f t="shared" si="0"/>
        <v>11 OZ , 3 (0+3), -11 ±</v>
      </c>
      <c r="P19" s="5" t="str">
        <f t="shared" si="1"/>
        <v>ANO</v>
      </c>
    </row>
    <row r="20" spans="1:19" ht="15" customHeight="1" x14ac:dyDescent="0.25">
      <c r="A20" s="54">
        <v>19</v>
      </c>
      <c r="B20" s="1" t="s">
        <v>50</v>
      </c>
      <c r="D20" s="205"/>
      <c r="E20" s="205">
        <v>3</v>
      </c>
      <c r="F20" s="205">
        <v>1</v>
      </c>
      <c r="G20" s="205">
        <v>0</v>
      </c>
      <c r="H20" s="205">
        <v>0</v>
      </c>
      <c r="I20" s="205">
        <v>0</v>
      </c>
      <c r="J20" s="205">
        <v>1</v>
      </c>
      <c r="K20" s="205">
        <v>0</v>
      </c>
      <c r="L20" s="205">
        <v>1</v>
      </c>
      <c r="M20" s="205">
        <v>0</v>
      </c>
      <c r="N20" s="205">
        <v>1</v>
      </c>
      <c r="O20" s="161" t="str">
        <f t="shared" si="0"/>
        <v>3 OZ , 1 (1+0), +1 ±</v>
      </c>
      <c r="P20" s="5" t="str">
        <f t="shared" si="1"/>
        <v>ANO</v>
      </c>
    </row>
    <row r="21" spans="1:19" ht="15" customHeight="1" x14ac:dyDescent="0.25">
      <c r="A21" s="54">
        <v>20</v>
      </c>
      <c r="B21" s="1" t="s">
        <v>24</v>
      </c>
      <c r="D21" s="205" t="s">
        <v>48</v>
      </c>
      <c r="E21" s="205">
        <v>21</v>
      </c>
      <c r="F21" s="205">
        <v>0</v>
      </c>
      <c r="G21" s="205">
        <v>0</v>
      </c>
      <c r="H21" s="205">
        <v>0</v>
      </c>
      <c r="I21" s="205">
        <v>1</v>
      </c>
      <c r="J21" s="205">
        <v>1</v>
      </c>
      <c r="K21" s="205">
        <v>2</v>
      </c>
      <c r="L21" s="205">
        <v>5</v>
      </c>
      <c r="M21" s="205">
        <v>15</v>
      </c>
      <c r="N21" s="205">
        <v>-10</v>
      </c>
      <c r="O21" s="161" t="str">
        <f t="shared" si="0"/>
        <v>21 OZ , 1 (0+1), -10 ±</v>
      </c>
      <c r="P21" s="5" t="str">
        <f t="shared" si="1"/>
        <v>ANO</v>
      </c>
    </row>
    <row r="22" spans="1:19" ht="15" customHeight="1" x14ac:dyDescent="0.25">
      <c r="A22" s="54">
        <v>21</v>
      </c>
      <c r="B22" s="1" t="s">
        <v>53</v>
      </c>
      <c r="D22" s="205"/>
      <c r="E22" s="205">
        <v>2</v>
      </c>
      <c r="F22" s="205">
        <v>0</v>
      </c>
      <c r="G22" s="205">
        <v>0</v>
      </c>
      <c r="H22" s="205">
        <v>0</v>
      </c>
      <c r="I22" s="205">
        <v>0</v>
      </c>
      <c r="J22" s="205">
        <v>0</v>
      </c>
      <c r="K22" s="205">
        <v>0</v>
      </c>
      <c r="L22" s="205">
        <v>0</v>
      </c>
      <c r="M22" s="205">
        <v>0</v>
      </c>
      <c r="N22" s="205">
        <v>0</v>
      </c>
      <c r="O22" s="161" t="str">
        <f t="shared" si="0"/>
        <v>2 OZ , 0 (0+0), 0 ±</v>
      </c>
      <c r="P22" s="5" t="str">
        <f t="shared" si="1"/>
        <v>ANO</v>
      </c>
    </row>
    <row r="23" spans="1:19" ht="15" customHeight="1" x14ac:dyDescent="0.25">
      <c r="A23" s="54">
        <v>22</v>
      </c>
      <c r="B23" s="1" t="s">
        <v>617</v>
      </c>
      <c r="D23" s="205"/>
      <c r="E23" s="205">
        <v>2</v>
      </c>
      <c r="F23" s="205">
        <v>0</v>
      </c>
      <c r="G23" s="205">
        <v>0</v>
      </c>
      <c r="H23" s="205">
        <v>0</v>
      </c>
      <c r="I23" s="205">
        <v>0</v>
      </c>
      <c r="J23" s="205">
        <v>0</v>
      </c>
      <c r="K23" s="205">
        <v>0</v>
      </c>
      <c r="L23" s="205">
        <v>0</v>
      </c>
      <c r="M23" s="205">
        <v>1</v>
      </c>
      <c r="N23" s="205">
        <v>-1</v>
      </c>
      <c r="O23" s="161" t="str">
        <f t="shared" si="0"/>
        <v>2 OZ , 0 (0+0), -1 ±</v>
      </c>
      <c r="P23" s="5" t="str">
        <f t="shared" si="1"/>
        <v>ANO</v>
      </c>
    </row>
    <row r="24" spans="1:19" ht="15" customHeight="1" x14ac:dyDescent="0.25">
      <c r="A24" s="54">
        <v>23</v>
      </c>
      <c r="B24" s="1" t="s">
        <v>57</v>
      </c>
      <c r="D24" s="205" t="s">
        <v>35</v>
      </c>
      <c r="E24" s="205">
        <v>0</v>
      </c>
      <c r="F24" s="205">
        <v>0</v>
      </c>
      <c r="G24" s="205">
        <v>0</v>
      </c>
      <c r="H24" s="205">
        <v>0</v>
      </c>
      <c r="I24" s="205">
        <v>0</v>
      </c>
      <c r="J24" s="205">
        <v>0</v>
      </c>
      <c r="K24" s="205">
        <v>0</v>
      </c>
      <c r="L24" s="205">
        <v>0</v>
      </c>
      <c r="M24" s="205">
        <v>0</v>
      </c>
      <c r="N24" s="205">
        <v>0</v>
      </c>
      <c r="O24" s="161" t="str">
        <f t="shared" si="0"/>
        <v>0 OZ , 0 (0+0), 0 ±</v>
      </c>
      <c r="P24" s="5" t="str">
        <f t="shared" si="1"/>
        <v>ANO</v>
      </c>
    </row>
    <row r="25" spans="1:19" ht="15" customHeight="1" x14ac:dyDescent="0.25">
      <c r="A25" s="54">
        <v>24</v>
      </c>
      <c r="B25" s="1" t="s">
        <v>49</v>
      </c>
      <c r="D25" s="205"/>
      <c r="E25" s="205">
        <v>4</v>
      </c>
      <c r="F25" s="205">
        <v>0</v>
      </c>
      <c r="G25" s="205">
        <v>0</v>
      </c>
      <c r="H25" s="205">
        <v>0</v>
      </c>
      <c r="I25" s="205">
        <v>0</v>
      </c>
      <c r="J25" s="205">
        <v>0</v>
      </c>
      <c r="K25" s="205">
        <v>0</v>
      </c>
      <c r="L25" s="205">
        <v>1</v>
      </c>
      <c r="M25" s="205">
        <v>5</v>
      </c>
      <c r="N25" s="205">
        <v>-4</v>
      </c>
      <c r="O25" s="161" t="str">
        <f t="shared" si="0"/>
        <v>4 OZ , 0 (0+0), -4 ±</v>
      </c>
      <c r="P25" s="5" t="str">
        <f t="shared" si="1"/>
        <v>ANO</v>
      </c>
    </row>
    <row r="26" spans="1:19" ht="15" customHeight="1" x14ac:dyDescent="0.25">
      <c r="A26" s="54">
        <v>25</v>
      </c>
      <c r="B26" s="1" t="s">
        <v>54</v>
      </c>
      <c r="D26" s="205"/>
      <c r="E26" s="205">
        <v>0</v>
      </c>
      <c r="F26" s="205">
        <v>0</v>
      </c>
      <c r="G26" s="205">
        <v>0</v>
      </c>
      <c r="H26" s="205">
        <v>0</v>
      </c>
      <c r="I26" s="205">
        <v>0</v>
      </c>
      <c r="J26" s="205">
        <v>0</v>
      </c>
      <c r="K26" s="205">
        <v>0</v>
      </c>
      <c r="L26" s="205">
        <v>0</v>
      </c>
      <c r="M26" s="205">
        <v>0</v>
      </c>
      <c r="N26" s="205">
        <v>0</v>
      </c>
      <c r="O26" s="161" t="str">
        <f t="shared" si="0"/>
        <v>0 OZ , 0 (0+0), 0 ±</v>
      </c>
      <c r="P26" s="5" t="str">
        <f t="shared" si="1"/>
        <v>ANO</v>
      </c>
    </row>
    <row r="27" spans="1:19" ht="15" customHeight="1" x14ac:dyDescent="0.25">
      <c r="A27" s="54">
        <v>26</v>
      </c>
      <c r="B27" s="1" t="s">
        <v>55</v>
      </c>
      <c r="D27" s="205"/>
      <c r="E27" s="205">
        <v>11</v>
      </c>
      <c r="F27" s="205">
        <v>0</v>
      </c>
      <c r="G27" s="205">
        <v>0</v>
      </c>
      <c r="H27" s="205">
        <v>0</v>
      </c>
      <c r="I27" s="205">
        <v>0</v>
      </c>
      <c r="J27" s="205">
        <v>0</v>
      </c>
      <c r="K27" s="205">
        <v>2</v>
      </c>
      <c r="L27" s="205">
        <v>1</v>
      </c>
      <c r="M27" s="205">
        <v>2</v>
      </c>
      <c r="N27" s="205">
        <v>-1</v>
      </c>
      <c r="O27" s="161" t="str">
        <f t="shared" si="0"/>
        <v>11 OZ , 0 (0+0), -1 ±</v>
      </c>
      <c r="P27" s="5" t="str">
        <f t="shared" si="1"/>
        <v>ANO</v>
      </c>
    </row>
    <row r="28" spans="1:19" ht="15" customHeight="1" x14ac:dyDescent="0.25">
      <c r="A28" s="54">
        <v>27</v>
      </c>
      <c r="B28" s="1" t="s">
        <v>33</v>
      </c>
      <c r="D28" s="205" t="s">
        <v>35</v>
      </c>
      <c r="E28" s="205">
        <v>0</v>
      </c>
      <c r="F28" s="205">
        <v>0</v>
      </c>
      <c r="G28" s="205">
        <v>0</v>
      </c>
      <c r="H28" s="205">
        <v>0</v>
      </c>
      <c r="I28" s="205">
        <v>0</v>
      </c>
      <c r="J28" s="205">
        <v>0</v>
      </c>
      <c r="K28" s="205">
        <v>0</v>
      </c>
      <c r="L28" s="205">
        <v>0</v>
      </c>
      <c r="M28" s="205">
        <v>1</v>
      </c>
      <c r="N28" s="205">
        <v>-1</v>
      </c>
      <c r="O28" s="161" t="str">
        <f t="shared" si="0"/>
        <v>0 OZ , 0 (0+0), -1 ±</v>
      </c>
      <c r="P28" s="5" t="str">
        <f t="shared" si="1"/>
        <v>ANO</v>
      </c>
    </row>
    <row r="29" spans="1:19" ht="15" customHeight="1" x14ac:dyDescent="0.25">
      <c r="A29" s="53">
        <v>28</v>
      </c>
      <c r="B29" s="4" t="s">
        <v>28</v>
      </c>
      <c r="C29" s="4"/>
      <c r="D29" s="5"/>
      <c r="E29" s="5">
        <v>20</v>
      </c>
      <c r="F29" s="5">
        <v>0</v>
      </c>
      <c r="G29" s="5">
        <v>0</v>
      </c>
      <c r="H29" s="5">
        <v>0</v>
      </c>
      <c r="I29" s="5">
        <v>0</v>
      </c>
      <c r="J29" s="5">
        <v>0</v>
      </c>
      <c r="K29" s="5">
        <v>2</v>
      </c>
      <c r="L29" s="5">
        <v>2</v>
      </c>
      <c r="M29" s="5">
        <v>11</v>
      </c>
      <c r="N29" s="5">
        <v>-9</v>
      </c>
      <c r="O29" s="161" t="str">
        <f t="shared" si="0"/>
        <v>20 OZ , 0 (0+0), -9 ±</v>
      </c>
      <c r="P29" s="5" t="str">
        <f t="shared" si="1"/>
        <v>ANO</v>
      </c>
      <c r="Q29" s="111"/>
      <c r="S29" s="112"/>
    </row>
    <row r="30" spans="1:19" ht="15" customHeight="1" x14ac:dyDescent="0.25">
      <c r="A30" s="53">
        <v>29</v>
      </c>
      <c r="B30" s="4" t="s">
        <v>32</v>
      </c>
      <c r="C30" s="4"/>
      <c r="D30" s="5" t="s">
        <v>35</v>
      </c>
      <c r="E30" s="5">
        <v>0</v>
      </c>
      <c r="F30" s="5">
        <v>0</v>
      </c>
      <c r="G30" s="5">
        <v>0</v>
      </c>
      <c r="H30" s="5">
        <v>0</v>
      </c>
      <c r="I30" s="5">
        <v>0</v>
      </c>
      <c r="J30" s="5">
        <v>0</v>
      </c>
      <c r="K30" s="5">
        <v>0</v>
      </c>
      <c r="L30" s="5">
        <v>0</v>
      </c>
      <c r="M30" s="5">
        <v>0</v>
      </c>
      <c r="N30" s="5">
        <v>0</v>
      </c>
      <c r="O30" s="161" t="str">
        <f t="shared" si="0"/>
        <v>0 OZ , 0 (0+0), 0 ±</v>
      </c>
      <c r="P30" s="5" t="str">
        <f t="shared" si="1"/>
        <v>ANO</v>
      </c>
      <c r="Q30" s="111"/>
      <c r="S30" s="112"/>
    </row>
    <row r="31" spans="1:19" ht="15" customHeight="1" x14ac:dyDescent="0.25">
      <c r="A31" s="54"/>
      <c r="D31" s="112"/>
      <c r="E31" s="112"/>
      <c r="F31" s="112"/>
      <c r="G31" s="112"/>
      <c r="H31" s="112"/>
      <c r="I31" s="112"/>
      <c r="J31" s="112"/>
      <c r="K31" s="112"/>
      <c r="L31" s="112"/>
      <c r="M31" s="112"/>
      <c r="N31" s="112"/>
      <c r="O31" s="161"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1"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23</v>
      </c>
      <c r="E39" s="190">
        <v>18</v>
      </c>
      <c r="F39" s="190">
        <v>1008.84</v>
      </c>
      <c r="G39" s="190">
        <v>4</v>
      </c>
      <c r="H39" s="190">
        <v>114</v>
      </c>
      <c r="I39" s="190">
        <v>1</v>
      </c>
      <c r="J39" s="190">
        <v>450</v>
      </c>
      <c r="K39" s="190">
        <v>0</v>
      </c>
      <c r="L39" s="190">
        <v>14</v>
      </c>
      <c r="M39" s="190">
        <v>336</v>
      </c>
      <c r="N39" s="190">
        <v>0</v>
      </c>
      <c r="O39" s="190">
        <v>0</v>
      </c>
      <c r="P39" s="11">
        <f>IF(B39&lt;&gt;0,IFERROR(H39/(F39/60),0),"")</f>
        <v>6.7800642321874625</v>
      </c>
      <c r="Q39" s="11">
        <f>IF(B39&lt;&gt;0,IFERROR((M39/J39)*100,0),"")</f>
        <v>74.666666666666671</v>
      </c>
      <c r="R39" s="6" t="str">
        <f>IF(B39&lt;&gt;0,CONCATENATE(G39, " V, ",L39," P"),"")</f>
        <v>4 V, 14 P</v>
      </c>
    </row>
    <row r="40" spans="1:27" ht="15" customHeight="1" x14ac:dyDescent="0.25">
      <c r="A40" s="54">
        <v>2</v>
      </c>
      <c r="B40" t="s">
        <v>33</v>
      </c>
      <c r="C40"/>
      <c r="D40" s="190">
        <v>13</v>
      </c>
      <c r="E40" s="190">
        <v>5</v>
      </c>
      <c r="F40" s="190">
        <v>257.5</v>
      </c>
      <c r="G40" s="190">
        <v>0</v>
      </c>
      <c r="H40" s="190">
        <v>37</v>
      </c>
      <c r="I40" s="190">
        <v>0</v>
      </c>
      <c r="J40" s="190">
        <v>127</v>
      </c>
      <c r="K40" s="190">
        <v>0</v>
      </c>
      <c r="L40" s="190">
        <v>5</v>
      </c>
      <c r="M40" s="190">
        <v>90</v>
      </c>
      <c r="N40" s="190">
        <v>0</v>
      </c>
      <c r="O40" s="190">
        <v>0</v>
      </c>
      <c r="P40" s="11">
        <f t="shared" ref="P40:P45" si="2">IF(B40&lt;&gt;0,IFERROR(H40/(F40/60),0),"")</f>
        <v>8.6213592233009706</v>
      </c>
      <c r="Q40" s="11">
        <f t="shared" ref="Q40:Q45" si="3">IF(B40&lt;&gt;0,IFERROR((M40/J40)*100,0),"")</f>
        <v>70.866141732283467</v>
      </c>
      <c r="R40" s="112" t="str">
        <f t="shared" ref="R40:R45" si="4">IF(B40&lt;&gt;0,CONCATENATE(G40, " V, ",L40," P"),"")</f>
        <v>0 V, 5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7</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1" t="s">
        <v>290</v>
      </c>
      <c r="Y46" s="381"/>
      <c r="Z46" s="381"/>
      <c r="AA46" s="381"/>
    </row>
    <row r="47" spans="1:27" s="2" customFormat="1" ht="15" customHeight="1" x14ac:dyDescent="0.25">
      <c r="A47" s="7">
        <f ca="1">TODAY()</f>
        <v>44244</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2" t="s">
        <v>289</v>
      </c>
      <c r="Y47" s="2" t="s">
        <v>287</v>
      </c>
      <c r="Z47" s="2" t="s">
        <v>288</v>
      </c>
      <c r="AA47" s="2" t="s">
        <v>478</v>
      </c>
    </row>
    <row r="48" spans="1:27" ht="15" customHeight="1" x14ac:dyDescent="0.25">
      <c r="B48" s="141" t="s">
        <v>12</v>
      </c>
      <c r="C48" s="137">
        <v>33786</v>
      </c>
      <c r="D48" s="6">
        <f t="shared" ref="D48:D76" ca="1" si="5">IF(C48 &lt;&gt; 0,ROUNDDOWN(($A$47-C48)/365.25,0),"")</f>
        <v>28</v>
      </c>
      <c r="E48" s="139">
        <v>117</v>
      </c>
      <c r="F48" s="139">
        <v>79</v>
      </c>
      <c r="G48" s="139">
        <v>50</v>
      </c>
      <c r="H48" s="6">
        <f t="shared" ref="H48:H76" si="6">IF(B48&lt;&gt;0,F48+G48,"")</f>
        <v>129</v>
      </c>
      <c r="I48" s="139">
        <v>9</v>
      </c>
      <c r="J48" s="139">
        <v>23</v>
      </c>
      <c r="K48" s="139"/>
      <c r="L48" s="139" t="s">
        <v>78</v>
      </c>
      <c r="M48" s="139">
        <v>181</v>
      </c>
      <c r="N48" s="139">
        <v>78</v>
      </c>
      <c r="O48" s="6" t="str">
        <f t="shared" ref="O48:O76" si="7">IF(B48&lt;&gt;0,CONCATENATE(E48+IFERROR(VLOOKUP(B48,$B$2:$N$36,4,FALSE),0) + X48, " OZ, ", H48+IFERROR(VLOOKUP(B48,$B$2:$N$36,9,FALSE),0) + Y48+Z48, " (", F48+IFERROR(VLOOKUP(B48,$B$2:$N$36,5,FALSE),0) + Y48, "+",G48+IFERROR(VLOOKUP(B48,$B$2:$N$36,8,FALSE),0) +  Z48, ")"), "")</f>
        <v>138 OZ, 147 (89+58)</v>
      </c>
      <c r="P48" s="6" t="str">
        <f t="shared" ref="P48:P76" si="8">IF(M48&lt;&gt;0,CONCATENATE(M48,"/",N48),"")</f>
        <v>181/78</v>
      </c>
      <c r="Q48" s="140" t="s">
        <v>13</v>
      </c>
      <c r="R48" s="139">
        <v>2003</v>
      </c>
      <c r="S48" s="112" t="str">
        <f t="shared" ref="S48:S76" si="9">IFERROR(CONCATENATE(E48+VLOOKUP(B48,$B$39:$R$42,4,FALSE), " OZ, ",G48+VLOOKUP(B48,$B$39:$R$42,13,FALSE), " A"),"")</f>
        <v/>
      </c>
      <c r="T48" s="1" t="str">
        <f t="shared" ref="T48:T76" si="10">IF(B48&lt;&gt;0,IF(V48=1,U48,CONCATENATE(U48," ",W48,".")),"")</f>
        <v>Bína</v>
      </c>
      <c r="U48" s="1" t="str">
        <f t="shared" ref="U48:U76" si="11">IFERROR(RIGHT(B48,LEN(B48)-SEARCH(" ", B48,1)),"")</f>
        <v>Bína</v>
      </c>
      <c r="V48" s="112">
        <f t="shared" ref="V48:V76" si="12">IF(B48&lt;&gt;0,COUNTIF($U$48:$U$82,U48),"")</f>
        <v>1</v>
      </c>
      <c r="W48" s="112" t="str">
        <f t="shared" ref="W48:W76"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19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121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21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100 OZ, 38 (25+13)</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55 OZ, 15 (8+7)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158 OZ, 137 (92+45)</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53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79 OZ, 63 (43+20)</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23</v>
      </c>
      <c r="C57" s="137">
        <v>34368</v>
      </c>
      <c r="D57" s="112">
        <f t="shared" ca="1" si="5"/>
        <v>27</v>
      </c>
      <c r="E57" s="139">
        <v>115</v>
      </c>
      <c r="F57" s="139">
        <v>13</v>
      </c>
      <c r="G57" s="139">
        <v>14</v>
      </c>
      <c r="H57" s="112">
        <f t="shared" si="6"/>
        <v>27</v>
      </c>
      <c r="I57" s="139">
        <v>8</v>
      </c>
      <c r="J57" s="139">
        <v>2</v>
      </c>
      <c r="K57" s="139"/>
      <c r="L57" s="139" t="s">
        <v>41</v>
      </c>
      <c r="M57" s="139">
        <v>187</v>
      </c>
      <c r="N57" s="139">
        <v>93</v>
      </c>
      <c r="O57" s="119" t="str">
        <f t="shared" si="7"/>
        <v>135 OZ, 29 (14+15)</v>
      </c>
      <c r="P57" s="112" t="str">
        <f t="shared" si="8"/>
        <v>187/93</v>
      </c>
      <c r="Q57" s="140" t="s">
        <v>213</v>
      </c>
      <c r="R57" s="139">
        <v>2001</v>
      </c>
      <c r="S57" s="112" t="str">
        <f t="shared" si="9"/>
        <v/>
      </c>
      <c r="T57" s="1" t="str">
        <f t="shared" si="10"/>
        <v>Jelínek</v>
      </c>
      <c r="U57" s="1" t="str">
        <f t="shared" si="11"/>
        <v>Jelínek</v>
      </c>
      <c r="V57" s="112">
        <f t="shared" si="12"/>
        <v>1</v>
      </c>
      <c r="W57" s="112" t="str">
        <f t="shared" si="13"/>
        <v>M</v>
      </c>
      <c r="X57" s="139"/>
      <c r="Y57" s="139"/>
      <c r="Z57" s="139"/>
      <c r="AA57" s="139"/>
    </row>
    <row r="58" spans="2:27" ht="15" customHeight="1" x14ac:dyDescent="0.25">
      <c r="B58" s="138" t="s">
        <v>281</v>
      </c>
      <c r="C58" s="137">
        <v>37777</v>
      </c>
      <c r="D58" s="112">
        <f t="shared" ca="1" si="5"/>
        <v>17</v>
      </c>
      <c r="E58" s="139">
        <v>0</v>
      </c>
      <c r="F58" s="139">
        <v>0</v>
      </c>
      <c r="G58" s="139">
        <v>0</v>
      </c>
      <c r="H58" s="112">
        <f t="shared" si="6"/>
        <v>0</v>
      </c>
      <c r="I58" s="139">
        <v>1</v>
      </c>
      <c r="J58" s="139">
        <v>89</v>
      </c>
      <c r="K58" s="139"/>
      <c r="L58" s="139" t="s">
        <v>78</v>
      </c>
      <c r="M58" s="139">
        <v>185</v>
      </c>
      <c r="N58" s="139">
        <v>71</v>
      </c>
      <c r="O58" s="119" t="str">
        <f t="shared" si="7"/>
        <v>17 OZ, 7 (4+3)</v>
      </c>
      <c r="P58" s="112" t="str">
        <f t="shared" si="8"/>
        <v>185/71</v>
      </c>
      <c r="Q58" s="140" t="s">
        <v>285</v>
      </c>
      <c r="R58" s="139">
        <v>2009</v>
      </c>
      <c r="S58" s="112" t="str">
        <f t="shared" si="9"/>
        <v/>
      </c>
      <c r="T58" s="1" t="str">
        <f t="shared" si="10"/>
        <v>Klápa</v>
      </c>
      <c r="U58" s="1" t="str">
        <f t="shared" si="11"/>
        <v>Klápa</v>
      </c>
      <c r="V58" s="112">
        <f t="shared" si="12"/>
        <v>1</v>
      </c>
      <c r="W58" s="112" t="str">
        <f t="shared" si="13"/>
        <v>V</v>
      </c>
      <c r="X58" s="139">
        <v>8</v>
      </c>
      <c r="Y58" s="139">
        <v>0</v>
      </c>
      <c r="Z58" s="139">
        <v>1</v>
      </c>
      <c r="AA58" s="139">
        <v>0</v>
      </c>
    </row>
    <row r="59" spans="2:27" ht="15" customHeight="1" x14ac:dyDescent="0.25">
      <c r="B59" s="138" t="s">
        <v>617</v>
      </c>
      <c r="C59" s="137">
        <v>32114</v>
      </c>
      <c r="D59" s="112">
        <f t="shared" ca="1" si="5"/>
        <v>33</v>
      </c>
      <c r="E59" s="139">
        <v>36</v>
      </c>
      <c r="F59" s="139">
        <v>7</v>
      </c>
      <c r="G59" s="139">
        <v>4</v>
      </c>
      <c r="H59" s="112">
        <f t="shared" si="6"/>
        <v>11</v>
      </c>
      <c r="I59" s="139">
        <v>3</v>
      </c>
      <c r="J59" s="139">
        <v>94</v>
      </c>
      <c r="K59" s="139"/>
      <c r="L59" s="139" t="s">
        <v>78</v>
      </c>
      <c r="M59" s="139">
        <v>173</v>
      </c>
      <c r="N59" s="139">
        <v>70</v>
      </c>
      <c r="O59" s="119" t="str">
        <f t="shared" si="7"/>
        <v>38 OZ, 11 (7+4)</v>
      </c>
      <c r="P59" s="112" t="str">
        <f t="shared" si="8"/>
        <v>173/70</v>
      </c>
      <c r="Q59" s="140" t="s">
        <v>623</v>
      </c>
      <c r="R59" s="139">
        <v>1994</v>
      </c>
      <c r="S59" s="112" t="str">
        <f t="shared" si="9"/>
        <v/>
      </c>
      <c r="T59" s="1" t="str">
        <f t="shared" si="10"/>
        <v>Králík</v>
      </c>
      <c r="U59" s="1" t="str">
        <f t="shared" si="11"/>
        <v>Králík</v>
      </c>
      <c r="V59" s="112">
        <f t="shared" si="12"/>
        <v>1</v>
      </c>
      <c r="W59" s="112" t="str">
        <f t="shared" si="13"/>
        <v>J</v>
      </c>
      <c r="X59" s="139"/>
      <c r="Y59" s="139"/>
      <c r="Z59" s="139"/>
      <c r="AA59" s="139"/>
    </row>
    <row r="60" spans="2:27" ht="15" customHeight="1" x14ac:dyDescent="0.25">
      <c r="B60" s="138" t="s">
        <v>5</v>
      </c>
      <c r="C60" s="137">
        <v>32379</v>
      </c>
      <c r="D60" s="112">
        <f t="shared" ca="1" si="5"/>
        <v>32</v>
      </c>
      <c r="E60" s="139">
        <v>71</v>
      </c>
      <c r="F60" s="139">
        <v>6</v>
      </c>
      <c r="G60" s="139">
        <v>6</v>
      </c>
      <c r="H60" s="112">
        <f t="shared" si="6"/>
        <v>12</v>
      </c>
      <c r="I60" s="139">
        <v>6</v>
      </c>
      <c r="J60" s="139">
        <v>19</v>
      </c>
      <c r="K60" s="139"/>
      <c r="L60" s="139" t="s">
        <v>41</v>
      </c>
      <c r="M60" s="139">
        <v>187</v>
      </c>
      <c r="N60" s="139">
        <v>92</v>
      </c>
      <c r="O60" s="119" t="str">
        <f t="shared" si="7"/>
        <v>94 OZ, 17 (9+8)</v>
      </c>
      <c r="P60" s="112" t="str">
        <f t="shared" si="8"/>
        <v>187/92</v>
      </c>
      <c r="Q60" s="140" t="s">
        <v>9</v>
      </c>
      <c r="R60" s="139">
        <v>2000</v>
      </c>
      <c r="S60" s="112" t="str">
        <f t="shared" si="9"/>
        <v/>
      </c>
      <c r="T60" s="1" t="str">
        <f t="shared" si="10"/>
        <v>Lanc</v>
      </c>
      <c r="U60" s="1" t="str">
        <f t="shared" si="11"/>
        <v>Lanc</v>
      </c>
      <c r="V60" s="112">
        <f t="shared" si="12"/>
        <v>1</v>
      </c>
      <c r="W60" s="112" t="str">
        <f t="shared" si="13"/>
        <v>L</v>
      </c>
      <c r="X60" s="139"/>
      <c r="Y60" s="139"/>
      <c r="Z60" s="139"/>
      <c r="AA60" s="139"/>
    </row>
    <row r="61" spans="2:27" ht="15" customHeight="1" x14ac:dyDescent="0.25">
      <c r="B61" s="138" t="s">
        <v>50</v>
      </c>
      <c r="C61" s="137">
        <v>31929</v>
      </c>
      <c r="D61" s="112">
        <f t="shared" ca="1" si="5"/>
        <v>33</v>
      </c>
      <c r="E61" s="139">
        <v>64</v>
      </c>
      <c r="F61" s="139">
        <v>18</v>
      </c>
      <c r="G61" s="139">
        <v>20</v>
      </c>
      <c r="H61" s="112">
        <f t="shared" si="6"/>
        <v>38</v>
      </c>
      <c r="I61" s="139">
        <v>5</v>
      </c>
      <c r="J61" s="139">
        <v>10</v>
      </c>
      <c r="K61" s="139"/>
      <c r="L61" s="139" t="s">
        <v>41</v>
      </c>
      <c r="M61" s="139">
        <v>179</v>
      </c>
      <c r="N61" s="139">
        <v>82</v>
      </c>
      <c r="O61" s="119" t="str">
        <f t="shared" si="7"/>
        <v>67 OZ, 39 (19+20)</v>
      </c>
      <c r="P61" s="112" t="str">
        <f t="shared" si="8"/>
        <v>179/82</v>
      </c>
      <c r="Q61" s="140" t="s">
        <v>219</v>
      </c>
      <c r="R61" s="139">
        <v>1997</v>
      </c>
      <c r="S61" s="112" t="str">
        <f t="shared" si="9"/>
        <v/>
      </c>
      <c r="T61" s="1" t="str">
        <f t="shared" si="10"/>
        <v>Linhart</v>
      </c>
      <c r="U61" s="1" t="str">
        <f t="shared" si="11"/>
        <v>Linhart</v>
      </c>
      <c r="V61" s="112">
        <f t="shared" si="12"/>
        <v>1</v>
      </c>
      <c r="W61" s="112" t="str">
        <f t="shared" si="13"/>
        <v>J</v>
      </c>
      <c r="X61" s="139"/>
      <c r="Y61" s="139"/>
      <c r="Z61" s="139"/>
      <c r="AA61" s="139"/>
    </row>
    <row r="62" spans="2:27" ht="15" customHeight="1" x14ac:dyDescent="0.25">
      <c r="B62" s="138" t="s">
        <v>54</v>
      </c>
      <c r="C62" s="137">
        <v>37561</v>
      </c>
      <c r="D62" s="112">
        <f t="shared" ca="1" si="5"/>
        <v>18</v>
      </c>
      <c r="E62" s="139">
        <v>0</v>
      </c>
      <c r="F62" s="139">
        <v>0</v>
      </c>
      <c r="G62" s="139">
        <v>0</v>
      </c>
      <c r="H62" s="112">
        <f t="shared" si="6"/>
        <v>0</v>
      </c>
      <c r="I62" s="139">
        <v>1</v>
      </c>
      <c r="J62" s="139">
        <v>88</v>
      </c>
      <c r="K62" s="139"/>
      <c r="L62" s="139" t="s">
        <v>30</v>
      </c>
      <c r="M62" s="139">
        <v>180</v>
      </c>
      <c r="N62" s="139">
        <v>83</v>
      </c>
      <c r="O62" s="119" t="str">
        <f t="shared" si="7"/>
        <v>0 OZ, 0 (0+0)</v>
      </c>
      <c r="P62" s="112" t="str">
        <f t="shared" si="8"/>
        <v>180/83</v>
      </c>
      <c r="Q62" s="140"/>
      <c r="R62" s="139"/>
      <c r="S62" s="112" t="str">
        <f t="shared" si="9"/>
        <v>1 OZ, 0 A</v>
      </c>
      <c r="T62" s="1" t="str">
        <f t="shared" si="10"/>
        <v>Lorenc</v>
      </c>
      <c r="U62" s="1" t="str">
        <f t="shared" si="11"/>
        <v>Lorenc</v>
      </c>
      <c r="V62" s="112">
        <f t="shared" si="12"/>
        <v>1</v>
      </c>
      <c r="W62" s="112" t="str">
        <f t="shared" si="13"/>
        <v>M</v>
      </c>
      <c r="X62" s="139"/>
      <c r="Y62" s="139"/>
      <c r="Z62" s="139"/>
      <c r="AA62" s="139"/>
    </row>
    <row r="63" spans="2:27" ht="15" customHeight="1" x14ac:dyDescent="0.25">
      <c r="B63" s="138" t="s">
        <v>57</v>
      </c>
      <c r="C63" s="137">
        <v>34726</v>
      </c>
      <c r="D63" s="112">
        <f t="shared" ca="1" si="5"/>
        <v>26</v>
      </c>
      <c r="E63" s="139"/>
      <c r="F63" s="139"/>
      <c r="G63" s="139"/>
      <c r="H63" s="112">
        <f t="shared" si="6"/>
        <v>0</v>
      </c>
      <c r="I63" s="139">
        <v>3</v>
      </c>
      <c r="J63" s="139">
        <v>37</v>
      </c>
      <c r="K63" s="139"/>
      <c r="L63" s="139" t="s">
        <v>30</v>
      </c>
      <c r="M63" s="139">
        <v>190</v>
      </c>
      <c r="N63" s="139">
        <v>80</v>
      </c>
      <c r="O63" s="119" t="str">
        <f t="shared" si="7"/>
        <v>0 OZ, 0 (0+0)</v>
      </c>
      <c r="P63" s="112" t="str">
        <f t="shared" si="8"/>
        <v>190/80</v>
      </c>
      <c r="Q63" s="140" t="s">
        <v>238</v>
      </c>
      <c r="R63" s="139">
        <v>2007</v>
      </c>
      <c r="S63" s="112" t="str">
        <f t="shared" si="9"/>
        <v>1 OZ, 0 A</v>
      </c>
      <c r="T63" s="1" t="str">
        <f t="shared" si="10"/>
        <v>Mazák</v>
      </c>
      <c r="U63" s="1" t="str">
        <f t="shared" si="11"/>
        <v>Mazák</v>
      </c>
      <c r="V63" s="112">
        <f t="shared" si="12"/>
        <v>1</v>
      </c>
      <c r="W63" s="112" t="str">
        <f t="shared" si="13"/>
        <v>R</v>
      </c>
      <c r="X63" s="139"/>
      <c r="Y63" s="139"/>
      <c r="Z63" s="139"/>
      <c r="AA63" s="139"/>
    </row>
    <row r="64" spans="2:27" ht="15" customHeight="1" x14ac:dyDescent="0.25">
      <c r="B64" s="138" t="s">
        <v>52</v>
      </c>
      <c r="C64" s="137">
        <v>37455</v>
      </c>
      <c r="D64" s="112">
        <f t="shared" ca="1" si="5"/>
        <v>18</v>
      </c>
      <c r="E64" s="139">
        <v>0</v>
      </c>
      <c r="F64" s="139">
        <v>0</v>
      </c>
      <c r="G64" s="139">
        <v>0</v>
      </c>
      <c r="H64" s="112">
        <f t="shared" si="6"/>
        <v>0</v>
      </c>
      <c r="I64" s="139">
        <v>1</v>
      </c>
      <c r="J64" s="139">
        <v>81</v>
      </c>
      <c r="K64" s="139"/>
      <c r="L64" s="139" t="s">
        <v>78</v>
      </c>
      <c r="M64" s="139">
        <v>187</v>
      </c>
      <c r="N64" s="139">
        <v>61</v>
      </c>
      <c r="O64" s="119" t="str">
        <f t="shared" si="7"/>
        <v>15 OZ, 2 (2+0)</v>
      </c>
      <c r="P64" s="112" t="str">
        <f t="shared" si="8"/>
        <v>187/61</v>
      </c>
      <c r="Q64" s="140" t="s">
        <v>29</v>
      </c>
      <c r="R64" s="139">
        <v>2013</v>
      </c>
      <c r="S64" s="112" t="str">
        <f t="shared" si="9"/>
        <v/>
      </c>
      <c r="T64" s="1" t="str">
        <f t="shared" si="10"/>
        <v>Paštika</v>
      </c>
      <c r="U64" s="1" t="str">
        <f t="shared" si="11"/>
        <v>Paštika</v>
      </c>
      <c r="V64" s="112">
        <f t="shared" si="12"/>
        <v>1</v>
      </c>
      <c r="W64" s="112" t="str">
        <f t="shared" si="13"/>
        <v>M</v>
      </c>
      <c r="X64" s="139"/>
      <c r="Y64" s="139"/>
      <c r="Z64" s="139"/>
      <c r="AA64" s="139"/>
    </row>
    <row r="65" spans="2:27" ht="15" customHeight="1" x14ac:dyDescent="0.25">
      <c r="B65" s="138" t="s">
        <v>28</v>
      </c>
      <c r="C65" s="137">
        <v>37402</v>
      </c>
      <c r="D65" s="112">
        <f t="shared" ca="1" si="5"/>
        <v>18</v>
      </c>
      <c r="E65" s="139">
        <v>0</v>
      </c>
      <c r="F65" s="139">
        <v>0</v>
      </c>
      <c r="G65" s="139">
        <v>0</v>
      </c>
      <c r="H65" s="112">
        <f t="shared" si="6"/>
        <v>0</v>
      </c>
      <c r="I65" s="139">
        <v>1</v>
      </c>
      <c r="J65" s="139">
        <v>26</v>
      </c>
      <c r="K65" s="139"/>
      <c r="L65" s="139" t="s">
        <v>78</v>
      </c>
      <c r="M65" s="139">
        <v>181</v>
      </c>
      <c r="N65" s="139">
        <v>66</v>
      </c>
      <c r="O65" s="119" t="str">
        <f t="shared" si="7"/>
        <v>20 OZ, 0 (0+0)</v>
      </c>
      <c r="P65" s="112" t="str">
        <f t="shared" si="8"/>
        <v>181/66</v>
      </c>
      <c r="Q65" s="140" t="s">
        <v>29</v>
      </c>
      <c r="R65" s="139" t="s">
        <v>30</v>
      </c>
      <c r="S65" s="112" t="str">
        <f t="shared" si="9"/>
        <v/>
      </c>
      <c r="T65" s="1" t="str">
        <f t="shared" si="10"/>
        <v>Pinkas</v>
      </c>
      <c r="U65" s="1" t="str">
        <f t="shared" si="11"/>
        <v>Pinkas</v>
      </c>
      <c r="V65" s="112">
        <f t="shared" si="12"/>
        <v>1</v>
      </c>
      <c r="W65" s="112" t="str">
        <f t="shared" si="13"/>
        <v>J</v>
      </c>
      <c r="X65" s="139"/>
      <c r="Y65" s="139"/>
      <c r="Z65" s="139"/>
      <c r="AA65" s="139"/>
    </row>
    <row r="66" spans="2:27" ht="15" customHeight="1" x14ac:dyDescent="0.25">
      <c r="B66" s="138" t="s">
        <v>19</v>
      </c>
      <c r="C66" s="137">
        <v>36658</v>
      </c>
      <c r="D66" s="112">
        <f t="shared" ca="1" si="5"/>
        <v>20</v>
      </c>
      <c r="E66" s="139">
        <v>0</v>
      </c>
      <c r="F66" s="139">
        <v>0</v>
      </c>
      <c r="G66" s="139">
        <v>0</v>
      </c>
      <c r="H66" s="112">
        <f t="shared" si="6"/>
        <v>0</v>
      </c>
      <c r="I66" s="139">
        <v>1</v>
      </c>
      <c r="J66" s="139">
        <v>99</v>
      </c>
      <c r="K66" s="139"/>
      <c r="L66" s="139" t="s">
        <v>78</v>
      </c>
      <c r="M66" s="139">
        <v>186</v>
      </c>
      <c r="N66" s="139">
        <v>80</v>
      </c>
      <c r="O66" s="119" t="str">
        <f t="shared" si="7"/>
        <v>21 OZ, 13 (4+9)</v>
      </c>
      <c r="P66" s="112" t="str">
        <f t="shared" si="8"/>
        <v>186/80</v>
      </c>
      <c r="Q66" s="140" t="s">
        <v>76</v>
      </c>
      <c r="R66" s="139">
        <v>2014</v>
      </c>
      <c r="S66" s="112" t="str">
        <f t="shared" si="9"/>
        <v/>
      </c>
      <c r="T66" s="1" t="str">
        <f t="shared" si="10"/>
        <v>Procházka</v>
      </c>
      <c r="U66" s="1" t="str">
        <f t="shared" si="11"/>
        <v>Procházka</v>
      </c>
      <c r="V66" s="112">
        <f t="shared" si="12"/>
        <v>1</v>
      </c>
      <c r="W66" s="112" t="str">
        <f t="shared" si="13"/>
        <v>J</v>
      </c>
      <c r="X66" s="139"/>
      <c r="Y66" s="139"/>
      <c r="Z66" s="139"/>
      <c r="AA66" s="139"/>
    </row>
    <row r="67" spans="2:27" ht="15" customHeight="1" x14ac:dyDescent="0.25">
      <c r="B67" s="141" t="s">
        <v>2</v>
      </c>
      <c r="C67" s="137">
        <v>35382</v>
      </c>
      <c r="D67" s="112">
        <f t="shared" ca="1" si="5"/>
        <v>24</v>
      </c>
      <c r="E67" s="139">
        <v>65</v>
      </c>
      <c r="F67" s="139">
        <v>37</v>
      </c>
      <c r="G67" s="139">
        <v>34</v>
      </c>
      <c r="H67" s="112">
        <f t="shared" si="6"/>
        <v>71</v>
      </c>
      <c r="I67" s="139">
        <v>5</v>
      </c>
      <c r="J67" s="139">
        <v>29</v>
      </c>
      <c r="K67" s="139"/>
      <c r="L67" s="139" t="s">
        <v>78</v>
      </c>
      <c r="M67" s="139">
        <v>192</v>
      </c>
      <c r="N67" s="139">
        <v>94</v>
      </c>
      <c r="O67" s="119" t="str">
        <f t="shared" si="7"/>
        <v>75 OZ, 82 (42+40)</v>
      </c>
      <c r="P67" s="112" t="str">
        <f t="shared" si="8"/>
        <v>192/94</v>
      </c>
      <c r="Q67" s="140" t="s">
        <v>6</v>
      </c>
      <c r="R67" s="139">
        <v>2005</v>
      </c>
      <c r="S67" s="112" t="str">
        <f t="shared" si="9"/>
        <v/>
      </c>
      <c r="T67" s="1" t="str">
        <f t="shared" si="10"/>
        <v>Skřivánek</v>
      </c>
      <c r="U67" s="1" t="str">
        <f t="shared" si="11"/>
        <v>Skřivánek</v>
      </c>
      <c r="V67" s="112">
        <f t="shared" si="12"/>
        <v>1</v>
      </c>
      <c r="W67" s="112" t="str">
        <f t="shared" si="13"/>
        <v>M</v>
      </c>
      <c r="X67" s="139"/>
      <c r="Y67" s="139"/>
      <c r="Z67" s="139"/>
      <c r="AA67" s="139"/>
    </row>
    <row r="68" spans="2:27" ht="15" customHeight="1" x14ac:dyDescent="0.25">
      <c r="B68" s="141" t="s">
        <v>14</v>
      </c>
      <c r="C68" s="137">
        <v>33907</v>
      </c>
      <c r="D68" s="112">
        <f t="shared" ca="1" si="5"/>
        <v>28</v>
      </c>
      <c r="E68" s="139">
        <v>178</v>
      </c>
      <c r="F68" s="139">
        <v>90</v>
      </c>
      <c r="G68" s="139">
        <v>74</v>
      </c>
      <c r="H68" s="112">
        <f t="shared" si="6"/>
        <v>164</v>
      </c>
      <c r="I68" s="139">
        <v>10</v>
      </c>
      <c r="J68" s="139">
        <v>78</v>
      </c>
      <c r="K68" s="139"/>
      <c r="L68" s="139" t="s">
        <v>78</v>
      </c>
      <c r="M68" s="139">
        <v>172</v>
      </c>
      <c r="N68" s="139">
        <v>73</v>
      </c>
      <c r="O68" s="119" t="str">
        <f t="shared" si="7"/>
        <v>200 OZ, 192 (107+85)</v>
      </c>
      <c r="P68" s="112" t="str">
        <f t="shared" si="8"/>
        <v>172/73</v>
      </c>
      <c r="Q68" s="140" t="s">
        <v>15</v>
      </c>
      <c r="R68" s="139">
        <v>2000</v>
      </c>
      <c r="S68" s="112" t="str">
        <f t="shared" si="9"/>
        <v/>
      </c>
      <c r="T68" s="1" t="str">
        <f t="shared" si="10"/>
        <v>Strachota</v>
      </c>
      <c r="U68" s="1" t="str">
        <f t="shared" si="11"/>
        <v>Strachota</v>
      </c>
      <c r="V68" s="112">
        <f t="shared" si="12"/>
        <v>1</v>
      </c>
      <c r="W68" s="112" t="str">
        <f t="shared" si="13"/>
        <v>M</v>
      </c>
      <c r="X68" s="139"/>
      <c r="Y68" s="139"/>
      <c r="Z68" s="139"/>
      <c r="AA68" s="139"/>
    </row>
    <row r="69" spans="2:27" ht="15" customHeight="1" x14ac:dyDescent="0.25">
      <c r="B69" s="138" t="s">
        <v>56</v>
      </c>
      <c r="C69" s="137">
        <v>34200</v>
      </c>
      <c r="D69" s="112">
        <f t="shared" ca="1" si="5"/>
        <v>27</v>
      </c>
      <c r="E69" s="139">
        <v>83</v>
      </c>
      <c r="F69" s="139">
        <v>24</v>
      </c>
      <c r="G69" s="139">
        <v>18</v>
      </c>
      <c r="H69" s="112">
        <f t="shared" si="6"/>
        <v>42</v>
      </c>
      <c r="I69" s="139">
        <v>6</v>
      </c>
      <c r="J69" s="139">
        <v>65</v>
      </c>
      <c r="K69" s="139" t="s">
        <v>222</v>
      </c>
      <c r="L69" s="139" t="s">
        <v>41</v>
      </c>
      <c r="M69" s="139">
        <v>169</v>
      </c>
      <c r="N69" s="139">
        <v>65</v>
      </c>
      <c r="O69" s="119" t="str">
        <f t="shared" si="7"/>
        <v>106 OZ, 56 (32+24)</v>
      </c>
      <c r="P69" s="112" t="str">
        <f t="shared" si="8"/>
        <v>169/65</v>
      </c>
      <c r="Q69" s="140" t="s">
        <v>16</v>
      </c>
      <c r="R69" s="139">
        <v>2004</v>
      </c>
      <c r="S69" s="112" t="str">
        <f t="shared" si="9"/>
        <v/>
      </c>
      <c r="T69" s="1" t="str">
        <f t="shared" si="10"/>
        <v>Stuchlík O.</v>
      </c>
      <c r="U69" s="1" t="str">
        <f t="shared" si="11"/>
        <v>Stuchlík</v>
      </c>
      <c r="V69" s="112">
        <f t="shared" si="12"/>
        <v>2</v>
      </c>
      <c r="W69" s="112" t="str">
        <f t="shared" si="13"/>
        <v>O</v>
      </c>
      <c r="X69" s="139"/>
      <c r="Y69" s="139"/>
      <c r="Z69" s="139"/>
      <c r="AA69" s="139"/>
    </row>
    <row r="70" spans="2:27" ht="15" customHeight="1" x14ac:dyDescent="0.25">
      <c r="B70" s="138" t="s">
        <v>20</v>
      </c>
      <c r="C70" s="137">
        <v>34200</v>
      </c>
      <c r="D70" s="112">
        <f t="shared" ca="1" si="5"/>
        <v>27</v>
      </c>
      <c r="E70" s="139">
        <v>71</v>
      </c>
      <c r="F70" s="139">
        <v>18</v>
      </c>
      <c r="G70" s="139">
        <v>47</v>
      </c>
      <c r="H70" s="112">
        <f t="shared" si="6"/>
        <v>65</v>
      </c>
      <c r="I70" s="139">
        <v>5</v>
      </c>
      <c r="J70" s="139">
        <v>64</v>
      </c>
      <c r="K70" s="139"/>
      <c r="L70" s="139" t="s">
        <v>78</v>
      </c>
      <c r="M70" s="139">
        <v>173</v>
      </c>
      <c r="N70" s="139">
        <v>68</v>
      </c>
      <c r="O70" s="119" t="str">
        <f t="shared" si="7"/>
        <v>94 OZ, 82 (23+59)</v>
      </c>
      <c r="P70" s="112" t="str">
        <f t="shared" si="8"/>
        <v>173/68</v>
      </c>
      <c r="Q70" s="140" t="s">
        <v>6</v>
      </c>
      <c r="R70" s="139">
        <v>2003</v>
      </c>
      <c r="S70" s="112" t="str">
        <f t="shared" si="9"/>
        <v/>
      </c>
      <c r="T70" s="1" t="str">
        <f t="shared" si="10"/>
        <v>Stuchlík Z.</v>
      </c>
      <c r="U70" s="1" t="str">
        <f t="shared" si="11"/>
        <v>Stuchlík</v>
      </c>
      <c r="V70" s="112">
        <f t="shared" si="12"/>
        <v>2</v>
      </c>
      <c r="W70" s="112" t="str">
        <f t="shared" si="13"/>
        <v>Z</v>
      </c>
      <c r="X70" s="139"/>
      <c r="Y70" s="139"/>
      <c r="Z70" s="139"/>
      <c r="AA70" s="139"/>
    </row>
    <row r="71" spans="2:27" ht="15" customHeight="1" x14ac:dyDescent="0.25">
      <c r="B71" s="138" t="s">
        <v>10</v>
      </c>
      <c r="C71" s="137">
        <v>32666</v>
      </c>
      <c r="D71" s="112">
        <f t="shared" ca="1" si="5"/>
        <v>31</v>
      </c>
      <c r="E71" s="139">
        <v>186</v>
      </c>
      <c r="F71" s="139">
        <v>63</v>
      </c>
      <c r="G71" s="139">
        <v>58</v>
      </c>
      <c r="H71" s="112">
        <f t="shared" si="6"/>
        <v>121</v>
      </c>
      <c r="I71" s="139">
        <v>11</v>
      </c>
      <c r="J71" s="139">
        <v>76</v>
      </c>
      <c r="K71" s="139"/>
      <c r="L71" s="139" t="s">
        <v>78</v>
      </c>
      <c r="M71" s="139">
        <v>192</v>
      </c>
      <c r="N71" s="139">
        <v>83</v>
      </c>
      <c r="O71" s="119" t="str">
        <f t="shared" si="7"/>
        <v>202 OZ, 128 (64+64)</v>
      </c>
      <c r="P71" s="112" t="str">
        <f t="shared" si="8"/>
        <v>192/83</v>
      </c>
      <c r="Q71" s="140" t="s">
        <v>11</v>
      </c>
      <c r="R71" s="139">
        <v>2003</v>
      </c>
      <c r="S71" s="112" t="str">
        <f t="shared" si="9"/>
        <v/>
      </c>
      <c r="T71" s="1" t="str">
        <f t="shared" si="10"/>
        <v>Svoboda</v>
      </c>
      <c r="U71" s="1" t="str">
        <f t="shared" si="11"/>
        <v>Svoboda</v>
      </c>
      <c r="V71" s="112">
        <f t="shared" si="12"/>
        <v>1</v>
      </c>
      <c r="W71" s="112" t="str">
        <f t="shared" si="13"/>
        <v>J</v>
      </c>
      <c r="X71" s="139"/>
      <c r="Y71" s="139"/>
      <c r="Z71" s="139"/>
      <c r="AA71" s="139"/>
    </row>
    <row r="72" spans="2:27" ht="15" customHeight="1" x14ac:dyDescent="0.25">
      <c r="B72" s="138" t="s">
        <v>32</v>
      </c>
      <c r="C72" s="137">
        <v>35171</v>
      </c>
      <c r="D72" s="112">
        <f t="shared" ca="1" si="5"/>
        <v>24</v>
      </c>
      <c r="E72" s="139">
        <v>20</v>
      </c>
      <c r="F72" s="139">
        <v>0</v>
      </c>
      <c r="G72" s="139">
        <v>2</v>
      </c>
      <c r="H72" s="112">
        <f t="shared" si="6"/>
        <v>2</v>
      </c>
      <c r="I72" s="139">
        <v>6</v>
      </c>
      <c r="J72" s="139">
        <v>42</v>
      </c>
      <c r="K72" s="139"/>
      <c r="L72" s="139" t="s">
        <v>30</v>
      </c>
      <c r="M72" s="139">
        <v>187</v>
      </c>
      <c r="N72" s="139">
        <v>88</v>
      </c>
      <c r="O72" s="119" t="str">
        <f t="shared" si="7"/>
        <v>20 OZ, 2 (0+2)</v>
      </c>
      <c r="P72" s="112" t="str">
        <f t="shared" si="8"/>
        <v>187/88</v>
      </c>
      <c r="Q72" s="140" t="s">
        <v>8</v>
      </c>
      <c r="R72" s="139">
        <v>2008</v>
      </c>
      <c r="S72" s="112" t="str">
        <f t="shared" si="9"/>
        <v>38 OZ, 2 A</v>
      </c>
      <c r="T72" s="1" t="str">
        <f t="shared" si="10"/>
        <v>Šantora</v>
      </c>
      <c r="U72" s="1" t="str">
        <f t="shared" si="11"/>
        <v>Šantora</v>
      </c>
      <c r="V72" s="112">
        <f t="shared" si="12"/>
        <v>1</v>
      </c>
      <c r="W72" s="112" t="str">
        <f t="shared" si="13"/>
        <v>K</v>
      </c>
      <c r="X72" s="139"/>
      <c r="Y72" s="139"/>
      <c r="Z72" s="139"/>
      <c r="AA72" s="139"/>
    </row>
    <row r="73" spans="2:27" ht="15" customHeight="1" x14ac:dyDescent="0.25">
      <c r="B73" s="138" t="s">
        <v>55</v>
      </c>
      <c r="C73" s="137">
        <v>37453</v>
      </c>
      <c r="D73" s="112">
        <f t="shared" ca="1" si="5"/>
        <v>18</v>
      </c>
      <c r="E73" s="139">
        <v>4</v>
      </c>
      <c r="F73" s="139">
        <v>1</v>
      </c>
      <c r="G73" s="139">
        <v>0</v>
      </c>
      <c r="H73" s="112">
        <f t="shared" si="6"/>
        <v>1</v>
      </c>
      <c r="I73" s="139">
        <v>2</v>
      </c>
      <c r="J73" s="139">
        <v>87</v>
      </c>
      <c r="K73" s="139"/>
      <c r="L73" s="139" t="s">
        <v>41</v>
      </c>
      <c r="M73" s="139">
        <v>181</v>
      </c>
      <c r="N73" s="139">
        <v>75</v>
      </c>
      <c r="O73" s="119" t="str">
        <f t="shared" si="7"/>
        <v>15 OZ, 1 (1+0)</v>
      </c>
      <c r="P73" s="112" t="str">
        <f t="shared" si="8"/>
        <v>181/75</v>
      </c>
      <c r="Q73" s="140" t="s">
        <v>29</v>
      </c>
      <c r="R73" s="139">
        <v>2013</v>
      </c>
      <c r="S73" s="112" t="str">
        <f t="shared" si="9"/>
        <v/>
      </c>
      <c r="T73" s="1" t="str">
        <f t="shared" si="10"/>
        <v>Šaroch</v>
      </c>
      <c r="U73" s="1" t="str">
        <f t="shared" si="11"/>
        <v>Šaroch</v>
      </c>
      <c r="V73" s="112">
        <f t="shared" si="12"/>
        <v>1</v>
      </c>
      <c r="W73" s="112" t="str">
        <f t="shared" si="13"/>
        <v>M</v>
      </c>
      <c r="X73" s="139"/>
      <c r="Y73" s="139"/>
      <c r="Z73" s="139"/>
      <c r="AA73" s="139"/>
    </row>
    <row r="74" spans="2:27" ht="15" customHeight="1" x14ac:dyDescent="0.25">
      <c r="B74" s="138" t="s">
        <v>53</v>
      </c>
      <c r="C74" s="138"/>
      <c r="D74" s="112" t="str">
        <f t="shared" si="5"/>
        <v/>
      </c>
      <c r="E74" s="139">
        <v>0</v>
      </c>
      <c r="F74" s="139">
        <v>0</v>
      </c>
      <c r="G74" s="139">
        <v>0</v>
      </c>
      <c r="H74" s="112">
        <f t="shared" si="6"/>
        <v>0</v>
      </c>
      <c r="I74" s="139">
        <v>1</v>
      </c>
      <c r="J74" s="139">
        <v>12</v>
      </c>
      <c r="K74" s="139"/>
      <c r="L74" s="139"/>
      <c r="M74" s="139"/>
      <c r="N74" s="139"/>
      <c r="O74" s="119" t="str">
        <f t="shared" si="7"/>
        <v>2 OZ, 0 (0+0)</v>
      </c>
      <c r="P74" s="112" t="str">
        <f t="shared" si="8"/>
        <v/>
      </c>
      <c r="Q74" s="140"/>
      <c r="R74" s="139"/>
      <c r="S74" s="112" t="str">
        <f t="shared" si="9"/>
        <v/>
      </c>
      <c r="T74" s="1" t="str">
        <f t="shared" si="10"/>
        <v>Šolaja</v>
      </c>
      <c r="U74" s="1" t="str">
        <f t="shared" si="11"/>
        <v>Šolaja</v>
      </c>
      <c r="V74" s="112">
        <f t="shared" si="12"/>
        <v>1</v>
      </c>
      <c r="W74" s="112" t="str">
        <f t="shared" si="13"/>
        <v>M</v>
      </c>
      <c r="X74" s="139"/>
      <c r="Y74" s="139"/>
      <c r="Z74" s="139"/>
      <c r="AA74" s="139"/>
    </row>
    <row r="75" spans="2:27" ht="15" customHeight="1" x14ac:dyDescent="0.25">
      <c r="B75" s="138" t="s">
        <v>17</v>
      </c>
      <c r="C75" s="137">
        <v>33619</v>
      </c>
      <c r="D75" s="112">
        <f t="shared" ca="1" si="5"/>
        <v>29</v>
      </c>
      <c r="E75" s="139">
        <v>79</v>
      </c>
      <c r="F75" s="139">
        <v>4</v>
      </c>
      <c r="G75" s="139">
        <v>15</v>
      </c>
      <c r="H75" s="112">
        <f t="shared" si="6"/>
        <v>19</v>
      </c>
      <c r="I75" s="139">
        <v>5</v>
      </c>
      <c r="J75" s="139">
        <v>4</v>
      </c>
      <c r="K75" s="139"/>
      <c r="L75" s="139" t="s">
        <v>78</v>
      </c>
      <c r="M75" s="139">
        <v>197</v>
      </c>
      <c r="N75" s="139">
        <v>92</v>
      </c>
      <c r="O75" s="119" t="str">
        <f t="shared" si="7"/>
        <v>100 OZ, 26 (8+18)</v>
      </c>
      <c r="P75" s="112" t="str">
        <f t="shared" si="8"/>
        <v>197/92</v>
      </c>
      <c r="Q75" s="140" t="s">
        <v>18</v>
      </c>
      <c r="R75" s="139">
        <v>2007</v>
      </c>
      <c r="S75" s="112" t="str">
        <f t="shared" si="9"/>
        <v/>
      </c>
      <c r="T75" s="1" t="str">
        <f t="shared" si="10"/>
        <v>Vnuk</v>
      </c>
      <c r="U75" s="1" t="str">
        <f t="shared" si="11"/>
        <v>Vnuk</v>
      </c>
      <c r="V75" s="112">
        <f t="shared" si="12"/>
        <v>1</v>
      </c>
      <c r="W75" s="112" t="str">
        <f t="shared" si="13"/>
        <v>R</v>
      </c>
      <c r="X75" s="139"/>
      <c r="Y75" s="139"/>
      <c r="Z75" s="139"/>
      <c r="AA75" s="139"/>
    </row>
    <row r="76" spans="2:27" ht="15" customHeight="1" x14ac:dyDescent="0.25">
      <c r="B76" s="138" t="s">
        <v>49</v>
      </c>
      <c r="C76" s="137">
        <v>35835</v>
      </c>
      <c r="D76" s="112">
        <f t="shared" ca="1" si="5"/>
        <v>23</v>
      </c>
      <c r="E76" s="139">
        <v>68</v>
      </c>
      <c r="F76" s="139">
        <v>2</v>
      </c>
      <c r="G76" s="139">
        <v>0</v>
      </c>
      <c r="H76" s="112">
        <f t="shared" si="6"/>
        <v>2</v>
      </c>
      <c r="I76" s="139">
        <v>4</v>
      </c>
      <c r="J76" s="139">
        <v>33</v>
      </c>
      <c r="K76" s="139"/>
      <c r="L76" s="139" t="s">
        <v>41</v>
      </c>
      <c r="M76" s="139">
        <v>194</v>
      </c>
      <c r="N76" s="139">
        <v>90</v>
      </c>
      <c r="O76" s="119" t="str">
        <f t="shared" si="7"/>
        <v>72 OZ, 2 (2+0)</v>
      </c>
      <c r="P76" s="112" t="str">
        <f t="shared" si="8"/>
        <v>194/90</v>
      </c>
      <c r="Q76" s="140" t="s">
        <v>29</v>
      </c>
      <c r="R76" s="139">
        <v>2005</v>
      </c>
      <c r="S76" s="112" t="str">
        <f t="shared" si="9"/>
        <v/>
      </c>
      <c r="T76" s="1" t="str">
        <f t="shared" si="10"/>
        <v>Záň</v>
      </c>
      <c r="U76" s="1" t="str">
        <f t="shared" si="11"/>
        <v>Záň</v>
      </c>
      <c r="V76" s="112">
        <f t="shared" si="12"/>
        <v>1</v>
      </c>
      <c r="W76" s="112" t="str">
        <f t="shared" si="13"/>
        <v>D</v>
      </c>
      <c r="X76" s="139"/>
      <c r="Y76" s="139"/>
      <c r="Z76" s="139"/>
      <c r="AA76" s="139"/>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c r="T77" s="1" t="str">
        <f t="shared" ref="T77:T82" si="18">IF(B77&lt;&gt;0,IF(V77=1,U77,CONCATENATE(U77," ",W77,".")),"")</f>
        <v/>
      </c>
      <c r="U77" s="1" t="str">
        <f t="shared" ref="U77:U82" si="19">IFERROR(RIGHT(B77,LEN(B77)-SEARCH(" ", B77,1)),"")</f>
        <v/>
      </c>
      <c r="V77" s="112" t="str">
        <f t="shared" ref="V77:V82" si="20">IF(B77&lt;&gt;0,COUNTIF($U$48:$U$82,U77),"")</f>
        <v/>
      </c>
      <c r="W77" s="112" t="str">
        <f t="shared" ref="W77:W82" si="21">IFERROR(LEFT(LEFT(B77,SEARCH(" ",B77,1)),1),"")</f>
        <v/>
      </c>
      <c r="X77" s="139"/>
      <c r="Y77" s="139"/>
      <c r="Z77" s="139"/>
      <c r="AA77" s="139"/>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c r="T78" s="1" t="str">
        <f t="shared" si="18"/>
        <v/>
      </c>
      <c r="U78" s="1" t="str">
        <f t="shared" si="19"/>
        <v/>
      </c>
      <c r="V78" s="112" t="str">
        <f t="shared" si="20"/>
        <v/>
      </c>
      <c r="W78" s="112" t="str">
        <f t="shared" si="21"/>
        <v/>
      </c>
      <c r="X78" s="139"/>
      <c r="Y78" s="139"/>
      <c r="Z78" s="139"/>
      <c r="AA78" s="139"/>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c r="T79" s="1" t="str">
        <f t="shared" si="18"/>
        <v/>
      </c>
      <c r="U79" s="1" t="str">
        <f t="shared" si="19"/>
        <v/>
      </c>
      <c r="V79" s="112" t="str">
        <f t="shared" si="20"/>
        <v/>
      </c>
      <c r="W79" s="112" t="str">
        <f t="shared" si="21"/>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44244</v>
      </c>
      <c r="B84" s="2" t="s">
        <v>59</v>
      </c>
      <c r="C84" s="2" t="s">
        <v>66</v>
      </c>
      <c r="D84" s="2" t="s">
        <v>67</v>
      </c>
      <c r="E84" s="382" t="s">
        <v>94</v>
      </c>
      <c r="F84" s="382"/>
      <c r="G84" s="382" t="s">
        <v>100</v>
      </c>
      <c r="H84" s="382"/>
      <c r="I84" s="382"/>
      <c r="J84" s="382"/>
      <c r="K84" s="382"/>
      <c r="Q84" s="9"/>
    </row>
    <row r="85" spans="1:27" ht="30" customHeight="1" x14ac:dyDescent="0.25">
      <c r="B85" s="138" t="s">
        <v>95</v>
      </c>
      <c r="C85" s="137">
        <v>30490</v>
      </c>
      <c r="D85" s="6">
        <f ca="1">IF(B85&lt;&gt;0,ROUNDDOWN(($A$84-C85)/365.25,0),"")</f>
        <v>37</v>
      </c>
      <c r="E85" s="380" t="s">
        <v>99</v>
      </c>
      <c r="F85" s="380"/>
      <c r="G85" s="380" t="s">
        <v>194</v>
      </c>
      <c r="H85" s="380"/>
      <c r="I85" s="380"/>
      <c r="J85" s="380"/>
      <c r="K85" s="380"/>
    </row>
    <row r="86" spans="1:27" ht="30" customHeight="1" x14ac:dyDescent="0.25">
      <c r="B86" s="138" t="s">
        <v>96</v>
      </c>
      <c r="C86" s="137">
        <v>31402</v>
      </c>
      <c r="D86" s="112">
        <f t="shared" ref="D86:D92" ca="1" si="22">IF(B86&lt;&gt;0,ROUNDDOWN(($A$84-C86)/365.25,0),"")</f>
        <v>35</v>
      </c>
      <c r="E86" s="380" t="s">
        <v>99</v>
      </c>
      <c r="F86" s="380"/>
      <c r="G86" s="380" t="s">
        <v>593</v>
      </c>
      <c r="H86" s="380"/>
      <c r="I86" s="380"/>
      <c r="J86" s="380"/>
      <c r="K86" s="380"/>
    </row>
    <row r="87" spans="1:27" ht="30" customHeight="1" x14ac:dyDescent="0.25">
      <c r="B87" s="138" t="s">
        <v>97</v>
      </c>
      <c r="C87" s="137">
        <v>34755</v>
      </c>
      <c r="D87" s="112">
        <f t="shared" ca="1" si="22"/>
        <v>25</v>
      </c>
      <c r="E87" s="380" t="s">
        <v>101</v>
      </c>
      <c r="F87" s="380"/>
      <c r="G87" s="380" t="s">
        <v>30</v>
      </c>
      <c r="H87" s="380"/>
      <c r="I87" s="380"/>
      <c r="J87" s="380"/>
      <c r="K87" s="380"/>
    </row>
    <row r="88" spans="1:27" ht="30" customHeight="1" x14ac:dyDescent="0.25">
      <c r="B88" s="138" t="s">
        <v>98</v>
      </c>
      <c r="C88" s="137">
        <v>35465</v>
      </c>
      <c r="D88" s="112">
        <f t="shared" ca="1" si="22"/>
        <v>24</v>
      </c>
      <c r="E88" s="380" t="s">
        <v>102</v>
      </c>
      <c r="F88" s="380"/>
      <c r="G88" s="380" t="s">
        <v>103</v>
      </c>
      <c r="H88" s="380"/>
      <c r="I88" s="380"/>
      <c r="J88" s="380"/>
      <c r="K88" s="380"/>
    </row>
    <row r="89" spans="1:27" ht="30" customHeight="1" x14ac:dyDescent="0.25">
      <c r="B89" s="138" t="s">
        <v>614</v>
      </c>
      <c r="C89" s="137">
        <v>33139</v>
      </c>
      <c r="D89" s="112">
        <f t="shared" ca="1" si="22"/>
        <v>30</v>
      </c>
      <c r="E89" s="380" t="s">
        <v>615</v>
      </c>
      <c r="F89" s="380"/>
      <c r="G89" s="380" t="s">
        <v>616</v>
      </c>
      <c r="H89" s="380"/>
      <c r="I89" s="380"/>
      <c r="J89" s="380"/>
      <c r="K89" s="380"/>
    </row>
    <row r="90" spans="1:27" ht="30" customHeight="1" x14ac:dyDescent="0.25">
      <c r="B90" s="138"/>
      <c r="C90" s="138"/>
      <c r="D90" s="112" t="str">
        <f t="shared" si="22"/>
        <v/>
      </c>
      <c r="E90" s="380"/>
      <c r="F90" s="380"/>
      <c r="G90" s="380"/>
      <c r="H90" s="380"/>
      <c r="I90" s="380"/>
      <c r="J90" s="380"/>
      <c r="K90" s="380"/>
    </row>
    <row r="91" spans="1:27" ht="30" customHeight="1" x14ac:dyDescent="0.25">
      <c r="B91" s="138"/>
      <c r="C91" s="138"/>
      <c r="D91" s="112" t="str">
        <f t="shared" si="22"/>
        <v/>
      </c>
      <c r="E91" s="380"/>
      <c r="F91" s="380"/>
      <c r="G91" s="380"/>
      <c r="H91" s="380"/>
      <c r="I91" s="380"/>
      <c r="J91" s="380"/>
      <c r="K91" s="380"/>
    </row>
    <row r="92" spans="1:27" ht="30" customHeight="1" x14ac:dyDescent="0.25">
      <c r="B92" s="138"/>
      <c r="C92" s="138"/>
      <c r="D92" s="112" t="str">
        <f t="shared" si="22"/>
        <v/>
      </c>
      <c r="E92" s="380"/>
      <c r="F92" s="380"/>
      <c r="G92" s="380"/>
      <c r="H92" s="380"/>
      <c r="I92" s="380"/>
      <c r="J92" s="380"/>
      <c r="K92" s="380"/>
    </row>
  </sheetData>
  <sheetProtection algorithmName="SHA-512" hashValue="+aFIS8uFQ8jSYumUD6Opups8xV29G9B3n1dBYcVQE3Yf4eBxMNo8p3R0Axnfuc4139ge1SvBd2oQzezI4WRHNw==" saltValue="HVV4jLK3qgmas8oc1nj57g==" spinCount="100000" sheet="1" objects="1" scenarios="1" selectLockedCells="1"/>
  <sortState ref="B48:AA76">
    <sortCondition ref="U48:U76"/>
    <sortCondition ref="B48:B76"/>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103" priority="1" operator="containsText" text="ANO">
      <formula>NOT(ISERROR(SEARCH("ANO",P2)))</formula>
    </cfRule>
    <cfRule type="containsText" dxfId="10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41" sqref="B41"/>
    </sheetView>
  </sheetViews>
  <sheetFormatPr defaultRowHeight="15" x14ac:dyDescent="0.25"/>
  <cols>
    <col min="1" max="1" width="9.140625" style="121"/>
    <col min="2" max="2" width="18.140625" bestFit="1" customWidth="1"/>
    <col min="4" max="5" width="9.140625" customWidth="1"/>
  </cols>
  <sheetData>
    <row r="1" spans="1:6" x14ac:dyDescent="0.25">
      <c r="A1" s="382" t="s">
        <v>36</v>
      </c>
      <c r="B1" s="1" t="s">
        <v>239</v>
      </c>
      <c r="C1" s="205">
        <v>28</v>
      </c>
      <c r="D1" s="383" t="str">
        <f>IFERROR(RIGHT(B1,LEN(B1)-SEARCH(" ",B1)),"")</f>
        <v>Michal Strachota</v>
      </c>
      <c r="E1" s="383"/>
      <c r="F1" s="6"/>
    </row>
    <row r="2" spans="1:6" x14ac:dyDescent="0.25">
      <c r="A2" s="382"/>
      <c r="B2" s="1" t="s">
        <v>569</v>
      </c>
      <c r="C2" s="205">
        <v>24</v>
      </c>
      <c r="D2" s="383" t="str">
        <f t="shared" ref="D2:D30" si="0">IFERROR(RIGHT(B2,LEN(B2)-SEARCH(" ",B2)),"")</f>
        <v>Lukáš Gregor</v>
      </c>
      <c r="E2" s="383"/>
      <c r="F2" s="6"/>
    </row>
    <row r="3" spans="1:6" x14ac:dyDescent="0.25">
      <c r="A3" s="382"/>
      <c r="B3" s="1" t="s">
        <v>240</v>
      </c>
      <c r="C3" s="205">
        <v>18</v>
      </c>
      <c r="D3" s="383" t="str">
        <f t="shared" si="0"/>
        <v>Milan Bína</v>
      </c>
      <c r="E3" s="383"/>
      <c r="F3" s="6"/>
    </row>
    <row r="4" spans="1:6" x14ac:dyDescent="0.25">
      <c r="A4" s="382"/>
      <c r="B4" s="1" t="s">
        <v>661</v>
      </c>
      <c r="C4" s="205">
        <v>17</v>
      </c>
      <c r="D4" s="383" t="str">
        <f t="shared" si="0"/>
        <v>Zbyněk Stuchlík</v>
      </c>
      <c r="E4" s="383"/>
      <c r="F4" s="6"/>
    </row>
    <row r="5" spans="1:6" x14ac:dyDescent="0.25">
      <c r="A5" s="382"/>
      <c r="B5" s="1" t="s">
        <v>624</v>
      </c>
      <c r="C5" s="205">
        <v>14</v>
      </c>
      <c r="D5" s="383" t="str">
        <f t="shared" si="0"/>
        <v>Ondřej Stuchlík</v>
      </c>
      <c r="E5" s="383"/>
      <c r="F5" s="6"/>
    </row>
    <row r="6" spans="1:6" x14ac:dyDescent="0.25">
      <c r="A6" s="382" t="s">
        <v>242</v>
      </c>
      <c r="B6" s="1" t="s">
        <v>246</v>
      </c>
      <c r="C6" s="205" t="s">
        <v>662</v>
      </c>
      <c r="D6" s="383" t="str">
        <f t="shared" si="0"/>
        <v>Karel Šantora</v>
      </c>
      <c r="E6" s="383"/>
      <c r="F6" s="120">
        <f>IF(B6&lt;&gt;0,_xlfn.NUMBERVALUE(C6,","),"")</f>
        <v>6.78</v>
      </c>
    </row>
    <row r="7" spans="1:6" x14ac:dyDescent="0.25">
      <c r="A7" s="382"/>
      <c r="B7" s="1" t="s">
        <v>642</v>
      </c>
      <c r="C7" s="205" t="s">
        <v>332</v>
      </c>
      <c r="D7" s="383" t="str">
        <f t="shared" si="0"/>
        <v>Rastislav Mazák</v>
      </c>
      <c r="E7" s="383"/>
      <c r="F7" s="120">
        <f>IF(B7&lt;&gt;0,_xlfn.NUMBERVALUE(C7,","),"")</f>
        <v>7.18</v>
      </c>
    </row>
    <row r="8" spans="1:6" x14ac:dyDescent="0.25">
      <c r="A8" s="382"/>
      <c r="B8" s="1" t="s">
        <v>643</v>
      </c>
      <c r="C8" s="205" t="s">
        <v>765</v>
      </c>
      <c r="D8" s="383" t="str">
        <f t="shared" si="0"/>
        <v>Jiří Buchta</v>
      </c>
      <c r="E8" s="383"/>
      <c r="F8" s="120">
        <f>IF(B8&lt;&gt;0,_xlfn.NUMBERVALUE(C8,","),"")</f>
        <v>8.6199999999999992</v>
      </c>
    </row>
    <row r="9" spans="1:6" x14ac:dyDescent="0.25">
      <c r="A9" s="382"/>
      <c r="B9" s="1" t="s">
        <v>644</v>
      </c>
      <c r="C9" s="205" t="s">
        <v>645</v>
      </c>
      <c r="D9" s="383" t="str">
        <f t="shared" si="0"/>
        <v>Matyáš Lorenc</v>
      </c>
      <c r="E9" s="383"/>
      <c r="F9" s="120">
        <f>IF(B9&lt;&gt;0,_xlfn.NUMBERVALUE(C9,","),"")</f>
        <v>12</v>
      </c>
    </row>
    <row r="10" spans="1:6" x14ac:dyDescent="0.25">
      <c r="A10" s="382"/>
      <c r="B10" s="1"/>
      <c r="C10" s="205"/>
      <c r="D10" s="383" t="str">
        <f t="shared" si="0"/>
        <v/>
      </c>
      <c r="E10" s="383"/>
      <c r="F10" s="120" t="str">
        <f>IF(B10&lt;&gt;0,_xlfn.NUMBERVALUE(C10,","),"")</f>
        <v/>
      </c>
    </row>
    <row r="11" spans="1:6" x14ac:dyDescent="0.25">
      <c r="A11" s="382" t="s">
        <v>35</v>
      </c>
      <c r="B11" s="1" t="s">
        <v>243</v>
      </c>
      <c r="C11" s="205">
        <v>19</v>
      </c>
      <c r="D11" s="383" t="str">
        <f t="shared" si="0"/>
        <v>Lukáš Gregor</v>
      </c>
      <c r="E11" s="383"/>
      <c r="F11" s="6"/>
    </row>
    <row r="12" spans="1:6" x14ac:dyDescent="0.25">
      <c r="A12" s="382"/>
      <c r="B12" s="1" t="s">
        <v>244</v>
      </c>
      <c r="C12" s="205">
        <v>17</v>
      </c>
      <c r="D12" s="383" t="str">
        <f t="shared" si="0"/>
        <v>Michal Strachota</v>
      </c>
      <c r="E12" s="383"/>
      <c r="F12" s="6"/>
    </row>
    <row r="13" spans="1:6" x14ac:dyDescent="0.25">
      <c r="A13" s="382"/>
      <c r="B13" s="1" t="s">
        <v>240</v>
      </c>
      <c r="C13" s="205">
        <v>10</v>
      </c>
      <c r="D13" s="383" t="str">
        <f t="shared" si="0"/>
        <v>Milan Bína</v>
      </c>
      <c r="E13" s="383"/>
      <c r="F13" s="6"/>
    </row>
    <row r="14" spans="1:6" x14ac:dyDescent="0.25">
      <c r="A14" s="382"/>
      <c r="B14" s="1" t="s">
        <v>245</v>
      </c>
      <c r="C14" s="205">
        <v>8</v>
      </c>
      <c r="D14" s="383" t="str">
        <f t="shared" si="0"/>
        <v>Ondřej Stuchlík</v>
      </c>
      <c r="E14" s="383"/>
      <c r="F14" s="6"/>
    </row>
    <row r="15" spans="1:6" x14ac:dyDescent="0.25">
      <c r="A15" s="382"/>
      <c r="B15" s="1" t="s">
        <v>241</v>
      </c>
      <c r="C15" s="205">
        <v>8</v>
      </c>
      <c r="D15" s="383" t="str">
        <f t="shared" si="0"/>
        <v>Petr Hartman</v>
      </c>
      <c r="E15" s="383"/>
      <c r="F15" s="6"/>
    </row>
    <row r="16" spans="1:6" x14ac:dyDescent="0.25">
      <c r="A16" s="382" t="s">
        <v>230</v>
      </c>
      <c r="B16" s="1" t="s">
        <v>246</v>
      </c>
      <c r="C16" s="205">
        <v>4</v>
      </c>
      <c r="D16" s="383" t="str">
        <f t="shared" si="0"/>
        <v>Karel Šantora</v>
      </c>
      <c r="E16" s="383"/>
      <c r="F16" s="126">
        <f>IF(B16&lt;&gt;0,_xlfn.NUMBERVALUE(C16,","),"")</f>
        <v>4</v>
      </c>
    </row>
    <row r="17" spans="1:6" x14ac:dyDescent="0.25">
      <c r="A17" s="382"/>
      <c r="B17" s="1" t="s">
        <v>247</v>
      </c>
      <c r="C17" s="205">
        <v>0</v>
      </c>
      <c r="D17" s="383" t="str">
        <f t="shared" si="0"/>
        <v>Jiří Buchta</v>
      </c>
      <c r="E17" s="383"/>
      <c r="F17" s="126">
        <f t="shared" ref="F17:F20" si="1">IF(B17&lt;&gt;0,_xlfn.NUMBERVALUE(C17,","),"")</f>
        <v>0</v>
      </c>
    </row>
    <row r="18" spans="1:6" x14ac:dyDescent="0.25">
      <c r="A18" s="382"/>
      <c r="B18" s="1" t="s">
        <v>248</v>
      </c>
      <c r="C18" s="205">
        <v>0</v>
      </c>
      <c r="D18" s="383" t="str">
        <f t="shared" si="0"/>
        <v>Matyáš Lorenc</v>
      </c>
      <c r="E18" s="383"/>
      <c r="F18" s="126">
        <f t="shared" si="1"/>
        <v>0</v>
      </c>
    </row>
    <row r="19" spans="1:6" x14ac:dyDescent="0.25">
      <c r="A19" s="382"/>
      <c r="B19" s="1" t="s">
        <v>249</v>
      </c>
      <c r="C19" s="205">
        <v>0</v>
      </c>
      <c r="D19" s="383" t="str">
        <f t="shared" si="0"/>
        <v>Rastislav Mazák</v>
      </c>
      <c r="E19" s="383"/>
      <c r="F19" s="126">
        <f t="shared" si="1"/>
        <v>0</v>
      </c>
    </row>
    <row r="20" spans="1:6" x14ac:dyDescent="0.25">
      <c r="A20" s="382"/>
      <c r="B20" s="1"/>
      <c r="C20" s="205"/>
      <c r="D20" s="383" t="str">
        <f t="shared" si="0"/>
        <v/>
      </c>
      <c r="E20" s="383"/>
      <c r="F20" s="126" t="str">
        <f t="shared" si="1"/>
        <v/>
      </c>
    </row>
    <row r="21" spans="1:6" x14ac:dyDescent="0.25">
      <c r="A21" s="382" t="s">
        <v>37</v>
      </c>
      <c r="B21" s="1" t="s">
        <v>647</v>
      </c>
      <c r="C21" s="205">
        <v>12</v>
      </c>
      <c r="D21" s="383" t="str">
        <f t="shared" si="0"/>
        <v>Zbyněk Stuchlík</v>
      </c>
      <c r="E21" s="383"/>
      <c r="F21" s="120"/>
    </row>
    <row r="22" spans="1:6" x14ac:dyDescent="0.25">
      <c r="A22" s="382"/>
      <c r="B22" s="1" t="s">
        <v>244</v>
      </c>
      <c r="C22" s="205">
        <v>11</v>
      </c>
      <c r="D22" s="383" t="str">
        <f t="shared" si="0"/>
        <v>Michal Strachota</v>
      </c>
      <c r="E22" s="383"/>
      <c r="F22" s="120"/>
    </row>
    <row r="23" spans="1:6" x14ac:dyDescent="0.25">
      <c r="A23" s="382"/>
      <c r="B23" s="1" t="s">
        <v>663</v>
      </c>
      <c r="C23" s="205">
        <v>9</v>
      </c>
      <c r="D23" s="383" t="str">
        <f t="shared" si="0"/>
        <v>Jan Procházka</v>
      </c>
      <c r="E23" s="383"/>
      <c r="F23" s="120"/>
    </row>
    <row r="24" spans="1:6" x14ac:dyDescent="0.25">
      <c r="A24" s="382"/>
      <c r="B24" s="1" t="s">
        <v>646</v>
      </c>
      <c r="C24" s="205">
        <v>8</v>
      </c>
      <c r="D24" s="383" t="str">
        <f t="shared" si="0"/>
        <v>Milan Bína</v>
      </c>
      <c r="E24" s="383"/>
      <c r="F24" s="120"/>
    </row>
    <row r="25" spans="1:6" x14ac:dyDescent="0.25">
      <c r="A25" s="382"/>
      <c r="B25" s="1" t="s">
        <v>664</v>
      </c>
      <c r="C25" s="205">
        <v>8</v>
      </c>
      <c r="D25" s="383" t="str">
        <f t="shared" si="0"/>
        <v>Pavel Hájek</v>
      </c>
      <c r="E25" s="383"/>
      <c r="F25" s="120"/>
    </row>
    <row r="26" spans="1:6" x14ac:dyDescent="0.25">
      <c r="A26" s="382" t="s">
        <v>38</v>
      </c>
      <c r="B26" s="1" t="s">
        <v>647</v>
      </c>
      <c r="C26" s="205">
        <v>11</v>
      </c>
      <c r="D26" s="383" t="str">
        <f t="shared" si="0"/>
        <v>Zbyněk Stuchlík</v>
      </c>
      <c r="E26" s="383"/>
      <c r="F26" s="6"/>
    </row>
    <row r="27" spans="1:6" x14ac:dyDescent="0.25">
      <c r="A27" s="382"/>
      <c r="B27" s="1" t="s">
        <v>244</v>
      </c>
      <c r="C27" s="205">
        <v>10</v>
      </c>
      <c r="D27" s="383" t="str">
        <f t="shared" si="0"/>
        <v>Michal Strachota</v>
      </c>
      <c r="E27" s="383"/>
      <c r="F27" s="6"/>
    </row>
    <row r="28" spans="1:6" x14ac:dyDescent="0.25">
      <c r="A28" s="382"/>
      <c r="B28" s="1" t="s">
        <v>595</v>
      </c>
      <c r="C28" s="205">
        <v>8</v>
      </c>
      <c r="D28" s="383" t="str">
        <f t="shared" si="0"/>
        <v>Jan Svoboda</v>
      </c>
      <c r="E28" s="383"/>
      <c r="F28" s="6"/>
    </row>
    <row r="29" spans="1:6" x14ac:dyDescent="0.25">
      <c r="A29" s="382"/>
      <c r="B29" s="1" t="s">
        <v>245</v>
      </c>
      <c r="C29" s="205">
        <v>6</v>
      </c>
      <c r="D29" s="383" t="str">
        <f t="shared" si="0"/>
        <v>Ondřej Stuchlík</v>
      </c>
      <c r="E29" s="383"/>
      <c r="F29" s="6"/>
    </row>
    <row r="30" spans="1:6" x14ac:dyDescent="0.25">
      <c r="A30" s="382"/>
      <c r="B30" s="1" t="s">
        <v>665</v>
      </c>
      <c r="C30" s="205">
        <v>6</v>
      </c>
      <c r="D30" s="383" t="str">
        <f t="shared" si="0"/>
        <v>Radovan Vnuk</v>
      </c>
      <c r="E30" s="383"/>
      <c r="F30" s="6"/>
    </row>
    <row r="31" spans="1:6" x14ac:dyDescent="0.25">
      <c r="A31" s="382" t="s">
        <v>333</v>
      </c>
      <c r="B31" s="190" t="s">
        <v>763</v>
      </c>
      <c r="C31" s="190" t="s">
        <v>150</v>
      </c>
      <c r="D31" s="128" t="s">
        <v>904</v>
      </c>
      <c r="E31" s="178" t="str">
        <f>IFERROR(RIGHT(LEFT(D31,LEN(D31)-1),LEN(D31)-2),"")</f>
        <v>3:7</v>
      </c>
    </row>
    <row r="32" spans="1:6" x14ac:dyDescent="0.25">
      <c r="A32" s="382"/>
      <c r="B32" s="190" t="s">
        <v>594</v>
      </c>
      <c r="C32" s="190" t="s">
        <v>147</v>
      </c>
      <c r="D32" s="127" t="s">
        <v>657</v>
      </c>
      <c r="E32" s="178" t="str">
        <f t="shared" ref="E32:E40" si="2">IFERROR(RIGHT(LEFT(D32,LEN(D32)-1),LEN(D32)-2),"")</f>
        <v>3:10</v>
      </c>
    </row>
    <row r="33" spans="1:5" x14ac:dyDescent="0.25">
      <c r="A33" s="382"/>
      <c r="B33" s="190" t="s">
        <v>364</v>
      </c>
      <c r="C33" s="190" t="s">
        <v>151</v>
      </c>
      <c r="D33" s="127" t="s">
        <v>658</v>
      </c>
      <c r="E33" s="178" t="str">
        <f t="shared" si="2"/>
        <v>5:4p</v>
      </c>
    </row>
    <row r="34" spans="1:5" x14ac:dyDescent="0.25">
      <c r="A34" s="382"/>
      <c r="B34" s="190" t="s">
        <v>350</v>
      </c>
      <c r="C34" s="190" t="s">
        <v>149</v>
      </c>
      <c r="D34" s="128" t="s">
        <v>659</v>
      </c>
      <c r="E34" s="178" t="str">
        <f t="shared" si="2"/>
        <v>8:13</v>
      </c>
    </row>
    <row r="35" spans="1:5" x14ac:dyDescent="0.25">
      <c r="A35" s="382"/>
      <c r="B35" s="190" t="s">
        <v>641</v>
      </c>
      <c r="C35" s="190" t="s">
        <v>143</v>
      </c>
      <c r="D35" s="127" t="s">
        <v>905</v>
      </c>
      <c r="E35" s="178" t="str">
        <f t="shared" si="2"/>
        <v>5:14</v>
      </c>
    </row>
    <row r="36" spans="1:5" x14ac:dyDescent="0.25">
      <c r="A36" s="382" t="s">
        <v>334</v>
      </c>
      <c r="B36" s="190" t="s">
        <v>571</v>
      </c>
      <c r="C36" s="190" t="s">
        <v>141</v>
      </c>
      <c r="D36" s="190" t="s">
        <v>338</v>
      </c>
      <c r="E36" s="178" t="str">
        <f t="shared" si="2"/>
        <v>-:-</v>
      </c>
    </row>
    <row r="37" spans="1:5" x14ac:dyDescent="0.25">
      <c r="A37" s="382"/>
      <c r="B37" s="190" t="s">
        <v>660</v>
      </c>
      <c r="C37" s="190" t="s">
        <v>148</v>
      </c>
      <c r="D37" s="190" t="s">
        <v>338</v>
      </c>
      <c r="E37" s="178" t="str">
        <f t="shared" si="2"/>
        <v>-:-</v>
      </c>
    </row>
    <row r="38" spans="1:5" x14ac:dyDescent="0.25">
      <c r="A38" s="382"/>
      <c r="B38" s="190" t="s">
        <v>619</v>
      </c>
      <c r="C38" s="190" t="s">
        <v>144</v>
      </c>
      <c r="D38" s="190" t="s">
        <v>338</v>
      </c>
      <c r="E38" s="178" t="str">
        <f t="shared" si="2"/>
        <v>-:-</v>
      </c>
    </row>
    <row r="39" spans="1:5" x14ac:dyDescent="0.25">
      <c r="A39" s="382"/>
      <c r="B39" s="190"/>
      <c r="C39" s="190"/>
      <c r="D39" s="190"/>
      <c r="E39" s="178" t="str">
        <f t="shared" si="2"/>
        <v/>
      </c>
    </row>
    <row r="40" spans="1:5" x14ac:dyDescent="0.25">
      <c r="A40" s="382"/>
      <c r="B40" s="190"/>
      <c r="C40" s="190"/>
      <c r="D40" s="127"/>
      <c r="E40" s="178" t="str">
        <f t="shared" si="2"/>
        <v/>
      </c>
    </row>
    <row r="41" spans="1:5" x14ac:dyDescent="0.25">
      <c r="A41" s="121" t="s">
        <v>335</v>
      </c>
      <c r="B41" s="384" t="s">
        <v>764</v>
      </c>
      <c r="C41" s="190"/>
      <c r="D41" s="127"/>
    </row>
  </sheetData>
  <sheetProtection algorithmName="SHA-512" hashValue="HTHg8mVFc3xvE99m+9Ll0a1DCXQNLvtcuhWjKz4gydZ+KwV71fxNbs+VvSC8/yCU9QwqN7L9j2+U/XRCGvN8FA==" saltValue="mQhobtVF5LaoTQ9fe5QjN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455</v>
      </c>
      <c r="Q1" s="115" t="s">
        <v>47</v>
      </c>
      <c r="X1" s="110"/>
      <c r="Y1" s="110"/>
      <c r="Z1" s="110"/>
    </row>
    <row r="2" spans="1:26" s="4" customFormat="1" x14ac:dyDescent="0.25">
      <c r="A2" s="53">
        <v>1</v>
      </c>
      <c r="B2" s="4" t="s">
        <v>160</v>
      </c>
      <c r="D2" s="5" t="s">
        <v>51</v>
      </c>
      <c r="E2" s="5">
        <v>21</v>
      </c>
      <c r="F2" s="5">
        <v>25</v>
      </c>
      <c r="G2" s="5">
        <v>3</v>
      </c>
      <c r="H2" s="5">
        <v>1</v>
      </c>
      <c r="I2" s="5">
        <v>18</v>
      </c>
      <c r="J2" s="5">
        <v>43</v>
      </c>
      <c r="K2" s="5">
        <v>2</v>
      </c>
      <c r="L2" s="5">
        <v>57</v>
      </c>
      <c r="M2" s="5">
        <v>44</v>
      </c>
      <c r="N2" s="5">
        <v>13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43 (25+18), +13 ±</v>
      </c>
      <c r="P2" s="5" t="str">
        <f>IF(B2&lt;&gt;0,IF(IFERROR(VLOOKUP(B2,$B$48:$B$82,1,FALSE)=B2,FALSE),"ANO","NE"),"")</f>
        <v>ANO</v>
      </c>
      <c r="Q2" s="142" t="s">
        <v>374</v>
      </c>
      <c r="S2" s="5"/>
      <c r="X2" s="5"/>
      <c r="Y2" s="5"/>
      <c r="Z2" s="5"/>
    </row>
    <row r="3" spans="1:26" s="4" customFormat="1" x14ac:dyDescent="0.25">
      <c r="A3" s="53">
        <v>2</v>
      </c>
      <c r="B3" s="4" t="s">
        <v>161</v>
      </c>
      <c r="D3" s="5" t="s">
        <v>51</v>
      </c>
      <c r="E3" s="5">
        <v>21</v>
      </c>
      <c r="F3" s="5">
        <v>21</v>
      </c>
      <c r="G3" s="5">
        <v>1</v>
      </c>
      <c r="H3" s="5">
        <v>0</v>
      </c>
      <c r="I3" s="5">
        <v>15</v>
      </c>
      <c r="J3" s="5">
        <v>36</v>
      </c>
      <c r="K3" s="5">
        <v>2</v>
      </c>
      <c r="L3" s="5">
        <v>54</v>
      </c>
      <c r="M3" s="5">
        <v>41</v>
      </c>
      <c r="N3" s="5">
        <v>13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36 (21+15), +13 ±</v>
      </c>
      <c r="P3" s="5" t="str">
        <f t="shared" ref="P3:P36" si="1">IF(B3&lt;&gt;0,IF(IFERROR(VLOOKUP(B3,$B$48:$B$82,1,FALSE)=B3,FALSE),"ANO","NE"),"")</f>
        <v>ANO</v>
      </c>
      <c r="Q3" s="142" t="s">
        <v>375</v>
      </c>
      <c r="S3" s="5"/>
      <c r="X3" s="5"/>
      <c r="Y3" s="5"/>
      <c r="Z3" s="5"/>
    </row>
    <row r="4" spans="1:26" s="4" customFormat="1" x14ac:dyDescent="0.25">
      <c r="A4" s="53">
        <v>3</v>
      </c>
      <c r="B4" s="4" t="s">
        <v>163</v>
      </c>
      <c r="D4" s="5" t="s">
        <v>51</v>
      </c>
      <c r="E4" s="5">
        <v>20</v>
      </c>
      <c r="F4" s="5">
        <v>23</v>
      </c>
      <c r="G4" s="5">
        <v>1</v>
      </c>
      <c r="H4" s="5">
        <v>0</v>
      </c>
      <c r="I4" s="5">
        <v>10</v>
      </c>
      <c r="J4" s="5">
        <v>33</v>
      </c>
      <c r="K4" s="5">
        <v>6</v>
      </c>
      <c r="L4" s="5">
        <v>44</v>
      </c>
      <c r="M4" s="5">
        <v>42</v>
      </c>
      <c r="N4" s="5">
        <v>2</v>
      </c>
      <c r="O4" s="161" t="str">
        <f t="shared" si="0"/>
        <v>20 OZ , 33 (23+10), +2 ±</v>
      </c>
      <c r="P4" s="5" t="str">
        <f t="shared" si="1"/>
        <v>ANO</v>
      </c>
      <c r="Q4" s="142" t="s">
        <v>377</v>
      </c>
      <c r="S4" s="5"/>
      <c r="X4" s="5"/>
      <c r="Y4" s="5"/>
      <c r="Z4" s="5"/>
    </row>
    <row r="5" spans="1:26" s="4" customFormat="1" x14ac:dyDescent="0.25">
      <c r="A5" s="53">
        <v>4</v>
      </c>
      <c r="B5" s="4" t="s">
        <v>162</v>
      </c>
      <c r="D5" s="5" t="s">
        <v>51</v>
      </c>
      <c r="E5" s="5">
        <v>20</v>
      </c>
      <c r="F5" s="5">
        <v>14</v>
      </c>
      <c r="G5" s="5">
        <v>2</v>
      </c>
      <c r="H5" s="5">
        <v>0</v>
      </c>
      <c r="I5" s="5">
        <v>9</v>
      </c>
      <c r="J5" s="5">
        <v>23</v>
      </c>
      <c r="K5" s="5">
        <v>6</v>
      </c>
      <c r="L5" s="5">
        <v>46</v>
      </c>
      <c r="M5" s="5">
        <v>33</v>
      </c>
      <c r="N5" s="5">
        <v>13</v>
      </c>
      <c r="O5" s="161" t="str">
        <f t="shared" si="0"/>
        <v>20 OZ , 23 (14+9), +13 ±</v>
      </c>
      <c r="P5" s="5" t="str">
        <f t="shared" si="1"/>
        <v>ANO</v>
      </c>
      <c r="Q5" s="142" t="s">
        <v>286</v>
      </c>
      <c r="S5" s="5"/>
      <c r="X5" s="5"/>
      <c r="Y5" s="5"/>
      <c r="Z5" s="5"/>
    </row>
    <row r="6" spans="1:26" x14ac:dyDescent="0.25">
      <c r="A6" s="54">
        <v>5</v>
      </c>
      <c r="B6" s="1" t="s">
        <v>167</v>
      </c>
      <c r="D6" s="205" t="s">
        <v>48</v>
      </c>
      <c r="E6" s="205">
        <v>21</v>
      </c>
      <c r="F6" s="205">
        <v>5</v>
      </c>
      <c r="G6" s="205">
        <v>0</v>
      </c>
      <c r="H6" s="205">
        <v>0</v>
      </c>
      <c r="I6" s="205">
        <v>10</v>
      </c>
      <c r="J6" s="205">
        <v>15</v>
      </c>
      <c r="K6" s="205">
        <v>36</v>
      </c>
      <c r="L6" s="205">
        <v>50</v>
      </c>
      <c r="M6" s="205">
        <v>42</v>
      </c>
      <c r="N6" s="205">
        <v>8</v>
      </c>
      <c r="O6" s="161" t="str">
        <f t="shared" si="0"/>
        <v>21 OZ , 15 (5+10), +8 ±</v>
      </c>
      <c r="P6" s="5" t="str">
        <f t="shared" si="1"/>
        <v>ANO</v>
      </c>
    </row>
    <row r="7" spans="1:26" x14ac:dyDescent="0.25">
      <c r="A7" s="54">
        <v>6</v>
      </c>
      <c r="B7" s="1" t="s">
        <v>164</v>
      </c>
      <c r="D7" s="205" t="s">
        <v>48</v>
      </c>
      <c r="E7" s="205">
        <v>20</v>
      </c>
      <c r="F7" s="205">
        <v>3</v>
      </c>
      <c r="G7" s="205">
        <v>1</v>
      </c>
      <c r="H7" s="205">
        <v>0</v>
      </c>
      <c r="I7" s="205">
        <v>12</v>
      </c>
      <c r="J7" s="205">
        <v>15</v>
      </c>
      <c r="K7" s="205">
        <v>4</v>
      </c>
      <c r="L7" s="205">
        <v>46</v>
      </c>
      <c r="M7" s="205">
        <v>37</v>
      </c>
      <c r="N7" s="205">
        <v>9</v>
      </c>
      <c r="O7" s="161" t="str">
        <f t="shared" si="0"/>
        <v>20 OZ , 15 (3+12), +9 ±</v>
      </c>
      <c r="P7" s="5" t="str">
        <f t="shared" si="1"/>
        <v>ANO</v>
      </c>
    </row>
    <row r="8" spans="1:26" x14ac:dyDescent="0.25">
      <c r="A8" s="54">
        <v>7</v>
      </c>
      <c r="B8" s="1" t="s">
        <v>169</v>
      </c>
      <c r="D8" s="205"/>
      <c r="E8" s="205">
        <v>21</v>
      </c>
      <c r="F8" s="205">
        <v>10</v>
      </c>
      <c r="G8" s="205">
        <v>1</v>
      </c>
      <c r="H8" s="205">
        <v>0</v>
      </c>
      <c r="I8" s="205">
        <v>2</v>
      </c>
      <c r="J8" s="205">
        <v>12</v>
      </c>
      <c r="K8" s="205">
        <v>0</v>
      </c>
      <c r="L8" s="205">
        <v>35</v>
      </c>
      <c r="M8" s="205">
        <v>26</v>
      </c>
      <c r="N8" s="205">
        <v>9</v>
      </c>
      <c r="O8" s="161" t="str">
        <f t="shared" si="0"/>
        <v>21 OZ , 12 (10+2), +9 ±</v>
      </c>
      <c r="P8" s="5" t="str">
        <f t="shared" si="1"/>
        <v>ANO</v>
      </c>
    </row>
    <row r="9" spans="1:26" x14ac:dyDescent="0.25">
      <c r="A9" s="54">
        <v>8</v>
      </c>
      <c r="B9" s="1" t="s">
        <v>166</v>
      </c>
      <c r="D9" s="205"/>
      <c r="E9" s="205">
        <v>21</v>
      </c>
      <c r="F9" s="205">
        <v>5</v>
      </c>
      <c r="G9" s="205">
        <v>0</v>
      </c>
      <c r="H9" s="205">
        <v>0</v>
      </c>
      <c r="I9" s="205">
        <v>7</v>
      </c>
      <c r="J9" s="205">
        <v>12</v>
      </c>
      <c r="K9" s="205">
        <v>14</v>
      </c>
      <c r="L9" s="205">
        <v>26</v>
      </c>
      <c r="M9" s="205">
        <v>33</v>
      </c>
      <c r="N9" s="205">
        <v>-7</v>
      </c>
      <c r="O9" s="161" t="str">
        <f t="shared" si="0"/>
        <v>21 OZ , 12 (5+7), -7 ±</v>
      </c>
      <c r="P9" s="5" t="str">
        <f t="shared" si="1"/>
        <v>ANO</v>
      </c>
    </row>
    <row r="10" spans="1:26" x14ac:dyDescent="0.25">
      <c r="A10" s="54">
        <v>9</v>
      </c>
      <c r="B10" s="1" t="s">
        <v>165</v>
      </c>
      <c r="D10" s="205" t="s">
        <v>48</v>
      </c>
      <c r="E10" s="205">
        <v>20</v>
      </c>
      <c r="F10" s="205">
        <v>4</v>
      </c>
      <c r="G10" s="205">
        <v>1</v>
      </c>
      <c r="H10" s="205">
        <v>0</v>
      </c>
      <c r="I10" s="205">
        <v>8</v>
      </c>
      <c r="J10" s="205">
        <v>12</v>
      </c>
      <c r="K10" s="205">
        <v>2</v>
      </c>
      <c r="L10" s="205">
        <v>36</v>
      </c>
      <c r="M10" s="205">
        <v>34</v>
      </c>
      <c r="N10" s="205">
        <v>2</v>
      </c>
      <c r="O10" s="161" t="str">
        <f t="shared" si="0"/>
        <v>20 OZ , 12 (4+8), +2 ±</v>
      </c>
      <c r="P10" s="5" t="str">
        <f t="shared" si="1"/>
        <v>ANO</v>
      </c>
    </row>
    <row r="11" spans="1:26" x14ac:dyDescent="0.25">
      <c r="A11" s="54">
        <v>10</v>
      </c>
      <c r="B11" s="1" t="s">
        <v>170</v>
      </c>
      <c r="D11" s="205" t="s">
        <v>51</v>
      </c>
      <c r="E11" s="205">
        <v>16</v>
      </c>
      <c r="F11" s="205">
        <v>5</v>
      </c>
      <c r="G11" s="205">
        <v>0</v>
      </c>
      <c r="H11" s="205">
        <v>0</v>
      </c>
      <c r="I11" s="205">
        <v>6</v>
      </c>
      <c r="J11" s="205">
        <v>11</v>
      </c>
      <c r="K11" s="205">
        <v>2</v>
      </c>
      <c r="L11" s="205">
        <v>28</v>
      </c>
      <c r="M11" s="205">
        <v>22</v>
      </c>
      <c r="N11" s="205">
        <v>6</v>
      </c>
      <c r="O11" s="161" t="str">
        <f t="shared" si="0"/>
        <v>16 OZ , 11 (5+6), +6 ±</v>
      </c>
      <c r="P11" s="5" t="str">
        <f t="shared" si="1"/>
        <v>ANO</v>
      </c>
    </row>
    <row r="12" spans="1:26" x14ac:dyDescent="0.25">
      <c r="A12" s="54">
        <v>11</v>
      </c>
      <c r="B12" s="1" t="s">
        <v>168</v>
      </c>
      <c r="D12" s="205"/>
      <c r="E12" s="205">
        <v>21</v>
      </c>
      <c r="F12" s="205">
        <v>6</v>
      </c>
      <c r="G12" s="205">
        <v>0</v>
      </c>
      <c r="H12" s="205">
        <v>0</v>
      </c>
      <c r="I12" s="205">
        <v>3</v>
      </c>
      <c r="J12" s="205">
        <v>9</v>
      </c>
      <c r="K12" s="205">
        <v>2</v>
      </c>
      <c r="L12" s="205">
        <v>32</v>
      </c>
      <c r="M12" s="205">
        <v>27</v>
      </c>
      <c r="N12" s="205">
        <v>5</v>
      </c>
      <c r="O12" s="161" t="str">
        <f t="shared" si="0"/>
        <v>21 OZ , 9 (6+3), +5 ±</v>
      </c>
      <c r="P12" s="5" t="str">
        <f t="shared" si="1"/>
        <v>ANO</v>
      </c>
    </row>
    <row r="13" spans="1:26" x14ac:dyDescent="0.25">
      <c r="A13" s="54">
        <v>12</v>
      </c>
      <c r="B13" s="1" t="s">
        <v>171</v>
      </c>
      <c r="D13" s="205" t="s">
        <v>51</v>
      </c>
      <c r="E13" s="205">
        <v>20</v>
      </c>
      <c r="F13" s="205">
        <v>2</v>
      </c>
      <c r="G13" s="205">
        <v>0</v>
      </c>
      <c r="H13" s="205">
        <v>0</v>
      </c>
      <c r="I13" s="205">
        <v>5</v>
      </c>
      <c r="J13" s="205">
        <v>7</v>
      </c>
      <c r="K13" s="205">
        <v>4</v>
      </c>
      <c r="L13" s="205">
        <v>18</v>
      </c>
      <c r="M13" s="205">
        <v>22</v>
      </c>
      <c r="N13" s="205">
        <v>-4</v>
      </c>
      <c r="O13" s="161" t="str">
        <f t="shared" si="0"/>
        <v>20 OZ , 7 (2+5), -4 ±</v>
      </c>
      <c r="P13" s="5" t="str">
        <f t="shared" si="1"/>
        <v>ANO</v>
      </c>
    </row>
    <row r="14" spans="1:26" x14ac:dyDescent="0.25">
      <c r="A14" s="54">
        <v>13</v>
      </c>
      <c r="B14" s="1" t="s">
        <v>172</v>
      </c>
      <c r="D14" s="205"/>
      <c r="E14" s="205">
        <v>18</v>
      </c>
      <c r="F14" s="205">
        <v>2</v>
      </c>
      <c r="G14" s="205">
        <v>0</v>
      </c>
      <c r="H14" s="205">
        <v>0</v>
      </c>
      <c r="I14" s="205">
        <v>4</v>
      </c>
      <c r="J14" s="205">
        <v>6</v>
      </c>
      <c r="K14" s="205">
        <v>4</v>
      </c>
      <c r="L14" s="205">
        <v>40</v>
      </c>
      <c r="M14" s="205">
        <v>33</v>
      </c>
      <c r="N14" s="205">
        <v>7</v>
      </c>
      <c r="O14" s="161" t="str">
        <f t="shared" si="0"/>
        <v>18 OZ , 6 (2+4), +7 ±</v>
      </c>
      <c r="P14" s="5" t="str">
        <f t="shared" si="1"/>
        <v>ANO</v>
      </c>
    </row>
    <row r="15" spans="1:26" x14ac:dyDescent="0.25">
      <c r="A15" s="54">
        <v>14</v>
      </c>
      <c r="B15" s="1" t="s">
        <v>174</v>
      </c>
      <c r="D15" s="205" t="s">
        <v>51</v>
      </c>
      <c r="E15" s="205">
        <v>19</v>
      </c>
      <c r="F15" s="205">
        <v>2</v>
      </c>
      <c r="G15" s="205">
        <v>0</v>
      </c>
      <c r="H15" s="205">
        <v>0</v>
      </c>
      <c r="I15" s="205">
        <v>2</v>
      </c>
      <c r="J15" s="205">
        <v>4</v>
      </c>
      <c r="K15" s="205">
        <v>2</v>
      </c>
      <c r="L15" s="205">
        <v>24</v>
      </c>
      <c r="M15" s="205">
        <v>27</v>
      </c>
      <c r="N15" s="205">
        <v>-3</v>
      </c>
      <c r="O15" s="161" t="str">
        <f t="shared" si="0"/>
        <v>19 OZ , 4 (2+2), -3 ±</v>
      </c>
      <c r="P15" s="5" t="str">
        <f t="shared" si="1"/>
        <v>ANO</v>
      </c>
    </row>
    <row r="16" spans="1:26" x14ac:dyDescent="0.25">
      <c r="A16" s="54">
        <v>15</v>
      </c>
      <c r="B16" s="1" t="s">
        <v>173</v>
      </c>
      <c r="D16" s="205" t="s">
        <v>48</v>
      </c>
      <c r="E16" s="205">
        <v>21</v>
      </c>
      <c r="F16" s="205">
        <v>2</v>
      </c>
      <c r="G16" s="205">
        <v>0</v>
      </c>
      <c r="H16" s="205">
        <v>0</v>
      </c>
      <c r="I16" s="205">
        <v>2</v>
      </c>
      <c r="J16" s="205">
        <v>4</v>
      </c>
      <c r="K16" s="205">
        <v>6</v>
      </c>
      <c r="L16" s="205">
        <v>12</v>
      </c>
      <c r="M16" s="205">
        <v>20</v>
      </c>
      <c r="N16" s="205">
        <v>-8</v>
      </c>
      <c r="O16" s="161" t="str">
        <f t="shared" si="0"/>
        <v>21 OZ , 4 (2+2), -8 ±</v>
      </c>
      <c r="P16" s="5" t="str">
        <f t="shared" si="1"/>
        <v>ANO</v>
      </c>
    </row>
    <row r="17" spans="1:19" x14ac:dyDescent="0.25">
      <c r="A17" s="54">
        <v>16</v>
      </c>
      <c r="B17" s="1" t="s">
        <v>180</v>
      </c>
      <c r="D17" s="205"/>
      <c r="E17" s="205">
        <v>7</v>
      </c>
      <c r="F17" s="205">
        <v>2</v>
      </c>
      <c r="G17" s="205">
        <v>0</v>
      </c>
      <c r="H17" s="205">
        <v>0</v>
      </c>
      <c r="I17" s="205">
        <v>0</v>
      </c>
      <c r="J17" s="205">
        <v>2</v>
      </c>
      <c r="K17" s="205">
        <v>4</v>
      </c>
      <c r="L17" s="205">
        <v>6</v>
      </c>
      <c r="M17" s="205">
        <v>8</v>
      </c>
      <c r="N17" s="205">
        <v>-2</v>
      </c>
      <c r="O17" s="161" t="str">
        <f t="shared" si="0"/>
        <v>7 OZ , 2 (2+0), -2 ±</v>
      </c>
      <c r="P17" s="5" t="str">
        <f t="shared" si="1"/>
        <v>ANO</v>
      </c>
    </row>
    <row r="18" spans="1:19" x14ac:dyDescent="0.25">
      <c r="A18" s="54">
        <v>17</v>
      </c>
      <c r="B18" s="1" t="s">
        <v>176</v>
      </c>
      <c r="D18" s="205" t="s">
        <v>51</v>
      </c>
      <c r="E18" s="205">
        <v>20</v>
      </c>
      <c r="F18" s="205">
        <v>1</v>
      </c>
      <c r="G18" s="205">
        <v>0</v>
      </c>
      <c r="H18" s="205">
        <v>0</v>
      </c>
      <c r="I18" s="205">
        <v>1</v>
      </c>
      <c r="J18" s="205">
        <v>2</v>
      </c>
      <c r="K18" s="205">
        <v>0</v>
      </c>
      <c r="L18" s="205">
        <v>4</v>
      </c>
      <c r="M18" s="205">
        <v>8</v>
      </c>
      <c r="N18" s="205">
        <v>-4</v>
      </c>
      <c r="O18" s="161" t="str">
        <f t="shared" si="0"/>
        <v>20 OZ , 2 (1+1), -4 ±</v>
      </c>
      <c r="P18" s="5" t="str">
        <f t="shared" si="1"/>
        <v>ANO</v>
      </c>
    </row>
    <row r="19" spans="1:19" x14ac:dyDescent="0.25">
      <c r="A19" s="54">
        <v>18</v>
      </c>
      <c r="B19" s="1" t="s">
        <v>175</v>
      </c>
      <c r="D19" s="205" t="s">
        <v>48</v>
      </c>
      <c r="E19" s="205">
        <v>6</v>
      </c>
      <c r="F19" s="205">
        <v>0</v>
      </c>
      <c r="G19" s="205">
        <v>0</v>
      </c>
      <c r="H19" s="205">
        <v>0</v>
      </c>
      <c r="I19" s="205">
        <v>2</v>
      </c>
      <c r="J19" s="205">
        <v>2</v>
      </c>
      <c r="K19" s="205">
        <v>4</v>
      </c>
      <c r="L19" s="205">
        <v>11</v>
      </c>
      <c r="M19" s="205">
        <v>6</v>
      </c>
      <c r="N19" s="205">
        <v>5</v>
      </c>
      <c r="O19" s="161" t="str">
        <f t="shared" si="0"/>
        <v>6 OZ , 2 (0+2), +5 ±</v>
      </c>
      <c r="P19" s="5" t="str">
        <f t="shared" si="1"/>
        <v>ANO</v>
      </c>
    </row>
    <row r="20" spans="1:19" x14ac:dyDescent="0.25">
      <c r="A20" s="54">
        <v>19</v>
      </c>
      <c r="B20" s="1" t="s">
        <v>179</v>
      </c>
      <c r="D20" s="205" t="s">
        <v>51</v>
      </c>
      <c r="E20" s="205">
        <v>7</v>
      </c>
      <c r="F20" s="205">
        <v>0</v>
      </c>
      <c r="G20" s="205">
        <v>0</v>
      </c>
      <c r="H20" s="205">
        <v>0</v>
      </c>
      <c r="I20" s="205">
        <v>1</v>
      </c>
      <c r="J20" s="205">
        <v>1</v>
      </c>
      <c r="K20" s="205">
        <v>0</v>
      </c>
      <c r="L20" s="205">
        <v>2</v>
      </c>
      <c r="M20" s="205">
        <v>1</v>
      </c>
      <c r="N20" s="205">
        <v>1</v>
      </c>
      <c r="O20" s="161" t="str">
        <f t="shared" si="0"/>
        <v>7 OZ , 1 (0+1), +1 ±</v>
      </c>
      <c r="P20" s="5" t="str">
        <f t="shared" si="1"/>
        <v>ANO</v>
      </c>
    </row>
    <row r="21" spans="1:19" x14ac:dyDescent="0.25">
      <c r="A21" s="54">
        <v>20</v>
      </c>
      <c r="B21" s="1" t="s">
        <v>186</v>
      </c>
      <c r="D21" s="205"/>
      <c r="E21" s="205">
        <v>0</v>
      </c>
      <c r="F21" s="205">
        <v>0</v>
      </c>
      <c r="G21" s="205">
        <v>0</v>
      </c>
      <c r="H21" s="205">
        <v>0</v>
      </c>
      <c r="I21" s="205">
        <v>1</v>
      </c>
      <c r="J21" s="205">
        <v>1</v>
      </c>
      <c r="K21" s="205">
        <v>0</v>
      </c>
      <c r="L21" s="205">
        <v>0</v>
      </c>
      <c r="M21" s="205">
        <v>0</v>
      </c>
      <c r="N21" s="205">
        <v>0</v>
      </c>
      <c r="O21" s="161" t="str">
        <f t="shared" si="0"/>
        <v>0 OZ , 1 (0+1), 0 ±</v>
      </c>
      <c r="P21" s="5" t="str">
        <f t="shared" si="1"/>
        <v>ANO</v>
      </c>
    </row>
    <row r="22" spans="1:19" x14ac:dyDescent="0.25">
      <c r="A22" s="54">
        <v>21</v>
      </c>
      <c r="B22" s="1" t="s">
        <v>177</v>
      </c>
      <c r="D22" s="205" t="s">
        <v>51</v>
      </c>
      <c r="E22" s="205">
        <v>2</v>
      </c>
      <c r="F22" s="205">
        <v>0</v>
      </c>
      <c r="G22" s="205">
        <v>0</v>
      </c>
      <c r="H22" s="205">
        <v>0</v>
      </c>
      <c r="I22" s="205">
        <v>0</v>
      </c>
      <c r="J22" s="205">
        <v>0</v>
      </c>
      <c r="K22" s="205">
        <v>0</v>
      </c>
      <c r="L22" s="205">
        <v>0</v>
      </c>
      <c r="M22" s="205">
        <v>2</v>
      </c>
      <c r="N22" s="205">
        <v>-2</v>
      </c>
      <c r="O22" s="161" t="str">
        <f t="shared" si="0"/>
        <v>2 OZ , 0 (0+0), -2 ±</v>
      </c>
      <c r="P22" s="5" t="str">
        <f t="shared" si="1"/>
        <v>ANO</v>
      </c>
    </row>
    <row r="23" spans="1:19" x14ac:dyDescent="0.25">
      <c r="A23" s="54">
        <v>22</v>
      </c>
      <c r="B23" s="1" t="s">
        <v>178</v>
      </c>
      <c r="D23" s="205" t="s">
        <v>35</v>
      </c>
      <c r="E23" s="205">
        <v>0</v>
      </c>
      <c r="F23" s="205">
        <v>0</v>
      </c>
      <c r="G23" s="205">
        <v>0</v>
      </c>
      <c r="H23" s="205">
        <v>0</v>
      </c>
      <c r="I23" s="205">
        <v>0</v>
      </c>
      <c r="J23" s="205">
        <v>0</v>
      </c>
      <c r="K23" s="205">
        <v>0</v>
      </c>
      <c r="L23" s="205">
        <v>0</v>
      </c>
      <c r="M23" s="205">
        <v>0</v>
      </c>
      <c r="N23" s="205">
        <v>0</v>
      </c>
      <c r="O23" s="161" t="str">
        <f t="shared" si="0"/>
        <v>0 OZ , 0 (0+0), 0 ±</v>
      </c>
      <c r="P23" s="5" t="str">
        <f t="shared" si="1"/>
        <v>ANO</v>
      </c>
    </row>
    <row r="24" spans="1:19" x14ac:dyDescent="0.25">
      <c r="A24" s="53">
        <v>23</v>
      </c>
      <c r="B24" s="4" t="s">
        <v>181</v>
      </c>
      <c r="C24" s="4"/>
      <c r="D24" s="5"/>
      <c r="E24" s="5">
        <v>4</v>
      </c>
      <c r="F24" s="5">
        <v>0</v>
      </c>
      <c r="G24" s="5">
        <v>0</v>
      </c>
      <c r="H24" s="5">
        <v>0</v>
      </c>
      <c r="I24" s="5">
        <v>0</v>
      </c>
      <c r="J24" s="5">
        <v>0</v>
      </c>
      <c r="K24" s="5">
        <v>0</v>
      </c>
      <c r="L24" s="5">
        <v>1</v>
      </c>
      <c r="M24" s="5">
        <v>0</v>
      </c>
      <c r="N24" s="5">
        <v>1</v>
      </c>
      <c r="O24" s="161" t="str">
        <f t="shared" si="0"/>
        <v>4 OZ , 0 (0+0), +1 ±</v>
      </c>
      <c r="P24" s="5" t="str">
        <f t="shared" si="1"/>
        <v>ANO</v>
      </c>
    </row>
    <row r="25" spans="1:19" x14ac:dyDescent="0.25">
      <c r="A25" s="53">
        <v>24</v>
      </c>
      <c r="B25" s="4" t="s">
        <v>184</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182</v>
      </c>
      <c r="C26" s="4"/>
      <c r="D26" s="5"/>
      <c r="E26" s="5">
        <v>7</v>
      </c>
      <c r="F26" s="5">
        <v>0</v>
      </c>
      <c r="G26" s="5">
        <v>0</v>
      </c>
      <c r="H26" s="5">
        <v>0</v>
      </c>
      <c r="I26" s="5">
        <v>0</v>
      </c>
      <c r="J26" s="5">
        <v>0</v>
      </c>
      <c r="K26" s="5">
        <v>0</v>
      </c>
      <c r="L26" s="5">
        <v>0</v>
      </c>
      <c r="M26" s="5">
        <v>0</v>
      </c>
      <c r="N26" s="5">
        <v>0</v>
      </c>
      <c r="O26" s="161" t="str">
        <f t="shared" si="0"/>
        <v>7 OZ , 0 (0+0), 0 ±</v>
      </c>
      <c r="P26" s="5" t="str">
        <f t="shared" si="1"/>
        <v>ANO</v>
      </c>
    </row>
    <row r="27" spans="1:19" x14ac:dyDescent="0.25">
      <c r="A27" s="53">
        <v>26</v>
      </c>
      <c r="B27" s="4" t="s">
        <v>183</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185</v>
      </c>
      <c r="C28" s="4"/>
      <c r="D28" s="5" t="s">
        <v>51</v>
      </c>
      <c r="E28" s="5">
        <v>20</v>
      </c>
      <c r="F28" s="5">
        <v>0</v>
      </c>
      <c r="G28" s="5">
        <v>0</v>
      </c>
      <c r="H28" s="5">
        <v>0</v>
      </c>
      <c r="I28" s="5">
        <v>0</v>
      </c>
      <c r="J28" s="5">
        <v>0</v>
      </c>
      <c r="K28" s="5">
        <v>8</v>
      </c>
      <c r="L28" s="5">
        <v>19</v>
      </c>
      <c r="M28" s="5">
        <v>17</v>
      </c>
      <c r="N28" s="5">
        <v>2</v>
      </c>
      <c r="O28" s="161" t="str">
        <f t="shared" si="0"/>
        <v>20 OZ , 0 (0+0), +2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13</v>
      </c>
      <c r="E40" s="190">
        <v>8</v>
      </c>
      <c r="F40" s="190">
        <v>448.1</v>
      </c>
      <c r="G40" s="190">
        <v>5</v>
      </c>
      <c r="H40" s="190">
        <v>44</v>
      </c>
      <c r="I40" s="190">
        <v>0</v>
      </c>
      <c r="J40" s="190">
        <v>194</v>
      </c>
      <c r="K40" s="190">
        <v>0</v>
      </c>
      <c r="L40" s="190">
        <v>3</v>
      </c>
      <c r="M40" s="190">
        <v>150</v>
      </c>
      <c r="N40" s="190">
        <v>0</v>
      </c>
      <c r="O40" s="190">
        <v>0</v>
      </c>
      <c r="P40" s="11">
        <f t="shared" ref="P40:P45" si="2">IF(B40&lt;&gt;0,IFERROR(H40/(F40/60),0),"")</f>
        <v>5.8915420665030123</v>
      </c>
      <c r="Q40" s="11">
        <f t="shared" ref="Q40:Q45" si="3">IF(B40&lt;&gt;0,IFERROR((M40/J40)*100,0),"")</f>
        <v>77.319587628865989</v>
      </c>
      <c r="R40" s="112" t="str">
        <f t="shared" ref="R40:R45" si="4">IF(B40&lt;&gt;0,CONCATENATE(G40, " V, ",L40," P"),"")</f>
        <v>5 V, 3 P</v>
      </c>
    </row>
    <row r="41" spans="1:27" x14ac:dyDescent="0.25">
      <c r="A41" s="54">
        <v>3</v>
      </c>
      <c r="B41" t="s">
        <v>186</v>
      </c>
      <c r="C41"/>
      <c r="D41" s="190">
        <v>20</v>
      </c>
      <c r="E41" s="190">
        <v>7</v>
      </c>
      <c r="F41" s="190">
        <v>417.77</v>
      </c>
      <c r="G41" s="190">
        <v>5</v>
      </c>
      <c r="H41" s="190">
        <v>41</v>
      </c>
      <c r="I41" s="190">
        <v>0</v>
      </c>
      <c r="J41" s="190">
        <v>158</v>
      </c>
      <c r="K41" s="190">
        <v>0</v>
      </c>
      <c r="L41" s="190">
        <v>2</v>
      </c>
      <c r="M41" s="190">
        <v>117</v>
      </c>
      <c r="N41" s="190">
        <v>1</v>
      </c>
      <c r="O41" s="190">
        <v>0</v>
      </c>
      <c r="P41" s="11">
        <f t="shared" si="2"/>
        <v>5.8884074969480817</v>
      </c>
      <c r="Q41" s="11">
        <f t="shared" si="3"/>
        <v>74.050632911392398</v>
      </c>
      <c r="R41" s="112" t="str">
        <f t="shared" si="4"/>
        <v>5 V, 2 P</v>
      </c>
    </row>
    <row r="42" spans="1:27" x14ac:dyDescent="0.25">
      <c r="A42" s="54">
        <v>4</v>
      </c>
      <c r="B42" t="s">
        <v>178</v>
      </c>
      <c r="C42"/>
      <c r="D42" s="190">
        <v>3</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1" t="s">
        <v>290</v>
      </c>
      <c r="Y46" s="381"/>
      <c r="Z46" s="381"/>
      <c r="AA46" s="381"/>
    </row>
    <row r="47" spans="1:27" s="2" customFormat="1" ht="15" customHeight="1" x14ac:dyDescent="0.25">
      <c r="A47" s="7">
        <f ca="1">TODAY()</f>
        <v>44244</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110" t="s">
        <v>289</v>
      </c>
      <c r="Y47" s="110" t="s">
        <v>287</v>
      </c>
      <c r="Z47" s="110" t="s">
        <v>288</v>
      </c>
      <c r="AA47" s="162" t="s">
        <v>478</v>
      </c>
    </row>
    <row r="48" spans="1:27" ht="15" customHeight="1" x14ac:dyDescent="0.25">
      <c r="B48" s="138" t="s">
        <v>167</v>
      </c>
      <c r="C48" s="137">
        <v>33927</v>
      </c>
      <c r="D48" s="112">
        <f t="shared" ref="D48:D74" ca="1" si="5">IF(C48 &lt;&gt; 0,ROUNDDOWN(($A$47-C48)/365.25,0),"")</f>
        <v>28</v>
      </c>
      <c r="E48" s="139">
        <v>182</v>
      </c>
      <c r="F48" s="139">
        <v>82</v>
      </c>
      <c r="G48" s="139">
        <v>72</v>
      </c>
      <c r="H48" s="112">
        <f t="shared" ref="H48:H74" si="6">IF(B48&lt;&gt;0,F48+G48,"")</f>
        <v>154</v>
      </c>
      <c r="I48" s="139">
        <v>10</v>
      </c>
      <c r="J48" s="139">
        <v>65</v>
      </c>
      <c r="K48" s="139"/>
      <c r="L48" s="139" t="s">
        <v>41</v>
      </c>
      <c r="M48" s="139">
        <v>195</v>
      </c>
      <c r="N48" s="139">
        <v>86</v>
      </c>
      <c r="O48" s="119" t="str">
        <f t="shared" ref="O48:O74" si="7">IF(B48&lt;&gt;0,CONCATENATE(E48+IFERROR(VLOOKUP(B48,$B$2:$N$36,4,FALSE),0) + X48, " OZ, ", H48+IFERROR(VLOOKUP(B48,$B$2:$N$36,9,FALSE),0) + Y48+Z48, " (", F48+IFERROR(VLOOKUP(B48,$B$2:$N$36,5,FALSE),0) + Y48, "+",G48+IFERROR(VLOOKUP(B48,$B$2:$N$36,8,FALSE),0) +  Z48, ")"), "")</f>
        <v>203 OZ, 169 (87+82)</v>
      </c>
      <c r="P48" s="112" t="str">
        <f t="shared" ref="P48:P74" si="8">IF(M48&lt;&gt;0,CONCATENATE(M48,"/",N48),"")</f>
        <v>195/86</v>
      </c>
      <c r="Q48" s="140" t="s">
        <v>208</v>
      </c>
      <c r="R48" s="139">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7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41 OZ, 19 (13+6)</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0 (0+0)</v>
      </c>
      <c r="P52" s="112" t="str">
        <f t="shared" si="8"/>
        <v>198/98</v>
      </c>
      <c r="Q52" s="140" t="s">
        <v>202</v>
      </c>
      <c r="R52" s="139">
        <v>2009</v>
      </c>
      <c r="S52" s="112" t="str">
        <f t="shared" si="9"/>
        <v>8 OZ, 0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17</v>
      </c>
      <c r="E53" s="139">
        <v>0</v>
      </c>
      <c r="F53" s="139">
        <v>0</v>
      </c>
      <c r="G53" s="139">
        <v>0</v>
      </c>
      <c r="H53" s="112">
        <f t="shared" si="6"/>
        <v>0</v>
      </c>
      <c r="I53" s="139">
        <v>1</v>
      </c>
      <c r="J53" s="139">
        <v>93</v>
      </c>
      <c r="K53" s="139"/>
      <c r="L53" s="139" t="s">
        <v>78</v>
      </c>
      <c r="M53" s="139">
        <v>175</v>
      </c>
      <c r="N53" s="139">
        <v>67</v>
      </c>
      <c r="O53" s="119" t="str">
        <f t="shared" si="7"/>
        <v>18 OZ, 6 (2+4)</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177</v>
      </c>
      <c r="C54" s="137">
        <v>35401</v>
      </c>
      <c r="D54" s="112">
        <f t="shared" ca="1" si="5"/>
        <v>24</v>
      </c>
      <c r="E54" s="139">
        <v>146</v>
      </c>
      <c r="F54" s="139">
        <v>34</v>
      </c>
      <c r="G54" s="139">
        <v>21</v>
      </c>
      <c r="H54" s="112">
        <f t="shared" si="6"/>
        <v>55</v>
      </c>
      <c r="I54" s="139">
        <v>8</v>
      </c>
      <c r="J54" s="139">
        <v>12</v>
      </c>
      <c r="K54" s="139"/>
      <c r="L54" s="139" t="s">
        <v>78</v>
      </c>
      <c r="M54" s="139">
        <v>183</v>
      </c>
      <c r="N54" s="139">
        <v>88</v>
      </c>
      <c r="O54" s="119" t="str">
        <f t="shared" si="7"/>
        <v>148 OZ, 55 (34+21)</v>
      </c>
      <c r="P54" s="112" t="str">
        <f t="shared" si="8"/>
        <v>183/88</v>
      </c>
      <c r="Q54" s="140" t="s">
        <v>206</v>
      </c>
      <c r="R54" s="139">
        <v>2007</v>
      </c>
      <c r="S54" s="112" t="str">
        <f t="shared" si="9"/>
        <v/>
      </c>
      <c r="T54" s="1" t="str">
        <f t="shared" si="10"/>
        <v>Kašovský</v>
      </c>
      <c r="U54" s="1" t="str">
        <f t="shared" si="11"/>
        <v>Kašovský</v>
      </c>
      <c r="V54" s="112">
        <f t="shared" si="12"/>
        <v>1</v>
      </c>
      <c r="W54" s="112" t="str">
        <f t="shared" si="13"/>
        <v>D</v>
      </c>
      <c r="X54" s="139"/>
      <c r="Y54" s="139"/>
      <c r="Z54" s="139"/>
      <c r="AA54" s="138"/>
    </row>
    <row r="55" spans="2:27" ht="15" customHeight="1" x14ac:dyDescent="0.25">
      <c r="B55" s="138" t="s">
        <v>166</v>
      </c>
      <c r="C55" s="137">
        <v>33793</v>
      </c>
      <c r="D55" s="112">
        <f t="shared" ca="1" si="5"/>
        <v>28</v>
      </c>
      <c r="E55" s="139">
        <v>184</v>
      </c>
      <c r="F55" s="139">
        <v>116</v>
      </c>
      <c r="G55" s="139">
        <v>82</v>
      </c>
      <c r="H55" s="112">
        <f t="shared" si="6"/>
        <v>198</v>
      </c>
      <c r="I55" s="139">
        <v>11</v>
      </c>
      <c r="J55" s="139">
        <v>87</v>
      </c>
      <c r="K55" s="139"/>
      <c r="L55" s="139" t="s">
        <v>78</v>
      </c>
      <c r="M55" s="139">
        <v>176</v>
      </c>
      <c r="N55" s="139">
        <v>73</v>
      </c>
      <c r="O55" s="119" t="str">
        <f t="shared" si="7"/>
        <v>205 OZ, 210 (121+89)</v>
      </c>
      <c r="P55" s="112" t="str">
        <f t="shared" si="8"/>
        <v>176/73</v>
      </c>
      <c r="Q55" s="140" t="s">
        <v>27</v>
      </c>
      <c r="R55" s="139">
        <v>2004</v>
      </c>
      <c r="S55" s="112" t="str">
        <f t="shared" si="9"/>
        <v/>
      </c>
      <c r="T55" s="1" t="str">
        <f t="shared" si="10"/>
        <v>Koutný J.</v>
      </c>
      <c r="U55" s="1" t="str">
        <f t="shared" si="11"/>
        <v>Koutný</v>
      </c>
      <c r="V55" s="112">
        <f t="shared" si="12"/>
        <v>2</v>
      </c>
      <c r="W55" s="112" t="str">
        <f t="shared" si="13"/>
        <v>J</v>
      </c>
      <c r="X55" s="139"/>
      <c r="Y55" s="139"/>
      <c r="Z55" s="139"/>
      <c r="AA55" s="138"/>
    </row>
    <row r="56" spans="2:27" ht="15" customHeight="1" x14ac:dyDescent="0.25">
      <c r="B56" s="138" t="s">
        <v>174</v>
      </c>
      <c r="C56" s="137">
        <v>31507</v>
      </c>
      <c r="D56" s="112">
        <f t="shared" ca="1" si="5"/>
        <v>34</v>
      </c>
      <c r="E56" s="139">
        <v>253</v>
      </c>
      <c r="F56" s="139">
        <v>177</v>
      </c>
      <c r="G56" s="139">
        <v>132</v>
      </c>
      <c r="H56" s="112">
        <f t="shared" si="6"/>
        <v>309</v>
      </c>
      <c r="I56" s="139">
        <v>15</v>
      </c>
      <c r="J56" s="139">
        <v>32</v>
      </c>
      <c r="K56" s="139" t="s">
        <v>222</v>
      </c>
      <c r="L56" s="139" t="s">
        <v>78</v>
      </c>
      <c r="M56" s="139">
        <v>186</v>
      </c>
      <c r="N56" s="139">
        <v>84</v>
      </c>
      <c r="O56" s="119" t="str">
        <f t="shared" si="7"/>
        <v>272 OZ, 313 (179+134)</v>
      </c>
      <c r="P56" s="112" t="str">
        <f t="shared" si="8"/>
        <v>186/84</v>
      </c>
      <c r="Q56" s="140" t="s">
        <v>216</v>
      </c>
      <c r="R56" s="139">
        <v>2000</v>
      </c>
      <c r="S56" s="112" t="str">
        <f t="shared" si="9"/>
        <v/>
      </c>
      <c r="T56" s="1" t="str">
        <f t="shared" si="10"/>
        <v>Koutný M.</v>
      </c>
      <c r="U56" s="1" t="str">
        <f t="shared" si="11"/>
        <v>Koutný</v>
      </c>
      <c r="V56" s="112">
        <f t="shared" si="12"/>
        <v>2</v>
      </c>
      <c r="W56" s="112" t="str">
        <f t="shared" si="13"/>
        <v>M</v>
      </c>
      <c r="X56" s="139"/>
      <c r="Y56" s="139"/>
      <c r="Z56" s="139"/>
      <c r="AA56" s="138"/>
    </row>
    <row r="57" spans="2:27" ht="15" customHeight="1" x14ac:dyDescent="0.25">
      <c r="B57" s="138" t="s">
        <v>181</v>
      </c>
      <c r="C57" s="137">
        <v>36770</v>
      </c>
      <c r="D57" s="112">
        <f t="shared" ca="1" si="5"/>
        <v>20</v>
      </c>
      <c r="E57" s="139">
        <v>6</v>
      </c>
      <c r="F57" s="139">
        <v>0</v>
      </c>
      <c r="G57" s="139">
        <v>0</v>
      </c>
      <c r="H57" s="112">
        <f t="shared" si="6"/>
        <v>0</v>
      </c>
      <c r="I57" s="139">
        <v>3</v>
      </c>
      <c r="J57" s="139">
        <v>88</v>
      </c>
      <c r="K57" s="139"/>
      <c r="L57" s="139" t="s">
        <v>78</v>
      </c>
      <c r="M57" s="139">
        <v>177</v>
      </c>
      <c r="N57" s="139">
        <v>75</v>
      </c>
      <c r="O57" s="119" t="str">
        <f t="shared" si="7"/>
        <v>10 OZ, 0 (0+0)</v>
      </c>
      <c r="P57" s="112" t="str">
        <f t="shared" si="8"/>
        <v>177/75</v>
      </c>
      <c r="Q57" s="140" t="s">
        <v>218</v>
      </c>
      <c r="R57" s="139">
        <v>2009</v>
      </c>
      <c r="S57" s="112" t="str">
        <f t="shared" si="9"/>
        <v/>
      </c>
      <c r="T57" s="1" t="str">
        <f t="shared" si="10"/>
        <v>Lebeda</v>
      </c>
      <c r="U57" s="1" t="str">
        <f t="shared" si="11"/>
        <v>Lebeda</v>
      </c>
      <c r="V57" s="112">
        <f t="shared" si="12"/>
        <v>1</v>
      </c>
      <c r="W57" s="112" t="str">
        <f t="shared" si="13"/>
        <v>J</v>
      </c>
      <c r="X57" s="139"/>
      <c r="Y57" s="139"/>
      <c r="Z57" s="139"/>
      <c r="AA57" s="138"/>
    </row>
    <row r="58" spans="2:27" ht="15" customHeight="1" x14ac:dyDescent="0.25">
      <c r="B58" s="141" t="s">
        <v>163</v>
      </c>
      <c r="C58" s="137">
        <v>37610</v>
      </c>
      <c r="D58" s="112">
        <f t="shared" ca="1" si="5"/>
        <v>18</v>
      </c>
      <c r="E58" s="139">
        <v>15</v>
      </c>
      <c r="F58" s="139">
        <v>7</v>
      </c>
      <c r="G58" s="139">
        <v>8</v>
      </c>
      <c r="H58" s="112">
        <f t="shared" si="6"/>
        <v>15</v>
      </c>
      <c r="I58" s="139">
        <v>2</v>
      </c>
      <c r="J58" s="139">
        <v>84</v>
      </c>
      <c r="K58" s="139"/>
      <c r="L58" s="139" t="s">
        <v>41</v>
      </c>
      <c r="M58" s="139">
        <v>183</v>
      </c>
      <c r="N58" s="139">
        <v>72</v>
      </c>
      <c r="O58" s="119" t="str">
        <f t="shared" si="7"/>
        <v>35 OZ, 48 (30+18)</v>
      </c>
      <c r="P58" s="112" t="str">
        <f t="shared" si="8"/>
        <v>183/72</v>
      </c>
      <c r="Q58" s="140" t="s">
        <v>214</v>
      </c>
      <c r="R58" s="139">
        <v>2009</v>
      </c>
      <c r="S58" s="112" t="str">
        <f t="shared" si="9"/>
        <v/>
      </c>
      <c r="T58" s="1" t="str">
        <f t="shared" si="10"/>
        <v>Majer</v>
      </c>
      <c r="U58" s="1" t="str">
        <f t="shared" si="11"/>
        <v>Majer</v>
      </c>
      <c r="V58" s="112">
        <f t="shared" si="12"/>
        <v>1</v>
      </c>
      <c r="W58" s="112" t="str">
        <f t="shared" si="13"/>
        <v>P</v>
      </c>
      <c r="X58" s="139"/>
      <c r="Y58" s="139"/>
      <c r="Z58" s="139"/>
      <c r="AA58" s="138"/>
    </row>
    <row r="59" spans="2:27" ht="15" customHeight="1" x14ac:dyDescent="0.25">
      <c r="B59" s="138" t="s">
        <v>170</v>
      </c>
      <c r="C59" s="137">
        <v>36184</v>
      </c>
      <c r="D59" s="112">
        <f t="shared" ca="1" si="5"/>
        <v>22</v>
      </c>
      <c r="E59" s="139">
        <v>78</v>
      </c>
      <c r="F59" s="139">
        <v>31</v>
      </c>
      <c r="G59" s="139">
        <v>11</v>
      </c>
      <c r="H59" s="112">
        <f t="shared" si="6"/>
        <v>42</v>
      </c>
      <c r="I59" s="139">
        <v>5</v>
      </c>
      <c r="J59" s="139">
        <v>4</v>
      </c>
      <c r="K59" s="139"/>
      <c r="L59" s="139" t="s">
        <v>78</v>
      </c>
      <c r="M59" s="139">
        <v>184</v>
      </c>
      <c r="N59" s="139">
        <v>78</v>
      </c>
      <c r="O59" s="119" t="str">
        <f t="shared" si="7"/>
        <v>94 OZ, 53 (36+17)</v>
      </c>
      <c r="P59" s="112" t="str">
        <f t="shared" si="8"/>
        <v>184/78</v>
      </c>
      <c r="Q59" s="140" t="s">
        <v>204</v>
      </c>
      <c r="R59" s="139">
        <v>2008</v>
      </c>
      <c r="S59" s="112" t="str">
        <f t="shared" si="9"/>
        <v/>
      </c>
      <c r="T59" s="1" t="str">
        <f t="shared" si="10"/>
        <v>Maxa</v>
      </c>
      <c r="U59" s="1" t="str">
        <f t="shared" si="11"/>
        <v>Maxa</v>
      </c>
      <c r="V59" s="112">
        <f t="shared" si="12"/>
        <v>1</v>
      </c>
      <c r="W59" s="112" t="str">
        <f t="shared" si="13"/>
        <v>D</v>
      </c>
      <c r="X59" s="139"/>
      <c r="Y59" s="139"/>
      <c r="Z59" s="139"/>
      <c r="AA59" s="138"/>
    </row>
    <row r="60" spans="2:27" ht="15" customHeight="1" x14ac:dyDescent="0.25">
      <c r="B60" s="141" t="s">
        <v>162</v>
      </c>
      <c r="C60" s="137">
        <v>32867</v>
      </c>
      <c r="D60" s="112">
        <f t="shared" ca="1" si="5"/>
        <v>31</v>
      </c>
      <c r="E60" s="139">
        <v>208</v>
      </c>
      <c r="F60" s="139">
        <v>125</v>
      </c>
      <c r="G60" s="139">
        <v>127</v>
      </c>
      <c r="H60" s="112">
        <f t="shared" si="6"/>
        <v>252</v>
      </c>
      <c r="I60" s="139">
        <v>12</v>
      </c>
      <c r="J60" s="139">
        <v>9</v>
      </c>
      <c r="K60" s="139"/>
      <c r="L60" s="139" t="s">
        <v>78</v>
      </c>
      <c r="M60" s="139">
        <v>182</v>
      </c>
      <c r="N60" s="139">
        <v>82</v>
      </c>
      <c r="O60" s="119" t="str">
        <f t="shared" si="7"/>
        <v>228 OZ, 275 (139+136)</v>
      </c>
      <c r="P60" s="112" t="str">
        <f t="shared" si="8"/>
        <v>182/82</v>
      </c>
      <c r="Q60" s="140" t="s">
        <v>212</v>
      </c>
      <c r="R60" s="139">
        <v>2004</v>
      </c>
      <c r="S60" s="112" t="str">
        <f t="shared" si="9"/>
        <v/>
      </c>
      <c r="T60" s="1" t="str">
        <f t="shared" si="10"/>
        <v>Mikeš</v>
      </c>
      <c r="U60" s="1" t="str">
        <f t="shared" si="11"/>
        <v>Mikeš</v>
      </c>
      <c r="V60" s="112">
        <f t="shared" si="12"/>
        <v>1</v>
      </c>
      <c r="W60" s="112" t="str">
        <f t="shared" si="13"/>
        <v>O</v>
      </c>
      <c r="X60" s="139"/>
      <c r="Y60" s="139"/>
      <c r="Z60" s="139"/>
      <c r="AA60" s="138"/>
    </row>
    <row r="61" spans="2:27" ht="15" customHeight="1" x14ac:dyDescent="0.25">
      <c r="B61" s="141" t="s">
        <v>161</v>
      </c>
      <c r="C61" s="137">
        <v>33775</v>
      </c>
      <c r="D61" s="112">
        <f t="shared" ca="1" si="5"/>
        <v>28</v>
      </c>
      <c r="E61" s="139">
        <v>214</v>
      </c>
      <c r="F61" s="139">
        <v>295</v>
      </c>
      <c r="G61" s="139">
        <v>183</v>
      </c>
      <c r="H61" s="112">
        <f t="shared" si="6"/>
        <v>478</v>
      </c>
      <c r="I61" s="139">
        <v>12</v>
      </c>
      <c r="J61" s="139">
        <v>25</v>
      </c>
      <c r="K61" s="139"/>
      <c r="L61" s="139" t="s">
        <v>41</v>
      </c>
      <c r="M61" s="139">
        <v>186</v>
      </c>
      <c r="N61" s="139">
        <v>82</v>
      </c>
      <c r="O61" s="119" t="str">
        <f t="shared" si="7"/>
        <v>235 OZ, 514 (316+198)</v>
      </c>
      <c r="P61" s="112" t="str">
        <f t="shared" si="8"/>
        <v>186/82</v>
      </c>
      <c r="Q61" s="140" t="s">
        <v>215</v>
      </c>
      <c r="R61" s="139">
        <v>1999</v>
      </c>
      <c r="S61" s="112" t="str">
        <f t="shared" si="9"/>
        <v/>
      </c>
      <c r="T61" s="1" t="str">
        <f t="shared" si="10"/>
        <v>Ondrušek</v>
      </c>
      <c r="U61" s="1" t="str">
        <f t="shared" si="11"/>
        <v>Ondrušek</v>
      </c>
      <c r="V61" s="112">
        <f t="shared" si="12"/>
        <v>1</v>
      </c>
      <c r="W61" s="112" t="str">
        <f t="shared" si="13"/>
        <v>T</v>
      </c>
      <c r="X61" s="139"/>
      <c r="Y61" s="139"/>
      <c r="Z61" s="139"/>
      <c r="AA61" s="138"/>
    </row>
    <row r="62" spans="2:27" ht="15" customHeight="1" x14ac:dyDescent="0.25">
      <c r="B62" s="138" t="s">
        <v>179</v>
      </c>
      <c r="C62" s="137"/>
      <c r="D62" s="112" t="str">
        <f t="shared" si="5"/>
        <v/>
      </c>
      <c r="E62" s="139">
        <v>3</v>
      </c>
      <c r="F62" s="139">
        <v>0</v>
      </c>
      <c r="G62" s="139">
        <v>0</v>
      </c>
      <c r="H62" s="112">
        <f t="shared" si="6"/>
        <v>0</v>
      </c>
      <c r="I62" s="139"/>
      <c r="J62" s="139">
        <v>98</v>
      </c>
      <c r="K62" s="139"/>
      <c r="L62" s="139" t="s">
        <v>79</v>
      </c>
      <c r="M62" s="139"/>
      <c r="N62" s="139"/>
      <c r="O62" s="119" t="str">
        <f t="shared" si="7"/>
        <v>10 OZ, 1 (0+1)</v>
      </c>
      <c r="P62" s="112" t="str">
        <f t="shared" si="8"/>
        <v/>
      </c>
      <c r="Q62" s="140"/>
      <c r="R62" s="139"/>
      <c r="S62" s="112" t="str">
        <f t="shared" si="9"/>
        <v/>
      </c>
      <c r="T62" s="1" t="str">
        <f t="shared" si="10"/>
        <v>Pergler I.</v>
      </c>
      <c r="U62" s="1" t="str">
        <f t="shared" si="11"/>
        <v>Pergler</v>
      </c>
      <c r="V62" s="112">
        <f t="shared" si="12"/>
        <v>2</v>
      </c>
      <c r="W62" s="112" t="str">
        <f t="shared" si="13"/>
        <v>I</v>
      </c>
      <c r="X62" s="139"/>
      <c r="Y62" s="139"/>
      <c r="Z62" s="139"/>
      <c r="AA62" s="138"/>
    </row>
    <row r="63" spans="2:27" ht="15" customHeight="1" x14ac:dyDescent="0.25">
      <c r="B63" s="138" t="s">
        <v>178</v>
      </c>
      <c r="C63" s="137"/>
      <c r="D63" s="112" t="str">
        <f t="shared" si="5"/>
        <v/>
      </c>
      <c r="E63" s="139"/>
      <c r="F63" s="139"/>
      <c r="G63" s="139"/>
      <c r="H63" s="112">
        <f t="shared" si="6"/>
        <v>0</v>
      </c>
      <c r="I63" s="139"/>
      <c r="J63" s="139"/>
      <c r="K63" s="139"/>
      <c r="L63" s="139" t="s">
        <v>30</v>
      </c>
      <c r="M63" s="139"/>
      <c r="N63" s="139"/>
      <c r="O63" s="119" t="str">
        <f t="shared" si="7"/>
        <v>0 OZ, 0 (0+0)</v>
      </c>
      <c r="P63" s="112" t="str">
        <f t="shared" si="8"/>
        <v/>
      </c>
      <c r="Q63" s="140"/>
      <c r="R63" s="139"/>
      <c r="S63" s="112" t="str">
        <f t="shared" si="9"/>
        <v>1 OZ, 0 A</v>
      </c>
      <c r="T63" s="1" t="str">
        <f t="shared" si="10"/>
        <v>Pergler K.</v>
      </c>
      <c r="U63" s="1" t="str">
        <f t="shared" si="11"/>
        <v>Pergler</v>
      </c>
      <c r="V63" s="112">
        <f t="shared" si="12"/>
        <v>2</v>
      </c>
      <c r="W63" s="112" t="str">
        <f t="shared" si="13"/>
        <v>K</v>
      </c>
      <c r="X63" s="139"/>
      <c r="Y63" s="139"/>
      <c r="Z63" s="139"/>
      <c r="AA63" s="138"/>
    </row>
    <row r="64" spans="2:27" ht="15" customHeight="1" x14ac:dyDescent="0.25">
      <c r="B64" s="138" t="s">
        <v>176</v>
      </c>
      <c r="C64" s="137">
        <v>35462</v>
      </c>
      <c r="D64" s="112">
        <f t="shared" ca="1" si="5"/>
        <v>24</v>
      </c>
      <c r="E64" s="139">
        <v>92</v>
      </c>
      <c r="F64" s="139">
        <v>29</v>
      </c>
      <c r="G64" s="139">
        <v>17</v>
      </c>
      <c r="H64" s="112">
        <f t="shared" si="6"/>
        <v>46</v>
      </c>
      <c r="I64" s="139">
        <v>7</v>
      </c>
      <c r="J64" s="139">
        <v>10</v>
      </c>
      <c r="K64" s="139"/>
      <c r="L64" s="139" t="s">
        <v>78</v>
      </c>
      <c r="M64" s="139">
        <v>172</v>
      </c>
      <c r="N64" s="139">
        <v>73</v>
      </c>
      <c r="O64" s="119" t="str">
        <f t="shared" si="7"/>
        <v>112 OZ, 48 (30+18)</v>
      </c>
      <c r="P64" s="112" t="str">
        <f t="shared" si="8"/>
        <v>172/73</v>
      </c>
      <c r="Q64" s="140" t="s">
        <v>213</v>
      </c>
      <c r="R64" s="139">
        <v>2006</v>
      </c>
      <c r="S64" s="112" t="str">
        <f t="shared" si="9"/>
        <v/>
      </c>
      <c r="T64" s="1" t="str">
        <f t="shared" si="10"/>
        <v>Plíhal</v>
      </c>
      <c r="U64" s="1" t="str">
        <f t="shared" si="11"/>
        <v>Plíhal</v>
      </c>
      <c r="V64" s="112">
        <f t="shared" si="12"/>
        <v>1</v>
      </c>
      <c r="W64" s="112" t="str">
        <f t="shared" si="13"/>
        <v>O</v>
      </c>
      <c r="X64" s="139"/>
      <c r="Y64" s="139"/>
      <c r="Z64" s="139"/>
      <c r="AA64" s="138"/>
    </row>
    <row r="65" spans="2:27" ht="15" customHeight="1" x14ac:dyDescent="0.25">
      <c r="B65" s="138" t="s">
        <v>165</v>
      </c>
      <c r="C65" s="137">
        <v>33065</v>
      </c>
      <c r="D65" s="112">
        <f t="shared" ca="1" si="5"/>
        <v>30</v>
      </c>
      <c r="E65" s="139">
        <v>198</v>
      </c>
      <c r="F65" s="139">
        <v>40</v>
      </c>
      <c r="G65" s="139">
        <v>99</v>
      </c>
      <c r="H65" s="112">
        <f t="shared" si="6"/>
        <v>139</v>
      </c>
      <c r="I65" s="139">
        <v>11</v>
      </c>
      <c r="J65" s="139">
        <v>95</v>
      </c>
      <c r="K65" s="139"/>
      <c r="L65" s="139" t="s">
        <v>41</v>
      </c>
      <c r="M65" s="139">
        <v>173</v>
      </c>
      <c r="N65" s="139">
        <v>82</v>
      </c>
      <c r="O65" s="119" t="str">
        <f t="shared" si="7"/>
        <v>218 OZ, 151 (44+107)</v>
      </c>
      <c r="P65" s="112" t="str">
        <f t="shared" si="8"/>
        <v>173/82</v>
      </c>
      <c r="Q65" s="140" t="s">
        <v>210</v>
      </c>
      <c r="R65" s="139">
        <v>1998</v>
      </c>
      <c r="S65" s="112" t="str">
        <f t="shared" si="9"/>
        <v/>
      </c>
      <c r="T65" s="1" t="str">
        <f t="shared" si="10"/>
        <v>Podhráský</v>
      </c>
      <c r="U65" s="1" t="str">
        <f t="shared" si="11"/>
        <v>Podhráský</v>
      </c>
      <c r="V65" s="112">
        <f t="shared" si="12"/>
        <v>1</v>
      </c>
      <c r="W65" s="112" t="str">
        <f t="shared" si="13"/>
        <v>M</v>
      </c>
      <c r="X65" s="139"/>
      <c r="Y65" s="139"/>
      <c r="Z65" s="139"/>
      <c r="AA65" s="138"/>
    </row>
    <row r="66" spans="2:27" ht="15" customHeight="1" x14ac:dyDescent="0.25">
      <c r="B66" s="138" t="s">
        <v>184</v>
      </c>
      <c r="C66" s="137">
        <v>31821</v>
      </c>
      <c r="D66" s="112">
        <f t="shared" ca="1" si="5"/>
        <v>34</v>
      </c>
      <c r="E66" s="139">
        <v>202</v>
      </c>
      <c r="F66" s="139">
        <v>0</v>
      </c>
      <c r="G66" s="139">
        <v>2</v>
      </c>
      <c r="H66" s="112">
        <f t="shared" si="6"/>
        <v>2</v>
      </c>
      <c r="I66" s="139">
        <v>15</v>
      </c>
      <c r="J66" s="139">
        <v>97</v>
      </c>
      <c r="K66" s="139"/>
      <c r="L66" s="139" t="s">
        <v>30</v>
      </c>
      <c r="M66" s="139">
        <v>183</v>
      </c>
      <c r="N66" s="139">
        <v>97</v>
      </c>
      <c r="O66" s="119" t="str">
        <f t="shared" si="7"/>
        <v>202 OZ, 2 (0+2)</v>
      </c>
      <c r="P66" s="112" t="str">
        <f t="shared" si="8"/>
        <v>183/97</v>
      </c>
      <c r="Q66" s="140" t="s">
        <v>210</v>
      </c>
      <c r="R66" s="139">
        <v>1997</v>
      </c>
      <c r="S66" s="112" t="str">
        <f t="shared" si="9"/>
        <v>208 OZ, 2 A</v>
      </c>
      <c r="T66" s="1" t="str">
        <f t="shared" si="10"/>
        <v>Rebro</v>
      </c>
      <c r="U66" s="1" t="str">
        <f t="shared" si="11"/>
        <v>Rebro</v>
      </c>
      <c r="V66" s="112">
        <f t="shared" si="12"/>
        <v>1</v>
      </c>
      <c r="W66" s="112" t="str">
        <f t="shared" si="13"/>
        <v>M</v>
      </c>
      <c r="X66" s="139"/>
      <c r="Y66" s="139"/>
      <c r="Z66" s="139"/>
      <c r="AA66" s="138"/>
    </row>
    <row r="67" spans="2:27" ht="15" customHeight="1" x14ac:dyDescent="0.25">
      <c r="B67" s="138" t="s">
        <v>171</v>
      </c>
      <c r="C67" s="137">
        <v>36539</v>
      </c>
      <c r="D67" s="112">
        <f t="shared" ca="1" si="5"/>
        <v>21</v>
      </c>
      <c r="E67" s="139">
        <v>69</v>
      </c>
      <c r="F67" s="139">
        <v>23</v>
      </c>
      <c r="G67" s="139">
        <v>20</v>
      </c>
      <c r="H67" s="112">
        <f t="shared" si="6"/>
        <v>43</v>
      </c>
      <c r="I67" s="139">
        <v>4</v>
      </c>
      <c r="J67" s="139">
        <v>27</v>
      </c>
      <c r="K67" s="139"/>
      <c r="L67" s="139" t="s">
        <v>41</v>
      </c>
      <c r="M67" s="139">
        <v>186</v>
      </c>
      <c r="N67" s="139">
        <v>90</v>
      </c>
      <c r="O67" s="119" t="str">
        <f t="shared" si="7"/>
        <v>89 OZ, 50 (25+25)</v>
      </c>
      <c r="P67" s="112" t="str">
        <f t="shared" si="8"/>
        <v>186/90</v>
      </c>
      <c r="Q67" s="140" t="s">
        <v>211</v>
      </c>
      <c r="R67" s="139">
        <v>2007</v>
      </c>
      <c r="S67" s="112" t="str">
        <f t="shared" si="9"/>
        <v/>
      </c>
      <c r="T67" s="1" t="str">
        <f t="shared" si="10"/>
        <v>Řezáč</v>
      </c>
      <c r="U67" s="1" t="str">
        <f t="shared" si="11"/>
        <v>Řezáč</v>
      </c>
      <c r="V67" s="112">
        <f t="shared" si="12"/>
        <v>1</v>
      </c>
      <c r="W67" s="112" t="str">
        <f t="shared" si="13"/>
        <v>M</v>
      </c>
      <c r="X67" s="139"/>
      <c r="Y67" s="139"/>
      <c r="Z67" s="139"/>
      <c r="AA67" s="138"/>
    </row>
    <row r="68" spans="2:27" ht="15" customHeight="1" x14ac:dyDescent="0.25">
      <c r="B68" s="138" t="s">
        <v>180</v>
      </c>
      <c r="C68" s="137"/>
      <c r="D68" s="112" t="str">
        <f t="shared" si="5"/>
        <v/>
      </c>
      <c r="E68" s="139"/>
      <c r="F68" s="139"/>
      <c r="G68" s="139"/>
      <c r="H68" s="112">
        <f t="shared" si="6"/>
        <v>0</v>
      </c>
      <c r="I68" s="139"/>
      <c r="J68" s="139"/>
      <c r="K68" s="139"/>
      <c r="L68" s="139"/>
      <c r="M68" s="139"/>
      <c r="N68" s="139"/>
      <c r="O68" s="119" t="str">
        <f t="shared" si="7"/>
        <v>7 OZ, 2 (2+0)</v>
      </c>
      <c r="P68" s="112" t="str">
        <f t="shared" si="8"/>
        <v/>
      </c>
      <c r="Q68" s="140"/>
      <c r="R68" s="139"/>
      <c r="S68" s="112" t="str">
        <f t="shared" si="9"/>
        <v/>
      </c>
      <c r="T68" s="1" t="str">
        <f t="shared" si="10"/>
        <v>Slunečko</v>
      </c>
      <c r="U68" s="1" t="str">
        <f t="shared" si="11"/>
        <v>Slunečko</v>
      </c>
      <c r="V68" s="112">
        <f t="shared" si="12"/>
        <v>1</v>
      </c>
      <c r="W68" s="112" t="str">
        <f t="shared" si="13"/>
        <v>R</v>
      </c>
      <c r="X68" s="139"/>
      <c r="Y68" s="139"/>
      <c r="Z68" s="139"/>
      <c r="AA68" s="138"/>
    </row>
    <row r="69" spans="2:27" ht="15" customHeight="1" x14ac:dyDescent="0.25">
      <c r="B69" s="138" t="s">
        <v>173</v>
      </c>
      <c r="C69" s="137">
        <v>36548</v>
      </c>
      <c r="D69" s="112">
        <f t="shared" ca="1" si="5"/>
        <v>21</v>
      </c>
      <c r="E69" s="139">
        <v>66</v>
      </c>
      <c r="F69" s="139">
        <v>2</v>
      </c>
      <c r="G69" s="139">
        <v>0</v>
      </c>
      <c r="H69" s="112">
        <f t="shared" si="6"/>
        <v>2</v>
      </c>
      <c r="I69" s="139">
        <v>4</v>
      </c>
      <c r="J69" s="139">
        <v>99</v>
      </c>
      <c r="K69" s="139"/>
      <c r="L69" s="139" t="s">
        <v>78</v>
      </c>
      <c r="M69" s="139">
        <v>182</v>
      </c>
      <c r="N69" s="139">
        <v>75</v>
      </c>
      <c r="O69" s="119" t="str">
        <f t="shared" si="7"/>
        <v>87 OZ, 6 (4+2)</v>
      </c>
      <c r="P69" s="112" t="str">
        <f t="shared" si="8"/>
        <v>182/75</v>
      </c>
      <c r="Q69" s="140" t="s">
        <v>211</v>
      </c>
      <c r="R69" s="139">
        <v>2007</v>
      </c>
      <c r="S69" s="112" t="str">
        <f t="shared" si="9"/>
        <v/>
      </c>
      <c r="T69" s="1" t="str">
        <f t="shared" si="10"/>
        <v>Strnad</v>
      </c>
      <c r="U69" s="1" t="str">
        <f t="shared" si="11"/>
        <v>Strnad</v>
      </c>
      <c r="V69" s="112">
        <f t="shared" si="12"/>
        <v>1</v>
      </c>
      <c r="W69" s="112" t="str">
        <f t="shared" si="13"/>
        <v>M</v>
      </c>
      <c r="X69" s="139"/>
      <c r="Y69" s="139"/>
      <c r="Z69" s="139"/>
      <c r="AA69" s="138"/>
    </row>
    <row r="70" spans="2:27" ht="15" customHeight="1" x14ac:dyDescent="0.25">
      <c r="B70" s="138" t="s">
        <v>164</v>
      </c>
      <c r="C70" s="137">
        <v>32329</v>
      </c>
      <c r="D70" s="112">
        <f t="shared" ca="1" si="5"/>
        <v>32</v>
      </c>
      <c r="E70" s="139">
        <v>204</v>
      </c>
      <c r="F70" s="139">
        <v>54</v>
      </c>
      <c r="G70" s="139">
        <v>138</v>
      </c>
      <c r="H70" s="112">
        <f t="shared" si="6"/>
        <v>192</v>
      </c>
      <c r="I70" s="139">
        <v>11</v>
      </c>
      <c r="J70" s="139">
        <v>26</v>
      </c>
      <c r="K70" s="139"/>
      <c r="L70" s="139" t="s">
        <v>41</v>
      </c>
      <c r="M70" s="139">
        <v>180</v>
      </c>
      <c r="N70" s="139">
        <v>74</v>
      </c>
      <c r="O70" s="119" t="str">
        <f t="shared" si="7"/>
        <v>224 OZ, 207 (57+150)</v>
      </c>
      <c r="P70" s="112" t="str">
        <f t="shared" si="8"/>
        <v>180/74</v>
      </c>
      <c r="Q70" s="140" t="s">
        <v>207</v>
      </c>
      <c r="R70" s="139">
        <v>2004</v>
      </c>
      <c r="S70" s="112" t="str">
        <f t="shared" si="9"/>
        <v/>
      </c>
      <c r="T70" s="1" t="str">
        <f t="shared" si="10"/>
        <v>Sýkora</v>
      </c>
      <c r="U70" s="1" t="str">
        <f t="shared" si="11"/>
        <v>Sýkora</v>
      </c>
      <c r="V70" s="112">
        <f t="shared" si="12"/>
        <v>1</v>
      </c>
      <c r="W70" s="112" t="str">
        <f t="shared" si="13"/>
        <v>T</v>
      </c>
      <c r="X70" s="139"/>
      <c r="Y70" s="139"/>
      <c r="Z70" s="139"/>
      <c r="AA70" s="138"/>
    </row>
    <row r="71" spans="2:27" ht="15" customHeight="1" x14ac:dyDescent="0.25">
      <c r="B71" s="138" t="s">
        <v>186</v>
      </c>
      <c r="C71" s="137">
        <v>36800</v>
      </c>
      <c r="D71" s="112">
        <f t="shared" ca="1" si="5"/>
        <v>20</v>
      </c>
      <c r="E71" s="139">
        <v>5</v>
      </c>
      <c r="F71" s="139">
        <v>0</v>
      </c>
      <c r="G71" s="139">
        <v>0</v>
      </c>
      <c r="H71" s="112">
        <f t="shared" si="6"/>
        <v>0</v>
      </c>
      <c r="I71" s="139">
        <v>4</v>
      </c>
      <c r="J71" s="139">
        <v>31</v>
      </c>
      <c r="K71" s="139"/>
      <c r="L71" s="139" t="s">
        <v>30</v>
      </c>
      <c r="M71" s="139">
        <v>175</v>
      </c>
      <c r="N71" s="139">
        <v>76</v>
      </c>
      <c r="O71" s="119" t="str">
        <f t="shared" si="7"/>
        <v>5 OZ, 1 (0+1)</v>
      </c>
      <c r="P71" s="112" t="str">
        <f t="shared" si="8"/>
        <v>175/76</v>
      </c>
      <c r="Q71" s="140" t="s">
        <v>203</v>
      </c>
      <c r="R71" s="139">
        <v>2010</v>
      </c>
      <c r="S71" s="112" t="str">
        <f t="shared" si="9"/>
        <v>12 OZ, 1 A</v>
      </c>
      <c r="T71" s="1" t="str">
        <f t="shared" si="10"/>
        <v>Šimůnek</v>
      </c>
      <c r="U71" s="1" t="str">
        <f t="shared" si="11"/>
        <v>Šimůnek</v>
      </c>
      <c r="V71" s="112">
        <f t="shared" si="12"/>
        <v>1</v>
      </c>
      <c r="W71" s="112" t="str">
        <f t="shared" si="13"/>
        <v>V</v>
      </c>
      <c r="X71" s="139"/>
      <c r="Y71" s="139"/>
      <c r="Z71" s="139"/>
      <c r="AA71" s="138"/>
    </row>
    <row r="72" spans="2:27" ht="15" customHeight="1" x14ac:dyDescent="0.25">
      <c r="B72" s="141" t="s">
        <v>160</v>
      </c>
      <c r="C72" s="137">
        <v>34094</v>
      </c>
      <c r="D72" s="112">
        <f t="shared" ca="1" si="5"/>
        <v>27</v>
      </c>
      <c r="E72" s="139">
        <v>204</v>
      </c>
      <c r="F72" s="139">
        <v>235</v>
      </c>
      <c r="G72" s="139">
        <v>164</v>
      </c>
      <c r="H72" s="112">
        <f t="shared" si="6"/>
        <v>399</v>
      </c>
      <c r="I72" s="139">
        <v>11</v>
      </c>
      <c r="J72" s="139">
        <v>21</v>
      </c>
      <c r="K72" s="139"/>
      <c r="L72" s="139" t="s">
        <v>78</v>
      </c>
      <c r="M72" s="139">
        <v>178</v>
      </c>
      <c r="N72" s="139">
        <v>72</v>
      </c>
      <c r="O72" s="119" t="str">
        <f t="shared" si="7"/>
        <v>225 OZ, 442 (260+182)</v>
      </c>
      <c r="P72" s="112" t="str">
        <f t="shared" si="8"/>
        <v>178/72</v>
      </c>
      <c r="Q72" s="140" t="s">
        <v>205</v>
      </c>
      <c r="R72" s="139">
        <v>2000</v>
      </c>
      <c r="S72" s="112" t="str">
        <f t="shared" si="9"/>
        <v/>
      </c>
      <c r="T72" s="1" t="str">
        <f t="shared" si="10"/>
        <v>Vávra M.</v>
      </c>
      <c r="U72" s="1" t="str">
        <f t="shared" si="11"/>
        <v>Vávra</v>
      </c>
      <c r="V72" s="112">
        <f t="shared" si="12"/>
        <v>2</v>
      </c>
      <c r="W72" s="112" t="str">
        <f t="shared" si="13"/>
        <v>M</v>
      </c>
      <c r="X72" s="139"/>
      <c r="Y72" s="139"/>
      <c r="Z72" s="139"/>
      <c r="AA72" s="138"/>
    </row>
    <row r="73" spans="2:27" ht="15" customHeight="1" x14ac:dyDescent="0.25">
      <c r="B73" s="138" t="s">
        <v>185</v>
      </c>
      <c r="C73" s="137">
        <v>31955</v>
      </c>
      <c r="D73" s="112">
        <f t="shared" ca="1" si="5"/>
        <v>33</v>
      </c>
      <c r="E73" s="139">
        <v>293</v>
      </c>
      <c r="F73" s="139">
        <v>95</v>
      </c>
      <c r="G73" s="139">
        <v>95</v>
      </c>
      <c r="H73" s="112">
        <f t="shared" si="6"/>
        <v>190</v>
      </c>
      <c r="I73" s="139">
        <v>17</v>
      </c>
      <c r="J73" s="139">
        <v>15</v>
      </c>
      <c r="K73" s="139"/>
      <c r="L73" s="139" t="s">
        <v>78</v>
      </c>
      <c r="M73" s="139">
        <v>178</v>
      </c>
      <c r="N73" s="139">
        <v>80</v>
      </c>
      <c r="O73" s="119" t="str">
        <f t="shared" si="7"/>
        <v>313 OZ, 190 (95+95)</v>
      </c>
      <c r="P73" s="112" t="str">
        <f t="shared" si="8"/>
        <v>178/80</v>
      </c>
      <c r="Q73" s="140" t="s">
        <v>205</v>
      </c>
      <c r="R73" s="139">
        <v>2002</v>
      </c>
      <c r="S73" s="112" t="str">
        <f t="shared" si="9"/>
        <v/>
      </c>
      <c r="T73" s="1" t="str">
        <f t="shared" si="10"/>
        <v>Vávra T.</v>
      </c>
      <c r="U73" s="1" t="str">
        <f t="shared" si="11"/>
        <v>Vávra</v>
      </c>
      <c r="V73" s="112">
        <f t="shared" si="12"/>
        <v>2</v>
      </c>
      <c r="W73" s="112" t="str">
        <f t="shared" si="13"/>
        <v>T</v>
      </c>
      <c r="X73" s="139"/>
      <c r="Y73" s="139"/>
      <c r="Z73" s="139"/>
      <c r="AA73" s="138"/>
    </row>
    <row r="74" spans="2:27" ht="15" customHeight="1" x14ac:dyDescent="0.25">
      <c r="B74" s="138" t="s">
        <v>168</v>
      </c>
      <c r="C74" s="137">
        <v>35445</v>
      </c>
      <c r="D74" s="112">
        <f t="shared" ca="1" si="5"/>
        <v>24</v>
      </c>
      <c r="E74" s="139">
        <v>80</v>
      </c>
      <c r="F74" s="139">
        <v>26</v>
      </c>
      <c r="G74" s="139">
        <v>21</v>
      </c>
      <c r="H74" s="112">
        <f t="shared" si="6"/>
        <v>47</v>
      </c>
      <c r="I74" s="139">
        <v>6</v>
      </c>
      <c r="J74" s="139">
        <v>14</v>
      </c>
      <c r="K74" s="139"/>
      <c r="L74" s="139" t="s">
        <v>78</v>
      </c>
      <c r="M74" s="139">
        <v>184</v>
      </c>
      <c r="N74" s="139">
        <v>78</v>
      </c>
      <c r="O74" s="119" t="str">
        <f t="shared" si="7"/>
        <v>101 OZ, 56 (32+24)</v>
      </c>
      <c r="P74" s="112" t="str">
        <f t="shared" si="8"/>
        <v>184/78</v>
      </c>
      <c r="Q74" s="140" t="s">
        <v>214</v>
      </c>
      <c r="R74" s="139">
        <v>2009</v>
      </c>
      <c r="S74" s="112" t="str">
        <f t="shared" si="9"/>
        <v/>
      </c>
      <c r="T74" s="1" t="str">
        <f t="shared" si="10"/>
        <v>Vošta</v>
      </c>
      <c r="U74" s="1" t="str">
        <f t="shared" si="11"/>
        <v>Vošta</v>
      </c>
      <c r="V74" s="112">
        <f t="shared" si="12"/>
        <v>1</v>
      </c>
      <c r="W74" s="112" t="str">
        <f t="shared" si="13"/>
        <v>O</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44244</v>
      </c>
      <c r="B84" s="2" t="s">
        <v>59</v>
      </c>
      <c r="C84" s="2" t="s">
        <v>66</v>
      </c>
      <c r="D84" s="2" t="s">
        <v>67</v>
      </c>
      <c r="E84" s="382" t="s">
        <v>94</v>
      </c>
      <c r="F84" s="382"/>
      <c r="G84" s="382" t="s">
        <v>100</v>
      </c>
      <c r="H84" s="382"/>
      <c r="I84" s="382"/>
      <c r="J84" s="382"/>
      <c r="K84" s="382"/>
      <c r="Q84" s="9"/>
      <c r="X84" s="110"/>
      <c r="Y84" s="110"/>
      <c r="Z84" s="110"/>
    </row>
    <row r="85" spans="1:27" ht="30" customHeight="1" x14ac:dyDescent="0.25">
      <c r="B85" s="138" t="s">
        <v>187</v>
      </c>
      <c r="C85" s="137">
        <v>31582</v>
      </c>
      <c r="D85" s="112">
        <f ca="1">IF(B85&lt;&gt;0,ROUNDDOWN(($A$84-C85)/365.25,0),"")</f>
        <v>34</v>
      </c>
      <c r="E85" s="380" t="s">
        <v>188</v>
      </c>
      <c r="F85" s="380"/>
      <c r="G85" s="380" t="s">
        <v>189</v>
      </c>
      <c r="H85" s="380"/>
      <c r="I85" s="380"/>
      <c r="J85" s="380"/>
      <c r="K85" s="380"/>
    </row>
    <row r="86" spans="1:27" ht="30" customHeight="1" x14ac:dyDescent="0.25">
      <c r="B86" s="138" t="s">
        <v>190</v>
      </c>
      <c r="C86" s="137">
        <v>26801</v>
      </c>
      <c r="D86" s="112">
        <f t="shared" ref="D86:D92" ca="1" si="23">IF(B86&lt;&gt;0,ROUNDDOWN(($A$84-C86)/365.25,0),"")</f>
        <v>47</v>
      </c>
      <c r="E86" s="380" t="s">
        <v>191</v>
      </c>
      <c r="F86" s="380"/>
      <c r="G86" s="380" t="s">
        <v>192</v>
      </c>
      <c r="H86" s="380"/>
      <c r="I86" s="380"/>
      <c r="J86" s="380"/>
      <c r="K86" s="380"/>
    </row>
    <row r="87" spans="1:27" ht="30" customHeight="1" x14ac:dyDescent="0.25">
      <c r="B87" s="138" t="s">
        <v>193</v>
      </c>
      <c r="C87" s="137">
        <v>28909</v>
      </c>
      <c r="D87" s="112">
        <f t="shared" ca="1" si="23"/>
        <v>41</v>
      </c>
      <c r="E87" s="380" t="s">
        <v>191</v>
      </c>
      <c r="F87" s="380"/>
      <c r="G87" s="380" t="s">
        <v>195</v>
      </c>
      <c r="H87" s="380"/>
      <c r="I87" s="380"/>
      <c r="J87" s="380"/>
      <c r="K87" s="380"/>
    </row>
    <row r="88" spans="1:27" ht="30" customHeight="1" x14ac:dyDescent="0.25">
      <c r="B88" s="138" t="s">
        <v>196</v>
      </c>
      <c r="C88" s="137">
        <v>31168</v>
      </c>
      <c r="D88" s="112">
        <f t="shared" ca="1" si="23"/>
        <v>35</v>
      </c>
      <c r="E88" s="380" t="s">
        <v>197</v>
      </c>
      <c r="F88" s="380"/>
      <c r="G88" s="380" t="s">
        <v>198</v>
      </c>
      <c r="H88" s="380"/>
      <c r="I88" s="380"/>
      <c r="J88" s="380"/>
      <c r="K88" s="380"/>
    </row>
    <row r="89" spans="1:27" ht="30" customHeight="1" x14ac:dyDescent="0.25">
      <c r="B89" s="138" t="s">
        <v>199</v>
      </c>
      <c r="C89" s="137">
        <v>32514</v>
      </c>
      <c r="D89" s="112">
        <f t="shared" ca="1" si="23"/>
        <v>32</v>
      </c>
      <c r="E89" s="380" t="s">
        <v>200</v>
      </c>
      <c r="F89" s="380"/>
      <c r="G89" s="380" t="s">
        <v>201</v>
      </c>
      <c r="H89" s="380"/>
      <c r="I89" s="380"/>
      <c r="J89" s="380"/>
      <c r="K89" s="380"/>
    </row>
    <row r="90" spans="1:27" ht="30" customHeight="1" x14ac:dyDescent="0.25">
      <c r="B90" s="138"/>
      <c r="C90" s="138"/>
      <c r="D90" s="112" t="str">
        <f t="shared" si="23"/>
        <v/>
      </c>
      <c r="E90" s="380"/>
      <c r="F90" s="380"/>
      <c r="G90" s="380"/>
      <c r="H90" s="380"/>
      <c r="I90" s="380"/>
      <c r="J90" s="380"/>
      <c r="K90" s="380"/>
    </row>
    <row r="91" spans="1:27" ht="30" customHeight="1" x14ac:dyDescent="0.25">
      <c r="B91" s="138"/>
      <c r="C91" s="138"/>
      <c r="D91" s="112" t="str">
        <f t="shared" si="23"/>
        <v/>
      </c>
      <c r="E91" s="380"/>
      <c r="F91" s="380"/>
      <c r="G91" s="380"/>
      <c r="H91" s="380"/>
      <c r="I91" s="380"/>
      <c r="J91" s="380"/>
      <c r="K91" s="380"/>
    </row>
    <row r="92" spans="1:27" ht="30" customHeight="1" x14ac:dyDescent="0.25">
      <c r="B92" s="138"/>
      <c r="C92" s="138"/>
      <c r="D92" s="112" t="str">
        <f t="shared" si="23"/>
        <v/>
      </c>
      <c r="E92" s="380"/>
      <c r="F92" s="380"/>
      <c r="G92" s="380"/>
      <c r="H92" s="380"/>
      <c r="I92" s="380"/>
      <c r="J92" s="380"/>
      <c r="K92" s="380"/>
    </row>
  </sheetData>
  <sheetProtection algorithmName="SHA-512" hashValue="GpYg5GXfh6/yFWVasZ/PaQOBQbo91TJNwB6ZCVYX8LwTGmgpKHUEE7M/jJwVJzehwPYhVfusp5XP6LOP1Yah/g==" saltValue="0VGc0A6rb2J2m6VZoJuAtw==" spinCount="100000" sheet="1" objects="1" scenarios="1" selectLockedCells="1"/>
  <sortState ref="B48:AA74">
    <sortCondition ref="U48:U74"/>
    <sortCondition ref="B48:B74"/>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01" priority="1" operator="containsText" text="ANO">
      <formula>NOT(ISERROR(SEARCH("ANO",P2)))</formula>
    </cfRule>
    <cfRule type="containsText" dxfId="10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82" t="s">
        <v>36</v>
      </c>
      <c r="B1" s="1" t="s">
        <v>339</v>
      </c>
      <c r="C1" s="205">
        <v>43</v>
      </c>
      <c r="D1" s="383" t="str">
        <f t="shared" ref="D1:D30" si="0">IFERROR(RIGHT(B1,LEN(B1)-SEARCH(" ",B1)),"")</f>
        <v>Marek Vávra</v>
      </c>
      <c r="E1" s="383"/>
      <c r="F1" s="6"/>
    </row>
    <row r="2" spans="1:6" x14ac:dyDescent="0.25">
      <c r="A2" s="382"/>
      <c r="B2" s="1" t="s">
        <v>340</v>
      </c>
      <c r="C2" s="205">
        <v>36</v>
      </c>
      <c r="D2" s="383" t="str">
        <f t="shared" si="0"/>
        <v>Tom Ondrušek</v>
      </c>
      <c r="E2" s="383"/>
      <c r="F2" s="6"/>
    </row>
    <row r="3" spans="1:6" x14ac:dyDescent="0.25">
      <c r="A3" s="382"/>
      <c r="B3" s="1" t="s">
        <v>341</v>
      </c>
      <c r="C3" s="205">
        <v>33</v>
      </c>
      <c r="D3" s="383" t="str">
        <f t="shared" si="0"/>
        <v>Petr Majer</v>
      </c>
      <c r="E3" s="383"/>
      <c r="F3" s="6"/>
    </row>
    <row r="4" spans="1:6" x14ac:dyDescent="0.25">
      <c r="A4" s="382"/>
      <c r="B4" s="1" t="s">
        <v>342</v>
      </c>
      <c r="C4" s="205">
        <v>23</v>
      </c>
      <c r="D4" s="383" t="str">
        <f t="shared" si="0"/>
        <v>Ondřej Mikeš</v>
      </c>
      <c r="E4" s="383"/>
      <c r="F4" s="6"/>
    </row>
    <row r="5" spans="1:6" x14ac:dyDescent="0.25">
      <c r="A5" s="382"/>
      <c r="B5" s="1" t="s">
        <v>487</v>
      </c>
      <c r="C5" s="205">
        <v>15</v>
      </c>
      <c r="D5" s="383" t="str">
        <f t="shared" si="0"/>
        <v>Jiří Bauer</v>
      </c>
      <c r="E5" s="383"/>
      <c r="F5" s="6"/>
    </row>
    <row r="6" spans="1:6" x14ac:dyDescent="0.25">
      <c r="A6" s="382" t="s">
        <v>242</v>
      </c>
      <c r="B6" s="1" t="s">
        <v>343</v>
      </c>
      <c r="C6" s="205" t="s">
        <v>344</v>
      </c>
      <c r="D6" s="383" t="str">
        <f t="shared" si="0"/>
        <v>Michal Rebro</v>
      </c>
      <c r="E6" s="383"/>
      <c r="F6" s="131">
        <f t="shared" ref="F6:F10" si="1">IF(B6&lt;&gt;0,_xlfn.NUMBERVALUE(C6,","),"")</f>
        <v>4.32</v>
      </c>
    </row>
    <row r="7" spans="1:6" x14ac:dyDescent="0.25">
      <c r="A7" s="382"/>
      <c r="B7" s="1" t="s">
        <v>648</v>
      </c>
      <c r="C7" s="205" t="s">
        <v>671</v>
      </c>
      <c r="D7" s="383" t="str">
        <f t="shared" si="0"/>
        <v>Vojtěch Šimůnek</v>
      </c>
      <c r="E7" s="383"/>
      <c r="F7" s="131">
        <f t="shared" si="1"/>
        <v>5.89</v>
      </c>
    </row>
    <row r="8" spans="1:6" x14ac:dyDescent="0.25">
      <c r="A8" s="382"/>
      <c r="B8" s="1" t="s">
        <v>649</v>
      </c>
      <c r="C8" s="205" t="s">
        <v>671</v>
      </c>
      <c r="D8" s="383" t="str">
        <f t="shared" si="0"/>
        <v>Karel Hodík</v>
      </c>
      <c r="E8" s="383"/>
      <c r="F8" s="131">
        <f t="shared" si="1"/>
        <v>5.89</v>
      </c>
    </row>
    <row r="9" spans="1:6" x14ac:dyDescent="0.25">
      <c r="A9" s="382"/>
      <c r="B9" s="1" t="s">
        <v>346</v>
      </c>
      <c r="C9" s="205" t="s">
        <v>672</v>
      </c>
      <c r="D9" s="383" t="str">
        <f t="shared" si="0"/>
        <v>Karel Pergler</v>
      </c>
      <c r="E9" s="383"/>
      <c r="F9" s="131">
        <f t="shared" si="1"/>
        <v>10.42</v>
      </c>
    </row>
    <row r="10" spans="1:6" x14ac:dyDescent="0.25">
      <c r="A10" s="382"/>
      <c r="B10" s="1"/>
      <c r="C10" s="205"/>
      <c r="D10" s="383" t="str">
        <f t="shared" si="0"/>
        <v/>
      </c>
      <c r="E10" s="383"/>
      <c r="F10" s="131" t="str">
        <f t="shared" si="1"/>
        <v/>
      </c>
    </row>
    <row r="11" spans="1:6" x14ac:dyDescent="0.25">
      <c r="A11" s="382" t="s">
        <v>35</v>
      </c>
      <c r="B11" s="1" t="s">
        <v>339</v>
      </c>
      <c r="C11" s="205">
        <v>25</v>
      </c>
      <c r="D11" s="383" t="str">
        <f t="shared" si="0"/>
        <v>Marek Vávra</v>
      </c>
      <c r="E11" s="383"/>
      <c r="F11" s="6"/>
    </row>
    <row r="12" spans="1:6" x14ac:dyDescent="0.25">
      <c r="A12" s="382"/>
      <c r="B12" s="1" t="s">
        <v>673</v>
      </c>
      <c r="C12" s="205">
        <v>23</v>
      </c>
      <c r="D12" s="383" t="str">
        <f t="shared" si="0"/>
        <v>Petr Majer</v>
      </c>
      <c r="E12" s="383"/>
      <c r="F12" s="6"/>
    </row>
    <row r="13" spans="1:6" x14ac:dyDescent="0.25">
      <c r="A13" s="382"/>
      <c r="B13" s="1" t="s">
        <v>674</v>
      </c>
      <c r="C13" s="205">
        <v>21</v>
      </c>
      <c r="D13" s="383" t="str">
        <f t="shared" si="0"/>
        <v>Tom Ondrušek</v>
      </c>
      <c r="E13" s="383"/>
      <c r="F13" s="6"/>
    </row>
    <row r="14" spans="1:6" x14ac:dyDescent="0.25">
      <c r="A14" s="382"/>
      <c r="B14" s="1" t="s">
        <v>342</v>
      </c>
      <c r="C14" s="205">
        <v>14</v>
      </c>
      <c r="D14" s="383" t="str">
        <f t="shared" si="0"/>
        <v>Ondřej Mikeš</v>
      </c>
      <c r="E14" s="383"/>
      <c r="F14" s="6"/>
    </row>
    <row r="15" spans="1:6" x14ac:dyDescent="0.25">
      <c r="A15" s="382"/>
      <c r="B15" s="1" t="s">
        <v>345</v>
      </c>
      <c r="C15" s="205">
        <v>10</v>
      </c>
      <c r="D15" s="383" t="str">
        <f t="shared" si="0"/>
        <v>Daniel Eremiáš</v>
      </c>
      <c r="E15" s="383"/>
      <c r="F15" s="6"/>
    </row>
    <row r="16" spans="1:6" x14ac:dyDescent="0.25">
      <c r="A16" s="382" t="s">
        <v>230</v>
      </c>
      <c r="B16" s="1" t="s">
        <v>675</v>
      </c>
      <c r="C16" s="205">
        <v>5</v>
      </c>
      <c r="D16" s="383" t="str">
        <f t="shared" si="0"/>
        <v>Karel Hodík</v>
      </c>
      <c r="E16" s="383"/>
      <c r="F16" s="131">
        <f t="shared" ref="F16:F20" si="2">IF(B16&lt;&gt;0,_xlfn.NUMBERVALUE(C16,","),"")</f>
        <v>5</v>
      </c>
    </row>
    <row r="17" spans="1:6" x14ac:dyDescent="0.25">
      <c r="A17" s="382"/>
      <c r="B17" s="1" t="s">
        <v>648</v>
      </c>
      <c r="C17" s="205">
        <v>5</v>
      </c>
      <c r="D17" s="383" t="str">
        <f t="shared" si="0"/>
        <v>Vojtěch Šimůnek</v>
      </c>
      <c r="E17" s="383"/>
      <c r="F17" s="131">
        <f t="shared" si="2"/>
        <v>5</v>
      </c>
    </row>
    <row r="18" spans="1:6" x14ac:dyDescent="0.25">
      <c r="A18" s="382"/>
      <c r="B18" s="1" t="s">
        <v>676</v>
      </c>
      <c r="C18" s="205">
        <v>3</v>
      </c>
      <c r="D18" s="383" t="str">
        <f t="shared" si="0"/>
        <v>Michal Rebro</v>
      </c>
      <c r="E18" s="383"/>
      <c r="F18" s="131">
        <f t="shared" si="2"/>
        <v>3</v>
      </c>
    </row>
    <row r="19" spans="1:6" x14ac:dyDescent="0.25">
      <c r="A19" s="382"/>
      <c r="B19" s="1" t="s">
        <v>346</v>
      </c>
      <c r="C19" s="205">
        <v>0</v>
      </c>
      <c r="D19" s="383" t="str">
        <f t="shared" si="0"/>
        <v>Karel Pergler</v>
      </c>
      <c r="E19" s="383"/>
      <c r="F19" s="131">
        <f t="shared" si="2"/>
        <v>0</v>
      </c>
    </row>
    <row r="20" spans="1:6" x14ac:dyDescent="0.25">
      <c r="A20" s="382"/>
      <c r="B20" s="1"/>
      <c r="C20" s="205"/>
      <c r="D20" s="383" t="str">
        <f t="shared" si="0"/>
        <v/>
      </c>
      <c r="E20" s="383"/>
      <c r="F20" s="131" t="str">
        <f t="shared" si="2"/>
        <v/>
      </c>
    </row>
    <row r="21" spans="1:6" x14ac:dyDescent="0.25">
      <c r="A21" s="382" t="s">
        <v>37</v>
      </c>
      <c r="B21" s="1" t="s">
        <v>339</v>
      </c>
      <c r="C21" s="205">
        <v>18</v>
      </c>
      <c r="D21" s="383" t="str">
        <f>IFERROR(RIGHT(B21,LEN(B21)-SEARCH(" ",B21)),"")</f>
        <v>Marek Vávra</v>
      </c>
      <c r="E21" s="383"/>
      <c r="F21" s="6"/>
    </row>
    <row r="22" spans="1:6" x14ac:dyDescent="0.25">
      <c r="A22" s="382"/>
      <c r="B22" s="1" t="s">
        <v>340</v>
      </c>
      <c r="C22" s="205">
        <v>15</v>
      </c>
      <c r="D22" s="383" t="str">
        <f>IFERROR(RIGHT(B22,LEN(B22)-SEARCH(" ",B22)),"")</f>
        <v>Tom Ondrušek</v>
      </c>
      <c r="E22" s="383"/>
      <c r="F22" s="6"/>
    </row>
    <row r="23" spans="1:6" x14ac:dyDescent="0.25">
      <c r="A23" s="382"/>
      <c r="B23" s="1" t="s">
        <v>347</v>
      </c>
      <c r="C23" s="205">
        <v>12</v>
      </c>
      <c r="D23" s="383" t="str">
        <f>IFERROR(RIGHT(B23,LEN(B23)-SEARCH(" ",B23)),"")</f>
        <v>Tomáš Sýkora</v>
      </c>
      <c r="E23" s="383"/>
      <c r="F23" s="6"/>
    </row>
    <row r="24" spans="1:6" x14ac:dyDescent="0.25">
      <c r="A24" s="382"/>
      <c r="B24" s="1" t="s">
        <v>908</v>
      </c>
      <c r="C24" s="205">
        <v>10</v>
      </c>
      <c r="D24" s="383" t="str">
        <f>IFERROR(RIGHT(B24,LEN(B24)-SEARCH(" ",B24)),"")</f>
        <v>Jiří Bauer</v>
      </c>
      <c r="E24" s="383"/>
      <c r="F24" s="6"/>
    </row>
    <row r="25" spans="1:6" x14ac:dyDescent="0.25">
      <c r="A25" s="382"/>
      <c r="B25" s="1" t="s">
        <v>909</v>
      </c>
      <c r="C25" s="205">
        <v>10</v>
      </c>
      <c r="D25" s="383" t="str">
        <f>IFERROR(RIGHT(B25,LEN(B25)-SEARCH(" ",B25)),"")</f>
        <v>Petr Majer</v>
      </c>
      <c r="E25" s="383"/>
      <c r="F25" s="6"/>
    </row>
    <row r="26" spans="1:6" x14ac:dyDescent="0.25">
      <c r="A26" s="382" t="s">
        <v>38</v>
      </c>
      <c r="B26" s="1" t="s">
        <v>348</v>
      </c>
      <c r="C26" s="205">
        <v>36</v>
      </c>
      <c r="D26" s="383" t="str">
        <f t="shared" si="0"/>
        <v>Jiří Bauer</v>
      </c>
      <c r="E26" s="383"/>
      <c r="F26" s="6"/>
    </row>
    <row r="27" spans="1:6" x14ac:dyDescent="0.25">
      <c r="A27" s="382"/>
      <c r="B27" s="1" t="s">
        <v>488</v>
      </c>
      <c r="C27" s="205">
        <v>14</v>
      </c>
      <c r="D27" s="383" t="str">
        <f t="shared" si="0"/>
        <v>Jiří Koutný</v>
      </c>
      <c r="E27" s="383"/>
      <c r="F27" s="6"/>
    </row>
    <row r="28" spans="1:6" x14ac:dyDescent="0.25">
      <c r="A28" s="382"/>
      <c r="B28" s="1" t="s">
        <v>489</v>
      </c>
      <c r="C28" s="205">
        <v>8</v>
      </c>
      <c r="D28" s="383" t="str">
        <f t="shared" si="0"/>
        <v>Tomáš Vávra</v>
      </c>
      <c r="E28" s="383"/>
      <c r="F28" s="6"/>
    </row>
    <row r="29" spans="1:6" x14ac:dyDescent="0.25">
      <c r="A29" s="382"/>
      <c r="B29" s="1" t="s">
        <v>910</v>
      </c>
      <c r="C29" s="205">
        <v>6</v>
      </c>
      <c r="D29" s="383" t="str">
        <f t="shared" si="0"/>
        <v>Michal Strnad</v>
      </c>
      <c r="E29" s="383"/>
      <c r="F29" s="6"/>
    </row>
    <row r="30" spans="1:6" x14ac:dyDescent="0.25">
      <c r="A30" s="382"/>
      <c r="B30" s="1" t="s">
        <v>911</v>
      </c>
      <c r="C30" s="205">
        <v>6</v>
      </c>
      <c r="D30" s="383" t="str">
        <f t="shared" si="0"/>
        <v>Ondřej Mikeš</v>
      </c>
      <c r="E30" s="383"/>
      <c r="F30" s="6"/>
    </row>
    <row r="31" spans="1:6" x14ac:dyDescent="0.25">
      <c r="A31" s="382" t="s">
        <v>333</v>
      </c>
      <c r="B31" s="190" t="s">
        <v>572</v>
      </c>
      <c r="C31" s="190" t="s">
        <v>142</v>
      </c>
      <c r="D31" s="190" t="s">
        <v>666</v>
      </c>
      <c r="E31" s="178" t="str">
        <f>IFERROR(RIGHT(LEFT(D31,LEN(D31)-1),LEN(D31)-2),"")</f>
        <v>4:13</v>
      </c>
    </row>
    <row r="32" spans="1:6" x14ac:dyDescent="0.25">
      <c r="A32" s="382"/>
      <c r="B32" s="190" t="s">
        <v>570</v>
      </c>
      <c r="C32" s="190" t="s">
        <v>153</v>
      </c>
      <c r="D32" s="190" t="s">
        <v>667</v>
      </c>
      <c r="E32" s="178" t="str">
        <f t="shared" ref="E32:E40" si="3">IFERROR(RIGHT(LEFT(D32,LEN(D32)-1),LEN(D32)-2),"")</f>
        <v>8:7p</v>
      </c>
    </row>
    <row r="33" spans="1:5" x14ac:dyDescent="0.25">
      <c r="A33" s="382"/>
      <c r="B33" s="190" t="s">
        <v>364</v>
      </c>
      <c r="C33" s="190" t="s">
        <v>146</v>
      </c>
      <c r="D33" s="190" t="s">
        <v>668</v>
      </c>
      <c r="E33" s="178" t="str">
        <f t="shared" si="3"/>
        <v>6:5</v>
      </c>
    </row>
    <row r="34" spans="1:5" x14ac:dyDescent="0.25">
      <c r="A34" s="382"/>
      <c r="B34" s="190" t="s">
        <v>618</v>
      </c>
      <c r="C34" s="190" t="s">
        <v>150</v>
      </c>
      <c r="D34" s="190" t="s">
        <v>412</v>
      </c>
      <c r="E34" s="178" t="str">
        <f t="shared" si="3"/>
        <v>3:8</v>
      </c>
    </row>
    <row r="35" spans="1:5" x14ac:dyDescent="0.25">
      <c r="A35" s="382"/>
      <c r="B35" s="190" t="s">
        <v>669</v>
      </c>
      <c r="C35" s="190" t="s">
        <v>149</v>
      </c>
      <c r="D35" s="190" t="s">
        <v>906</v>
      </c>
      <c r="E35" s="178" t="str">
        <f t="shared" si="3"/>
        <v>8:5</v>
      </c>
    </row>
    <row r="36" spans="1:5" x14ac:dyDescent="0.25">
      <c r="A36" s="382" t="s">
        <v>334</v>
      </c>
      <c r="B36" s="190" t="s">
        <v>625</v>
      </c>
      <c r="C36" s="190" t="s">
        <v>141</v>
      </c>
      <c r="D36" s="190" t="s">
        <v>338</v>
      </c>
      <c r="E36" s="178" t="str">
        <f t="shared" si="3"/>
        <v>-:-</v>
      </c>
    </row>
    <row r="37" spans="1:5" x14ac:dyDescent="0.25">
      <c r="A37" s="382"/>
      <c r="B37" s="190" t="s">
        <v>571</v>
      </c>
      <c r="C37" s="190" t="s">
        <v>153</v>
      </c>
      <c r="D37" s="190" t="s">
        <v>338</v>
      </c>
      <c r="E37" s="178" t="str">
        <f t="shared" si="3"/>
        <v>-:-</v>
      </c>
    </row>
    <row r="38" spans="1:5" x14ac:dyDescent="0.25">
      <c r="A38" s="382"/>
      <c r="B38" s="190" t="s">
        <v>660</v>
      </c>
      <c r="C38" s="190" t="s">
        <v>147</v>
      </c>
      <c r="D38" s="190" t="s">
        <v>338</v>
      </c>
      <c r="E38" s="178" t="str">
        <f t="shared" si="3"/>
        <v>-:-</v>
      </c>
    </row>
    <row r="39" spans="1:5" x14ac:dyDescent="0.25">
      <c r="A39" s="382"/>
      <c r="B39" s="190" t="s">
        <v>670</v>
      </c>
      <c r="C39" s="190" t="s">
        <v>143</v>
      </c>
      <c r="D39" s="190" t="s">
        <v>338</v>
      </c>
      <c r="E39" s="178" t="str">
        <f t="shared" si="3"/>
        <v>-:-</v>
      </c>
    </row>
    <row r="40" spans="1:5" x14ac:dyDescent="0.25">
      <c r="A40" s="382"/>
      <c r="B40" s="190"/>
      <c r="C40" s="190"/>
      <c r="D40" s="190"/>
      <c r="E40" s="178" t="str">
        <f t="shared" si="3"/>
        <v/>
      </c>
    </row>
    <row r="41" spans="1:5" x14ac:dyDescent="0.25">
      <c r="A41" s="132" t="s">
        <v>335</v>
      </c>
      <c r="B41" s="190" t="s">
        <v>907</v>
      </c>
      <c r="C41" s="190"/>
      <c r="D41" s="190"/>
    </row>
  </sheetData>
  <sheetProtection algorithmName="SHA-512" hashValue="NE+qft7d+NxAJOJjWj9kl6edsPhfJz2hwlI7/TX5nVZtkoWDkMvl/jcFKqECocJ/MWYb4+98xTtf5NKi7/N8jg==" saltValue="bgn67ZhSBJ3PtBYshl70Y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61"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455</v>
      </c>
      <c r="Q1" s="115" t="s">
        <v>47</v>
      </c>
      <c r="X1" s="110"/>
      <c r="Y1" s="110"/>
      <c r="Z1" s="110"/>
    </row>
    <row r="2" spans="1:26" s="4" customFormat="1" ht="15" customHeight="1" x14ac:dyDescent="0.25">
      <c r="A2" s="53">
        <v>1</v>
      </c>
      <c r="B2" s="4" t="s">
        <v>250</v>
      </c>
      <c r="D2" s="5" t="s">
        <v>51</v>
      </c>
      <c r="E2" s="5">
        <v>22</v>
      </c>
      <c r="F2" s="5">
        <v>36</v>
      </c>
      <c r="G2" s="5">
        <v>2</v>
      </c>
      <c r="H2" s="5">
        <v>0</v>
      </c>
      <c r="I2" s="5">
        <v>17</v>
      </c>
      <c r="J2" s="5">
        <v>53</v>
      </c>
      <c r="K2" s="5">
        <v>2</v>
      </c>
      <c r="L2" s="5">
        <v>71</v>
      </c>
      <c r="M2" s="5">
        <v>28</v>
      </c>
      <c r="N2" s="5">
        <v>43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53 (36+17), +43 ±</v>
      </c>
      <c r="P2" s="5" t="str">
        <f>IF(B2&lt;&gt;0,IF(IFERROR(VLOOKUP(B2,$B$48:$B$82,1,FALSE)=B2,FALSE),"ANO","NE"),"")</f>
        <v>ANO</v>
      </c>
      <c r="Q2" s="142" t="s">
        <v>291</v>
      </c>
      <c r="S2" s="5"/>
      <c r="X2" s="5"/>
      <c r="Y2" s="5"/>
      <c r="Z2" s="5"/>
    </row>
    <row r="3" spans="1:26" s="4" customFormat="1" ht="15" customHeight="1" x14ac:dyDescent="0.25">
      <c r="A3" s="53">
        <v>2</v>
      </c>
      <c r="B3" s="4" t="s">
        <v>251</v>
      </c>
      <c r="D3" s="5" t="s">
        <v>51</v>
      </c>
      <c r="E3" s="5">
        <v>22</v>
      </c>
      <c r="F3" s="5">
        <v>32</v>
      </c>
      <c r="G3" s="5">
        <v>5</v>
      </c>
      <c r="H3" s="5">
        <v>0</v>
      </c>
      <c r="I3" s="5">
        <v>14</v>
      </c>
      <c r="J3" s="5">
        <v>46</v>
      </c>
      <c r="K3" s="5">
        <v>0</v>
      </c>
      <c r="L3" s="5">
        <v>68</v>
      </c>
      <c r="M3" s="5">
        <v>29</v>
      </c>
      <c r="N3" s="5">
        <v>39</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46 (32+14), +39 ±</v>
      </c>
      <c r="P3" s="5" t="str">
        <f t="shared" ref="P3:P36" si="1">IF(B3&lt;&gt;0,IF(IFERROR(VLOOKUP(B3,$B$48:$B$82,1,FALSE)=B3,FALSE),"ANO","NE"),"")</f>
        <v>ANO</v>
      </c>
      <c r="Q3" s="142"/>
      <c r="S3" s="5"/>
      <c r="X3" s="5"/>
      <c r="Y3" s="5"/>
      <c r="Z3" s="5"/>
    </row>
    <row r="4" spans="1:26" s="4" customFormat="1" ht="15" customHeight="1" x14ac:dyDescent="0.25">
      <c r="A4" s="53">
        <v>3</v>
      </c>
      <c r="B4" s="4" t="s">
        <v>253</v>
      </c>
      <c r="D4" s="5" t="s">
        <v>51</v>
      </c>
      <c r="E4" s="5">
        <v>20</v>
      </c>
      <c r="F4" s="5">
        <v>23</v>
      </c>
      <c r="G4" s="5">
        <v>1</v>
      </c>
      <c r="H4" s="5">
        <v>0</v>
      </c>
      <c r="I4" s="5">
        <v>21</v>
      </c>
      <c r="J4" s="5">
        <v>44</v>
      </c>
      <c r="K4" s="5">
        <v>2</v>
      </c>
      <c r="L4" s="5">
        <v>49</v>
      </c>
      <c r="M4" s="5">
        <v>22</v>
      </c>
      <c r="N4" s="5">
        <v>27</v>
      </c>
      <c r="O4" s="161" t="str">
        <f t="shared" si="0"/>
        <v>20 OZ , 44 (23+21), +27 ±</v>
      </c>
      <c r="P4" s="5" t="str">
        <f t="shared" si="1"/>
        <v>ANO</v>
      </c>
      <c r="Q4" s="142"/>
      <c r="S4" s="5"/>
      <c r="X4" s="5"/>
      <c r="Y4" s="5"/>
      <c r="Z4" s="5"/>
    </row>
    <row r="5" spans="1:26" s="4" customFormat="1" x14ac:dyDescent="0.25">
      <c r="A5" s="53">
        <v>4</v>
      </c>
      <c r="B5" s="4" t="s">
        <v>252</v>
      </c>
      <c r="D5" s="5" t="s">
        <v>51</v>
      </c>
      <c r="E5" s="5">
        <v>22</v>
      </c>
      <c r="F5" s="5">
        <v>11</v>
      </c>
      <c r="G5" s="5">
        <v>1</v>
      </c>
      <c r="H5" s="5">
        <v>0</v>
      </c>
      <c r="I5" s="5">
        <v>33</v>
      </c>
      <c r="J5" s="5">
        <v>44</v>
      </c>
      <c r="K5" s="5">
        <v>4</v>
      </c>
      <c r="L5" s="5">
        <v>73</v>
      </c>
      <c r="M5" s="5">
        <v>30</v>
      </c>
      <c r="N5" s="5">
        <v>43</v>
      </c>
      <c r="O5" s="161" t="str">
        <f t="shared" si="0"/>
        <v>22 OZ , 44 (11+33), +43 ±</v>
      </c>
      <c r="P5" s="5" t="str">
        <f t="shared" si="1"/>
        <v>ANO</v>
      </c>
      <c r="Q5" s="142"/>
      <c r="S5" s="5"/>
      <c r="X5" s="5"/>
      <c r="Y5" s="5"/>
      <c r="Z5" s="5"/>
    </row>
    <row r="6" spans="1:26" x14ac:dyDescent="0.25">
      <c r="A6" s="54">
        <v>5</v>
      </c>
      <c r="B6" s="1" t="s">
        <v>254</v>
      </c>
      <c r="D6" s="205" t="s">
        <v>51</v>
      </c>
      <c r="E6" s="205">
        <v>22</v>
      </c>
      <c r="F6" s="205">
        <v>15</v>
      </c>
      <c r="G6" s="205">
        <v>0</v>
      </c>
      <c r="H6" s="205">
        <v>0</v>
      </c>
      <c r="I6" s="205">
        <v>20</v>
      </c>
      <c r="J6" s="205">
        <v>35</v>
      </c>
      <c r="K6" s="205">
        <v>2</v>
      </c>
      <c r="L6" s="205">
        <v>55</v>
      </c>
      <c r="M6" s="205">
        <v>25</v>
      </c>
      <c r="N6" s="205">
        <v>30</v>
      </c>
      <c r="O6" s="161" t="str">
        <f t="shared" si="0"/>
        <v>22 OZ , 35 (15+20), +30 ±</v>
      </c>
      <c r="P6" s="5" t="str">
        <f t="shared" si="1"/>
        <v>ANO</v>
      </c>
    </row>
    <row r="7" spans="1:26" x14ac:dyDescent="0.25">
      <c r="A7" s="54">
        <v>6</v>
      </c>
      <c r="B7" s="1" t="s">
        <v>255</v>
      </c>
      <c r="D7" s="205" t="s">
        <v>51</v>
      </c>
      <c r="E7" s="205">
        <v>21</v>
      </c>
      <c r="F7" s="205">
        <v>15</v>
      </c>
      <c r="G7" s="205">
        <v>5</v>
      </c>
      <c r="H7" s="205">
        <v>0</v>
      </c>
      <c r="I7" s="205">
        <v>7</v>
      </c>
      <c r="J7" s="205">
        <v>22</v>
      </c>
      <c r="K7" s="205">
        <v>8</v>
      </c>
      <c r="L7" s="205">
        <v>65</v>
      </c>
      <c r="M7" s="205">
        <v>31</v>
      </c>
      <c r="N7" s="205">
        <v>34</v>
      </c>
      <c r="O7" s="161" t="str">
        <f t="shared" si="0"/>
        <v>21 OZ , 22 (15+7), +34 ±</v>
      </c>
      <c r="P7" s="5" t="str">
        <f t="shared" si="1"/>
        <v>ANO</v>
      </c>
    </row>
    <row r="8" spans="1:26" x14ac:dyDescent="0.25">
      <c r="A8" s="54">
        <v>7</v>
      </c>
      <c r="B8" s="1" t="s">
        <v>258</v>
      </c>
      <c r="D8" s="205" t="s">
        <v>51</v>
      </c>
      <c r="E8" s="205">
        <v>22</v>
      </c>
      <c r="F8" s="205">
        <v>8</v>
      </c>
      <c r="G8" s="205">
        <v>0</v>
      </c>
      <c r="H8" s="205">
        <v>0</v>
      </c>
      <c r="I8" s="205">
        <v>11</v>
      </c>
      <c r="J8" s="205">
        <v>19</v>
      </c>
      <c r="K8" s="205">
        <v>0</v>
      </c>
      <c r="L8" s="205">
        <v>53</v>
      </c>
      <c r="M8" s="205">
        <v>26</v>
      </c>
      <c r="N8" s="205">
        <v>27</v>
      </c>
      <c r="O8" s="161" t="str">
        <f t="shared" si="0"/>
        <v>22 OZ , 19 (8+11), +27 ±</v>
      </c>
      <c r="P8" s="5" t="str">
        <f t="shared" si="1"/>
        <v>ANO</v>
      </c>
    </row>
    <row r="9" spans="1:26" x14ac:dyDescent="0.25">
      <c r="A9" s="54">
        <v>8</v>
      </c>
      <c r="B9" s="1" t="s">
        <v>256</v>
      </c>
      <c r="D9" s="205" t="s">
        <v>51</v>
      </c>
      <c r="E9" s="205">
        <v>20</v>
      </c>
      <c r="F9" s="205">
        <v>14</v>
      </c>
      <c r="G9" s="205">
        <v>0</v>
      </c>
      <c r="H9" s="205">
        <v>0</v>
      </c>
      <c r="I9" s="205">
        <v>3</v>
      </c>
      <c r="J9" s="205">
        <v>17</v>
      </c>
      <c r="K9" s="205">
        <v>6</v>
      </c>
      <c r="L9" s="205">
        <v>22</v>
      </c>
      <c r="M9" s="205">
        <v>19</v>
      </c>
      <c r="N9" s="205">
        <v>3</v>
      </c>
      <c r="O9" s="161" t="str">
        <f t="shared" si="0"/>
        <v>20 OZ , 17 (14+3), +3 ±</v>
      </c>
      <c r="P9" s="5" t="str">
        <f t="shared" si="1"/>
        <v>ANO</v>
      </c>
    </row>
    <row r="10" spans="1:26" x14ac:dyDescent="0.25">
      <c r="A10" s="54">
        <v>9</v>
      </c>
      <c r="B10" s="1" t="s">
        <v>257</v>
      </c>
      <c r="D10" s="205" t="s">
        <v>51</v>
      </c>
      <c r="E10" s="205">
        <v>21</v>
      </c>
      <c r="F10" s="205">
        <v>6</v>
      </c>
      <c r="G10" s="205">
        <v>0</v>
      </c>
      <c r="H10" s="205">
        <v>0</v>
      </c>
      <c r="I10" s="205">
        <v>9</v>
      </c>
      <c r="J10" s="205">
        <v>15</v>
      </c>
      <c r="K10" s="205">
        <v>0</v>
      </c>
      <c r="L10" s="205">
        <v>69</v>
      </c>
      <c r="M10" s="205">
        <v>23</v>
      </c>
      <c r="N10" s="205">
        <v>46</v>
      </c>
      <c r="O10" s="161" t="str">
        <f t="shared" si="0"/>
        <v>21 OZ , 15 (6+9), +46 ±</v>
      </c>
      <c r="P10" s="5" t="str">
        <f t="shared" si="1"/>
        <v>ANO</v>
      </c>
    </row>
    <row r="11" spans="1:26" x14ac:dyDescent="0.25">
      <c r="A11" s="54">
        <v>10</v>
      </c>
      <c r="B11" s="1" t="s">
        <v>259</v>
      </c>
      <c r="D11" s="205" t="s">
        <v>48</v>
      </c>
      <c r="E11" s="205">
        <v>17</v>
      </c>
      <c r="F11" s="205">
        <v>6</v>
      </c>
      <c r="G11" s="205">
        <v>0</v>
      </c>
      <c r="H11" s="205">
        <v>0</v>
      </c>
      <c r="I11" s="205">
        <v>8</v>
      </c>
      <c r="J11" s="205">
        <v>14</v>
      </c>
      <c r="K11" s="205">
        <v>2</v>
      </c>
      <c r="L11" s="205">
        <v>32</v>
      </c>
      <c r="M11" s="205">
        <v>15</v>
      </c>
      <c r="N11" s="205">
        <v>17</v>
      </c>
      <c r="O11" s="161" t="str">
        <f t="shared" si="0"/>
        <v>17 OZ , 14 (6+8), +17 ±</v>
      </c>
      <c r="P11" s="5" t="str">
        <f t="shared" si="1"/>
        <v>ANO</v>
      </c>
    </row>
    <row r="12" spans="1:26" x14ac:dyDescent="0.25">
      <c r="A12" s="54">
        <v>11</v>
      </c>
      <c r="B12" s="1" t="s">
        <v>260</v>
      </c>
      <c r="D12" s="205" t="s">
        <v>48</v>
      </c>
      <c r="E12" s="205">
        <v>18</v>
      </c>
      <c r="F12" s="205">
        <v>4</v>
      </c>
      <c r="G12" s="205">
        <v>0</v>
      </c>
      <c r="H12" s="205">
        <v>0</v>
      </c>
      <c r="I12" s="205">
        <v>6</v>
      </c>
      <c r="J12" s="205">
        <v>10</v>
      </c>
      <c r="K12" s="205">
        <v>4</v>
      </c>
      <c r="L12" s="205">
        <v>22</v>
      </c>
      <c r="M12" s="205">
        <v>19</v>
      </c>
      <c r="N12" s="205">
        <v>3</v>
      </c>
      <c r="O12" s="161" t="str">
        <f t="shared" si="0"/>
        <v>18 OZ , 10 (4+6), +3 ±</v>
      </c>
      <c r="P12" s="5" t="str">
        <f t="shared" si="1"/>
        <v>ANO</v>
      </c>
    </row>
    <row r="13" spans="1:26" x14ac:dyDescent="0.25">
      <c r="A13" s="54">
        <v>12</v>
      </c>
      <c r="B13" s="1" t="s">
        <v>261</v>
      </c>
      <c r="D13" s="205" t="s">
        <v>51</v>
      </c>
      <c r="E13" s="205">
        <v>20</v>
      </c>
      <c r="F13" s="205">
        <v>3</v>
      </c>
      <c r="G13" s="205">
        <v>0</v>
      </c>
      <c r="H13" s="205">
        <v>0</v>
      </c>
      <c r="I13" s="205">
        <v>6</v>
      </c>
      <c r="J13" s="205">
        <v>9</v>
      </c>
      <c r="K13" s="205">
        <v>8</v>
      </c>
      <c r="L13" s="205">
        <v>23</v>
      </c>
      <c r="M13" s="205">
        <v>19</v>
      </c>
      <c r="N13" s="205">
        <v>4</v>
      </c>
      <c r="O13" s="161" t="str">
        <f t="shared" si="0"/>
        <v>20 OZ , 9 (3+6), +4 ±</v>
      </c>
      <c r="P13" s="5" t="str">
        <f t="shared" si="1"/>
        <v>ANO</v>
      </c>
    </row>
    <row r="14" spans="1:26" x14ac:dyDescent="0.25">
      <c r="A14" s="54">
        <v>13</v>
      </c>
      <c r="B14" s="1" t="s">
        <v>263</v>
      </c>
      <c r="D14" s="205" t="s">
        <v>48</v>
      </c>
      <c r="E14" s="205">
        <v>21</v>
      </c>
      <c r="F14" s="205">
        <v>0</v>
      </c>
      <c r="G14" s="205">
        <v>0</v>
      </c>
      <c r="H14" s="205">
        <v>0</v>
      </c>
      <c r="I14" s="205">
        <v>8</v>
      </c>
      <c r="J14" s="205">
        <v>8</v>
      </c>
      <c r="K14" s="205">
        <v>4</v>
      </c>
      <c r="L14" s="205">
        <v>66</v>
      </c>
      <c r="M14" s="205">
        <v>19</v>
      </c>
      <c r="N14" s="205">
        <v>47</v>
      </c>
      <c r="O14" s="161" t="str">
        <f t="shared" si="0"/>
        <v>21 OZ , 8 (0+8), +47 ±</v>
      </c>
      <c r="P14" s="5" t="str">
        <f t="shared" si="1"/>
        <v>ANO</v>
      </c>
    </row>
    <row r="15" spans="1:26" x14ac:dyDescent="0.25">
      <c r="A15" s="54">
        <v>14</v>
      </c>
      <c r="B15" s="1" t="s">
        <v>262</v>
      </c>
      <c r="D15" s="205" t="s">
        <v>51</v>
      </c>
      <c r="E15" s="205">
        <v>10</v>
      </c>
      <c r="F15" s="205">
        <v>4</v>
      </c>
      <c r="G15" s="205">
        <v>0</v>
      </c>
      <c r="H15" s="205">
        <v>0</v>
      </c>
      <c r="I15" s="205">
        <v>3</v>
      </c>
      <c r="J15" s="205">
        <v>7</v>
      </c>
      <c r="K15" s="205">
        <v>0</v>
      </c>
      <c r="L15" s="205">
        <v>12</v>
      </c>
      <c r="M15" s="205">
        <v>8</v>
      </c>
      <c r="N15" s="205">
        <v>4</v>
      </c>
      <c r="O15" s="161" t="str">
        <f t="shared" si="0"/>
        <v>10 OZ , 7 (4+3), +4 ±</v>
      </c>
      <c r="P15" s="5" t="str">
        <f t="shared" si="1"/>
        <v>ANO</v>
      </c>
    </row>
    <row r="16" spans="1:26" x14ac:dyDescent="0.25">
      <c r="A16" s="54">
        <v>15</v>
      </c>
      <c r="B16" s="1" t="s">
        <v>265</v>
      </c>
      <c r="D16" s="205" t="s">
        <v>51</v>
      </c>
      <c r="E16" s="205">
        <v>11</v>
      </c>
      <c r="F16" s="205">
        <v>3</v>
      </c>
      <c r="G16" s="205">
        <v>0</v>
      </c>
      <c r="H16" s="205">
        <v>0</v>
      </c>
      <c r="I16" s="205">
        <v>4</v>
      </c>
      <c r="J16" s="205">
        <v>7</v>
      </c>
      <c r="K16" s="205">
        <v>2</v>
      </c>
      <c r="L16" s="205">
        <v>15</v>
      </c>
      <c r="M16" s="205">
        <v>12</v>
      </c>
      <c r="N16" s="205">
        <v>3</v>
      </c>
      <c r="O16" s="161" t="str">
        <f t="shared" si="0"/>
        <v>11 OZ , 7 (3+4), +3 ±</v>
      </c>
      <c r="P16" s="5" t="str">
        <f t="shared" si="1"/>
        <v>ANO</v>
      </c>
    </row>
    <row r="17" spans="1:19" x14ac:dyDescent="0.25">
      <c r="A17" s="54">
        <v>16</v>
      </c>
      <c r="B17" s="1" t="s">
        <v>266</v>
      </c>
      <c r="D17" s="205" t="s">
        <v>51</v>
      </c>
      <c r="E17" s="205">
        <v>14</v>
      </c>
      <c r="F17" s="205">
        <v>2</v>
      </c>
      <c r="G17" s="205">
        <v>0</v>
      </c>
      <c r="H17" s="205">
        <v>0</v>
      </c>
      <c r="I17" s="205">
        <v>2</v>
      </c>
      <c r="J17" s="205">
        <v>4</v>
      </c>
      <c r="K17" s="205">
        <v>2</v>
      </c>
      <c r="L17" s="205">
        <v>20</v>
      </c>
      <c r="M17" s="205">
        <v>14</v>
      </c>
      <c r="N17" s="205">
        <v>6</v>
      </c>
      <c r="O17" s="161" t="str">
        <f t="shared" si="0"/>
        <v>14 OZ , 4 (2+2), +6 ±</v>
      </c>
      <c r="P17" s="5" t="str">
        <f t="shared" si="1"/>
        <v>ANO</v>
      </c>
    </row>
    <row r="18" spans="1:19" x14ac:dyDescent="0.25">
      <c r="A18" s="54">
        <v>17</v>
      </c>
      <c r="B18" s="1" t="s">
        <v>264</v>
      </c>
      <c r="D18" s="205"/>
      <c r="E18" s="205">
        <v>8</v>
      </c>
      <c r="F18" s="205">
        <v>2</v>
      </c>
      <c r="G18" s="205">
        <v>0</v>
      </c>
      <c r="H18" s="205">
        <v>0</v>
      </c>
      <c r="I18" s="205">
        <v>1</v>
      </c>
      <c r="J18" s="205">
        <v>3</v>
      </c>
      <c r="K18" s="205">
        <v>4</v>
      </c>
      <c r="L18" s="205">
        <v>10</v>
      </c>
      <c r="M18" s="205">
        <v>5</v>
      </c>
      <c r="N18" s="205">
        <v>5</v>
      </c>
      <c r="O18" s="161" t="str">
        <f t="shared" si="0"/>
        <v>8 OZ , 3 (2+1), +5 ±</v>
      </c>
      <c r="P18" s="5" t="str">
        <f t="shared" si="1"/>
        <v>ANO</v>
      </c>
    </row>
    <row r="19" spans="1:19" x14ac:dyDescent="0.25">
      <c r="A19" s="54">
        <v>18</v>
      </c>
      <c r="B19" s="1" t="s">
        <v>268</v>
      </c>
      <c r="D19" s="205" t="s">
        <v>48</v>
      </c>
      <c r="E19" s="205">
        <v>16</v>
      </c>
      <c r="F19" s="205">
        <v>2</v>
      </c>
      <c r="G19" s="205">
        <v>0</v>
      </c>
      <c r="H19" s="205">
        <v>0</v>
      </c>
      <c r="I19" s="205">
        <v>1</v>
      </c>
      <c r="J19" s="205">
        <v>3</v>
      </c>
      <c r="K19" s="205">
        <v>2</v>
      </c>
      <c r="L19" s="205">
        <v>7</v>
      </c>
      <c r="M19" s="205">
        <v>6</v>
      </c>
      <c r="N19" s="205">
        <v>1</v>
      </c>
      <c r="O19" s="161" t="str">
        <f t="shared" si="0"/>
        <v>16 OZ , 3 (2+1), +1 ±</v>
      </c>
      <c r="P19" s="5" t="str">
        <f t="shared" si="1"/>
        <v>ANO</v>
      </c>
    </row>
    <row r="20" spans="1:19" x14ac:dyDescent="0.25">
      <c r="A20" s="54">
        <v>19</v>
      </c>
      <c r="B20" s="1" t="s">
        <v>267</v>
      </c>
      <c r="D20" s="205" t="s">
        <v>48</v>
      </c>
      <c r="E20" s="205">
        <v>21</v>
      </c>
      <c r="F20" s="205">
        <v>1</v>
      </c>
      <c r="G20" s="205">
        <v>0</v>
      </c>
      <c r="H20" s="205">
        <v>0</v>
      </c>
      <c r="I20" s="205">
        <v>2</v>
      </c>
      <c r="J20" s="205">
        <v>3</v>
      </c>
      <c r="K20" s="205">
        <v>4</v>
      </c>
      <c r="L20" s="205">
        <v>32</v>
      </c>
      <c r="M20" s="205">
        <v>29</v>
      </c>
      <c r="N20" s="205">
        <v>3</v>
      </c>
      <c r="O20" s="161" t="str">
        <f t="shared" si="0"/>
        <v>21 OZ , 3 (1+2), +3 ±</v>
      </c>
      <c r="P20" s="5" t="str">
        <f t="shared" si="1"/>
        <v>ANO</v>
      </c>
    </row>
    <row r="21" spans="1:19" x14ac:dyDescent="0.25">
      <c r="A21" s="53">
        <v>20</v>
      </c>
      <c r="B21" s="4" t="s">
        <v>677</v>
      </c>
      <c r="C21" s="4"/>
      <c r="D21" s="5"/>
      <c r="E21" s="5">
        <v>4</v>
      </c>
      <c r="F21" s="5">
        <v>0</v>
      </c>
      <c r="G21" s="5">
        <v>0</v>
      </c>
      <c r="H21" s="5">
        <v>0</v>
      </c>
      <c r="I21" s="5">
        <v>3</v>
      </c>
      <c r="J21" s="5">
        <v>3</v>
      </c>
      <c r="K21" s="5">
        <v>2</v>
      </c>
      <c r="L21" s="5">
        <v>2</v>
      </c>
      <c r="M21" s="5">
        <v>2</v>
      </c>
      <c r="N21" s="5">
        <v>0</v>
      </c>
      <c r="O21" s="161" t="str">
        <f t="shared" si="0"/>
        <v>4 OZ , 3 (0+3), 0 ±</v>
      </c>
      <c r="P21" s="5" t="str">
        <f t="shared" si="1"/>
        <v>ANO</v>
      </c>
    </row>
    <row r="22" spans="1:19" x14ac:dyDescent="0.25">
      <c r="A22" s="53">
        <v>21</v>
      </c>
      <c r="B22" s="4" t="s">
        <v>678</v>
      </c>
      <c r="C22" s="4"/>
      <c r="D22" s="5"/>
      <c r="E22" s="5">
        <v>3</v>
      </c>
      <c r="F22" s="5">
        <v>2</v>
      </c>
      <c r="G22" s="5">
        <v>0</v>
      </c>
      <c r="H22" s="5">
        <v>0</v>
      </c>
      <c r="I22" s="5">
        <v>0</v>
      </c>
      <c r="J22" s="5">
        <v>2</v>
      </c>
      <c r="K22" s="5">
        <v>0</v>
      </c>
      <c r="L22" s="5">
        <v>2</v>
      </c>
      <c r="M22" s="5">
        <v>1</v>
      </c>
      <c r="N22" s="5">
        <v>1</v>
      </c>
      <c r="O22" s="161" t="str">
        <f t="shared" si="0"/>
        <v>3 OZ , 2 (2+0), +1 ±</v>
      </c>
      <c r="P22" s="5" t="str">
        <f t="shared" si="1"/>
        <v>ANO</v>
      </c>
    </row>
    <row r="23" spans="1:19" x14ac:dyDescent="0.25">
      <c r="A23" s="53">
        <v>22</v>
      </c>
      <c r="B23" s="4" t="s">
        <v>269</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273</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270</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9" x14ac:dyDescent="0.25">
      <c r="A26" s="53">
        <v>25</v>
      </c>
      <c r="B26" s="4" t="s">
        <v>271</v>
      </c>
      <c r="C26" s="4"/>
      <c r="D26" s="5" t="s">
        <v>48</v>
      </c>
      <c r="E26" s="5">
        <v>2</v>
      </c>
      <c r="F26" s="5">
        <v>0</v>
      </c>
      <c r="G26" s="5">
        <v>0</v>
      </c>
      <c r="H26" s="5">
        <v>0</v>
      </c>
      <c r="I26" s="5">
        <v>0</v>
      </c>
      <c r="J26" s="5">
        <v>0</v>
      </c>
      <c r="K26" s="5">
        <v>0</v>
      </c>
      <c r="L26" s="5">
        <v>0</v>
      </c>
      <c r="M26" s="5">
        <v>0</v>
      </c>
      <c r="N26" s="5">
        <v>0</v>
      </c>
      <c r="O26" s="161" t="str">
        <f t="shared" si="0"/>
        <v>2 OZ , 0 (0+0), 0 ±</v>
      </c>
      <c r="P26" s="5" t="str">
        <f t="shared" si="1"/>
        <v>ANO</v>
      </c>
    </row>
    <row r="27" spans="1:19" x14ac:dyDescent="0.25">
      <c r="A27" s="53">
        <v>26</v>
      </c>
      <c r="B27" s="4" t="s">
        <v>272</v>
      </c>
      <c r="C27" s="4"/>
      <c r="D27" s="5" t="s">
        <v>51</v>
      </c>
      <c r="E27" s="5">
        <v>2</v>
      </c>
      <c r="F27" s="5">
        <v>0</v>
      </c>
      <c r="G27" s="5">
        <v>0</v>
      </c>
      <c r="H27" s="5">
        <v>0</v>
      </c>
      <c r="I27" s="5">
        <v>0</v>
      </c>
      <c r="J27" s="5">
        <v>0</v>
      </c>
      <c r="K27" s="5">
        <v>0</v>
      </c>
      <c r="L27" s="5">
        <v>0</v>
      </c>
      <c r="M27" s="5">
        <v>1</v>
      </c>
      <c r="N27" s="5">
        <v>-1</v>
      </c>
      <c r="O27" s="161" t="str">
        <f t="shared" si="0"/>
        <v>2 OZ , 0 (0+0), -1 ±</v>
      </c>
      <c r="P27" s="5" t="str">
        <f t="shared" si="1"/>
        <v>ANO</v>
      </c>
    </row>
    <row r="28" spans="1:19" x14ac:dyDescent="0.25">
      <c r="A28" s="54"/>
      <c r="O28" s="161" t="str">
        <f t="shared" si="0"/>
        <v/>
      </c>
      <c r="P28" s="5" t="str">
        <f t="shared" si="1"/>
        <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269</v>
      </c>
      <c r="C39"/>
      <c r="D39" s="190">
        <v>22</v>
      </c>
      <c r="E39" s="190">
        <v>17</v>
      </c>
      <c r="F39" s="190">
        <v>1016.7</v>
      </c>
      <c r="G39" s="190">
        <v>15</v>
      </c>
      <c r="H39" s="190">
        <v>68</v>
      </c>
      <c r="I39" s="190">
        <v>0</v>
      </c>
      <c r="J39" s="190">
        <v>380</v>
      </c>
      <c r="K39" s="190">
        <v>0</v>
      </c>
      <c r="L39" s="190">
        <v>2</v>
      </c>
      <c r="M39" s="190">
        <v>312</v>
      </c>
      <c r="N39" s="190">
        <v>2</v>
      </c>
      <c r="O39" s="190">
        <v>0</v>
      </c>
      <c r="P39" s="11">
        <f>IF(B39&lt;&gt;0,IFERROR(H39/(F39/60),0),"")</f>
        <v>4.0129831808793153</v>
      </c>
      <c r="Q39" s="11">
        <f>IF(B39&lt;&gt;0,IFERROR((M39/J39)*100,0),"")</f>
        <v>82.10526315789474</v>
      </c>
      <c r="R39" s="112" t="str">
        <f>IF(B39&lt;&gt;0,CONCATENATE(G39, " V, ",L39," P"),"")</f>
        <v>15 V, 2 P</v>
      </c>
    </row>
    <row r="40" spans="1:27" x14ac:dyDescent="0.25">
      <c r="A40" s="54">
        <v>2</v>
      </c>
      <c r="B40" t="s">
        <v>273</v>
      </c>
      <c r="C40"/>
      <c r="D40" s="190">
        <v>22</v>
      </c>
      <c r="E40" s="190">
        <v>5</v>
      </c>
      <c r="F40" s="190">
        <v>300</v>
      </c>
      <c r="G40" s="190">
        <v>4</v>
      </c>
      <c r="H40" s="190">
        <v>28</v>
      </c>
      <c r="I40" s="190">
        <v>0</v>
      </c>
      <c r="J40" s="190">
        <v>94</v>
      </c>
      <c r="K40" s="190">
        <v>0</v>
      </c>
      <c r="L40" s="190">
        <v>1</v>
      </c>
      <c r="M40" s="190">
        <v>66</v>
      </c>
      <c r="N40" s="190">
        <v>1</v>
      </c>
      <c r="O40" s="190">
        <v>0</v>
      </c>
      <c r="P40" s="11">
        <f t="shared" ref="P40:P45" si="2">IF(B40&lt;&gt;0,IFERROR(H40/(F40/60),0),"")</f>
        <v>5.6</v>
      </c>
      <c r="Q40" s="11">
        <f t="shared" ref="Q40:Q45" si="3">IF(B40&lt;&gt;0,IFERROR((M40/J40)*100,0),"")</f>
        <v>70.212765957446805</v>
      </c>
      <c r="R40" s="112" t="str">
        <f t="shared" ref="R40:R45" si="4">IF(B40&lt;&gt;0,CONCATENATE(G40, " V, ",L40," P"),"")</f>
        <v>4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1" t="s">
        <v>290</v>
      </c>
      <c r="Y46" s="381"/>
      <c r="Z46" s="381"/>
      <c r="AA46" s="381"/>
    </row>
    <row r="47" spans="1:27" s="99" customFormat="1" ht="15" customHeight="1" x14ac:dyDescent="0.25">
      <c r="A47" s="7">
        <f ca="1">TODAY()</f>
        <v>44244</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282</v>
      </c>
      <c r="V47" s="110" t="s">
        <v>283</v>
      </c>
      <c r="W47" s="110" t="s">
        <v>284</v>
      </c>
      <c r="X47" s="110" t="s">
        <v>289</v>
      </c>
      <c r="Y47" s="110" t="s">
        <v>287</v>
      </c>
      <c r="Z47" s="110" t="s">
        <v>288</v>
      </c>
      <c r="AA47" s="162" t="s">
        <v>478</v>
      </c>
    </row>
    <row r="48" spans="1:27" ht="15" customHeight="1" x14ac:dyDescent="0.25">
      <c r="B48" s="186" t="s">
        <v>257</v>
      </c>
      <c r="C48" s="185">
        <v>36269</v>
      </c>
      <c r="D48" s="112">
        <f ca="1">IF(C48 &lt;&gt; 0,ROUNDDOWN(($A$47-C48)/365.25,0),"")</f>
        <v>21</v>
      </c>
      <c r="E48" s="191">
        <v>102</v>
      </c>
      <c r="F48" s="191">
        <v>29</v>
      </c>
      <c r="G48" s="191">
        <v>41</v>
      </c>
      <c r="H48" s="112">
        <f>IF(B48&lt;&gt;0,F48+G48,"")</f>
        <v>70</v>
      </c>
      <c r="I48" s="191">
        <v>5</v>
      </c>
      <c r="J48" s="191">
        <v>88</v>
      </c>
      <c r="K48" s="191"/>
      <c r="L48" s="191" t="s">
        <v>78</v>
      </c>
      <c r="M48" s="191">
        <v>179</v>
      </c>
      <c r="N48" s="191">
        <v>76</v>
      </c>
      <c r="O48" s="119" t="str">
        <f>IF(B48&lt;&gt;0,CONCATENATE(E48+IFERROR(VLOOKUP(B48,$B$2:$N$36,4,FALSE),0) + X48, " OZ, ", H48+IFERROR(VLOOKUP(B48,$B$2:$N$36,9,FALSE),0) + Y48+Z48, " (", F48+IFERROR(VLOOKUP(B48,$B$2:$N$36,5,FALSE),0) + Y48, "+",G48+IFERROR(VLOOKUP(B48,$B$2:$N$36,8,FALSE),0) +  Z48, ")"), "")</f>
        <v>123 OZ, 85 (35+50)</v>
      </c>
      <c r="P48" s="112" t="str">
        <f>IF(M48&lt;&gt;0,CONCATENATE(M48,"/",N48),"")</f>
        <v>179/76</v>
      </c>
      <c r="Q48" s="192" t="s">
        <v>926</v>
      </c>
      <c r="R48" s="191">
        <v>2003</v>
      </c>
      <c r="S48" s="112" t="str">
        <f>IFERROR(CONCATENATE(E48+VLOOKUP(B48,$B$39:$R$42,4,FALSE), " OZ, ",G48+VLOOKUP(B48,$B$39:$R$42,13,FALSE), " A"),"")</f>
        <v/>
      </c>
      <c r="T48" s="1" t="str">
        <f>IF(B48&lt;&gt;0,IF(V48=1,U48,CONCATENATE(U48," ",W48,".")),"")</f>
        <v>Besta</v>
      </c>
      <c r="U48" s="1" t="str">
        <f>IFERROR(RIGHT(B48,LEN(B48)-SEARCH(" ", B48,1)),"")</f>
        <v>Besta</v>
      </c>
      <c r="V48" s="112">
        <f>IF(B48&lt;&gt;0,COUNTIF($U$48:$U$82,U48),"")</f>
        <v>1</v>
      </c>
      <c r="W48" s="112" t="str">
        <f>IFERROR(LEFT(LEFT(B48,SEARCH(" ",B48,1)),1),"")</f>
        <v>J</v>
      </c>
      <c r="X48" s="139"/>
      <c r="Y48" s="139"/>
      <c r="Z48" s="139"/>
      <c r="AA48" s="138"/>
    </row>
    <row r="49" spans="2:27" ht="15" customHeight="1" x14ac:dyDescent="0.25">
      <c r="B49" s="186" t="s">
        <v>256</v>
      </c>
      <c r="C49" s="185">
        <v>35036</v>
      </c>
      <c r="D49" s="112">
        <f ca="1">IF(C49 &lt;&gt; 0,ROUNDDOWN(($A$47-C49)/365.25,0),"")</f>
        <v>25</v>
      </c>
      <c r="E49" s="191">
        <v>147</v>
      </c>
      <c r="F49" s="191">
        <v>108</v>
      </c>
      <c r="G49" s="191">
        <v>30</v>
      </c>
      <c r="H49" s="112">
        <f>IF(B49&lt;&gt;0,F49+G49,"")</f>
        <v>138</v>
      </c>
      <c r="I49" s="191">
        <v>8</v>
      </c>
      <c r="J49" s="191">
        <v>53</v>
      </c>
      <c r="K49" s="191"/>
      <c r="L49" s="191" t="s">
        <v>78</v>
      </c>
      <c r="M49" s="191">
        <v>183</v>
      </c>
      <c r="N49" s="191">
        <v>72</v>
      </c>
      <c r="O49" s="119" t="str">
        <f>IF(B49&lt;&gt;0,CONCATENATE(E49+IFERROR(VLOOKUP(B49,$B$2:$N$36,4,FALSE),0) + X49, " OZ, ", H49+IFERROR(VLOOKUP(B49,$B$2:$N$36,9,FALSE),0) + Y49+Z49, " (", F49+IFERROR(VLOOKUP(B49,$B$2:$N$36,5,FALSE),0) + Y49, "+",G49+IFERROR(VLOOKUP(B49,$B$2:$N$36,8,FALSE),0) +  Z49, ")"), "")</f>
        <v>167 OZ, 155 (122+33)</v>
      </c>
      <c r="P49" s="112" t="str">
        <f>IF(M49&lt;&gt;0,CONCATENATE(M49,"/",N49),"")</f>
        <v>183/72</v>
      </c>
      <c r="Q49" s="192" t="s">
        <v>741</v>
      </c>
      <c r="R49" s="191">
        <v>2001</v>
      </c>
      <c r="S49" s="112" t="str">
        <f>IFERROR(CONCATENATE(E49+VLOOKUP(B49,$B$39:$R$42,4,FALSE), " OZ, ",G49+VLOOKUP(B49,$B$39:$R$42,13,FALSE), " A"),"")</f>
        <v/>
      </c>
      <c r="T49" s="1" t="str">
        <f>IF(B49&lt;&gt;0,IF(V49=1,U49,CONCATENATE(U49," ",W49,".")),"")</f>
        <v>Bräuer</v>
      </c>
      <c r="U49" s="1" t="str">
        <f>IFERROR(RIGHT(B49,LEN(B49)-SEARCH(" ", B49,1)),"")</f>
        <v>Bräuer</v>
      </c>
      <c r="V49" s="112">
        <f>IF(B49&lt;&gt;0,COUNTIF($U$48:$U$82,U49),"")</f>
        <v>1</v>
      </c>
      <c r="W49" s="112" t="str">
        <f>IFERROR(LEFT(LEFT(B49,SEARCH(" ",B49,1)),1),"")</f>
        <v>M</v>
      </c>
      <c r="X49" s="139"/>
      <c r="Y49" s="139"/>
      <c r="Z49" s="139"/>
      <c r="AA49" s="138"/>
    </row>
    <row r="50" spans="2:27" ht="15" customHeight="1" x14ac:dyDescent="0.25">
      <c r="B50" s="186" t="s">
        <v>265</v>
      </c>
      <c r="C50" s="185">
        <v>35650</v>
      </c>
      <c r="D50" s="112">
        <f ca="1">IF(C50 &lt;&gt; 0,ROUNDDOWN(($A$47-C50)/365.25,0),"")</f>
        <v>23</v>
      </c>
      <c r="E50" s="191">
        <v>50</v>
      </c>
      <c r="F50" s="191">
        <v>15</v>
      </c>
      <c r="G50" s="191">
        <v>18</v>
      </c>
      <c r="H50" s="112">
        <f>IF(B50&lt;&gt;0,F50+G50,"")</f>
        <v>33</v>
      </c>
      <c r="I50" s="191">
        <v>4</v>
      </c>
      <c r="J50" s="191">
        <v>8</v>
      </c>
      <c r="K50" s="191"/>
      <c r="L50" s="191" t="s">
        <v>78</v>
      </c>
      <c r="M50" s="191">
        <v>179</v>
      </c>
      <c r="N50" s="191">
        <v>76</v>
      </c>
      <c r="O50" s="119" t="str">
        <f>IF(B50&lt;&gt;0,CONCATENATE(E50+IFERROR(VLOOKUP(B50,$B$2:$N$36,4,FALSE),0) + X50, " OZ, ", H50+IFERROR(VLOOKUP(B50,$B$2:$N$36,9,FALSE),0) + Y50+Z50, " (", F50+IFERROR(VLOOKUP(B50,$B$2:$N$36,5,FALSE),0) + Y50, "+",G50+IFERROR(VLOOKUP(B50,$B$2:$N$36,8,FALSE),0) +  Z50, ")"), "")</f>
        <v>61 OZ, 40 (18+22)</v>
      </c>
      <c r="P50" s="112" t="str">
        <f>IF(M50&lt;&gt;0,CONCATENATE(M50,"/",N50),"")</f>
        <v>179/76</v>
      </c>
      <c r="Q50" s="192" t="s">
        <v>30</v>
      </c>
      <c r="R50" s="191" t="s">
        <v>30</v>
      </c>
      <c r="S50" s="112" t="str">
        <f>IFERROR(CONCATENATE(E50+VLOOKUP(B50,$B$39:$R$42,4,FALSE), " OZ, ",G50+VLOOKUP(B50,$B$39:$R$42,13,FALSE), " A"),"")</f>
        <v/>
      </c>
      <c r="T50" s="1" t="str">
        <f>IF(B50&lt;&gt;0,IF(V50=1,U50,CONCATENATE(U50," ",W50,".")),"")</f>
        <v>Čonka-Skyba</v>
      </c>
      <c r="U50" s="1" t="str">
        <f>IFERROR(RIGHT(B50,LEN(B50)-SEARCH(" ", B50,1)),"")</f>
        <v>Čonka-Skyba</v>
      </c>
      <c r="V50" s="112">
        <f>IF(B50&lt;&gt;0,COUNTIF($U$48:$U$82,U50),"")</f>
        <v>1</v>
      </c>
      <c r="W50" s="112" t="str">
        <f>IFERROR(LEFT(LEFT(B50,SEARCH(" ",B50,1)),1),"")</f>
        <v>F</v>
      </c>
      <c r="X50" s="139"/>
      <c r="Y50" s="139"/>
      <c r="Z50" s="139"/>
      <c r="AA50" s="138"/>
    </row>
    <row r="51" spans="2:27" ht="15" customHeight="1" x14ac:dyDescent="0.25">
      <c r="B51" s="187" t="s">
        <v>250</v>
      </c>
      <c r="C51" s="185">
        <v>35243</v>
      </c>
      <c r="D51" s="112">
        <f ca="1">IF(C51 &lt;&gt; 0,ROUNDDOWN(($A$47-C51)/365.25,0),"")</f>
        <v>24</v>
      </c>
      <c r="E51" s="191">
        <v>115</v>
      </c>
      <c r="F51" s="191">
        <v>81</v>
      </c>
      <c r="G51" s="191">
        <v>75</v>
      </c>
      <c r="H51" s="112">
        <f>IF(B51&lt;&gt;0,F51+G51,"")</f>
        <v>156</v>
      </c>
      <c r="I51" s="191">
        <v>7</v>
      </c>
      <c r="J51" s="191">
        <v>72</v>
      </c>
      <c r="K51" s="191"/>
      <c r="L51" s="191" t="s">
        <v>78</v>
      </c>
      <c r="M51" s="191">
        <v>183</v>
      </c>
      <c r="N51" s="191">
        <v>75</v>
      </c>
      <c r="O51" s="119" t="str">
        <f>IF(B51&lt;&gt;0,CONCATENATE(E51+IFERROR(VLOOKUP(B51,$B$2:$N$36,4,FALSE),0) + X51, " OZ, ", H51+IFERROR(VLOOKUP(B51,$B$2:$N$36,9,FALSE),0) + Y51+Z51, " (", F51+IFERROR(VLOOKUP(B51,$B$2:$N$36,5,FALSE),0) + Y51, "+",G51+IFERROR(VLOOKUP(B51,$B$2:$N$36,8,FALSE),0) +  Z51, ")"), "")</f>
        <v>137 OZ, 209 (117+92)</v>
      </c>
      <c r="P51" s="112" t="str">
        <f>IF(M51&lt;&gt;0,CONCATENATE(M51,"/",N51),"")</f>
        <v>183/75</v>
      </c>
      <c r="Q51" s="192" t="s">
        <v>927</v>
      </c>
      <c r="R51" s="191">
        <v>2005</v>
      </c>
      <c r="S51" s="112" t="str">
        <f>IFERROR(CONCATENATE(E51+VLOOKUP(B51,$B$39:$R$42,4,FALSE), " OZ, ",G51+VLOOKUP(B51,$B$39:$R$42,13,FALSE), " A"),"")</f>
        <v/>
      </c>
      <c r="T51" s="1" t="str">
        <f>IF(B51&lt;&gt;0,IF(V51=1,U51,CONCATENATE(U51," ",W51,".")),"")</f>
        <v>Delong</v>
      </c>
      <c r="U51" s="1" t="str">
        <f>IFERROR(RIGHT(B51,LEN(B51)-SEARCH(" ", B51,1)),"")</f>
        <v>Delong</v>
      </c>
      <c r="V51" s="112">
        <f>IF(B51&lt;&gt;0,COUNTIF($U$48:$U$82,U51),"")</f>
        <v>1</v>
      </c>
      <c r="W51" s="112" t="str">
        <f>IFERROR(LEFT(LEFT(B51,SEARCH(" ",B51,1)),1),"")</f>
        <v>A</v>
      </c>
      <c r="X51" s="139"/>
      <c r="Y51" s="139"/>
      <c r="Z51" s="139"/>
      <c r="AA51" s="138"/>
    </row>
    <row r="52" spans="2:27" ht="15" customHeight="1" x14ac:dyDescent="0.25">
      <c r="B52" s="187" t="s">
        <v>251</v>
      </c>
      <c r="C52" s="185">
        <v>36934</v>
      </c>
      <c r="D52" s="112">
        <f ca="1">IF(C52 &lt;&gt; 0,ROUNDDOWN(($A$47-C52)/365.25,0),"")</f>
        <v>20</v>
      </c>
      <c r="E52" s="191">
        <v>45</v>
      </c>
      <c r="F52" s="191">
        <v>11</v>
      </c>
      <c r="G52" s="191">
        <v>13</v>
      </c>
      <c r="H52" s="112">
        <f>IF(B52&lt;&gt;0,F52+G52,"")</f>
        <v>24</v>
      </c>
      <c r="I52" s="191">
        <v>3</v>
      </c>
      <c r="J52" s="191">
        <v>13</v>
      </c>
      <c r="K52" s="191"/>
      <c r="L52" s="191" t="s">
        <v>41</v>
      </c>
      <c r="M52" s="191">
        <v>171</v>
      </c>
      <c r="N52" s="191">
        <v>70</v>
      </c>
      <c r="O52" s="119" t="str">
        <f>IF(B52&lt;&gt;0,CONCATENATE(E52+IFERROR(VLOOKUP(B52,$B$2:$N$36,4,FALSE),0) + X52, " OZ, ", H52+IFERROR(VLOOKUP(B52,$B$2:$N$36,9,FALSE),0) + Y52+Z52, " (", F52+IFERROR(VLOOKUP(B52,$B$2:$N$36,5,FALSE),0) + Y52, "+",G52+IFERROR(VLOOKUP(B52,$B$2:$N$36,8,FALSE),0) +  Z52, ")"), "")</f>
        <v>67 OZ, 70 (43+27)</v>
      </c>
      <c r="P52" s="112" t="str">
        <f>IF(M52&lt;&gt;0,CONCATENATE(M52,"/",N52),"")</f>
        <v>171/70</v>
      </c>
      <c r="Q52" s="192" t="s">
        <v>741</v>
      </c>
      <c r="R52" s="191">
        <v>2008</v>
      </c>
      <c r="S52" s="112" t="str">
        <f>IFERROR(CONCATENATE(E52+VLOOKUP(B52,$B$39:$R$42,4,FALSE), " OZ, ",G52+VLOOKUP(B52,$B$39:$R$42,13,FALSE), " A"),"")</f>
        <v/>
      </c>
      <c r="T52" s="1" t="str">
        <f>IF(B52&lt;&gt;0,IF(V52=1,U52,CONCATENATE(U52," ",W52,".")),"")</f>
        <v>Gattnar</v>
      </c>
      <c r="U52" s="1" t="str">
        <f>IFERROR(RIGHT(B52,LEN(B52)-SEARCH(" ", B52,1)),"")</f>
        <v>Gattnar</v>
      </c>
      <c r="V52" s="112">
        <f>IF(B52&lt;&gt;0,COUNTIF($U$48:$U$82,U52),"")</f>
        <v>1</v>
      </c>
      <c r="W52" s="112" t="str">
        <f>IFERROR(LEFT(LEFT(B52,SEARCH(" ",B52,1)),1),"")</f>
        <v>R</v>
      </c>
      <c r="X52" s="139"/>
      <c r="Y52" s="139"/>
      <c r="Z52" s="139"/>
      <c r="AA52" s="138"/>
    </row>
    <row r="53" spans="2:27" ht="15" customHeight="1" x14ac:dyDescent="0.25">
      <c r="B53" s="187" t="s">
        <v>253</v>
      </c>
      <c r="C53" s="185">
        <v>33884</v>
      </c>
      <c r="D53" s="112">
        <f ca="1">IF(C53 &lt;&gt; 0,ROUNDDOWN(($A$47-C53)/365.25,0),"")</f>
        <v>28</v>
      </c>
      <c r="E53" s="191">
        <v>115</v>
      </c>
      <c r="F53" s="191">
        <v>115</v>
      </c>
      <c r="G53" s="191">
        <v>161</v>
      </c>
      <c r="H53" s="112">
        <f>IF(B53&lt;&gt;0,F53+G53,"")</f>
        <v>276</v>
      </c>
      <c r="I53" s="191">
        <v>12</v>
      </c>
      <c r="J53" s="191">
        <v>44</v>
      </c>
      <c r="K53" s="191"/>
      <c r="L53" s="191" t="s">
        <v>78</v>
      </c>
      <c r="M53" s="191">
        <v>182</v>
      </c>
      <c r="N53" s="191">
        <v>81</v>
      </c>
      <c r="O53" s="119" t="str">
        <f>IF(B53&lt;&gt;0,CONCATENATE(E53+IFERROR(VLOOKUP(B53,$B$2:$N$36,4,FALSE),0) + X53, " OZ, ", H53+IFERROR(VLOOKUP(B53,$B$2:$N$36,9,FALSE),0) + Y53+Z53, " (", F53+IFERROR(VLOOKUP(B53,$B$2:$N$36,5,FALSE),0) + Y53, "+",G53+IFERROR(VLOOKUP(B53,$B$2:$N$36,8,FALSE),0) +  Z53, ")"), "")</f>
        <v>135 OZ, 320 (138+182)</v>
      </c>
      <c r="P53" s="112" t="str">
        <f>IF(M53&lt;&gt;0,CONCATENATE(M53,"/",N53),"")</f>
        <v>182/81</v>
      </c>
      <c r="Q53" s="192" t="s">
        <v>928</v>
      </c>
      <c r="R53" s="191">
        <v>2004</v>
      </c>
      <c r="S53" s="112" t="str">
        <f>IFERROR(CONCATENATE(E53+VLOOKUP(B53,$B$39:$R$42,4,FALSE), " OZ, ",G53+VLOOKUP(B53,$B$39:$R$42,13,FALSE), " A"),"")</f>
        <v/>
      </c>
      <c r="T53" s="1" t="str">
        <f>IF(B53&lt;&gt;0,IF(V53=1,U53,CONCATENATE(U53," ",W53,".")),"")</f>
        <v>Hájek</v>
      </c>
      <c r="U53" s="1" t="str">
        <f>IFERROR(RIGHT(B53,LEN(B53)-SEARCH(" ", B53,1)),"")</f>
        <v>Hájek</v>
      </c>
      <c r="V53" s="112">
        <f>IF(B53&lt;&gt;0,COUNTIF($U$48:$U$82,U53),"")</f>
        <v>1</v>
      </c>
      <c r="W53" s="112" t="str">
        <f>IFERROR(LEFT(LEFT(B53,SEARCH(" ",B53,1)),1),"")</f>
        <v>L</v>
      </c>
      <c r="X53" s="139"/>
      <c r="Y53" s="139"/>
      <c r="Z53" s="139"/>
      <c r="AA53" s="138"/>
    </row>
    <row r="54" spans="2:27" ht="15" customHeight="1" x14ac:dyDescent="0.25">
      <c r="B54" s="186" t="s">
        <v>267</v>
      </c>
      <c r="C54" s="185">
        <v>36640</v>
      </c>
      <c r="D54" s="112">
        <f ca="1">IF(C54 &lt;&gt; 0,ROUNDDOWN(($A$47-C54)/365.25,0),"")</f>
        <v>20</v>
      </c>
      <c r="E54" s="191">
        <v>26</v>
      </c>
      <c r="F54" s="191">
        <v>4</v>
      </c>
      <c r="G54" s="191">
        <v>7</v>
      </c>
      <c r="H54" s="112">
        <f>IF(B54&lt;&gt;0,F54+G54,"")</f>
        <v>11</v>
      </c>
      <c r="I54" s="191">
        <v>2</v>
      </c>
      <c r="J54" s="191">
        <v>47</v>
      </c>
      <c r="K54" s="191"/>
      <c r="L54" s="191" t="s">
        <v>78</v>
      </c>
      <c r="M54" s="191">
        <v>189</v>
      </c>
      <c r="N54" s="191">
        <v>80</v>
      </c>
      <c r="O54" s="119" t="str">
        <f>IF(B54&lt;&gt;0,CONCATENATE(E54+IFERROR(VLOOKUP(B54,$B$2:$N$36,4,FALSE),0) + X54, " OZ, ", H54+IFERROR(VLOOKUP(B54,$B$2:$N$36,9,FALSE),0) + Y54+Z54, " (", F54+IFERROR(VLOOKUP(B54,$B$2:$N$36,5,FALSE),0) + Y54, "+",G54+IFERROR(VLOOKUP(B54,$B$2:$N$36,8,FALSE),0) +  Z54, ")"), "")</f>
        <v>47 OZ, 14 (5+9)</v>
      </c>
      <c r="P54" s="112" t="str">
        <f>IF(M54&lt;&gt;0,CONCATENATE(M54,"/",N54),"")</f>
        <v>189/80</v>
      </c>
      <c r="Q54" s="192" t="s">
        <v>929</v>
      </c>
      <c r="R54" s="191">
        <v>2009</v>
      </c>
      <c r="S54" s="112" t="str">
        <f>IFERROR(CONCATENATE(E54+VLOOKUP(B54,$B$39:$R$42,4,FALSE), " OZ, ",G54+VLOOKUP(B54,$B$39:$R$42,13,FALSE), " A"),"")</f>
        <v/>
      </c>
      <c r="T54" s="1" t="str">
        <f>IF(B54&lt;&gt;0,IF(V54=1,U54,CONCATENATE(U54," ",W54,".")),"")</f>
        <v>Hatala</v>
      </c>
      <c r="U54" s="1" t="str">
        <f>IFERROR(RIGHT(B54,LEN(B54)-SEARCH(" ", B54,1)),"")</f>
        <v>Hatala</v>
      </c>
      <c r="V54" s="112">
        <f>IF(B54&lt;&gt;0,COUNTIF($U$48:$U$82,U54),"")</f>
        <v>1</v>
      </c>
      <c r="W54" s="112" t="str">
        <f>IFERROR(LEFT(LEFT(B54,SEARCH(" ",B54,1)),1),"")</f>
        <v>Š</v>
      </c>
      <c r="X54" s="139"/>
      <c r="Y54" s="139"/>
      <c r="Z54" s="139"/>
      <c r="AA54" s="138"/>
    </row>
    <row r="55" spans="2:27" ht="15" customHeight="1" x14ac:dyDescent="0.25">
      <c r="B55" s="186" t="s">
        <v>259</v>
      </c>
      <c r="C55" s="185">
        <v>33707</v>
      </c>
      <c r="D55" s="112">
        <f ca="1">IF(C55 &lt;&gt; 0,ROUNDDOWN(($A$47-C55)/365.25,0),"")</f>
        <v>28</v>
      </c>
      <c r="E55" s="191">
        <v>169</v>
      </c>
      <c r="F55" s="191">
        <v>65</v>
      </c>
      <c r="G55" s="191">
        <v>75</v>
      </c>
      <c r="H55" s="112">
        <f>IF(B55&lt;&gt;0,F55+G55,"")</f>
        <v>140</v>
      </c>
      <c r="I55" s="191">
        <v>10</v>
      </c>
      <c r="J55" s="191">
        <v>55</v>
      </c>
      <c r="K55" s="191"/>
      <c r="L55" s="191" t="s">
        <v>41</v>
      </c>
      <c r="M55" s="191">
        <v>182</v>
      </c>
      <c r="N55" s="191">
        <v>70</v>
      </c>
      <c r="O55" s="119" t="str">
        <f>IF(B55&lt;&gt;0,CONCATENATE(E55+IFERROR(VLOOKUP(B55,$B$2:$N$36,4,FALSE),0) + X55, " OZ, ", H55+IFERROR(VLOOKUP(B55,$B$2:$N$36,9,FALSE),0) + Y55+Z55, " (", F55+IFERROR(VLOOKUP(B55,$B$2:$N$36,5,FALSE),0) + Y55, "+",G55+IFERROR(VLOOKUP(B55,$B$2:$N$36,8,FALSE),0) +  Z55, ")"), "")</f>
        <v>186 OZ, 154 (71+83)</v>
      </c>
      <c r="P55" s="112" t="str">
        <f>IF(M55&lt;&gt;0,CONCATENATE(M55,"/",N55),"")</f>
        <v>182/70</v>
      </c>
      <c r="Q55" s="192" t="s">
        <v>741</v>
      </c>
      <c r="R55" s="191">
        <v>1999</v>
      </c>
      <c r="S55" s="112" t="str">
        <f>IFERROR(CONCATENATE(E55+VLOOKUP(B55,$B$39:$R$42,4,FALSE), " OZ, ",G55+VLOOKUP(B55,$B$39:$R$42,13,FALSE), " A"),"")</f>
        <v/>
      </c>
      <c r="T55" s="1" t="str">
        <f>IF(B55&lt;&gt;0,IF(V55=1,U55,CONCATENATE(U55," ",W55,".")),"")</f>
        <v>Hubálek</v>
      </c>
      <c r="U55" s="1" t="str">
        <f>IFERROR(RIGHT(B55,LEN(B55)-SEARCH(" ", B55,1)),"")</f>
        <v>Hubálek</v>
      </c>
      <c r="V55" s="112">
        <f>IF(B55&lt;&gt;0,COUNTIF($U$48:$U$82,U55),"")</f>
        <v>1</v>
      </c>
      <c r="W55" s="112" t="str">
        <f>IFERROR(LEFT(LEFT(B55,SEARCH(" ",B55,1)),1),"")</f>
        <v>J</v>
      </c>
      <c r="X55" s="139"/>
      <c r="Y55" s="139"/>
      <c r="Z55" s="139"/>
      <c r="AA55" s="138"/>
    </row>
    <row r="56" spans="2:27" ht="15" customHeight="1" x14ac:dyDescent="0.25">
      <c r="B56" s="186" t="s">
        <v>262</v>
      </c>
      <c r="C56" s="185">
        <v>37349</v>
      </c>
      <c r="D56" s="112">
        <f ca="1">IF(C56 &lt;&gt; 0,ROUNDDOWN(($A$47-C56)/365.25,0),"")</f>
        <v>18</v>
      </c>
      <c r="E56" s="191">
        <v>3</v>
      </c>
      <c r="F56" s="191">
        <v>0</v>
      </c>
      <c r="G56" s="191">
        <v>0</v>
      </c>
      <c r="H56" s="112">
        <f>IF(B56&lt;&gt;0,F56+G56,"")</f>
        <v>0</v>
      </c>
      <c r="I56" s="191">
        <v>2</v>
      </c>
      <c r="J56" s="191">
        <v>10</v>
      </c>
      <c r="K56" s="191"/>
      <c r="L56" s="191" t="s">
        <v>78</v>
      </c>
      <c r="M56" s="191">
        <v>178</v>
      </c>
      <c r="N56" s="191">
        <v>70</v>
      </c>
      <c r="O56" s="119" t="str">
        <f>IF(B56&lt;&gt;0,CONCATENATE(E56+IFERROR(VLOOKUP(B56,$B$2:$N$36,4,FALSE),0) + X56, " OZ, ", H56+IFERROR(VLOOKUP(B56,$B$2:$N$36,9,FALSE),0) + Y56+Z56, " (", F56+IFERROR(VLOOKUP(B56,$B$2:$N$36,5,FALSE),0) + Y56, "+",G56+IFERROR(VLOOKUP(B56,$B$2:$N$36,8,FALSE),0) +  Z56, ")"), "")</f>
        <v>13 OZ, 7 (4+3)</v>
      </c>
      <c r="P56" s="112" t="str">
        <f>IF(M56&lt;&gt;0,CONCATENATE(M56,"/",N56),"")</f>
        <v>178/70</v>
      </c>
      <c r="Q56" s="192" t="s">
        <v>206</v>
      </c>
      <c r="R56" s="191">
        <v>2008</v>
      </c>
      <c r="S56" s="112" t="str">
        <f>IFERROR(CONCATENATE(E56+VLOOKUP(B56,$B$39:$R$42,4,FALSE), " OZ, ",G56+VLOOKUP(B56,$B$39:$R$42,13,FALSE), " A"),"")</f>
        <v/>
      </c>
      <c r="T56" s="1" t="str">
        <f>IF(B56&lt;&gt;0,IF(V56=1,U56,CONCATENATE(U56," ",W56,".")),"")</f>
        <v>Choma</v>
      </c>
      <c r="U56" s="1" t="str">
        <f>IFERROR(RIGHT(B56,LEN(B56)-SEARCH(" ", B56,1)),"")</f>
        <v>Choma</v>
      </c>
      <c r="V56" s="112">
        <f>IF(B56&lt;&gt;0,COUNTIF($U$48:$U$82,U56),"")</f>
        <v>1</v>
      </c>
      <c r="W56" s="112" t="str">
        <f>IFERROR(LEFT(LEFT(B56,SEARCH(" ",B56,1)),1),"")</f>
        <v>A</v>
      </c>
      <c r="X56" s="139"/>
      <c r="Y56" s="139"/>
      <c r="Z56" s="139"/>
      <c r="AA56" s="138"/>
    </row>
    <row r="57" spans="2:27" ht="15" customHeight="1" x14ac:dyDescent="0.25">
      <c r="B57" s="186" t="s">
        <v>264</v>
      </c>
      <c r="C57" s="185">
        <v>37536</v>
      </c>
      <c r="D57" s="112">
        <f ca="1">IF(C57 &lt;&gt; 0,ROUNDDOWN(($A$47-C57)/365.25,0),"")</f>
        <v>18</v>
      </c>
      <c r="E57" s="191">
        <v>0</v>
      </c>
      <c r="F57" s="191">
        <v>0</v>
      </c>
      <c r="G57" s="191">
        <v>0</v>
      </c>
      <c r="H57" s="112">
        <f>IF(B57&lt;&gt;0,F57+G57,"")</f>
        <v>0</v>
      </c>
      <c r="I57" s="191">
        <v>1</v>
      </c>
      <c r="J57" s="191">
        <v>6</v>
      </c>
      <c r="K57" s="191"/>
      <c r="L57" s="191" t="s">
        <v>78</v>
      </c>
      <c r="M57" s="191">
        <v>193</v>
      </c>
      <c r="N57" s="191">
        <v>89</v>
      </c>
      <c r="O57" s="119" t="str">
        <f>IF(B57&lt;&gt;0,CONCATENATE(E57+IFERROR(VLOOKUP(B57,$B$2:$N$36,4,FALSE),0) + X57, " OZ, ", H57+IFERROR(VLOOKUP(B57,$B$2:$N$36,9,FALSE),0) + Y57+Z57, " (", F57+IFERROR(VLOOKUP(B57,$B$2:$N$36,5,FALSE),0) + Y57, "+",G57+IFERROR(VLOOKUP(B57,$B$2:$N$36,8,FALSE),0) +  Z57, ")"), "")</f>
        <v>8 OZ, 3 (2+1)</v>
      </c>
      <c r="P57" s="112" t="str">
        <f>IF(M57&lt;&gt;0,CONCATENATE(M57,"/",N57),"")</f>
        <v>193/89</v>
      </c>
      <c r="Q57" s="192" t="s">
        <v>930</v>
      </c>
      <c r="R57" s="191" t="s">
        <v>30</v>
      </c>
      <c r="S57" s="112" t="str">
        <f>IFERROR(CONCATENATE(E57+VLOOKUP(B57,$B$39:$R$42,4,FALSE), " OZ, ",G57+VLOOKUP(B57,$B$39:$R$42,13,FALSE), " A"),"")</f>
        <v/>
      </c>
      <c r="T57" s="1" t="str">
        <f>IF(B57&lt;&gt;0,IF(V57=1,U57,CONCATENATE(U57," ",W57,".")),"")</f>
        <v>Janis Anis</v>
      </c>
      <c r="U57" s="1" t="str">
        <f>IFERROR(RIGHT(B57,LEN(B57)-SEARCH(" ", B57,1)),"")</f>
        <v>Janis Anis</v>
      </c>
      <c r="V57" s="112">
        <f>IF(B57&lt;&gt;0,COUNTIF($U$48:$U$82,U57),"")</f>
        <v>1</v>
      </c>
      <c r="W57" s="112" t="str">
        <f>IFERROR(LEFT(LEFT(B57,SEARCH(" ",B57,1)),1),"")</f>
        <v>D</v>
      </c>
      <c r="X57" s="139"/>
      <c r="Y57" s="139"/>
      <c r="Z57" s="139"/>
      <c r="AA57" s="138"/>
    </row>
    <row r="58" spans="2:27" ht="15" customHeight="1" x14ac:dyDescent="0.25">
      <c r="B58" s="186" t="s">
        <v>273</v>
      </c>
      <c r="C58" s="185">
        <v>36522</v>
      </c>
      <c r="D58" s="112">
        <f ca="1">IF(C58 &lt;&gt; 0,ROUNDDOWN(($A$47-C58)/365.25,0),"")</f>
        <v>21</v>
      </c>
      <c r="E58" s="191">
        <v>0</v>
      </c>
      <c r="F58" s="191">
        <v>0</v>
      </c>
      <c r="G58" s="191">
        <v>0</v>
      </c>
      <c r="H58" s="112">
        <f>IF(B58&lt;&gt;0,F58+G58,"")</f>
        <v>0</v>
      </c>
      <c r="I58" s="191">
        <v>1</v>
      </c>
      <c r="J58" s="191">
        <v>24</v>
      </c>
      <c r="K58" s="191"/>
      <c r="L58" s="191" t="s">
        <v>30</v>
      </c>
      <c r="M58" s="191">
        <v>186</v>
      </c>
      <c r="N58" s="191">
        <v>89</v>
      </c>
      <c r="O58" s="119" t="str">
        <f>IF(B58&lt;&gt;0,CONCATENATE(E58+IFERROR(VLOOKUP(B58,$B$2:$N$36,4,FALSE),0) + X58, " OZ, ", H58+IFERROR(VLOOKUP(B58,$B$2:$N$36,9,FALSE),0) + Y58+Z58, " (", F58+IFERROR(VLOOKUP(B58,$B$2:$N$36,5,FALSE),0) + Y58, "+",G58+IFERROR(VLOOKUP(B58,$B$2:$N$36,8,FALSE),0) +  Z58, ")"), "")</f>
        <v>0 OZ, 1 (0+1)</v>
      </c>
      <c r="P58" s="112" t="str">
        <f>IF(M58&lt;&gt;0,CONCATENATE(M58,"/",N58),"")</f>
        <v>186/89</v>
      </c>
      <c r="Q58" s="192" t="s">
        <v>931</v>
      </c>
      <c r="R58" s="191">
        <v>2011</v>
      </c>
      <c r="S58" s="112" t="str">
        <f>IFERROR(CONCATENATE(E58+VLOOKUP(B58,$B$39:$R$42,4,FALSE), " OZ, ",G58+VLOOKUP(B58,$B$39:$R$42,13,FALSE), " A"),"")</f>
        <v>5 OZ, 1 A</v>
      </c>
      <c r="T58" s="1" t="str">
        <f>IF(B58&lt;&gt;0,IF(V58=1,U58,CONCATENATE(U58," ",W58,".")),"")</f>
        <v>Jasiok</v>
      </c>
      <c r="U58" s="1" t="str">
        <f>IFERROR(RIGHT(B58,LEN(B58)-SEARCH(" ", B58,1)),"")</f>
        <v>Jasiok</v>
      </c>
      <c r="V58" s="112">
        <f>IF(B58&lt;&gt;0,COUNTIF($U$48:$U$82,U58),"")</f>
        <v>1</v>
      </c>
      <c r="W58" s="112" t="str">
        <f>IFERROR(LEFT(LEFT(B58,SEARCH(" ",B58,1)),1),"")</f>
        <v>D</v>
      </c>
      <c r="X58" s="139"/>
      <c r="Y58" s="139"/>
      <c r="Z58" s="139"/>
      <c r="AA58" s="138"/>
    </row>
    <row r="59" spans="2:27" ht="15" customHeight="1" x14ac:dyDescent="0.25">
      <c r="B59" s="186" t="s">
        <v>271</v>
      </c>
      <c r="C59" s="185">
        <v>33095</v>
      </c>
      <c r="D59" s="112">
        <f ca="1">IF(C59 &lt;&gt; 0,ROUNDDOWN(($A$47-C59)/365.25,0),"")</f>
        <v>30</v>
      </c>
      <c r="E59" s="191">
        <v>185</v>
      </c>
      <c r="F59" s="191">
        <v>64</v>
      </c>
      <c r="G59" s="191">
        <v>75</v>
      </c>
      <c r="H59" s="112">
        <f>IF(B59&lt;&gt;0,F59+G59,"")</f>
        <v>139</v>
      </c>
      <c r="I59" s="191">
        <v>11</v>
      </c>
      <c r="J59" s="191">
        <v>71</v>
      </c>
      <c r="K59" s="191"/>
      <c r="L59" s="191" t="s">
        <v>41</v>
      </c>
      <c r="M59" s="191">
        <v>190</v>
      </c>
      <c r="N59" s="191">
        <v>82</v>
      </c>
      <c r="O59" s="119" t="str">
        <f>IF(B59&lt;&gt;0,CONCATENATE(E59+IFERROR(VLOOKUP(B59,$B$2:$N$36,4,FALSE),0) + X59, " OZ, ", H59+IFERROR(VLOOKUP(B59,$B$2:$N$36,9,FALSE),0) + Y59+Z59, " (", F59+IFERROR(VLOOKUP(B59,$B$2:$N$36,5,FALSE),0) + Y59, "+",G59+IFERROR(VLOOKUP(B59,$B$2:$N$36,8,FALSE),0) +  Z59, ")"), "")</f>
        <v>187 OZ, 139 (64+75)</v>
      </c>
      <c r="P59" s="112" t="str">
        <f>IF(M59&lt;&gt;0,CONCATENATE(M59,"/",N59),"")</f>
        <v>190/82</v>
      </c>
      <c r="Q59" s="192" t="s">
        <v>932</v>
      </c>
      <c r="R59" s="191">
        <v>2000</v>
      </c>
      <c r="S59" s="112" t="str">
        <f>IFERROR(CONCATENATE(E59+VLOOKUP(B59,$B$39:$R$42,4,FALSE), " OZ, ",G59+VLOOKUP(B59,$B$39:$R$42,13,FALSE), " A"),"")</f>
        <v/>
      </c>
      <c r="T59" s="1" t="str">
        <f>IF(B59&lt;&gt;0,IF(V59=1,U59,CONCATENATE(U59," ",W59,".")),"")</f>
        <v>Jastřembský</v>
      </c>
      <c r="U59" s="1" t="str">
        <f>IFERROR(RIGHT(B59,LEN(B59)-SEARCH(" ", B59,1)),"")</f>
        <v>Jastřembský</v>
      </c>
      <c r="V59" s="112">
        <f>IF(B59&lt;&gt;0,COUNTIF($U$48:$U$82,U59),"")</f>
        <v>1</v>
      </c>
      <c r="W59" s="112" t="str">
        <f>IFERROR(LEFT(LEFT(B59,SEARCH(" ",B59,1)),1),"")</f>
        <v>J</v>
      </c>
      <c r="X59" s="139"/>
      <c r="Y59" s="139"/>
      <c r="Z59" s="139"/>
      <c r="AA59" s="138"/>
    </row>
    <row r="60" spans="2:27" ht="15" customHeight="1" x14ac:dyDescent="0.25">
      <c r="B60" s="186" t="s">
        <v>268</v>
      </c>
      <c r="C60" s="185">
        <v>37275</v>
      </c>
      <c r="D60" s="112">
        <f ca="1">IF(C60 &lt;&gt; 0,ROUNDDOWN(($A$47-C60)/365.25,0),"")</f>
        <v>19</v>
      </c>
      <c r="E60" s="191">
        <v>1</v>
      </c>
      <c r="F60" s="191">
        <v>0</v>
      </c>
      <c r="G60" s="191">
        <v>0</v>
      </c>
      <c r="H60" s="112">
        <f>IF(B60&lt;&gt;0,F60+G60,"")</f>
        <v>0</v>
      </c>
      <c r="I60" s="191">
        <v>2</v>
      </c>
      <c r="J60" s="191">
        <v>92</v>
      </c>
      <c r="K60" s="191"/>
      <c r="L60" s="191" t="s">
        <v>41</v>
      </c>
      <c r="M60" s="191">
        <v>184</v>
      </c>
      <c r="N60" s="191">
        <v>69</v>
      </c>
      <c r="O60" s="119" t="str">
        <f>IF(B60&lt;&gt;0,CONCATENATE(E60+IFERROR(VLOOKUP(B60,$B$2:$N$36,4,FALSE),0) + X60, " OZ, ", H60+IFERROR(VLOOKUP(B60,$B$2:$N$36,9,FALSE),0) + Y60+Z60, " (", F60+IFERROR(VLOOKUP(B60,$B$2:$N$36,5,FALSE),0) + Y60, "+",G60+IFERROR(VLOOKUP(B60,$B$2:$N$36,8,FALSE),0) +  Z60, ")"), "")</f>
        <v>17 OZ, 3 (2+1)</v>
      </c>
      <c r="P60" s="112" t="str">
        <f>IF(M60&lt;&gt;0,CONCATENATE(M60,"/",N60),"")</f>
        <v>184/69</v>
      </c>
      <c r="Q60" s="192" t="s">
        <v>933</v>
      </c>
      <c r="R60" s="191">
        <v>2010</v>
      </c>
      <c r="S60" s="112" t="str">
        <f>IFERROR(CONCATENATE(E60+VLOOKUP(B60,$B$39:$R$42,4,FALSE), " OZ, ",G60+VLOOKUP(B60,$B$39:$R$42,13,FALSE), " A"),"")</f>
        <v/>
      </c>
      <c r="T60" s="1" t="str">
        <f>IF(B60&lt;&gt;0,IF(V60=1,U60,CONCATENATE(U60," ",W60,".")),"")</f>
        <v>Kaleta</v>
      </c>
      <c r="U60" s="1" t="str">
        <f>IFERROR(RIGHT(B60,LEN(B60)-SEARCH(" ", B60,1)),"")</f>
        <v>Kaleta</v>
      </c>
      <c r="V60" s="112">
        <f>IF(B60&lt;&gt;0,COUNTIF($U$48:$U$82,U60),"")</f>
        <v>1</v>
      </c>
      <c r="W60" s="112" t="str">
        <f>IFERROR(LEFT(LEFT(B60,SEARCH(" ",B60,1)),1),"")</f>
        <v>Š</v>
      </c>
      <c r="X60" s="139"/>
      <c r="Y60" s="139"/>
      <c r="Z60" s="139"/>
      <c r="AA60" s="138"/>
    </row>
    <row r="61" spans="2:27" ht="15" customHeight="1" x14ac:dyDescent="0.25">
      <c r="B61" s="186" t="s">
        <v>260</v>
      </c>
      <c r="C61" s="185">
        <v>36436</v>
      </c>
      <c r="D61" s="112">
        <f ca="1">IF(C61 &lt;&gt; 0,ROUNDDOWN(($A$47-C61)/365.25,0),"")</f>
        <v>21</v>
      </c>
      <c r="E61" s="191">
        <v>78</v>
      </c>
      <c r="F61" s="191">
        <v>24</v>
      </c>
      <c r="G61" s="191">
        <v>36</v>
      </c>
      <c r="H61" s="112">
        <f>IF(B61&lt;&gt;0,F61+G61,"")</f>
        <v>60</v>
      </c>
      <c r="I61" s="191">
        <v>5</v>
      </c>
      <c r="J61" s="191">
        <v>7</v>
      </c>
      <c r="K61" s="191"/>
      <c r="L61" s="191" t="s">
        <v>41</v>
      </c>
      <c r="M61" s="191">
        <v>175</v>
      </c>
      <c r="N61" s="191">
        <v>65</v>
      </c>
      <c r="O61" s="119" t="str">
        <f>IF(B61&lt;&gt;0,CONCATENATE(E61+IFERROR(VLOOKUP(B61,$B$2:$N$36,4,FALSE),0) + X61, " OZ, ", H61+IFERROR(VLOOKUP(B61,$B$2:$N$36,9,FALSE),0) + Y61+Z61, " (", F61+IFERROR(VLOOKUP(B61,$B$2:$N$36,5,FALSE),0) + Y61, "+",G61+IFERROR(VLOOKUP(B61,$B$2:$N$36,8,FALSE),0) +  Z61, ")"), "")</f>
        <v>96 OZ, 70 (28+42)</v>
      </c>
      <c r="P61" s="112" t="str">
        <f>IF(M61&lt;&gt;0,CONCATENATE(M61,"/",N61),"")</f>
        <v>175/65</v>
      </c>
      <c r="Q61" s="192" t="s">
        <v>934</v>
      </c>
      <c r="R61" s="191">
        <v>2011</v>
      </c>
      <c r="S61" s="112" t="str">
        <f>IFERROR(CONCATENATE(E61+VLOOKUP(B61,$B$39:$R$42,4,FALSE), " OZ, ",G61+VLOOKUP(B61,$B$39:$R$42,13,FALSE), " A"),"")</f>
        <v/>
      </c>
      <c r="T61" s="1" t="str">
        <f>IF(B61&lt;&gt;0,IF(V61=1,U61,CONCATENATE(U61," ",W61,".")),"")</f>
        <v>Kuczera</v>
      </c>
      <c r="U61" s="1" t="str">
        <f>IFERROR(RIGHT(B61,LEN(B61)-SEARCH(" ", B61,1)),"")</f>
        <v>Kuczera</v>
      </c>
      <c r="V61" s="112">
        <f>IF(B61&lt;&gt;0,COUNTIF($U$48:$U$82,U61),"")</f>
        <v>1</v>
      </c>
      <c r="W61" s="112" t="str">
        <f>IFERROR(LEFT(LEFT(B61,SEARCH(" ",B61,1)),1),"")</f>
        <v>Š</v>
      </c>
      <c r="X61" s="139"/>
      <c r="Y61" s="139"/>
      <c r="Z61" s="139"/>
      <c r="AA61" s="138"/>
    </row>
    <row r="62" spans="2:27" ht="15" customHeight="1" x14ac:dyDescent="0.25">
      <c r="B62" s="186" t="s">
        <v>677</v>
      </c>
      <c r="C62" s="185"/>
      <c r="D62" s="112" t="str">
        <f>IF(C62 &lt;&gt; 0,ROUNDDOWN(($A$47-C62)/365.25,0),"")</f>
        <v/>
      </c>
      <c r="E62" s="191"/>
      <c r="F62" s="191"/>
      <c r="G62" s="191"/>
      <c r="H62" s="112">
        <f>IF(B62&lt;&gt;0,F62+G62,"")</f>
        <v>0</v>
      </c>
      <c r="I62" s="191"/>
      <c r="J62" s="191"/>
      <c r="K62" s="191"/>
      <c r="L62" s="191"/>
      <c r="M62" s="191"/>
      <c r="N62" s="191"/>
      <c r="O62" s="119" t="str">
        <f>IF(B62&lt;&gt;0,CONCATENATE(E62+IFERROR(VLOOKUP(B62,$B$2:$N$36,4,FALSE),0) + X62, " OZ, ", H62+IFERROR(VLOOKUP(B62,$B$2:$N$36,9,FALSE),0) + Y62+Z62, " (", F62+IFERROR(VLOOKUP(B62,$B$2:$N$36,5,FALSE),0) + Y62, "+",G62+IFERROR(VLOOKUP(B62,$B$2:$N$36,8,FALSE),0) +  Z62, ")"), "")</f>
        <v>4 OZ, 3 (0+3)</v>
      </c>
      <c r="P62" s="112" t="str">
        <f>IF(M62&lt;&gt;0,CONCATENATE(M62,"/",N62),"")</f>
        <v/>
      </c>
      <c r="Q62" s="192"/>
      <c r="R62" s="191"/>
      <c r="S62" s="112" t="str">
        <f>IFERROR(CONCATENATE(E62+VLOOKUP(B62,$B$39:$R$42,4,FALSE), " OZ, ",G62+VLOOKUP(B62,$B$39:$R$42,13,FALSE), " A"),"")</f>
        <v/>
      </c>
      <c r="T62" s="1" t="str">
        <f>IF(B62&lt;&gt;0,IF(V62=1,U62,CONCATENATE(U62," ",W62,".")),"")</f>
        <v>Kvasnica</v>
      </c>
      <c r="U62" s="1" t="str">
        <f>IFERROR(RIGHT(B62,LEN(B62)-SEARCH(" ", B62,1)),"")</f>
        <v>Kvasnica</v>
      </c>
      <c r="V62" s="112">
        <f>IF(B62&lt;&gt;0,COUNTIF($U$48:$U$82,U62),"")</f>
        <v>1</v>
      </c>
      <c r="W62" s="112" t="str">
        <f>IFERROR(LEFT(LEFT(B62,SEARCH(" ",B62,1)),1),"")</f>
        <v>T</v>
      </c>
      <c r="X62" s="139"/>
      <c r="Y62" s="139"/>
      <c r="Z62" s="139"/>
      <c r="AA62" s="138"/>
    </row>
    <row r="63" spans="2:27" ht="15" customHeight="1" x14ac:dyDescent="0.25">
      <c r="B63" s="186" t="s">
        <v>254</v>
      </c>
      <c r="C63" s="185">
        <v>34289</v>
      </c>
      <c r="D63" s="112">
        <f ca="1">IF(C63 &lt;&gt; 0,ROUNDDOWN(($A$47-C63)/365.25,0),"")</f>
        <v>27</v>
      </c>
      <c r="E63" s="191">
        <v>179</v>
      </c>
      <c r="F63" s="191">
        <v>106</v>
      </c>
      <c r="G63" s="191">
        <v>83</v>
      </c>
      <c r="H63" s="112">
        <f>IF(B63&lt;&gt;0,F63+G63,"")</f>
        <v>189</v>
      </c>
      <c r="I63" s="191">
        <v>11</v>
      </c>
      <c r="J63" s="191">
        <v>86</v>
      </c>
      <c r="K63" s="191"/>
      <c r="L63" s="191" t="s">
        <v>78</v>
      </c>
      <c r="M63" s="191">
        <v>168</v>
      </c>
      <c r="N63" s="191">
        <v>69</v>
      </c>
      <c r="O63" s="119" t="str">
        <f>IF(B63&lt;&gt;0,CONCATENATE(E63+IFERROR(VLOOKUP(B63,$B$2:$N$36,4,FALSE),0) + X63, " OZ, ", H63+IFERROR(VLOOKUP(B63,$B$2:$N$36,9,FALSE),0) + Y63+Z63, " (", F63+IFERROR(VLOOKUP(B63,$B$2:$N$36,5,FALSE),0) + Y63, "+",G63+IFERROR(VLOOKUP(B63,$B$2:$N$36,8,FALSE),0) +  Z63, ")"), "")</f>
        <v>201 OZ, 224 (121+103)</v>
      </c>
      <c r="P63" s="112" t="str">
        <f>IF(M63&lt;&gt;0,CONCATENATE(M63,"/",N63),"")</f>
        <v>168/69</v>
      </c>
      <c r="Q63" s="192" t="s">
        <v>741</v>
      </c>
      <c r="R63" s="191">
        <v>2006</v>
      </c>
      <c r="S63" s="112" t="str">
        <f>IFERROR(CONCATENATE(E63+VLOOKUP(B63,$B$39:$R$42,4,FALSE), " OZ, ",G63+VLOOKUP(B63,$B$39:$R$42,13,FALSE), " A"),"")</f>
        <v/>
      </c>
      <c r="T63" s="1" t="str">
        <f>IF(B63&lt;&gt;0,IF(V63=1,U63,CONCATENATE(U63," ",W63,".")),"")</f>
        <v>Matejčík</v>
      </c>
      <c r="U63" s="1" t="str">
        <f>IFERROR(RIGHT(B63,LEN(B63)-SEARCH(" ", B63,1)),"")</f>
        <v>Matejčík</v>
      </c>
      <c r="V63" s="112">
        <f>IF(B63&lt;&gt;0,COUNTIF($U$48:$U$82,U63),"")</f>
        <v>1</v>
      </c>
      <c r="W63" s="112" t="str">
        <f>IFERROR(LEFT(LEFT(B63,SEARCH(" ",B63,1)),1),"")</f>
        <v>M</v>
      </c>
      <c r="X63" s="139"/>
      <c r="Y63" s="139"/>
      <c r="Z63" s="139"/>
      <c r="AA63" s="138"/>
    </row>
    <row r="64" spans="2:27" ht="15" customHeight="1" x14ac:dyDescent="0.25">
      <c r="B64" s="186" t="s">
        <v>678</v>
      </c>
      <c r="C64" s="185"/>
      <c r="D64" s="112" t="str">
        <f>IF(C64 &lt;&gt; 0,ROUNDDOWN(($A$47-C64)/365.25,0),"")</f>
        <v/>
      </c>
      <c r="E64" s="191"/>
      <c r="F64" s="191"/>
      <c r="G64" s="191"/>
      <c r="H64" s="112">
        <f>IF(B64&lt;&gt;0,F64+G64,"")</f>
        <v>0</v>
      </c>
      <c r="I64" s="191"/>
      <c r="J64" s="191"/>
      <c r="K64" s="191"/>
      <c r="L64" s="191"/>
      <c r="M64" s="191"/>
      <c r="N64" s="191"/>
      <c r="O64" s="119" t="str">
        <f>IF(B64&lt;&gt;0,CONCATENATE(E64+IFERROR(VLOOKUP(B64,$B$2:$N$36,4,FALSE),0) + X64, " OZ, ", H64+IFERROR(VLOOKUP(B64,$B$2:$N$36,9,FALSE),0) + Y64+Z64, " (", F64+IFERROR(VLOOKUP(B64,$B$2:$N$36,5,FALSE),0) + Y64, "+",G64+IFERROR(VLOOKUP(B64,$B$2:$N$36,8,FALSE),0) +  Z64, ")"), "")</f>
        <v>3 OZ, 2 (2+0)</v>
      </c>
      <c r="P64" s="112" t="str">
        <f>IF(M64&lt;&gt;0,CONCATENATE(M64,"/",N64),"")</f>
        <v/>
      </c>
      <c r="Q64" s="192"/>
      <c r="R64" s="191"/>
      <c r="S64" s="112" t="str">
        <f>IFERROR(CONCATENATE(E64+VLOOKUP(B64,$B$39:$R$42,4,FALSE), " OZ, ",G64+VLOOKUP(B64,$B$39:$R$42,13,FALSE), " A"),"")</f>
        <v/>
      </c>
      <c r="T64" s="1" t="str">
        <f>IF(B64&lt;&gt;0,IF(V64=1,U64,CONCATENATE(U64," ",W64,".")),"")</f>
        <v>Mirt</v>
      </c>
      <c r="U64" s="1" t="str">
        <f>IFERROR(RIGHT(B64,LEN(B64)-SEARCH(" ", B64,1)),"")</f>
        <v>Mirt</v>
      </c>
      <c r="V64" s="112">
        <f>IF(B64&lt;&gt;0,COUNTIF($U$48:$U$82,U64),"")</f>
        <v>1</v>
      </c>
      <c r="W64" s="112" t="str">
        <f>IFERROR(LEFT(LEFT(B64,SEARCH(" ",B64,1)),1),"")</f>
        <v>L</v>
      </c>
      <c r="X64" s="139"/>
      <c r="Y64" s="139"/>
      <c r="Z64" s="139"/>
      <c r="AA64" s="138"/>
    </row>
    <row r="65" spans="2:27" ht="15" customHeight="1" x14ac:dyDescent="0.25">
      <c r="B65" s="186" t="s">
        <v>263</v>
      </c>
      <c r="C65" s="185">
        <v>33949</v>
      </c>
      <c r="D65" s="112">
        <f ca="1">IF(C65 &lt;&gt; 0,ROUNDDOWN(($A$47-C65)/365.25,0),"")</f>
        <v>28</v>
      </c>
      <c r="E65" s="191">
        <v>114</v>
      </c>
      <c r="F65" s="191">
        <v>10</v>
      </c>
      <c r="G65" s="191">
        <v>21</v>
      </c>
      <c r="H65" s="112">
        <f>IF(B65&lt;&gt;0,F65+G65,"")</f>
        <v>31</v>
      </c>
      <c r="I65" s="191">
        <v>7</v>
      </c>
      <c r="J65" s="191">
        <v>23</v>
      </c>
      <c r="K65" s="191"/>
      <c r="L65" s="191" t="s">
        <v>78</v>
      </c>
      <c r="M65" s="191">
        <v>179</v>
      </c>
      <c r="N65" s="191">
        <v>69</v>
      </c>
      <c r="O65" s="119" t="str">
        <f>IF(B65&lt;&gt;0,CONCATENATE(E65+IFERROR(VLOOKUP(B65,$B$2:$N$36,4,FALSE),0) + X65, " OZ, ", H65+IFERROR(VLOOKUP(B65,$B$2:$N$36,9,FALSE),0) + Y65+Z65, " (", F65+IFERROR(VLOOKUP(B65,$B$2:$N$36,5,FALSE),0) + Y65, "+",G65+IFERROR(VLOOKUP(B65,$B$2:$N$36,8,FALSE),0) +  Z65, ")"), "")</f>
        <v>135 OZ, 39 (10+29)</v>
      </c>
      <c r="P65" s="112" t="str">
        <f>IF(M65&lt;&gt;0,CONCATENATE(M65,"/",N65),"")</f>
        <v>179/69</v>
      </c>
      <c r="Q65" s="192" t="s">
        <v>935</v>
      </c>
      <c r="R65" s="191">
        <v>2008</v>
      </c>
      <c r="S65" s="112" t="str">
        <f>IFERROR(CONCATENATE(E65+VLOOKUP(B65,$B$39:$R$42,4,FALSE), " OZ, ",G65+VLOOKUP(B65,$B$39:$R$42,13,FALSE), " A"),"")</f>
        <v/>
      </c>
      <c r="T65" s="1" t="str">
        <f>IF(B65&lt;&gt;0,IF(V65=1,U65,CONCATENATE(U65," ",W65,".")),"")</f>
        <v>Nehera</v>
      </c>
      <c r="U65" s="1" t="str">
        <f>IFERROR(RIGHT(B65,LEN(B65)-SEARCH(" ", B65,1)),"")</f>
        <v>Nehera</v>
      </c>
      <c r="V65" s="112">
        <f>IF(B65&lt;&gt;0,COUNTIF($U$48:$U$82,U65),"")</f>
        <v>1</v>
      </c>
      <c r="W65" s="112" t="str">
        <f>IFERROR(LEFT(LEFT(B65,SEARCH(" ",B65,1)),1),"")</f>
        <v>M</v>
      </c>
      <c r="X65" s="139"/>
      <c r="Y65" s="139"/>
      <c r="Z65" s="139"/>
      <c r="AA65" s="138"/>
    </row>
    <row r="66" spans="2:27" ht="15" customHeight="1" x14ac:dyDescent="0.25">
      <c r="B66" s="186" t="s">
        <v>258</v>
      </c>
      <c r="C66" s="185">
        <v>37063</v>
      </c>
      <c r="D66" s="112">
        <f ca="1">IF(C66 &lt;&gt; 0,ROUNDDOWN(($A$47-C66)/365.25,0),"")</f>
        <v>19</v>
      </c>
      <c r="E66" s="191">
        <v>16</v>
      </c>
      <c r="F66" s="191">
        <v>8</v>
      </c>
      <c r="G66" s="191">
        <v>1</v>
      </c>
      <c r="H66" s="112">
        <f>IF(B66&lt;&gt;0,F66+G66,"")</f>
        <v>9</v>
      </c>
      <c r="I66" s="191">
        <v>2</v>
      </c>
      <c r="J66" s="191">
        <v>18</v>
      </c>
      <c r="K66" s="191"/>
      <c r="L66" s="191" t="s">
        <v>78</v>
      </c>
      <c r="M66" s="191">
        <v>186</v>
      </c>
      <c r="N66" s="191">
        <v>70</v>
      </c>
      <c r="O66" s="119" t="str">
        <f>IF(B66&lt;&gt;0,CONCATENATE(E66+IFERROR(VLOOKUP(B66,$B$2:$N$36,4,FALSE),0) + X66, " OZ, ", H66+IFERROR(VLOOKUP(B66,$B$2:$N$36,9,FALSE),0) + Y66+Z66, " (", F66+IFERROR(VLOOKUP(B66,$B$2:$N$36,5,FALSE),0) + Y66, "+",G66+IFERROR(VLOOKUP(B66,$B$2:$N$36,8,FALSE),0) +  Z66, ")"), "")</f>
        <v>38 OZ, 28 (16+12)</v>
      </c>
      <c r="P66" s="112" t="str">
        <f>IF(M66&lt;&gt;0,CONCATENATE(M66,"/",N66),"")</f>
        <v>186/70</v>
      </c>
      <c r="Q66" s="192" t="s">
        <v>936</v>
      </c>
      <c r="R66" s="191">
        <v>2009</v>
      </c>
      <c r="S66" s="112" t="str">
        <f>IFERROR(CONCATENATE(E66+VLOOKUP(B66,$B$39:$R$42,4,FALSE), " OZ, ",G66+VLOOKUP(B66,$B$39:$R$42,13,FALSE), " A"),"")</f>
        <v/>
      </c>
      <c r="T66" s="1" t="str">
        <f>IF(B66&lt;&gt;0,IF(V66=1,U66,CONCATENATE(U66," ",W66,".")),"")</f>
        <v>Sidunov</v>
      </c>
      <c r="U66" s="1" t="str">
        <f>IFERROR(RIGHT(B66,LEN(B66)-SEARCH(" ", B66,1)),"")</f>
        <v>Sidunov</v>
      </c>
      <c r="V66" s="112">
        <f>IF(B66&lt;&gt;0,COUNTIF($U$48:$U$82,U66),"")</f>
        <v>1</v>
      </c>
      <c r="W66" s="112" t="str">
        <f>IFERROR(LEFT(LEFT(B66,SEARCH(" ",B66,1)),1),"")</f>
        <v>O</v>
      </c>
      <c r="X66" s="139"/>
      <c r="Y66" s="139"/>
      <c r="Z66" s="139"/>
      <c r="AA66" s="138"/>
    </row>
    <row r="67" spans="2:27" ht="15" customHeight="1" x14ac:dyDescent="0.25">
      <c r="B67" s="186" t="s">
        <v>261</v>
      </c>
      <c r="C67" s="185">
        <v>31633</v>
      </c>
      <c r="D67" s="112">
        <f ca="1">IF(C67 &lt;&gt; 0,ROUNDDOWN(($A$47-C67)/365.25,0),"")</f>
        <v>34</v>
      </c>
      <c r="E67" s="191">
        <v>141</v>
      </c>
      <c r="F67" s="191">
        <v>87</v>
      </c>
      <c r="G67" s="191">
        <v>58</v>
      </c>
      <c r="H67" s="112">
        <f>IF(B67&lt;&gt;0,F67+G67,"")</f>
        <v>145</v>
      </c>
      <c r="I67" s="191">
        <v>11</v>
      </c>
      <c r="J67" s="191">
        <v>11</v>
      </c>
      <c r="K67" s="191" t="s">
        <v>222</v>
      </c>
      <c r="L67" s="191" t="s">
        <v>78</v>
      </c>
      <c r="M67" s="191">
        <v>186</v>
      </c>
      <c r="N67" s="191">
        <v>80</v>
      </c>
      <c r="O67" s="119" t="str">
        <f>IF(B67&lt;&gt;0,CONCATENATE(E67+IFERROR(VLOOKUP(B67,$B$2:$N$36,4,FALSE),0) + X67, " OZ, ", H67+IFERROR(VLOOKUP(B67,$B$2:$N$36,9,FALSE),0) + Y67+Z67, " (", F67+IFERROR(VLOOKUP(B67,$B$2:$N$36,5,FALSE),0) + Y67, "+",G67+IFERROR(VLOOKUP(B67,$B$2:$N$36,8,FALSE),0) +  Z67, ")"), "")</f>
        <v>161 OZ, 154 (90+64)</v>
      </c>
      <c r="P67" s="112" t="str">
        <f>IF(M67&lt;&gt;0,CONCATENATE(M67,"/",N67),"")</f>
        <v>186/80</v>
      </c>
      <c r="Q67" s="192" t="s">
        <v>741</v>
      </c>
      <c r="R67" s="191">
        <v>1994</v>
      </c>
      <c r="S67" s="112" t="str">
        <f>IFERROR(CONCATENATE(E67+VLOOKUP(B67,$B$39:$R$42,4,FALSE), " OZ, ",G67+VLOOKUP(B67,$B$39:$R$42,13,FALSE), " A"),"")</f>
        <v/>
      </c>
      <c r="T67" s="1" t="str">
        <f>IF(B67&lt;&gt;0,IF(V67=1,U67,CONCATENATE(U67," ",W67,".")),"")</f>
        <v>Sladký</v>
      </c>
      <c r="U67" s="1" t="str">
        <f>IFERROR(RIGHT(B67,LEN(B67)-SEARCH(" ", B67,1)),"")</f>
        <v>Sladký</v>
      </c>
      <c r="V67" s="112">
        <f>IF(B67&lt;&gt;0,COUNTIF($U$48:$U$82,U67),"")</f>
        <v>1</v>
      </c>
      <c r="W67" s="112" t="str">
        <f>IFERROR(LEFT(LEFT(B67,SEARCH(" ",B67,1)),1),"")</f>
        <v>T</v>
      </c>
      <c r="X67" s="139"/>
      <c r="Y67" s="139"/>
      <c r="Z67" s="139"/>
      <c r="AA67" s="138"/>
    </row>
    <row r="68" spans="2:27" ht="15" customHeight="1" x14ac:dyDescent="0.25">
      <c r="B68" s="186" t="s">
        <v>269</v>
      </c>
      <c r="C68" s="185">
        <v>33114</v>
      </c>
      <c r="D68" s="112">
        <f ca="1">IF(C68 &lt;&gt; 0,ROUNDDOWN(($A$47-C68)/365.25,0),"")</f>
        <v>30</v>
      </c>
      <c r="E68" s="191">
        <v>126</v>
      </c>
      <c r="F68" s="191">
        <v>0</v>
      </c>
      <c r="G68" s="191">
        <v>6</v>
      </c>
      <c r="H68" s="112">
        <f>IF(B68&lt;&gt;0,F68+G68,"")</f>
        <v>6</v>
      </c>
      <c r="I68" s="191">
        <v>11</v>
      </c>
      <c r="J68" s="191">
        <v>29</v>
      </c>
      <c r="K68" s="191"/>
      <c r="L68" s="191" t="s">
        <v>30</v>
      </c>
      <c r="M68" s="191">
        <v>186</v>
      </c>
      <c r="N68" s="191">
        <v>95</v>
      </c>
      <c r="O68" s="119" t="str">
        <f>IF(B68&lt;&gt;0,CONCATENATE(E68+IFERROR(VLOOKUP(B68,$B$2:$N$36,4,FALSE),0) + X68, " OZ, ", H68+IFERROR(VLOOKUP(B68,$B$2:$N$36,9,FALSE),0) + Y68+Z68, " (", F68+IFERROR(VLOOKUP(B68,$B$2:$N$36,5,FALSE),0) + Y68, "+",G68+IFERROR(VLOOKUP(B68,$B$2:$N$36,8,FALSE),0) +  Z68, ")"), "")</f>
        <v>126 OZ, 8 (0+8)</v>
      </c>
      <c r="P68" s="112" t="str">
        <f>IF(M68&lt;&gt;0,CONCATENATE(M68,"/",N68),"")</f>
        <v>186/95</v>
      </c>
      <c r="Q68" s="192" t="s">
        <v>937</v>
      </c>
      <c r="R68" s="191">
        <v>2004</v>
      </c>
      <c r="S68" s="112" t="str">
        <f>IFERROR(CONCATENATE(E68+VLOOKUP(B68,$B$39:$R$42,4,FALSE), " OZ, ",G68+VLOOKUP(B68,$B$39:$R$42,13,FALSE), " A"),"")</f>
        <v>143 OZ, 8 A</v>
      </c>
      <c r="T68" s="1" t="str">
        <f>IF(B68&lt;&gt;0,IF(V68=1,U68,CONCATENATE(U68," ",W68,".")),"")</f>
        <v>Souček</v>
      </c>
      <c r="U68" s="1" t="str">
        <f>IFERROR(RIGHT(B68,LEN(B68)-SEARCH(" ", B68,1)),"")</f>
        <v>Souček</v>
      </c>
      <c r="V68" s="112">
        <f>IF(B68&lt;&gt;0,COUNTIF($U$48:$U$82,U68),"")</f>
        <v>1</v>
      </c>
      <c r="W68" s="112" t="str">
        <f>IFERROR(LEFT(LEFT(B68,SEARCH(" ",B68,1)),1),"")</f>
        <v>L</v>
      </c>
      <c r="X68" s="139"/>
      <c r="Y68" s="139"/>
      <c r="Z68" s="139"/>
      <c r="AA68" s="138"/>
    </row>
    <row r="69" spans="2:27" ht="15" customHeight="1" x14ac:dyDescent="0.25">
      <c r="B69" s="186" t="s">
        <v>270</v>
      </c>
      <c r="C69" s="185">
        <v>37912</v>
      </c>
      <c r="D69" s="112">
        <f ca="1">IF(C69 &lt;&gt; 0,ROUNDDOWN(($A$47-C69)/365.25,0),"")</f>
        <v>17</v>
      </c>
      <c r="E69" s="191">
        <v>0</v>
      </c>
      <c r="F69" s="191">
        <v>0</v>
      </c>
      <c r="G69" s="191">
        <v>0</v>
      </c>
      <c r="H69" s="112">
        <f>IF(B69&lt;&gt;0,F69+G69,"")</f>
        <v>0</v>
      </c>
      <c r="I69" s="191">
        <v>1</v>
      </c>
      <c r="J69" s="191">
        <v>63</v>
      </c>
      <c r="K69" s="191"/>
      <c r="L69" s="191"/>
      <c r="M69" s="191"/>
      <c r="N69" s="191"/>
      <c r="O69" s="119" t="str">
        <f>IF(B69&lt;&gt;0,CONCATENATE(E69+IFERROR(VLOOKUP(B69,$B$2:$N$36,4,FALSE),0) + X69, " OZ, ", H69+IFERROR(VLOOKUP(B69,$B$2:$N$36,9,FALSE),0) + Y69+Z69, " (", F69+IFERROR(VLOOKUP(B69,$B$2:$N$36,5,FALSE),0) + Y69, "+",G69+IFERROR(VLOOKUP(B69,$B$2:$N$36,8,FALSE),0) +  Z69, ")"), "")</f>
        <v>1 OZ, 0 (0+0)</v>
      </c>
      <c r="P69" s="112" t="str">
        <f>IF(M69&lt;&gt;0,CONCATENATE(M69,"/",N69),"")</f>
        <v/>
      </c>
      <c r="Q69" s="192" t="s">
        <v>938</v>
      </c>
      <c r="R69" s="191">
        <v>2011</v>
      </c>
      <c r="S69" s="112" t="str">
        <f>IFERROR(CONCATENATE(E69+VLOOKUP(B69,$B$39:$R$42,4,FALSE), " OZ, ",G69+VLOOKUP(B69,$B$39:$R$42,13,FALSE), " A"),"")</f>
        <v/>
      </c>
      <c r="T69" s="1" t="str">
        <f>IF(B69&lt;&gt;0,IF(V69=1,U69,CONCATENATE(U69," ",W69,".")),"")</f>
        <v>Svoboda</v>
      </c>
      <c r="U69" s="1" t="str">
        <f>IFERROR(RIGHT(B69,LEN(B69)-SEARCH(" ", B69,1)),"")</f>
        <v>Svoboda</v>
      </c>
      <c r="V69" s="112">
        <f>IF(B69&lt;&gt;0,COUNTIF($U$48:$U$82,U69),"")</f>
        <v>1</v>
      </c>
      <c r="W69" s="112" t="str">
        <f>IFERROR(LEFT(LEFT(B69,SEARCH(" ",B69,1)),1),"")</f>
        <v>O</v>
      </c>
      <c r="X69" s="139"/>
      <c r="Y69" s="139"/>
      <c r="Z69" s="139"/>
      <c r="AA69" s="138"/>
    </row>
    <row r="70" spans="2:27" ht="15" customHeight="1" x14ac:dyDescent="0.25">
      <c r="B70" s="186" t="s">
        <v>255</v>
      </c>
      <c r="C70" s="185">
        <v>33939</v>
      </c>
      <c r="D70" s="112">
        <f ca="1">IF(C70 &lt;&gt; 0,ROUNDDOWN(($A$47-C70)/365.25,0),"")</f>
        <v>28</v>
      </c>
      <c r="E70" s="191">
        <v>165</v>
      </c>
      <c r="F70" s="191">
        <v>86</v>
      </c>
      <c r="G70" s="191">
        <v>59</v>
      </c>
      <c r="H70" s="112">
        <f>IF(B70&lt;&gt;0,F70+G70,"")</f>
        <v>145</v>
      </c>
      <c r="I70" s="191">
        <v>8</v>
      </c>
      <c r="J70" s="191">
        <v>17</v>
      </c>
      <c r="K70" s="191"/>
      <c r="L70" s="191" t="s">
        <v>78</v>
      </c>
      <c r="M70" s="191">
        <v>182</v>
      </c>
      <c r="N70" s="191">
        <v>78</v>
      </c>
      <c r="O70" s="119" t="str">
        <f>IF(B70&lt;&gt;0,CONCATENATE(E70+IFERROR(VLOOKUP(B70,$B$2:$N$36,4,FALSE),0) + X70, " OZ, ", H70+IFERROR(VLOOKUP(B70,$B$2:$N$36,9,FALSE),0) + Y70+Z70, " (", F70+IFERROR(VLOOKUP(B70,$B$2:$N$36,5,FALSE),0) + Y70, "+",G70+IFERROR(VLOOKUP(B70,$B$2:$N$36,8,FALSE),0) +  Z70, ")"), "")</f>
        <v>186 OZ, 167 (101+66)</v>
      </c>
      <c r="P70" s="112" t="str">
        <f>IF(M70&lt;&gt;0,CONCATENATE(M70,"/",N70),"")</f>
        <v>182/78</v>
      </c>
      <c r="Q70" s="192" t="s">
        <v>928</v>
      </c>
      <c r="R70" s="191">
        <v>2000</v>
      </c>
      <c r="S70" s="112" t="str">
        <f>IFERROR(CONCATENATE(E70+VLOOKUP(B70,$B$39:$R$42,4,FALSE), " OZ, ",G70+VLOOKUP(B70,$B$39:$R$42,13,FALSE), " A"),"")</f>
        <v/>
      </c>
      <c r="T70" s="1" t="str">
        <f>IF(B70&lt;&gt;0,IF(V70=1,U70,CONCATENATE(U70," ",W70,".")),"")</f>
        <v>Šebesta</v>
      </c>
      <c r="U70" s="1" t="str">
        <f>IFERROR(RIGHT(B70,LEN(B70)-SEARCH(" ", B70,1)),"")</f>
        <v>Šebesta</v>
      </c>
      <c r="V70" s="112">
        <f>IF(B70&lt;&gt;0,COUNTIF($U$48:$U$82,U70),"")</f>
        <v>1</v>
      </c>
      <c r="W70" s="112" t="str">
        <f>IFERROR(LEFT(LEFT(B70,SEARCH(" ",B70,1)),1),"")</f>
        <v>J</v>
      </c>
      <c r="X70" s="139"/>
      <c r="Y70" s="139"/>
      <c r="Z70" s="139"/>
      <c r="AA70" s="138"/>
    </row>
    <row r="71" spans="2:27" ht="15" customHeight="1" x14ac:dyDescent="0.25">
      <c r="B71" s="187" t="s">
        <v>252</v>
      </c>
      <c r="C71" s="185">
        <v>36599</v>
      </c>
      <c r="D71" s="112">
        <f ca="1">IF(C71 &lt;&gt; 0,ROUNDDOWN(($A$47-C71)/365.25,0),"")</f>
        <v>20</v>
      </c>
      <c r="E71" s="191">
        <v>58</v>
      </c>
      <c r="F71" s="191">
        <v>23</v>
      </c>
      <c r="G71" s="191">
        <v>48</v>
      </c>
      <c r="H71" s="112">
        <f>IF(B71&lt;&gt;0,F71+G71,"")</f>
        <v>71</v>
      </c>
      <c r="I71" s="191">
        <v>4</v>
      </c>
      <c r="J71" s="191">
        <v>25</v>
      </c>
      <c r="K71" s="191"/>
      <c r="L71" s="191" t="s">
        <v>78</v>
      </c>
      <c r="M71" s="191">
        <v>186</v>
      </c>
      <c r="N71" s="191">
        <v>81</v>
      </c>
      <c r="O71" s="119" t="str">
        <f>IF(B71&lt;&gt;0,CONCATENATE(E71+IFERROR(VLOOKUP(B71,$B$2:$N$36,4,FALSE),0) + X71, " OZ, ", H71+IFERROR(VLOOKUP(B71,$B$2:$N$36,9,FALSE),0) + Y71+Z71, " (", F71+IFERROR(VLOOKUP(B71,$B$2:$N$36,5,FALSE),0) + Y71, "+",G71+IFERROR(VLOOKUP(B71,$B$2:$N$36,8,FALSE),0) +  Z71, ")"), "")</f>
        <v>80 OZ, 115 (34+81)</v>
      </c>
      <c r="P71" s="112" t="str">
        <f>IF(M71&lt;&gt;0,CONCATENATE(M71,"/",N71),"")</f>
        <v>186/81</v>
      </c>
      <c r="Q71" s="192" t="s">
        <v>939</v>
      </c>
      <c r="R71" s="191">
        <v>2005</v>
      </c>
      <c r="S71" s="112" t="str">
        <f>IFERROR(CONCATENATE(E71+VLOOKUP(B71,$B$39:$R$42,4,FALSE), " OZ, ",G71+VLOOKUP(B71,$B$39:$R$42,13,FALSE), " A"),"")</f>
        <v/>
      </c>
      <c r="T71" s="1" t="str">
        <f>IF(B71&lt;&gt;0,IF(V71=1,U71,CONCATENATE(U71," ",W71,".")),"")</f>
        <v>Šindler</v>
      </c>
      <c r="U71" s="1" t="str">
        <f>IFERROR(RIGHT(B71,LEN(B71)-SEARCH(" ", B71,1)),"")</f>
        <v>Šindler</v>
      </c>
      <c r="V71" s="112">
        <f>IF(B71&lt;&gt;0,COUNTIF($U$48:$U$82,U71),"")</f>
        <v>1</v>
      </c>
      <c r="W71" s="112" t="str">
        <f>IFERROR(LEFT(LEFT(B71,SEARCH(" ",B71,1)),1),"")</f>
        <v>M</v>
      </c>
      <c r="X71" s="139"/>
      <c r="Y71" s="139"/>
      <c r="Z71" s="139"/>
      <c r="AA71" s="138"/>
    </row>
    <row r="72" spans="2:27" ht="15" customHeight="1" x14ac:dyDescent="0.25">
      <c r="B72" s="138" t="s">
        <v>266</v>
      </c>
      <c r="C72" s="137">
        <v>33254</v>
      </c>
      <c r="D72" s="112">
        <f ca="1">IF(C72 &lt;&gt; 0,ROUNDDOWN(($A$47-C72)/365.25,0),"")</f>
        <v>30</v>
      </c>
      <c r="E72" s="139">
        <v>162</v>
      </c>
      <c r="F72" s="139">
        <v>34</v>
      </c>
      <c r="G72" s="139">
        <v>78</v>
      </c>
      <c r="H72" s="112">
        <f>IF(B72&lt;&gt;0,F72+G72,"")</f>
        <v>112</v>
      </c>
      <c r="I72" s="139">
        <v>9</v>
      </c>
      <c r="J72" s="139">
        <v>43</v>
      </c>
      <c r="K72" s="139"/>
      <c r="L72" s="139" t="s">
        <v>78</v>
      </c>
      <c r="M72" s="139">
        <v>179</v>
      </c>
      <c r="N72" s="139">
        <v>76</v>
      </c>
      <c r="O72" s="119" t="str">
        <f>IF(B72&lt;&gt;0,CONCATENATE(E72+IFERROR(VLOOKUP(B72,$B$2:$N$36,4,FALSE),0) + X72, " OZ, ", H72+IFERROR(VLOOKUP(B72,$B$2:$N$36,9,FALSE),0) + Y72+Z72, " (", F72+IFERROR(VLOOKUP(B72,$B$2:$N$36,5,FALSE),0) + Y72, "+",G72+IFERROR(VLOOKUP(B72,$B$2:$N$36,8,FALSE),0) +  Z72, ")"), "")</f>
        <v>176 OZ, 116 (36+80)</v>
      </c>
      <c r="P72" s="112" t="str">
        <f>IF(M72&lt;&gt;0,CONCATENATE(M72,"/",N72),"")</f>
        <v>179/76</v>
      </c>
      <c r="Q72" s="140" t="s">
        <v>206</v>
      </c>
      <c r="R72" s="139">
        <v>1999</v>
      </c>
      <c r="S72" s="112" t="str">
        <f>IFERROR(CONCATENATE(E72+VLOOKUP(B72,$B$39:$R$42,4,FALSE), " OZ, ",G72+VLOOKUP(B72,$B$39:$R$42,13,FALSE), " A"),"")</f>
        <v/>
      </c>
      <c r="T72" s="1" t="str">
        <f>IF(B72&lt;&gt;0,IF(V72=1,U72,CONCATENATE(U72," ",W72,".")),"")</f>
        <v>Švajný</v>
      </c>
      <c r="U72" s="1" t="str">
        <f>IFERROR(RIGHT(B72,LEN(B72)-SEARCH(" ", B72,1)),"")</f>
        <v>Švajný</v>
      </c>
      <c r="V72" s="112">
        <f>IF(B72&lt;&gt;0,COUNTIF($U$48:$U$82,U72),"")</f>
        <v>1</v>
      </c>
      <c r="W72" s="112" t="str">
        <f>IFERROR(LEFT(LEFT(B72,SEARCH(" ",B72,1)),1),"")</f>
        <v>M</v>
      </c>
      <c r="X72" s="139"/>
      <c r="Y72" s="139"/>
      <c r="Z72" s="139"/>
      <c r="AA72" s="138"/>
    </row>
    <row r="73" spans="2:27" ht="15" customHeight="1" x14ac:dyDescent="0.25">
      <c r="B73" s="138" t="s">
        <v>272</v>
      </c>
      <c r="C73" s="137">
        <v>37503</v>
      </c>
      <c r="D73" s="112">
        <f ca="1">IF(C73 &lt;&gt; 0,ROUNDDOWN(($A$47-C73)/365.25,0),"")</f>
        <v>18</v>
      </c>
      <c r="E73" s="139">
        <v>0</v>
      </c>
      <c r="F73" s="139">
        <v>0</v>
      </c>
      <c r="G73" s="139">
        <v>0</v>
      </c>
      <c r="H73" s="112">
        <f>IF(B73&lt;&gt;0,F73+G73,"")</f>
        <v>0</v>
      </c>
      <c r="I73" s="139">
        <v>1</v>
      </c>
      <c r="J73" s="139">
        <v>40</v>
      </c>
      <c r="K73" s="139"/>
      <c r="L73" s="139" t="s">
        <v>78</v>
      </c>
      <c r="M73" s="139"/>
      <c r="N73" s="139"/>
      <c r="O73" s="119" t="str">
        <f>IF(B73&lt;&gt;0,CONCATENATE(E73+IFERROR(VLOOKUP(B73,$B$2:$N$36,4,FALSE),0) + X73, " OZ, ", H73+IFERROR(VLOOKUP(B73,$B$2:$N$36,9,FALSE),0) + Y73+Z73, " (", F73+IFERROR(VLOOKUP(B73,$B$2:$N$36,5,FALSE),0) + Y73, "+",G73+IFERROR(VLOOKUP(B73,$B$2:$N$36,8,FALSE),0) +  Z73, ")"), "")</f>
        <v>2 OZ, 0 (0+0)</v>
      </c>
      <c r="P73" s="112" t="str">
        <f>IF(M73&lt;&gt;0,CONCATENATE(M73,"/",N73),"")</f>
        <v/>
      </c>
      <c r="Q73" s="140" t="s">
        <v>940</v>
      </c>
      <c r="R73" s="139">
        <v>2013</v>
      </c>
      <c r="S73" s="112" t="str">
        <f>IFERROR(CONCATENATE(E73+VLOOKUP(B73,$B$39:$R$42,4,FALSE), " OZ, ",G73+VLOOKUP(B73,$B$39:$R$42,13,FALSE), " A"),"")</f>
        <v/>
      </c>
      <c r="T73" s="1" t="str">
        <f>IF(B73&lt;&gt;0,IF(V73=1,U73,CONCATENATE(U73," ",W73,".")),"")</f>
        <v>Vojáček</v>
      </c>
      <c r="U73" s="1" t="str">
        <f>IFERROR(RIGHT(B73,LEN(B73)-SEARCH(" ", B73,1)),"")</f>
        <v>Vojáček</v>
      </c>
      <c r="V73" s="112">
        <f>IF(B73&lt;&gt;0,COUNTIF($U$48:$U$82,U73),"")</f>
        <v>1</v>
      </c>
      <c r="W73" s="112" t="str">
        <f>IFERROR(LEFT(LEFT(B73,SEARCH(" ",B73,1)),1),"")</f>
        <v>J</v>
      </c>
      <c r="X73" s="139"/>
      <c r="Y73" s="139"/>
      <c r="Z73" s="139"/>
      <c r="AA73" s="138"/>
    </row>
    <row r="74" spans="2:27" ht="15" customHeight="1" x14ac:dyDescent="0.25">
      <c r="B74" s="138"/>
      <c r="C74" s="137"/>
      <c r="D74" s="112" t="str">
        <f t="shared" ref="D72:D82" si="5">IF(C74 &lt;&gt; 0,ROUNDDOWN(($A$47-C74)/365.25,0),"")</f>
        <v/>
      </c>
      <c r="E74" s="139"/>
      <c r="F74" s="139"/>
      <c r="G74" s="139"/>
      <c r="H74" s="112" t="str">
        <f t="shared" ref="H72:H82" si="6">IF(B74&lt;&gt;0,F74+G74,"")</f>
        <v/>
      </c>
      <c r="I74" s="139"/>
      <c r="J74" s="139"/>
      <c r="K74" s="139"/>
      <c r="L74" s="139"/>
      <c r="M74" s="139"/>
      <c r="N74" s="139"/>
      <c r="O74" s="119" t="str">
        <f t="shared" ref="O72:O82" si="7">IF(B74&lt;&gt;0,CONCATENATE(E74+IFERROR(VLOOKUP(B74,$B$2:$N$36,4,FALSE),0) + X74, " OZ, ", H74+IFERROR(VLOOKUP(B74,$B$2:$N$36,9,FALSE),0) + Y74+Z74, " (", F74+IFERROR(VLOOKUP(B74,$B$2:$N$36,5,FALSE),0) + Y74, "+",G74+IFERROR(VLOOKUP(B74,$B$2:$N$36,8,FALSE),0) +  Z74, ")"), "")</f>
        <v/>
      </c>
      <c r="P74" s="112" t="str">
        <f t="shared" ref="P72:P82" si="8">IF(M74&lt;&gt;0,CONCATENATE(M74,"/",N74),"")</f>
        <v/>
      </c>
      <c r="Q74" s="140"/>
      <c r="R74" s="139"/>
      <c r="S74" s="112" t="str">
        <f t="shared" ref="S72:S82" si="9">IFERROR(CONCATENATE(E74+VLOOKUP(B74,$B$39:$R$42,4,FALSE), " OZ, ",G74+VLOOKUP(B74,$B$39:$R$42,13,FALSE), " A"),"")</f>
        <v/>
      </c>
      <c r="T74" s="1" t="str">
        <f t="shared" ref="T72:T82" si="10">IF(B74&lt;&gt;0,IF(V74=1,U74,CONCATENATE(U74," ",W74,".")),"")</f>
        <v/>
      </c>
      <c r="U74" s="1" t="str">
        <f t="shared" ref="U72:U82" si="11">IFERROR(RIGHT(B74,LEN(B74)-SEARCH(" ", B74,1)),"")</f>
        <v/>
      </c>
      <c r="V74" s="112" t="str">
        <f t="shared" ref="V72:V82" si="12">IF(B74&lt;&gt;0,COUNTIF($U$48:$U$82,U74),"")</f>
        <v/>
      </c>
      <c r="W74" s="112" t="str">
        <f t="shared" ref="W72:W82" si="13">IFERROR(LEFT(LEFT(B74,SEARCH(" ",B74,1)),1),"")</f>
        <v/>
      </c>
      <c r="X74" s="139"/>
      <c r="Y74" s="139"/>
      <c r="Z74" s="139"/>
      <c r="AA74" s="138"/>
    </row>
    <row r="75" spans="2:27" ht="15" customHeight="1" x14ac:dyDescent="0.25">
      <c r="B75" s="138"/>
      <c r="C75" s="137"/>
      <c r="D75" s="112" t="str">
        <f t="shared" si="5"/>
        <v/>
      </c>
      <c r="E75" s="139"/>
      <c r="F75" s="139"/>
      <c r="G75" s="139"/>
      <c r="H75" s="112" t="str">
        <f t="shared" si="6"/>
        <v/>
      </c>
      <c r="I75" s="139"/>
      <c r="J75" s="139"/>
      <c r="K75" s="139"/>
      <c r="L75" s="139"/>
      <c r="M75" s="139"/>
      <c r="N75" s="139"/>
      <c r="O75" s="119" t="str">
        <f t="shared" si="7"/>
        <v/>
      </c>
      <c r="P75" s="112" t="str">
        <f t="shared" si="8"/>
        <v/>
      </c>
      <c r="Q75" s="140"/>
      <c r="R75" s="139"/>
      <c r="S75" s="112" t="str">
        <f t="shared" si="9"/>
        <v/>
      </c>
      <c r="T75" s="1" t="str">
        <f t="shared" si="10"/>
        <v/>
      </c>
      <c r="U75" s="1" t="str">
        <f t="shared" si="11"/>
        <v/>
      </c>
      <c r="V75" s="112" t="str">
        <f t="shared" si="12"/>
        <v/>
      </c>
      <c r="W75" s="112" t="str">
        <f t="shared" si="13"/>
        <v/>
      </c>
      <c r="X75" s="139"/>
      <c r="Y75" s="139"/>
      <c r="Z75" s="139"/>
      <c r="AA75" s="138"/>
    </row>
    <row r="76" spans="2:27" ht="15" customHeight="1" x14ac:dyDescent="0.25">
      <c r="B76" s="138"/>
      <c r="C76" s="137"/>
      <c r="D76" s="112" t="str">
        <f t="shared" si="5"/>
        <v/>
      </c>
      <c r="E76" s="139"/>
      <c r="F76" s="139"/>
      <c r="G76" s="139"/>
      <c r="H76" s="112" t="str">
        <f t="shared" si="6"/>
        <v/>
      </c>
      <c r="I76" s="139"/>
      <c r="J76" s="139"/>
      <c r="K76" s="139"/>
      <c r="L76" s="139"/>
      <c r="M76" s="139"/>
      <c r="N76" s="139"/>
      <c r="O76" s="119" t="str">
        <f t="shared" si="7"/>
        <v/>
      </c>
      <c r="P76" s="112" t="str">
        <f t="shared" si="8"/>
        <v/>
      </c>
      <c r="Q76" s="140"/>
      <c r="R76" s="139"/>
      <c r="S76" s="112" t="str">
        <f t="shared" si="9"/>
        <v/>
      </c>
      <c r="T76" s="1" t="str">
        <f t="shared" si="10"/>
        <v/>
      </c>
      <c r="U76" s="1" t="str">
        <f t="shared" si="11"/>
        <v/>
      </c>
      <c r="V76" s="112" t="str">
        <f t="shared" si="12"/>
        <v/>
      </c>
      <c r="W76" s="112" t="str">
        <f t="shared" si="13"/>
        <v/>
      </c>
      <c r="X76" s="139"/>
      <c r="Y76" s="139"/>
      <c r="Z76" s="139"/>
      <c r="AA76" s="138"/>
    </row>
    <row r="77" spans="2:27" ht="15" customHeight="1" x14ac:dyDescent="0.25">
      <c r="B77" s="138"/>
      <c r="C77" s="137"/>
      <c r="D77" s="112" t="str">
        <f t="shared" si="5"/>
        <v/>
      </c>
      <c r="E77" s="139"/>
      <c r="F77" s="139"/>
      <c r="G77" s="139"/>
      <c r="H77" s="112" t="str">
        <f t="shared" si="6"/>
        <v/>
      </c>
      <c r="I77" s="139"/>
      <c r="J77" s="139"/>
      <c r="K77" s="139"/>
      <c r="L77" s="139"/>
      <c r="M77" s="139"/>
      <c r="N77" s="139"/>
      <c r="O77" s="119" t="str">
        <f t="shared" si="7"/>
        <v/>
      </c>
      <c r="P77" s="112" t="str">
        <f t="shared" si="8"/>
        <v/>
      </c>
      <c r="Q77" s="140"/>
      <c r="R77" s="139"/>
      <c r="S77" s="112" t="str">
        <f t="shared" si="9"/>
        <v/>
      </c>
      <c r="T77" s="1" t="str">
        <f t="shared" si="10"/>
        <v/>
      </c>
      <c r="U77" s="1" t="str">
        <f t="shared" si="11"/>
        <v/>
      </c>
      <c r="V77" s="112" t="str">
        <f t="shared" si="12"/>
        <v/>
      </c>
      <c r="W77" s="112" t="str">
        <f t="shared" si="13"/>
        <v/>
      </c>
      <c r="X77" s="139"/>
      <c r="Y77" s="139"/>
      <c r="Z77" s="139"/>
      <c r="AA77" s="138"/>
    </row>
    <row r="78" spans="2:27" ht="15" customHeight="1" x14ac:dyDescent="0.25">
      <c r="B78" s="138"/>
      <c r="C78" s="137"/>
      <c r="D78" s="112" t="str">
        <f t="shared" si="5"/>
        <v/>
      </c>
      <c r="E78" s="139"/>
      <c r="F78" s="139"/>
      <c r="G78" s="139"/>
      <c r="H78" s="112" t="str">
        <f t="shared" si="6"/>
        <v/>
      </c>
      <c r="I78" s="139"/>
      <c r="J78" s="139"/>
      <c r="K78" s="139"/>
      <c r="L78" s="139"/>
      <c r="M78" s="139"/>
      <c r="N78" s="139"/>
      <c r="O78" s="119" t="str">
        <f t="shared" si="7"/>
        <v/>
      </c>
      <c r="P78" s="112" t="str">
        <f t="shared" si="8"/>
        <v/>
      </c>
      <c r="Q78" s="140"/>
      <c r="R78" s="139"/>
      <c r="S78" s="112" t="str">
        <f t="shared" si="9"/>
        <v/>
      </c>
      <c r="T78" s="1" t="str">
        <f t="shared" si="10"/>
        <v/>
      </c>
      <c r="U78" s="1" t="str">
        <f t="shared" si="11"/>
        <v/>
      </c>
      <c r="V78" s="112" t="str">
        <f t="shared" si="12"/>
        <v/>
      </c>
      <c r="W78" s="112" t="str">
        <f t="shared" si="13"/>
        <v/>
      </c>
      <c r="X78" s="139"/>
      <c r="Y78" s="139"/>
      <c r="Z78" s="139"/>
      <c r="AA78" s="138"/>
    </row>
    <row r="79" spans="2:27" ht="15" customHeight="1" x14ac:dyDescent="0.25">
      <c r="B79" s="138"/>
      <c r="C79" s="137"/>
      <c r="D79" s="112" t="str">
        <f t="shared" si="5"/>
        <v/>
      </c>
      <c r="E79" s="139"/>
      <c r="F79" s="139"/>
      <c r="G79" s="139"/>
      <c r="H79" s="112" t="str">
        <f t="shared" si="6"/>
        <v/>
      </c>
      <c r="I79" s="139"/>
      <c r="J79" s="139"/>
      <c r="K79" s="139"/>
      <c r="L79" s="139"/>
      <c r="M79" s="139"/>
      <c r="N79" s="139"/>
      <c r="O79" s="119" t="str">
        <f t="shared" si="7"/>
        <v/>
      </c>
      <c r="P79" s="112" t="str">
        <f t="shared" si="8"/>
        <v/>
      </c>
      <c r="Q79" s="140"/>
      <c r="R79" s="139"/>
      <c r="S79" s="112" t="str">
        <f t="shared" si="9"/>
        <v/>
      </c>
      <c r="T79" s="1" t="str">
        <f t="shared" si="10"/>
        <v/>
      </c>
      <c r="U79" s="1" t="str">
        <f t="shared" si="11"/>
        <v/>
      </c>
      <c r="V79" s="112" t="str">
        <f t="shared" si="12"/>
        <v/>
      </c>
      <c r="W79" s="112" t="str">
        <f t="shared" si="13"/>
        <v/>
      </c>
      <c r="X79" s="139"/>
      <c r="Y79" s="139"/>
      <c r="Z79" s="139"/>
      <c r="AA79" s="138"/>
    </row>
    <row r="80" spans="2:27" ht="15" customHeight="1" x14ac:dyDescent="0.25">
      <c r="B80" s="138"/>
      <c r="C80" s="137"/>
      <c r="D80" s="112" t="str">
        <f t="shared" si="5"/>
        <v/>
      </c>
      <c r="E80" s="139"/>
      <c r="F80" s="139"/>
      <c r="G80" s="139"/>
      <c r="H80" s="112" t="str">
        <f t="shared" si="6"/>
        <v/>
      </c>
      <c r="I80" s="139"/>
      <c r="J80" s="139"/>
      <c r="K80" s="139"/>
      <c r="L80" s="139"/>
      <c r="M80" s="139"/>
      <c r="N80" s="139"/>
      <c r="O80" s="119" t="str">
        <f t="shared" si="7"/>
        <v/>
      </c>
      <c r="P80" s="112" t="str">
        <f t="shared" si="8"/>
        <v/>
      </c>
      <c r="Q80" s="140"/>
      <c r="R80" s="139"/>
      <c r="S80" s="112" t="str">
        <f t="shared" si="9"/>
        <v/>
      </c>
      <c r="T80" s="1" t="str">
        <f t="shared" si="10"/>
        <v/>
      </c>
      <c r="U80" s="1" t="str">
        <f t="shared" si="11"/>
        <v/>
      </c>
      <c r="V80" s="112" t="str">
        <f t="shared" si="12"/>
        <v/>
      </c>
      <c r="W80" s="112" t="str">
        <f t="shared" si="13"/>
        <v/>
      </c>
      <c r="X80" s="139"/>
      <c r="Y80" s="139"/>
      <c r="Z80" s="139"/>
      <c r="AA80" s="138"/>
    </row>
    <row r="81" spans="1:27" ht="15" customHeight="1" x14ac:dyDescent="0.25">
      <c r="B81" s="138"/>
      <c r="C81" s="137"/>
      <c r="D81" s="112" t="str">
        <f t="shared" si="5"/>
        <v/>
      </c>
      <c r="E81" s="139"/>
      <c r="F81" s="139"/>
      <c r="G81" s="139"/>
      <c r="H81" s="112" t="str">
        <f t="shared" si="6"/>
        <v/>
      </c>
      <c r="I81" s="139"/>
      <c r="J81" s="139"/>
      <c r="K81" s="139"/>
      <c r="L81" s="139"/>
      <c r="M81" s="139"/>
      <c r="N81" s="139"/>
      <c r="O81" s="119" t="str">
        <f t="shared" si="7"/>
        <v/>
      </c>
      <c r="P81" s="112" t="str">
        <f t="shared" si="8"/>
        <v/>
      </c>
      <c r="Q81" s="140"/>
      <c r="R81" s="139"/>
      <c r="S81" s="112" t="str">
        <f t="shared" si="9"/>
        <v/>
      </c>
      <c r="T81" s="1" t="str">
        <f t="shared" si="10"/>
        <v/>
      </c>
      <c r="U81" s="1" t="str">
        <f t="shared" si="11"/>
        <v/>
      </c>
      <c r="V81" s="112" t="str">
        <f t="shared" si="12"/>
        <v/>
      </c>
      <c r="W81" s="112" t="str">
        <f t="shared" si="13"/>
        <v/>
      </c>
      <c r="X81" s="139"/>
      <c r="Y81" s="139"/>
      <c r="Z81" s="139"/>
      <c r="AA81" s="138"/>
    </row>
    <row r="82" spans="1:27" ht="15" customHeight="1" x14ac:dyDescent="0.25">
      <c r="B82" s="138"/>
      <c r="C82" s="137"/>
      <c r="D82" s="112" t="str">
        <f t="shared" si="5"/>
        <v/>
      </c>
      <c r="E82" s="139"/>
      <c r="F82" s="139"/>
      <c r="G82" s="139"/>
      <c r="H82" s="112" t="str">
        <f t="shared" si="6"/>
        <v/>
      </c>
      <c r="I82" s="139"/>
      <c r="J82" s="139"/>
      <c r="K82" s="139"/>
      <c r="L82" s="139"/>
      <c r="M82" s="139"/>
      <c r="N82" s="139"/>
      <c r="O82" s="119" t="str">
        <f t="shared" si="7"/>
        <v/>
      </c>
      <c r="P82" s="112" t="str">
        <f t="shared" si="8"/>
        <v/>
      </c>
      <c r="Q82" s="140"/>
      <c r="R82" s="139"/>
      <c r="S82" s="112" t="str">
        <f t="shared" si="9"/>
        <v/>
      </c>
      <c r="T82" s="1" t="str">
        <f t="shared" si="10"/>
        <v/>
      </c>
      <c r="U82" s="1" t="str">
        <f t="shared" si="11"/>
        <v/>
      </c>
      <c r="V82" s="112" t="str">
        <f t="shared" si="12"/>
        <v/>
      </c>
      <c r="W82" s="112" t="str">
        <f t="shared" si="13"/>
        <v/>
      </c>
      <c r="X82" s="139"/>
      <c r="Y82" s="139"/>
      <c r="Z82" s="139"/>
      <c r="AA82" s="138"/>
    </row>
    <row r="84" spans="1:27" s="99" customFormat="1" ht="15" customHeight="1" x14ac:dyDescent="0.25">
      <c r="A84" s="7">
        <f ca="1">TODAY()</f>
        <v>44244</v>
      </c>
      <c r="B84" s="99" t="s">
        <v>59</v>
      </c>
      <c r="C84" s="99" t="s">
        <v>66</v>
      </c>
      <c r="D84" s="99" t="s">
        <v>67</v>
      </c>
      <c r="E84" s="382" t="s">
        <v>94</v>
      </c>
      <c r="F84" s="382"/>
      <c r="G84" s="382" t="s">
        <v>100</v>
      </c>
      <c r="H84" s="382"/>
      <c r="I84" s="382"/>
      <c r="J84" s="382"/>
      <c r="K84" s="382"/>
      <c r="Q84" s="9"/>
      <c r="X84" s="110"/>
      <c r="Y84" s="110"/>
      <c r="Z84" s="110"/>
    </row>
    <row r="85" spans="1:27" ht="30" customHeight="1" x14ac:dyDescent="0.25">
      <c r="B85" s="138" t="s">
        <v>274</v>
      </c>
      <c r="C85" s="137">
        <v>31830</v>
      </c>
      <c r="D85" s="112">
        <f ca="1">IF(B85&lt;&gt;0,ROUNDDOWN(($A$84-C85)/365.25,0),"")</f>
        <v>33</v>
      </c>
      <c r="E85" s="380" t="s">
        <v>188</v>
      </c>
      <c r="F85" s="380"/>
      <c r="G85" s="380" t="s">
        <v>275</v>
      </c>
      <c r="H85" s="380"/>
      <c r="I85" s="380"/>
      <c r="J85" s="380"/>
      <c r="K85" s="380"/>
    </row>
    <row r="86" spans="1:27" ht="30" customHeight="1" x14ac:dyDescent="0.25">
      <c r="B86" s="138" t="s">
        <v>276</v>
      </c>
      <c r="C86" s="137">
        <v>33988</v>
      </c>
      <c r="D86" s="112">
        <f t="shared" ref="D86:D92" ca="1" si="14">IF(B86&lt;&gt;0,ROUNDDOWN(($A$84-C86)/365.25,0),"")</f>
        <v>28</v>
      </c>
      <c r="E86" s="380" t="s">
        <v>191</v>
      </c>
      <c r="F86" s="380"/>
      <c r="G86" s="380" t="s">
        <v>30</v>
      </c>
      <c r="H86" s="380"/>
      <c r="I86" s="380"/>
      <c r="J86" s="380"/>
      <c r="K86" s="380"/>
    </row>
    <row r="87" spans="1:27" ht="30" customHeight="1" x14ac:dyDescent="0.25">
      <c r="B87" s="138" t="s">
        <v>277</v>
      </c>
      <c r="C87" s="137">
        <v>35289</v>
      </c>
      <c r="D87" s="112">
        <f t="shared" ca="1" si="14"/>
        <v>24</v>
      </c>
      <c r="E87" s="380" t="s">
        <v>278</v>
      </c>
      <c r="F87" s="380"/>
      <c r="G87" s="380" t="s">
        <v>30</v>
      </c>
      <c r="H87" s="380"/>
      <c r="I87" s="380"/>
      <c r="J87" s="380"/>
      <c r="K87" s="380"/>
    </row>
    <row r="88" spans="1:27" ht="30" customHeight="1" x14ac:dyDescent="0.25">
      <c r="B88" s="138" t="s">
        <v>279</v>
      </c>
      <c r="C88" s="137">
        <v>24331</v>
      </c>
      <c r="D88" s="112">
        <f t="shared" ca="1" si="14"/>
        <v>54</v>
      </c>
      <c r="E88" s="380" t="s">
        <v>278</v>
      </c>
      <c r="F88" s="380"/>
      <c r="G88" s="380" t="s">
        <v>30</v>
      </c>
      <c r="H88" s="380"/>
      <c r="I88" s="380"/>
      <c r="J88" s="380"/>
      <c r="K88" s="380"/>
    </row>
    <row r="89" spans="1:27" ht="30" customHeight="1" x14ac:dyDescent="0.25">
      <c r="B89" s="138" t="s">
        <v>280</v>
      </c>
      <c r="C89" s="137">
        <v>31439</v>
      </c>
      <c r="D89" s="112">
        <f t="shared" ca="1" si="14"/>
        <v>35</v>
      </c>
      <c r="E89" s="380" t="s">
        <v>101</v>
      </c>
      <c r="F89" s="380"/>
      <c r="G89" s="380" t="s">
        <v>30</v>
      </c>
      <c r="H89" s="380"/>
      <c r="I89" s="380"/>
      <c r="J89" s="380"/>
      <c r="K89" s="380"/>
    </row>
    <row r="90" spans="1:27" ht="30" customHeight="1" x14ac:dyDescent="0.25">
      <c r="B90" s="138"/>
      <c r="C90" s="138"/>
      <c r="D90" s="112" t="str">
        <f t="shared" si="14"/>
        <v/>
      </c>
      <c r="E90" s="380"/>
      <c r="F90" s="380"/>
      <c r="G90" s="380"/>
      <c r="H90" s="380"/>
      <c r="I90" s="380"/>
      <c r="J90" s="380"/>
      <c r="K90" s="380"/>
    </row>
    <row r="91" spans="1:27" ht="30" customHeight="1" x14ac:dyDescent="0.25">
      <c r="B91" s="138"/>
      <c r="C91" s="138"/>
      <c r="D91" s="112" t="str">
        <f t="shared" si="14"/>
        <v/>
      </c>
      <c r="E91" s="380"/>
      <c r="F91" s="380"/>
      <c r="G91" s="380"/>
      <c r="H91" s="380"/>
      <c r="I91" s="380"/>
      <c r="J91" s="380"/>
      <c r="K91" s="380"/>
    </row>
    <row r="92" spans="1:27" ht="30" customHeight="1" x14ac:dyDescent="0.25">
      <c r="B92" s="138"/>
      <c r="C92" s="138"/>
      <c r="D92" s="112" t="str">
        <f t="shared" si="14"/>
        <v/>
      </c>
      <c r="E92" s="380"/>
      <c r="F92" s="380"/>
      <c r="G92" s="380"/>
      <c r="H92" s="380"/>
      <c r="I92" s="380"/>
      <c r="J92" s="380"/>
      <c r="K92" s="380"/>
    </row>
  </sheetData>
  <sheetProtection algorithmName="SHA-512" hashValue="WeQNH+gGTL2jLLWZ8dZsxcUagyaZDJz/GyOWBBUMgxg2f6LZmpTAi5SCYJtofN81qebCeuylHmEdkJDbzRBiFA==" saltValue="XYbER0CsXwBpjUVYz78VSQ==" spinCount="100000" sheet="1" objects="1" scenarios="1" selectLockedCells="1"/>
  <sortState ref="B48:AA73">
    <sortCondition ref="U48:U73"/>
    <sortCondition ref="B48:B73"/>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99" priority="1" operator="containsText" text="ANO">
      <formula>NOT(ISERROR(SEARCH("ANO",P2)))</formula>
    </cfRule>
    <cfRule type="containsText" dxfId="9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382" t="s">
        <v>36</v>
      </c>
      <c r="B1" s="1" t="s">
        <v>351</v>
      </c>
      <c r="C1" s="205">
        <v>53</v>
      </c>
      <c r="D1" s="383" t="str">
        <f t="shared" ref="D1:D30" si="0">IFERROR(RIGHT(B1,LEN(B1)-SEARCH(" ",B1)),"")</f>
        <v>Adam Delong</v>
      </c>
      <c r="E1" s="383"/>
      <c r="F1" s="131"/>
    </row>
    <row r="2" spans="1:6" x14ac:dyDescent="0.25">
      <c r="A2" s="382"/>
      <c r="B2" s="1" t="s">
        <v>352</v>
      </c>
      <c r="C2" s="205">
        <v>46</v>
      </c>
      <c r="D2" s="383" t="str">
        <f t="shared" si="0"/>
        <v>Rostislav Gattnar</v>
      </c>
      <c r="E2" s="383"/>
      <c r="F2" s="131"/>
    </row>
    <row r="3" spans="1:6" x14ac:dyDescent="0.25">
      <c r="A3" s="382"/>
      <c r="B3" s="1" t="s">
        <v>356</v>
      </c>
      <c r="C3" s="205">
        <v>44</v>
      </c>
      <c r="D3" s="383" t="str">
        <f t="shared" si="0"/>
        <v>Lukáš Hájek</v>
      </c>
      <c r="E3" s="383"/>
      <c r="F3" s="131"/>
    </row>
    <row r="4" spans="1:6" x14ac:dyDescent="0.25">
      <c r="A4" s="382"/>
      <c r="B4" s="1" t="s">
        <v>773</v>
      </c>
      <c r="C4" s="205">
        <v>44</v>
      </c>
      <c r="D4" s="383" t="str">
        <f t="shared" si="0"/>
        <v>Matyáš Šindler</v>
      </c>
      <c r="E4" s="383"/>
      <c r="F4" s="131"/>
    </row>
    <row r="5" spans="1:6" x14ac:dyDescent="0.25">
      <c r="A5" s="382"/>
      <c r="B5" s="1" t="s">
        <v>353</v>
      </c>
      <c r="C5" s="205">
        <v>35</v>
      </c>
      <c r="D5" s="383" t="str">
        <f t="shared" si="0"/>
        <v>Marek Matejčík</v>
      </c>
      <c r="E5" s="383"/>
      <c r="F5" s="131"/>
    </row>
    <row r="6" spans="1:6" x14ac:dyDescent="0.25">
      <c r="A6" s="382" t="s">
        <v>242</v>
      </c>
      <c r="B6" s="1" t="s">
        <v>354</v>
      </c>
      <c r="C6" s="205" t="s">
        <v>680</v>
      </c>
      <c r="D6" s="383" t="str">
        <f t="shared" si="0"/>
        <v>Lukáš Souček</v>
      </c>
      <c r="E6" s="383"/>
      <c r="F6" s="131">
        <f t="shared" ref="F6:F10" si="1">IF(B6&lt;&gt;0,_xlfn.NUMBERVALUE(C6,","),"")</f>
        <v>4.01</v>
      </c>
    </row>
    <row r="7" spans="1:6" x14ac:dyDescent="0.25">
      <c r="A7" s="382"/>
      <c r="B7" s="1" t="s">
        <v>355</v>
      </c>
      <c r="C7" s="205" t="s">
        <v>766</v>
      </c>
      <c r="D7" s="383" t="str">
        <f t="shared" si="0"/>
        <v>Denis Jasiok</v>
      </c>
      <c r="E7" s="383"/>
      <c r="F7" s="131">
        <f t="shared" si="1"/>
        <v>5.6</v>
      </c>
    </row>
    <row r="8" spans="1:6" x14ac:dyDescent="0.25">
      <c r="A8" s="382"/>
      <c r="B8" s="1"/>
      <c r="C8" s="205"/>
      <c r="D8" s="383" t="str">
        <f t="shared" si="0"/>
        <v/>
      </c>
      <c r="E8" s="383"/>
      <c r="F8" s="131" t="str">
        <f t="shared" si="1"/>
        <v/>
      </c>
    </row>
    <row r="9" spans="1:6" x14ac:dyDescent="0.25">
      <c r="A9" s="382"/>
      <c r="B9" s="1"/>
      <c r="C9" s="205"/>
      <c r="D9" s="383" t="str">
        <f t="shared" si="0"/>
        <v/>
      </c>
      <c r="E9" s="383"/>
      <c r="F9" s="131" t="str">
        <f t="shared" si="1"/>
        <v/>
      </c>
    </row>
    <row r="10" spans="1:6" x14ac:dyDescent="0.25">
      <c r="A10" s="382"/>
      <c r="B10" s="1"/>
      <c r="C10" s="205"/>
      <c r="D10" s="383" t="str">
        <f t="shared" si="0"/>
        <v/>
      </c>
      <c r="E10" s="383"/>
      <c r="F10" s="131" t="str">
        <f t="shared" si="1"/>
        <v/>
      </c>
    </row>
    <row r="11" spans="1:6" x14ac:dyDescent="0.25">
      <c r="A11" s="382" t="s">
        <v>35</v>
      </c>
      <c r="B11" s="1" t="s">
        <v>351</v>
      </c>
      <c r="C11" s="205">
        <v>36</v>
      </c>
      <c r="D11" s="383" t="str">
        <f t="shared" si="0"/>
        <v>Adam Delong</v>
      </c>
      <c r="E11" s="383"/>
      <c r="F11" s="131"/>
    </row>
    <row r="12" spans="1:6" x14ac:dyDescent="0.25">
      <c r="A12" s="382"/>
      <c r="B12" s="1" t="s">
        <v>352</v>
      </c>
      <c r="C12" s="205">
        <v>32</v>
      </c>
      <c r="D12" s="383" t="str">
        <f t="shared" si="0"/>
        <v>Rostislav Gattnar</v>
      </c>
      <c r="E12" s="383"/>
      <c r="F12" s="131"/>
    </row>
    <row r="13" spans="1:6" x14ac:dyDescent="0.25">
      <c r="A13" s="382"/>
      <c r="B13" s="1" t="s">
        <v>356</v>
      </c>
      <c r="C13" s="205">
        <v>23</v>
      </c>
      <c r="D13" s="383" t="str">
        <f t="shared" si="0"/>
        <v>Lukáš Hájek</v>
      </c>
      <c r="E13" s="383"/>
      <c r="F13" s="131"/>
    </row>
    <row r="14" spans="1:6" x14ac:dyDescent="0.25">
      <c r="A14" s="382"/>
      <c r="B14" s="1" t="s">
        <v>681</v>
      </c>
      <c r="C14" s="205">
        <v>15</v>
      </c>
      <c r="D14" s="383" t="str">
        <f t="shared" si="0"/>
        <v>Jan Šebesta</v>
      </c>
      <c r="E14" s="383"/>
      <c r="F14" s="131"/>
    </row>
    <row r="15" spans="1:6" x14ac:dyDescent="0.25">
      <c r="A15" s="382"/>
      <c r="B15" s="1" t="s">
        <v>353</v>
      </c>
      <c r="C15" s="205">
        <v>15</v>
      </c>
      <c r="D15" s="383" t="str">
        <f t="shared" si="0"/>
        <v>Marek Matejčík</v>
      </c>
      <c r="E15" s="383"/>
      <c r="F15" s="131"/>
    </row>
    <row r="16" spans="1:6" x14ac:dyDescent="0.25">
      <c r="A16" s="382" t="s">
        <v>230</v>
      </c>
      <c r="B16" s="1" t="s">
        <v>354</v>
      </c>
      <c r="C16" s="205">
        <v>15</v>
      </c>
      <c r="D16" s="383" t="str">
        <f t="shared" si="0"/>
        <v>Lukáš Souček</v>
      </c>
      <c r="E16" s="383"/>
      <c r="F16" s="131">
        <f t="shared" ref="F16:F20" si="2">IF(B16&lt;&gt;0,_xlfn.NUMBERVALUE(C16,","),"")</f>
        <v>15</v>
      </c>
    </row>
    <row r="17" spans="1:6" x14ac:dyDescent="0.25">
      <c r="A17" s="382"/>
      <c r="B17" s="1" t="s">
        <v>355</v>
      </c>
      <c r="C17" s="205">
        <v>4</v>
      </c>
      <c r="D17" s="383" t="str">
        <f t="shared" si="0"/>
        <v>Denis Jasiok</v>
      </c>
      <c r="E17" s="383"/>
      <c r="F17" s="131">
        <f t="shared" si="2"/>
        <v>4</v>
      </c>
    </row>
    <row r="18" spans="1:6" x14ac:dyDescent="0.25">
      <c r="A18" s="382"/>
      <c r="B18" s="1"/>
      <c r="C18" s="205"/>
      <c r="D18" s="383" t="str">
        <f t="shared" si="0"/>
        <v/>
      </c>
      <c r="E18" s="383"/>
      <c r="F18" s="131" t="str">
        <f t="shared" si="2"/>
        <v/>
      </c>
    </row>
    <row r="19" spans="1:6" x14ac:dyDescent="0.25">
      <c r="A19" s="382"/>
      <c r="B19" s="1"/>
      <c r="C19" s="205"/>
      <c r="D19" s="383" t="str">
        <f t="shared" si="0"/>
        <v/>
      </c>
      <c r="E19" s="383"/>
      <c r="F19" s="131" t="str">
        <f t="shared" si="2"/>
        <v/>
      </c>
    </row>
    <row r="20" spans="1:6" x14ac:dyDescent="0.25">
      <c r="A20" s="382"/>
      <c r="B20" s="1"/>
      <c r="C20" s="205"/>
      <c r="D20" s="383" t="str">
        <f t="shared" si="0"/>
        <v/>
      </c>
      <c r="E20" s="383"/>
      <c r="F20" s="131" t="str">
        <f t="shared" si="2"/>
        <v/>
      </c>
    </row>
    <row r="21" spans="1:6" x14ac:dyDescent="0.25">
      <c r="A21" s="382" t="s">
        <v>37</v>
      </c>
      <c r="B21" s="1" t="s">
        <v>357</v>
      </c>
      <c r="C21" s="205">
        <v>33</v>
      </c>
      <c r="D21" s="383" t="str">
        <f>IFERROR(RIGHT(B21,LEN(B21)-SEARCH(" ",B21)),"")</f>
        <v>Matyáš Šindler</v>
      </c>
      <c r="E21" s="383"/>
      <c r="F21" s="131"/>
    </row>
    <row r="22" spans="1:6" x14ac:dyDescent="0.25">
      <c r="A22" s="382"/>
      <c r="B22" s="1" t="s">
        <v>358</v>
      </c>
      <c r="C22" s="205">
        <v>21</v>
      </c>
      <c r="D22" s="383" t="str">
        <f>IFERROR(RIGHT(B22,LEN(B22)-SEARCH(" ",B22)),"")</f>
        <v>Lukáš Hájek</v>
      </c>
      <c r="E22" s="383"/>
      <c r="F22" s="131"/>
    </row>
    <row r="23" spans="1:6" x14ac:dyDescent="0.25">
      <c r="A23" s="382"/>
      <c r="B23" s="1" t="s">
        <v>774</v>
      </c>
      <c r="C23" s="205">
        <v>20</v>
      </c>
      <c r="D23" s="383" t="str">
        <f>IFERROR(RIGHT(B23,LEN(B23)-SEARCH(" ",B23)),"")</f>
        <v>Marek Matejčík</v>
      </c>
      <c r="E23" s="383"/>
      <c r="F23" s="131"/>
    </row>
    <row r="24" spans="1:6" x14ac:dyDescent="0.25">
      <c r="A24" s="382"/>
      <c r="B24" s="1" t="s">
        <v>775</v>
      </c>
      <c r="C24" s="205">
        <v>17</v>
      </c>
      <c r="D24" s="383" t="str">
        <f>IFERROR(RIGHT(B24,LEN(B24)-SEARCH(" ",B24)),"")</f>
        <v>Adam Delong</v>
      </c>
      <c r="E24" s="383"/>
      <c r="F24" s="131"/>
    </row>
    <row r="25" spans="1:6" x14ac:dyDescent="0.25">
      <c r="A25" s="382"/>
      <c r="B25" s="1" t="s">
        <v>359</v>
      </c>
      <c r="C25" s="205">
        <v>14</v>
      </c>
      <c r="D25" s="383" t="str">
        <f>IFERROR(RIGHT(B25,LEN(B25)-SEARCH(" ",B25)),"")</f>
        <v>Rostislav Gattnar</v>
      </c>
      <c r="E25" s="383"/>
      <c r="F25" s="131"/>
    </row>
    <row r="26" spans="1:6" x14ac:dyDescent="0.25">
      <c r="A26" s="382" t="s">
        <v>38</v>
      </c>
      <c r="B26" s="1" t="s">
        <v>682</v>
      </c>
      <c r="C26" s="205">
        <v>8</v>
      </c>
      <c r="D26" s="383" t="str">
        <f t="shared" si="0"/>
        <v>Jan Šebesta</v>
      </c>
      <c r="E26" s="383"/>
      <c r="F26" s="131"/>
    </row>
    <row r="27" spans="1:6" x14ac:dyDescent="0.25">
      <c r="A27" s="382"/>
      <c r="B27" s="1" t="s">
        <v>683</v>
      </c>
      <c r="C27" s="205">
        <v>8</v>
      </c>
      <c r="D27" s="383" t="str">
        <f t="shared" si="0"/>
        <v>Tomáš Sladký</v>
      </c>
      <c r="E27" s="383"/>
      <c r="F27" s="131"/>
    </row>
    <row r="28" spans="1:6" x14ac:dyDescent="0.25">
      <c r="A28" s="382"/>
      <c r="B28" s="1" t="s">
        <v>684</v>
      </c>
      <c r="C28" s="205">
        <v>6</v>
      </c>
      <c r="D28" s="383" t="str">
        <f t="shared" si="0"/>
        <v>Marek Bräuer</v>
      </c>
      <c r="E28" s="383"/>
      <c r="F28" s="131"/>
    </row>
    <row r="29" spans="1:6" x14ac:dyDescent="0.25">
      <c r="A29" s="382"/>
      <c r="B29" s="1" t="s">
        <v>685</v>
      </c>
      <c r="C29" s="205">
        <v>4</v>
      </c>
      <c r="D29" s="383" t="str">
        <f t="shared" si="0"/>
        <v>Daniels Janis Anis</v>
      </c>
      <c r="E29" s="383"/>
      <c r="F29" s="131"/>
    </row>
    <row r="30" spans="1:6" x14ac:dyDescent="0.25">
      <c r="A30" s="382"/>
      <c r="B30" s="1" t="s">
        <v>360</v>
      </c>
      <c r="C30" s="205">
        <v>4</v>
      </c>
      <c r="D30" s="383" t="str">
        <f t="shared" si="0"/>
        <v>Martin Nehera</v>
      </c>
      <c r="E30" s="383"/>
      <c r="F30" s="131"/>
    </row>
    <row r="31" spans="1:6" x14ac:dyDescent="0.25">
      <c r="A31" s="382" t="s">
        <v>333</v>
      </c>
      <c r="B31" s="190" t="s">
        <v>490</v>
      </c>
      <c r="C31" s="190" t="s">
        <v>148</v>
      </c>
      <c r="D31" s="190" t="s">
        <v>771</v>
      </c>
      <c r="E31" s="178" t="str">
        <f>IFERROR(RIGHT(LEFT(D31,LEN(D31)-1),LEN(D31)-2),"")</f>
        <v>7:4</v>
      </c>
    </row>
    <row r="32" spans="1:6" x14ac:dyDescent="0.25">
      <c r="A32" s="382"/>
      <c r="B32" s="190" t="s">
        <v>568</v>
      </c>
      <c r="C32" s="190" t="s">
        <v>147</v>
      </c>
      <c r="D32" s="190" t="s">
        <v>526</v>
      </c>
      <c r="E32" s="178" t="str">
        <f t="shared" ref="E32:E40" si="3">IFERROR(RIGHT(LEFT(D32,LEN(D32)-1),LEN(D32)-2),"")</f>
        <v>7:5</v>
      </c>
    </row>
    <row r="33" spans="1:5" x14ac:dyDescent="0.25">
      <c r="A33" s="382"/>
      <c r="B33" s="190" t="s">
        <v>572</v>
      </c>
      <c r="C33" s="190" t="s">
        <v>153</v>
      </c>
      <c r="D33" s="190" t="s">
        <v>526</v>
      </c>
      <c r="E33" s="178" t="str">
        <f t="shared" si="3"/>
        <v>7:5</v>
      </c>
    </row>
    <row r="34" spans="1:5" x14ac:dyDescent="0.25">
      <c r="A34" s="382"/>
      <c r="B34" s="190" t="s">
        <v>570</v>
      </c>
      <c r="C34" s="190" t="s">
        <v>150</v>
      </c>
      <c r="D34" s="190" t="s">
        <v>912</v>
      </c>
      <c r="E34" s="178" t="str">
        <f t="shared" si="3"/>
        <v>4:6</v>
      </c>
    </row>
    <row r="35" spans="1:5" x14ac:dyDescent="0.25">
      <c r="A35" s="382"/>
      <c r="B35" s="190" t="s">
        <v>361</v>
      </c>
      <c r="C35" s="190" t="s">
        <v>142</v>
      </c>
      <c r="D35" s="190" t="s">
        <v>362</v>
      </c>
      <c r="E35" s="178" t="str">
        <f t="shared" si="3"/>
        <v>8:3</v>
      </c>
    </row>
    <row r="36" spans="1:5" x14ac:dyDescent="0.25">
      <c r="A36" s="382" t="s">
        <v>334</v>
      </c>
      <c r="B36" s="190" t="s">
        <v>625</v>
      </c>
      <c r="C36" s="190" t="s">
        <v>145</v>
      </c>
      <c r="D36" s="190" t="s">
        <v>338</v>
      </c>
      <c r="E36" s="178" t="str">
        <f t="shared" si="3"/>
        <v>-:-</v>
      </c>
    </row>
    <row r="37" spans="1:5" x14ac:dyDescent="0.25">
      <c r="A37" s="382"/>
      <c r="B37" s="190" t="s">
        <v>571</v>
      </c>
      <c r="C37" s="190" t="s">
        <v>29</v>
      </c>
      <c r="D37" s="190" t="s">
        <v>338</v>
      </c>
      <c r="E37" s="178" t="str">
        <f t="shared" si="3"/>
        <v>-:-</v>
      </c>
    </row>
    <row r="38" spans="1:5" x14ac:dyDescent="0.25">
      <c r="A38" s="382"/>
      <c r="B38" s="190" t="s">
        <v>679</v>
      </c>
      <c r="C38" s="190" t="s">
        <v>149</v>
      </c>
      <c r="D38" s="190" t="s">
        <v>338</v>
      </c>
      <c r="E38" s="178" t="str">
        <f t="shared" si="3"/>
        <v>-:-</v>
      </c>
    </row>
    <row r="39" spans="1:5" x14ac:dyDescent="0.25">
      <c r="A39" s="382"/>
      <c r="B39" s="190" t="s">
        <v>619</v>
      </c>
      <c r="C39" s="190" t="s">
        <v>146</v>
      </c>
      <c r="D39" s="190" t="s">
        <v>338</v>
      </c>
      <c r="E39" s="178" t="str">
        <f t="shared" si="3"/>
        <v>-:-</v>
      </c>
    </row>
    <row r="40" spans="1:5" x14ac:dyDescent="0.25">
      <c r="A40" s="382"/>
      <c r="B40" s="190"/>
      <c r="C40" s="190"/>
      <c r="D40" s="190"/>
      <c r="E40" s="178" t="str">
        <f t="shared" si="3"/>
        <v/>
      </c>
    </row>
    <row r="41" spans="1:5" x14ac:dyDescent="0.25">
      <c r="A41" s="132" t="s">
        <v>335</v>
      </c>
      <c r="B41" s="384" t="s">
        <v>772</v>
      </c>
      <c r="C41" s="190"/>
      <c r="D41" s="190"/>
    </row>
  </sheetData>
  <sheetProtection algorithmName="SHA-512" hashValue="nPRNeN1Fhus3lppIuJ2+5Oq5W1AZux83Z2Sh24LIPwRqfWyYro/uDLTMTlY5UGxxyK+x/XQpTSC6pxSkimJmtA==" saltValue="4Q3253twC+PcitH7NG/HZQ=="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455</v>
      </c>
      <c r="Q1" s="115" t="s">
        <v>47</v>
      </c>
    </row>
    <row r="2" spans="1:26" s="4" customFormat="1" x14ac:dyDescent="0.25">
      <c r="A2" s="53">
        <v>1</v>
      </c>
      <c r="B2" s="4" t="s">
        <v>292</v>
      </c>
      <c r="D2" s="5" t="s">
        <v>51</v>
      </c>
      <c r="E2" s="5">
        <v>22</v>
      </c>
      <c r="F2" s="5">
        <v>19</v>
      </c>
      <c r="G2" s="5">
        <v>5</v>
      </c>
      <c r="H2" s="5">
        <v>3</v>
      </c>
      <c r="I2" s="5">
        <v>29</v>
      </c>
      <c r="J2" s="5">
        <v>48</v>
      </c>
      <c r="K2" s="5">
        <v>6</v>
      </c>
      <c r="L2" s="5">
        <v>63</v>
      </c>
      <c r="M2" s="5">
        <v>28</v>
      </c>
      <c r="N2" s="5">
        <v>35</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48 (19+29), +35 ±</v>
      </c>
      <c r="P2" s="5" t="str">
        <f>IF(B2&lt;&gt;0,IF(IFERROR(VLOOKUP(B2,$B$48:$B$82,1,FALSE)=B2,FALSE),"ANO","NE"),"")</f>
        <v>ANO</v>
      </c>
      <c r="Q2" s="142" t="s">
        <v>752</v>
      </c>
      <c r="S2" s="5"/>
      <c r="X2" s="5"/>
      <c r="Y2" s="5"/>
      <c r="Z2" s="5"/>
    </row>
    <row r="3" spans="1:26" s="4" customFormat="1" x14ac:dyDescent="0.25">
      <c r="A3" s="53">
        <v>2</v>
      </c>
      <c r="B3" s="4" t="s">
        <v>293</v>
      </c>
      <c r="D3" s="5" t="s">
        <v>51</v>
      </c>
      <c r="E3" s="5">
        <v>22</v>
      </c>
      <c r="F3" s="5">
        <v>23</v>
      </c>
      <c r="G3" s="5">
        <v>4</v>
      </c>
      <c r="H3" s="5">
        <v>1</v>
      </c>
      <c r="I3" s="5">
        <v>12</v>
      </c>
      <c r="J3" s="5">
        <v>35</v>
      </c>
      <c r="K3" s="5">
        <v>18</v>
      </c>
      <c r="L3" s="5">
        <v>64</v>
      </c>
      <c r="M3" s="5">
        <v>29</v>
      </c>
      <c r="N3" s="5">
        <v>35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35 (23+12), +35 ±</v>
      </c>
      <c r="P3" s="5" t="str">
        <f t="shared" ref="P3:P36" si="1">IF(B3&lt;&gt;0,IF(IFERROR(VLOOKUP(B3,$B$48:$B$82,1,FALSE)=B3,FALSE),"ANO","NE"),"")</f>
        <v>ANO</v>
      </c>
      <c r="Q3" s="142" t="s">
        <v>753</v>
      </c>
      <c r="S3" s="5"/>
      <c r="X3" s="5"/>
      <c r="Y3" s="5"/>
      <c r="Z3" s="5"/>
    </row>
    <row r="4" spans="1:26" s="4" customFormat="1" x14ac:dyDescent="0.25">
      <c r="A4" s="53">
        <v>3</v>
      </c>
      <c r="B4" s="4" t="s">
        <v>294</v>
      </c>
      <c r="D4" s="5" t="s">
        <v>51</v>
      </c>
      <c r="E4" s="5">
        <v>22</v>
      </c>
      <c r="F4" s="5">
        <v>30</v>
      </c>
      <c r="G4" s="5">
        <v>0</v>
      </c>
      <c r="H4" s="5">
        <v>1</v>
      </c>
      <c r="I4" s="5">
        <v>4</v>
      </c>
      <c r="J4" s="5">
        <v>34</v>
      </c>
      <c r="K4" s="5">
        <v>2</v>
      </c>
      <c r="L4" s="5">
        <v>57</v>
      </c>
      <c r="M4" s="5">
        <v>23</v>
      </c>
      <c r="N4" s="5">
        <v>34</v>
      </c>
      <c r="O4" s="161" t="str">
        <f t="shared" si="0"/>
        <v>22 OZ , 34 (30+4), +34 ±</v>
      </c>
      <c r="P4" s="5" t="str">
        <f t="shared" si="1"/>
        <v>ANO</v>
      </c>
      <c r="Q4" s="142" t="s">
        <v>754</v>
      </c>
      <c r="S4" s="5"/>
      <c r="X4" s="5"/>
      <c r="Y4" s="5"/>
      <c r="Z4" s="5"/>
    </row>
    <row r="5" spans="1:26" s="4" customFormat="1" x14ac:dyDescent="0.25">
      <c r="A5" s="53">
        <v>4</v>
      </c>
      <c r="B5" s="4" t="s">
        <v>296</v>
      </c>
      <c r="D5" s="5"/>
      <c r="E5" s="5">
        <v>22</v>
      </c>
      <c r="F5" s="5">
        <v>20</v>
      </c>
      <c r="G5" s="5">
        <v>0</v>
      </c>
      <c r="H5" s="5">
        <v>0</v>
      </c>
      <c r="I5" s="5">
        <v>9</v>
      </c>
      <c r="J5" s="5">
        <v>29</v>
      </c>
      <c r="K5" s="5">
        <v>20</v>
      </c>
      <c r="L5" s="5">
        <v>52</v>
      </c>
      <c r="M5" s="5">
        <v>20</v>
      </c>
      <c r="N5" s="5">
        <v>32</v>
      </c>
      <c r="O5" s="161" t="str">
        <f t="shared" si="0"/>
        <v>22 OZ , 29 (20+9), +32 ±</v>
      </c>
      <c r="P5" s="5" t="str">
        <f t="shared" si="1"/>
        <v>ANO</v>
      </c>
      <c r="Q5" s="142" t="s">
        <v>755</v>
      </c>
      <c r="S5" s="5"/>
      <c r="X5" s="5"/>
      <c r="Y5" s="5"/>
      <c r="Z5" s="5"/>
    </row>
    <row r="6" spans="1:26" x14ac:dyDescent="0.25">
      <c r="A6" s="54">
        <v>5</v>
      </c>
      <c r="B6" s="1" t="s">
        <v>295</v>
      </c>
      <c r="D6" s="205"/>
      <c r="E6" s="205">
        <v>22</v>
      </c>
      <c r="F6" s="205">
        <v>12</v>
      </c>
      <c r="G6" s="205">
        <v>1</v>
      </c>
      <c r="H6" s="205">
        <v>0</v>
      </c>
      <c r="I6" s="205">
        <v>16</v>
      </c>
      <c r="J6" s="205">
        <v>28</v>
      </c>
      <c r="K6" s="205">
        <v>6</v>
      </c>
      <c r="L6" s="205">
        <v>56</v>
      </c>
      <c r="M6" s="205">
        <v>21</v>
      </c>
      <c r="N6" s="205">
        <v>35</v>
      </c>
      <c r="O6" s="161" t="str">
        <f t="shared" si="0"/>
        <v>22 OZ , 28 (12+16), +35 ±</v>
      </c>
      <c r="P6" s="5" t="str">
        <f t="shared" si="1"/>
        <v>ANO</v>
      </c>
    </row>
    <row r="7" spans="1:26" x14ac:dyDescent="0.25">
      <c r="A7" s="54">
        <v>6</v>
      </c>
      <c r="B7" s="1" t="s">
        <v>303</v>
      </c>
      <c r="D7" s="205" t="s">
        <v>51</v>
      </c>
      <c r="E7" s="205">
        <v>18</v>
      </c>
      <c r="F7" s="205">
        <v>11</v>
      </c>
      <c r="G7" s="205">
        <v>0</v>
      </c>
      <c r="H7" s="205">
        <v>1</v>
      </c>
      <c r="I7" s="205">
        <v>15</v>
      </c>
      <c r="J7" s="205">
        <v>26</v>
      </c>
      <c r="K7" s="205">
        <v>0</v>
      </c>
      <c r="L7" s="205">
        <v>44</v>
      </c>
      <c r="M7" s="205">
        <v>14</v>
      </c>
      <c r="N7" s="205">
        <v>30</v>
      </c>
      <c r="O7" s="161" t="str">
        <f t="shared" si="0"/>
        <v>18 OZ , 26 (11+15), +30 ±</v>
      </c>
      <c r="P7" s="5" t="str">
        <f t="shared" si="1"/>
        <v>ANO</v>
      </c>
    </row>
    <row r="8" spans="1:26" x14ac:dyDescent="0.25">
      <c r="A8" s="54">
        <v>7</v>
      </c>
      <c r="B8" s="1" t="s">
        <v>299</v>
      </c>
      <c r="D8" s="205"/>
      <c r="E8" s="205">
        <v>21</v>
      </c>
      <c r="F8" s="205">
        <v>9</v>
      </c>
      <c r="G8" s="205">
        <v>0</v>
      </c>
      <c r="H8" s="205">
        <v>0</v>
      </c>
      <c r="I8" s="205">
        <v>12</v>
      </c>
      <c r="J8" s="205">
        <v>21</v>
      </c>
      <c r="K8" s="205">
        <v>4</v>
      </c>
      <c r="L8" s="205">
        <v>41</v>
      </c>
      <c r="M8" s="205">
        <v>21</v>
      </c>
      <c r="N8" s="205">
        <v>20</v>
      </c>
      <c r="O8" s="161" t="str">
        <f t="shared" si="0"/>
        <v>21 OZ , 21 (9+12), +20 ±</v>
      </c>
      <c r="P8" s="5" t="str">
        <f t="shared" si="1"/>
        <v>ANO</v>
      </c>
    </row>
    <row r="9" spans="1:26" x14ac:dyDescent="0.25">
      <c r="A9" s="54">
        <v>8</v>
      </c>
      <c r="B9" s="1" t="s">
        <v>300</v>
      </c>
      <c r="D9" s="205" t="s">
        <v>51</v>
      </c>
      <c r="E9" s="205">
        <v>21</v>
      </c>
      <c r="F9" s="205">
        <v>12</v>
      </c>
      <c r="G9" s="205">
        <v>0</v>
      </c>
      <c r="H9" s="205">
        <v>0</v>
      </c>
      <c r="I9" s="205">
        <v>7</v>
      </c>
      <c r="J9" s="205">
        <v>19</v>
      </c>
      <c r="K9" s="205">
        <v>2</v>
      </c>
      <c r="L9" s="205">
        <v>37</v>
      </c>
      <c r="M9" s="205">
        <v>20</v>
      </c>
      <c r="N9" s="205">
        <v>17</v>
      </c>
      <c r="O9" s="161" t="str">
        <f t="shared" si="0"/>
        <v>21 OZ , 19 (12+7), +17 ±</v>
      </c>
      <c r="P9" s="5" t="str">
        <f t="shared" si="1"/>
        <v>ANO</v>
      </c>
    </row>
    <row r="10" spans="1:26" x14ac:dyDescent="0.25">
      <c r="A10" s="54">
        <v>9</v>
      </c>
      <c r="B10" s="1" t="s">
        <v>305</v>
      </c>
      <c r="D10" s="205"/>
      <c r="E10" s="205">
        <v>22</v>
      </c>
      <c r="F10" s="205">
        <v>9</v>
      </c>
      <c r="G10" s="205">
        <v>1</v>
      </c>
      <c r="H10" s="205">
        <v>1</v>
      </c>
      <c r="I10" s="205">
        <v>9</v>
      </c>
      <c r="J10" s="205">
        <v>18</v>
      </c>
      <c r="K10" s="205">
        <v>8</v>
      </c>
      <c r="L10" s="205">
        <v>66</v>
      </c>
      <c r="M10" s="205">
        <v>22</v>
      </c>
      <c r="N10" s="205">
        <v>44</v>
      </c>
      <c r="O10" s="161" t="str">
        <f t="shared" si="0"/>
        <v>22 OZ , 18 (9+9), +44 ±</v>
      </c>
      <c r="P10" s="5" t="str">
        <f t="shared" si="1"/>
        <v>ANO</v>
      </c>
    </row>
    <row r="11" spans="1:26" x14ac:dyDescent="0.25">
      <c r="A11" s="54">
        <v>10</v>
      </c>
      <c r="B11" s="1" t="s">
        <v>298</v>
      </c>
      <c r="D11" s="205" t="s">
        <v>48</v>
      </c>
      <c r="E11" s="205">
        <v>22</v>
      </c>
      <c r="F11" s="205">
        <v>4</v>
      </c>
      <c r="G11" s="205">
        <v>1</v>
      </c>
      <c r="H11" s="205">
        <v>0</v>
      </c>
      <c r="I11" s="205">
        <v>14</v>
      </c>
      <c r="J11" s="205">
        <v>18</v>
      </c>
      <c r="K11" s="205">
        <v>8</v>
      </c>
      <c r="L11" s="205">
        <v>68</v>
      </c>
      <c r="M11" s="205">
        <v>29</v>
      </c>
      <c r="N11" s="205">
        <v>39</v>
      </c>
      <c r="O11" s="161" t="str">
        <f t="shared" si="0"/>
        <v>22 OZ , 18 (4+14), +39 ±</v>
      </c>
      <c r="P11" s="5" t="str">
        <f t="shared" si="1"/>
        <v>ANO</v>
      </c>
    </row>
    <row r="12" spans="1:26" x14ac:dyDescent="0.25">
      <c r="A12" s="54">
        <v>11</v>
      </c>
      <c r="B12" s="1" t="s">
        <v>297</v>
      </c>
      <c r="D12" s="205" t="s">
        <v>51</v>
      </c>
      <c r="E12" s="205">
        <v>22</v>
      </c>
      <c r="F12" s="205">
        <v>8</v>
      </c>
      <c r="G12" s="205">
        <v>0</v>
      </c>
      <c r="H12" s="205">
        <v>0</v>
      </c>
      <c r="I12" s="205">
        <v>8</v>
      </c>
      <c r="J12" s="205">
        <v>16</v>
      </c>
      <c r="K12" s="205">
        <v>4</v>
      </c>
      <c r="L12" s="205">
        <v>37</v>
      </c>
      <c r="M12" s="205">
        <v>19</v>
      </c>
      <c r="N12" s="205">
        <v>18</v>
      </c>
      <c r="O12" s="161" t="str">
        <f t="shared" si="0"/>
        <v>22 OZ , 16 (8+8), +18 ±</v>
      </c>
      <c r="P12" s="5" t="str">
        <f t="shared" si="1"/>
        <v>ANO</v>
      </c>
    </row>
    <row r="13" spans="1:26" x14ac:dyDescent="0.25">
      <c r="A13" s="54">
        <v>12</v>
      </c>
      <c r="B13" s="1" t="s">
        <v>301</v>
      </c>
      <c r="D13" s="205"/>
      <c r="E13" s="205">
        <v>22</v>
      </c>
      <c r="F13" s="205">
        <v>6</v>
      </c>
      <c r="G13" s="205">
        <v>0</v>
      </c>
      <c r="H13" s="205">
        <v>0</v>
      </c>
      <c r="I13" s="205">
        <v>10</v>
      </c>
      <c r="J13" s="205">
        <v>16</v>
      </c>
      <c r="K13" s="205">
        <v>6</v>
      </c>
      <c r="L13" s="205">
        <v>40</v>
      </c>
      <c r="M13" s="205">
        <v>21</v>
      </c>
      <c r="N13" s="205">
        <v>19</v>
      </c>
      <c r="O13" s="161" t="str">
        <f t="shared" si="0"/>
        <v>22 OZ , 16 (6+10), +19 ±</v>
      </c>
      <c r="P13" s="5" t="str">
        <f t="shared" si="1"/>
        <v>ANO</v>
      </c>
    </row>
    <row r="14" spans="1:26" x14ac:dyDescent="0.25">
      <c r="A14" s="54">
        <v>13</v>
      </c>
      <c r="B14" s="1" t="s">
        <v>304</v>
      </c>
      <c r="D14" s="205"/>
      <c r="E14" s="205">
        <v>21</v>
      </c>
      <c r="F14" s="205">
        <v>6</v>
      </c>
      <c r="G14" s="205">
        <v>0</v>
      </c>
      <c r="H14" s="205">
        <v>0</v>
      </c>
      <c r="I14" s="205">
        <v>5</v>
      </c>
      <c r="J14" s="205">
        <v>11</v>
      </c>
      <c r="K14" s="205">
        <v>4</v>
      </c>
      <c r="L14" s="205">
        <v>33</v>
      </c>
      <c r="M14" s="205">
        <v>17</v>
      </c>
      <c r="N14" s="205">
        <v>16</v>
      </c>
      <c r="O14" s="161" t="str">
        <f t="shared" si="0"/>
        <v>21 OZ , 11 (6+5), +16 ±</v>
      </c>
      <c r="P14" s="5" t="str">
        <f t="shared" si="1"/>
        <v>ANO</v>
      </c>
    </row>
    <row r="15" spans="1:26" x14ac:dyDescent="0.25">
      <c r="A15" s="54">
        <v>14</v>
      </c>
      <c r="B15" s="1" t="s">
        <v>302</v>
      </c>
      <c r="D15" s="205"/>
      <c r="E15" s="205">
        <v>13</v>
      </c>
      <c r="F15" s="205">
        <v>6</v>
      </c>
      <c r="G15" s="205">
        <v>0</v>
      </c>
      <c r="H15" s="205">
        <v>0</v>
      </c>
      <c r="I15" s="205">
        <v>3</v>
      </c>
      <c r="J15" s="205">
        <v>9</v>
      </c>
      <c r="K15" s="205">
        <v>2</v>
      </c>
      <c r="L15" s="205">
        <v>18</v>
      </c>
      <c r="M15" s="205">
        <v>9</v>
      </c>
      <c r="N15" s="205">
        <v>9</v>
      </c>
      <c r="O15" s="161" t="str">
        <f t="shared" si="0"/>
        <v>13 OZ , 9 (6+3), +9 ±</v>
      </c>
      <c r="P15" s="5" t="str">
        <f t="shared" si="1"/>
        <v>ANO</v>
      </c>
    </row>
    <row r="16" spans="1:26" x14ac:dyDescent="0.25">
      <c r="A16" s="54">
        <v>15</v>
      </c>
      <c r="B16" s="1" t="s">
        <v>309</v>
      </c>
      <c r="D16" s="205" t="s">
        <v>51</v>
      </c>
      <c r="E16" s="205">
        <v>22</v>
      </c>
      <c r="F16" s="205">
        <v>2</v>
      </c>
      <c r="G16" s="205">
        <v>0</v>
      </c>
      <c r="H16" s="205">
        <v>0</v>
      </c>
      <c r="I16" s="205">
        <v>6</v>
      </c>
      <c r="J16" s="205">
        <v>8</v>
      </c>
      <c r="K16" s="205">
        <v>4</v>
      </c>
      <c r="L16" s="205">
        <v>59</v>
      </c>
      <c r="M16" s="205">
        <v>32</v>
      </c>
      <c r="N16" s="205">
        <v>27</v>
      </c>
      <c r="O16" s="161" t="str">
        <f t="shared" si="0"/>
        <v>22 OZ , 8 (2+6), +27 ±</v>
      </c>
      <c r="P16" s="5" t="str">
        <f t="shared" si="1"/>
        <v>ANO</v>
      </c>
    </row>
    <row r="17" spans="1:16" x14ac:dyDescent="0.25">
      <c r="A17" s="54">
        <v>16</v>
      </c>
      <c r="B17" s="1" t="s">
        <v>308</v>
      </c>
      <c r="D17" s="205" t="s">
        <v>48</v>
      </c>
      <c r="E17" s="205">
        <v>22</v>
      </c>
      <c r="F17" s="205">
        <v>3</v>
      </c>
      <c r="G17" s="205">
        <v>0</v>
      </c>
      <c r="H17" s="205">
        <v>0</v>
      </c>
      <c r="I17" s="205">
        <v>4</v>
      </c>
      <c r="J17" s="205">
        <v>7</v>
      </c>
      <c r="K17" s="205">
        <v>2</v>
      </c>
      <c r="L17" s="205">
        <v>49</v>
      </c>
      <c r="M17" s="205">
        <v>21</v>
      </c>
      <c r="N17" s="205">
        <v>28</v>
      </c>
      <c r="O17" s="161" t="str">
        <f t="shared" si="0"/>
        <v>22 OZ , 7 (3+4), +28 ±</v>
      </c>
      <c r="P17" s="5" t="str">
        <f t="shared" si="1"/>
        <v>ANO</v>
      </c>
    </row>
    <row r="18" spans="1:16" x14ac:dyDescent="0.25">
      <c r="A18" s="54">
        <v>17</v>
      </c>
      <c r="B18" s="1" t="s">
        <v>307</v>
      </c>
      <c r="D18" s="205" t="s">
        <v>51</v>
      </c>
      <c r="E18" s="205">
        <v>18</v>
      </c>
      <c r="F18" s="205">
        <v>2</v>
      </c>
      <c r="G18" s="205">
        <v>0</v>
      </c>
      <c r="H18" s="205">
        <v>0</v>
      </c>
      <c r="I18" s="205">
        <v>2</v>
      </c>
      <c r="J18" s="205">
        <v>4</v>
      </c>
      <c r="K18" s="205">
        <v>4</v>
      </c>
      <c r="L18" s="205">
        <v>13</v>
      </c>
      <c r="M18" s="205">
        <v>7</v>
      </c>
      <c r="N18" s="205">
        <v>6</v>
      </c>
      <c r="O18" s="161" t="str">
        <f t="shared" si="0"/>
        <v>18 OZ , 4 (2+2), +6 ±</v>
      </c>
      <c r="P18" s="5" t="str">
        <f t="shared" si="1"/>
        <v>ANO</v>
      </c>
    </row>
    <row r="19" spans="1:16" x14ac:dyDescent="0.25">
      <c r="A19" s="54">
        <v>18</v>
      </c>
      <c r="B19" s="1" t="s">
        <v>306</v>
      </c>
      <c r="D19" s="205" t="s">
        <v>48</v>
      </c>
      <c r="E19" s="205">
        <v>6</v>
      </c>
      <c r="F19" s="205">
        <v>2</v>
      </c>
      <c r="G19" s="205">
        <v>0</v>
      </c>
      <c r="H19" s="205">
        <v>0</v>
      </c>
      <c r="I19" s="205">
        <v>1</v>
      </c>
      <c r="J19" s="205">
        <v>3</v>
      </c>
      <c r="K19" s="205">
        <v>2</v>
      </c>
      <c r="L19" s="205">
        <v>10</v>
      </c>
      <c r="M19" s="205">
        <v>6</v>
      </c>
      <c r="N19" s="205">
        <v>4</v>
      </c>
      <c r="O19" s="161" t="str">
        <f t="shared" si="0"/>
        <v>6 OZ , 3 (2+1), +4 ±</v>
      </c>
      <c r="P19" s="5" t="str">
        <f t="shared" si="1"/>
        <v>ANO</v>
      </c>
    </row>
    <row r="20" spans="1:16" x14ac:dyDescent="0.25">
      <c r="A20" s="54">
        <v>19</v>
      </c>
      <c r="B20" s="1" t="s">
        <v>310</v>
      </c>
      <c r="D20" s="205"/>
      <c r="E20" s="205">
        <v>4</v>
      </c>
      <c r="F20" s="205">
        <v>1</v>
      </c>
      <c r="G20" s="205">
        <v>0</v>
      </c>
      <c r="H20" s="205">
        <v>0</v>
      </c>
      <c r="I20" s="205">
        <v>0</v>
      </c>
      <c r="J20" s="205">
        <v>1</v>
      </c>
      <c r="K20" s="205">
        <v>0</v>
      </c>
      <c r="L20" s="205">
        <v>4</v>
      </c>
      <c r="M20" s="205">
        <v>1</v>
      </c>
      <c r="N20" s="205">
        <v>3</v>
      </c>
      <c r="O20" s="161" t="str">
        <f t="shared" si="0"/>
        <v>4 OZ , 1 (1+0), +3 ±</v>
      </c>
      <c r="P20" s="5" t="str">
        <f t="shared" si="1"/>
        <v>ANO</v>
      </c>
    </row>
    <row r="21" spans="1:16" x14ac:dyDescent="0.25">
      <c r="A21" s="54">
        <v>20</v>
      </c>
      <c r="B21" s="1" t="s">
        <v>318</v>
      </c>
      <c r="D21" s="205" t="s">
        <v>35</v>
      </c>
      <c r="E21" s="205">
        <v>0</v>
      </c>
      <c r="F21" s="205">
        <v>0</v>
      </c>
      <c r="G21" s="205">
        <v>0</v>
      </c>
      <c r="H21" s="205">
        <v>0</v>
      </c>
      <c r="I21" s="205">
        <v>1</v>
      </c>
      <c r="J21" s="205">
        <v>1</v>
      </c>
      <c r="K21" s="205">
        <v>0</v>
      </c>
      <c r="L21" s="205">
        <v>0</v>
      </c>
      <c r="M21" s="205">
        <v>0</v>
      </c>
      <c r="N21" s="205">
        <v>0</v>
      </c>
      <c r="O21" s="161" t="str">
        <f t="shared" si="0"/>
        <v>0 OZ , 1 (0+1), 0 ±</v>
      </c>
      <c r="P21" s="5" t="str">
        <f t="shared" si="1"/>
        <v>ANO</v>
      </c>
    </row>
    <row r="22" spans="1:16" x14ac:dyDescent="0.25">
      <c r="A22" s="54">
        <v>21</v>
      </c>
      <c r="B22" s="1" t="s">
        <v>314</v>
      </c>
      <c r="D22" s="205"/>
      <c r="E22" s="205">
        <v>1</v>
      </c>
      <c r="F22" s="205">
        <v>0</v>
      </c>
      <c r="G22" s="205">
        <v>0</v>
      </c>
      <c r="H22" s="205">
        <v>0</v>
      </c>
      <c r="I22" s="205">
        <v>0</v>
      </c>
      <c r="J22" s="205">
        <v>0</v>
      </c>
      <c r="K22" s="205">
        <v>0</v>
      </c>
      <c r="L22" s="205">
        <v>0</v>
      </c>
      <c r="M22" s="205">
        <v>0</v>
      </c>
      <c r="N22" s="205">
        <v>0</v>
      </c>
      <c r="O22" s="161" t="str">
        <f t="shared" si="0"/>
        <v>1 OZ , 0 (0+0), 0 ±</v>
      </c>
      <c r="P22" s="5" t="str">
        <f t="shared" si="1"/>
        <v>ANO</v>
      </c>
    </row>
    <row r="23" spans="1:16" x14ac:dyDescent="0.25">
      <c r="A23" s="54">
        <v>22</v>
      </c>
      <c r="B23" s="1" t="s">
        <v>311</v>
      </c>
      <c r="D23" s="205" t="s">
        <v>48</v>
      </c>
      <c r="E23" s="205">
        <v>1</v>
      </c>
      <c r="F23" s="205">
        <v>0</v>
      </c>
      <c r="G23" s="205">
        <v>0</v>
      </c>
      <c r="H23" s="205">
        <v>0</v>
      </c>
      <c r="I23" s="205">
        <v>0</v>
      </c>
      <c r="J23" s="205">
        <v>0</v>
      </c>
      <c r="K23" s="205">
        <v>0</v>
      </c>
      <c r="L23" s="205">
        <v>0</v>
      </c>
      <c r="M23" s="205">
        <v>0</v>
      </c>
      <c r="N23" s="205">
        <v>0</v>
      </c>
      <c r="O23" s="161" t="str">
        <f t="shared" si="0"/>
        <v>1 OZ , 0 (0+0), 0 ±</v>
      </c>
      <c r="P23" s="5" t="str">
        <f t="shared" si="1"/>
        <v>ANO</v>
      </c>
    </row>
    <row r="24" spans="1:16" x14ac:dyDescent="0.25">
      <c r="A24" s="53">
        <v>23</v>
      </c>
      <c r="B24" s="4" t="s">
        <v>313</v>
      </c>
      <c r="C24" s="4"/>
      <c r="D24" s="5" t="s">
        <v>51</v>
      </c>
      <c r="E24" s="5">
        <v>4</v>
      </c>
      <c r="F24" s="5">
        <v>0</v>
      </c>
      <c r="G24" s="5">
        <v>0</v>
      </c>
      <c r="H24" s="5">
        <v>0</v>
      </c>
      <c r="I24" s="5">
        <v>0</v>
      </c>
      <c r="J24" s="5">
        <v>0</v>
      </c>
      <c r="K24" s="5">
        <v>0</v>
      </c>
      <c r="L24" s="5">
        <v>0</v>
      </c>
      <c r="M24" s="5">
        <v>0</v>
      </c>
      <c r="N24" s="5">
        <v>0</v>
      </c>
      <c r="O24" s="161" t="str">
        <f t="shared" si="0"/>
        <v>4 OZ , 0 (0+0), 0 ±</v>
      </c>
      <c r="P24" s="5" t="str">
        <f t="shared" si="1"/>
        <v>ANO</v>
      </c>
    </row>
    <row r="25" spans="1:16" x14ac:dyDescent="0.25">
      <c r="A25" s="53">
        <v>24</v>
      </c>
      <c r="B25" s="4" t="s">
        <v>330</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6" x14ac:dyDescent="0.25">
      <c r="A26" s="53">
        <v>25</v>
      </c>
      <c r="B26" s="4" t="s">
        <v>312</v>
      </c>
      <c r="C26" s="4"/>
      <c r="D26" s="5" t="s">
        <v>51</v>
      </c>
      <c r="E26" s="5">
        <v>5</v>
      </c>
      <c r="F26" s="5">
        <v>0</v>
      </c>
      <c r="G26" s="5">
        <v>0</v>
      </c>
      <c r="H26" s="5">
        <v>0</v>
      </c>
      <c r="I26" s="5">
        <v>0</v>
      </c>
      <c r="J26" s="5">
        <v>0</v>
      </c>
      <c r="K26" s="5">
        <v>0</v>
      </c>
      <c r="L26" s="5">
        <v>0</v>
      </c>
      <c r="M26" s="5">
        <v>0</v>
      </c>
      <c r="N26" s="5">
        <v>0</v>
      </c>
      <c r="O26" s="161" t="str">
        <f t="shared" si="0"/>
        <v>5 OZ , 0 (0+0), 0 ±</v>
      </c>
      <c r="P26" s="5" t="str">
        <f t="shared" si="1"/>
        <v>ANO</v>
      </c>
    </row>
    <row r="27" spans="1:16" x14ac:dyDescent="0.25">
      <c r="A27" s="53">
        <v>26</v>
      </c>
      <c r="B27" s="4" t="s">
        <v>316</v>
      </c>
      <c r="C27" s="4"/>
      <c r="D27" s="5"/>
      <c r="E27" s="5">
        <v>6</v>
      </c>
      <c r="F27" s="5">
        <v>0</v>
      </c>
      <c r="G27" s="5">
        <v>0</v>
      </c>
      <c r="H27" s="5">
        <v>0</v>
      </c>
      <c r="I27" s="5">
        <v>0</v>
      </c>
      <c r="J27" s="5">
        <v>0</v>
      </c>
      <c r="K27" s="5">
        <v>0</v>
      </c>
      <c r="L27" s="5">
        <v>0</v>
      </c>
      <c r="M27" s="5">
        <v>0</v>
      </c>
      <c r="N27" s="5">
        <v>0</v>
      </c>
      <c r="O27" s="161" t="str">
        <f t="shared" si="0"/>
        <v>6 OZ , 0 (0+0), 0 ±</v>
      </c>
      <c r="P27" s="5" t="str">
        <f t="shared" si="1"/>
        <v>ANO</v>
      </c>
    </row>
    <row r="28" spans="1:16" x14ac:dyDescent="0.25">
      <c r="A28" s="53">
        <v>27</v>
      </c>
      <c r="B28" s="4" t="s">
        <v>317</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315</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318</v>
      </c>
      <c r="C39"/>
      <c r="D39" s="190">
        <v>22</v>
      </c>
      <c r="E39" s="190">
        <v>19</v>
      </c>
      <c r="F39" s="190">
        <v>1105.3</v>
      </c>
      <c r="G39" s="190">
        <v>18</v>
      </c>
      <c r="H39" s="190">
        <v>64</v>
      </c>
      <c r="I39" s="190">
        <v>0</v>
      </c>
      <c r="J39" s="190">
        <v>325</v>
      </c>
      <c r="K39" s="190">
        <v>0</v>
      </c>
      <c r="L39" s="190">
        <v>1</v>
      </c>
      <c r="M39" s="190">
        <v>261</v>
      </c>
      <c r="N39" s="190">
        <v>1</v>
      </c>
      <c r="O39" s="190">
        <v>0</v>
      </c>
      <c r="P39" s="11">
        <f>IF(B39&lt;&gt;0,IFERROR(H39/(F39/60),0),"")</f>
        <v>3.4741699086220934</v>
      </c>
      <c r="Q39" s="11">
        <f>IF(B39&lt;&gt;0,IFERROR((M39/J39)*100,0),"")</f>
        <v>80.307692307692307</v>
      </c>
      <c r="R39" s="112" t="str">
        <f>IF(B39&lt;&gt;0,CONCATENATE(G39, " V, ",L39," P"),"")</f>
        <v>18 V, 1 P</v>
      </c>
    </row>
    <row r="40" spans="1:27" x14ac:dyDescent="0.25">
      <c r="A40" s="54">
        <v>2</v>
      </c>
      <c r="B40" t="s">
        <v>317</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330</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315</v>
      </c>
      <c r="C42"/>
      <c r="D42" s="190">
        <v>9</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1" t="s">
        <v>290</v>
      </c>
      <c r="Y46" s="381"/>
      <c r="Z46" s="381"/>
      <c r="AA46" s="381"/>
    </row>
    <row r="47" spans="1:27" s="110" customFormat="1" ht="15" customHeight="1" x14ac:dyDescent="0.25">
      <c r="A47" s="7">
        <f ca="1">TODAY()</f>
        <v>44244</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282</v>
      </c>
      <c r="V47" s="110" t="s">
        <v>283</v>
      </c>
      <c r="W47" s="110" t="s">
        <v>284</v>
      </c>
      <c r="X47" s="110" t="s">
        <v>289</v>
      </c>
      <c r="Y47" s="110" t="s">
        <v>287</v>
      </c>
      <c r="Z47" s="110" t="s">
        <v>288</v>
      </c>
      <c r="AA47" s="162" t="s">
        <v>478</v>
      </c>
    </row>
    <row r="48" spans="1:27" ht="15" customHeight="1" x14ac:dyDescent="0.25">
      <c r="B48" s="186" t="s">
        <v>318</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735</v>
      </c>
      <c r="R48" s="191"/>
      <c r="S48" s="180" t="str">
        <f t="shared" ref="S48:S75" si="9">IFERROR(CONCATENATE(E48+VLOOKUP(B48,$B$39:$R$42,4,FALSE), " OZ, ",G48+VLOOKUP(B48,$B$39:$R$42,13,FALSE), " A"),"")</f>
        <v>156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294</v>
      </c>
      <c r="C49" s="185">
        <v>35871</v>
      </c>
      <c r="D49" s="180">
        <f t="shared" ca="1" si="5"/>
        <v>22</v>
      </c>
      <c r="E49" s="188">
        <v>112</v>
      </c>
      <c r="F49" s="188">
        <v>47</v>
      </c>
      <c r="G49" s="188">
        <v>23</v>
      </c>
      <c r="H49" s="180">
        <f t="shared" si="6"/>
        <v>70</v>
      </c>
      <c r="I49" s="189">
        <v>6</v>
      </c>
      <c r="J49" s="189">
        <v>17</v>
      </c>
      <c r="K49" s="189"/>
      <c r="L49" s="189" t="s">
        <v>78</v>
      </c>
      <c r="M49" s="189">
        <v>181</v>
      </c>
      <c r="N49" s="189">
        <v>62</v>
      </c>
      <c r="O49" s="180" t="str">
        <f t="shared" si="7"/>
        <v>134 OZ, 104 (77+27)</v>
      </c>
      <c r="P49" s="180" t="str">
        <f t="shared" si="8"/>
        <v>181/62</v>
      </c>
      <c r="Q49" s="192" t="s">
        <v>736</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292</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331 OZ, 732 (401+331)</v>
      </c>
      <c r="P50" s="180" t="str">
        <f t="shared" si="8"/>
        <v>180/77</v>
      </c>
      <c r="Q50" s="192" t="s">
        <v>737</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310</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311</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738</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309</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203 OZ, 135 (78+57)</v>
      </c>
      <c r="P53" s="180" t="str">
        <f t="shared" si="8"/>
        <v>185/84</v>
      </c>
      <c r="Q53" s="192" t="s">
        <v>735</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307</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148 OZ, 69 (37+32)</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300</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206 OZ, 182 (109+73)</v>
      </c>
      <c r="P55" s="180" t="str">
        <f t="shared" si="8"/>
        <v>177/82</v>
      </c>
      <c r="Q55" s="192" t="s">
        <v>739</v>
      </c>
      <c r="R55" s="191">
        <v>2005</v>
      </c>
      <c r="S55" s="180" t="str">
        <f t="shared" si="9"/>
        <v/>
      </c>
      <c r="T55" s="1" t="s">
        <v>748</v>
      </c>
      <c r="U55" s="1" t="str">
        <f t="shared" si="11"/>
        <v>Chroust</v>
      </c>
      <c r="V55" s="180">
        <f t="shared" si="12"/>
        <v>2</v>
      </c>
      <c r="W55" s="180" t="str">
        <f t="shared" si="13"/>
        <v>T</v>
      </c>
      <c r="X55" s="139"/>
      <c r="Y55" s="139"/>
      <c r="Z55" s="139"/>
      <c r="AA55" s="138"/>
    </row>
    <row r="56" spans="2:27" ht="15" customHeight="1" x14ac:dyDescent="0.25">
      <c r="B56" s="186" t="s">
        <v>297</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205 OZ, 212 (136+76)</v>
      </c>
      <c r="P56" s="180" t="str">
        <f t="shared" si="8"/>
        <v>183/73</v>
      </c>
      <c r="Q56" s="192" t="s">
        <v>739</v>
      </c>
      <c r="R56" s="191">
        <v>2005</v>
      </c>
      <c r="S56" s="180" t="str">
        <f t="shared" si="9"/>
        <v/>
      </c>
      <c r="T56" s="1" t="s">
        <v>749</v>
      </c>
      <c r="U56" s="1" t="str">
        <f t="shared" si="11"/>
        <v>Chroust</v>
      </c>
      <c r="V56" s="180">
        <f t="shared" si="12"/>
        <v>2</v>
      </c>
      <c r="W56" s="180" t="str">
        <f t="shared" si="13"/>
        <v>T</v>
      </c>
      <c r="X56" s="139"/>
      <c r="Y56" s="139"/>
      <c r="Z56" s="139"/>
      <c r="AA56" s="138"/>
    </row>
    <row r="57" spans="2:27" ht="15" customHeight="1" x14ac:dyDescent="0.25">
      <c r="B57" s="186" t="s">
        <v>299</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111 OZ, 98 (58+40)</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302</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26 OZ, 12 (8+4)</v>
      </c>
      <c r="P58" s="180" t="str">
        <f t="shared" si="8"/>
        <v>187/71</v>
      </c>
      <c r="Q58" s="192" t="s">
        <v>740</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298</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282 OZ, 173 (47+126)</v>
      </c>
      <c r="P59" s="180" t="str">
        <f t="shared" si="8"/>
        <v>186/88</v>
      </c>
      <c r="Q59" s="192" t="s">
        <v>741</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313</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6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330</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464</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317</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742</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293</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269 OZ, 451 (272+179)</v>
      </c>
      <c r="P63" s="180" t="str">
        <f t="shared" si="8"/>
        <v>181/76</v>
      </c>
      <c r="Q63" s="192" t="s">
        <v>743</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316</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740</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301</v>
      </c>
      <c r="C65" s="185">
        <v>34411</v>
      </c>
      <c r="D65" s="180">
        <f t="shared" ca="1" si="5"/>
        <v>26</v>
      </c>
      <c r="E65" s="188">
        <v>158</v>
      </c>
      <c r="F65" s="188">
        <v>54</v>
      </c>
      <c r="G65" s="188">
        <v>50</v>
      </c>
      <c r="H65" s="180">
        <f t="shared" si="6"/>
        <v>104</v>
      </c>
      <c r="I65" s="189">
        <v>9</v>
      </c>
      <c r="J65" s="189">
        <v>18</v>
      </c>
      <c r="K65" s="189"/>
      <c r="L65" s="189" t="s">
        <v>78</v>
      </c>
      <c r="M65" s="189">
        <v>182</v>
      </c>
      <c r="N65" s="189">
        <v>71</v>
      </c>
      <c r="O65" s="180" t="str">
        <f t="shared" si="7"/>
        <v>180 OZ, 120 (60+60)</v>
      </c>
      <c r="P65" s="180" t="str">
        <f t="shared" si="8"/>
        <v>182/71</v>
      </c>
      <c r="Q65" s="192" t="s">
        <v>744</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305</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179 OZ, 178 (85+93)</v>
      </c>
      <c r="P66" s="180" t="str">
        <f t="shared" si="8"/>
        <v>170/69</v>
      </c>
      <c r="Q66" s="192" t="s">
        <v>741</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295</v>
      </c>
      <c r="C67" s="185">
        <v>32590</v>
      </c>
      <c r="D67" s="180">
        <f t="shared" ca="1" si="5"/>
        <v>31</v>
      </c>
      <c r="E67" s="188">
        <v>115</v>
      </c>
      <c r="F67" s="188">
        <v>86</v>
      </c>
      <c r="G67" s="188">
        <v>69</v>
      </c>
      <c r="H67" s="180">
        <f t="shared" si="6"/>
        <v>155</v>
      </c>
      <c r="I67" s="189">
        <v>7</v>
      </c>
      <c r="J67" s="189">
        <v>3</v>
      </c>
      <c r="K67" s="189"/>
      <c r="L67" s="189" t="s">
        <v>41</v>
      </c>
      <c r="M67" s="189">
        <v>185</v>
      </c>
      <c r="N67" s="189">
        <v>86</v>
      </c>
      <c r="O67" s="180" t="str">
        <f t="shared" si="7"/>
        <v>137 OZ, 183 (98+85)</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312</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15 OZ, 2 (1+1)</v>
      </c>
      <c r="P68" s="180" t="str">
        <f t="shared" si="8"/>
        <v>182/75</v>
      </c>
      <c r="Q68" s="192" t="s">
        <v>745</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306</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746</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296</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229 OZ, 290 (179+111)</v>
      </c>
      <c r="P70" s="180" t="str">
        <f t="shared" si="8"/>
        <v>183/76</v>
      </c>
      <c r="Q70" s="192" t="s">
        <v>747</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303</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214 OZ, 349 (180+169)</v>
      </c>
      <c r="P71" s="180" t="str">
        <f t="shared" si="8"/>
        <v>181/85</v>
      </c>
      <c r="Q71" s="192" t="s">
        <v>747</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315</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745</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314</v>
      </c>
      <c r="C73" s="185">
        <v>37307</v>
      </c>
      <c r="D73" s="180">
        <f t="shared" ca="1" si="5"/>
        <v>18</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745</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308</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118 OZ, 43 (18+25)</v>
      </c>
      <c r="P74" s="180" t="str">
        <f t="shared" si="8"/>
        <v>186/78</v>
      </c>
      <c r="Q74" s="192" t="s">
        <v>740</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304</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21 OZ, 11 (6+5)</v>
      </c>
      <c r="P75" s="180" t="str">
        <f t="shared" si="8"/>
        <v>185/71</v>
      </c>
      <c r="Q75" s="192" t="s">
        <v>740</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44244</v>
      </c>
      <c r="B84" s="110" t="s">
        <v>59</v>
      </c>
      <c r="C84" s="110" t="s">
        <v>66</v>
      </c>
      <c r="D84" s="110" t="s">
        <v>67</v>
      </c>
      <c r="E84" s="382" t="s">
        <v>94</v>
      </c>
      <c r="F84" s="382"/>
      <c r="G84" s="382" t="s">
        <v>100</v>
      </c>
      <c r="H84" s="382"/>
      <c r="I84" s="382"/>
      <c r="J84" s="382"/>
      <c r="K84" s="382"/>
      <c r="Q84" s="9"/>
    </row>
    <row r="85" spans="1:27" ht="30" customHeight="1" x14ac:dyDescent="0.25">
      <c r="B85" s="138" t="s">
        <v>319</v>
      </c>
      <c r="C85" s="137">
        <v>30091</v>
      </c>
      <c r="D85" s="113">
        <f ca="1">IF(B85&lt;&gt;0,ROUNDDOWN(($A$84-C85)/365.25,0),"")</f>
        <v>38</v>
      </c>
      <c r="E85" s="380" t="s">
        <v>188</v>
      </c>
      <c r="F85" s="380"/>
      <c r="G85" s="380" t="s">
        <v>320</v>
      </c>
      <c r="H85" s="380"/>
      <c r="I85" s="380"/>
      <c r="J85" s="380"/>
      <c r="K85" s="380"/>
    </row>
    <row r="86" spans="1:27" ht="30" customHeight="1" x14ac:dyDescent="0.25">
      <c r="B86" s="138" t="s">
        <v>321</v>
      </c>
      <c r="C86" s="137">
        <v>33197</v>
      </c>
      <c r="D86" s="113">
        <f t="shared" ref="D86:D92" ca="1" si="23">IF(B86&lt;&gt;0,ROUNDDOWN(($A$84-C86)/365.25,0),"")</f>
        <v>30</v>
      </c>
      <c r="E86" s="380" t="s">
        <v>101</v>
      </c>
      <c r="F86" s="380"/>
      <c r="G86" s="380" t="s">
        <v>322</v>
      </c>
      <c r="H86" s="380"/>
      <c r="I86" s="380"/>
      <c r="J86" s="380"/>
      <c r="K86" s="380"/>
    </row>
    <row r="87" spans="1:27" ht="30" customHeight="1" x14ac:dyDescent="0.25">
      <c r="B87" s="138" t="s">
        <v>323</v>
      </c>
      <c r="C87" s="137">
        <v>30597</v>
      </c>
      <c r="D87" s="113">
        <f t="shared" ca="1" si="23"/>
        <v>37</v>
      </c>
      <c r="E87" s="380" t="s">
        <v>191</v>
      </c>
      <c r="F87" s="380"/>
      <c r="G87" s="380" t="s">
        <v>324</v>
      </c>
      <c r="H87" s="380"/>
      <c r="I87" s="380"/>
      <c r="J87" s="380"/>
      <c r="K87" s="380"/>
    </row>
    <row r="88" spans="1:27" ht="30" customHeight="1" x14ac:dyDescent="0.25">
      <c r="B88" s="138" t="s">
        <v>325</v>
      </c>
      <c r="C88" s="137">
        <v>34618</v>
      </c>
      <c r="D88" s="113">
        <f t="shared" ca="1" si="23"/>
        <v>26</v>
      </c>
      <c r="E88" s="380" t="s">
        <v>326</v>
      </c>
      <c r="F88" s="380"/>
      <c r="G88" s="380" t="s">
        <v>327</v>
      </c>
      <c r="H88" s="380"/>
      <c r="I88" s="380"/>
      <c r="J88" s="380"/>
      <c r="K88" s="380"/>
    </row>
    <row r="89" spans="1:27" ht="30" customHeight="1" x14ac:dyDescent="0.25">
      <c r="B89" s="138" t="s">
        <v>328</v>
      </c>
      <c r="C89" s="137">
        <v>33694</v>
      </c>
      <c r="D89" s="113">
        <f t="shared" ca="1" si="23"/>
        <v>28</v>
      </c>
      <c r="E89" s="380" t="s">
        <v>329</v>
      </c>
      <c r="F89" s="380"/>
      <c r="G89" s="380" t="s">
        <v>30</v>
      </c>
      <c r="H89" s="380"/>
      <c r="I89" s="380"/>
      <c r="J89" s="380"/>
      <c r="K89" s="380"/>
    </row>
    <row r="90" spans="1:27" ht="30" customHeight="1" x14ac:dyDescent="0.25">
      <c r="B90" s="138"/>
      <c r="C90" s="138"/>
      <c r="D90" s="113" t="str">
        <f t="shared" si="23"/>
        <v/>
      </c>
      <c r="E90" s="380"/>
      <c r="F90" s="380"/>
      <c r="G90" s="380"/>
      <c r="H90" s="380"/>
      <c r="I90" s="380"/>
      <c r="J90" s="380"/>
      <c r="K90" s="380"/>
    </row>
    <row r="91" spans="1:27" ht="30" customHeight="1" x14ac:dyDescent="0.25">
      <c r="B91" s="138"/>
      <c r="C91" s="138"/>
      <c r="D91" s="113" t="str">
        <f t="shared" si="23"/>
        <v/>
      </c>
      <c r="E91" s="380"/>
      <c r="F91" s="380"/>
      <c r="G91" s="380"/>
      <c r="H91" s="380"/>
      <c r="I91" s="380"/>
      <c r="J91" s="380"/>
      <c r="K91" s="380"/>
    </row>
    <row r="92" spans="1:27" ht="30" customHeight="1" x14ac:dyDescent="0.25">
      <c r="B92" s="138"/>
      <c r="C92" s="138"/>
      <c r="D92" s="113" t="str">
        <f t="shared" si="23"/>
        <v/>
      </c>
      <c r="E92" s="380"/>
      <c r="F92" s="380"/>
      <c r="G92" s="380"/>
      <c r="H92" s="380"/>
      <c r="I92" s="380"/>
      <c r="J92" s="380"/>
      <c r="K92" s="380"/>
    </row>
  </sheetData>
  <sheetProtection algorithmName="SHA-512" hashValue="xJaa8iyf096ViIWjC0wc7gcjciWNYQ+NxsrWCRE2kw8Ntt9q9p3VDg/UB4h5cwKnp3K2gUhpyIRYUOVqNku9+A==" saltValue="Bez7FTV5//gg2iNkNx//Yw=="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7" priority="1" operator="containsText" text="ANO">
      <formula>NOT(ISERROR(SEARCH("ANO",P2)))</formula>
    </cfRule>
    <cfRule type="containsText" dxfId="9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82" t="s">
        <v>36</v>
      </c>
      <c r="B1" s="1" t="s">
        <v>365</v>
      </c>
      <c r="C1" s="205">
        <v>48</v>
      </c>
      <c r="D1" s="383" t="str">
        <f t="shared" ref="D1:D30" si="0">IFERROR(RIGHT(B1,LEN(B1)-SEARCH(" ",B1)),"")</f>
        <v>Jiří Curney</v>
      </c>
      <c r="E1" s="383"/>
      <c r="F1" s="131"/>
    </row>
    <row r="2" spans="1:6" x14ac:dyDescent="0.25">
      <c r="A2" s="382"/>
      <c r="B2" s="1" t="s">
        <v>366</v>
      </c>
      <c r="C2" s="205">
        <v>35</v>
      </c>
      <c r="D2" s="383" t="str">
        <f t="shared" si="0"/>
        <v>Jan Natov</v>
      </c>
      <c r="E2" s="383"/>
      <c r="F2" s="131"/>
    </row>
    <row r="3" spans="1:6" x14ac:dyDescent="0.25">
      <c r="A3" s="382"/>
      <c r="B3" s="1" t="s">
        <v>778</v>
      </c>
      <c r="C3" s="205">
        <v>34</v>
      </c>
      <c r="D3" s="383" t="str">
        <f t="shared" si="0"/>
        <v>Jakub Bína</v>
      </c>
      <c r="E3" s="383"/>
      <c r="F3" s="131"/>
    </row>
    <row r="4" spans="1:6" x14ac:dyDescent="0.25">
      <c r="A4" s="382"/>
      <c r="B4" s="1" t="s">
        <v>779</v>
      </c>
      <c r="C4" s="205">
        <v>29</v>
      </c>
      <c r="D4" s="383" t="str">
        <f t="shared" si="0"/>
        <v>Martin Tokoš</v>
      </c>
      <c r="E4" s="383"/>
      <c r="F4" s="131"/>
    </row>
    <row r="5" spans="1:6" x14ac:dyDescent="0.25">
      <c r="A5" s="382"/>
      <c r="B5" s="1" t="s">
        <v>690</v>
      </c>
      <c r="C5" s="205">
        <v>28</v>
      </c>
      <c r="D5" s="383" t="str">
        <f t="shared" si="0"/>
        <v>Daniel Šebek</v>
      </c>
      <c r="E5" s="383"/>
      <c r="F5" s="131"/>
    </row>
    <row r="6" spans="1:6" x14ac:dyDescent="0.25">
      <c r="A6" s="382" t="s">
        <v>242</v>
      </c>
      <c r="B6" s="1" t="s">
        <v>367</v>
      </c>
      <c r="C6" s="205" t="s">
        <v>780</v>
      </c>
      <c r="D6" s="383" t="str">
        <f t="shared" si="0"/>
        <v>Lukáš Bauer</v>
      </c>
      <c r="E6" s="383"/>
      <c r="F6" s="131">
        <f t="shared" ref="F6:F10" si="1">IF(B6&lt;&gt;0,_xlfn.NUMBERVALUE(C6,","),"")</f>
        <v>3.47</v>
      </c>
    </row>
    <row r="7" spans="1:6" x14ac:dyDescent="0.25">
      <c r="A7" s="382"/>
      <c r="B7" s="1" t="s">
        <v>368</v>
      </c>
      <c r="C7" s="205" t="s">
        <v>369</v>
      </c>
      <c r="D7" s="383" t="str">
        <f t="shared" si="0"/>
        <v>Petr Musil</v>
      </c>
      <c r="E7" s="383"/>
      <c r="F7" s="131">
        <f t="shared" si="1"/>
        <v>4.74</v>
      </c>
    </row>
    <row r="8" spans="1:6" x14ac:dyDescent="0.25">
      <c r="A8" s="382"/>
      <c r="B8" s="1" t="s">
        <v>370</v>
      </c>
      <c r="C8" s="205" t="s">
        <v>331</v>
      </c>
      <c r="D8" s="383" t="str">
        <f t="shared" si="0"/>
        <v>Marek Macík</v>
      </c>
      <c r="E8" s="383"/>
      <c r="F8" s="131">
        <f t="shared" si="1"/>
        <v>0</v>
      </c>
    </row>
    <row r="9" spans="1:6" x14ac:dyDescent="0.25">
      <c r="A9" s="382"/>
      <c r="B9" s="1" t="s">
        <v>371</v>
      </c>
      <c r="C9" s="205" t="s">
        <v>372</v>
      </c>
      <c r="D9" s="383" t="str">
        <f t="shared" si="0"/>
        <v>Ondřej Tomšík</v>
      </c>
      <c r="E9" s="383"/>
      <c r="F9" s="131">
        <f t="shared" si="1"/>
        <v>15</v>
      </c>
    </row>
    <row r="10" spans="1:6" x14ac:dyDescent="0.25">
      <c r="A10" s="382"/>
      <c r="B10" s="1"/>
      <c r="C10" s="205"/>
      <c r="D10" s="383" t="str">
        <f t="shared" si="0"/>
        <v/>
      </c>
      <c r="E10" s="383"/>
      <c r="F10" s="131" t="str">
        <f t="shared" si="1"/>
        <v/>
      </c>
    </row>
    <row r="11" spans="1:6" x14ac:dyDescent="0.25">
      <c r="A11" s="382" t="s">
        <v>35</v>
      </c>
      <c r="B11" s="1" t="s">
        <v>373</v>
      </c>
      <c r="C11" s="205">
        <v>30</v>
      </c>
      <c r="D11" s="383" t="str">
        <f t="shared" si="0"/>
        <v>Jakub Bína</v>
      </c>
      <c r="E11" s="383"/>
      <c r="F11" s="131"/>
    </row>
    <row r="12" spans="1:6" x14ac:dyDescent="0.25">
      <c r="A12" s="382"/>
      <c r="B12" s="1" t="s">
        <v>366</v>
      </c>
      <c r="C12" s="205">
        <v>23</v>
      </c>
      <c r="D12" s="383" t="str">
        <f t="shared" si="0"/>
        <v>Jan Natov</v>
      </c>
      <c r="E12" s="383"/>
      <c r="F12" s="131"/>
    </row>
    <row r="13" spans="1:6" x14ac:dyDescent="0.25">
      <c r="A13" s="382"/>
      <c r="B13" s="1" t="s">
        <v>688</v>
      </c>
      <c r="C13" s="205">
        <v>20</v>
      </c>
      <c r="D13" s="383" t="str">
        <f t="shared" si="0"/>
        <v>Martin Tokoš</v>
      </c>
      <c r="E13" s="383"/>
      <c r="F13" s="131"/>
    </row>
    <row r="14" spans="1:6" x14ac:dyDescent="0.25">
      <c r="A14" s="382"/>
      <c r="B14" s="1" t="s">
        <v>689</v>
      </c>
      <c r="C14" s="205">
        <v>19</v>
      </c>
      <c r="D14" s="383" t="str">
        <f t="shared" si="0"/>
        <v>Jiří Curney</v>
      </c>
      <c r="E14" s="383"/>
      <c r="F14" s="131"/>
    </row>
    <row r="15" spans="1:6" x14ac:dyDescent="0.25">
      <c r="A15" s="382"/>
      <c r="B15" s="1" t="s">
        <v>690</v>
      </c>
      <c r="C15" s="205">
        <v>12</v>
      </c>
      <c r="D15" s="383" t="str">
        <f t="shared" si="0"/>
        <v>Daniel Šebek</v>
      </c>
      <c r="E15" s="383"/>
      <c r="F15" s="131"/>
    </row>
    <row r="16" spans="1:6" x14ac:dyDescent="0.25">
      <c r="A16" s="382" t="s">
        <v>230</v>
      </c>
      <c r="B16" s="1" t="s">
        <v>367</v>
      </c>
      <c r="C16" s="205">
        <v>18</v>
      </c>
      <c r="D16" s="383" t="str">
        <f t="shared" si="0"/>
        <v>Lukáš Bauer</v>
      </c>
      <c r="E16" s="383"/>
      <c r="F16" s="131">
        <f t="shared" ref="F16:F20" si="2">IF(B16&lt;&gt;0,_xlfn.NUMBERVALUE(C16,","),"")</f>
        <v>18</v>
      </c>
    </row>
    <row r="17" spans="1:6" x14ac:dyDescent="0.25">
      <c r="A17" s="382"/>
      <c r="B17" s="1" t="s">
        <v>368</v>
      </c>
      <c r="C17" s="205">
        <v>3</v>
      </c>
      <c r="D17" s="383" t="str">
        <f t="shared" si="0"/>
        <v>Petr Musil</v>
      </c>
      <c r="E17" s="383"/>
      <c r="F17" s="131">
        <f t="shared" si="2"/>
        <v>3</v>
      </c>
    </row>
    <row r="18" spans="1:6" x14ac:dyDescent="0.25">
      <c r="A18" s="382"/>
      <c r="B18" s="1" t="s">
        <v>370</v>
      </c>
      <c r="C18" s="205">
        <v>1</v>
      </c>
      <c r="D18" s="383" t="str">
        <f t="shared" si="0"/>
        <v>Marek Macík</v>
      </c>
      <c r="E18" s="383"/>
      <c r="F18" s="131">
        <f t="shared" si="2"/>
        <v>1</v>
      </c>
    </row>
    <row r="19" spans="1:6" x14ac:dyDescent="0.25">
      <c r="A19" s="382"/>
      <c r="B19" s="1" t="s">
        <v>371</v>
      </c>
      <c r="C19" s="205">
        <v>1</v>
      </c>
      <c r="D19" s="383" t="str">
        <f t="shared" si="0"/>
        <v>Ondřej Tomšík</v>
      </c>
      <c r="E19" s="383"/>
      <c r="F19" s="131">
        <f t="shared" si="2"/>
        <v>1</v>
      </c>
    </row>
    <row r="20" spans="1:6" x14ac:dyDescent="0.25">
      <c r="A20" s="382"/>
      <c r="B20" s="1"/>
      <c r="C20" s="205"/>
      <c r="D20" s="383" t="str">
        <f t="shared" si="0"/>
        <v/>
      </c>
      <c r="E20" s="383"/>
      <c r="F20" s="131" t="str">
        <f t="shared" si="2"/>
        <v/>
      </c>
    </row>
    <row r="21" spans="1:6" x14ac:dyDescent="0.25">
      <c r="A21" s="382" t="s">
        <v>37</v>
      </c>
      <c r="B21" s="1" t="s">
        <v>365</v>
      </c>
      <c r="C21" s="205">
        <v>29</v>
      </c>
      <c r="D21" s="383" t="str">
        <f>IFERROR(RIGHT(B21,LEN(B21)-SEARCH(" ",B21)),"")</f>
        <v>Jiří Curney</v>
      </c>
      <c r="E21" s="383"/>
      <c r="F21" s="131"/>
    </row>
    <row r="22" spans="1:6" x14ac:dyDescent="0.25">
      <c r="A22" s="382"/>
      <c r="B22" s="1" t="s">
        <v>691</v>
      </c>
      <c r="C22" s="205">
        <v>16</v>
      </c>
      <c r="D22" s="383" t="str">
        <f>IFERROR(RIGHT(B22,LEN(B22)-SEARCH(" ",B22)),"")</f>
        <v>Daniel Šebek</v>
      </c>
      <c r="E22" s="383"/>
      <c r="F22" s="131"/>
    </row>
    <row r="23" spans="1:6" x14ac:dyDescent="0.25">
      <c r="A23" s="382"/>
      <c r="B23" s="1" t="s">
        <v>692</v>
      </c>
      <c r="C23" s="205">
        <v>15</v>
      </c>
      <c r="D23" s="383" t="str">
        <f>IFERROR(RIGHT(B23,LEN(B23)-SEARCH(" ",B23)),"")</f>
        <v>Milan Tomašík</v>
      </c>
      <c r="E23" s="383"/>
      <c r="F23" s="131"/>
    </row>
    <row r="24" spans="1:6" x14ac:dyDescent="0.25">
      <c r="A24" s="382"/>
      <c r="B24" s="1" t="s">
        <v>693</v>
      </c>
      <c r="C24" s="205">
        <v>14</v>
      </c>
      <c r="D24" s="383" t="str">
        <f>IFERROR(RIGHT(B24,LEN(B24)-SEARCH(" ",B24)),"")</f>
        <v>Petr Krzyžanek</v>
      </c>
      <c r="E24" s="383"/>
      <c r="F24" s="131"/>
    </row>
    <row r="25" spans="1:6" x14ac:dyDescent="0.25">
      <c r="A25" s="382"/>
      <c r="B25" s="1" t="s">
        <v>694</v>
      </c>
      <c r="C25" s="205">
        <v>12</v>
      </c>
      <c r="D25" s="383" t="str">
        <f>IFERROR(RIGHT(B25,LEN(B25)-SEARCH(" ",B25)),"")</f>
        <v>Jan Natov</v>
      </c>
      <c r="E25" s="383"/>
      <c r="F25" s="131"/>
    </row>
    <row r="26" spans="1:6" x14ac:dyDescent="0.25">
      <c r="A26" s="382" t="s">
        <v>38</v>
      </c>
      <c r="B26" s="1" t="s">
        <v>781</v>
      </c>
      <c r="C26" s="205">
        <v>20</v>
      </c>
      <c r="D26" s="383" t="str">
        <f t="shared" si="0"/>
        <v>Martin Tokoš</v>
      </c>
      <c r="E26" s="383"/>
      <c r="F26" s="131"/>
    </row>
    <row r="27" spans="1:6" x14ac:dyDescent="0.25">
      <c r="A27" s="382"/>
      <c r="B27" s="1" t="s">
        <v>366</v>
      </c>
      <c r="C27" s="205">
        <v>18</v>
      </c>
      <c r="D27" s="383" t="str">
        <f t="shared" si="0"/>
        <v>Jan Natov</v>
      </c>
      <c r="E27" s="383"/>
      <c r="F27" s="131"/>
    </row>
    <row r="28" spans="1:6" x14ac:dyDescent="0.25">
      <c r="A28" s="382"/>
      <c r="B28" s="1" t="s">
        <v>782</v>
      </c>
      <c r="C28" s="205">
        <v>8</v>
      </c>
      <c r="D28" s="383" t="str">
        <f t="shared" si="0"/>
        <v>Patrik Suchánek</v>
      </c>
      <c r="E28" s="383"/>
      <c r="F28" s="131"/>
    </row>
    <row r="29" spans="1:6" x14ac:dyDescent="0.25">
      <c r="A29" s="382"/>
      <c r="B29" s="1" t="s">
        <v>693</v>
      </c>
      <c r="C29" s="205">
        <v>8</v>
      </c>
      <c r="D29" s="383" t="str">
        <f t="shared" si="0"/>
        <v>Petr Krzyžanek</v>
      </c>
      <c r="E29" s="383"/>
      <c r="F29" s="131"/>
    </row>
    <row r="30" spans="1:6" x14ac:dyDescent="0.25">
      <c r="A30" s="382"/>
      <c r="B30" s="1" t="s">
        <v>690</v>
      </c>
      <c r="C30" s="205">
        <v>6</v>
      </c>
      <c r="D30" s="383" t="str">
        <f t="shared" si="0"/>
        <v>Daniel Šebek</v>
      </c>
      <c r="E30" s="383"/>
      <c r="F30" s="131"/>
    </row>
    <row r="31" spans="1:6" x14ac:dyDescent="0.25">
      <c r="A31" s="382" t="s">
        <v>333</v>
      </c>
      <c r="B31" s="190" t="s">
        <v>490</v>
      </c>
      <c r="C31" s="190" t="s">
        <v>144</v>
      </c>
      <c r="D31" s="190" t="s">
        <v>776</v>
      </c>
      <c r="E31" s="178" t="str">
        <f>IFERROR(RIGHT(LEFT(D31,LEN(D31)-1),LEN(D31)-2),"")</f>
        <v>9:5</v>
      </c>
    </row>
    <row r="32" spans="1:6" x14ac:dyDescent="0.25">
      <c r="A32" s="382"/>
      <c r="B32" s="190" t="s">
        <v>763</v>
      </c>
      <c r="C32" s="190" t="s">
        <v>29</v>
      </c>
      <c r="D32" s="190" t="s">
        <v>686</v>
      </c>
      <c r="E32" s="178" t="str">
        <f t="shared" ref="E32:E40" si="3">IFERROR(RIGHT(LEFT(D32,LEN(D32)-1),LEN(D32)-2),"")</f>
        <v>7:3</v>
      </c>
    </row>
    <row r="33" spans="1:5" x14ac:dyDescent="0.25">
      <c r="A33" s="382"/>
      <c r="B33" s="190" t="s">
        <v>620</v>
      </c>
      <c r="C33" s="190" t="s">
        <v>147</v>
      </c>
      <c r="D33" s="190" t="s">
        <v>349</v>
      </c>
      <c r="E33" s="178" t="str">
        <f t="shared" si="3"/>
        <v>12:3</v>
      </c>
    </row>
    <row r="34" spans="1:5" x14ac:dyDescent="0.25">
      <c r="A34" s="382"/>
      <c r="B34" s="190" t="s">
        <v>570</v>
      </c>
      <c r="C34" s="190" t="s">
        <v>141</v>
      </c>
      <c r="D34" s="190" t="s">
        <v>413</v>
      </c>
      <c r="E34" s="178" t="str">
        <f t="shared" si="3"/>
        <v>6:4</v>
      </c>
    </row>
    <row r="35" spans="1:5" x14ac:dyDescent="0.25">
      <c r="A35" s="382"/>
      <c r="B35" s="190" t="s">
        <v>618</v>
      </c>
      <c r="C35" s="190" t="s">
        <v>145</v>
      </c>
      <c r="D35" s="190" t="s">
        <v>362</v>
      </c>
      <c r="E35" s="178" t="str">
        <f t="shared" si="3"/>
        <v>8:3</v>
      </c>
    </row>
    <row r="36" spans="1:5" x14ac:dyDescent="0.25">
      <c r="A36" s="382" t="s">
        <v>334</v>
      </c>
      <c r="B36" s="190" t="s">
        <v>625</v>
      </c>
      <c r="C36" s="190" t="s">
        <v>148</v>
      </c>
      <c r="D36" s="190" t="s">
        <v>338</v>
      </c>
      <c r="E36" s="178" t="str">
        <f t="shared" si="3"/>
        <v>-:-</v>
      </c>
    </row>
    <row r="37" spans="1:5" x14ac:dyDescent="0.25">
      <c r="A37" s="382"/>
      <c r="B37" s="190" t="s">
        <v>687</v>
      </c>
      <c r="C37" s="190" t="s">
        <v>148</v>
      </c>
      <c r="D37" s="190" t="s">
        <v>338</v>
      </c>
      <c r="E37" s="178" t="str">
        <f t="shared" si="3"/>
        <v>-:-</v>
      </c>
    </row>
    <row r="38" spans="1:5" x14ac:dyDescent="0.25">
      <c r="A38" s="382"/>
      <c r="B38" s="190" t="s">
        <v>660</v>
      </c>
      <c r="C38" s="190" t="s">
        <v>142</v>
      </c>
      <c r="D38" s="190" t="s">
        <v>338</v>
      </c>
      <c r="E38" s="178" t="str">
        <f t="shared" si="3"/>
        <v>-:-</v>
      </c>
    </row>
    <row r="39" spans="1:5" x14ac:dyDescent="0.25">
      <c r="A39" s="382"/>
      <c r="B39" s="190" t="s">
        <v>619</v>
      </c>
      <c r="C39" s="190" t="s">
        <v>153</v>
      </c>
      <c r="D39" s="190" t="s">
        <v>338</v>
      </c>
      <c r="E39" s="178" t="str">
        <f t="shared" si="3"/>
        <v>-:-</v>
      </c>
    </row>
    <row r="40" spans="1:5" x14ac:dyDescent="0.25">
      <c r="A40" s="382"/>
      <c r="B40" s="190"/>
      <c r="C40" s="190"/>
      <c r="D40" s="190"/>
      <c r="E40" s="178" t="str">
        <f t="shared" si="3"/>
        <v/>
      </c>
    </row>
    <row r="41" spans="1:5" x14ac:dyDescent="0.25">
      <c r="A41" s="132" t="s">
        <v>335</v>
      </c>
      <c r="B41" s="384" t="s">
        <v>777</v>
      </c>
      <c r="C41" s="190"/>
      <c r="D41" s="190"/>
    </row>
  </sheetData>
  <sheetProtection algorithmName="SHA-512" hashValue="O8n09r2fOPzSOJ7eRttjU+X4Sby7qNzqB5Pcmjl/t8uil1OqCOQyeY3WquOPqRS3fQ3BQptdRcMMztPxouKh5w==" saltValue="fTJtktek9F7/SeFzhTMXeQ=="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455</v>
      </c>
      <c r="Q1" s="115" t="s">
        <v>47</v>
      </c>
    </row>
    <row r="2" spans="1:26" s="4" customFormat="1" x14ac:dyDescent="0.25">
      <c r="A2" s="53">
        <v>1</v>
      </c>
      <c r="B2" s="4" t="s">
        <v>378</v>
      </c>
      <c r="D2" s="5" t="s">
        <v>51</v>
      </c>
      <c r="E2" s="5">
        <v>22</v>
      </c>
      <c r="F2" s="5">
        <v>27</v>
      </c>
      <c r="G2" s="5">
        <v>6</v>
      </c>
      <c r="H2" s="5">
        <v>2</v>
      </c>
      <c r="I2" s="5">
        <v>28</v>
      </c>
      <c r="J2" s="5">
        <v>55</v>
      </c>
      <c r="K2" s="5">
        <v>16</v>
      </c>
      <c r="L2" s="5">
        <v>75</v>
      </c>
      <c r="M2" s="5">
        <v>16</v>
      </c>
      <c r="N2" s="5">
        <v>59</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55 (27+28), +59 ±</v>
      </c>
      <c r="P2" s="5" t="str">
        <f>IF(B2&lt;&gt;0,IF(IFERROR(VLOOKUP(B2,$B$48:$B$82,1,FALSE)=B2,FALSE),"ANO","NE"),"")</f>
        <v>ANO</v>
      </c>
      <c r="Q2" s="142" t="s">
        <v>416</v>
      </c>
      <c r="S2" s="5"/>
      <c r="X2" s="5"/>
      <c r="Y2" s="5"/>
      <c r="Z2" s="5"/>
    </row>
    <row r="3" spans="1:26" s="4" customFormat="1" x14ac:dyDescent="0.25">
      <c r="A3" s="53">
        <v>2</v>
      </c>
      <c r="B3" s="4" t="s">
        <v>382</v>
      </c>
      <c r="D3" s="5"/>
      <c r="E3" s="5">
        <v>20</v>
      </c>
      <c r="F3" s="5">
        <v>19</v>
      </c>
      <c r="G3" s="5">
        <v>0</v>
      </c>
      <c r="H3" s="5">
        <v>0</v>
      </c>
      <c r="I3" s="5">
        <v>18</v>
      </c>
      <c r="J3" s="5">
        <v>37</v>
      </c>
      <c r="K3" s="5">
        <v>4</v>
      </c>
      <c r="L3" s="5">
        <v>60</v>
      </c>
      <c r="M3" s="5">
        <v>15</v>
      </c>
      <c r="N3" s="5">
        <v>45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37 (19+18), +45 ±</v>
      </c>
      <c r="P3" s="5" t="str">
        <f t="shared" ref="P3:P36" si="1">IF(B3&lt;&gt;0,IF(IFERROR(VLOOKUP(B3,$B$48:$B$82,1,FALSE)=B3,FALSE),"ANO","NE"),"")</f>
        <v>ANO</v>
      </c>
      <c r="Q3" s="142"/>
      <c r="S3" s="5"/>
      <c r="X3" s="5"/>
      <c r="Y3" s="5"/>
      <c r="Z3" s="5"/>
    </row>
    <row r="4" spans="1:26" s="4" customFormat="1" x14ac:dyDescent="0.25">
      <c r="A4" s="53">
        <v>3</v>
      </c>
      <c r="B4" s="4" t="s">
        <v>380</v>
      </c>
      <c r="D4" s="5" t="s">
        <v>51</v>
      </c>
      <c r="E4" s="5">
        <v>22</v>
      </c>
      <c r="F4" s="5">
        <v>19</v>
      </c>
      <c r="G4" s="5">
        <v>7</v>
      </c>
      <c r="H4" s="5">
        <v>0</v>
      </c>
      <c r="I4" s="5">
        <v>16</v>
      </c>
      <c r="J4" s="5">
        <v>35</v>
      </c>
      <c r="K4" s="5">
        <v>4</v>
      </c>
      <c r="L4" s="5">
        <v>41</v>
      </c>
      <c r="M4" s="5">
        <v>30</v>
      </c>
      <c r="N4" s="5">
        <v>11</v>
      </c>
      <c r="O4" s="161" t="str">
        <f t="shared" si="0"/>
        <v>22 OZ , 35 (19+16), +11 ±</v>
      </c>
      <c r="P4" s="5" t="str">
        <f t="shared" si="1"/>
        <v>ANO</v>
      </c>
      <c r="Q4" s="142"/>
      <c r="S4" s="5"/>
      <c r="X4" s="5"/>
      <c r="Y4" s="5"/>
      <c r="Z4" s="5"/>
    </row>
    <row r="5" spans="1:26" s="4" customFormat="1" x14ac:dyDescent="0.25">
      <c r="A5" s="53">
        <v>4</v>
      </c>
      <c r="B5" s="4" t="s">
        <v>379</v>
      </c>
      <c r="D5" s="5"/>
      <c r="E5" s="5">
        <v>21</v>
      </c>
      <c r="F5" s="5">
        <v>13</v>
      </c>
      <c r="G5" s="5">
        <v>6</v>
      </c>
      <c r="H5" s="5">
        <v>0</v>
      </c>
      <c r="I5" s="5">
        <v>22</v>
      </c>
      <c r="J5" s="5">
        <v>35</v>
      </c>
      <c r="K5" s="5">
        <v>8</v>
      </c>
      <c r="L5" s="5">
        <v>72</v>
      </c>
      <c r="M5" s="5">
        <v>16</v>
      </c>
      <c r="N5" s="5">
        <v>56</v>
      </c>
      <c r="O5" s="161" t="str">
        <f t="shared" si="0"/>
        <v>21 OZ , 35 (13+22), +56 ±</v>
      </c>
      <c r="P5" s="5" t="str">
        <f t="shared" si="1"/>
        <v>ANO</v>
      </c>
      <c r="Q5" s="142"/>
      <c r="S5" s="5"/>
      <c r="X5" s="5"/>
      <c r="Y5" s="5"/>
      <c r="Z5" s="5"/>
    </row>
    <row r="6" spans="1:26" x14ac:dyDescent="0.25">
      <c r="A6" s="54">
        <v>5</v>
      </c>
      <c r="B6" s="1" t="s">
        <v>381</v>
      </c>
      <c r="D6" s="205" t="s">
        <v>51</v>
      </c>
      <c r="E6" s="205">
        <v>21</v>
      </c>
      <c r="F6" s="205">
        <v>15</v>
      </c>
      <c r="G6" s="205">
        <v>3</v>
      </c>
      <c r="H6" s="205">
        <v>0</v>
      </c>
      <c r="I6" s="205">
        <v>17</v>
      </c>
      <c r="J6" s="205">
        <v>32</v>
      </c>
      <c r="K6" s="205">
        <v>8</v>
      </c>
      <c r="L6" s="205">
        <v>43</v>
      </c>
      <c r="M6" s="205">
        <v>28</v>
      </c>
      <c r="N6" s="205">
        <v>15</v>
      </c>
      <c r="O6" s="161" t="str">
        <f t="shared" si="0"/>
        <v>21 OZ , 32 (15+17), +15 ±</v>
      </c>
      <c r="P6" s="5" t="str">
        <f t="shared" si="1"/>
        <v>ANO</v>
      </c>
    </row>
    <row r="7" spans="1:26" x14ac:dyDescent="0.25">
      <c r="A7" s="54">
        <v>6</v>
      </c>
      <c r="B7" s="1" t="s">
        <v>383</v>
      </c>
      <c r="D7" s="205"/>
      <c r="E7" s="205">
        <v>22</v>
      </c>
      <c r="F7" s="205">
        <v>22</v>
      </c>
      <c r="G7" s="205">
        <v>0</v>
      </c>
      <c r="H7" s="205">
        <v>0</v>
      </c>
      <c r="I7" s="205">
        <v>7</v>
      </c>
      <c r="J7" s="205">
        <v>29</v>
      </c>
      <c r="K7" s="205">
        <v>8</v>
      </c>
      <c r="L7" s="205">
        <v>65</v>
      </c>
      <c r="M7" s="205">
        <v>15</v>
      </c>
      <c r="N7" s="205">
        <v>50</v>
      </c>
      <c r="O7" s="161" t="str">
        <f t="shared" si="0"/>
        <v>22 OZ , 29 (22+7), +50 ±</v>
      </c>
      <c r="P7" s="5" t="str">
        <f t="shared" si="1"/>
        <v>ANO</v>
      </c>
    </row>
    <row r="8" spans="1:26" x14ac:dyDescent="0.25">
      <c r="A8" s="54">
        <v>7</v>
      </c>
      <c r="B8" s="1" t="s">
        <v>384</v>
      </c>
      <c r="D8" s="205"/>
      <c r="E8" s="205">
        <v>21</v>
      </c>
      <c r="F8" s="205">
        <v>11</v>
      </c>
      <c r="G8" s="205">
        <v>0</v>
      </c>
      <c r="H8" s="205">
        <v>0</v>
      </c>
      <c r="I8" s="205">
        <v>5</v>
      </c>
      <c r="J8" s="205">
        <v>16</v>
      </c>
      <c r="K8" s="205">
        <v>6</v>
      </c>
      <c r="L8" s="205">
        <v>49</v>
      </c>
      <c r="M8" s="205">
        <v>30</v>
      </c>
      <c r="N8" s="205">
        <v>19</v>
      </c>
      <c r="O8" s="161" t="str">
        <f t="shared" si="0"/>
        <v>21 OZ , 16 (11+5), +19 ±</v>
      </c>
      <c r="P8" s="5" t="str">
        <f t="shared" si="1"/>
        <v>ANO</v>
      </c>
    </row>
    <row r="9" spans="1:26" x14ac:dyDescent="0.25">
      <c r="A9" s="54">
        <v>8</v>
      </c>
      <c r="B9" s="1" t="s">
        <v>387</v>
      </c>
      <c r="D9" s="205" t="s">
        <v>51</v>
      </c>
      <c r="E9" s="205">
        <v>21</v>
      </c>
      <c r="F9" s="205">
        <v>6</v>
      </c>
      <c r="G9" s="205">
        <v>0</v>
      </c>
      <c r="H9" s="205">
        <v>0</v>
      </c>
      <c r="I9" s="205">
        <v>4</v>
      </c>
      <c r="J9" s="205">
        <v>10</v>
      </c>
      <c r="K9" s="205">
        <v>2</v>
      </c>
      <c r="L9" s="205">
        <v>27</v>
      </c>
      <c r="M9" s="205">
        <v>28</v>
      </c>
      <c r="N9" s="205">
        <v>-1</v>
      </c>
      <c r="O9" s="161" t="str">
        <f t="shared" si="0"/>
        <v>21 OZ , 10 (6+4), -1 ±</v>
      </c>
      <c r="P9" s="5" t="str">
        <f t="shared" si="1"/>
        <v>ANO</v>
      </c>
    </row>
    <row r="10" spans="1:26" x14ac:dyDescent="0.25">
      <c r="A10" s="54">
        <v>9</v>
      </c>
      <c r="B10" s="1" t="s">
        <v>385</v>
      </c>
      <c r="D10" s="205" t="s">
        <v>48</v>
      </c>
      <c r="E10" s="205">
        <v>17</v>
      </c>
      <c r="F10" s="205">
        <v>4</v>
      </c>
      <c r="G10" s="205">
        <v>0</v>
      </c>
      <c r="H10" s="205">
        <v>0</v>
      </c>
      <c r="I10" s="205">
        <v>5</v>
      </c>
      <c r="J10" s="205">
        <v>9</v>
      </c>
      <c r="K10" s="205">
        <v>4</v>
      </c>
      <c r="L10" s="205">
        <v>29</v>
      </c>
      <c r="M10" s="205">
        <v>29</v>
      </c>
      <c r="N10" s="205">
        <v>0</v>
      </c>
      <c r="O10" s="161" t="str">
        <f t="shared" si="0"/>
        <v>17 OZ , 9 (4+5), 0 ±</v>
      </c>
      <c r="P10" s="5" t="str">
        <f t="shared" si="1"/>
        <v>ANO</v>
      </c>
    </row>
    <row r="11" spans="1:26" x14ac:dyDescent="0.25">
      <c r="A11" s="54">
        <v>10</v>
      </c>
      <c r="B11" s="1" t="s">
        <v>386</v>
      </c>
      <c r="D11" s="205"/>
      <c r="E11" s="205">
        <v>15</v>
      </c>
      <c r="F11" s="205">
        <v>1</v>
      </c>
      <c r="G11" s="205">
        <v>0</v>
      </c>
      <c r="H11" s="205">
        <v>0</v>
      </c>
      <c r="I11" s="205">
        <v>8</v>
      </c>
      <c r="J11" s="205">
        <v>9</v>
      </c>
      <c r="K11" s="205">
        <v>0</v>
      </c>
      <c r="L11" s="205">
        <v>42</v>
      </c>
      <c r="M11" s="205">
        <v>9</v>
      </c>
      <c r="N11" s="205">
        <v>33</v>
      </c>
      <c r="O11" s="161" t="str">
        <f t="shared" si="0"/>
        <v>15 OZ , 9 (1+8), +33 ±</v>
      </c>
      <c r="P11" s="5" t="str">
        <f t="shared" si="1"/>
        <v>ANO</v>
      </c>
    </row>
    <row r="12" spans="1:26" x14ac:dyDescent="0.25">
      <c r="A12" s="54">
        <v>11</v>
      </c>
      <c r="B12" s="1" t="s">
        <v>388</v>
      </c>
      <c r="D12" s="205" t="s">
        <v>48</v>
      </c>
      <c r="E12" s="205">
        <v>22</v>
      </c>
      <c r="F12" s="205">
        <v>2</v>
      </c>
      <c r="G12" s="205">
        <v>0</v>
      </c>
      <c r="H12" s="205">
        <v>0</v>
      </c>
      <c r="I12" s="205">
        <v>6</v>
      </c>
      <c r="J12" s="205">
        <v>8</v>
      </c>
      <c r="K12" s="205">
        <v>4</v>
      </c>
      <c r="L12" s="205">
        <v>26</v>
      </c>
      <c r="M12" s="205">
        <v>29</v>
      </c>
      <c r="N12" s="205">
        <v>-3</v>
      </c>
      <c r="O12" s="161" t="str">
        <f t="shared" si="0"/>
        <v>22 OZ , 8 (2+6), -3 ±</v>
      </c>
      <c r="P12" s="5" t="str">
        <f t="shared" si="1"/>
        <v>ANO</v>
      </c>
    </row>
    <row r="13" spans="1:26" x14ac:dyDescent="0.25">
      <c r="A13" s="54">
        <v>12</v>
      </c>
      <c r="B13" s="1" t="s">
        <v>319</v>
      </c>
      <c r="D13" s="205"/>
      <c r="E13" s="205">
        <v>13</v>
      </c>
      <c r="F13" s="205">
        <v>2</v>
      </c>
      <c r="G13" s="205">
        <v>0</v>
      </c>
      <c r="H13" s="205">
        <v>0</v>
      </c>
      <c r="I13" s="205">
        <v>4</v>
      </c>
      <c r="J13" s="205">
        <v>6</v>
      </c>
      <c r="K13" s="205">
        <v>14</v>
      </c>
      <c r="L13" s="205">
        <v>8</v>
      </c>
      <c r="M13" s="205">
        <v>14</v>
      </c>
      <c r="N13" s="205">
        <v>-6</v>
      </c>
      <c r="O13" s="161" t="str">
        <f t="shared" si="0"/>
        <v>13 OZ , 6 (2+4), -6 ±</v>
      </c>
      <c r="P13" s="5" t="str">
        <f t="shared" si="1"/>
        <v>ANO</v>
      </c>
    </row>
    <row r="14" spans="1:26" x14ac:dyDescent="0.25">
      <c r="A14" s="54">
        <v>13</v>
      </c>
      <c r="B14" s="1" t="s">
        <v>390</v>
      </c>
      <c r="D14" s="205"/>
      <c r="E14" s="205">
        <v>12</v>
      </c>
      <c r="F14" s="205">
        <v>5</v>
      </c>
      <c r="G14" s="205">
        <v>0</v>
      </c>
      <c r="H14" s="205">
        <v>0</v>
      </c>
      <c r="I14" s="205">
        <v>0</v>
      </c>
      <c r="J14" s="205">
        <v>5</v>
      </c>
      <c r="K14" s="205">
        <v>4</v>
      </c>
      <c r="L14" s="205">
        <v>11</v>
      </c>
      <c r="M14" s="205">
        <v>13</v>
      </c>
      <c r="N14" s="205">
        <v>-2</v>
      </c>
      <c r="O14" s="161" t="str">
        <f t="shared" si="0"/>
        <v>12 OZ , 5 (5+0), -2 ±</v>
      </c>
      <c r="P14" s="5" t="str">
        <f t="shared" si="1"/>
        <v>ANO</v>
      </c>
    </row>
    <row r="15" spans="1:26" x14ac:dyDescent="0.25">
      <c r="A15" s="54">
        <v>14</v>
      </c>
      <c r="B15" s="1" t="s">
        <v>389</v>
      </c>
      <c r="D15" s="205" t="s">
        <v>48</v>
      </c>
      <c r="E15" s="205">
        <v>22</v>
      </c>
      <c r="F15" s="205">
        <v>4</v>
      </c>
      <c r="G15" s="205">
        <v>0</v>
      </c>
      <c r="H15" s="205">
        <v>0</v>
      </c>
      <c r="I15" s="205">
        <v>1</v>
      </c>
      <c r="J15" s="205">
        <v>5</v>
      </c>
      <c r="K15" s="205">
        <v>2</v>
      </c>
      <c r="L15" s="205">
        <v>23</v>
      </c>
      <c r="M15" s="205">
        <v>24</v>
      </c>
      <c r="N15" s="205">
        <v>-1</v>
      </c>
      <c r="O15" s="161" t="str">
        <f t="shared" si="0"/>
        <v>22 OZ , 5 (4+1), -1 ±</v>
      </c>
      <c r="P15" s="5" t="str">
        <f t="shared" si="1"/>
        <v>ANO</v>
      </c>
    </row>
    <row r="16" spans="1:26" x14ac:dyDescent="0.25">
      <c r="A16" s="54">
        <v>15</v>
      </c>
      <c r="B16" s="1" t="s">
        <v>391</v>
      </c>
      <c r="D16" s="205"/>
      <c r="E16" s="205">
        <v>16</v>
      </c>
      <c r="F16" s="205">
        <v>2</v>
      </c>
      <c r="G16" s="205">
        <v>0</v>
      </c>
      <c r="H16" s="205">
        <v>0</v>
      </c>
      <c r="I16" s="205">
        <v>1</v>
      </c>
      <c r="J16" s="205">
        <v>3</v>
      </c>
      <c r="K16" s="205">
        <v>0</v>
      </c>
      <c r="L16" s="205">
        <v>17</v>
      </c>
      <c r="M16" s="205">
        <v>14</v>
      </c>
      <c r="N16" s="205">
        <v>3</v>
      </c>
      <c r="O16" s="161" t="str">
        <f t="shared" si="0"/>
        <v>16 OZ , 3 (2+1), +3 ±</v>
      </c>
      <c r="P16" s="5" t="str">
        <f t="shared" si="1"/>
        <v>ANO</v>
      </c>
    </row>
    <row r="17" spans="1:16" x14ac:dyDescent="0.25">
      <c r="A17" s="54">
        <v>16</v>
      </c>
      <c r="B17" s="1" t="s">
        <v>398</v>
      </c>
      <c r="D17" s="205"/>
      <c r="E17" s="205">
        <v>8</v>
      </c>
      <c r="F17" s="205">
        <v>2</v>
      </c>
      <c r="G17" s="205">
        <v>0</v>
      </c>
      <c r="H17" s="205">
        <v>0</v>
      </c>
      <c r="I17" s="205">
        <v>0</v>
      </c>
      <c r="J17" s="205">
        <v>2</v>
      </c>
      <c r="K17" s="205">
        <v>0</v>
      </c>
      <c r="L17" s="205">
        <v>2</v>
      </c>
      <c r="M17" s="205">
        <v>8</v>
      </c>
      <c r="N17" s="205">
        <v>-6</v>
      </c>
      <c r="O17" s="161" t="str">
        <f t="shared" si="0"/>
        <v>8 OZ , 2 (2+0), -6 ±</v>
      </c>
      <c r="P17" s="5" t="str">
        <f t="shared" si="1"/>
        <v>ANO</v>
      </c>
    </row>
    <row r="18" spans="1:16" x14ac:dyDescent="0.25">
      <c r="A18" s="54">
        <v>17</v>
      </c>
      <c r="B18" s="1" t="s">
        <v>392</v>
      </c>
      <c r="D18" s="205" t="s">
        <v>48</v>
      </c>
      <c r="E18" s="205">
        <v>4</v>
      </c>
      <c r="F18" s="205">
        <v>1</v>
      </c>
      <c r="G18" s="205">
        <v>0</v>
      </c>
      <c r="H18" s="205">
        <v>0</v>
      </c>
      <c r="I18" s="205">
        <v>1</v>
      </c>
      <c r="J18" s="205">
        <v>2</v>
      </c>
      <c r="K18" s="205">
        <v>0</v>
      </c>
      <c r="L18" s="205">
        <v>8</v>
      </c>
      <c r="M18" s="205">
        <v>3</v>
      </c>
      <c r="N18" s="205">
        <v>5</v>
      </c>
      <c r="O18" s="161" t="str">
        <f t="shared" si="0"/>
        <v>4 OZ , 2 (1+1), +5 ±</v>
      </c>
      <c r="P18" s="5" t="str">
        <f t="shared" si="1"/>
        <v>ANO</v>
      </c>
    </row>
    <row r="19" spans="1:16" x14ac:dyDescent="0.25">
      <c r="A19" s="54">
        <v>18</v>
      </c>
      <c r="B19" s="1" t="s">
        <v>393</v>
      </c>
      <c r="D19" s="205"/>
      <c r="E19" s="205">
        <v>12</v>
      </c>
      <c r="F19" s="205">
        <v>1</v>
      </c>
      <c r="G19" s="205">
        <v>0</v>
      </c>
      <c r="H19" s="205">
        <v>0</v>
      </c>
      <c r="I19" s="205">
        <v>1</v>
      </c>
      <c r="J19" s="205">
        <v>2</v>
      </c>
      <c r="K19" s="205">
        <v>2</v>
      </c>
      <c r="L19" s="205">
        <v>5</v>
      </c>
      <c r="M19" s="205">
        <v>8</v>
      </c>
      <c r="N19" s="205">
        <v>-3</v>
      </c>
      <c r="O19" s="161" t="str">
        <f t="shared" si="0"/>
        <v>12 OZ , 2 (1+1), -3 ±</v>
      </c>
      <c r="P19" s="5" t="str">
        <f t="shared" si="1"/>
        <v>ANO</v>
      </c>
    </row>
    <row r="20" spans="1:16" x14ac:dyDescent="0.25">
      <c r="A20" s="54">
        <v>19</v>
      </c>
      <c r="B20" s="1" t="s">
        <v>394</v>
      </c>
      <c r="D20" s="205"/>
      <c r="E20" s="205">
        <v>19</v>
      </c>
      <c r="F20" s="205">
        <v>1</v>
      </c>
      <c r="G20" s="205">
        <v>0</v>
      </c>
      <c r="H20" s="205">
        <v>0</v>
      </c>
      <c r="I20" s="205">
        <v>1</v>
      </c>
      <c r="J20" s="205">
        <v>2</v>
      </c>
      <c r="K20" s="205">
        <v>4</v>
      </c>
      <c r="L20" s="205">
        <v>16</v>
      </c>
      <c r="M20" s="205">
        <v>25</v>
      </c>
      <c r="N20" s="205">
        <v>-9</v>
      </c>
      <c r="O20" s="161" t="str">
        <f t="shared" si="0"/>
        <v>19 OZ , 2 (1+1), -9 ±</v>
      </c>
      <c r="P20" s="5" t="str">
        <f t="shared" si="1"/>
        <v>ANO</v>
      </c>
    </row>
    <row r="21" spans="1:16" x14ac:dyDescent="0.25">
      <c r="A21" s="54">
        <v>20</v>
      </c>
      <c r="B21" s="1" t="s">
        <v>402</v>
      </c>
      <c r="D21" s="205"/>
      <c r="E21" s="205">
        <v>14</v>
      </c>
      <c r="F21" s="205">
        <v>1</v>
      </c>
      <c r="G21" s="205">
        <v>0</v>
      </c>
      <c r="H21" s="205">
        <v>0</v>
      </c>
      <c r="I21" s="205">
        <v>0</v>
      </c>
      <c r="J21" s="205">
        <v>1</v>
      </c>
      <c r="K21" s="205">
        <v>2</v>
      </c>
      <c r="L21" s="205">
        <v>5</v>
      </c>
      <c r="M21" s="205">
        <v>11</v>
      </c>
      <c r="N21" s="205">
        <v>-6</v>
      </c>
      <c r="O21" s="161" t="str">
        <f t="shared" si="0"/>
        <v>14 OZ , 1 (1+0), -6 ±</v>
      </c>
      <c r="P21" s="5" t="str">
        <f t="shared" si="1"/>
        <v>ANO</v>
      </c>
    </row>
    <row r="22" spans="1:16" x14ac:dyDescent="0.25">
      <c r="A22" s="54">
        <v>21</v>
      </c>
      <c r="B22" s="1" t="s">
        <v>404</v>
      </c>
      <c r="D22" s="205"/>
      <c r="E22" s="205">
        <v>15</v>
      </c>
      <c r="F22" s="205">
        <v>1</v>
      </c>
      <c r="G22" s="205">
        <v>0</v>
      </c>
      <c r="H22" s="205">
        <v>0</v>
      </c>
      <c r="I22" s="205">
        <v>0</v>
      </c>
      <c r="J22" s="205">
        <v>1</v>
      </c>
      <c r="K22" s="205">
        <v>0</v>
      </c>
      <c r="L22" s="205">
        <v>1</v>
      </c>
      <c r="M22" s="205">
        <v>4</v>
      </c>
      <c r="N22" s="205">
        <v>-3</v>
      </c>
      <c r="O22" s="161" t="str">
        <f t="shared" si="0"/>
        <v>15 OZ , 1 (1+0), -3 ±</v>
      </c>
      <c r="P22" s="5" t="str">
        <f t="shared" si="1"/>
        <v>ANO</v>
      </c>
    </row>
    <row r="23" spans="1:16" x14ac:dyDescent="0.25">
      <c r="A23" s="54">
        <v>22</v>
      </c>
      <c r="B23" s="1" t="s">
        <v>281</v>
      </c>
      <c r="D23" s="205"/>
      <c r="E23" s="205">
        <v>8</v>
      </c>
      <c r="F23" s="205">
        <v>0</v>
      </c>
      <c r="G23" s="205">
        <v>0</v>
      </c>
      <c r="H23" s="205">
        <v>0</v>
      </c>
      <c r="I23" s="205">
        <v>1</v>
      </c>
      <c r="J23" s="205">
        <v>1</v>
      </c>
      <c r="K23" s="205">
        <v>4</v>
      </c>
      <c r="L23" s="205">
        <v>3</v>
      </c>
      <c r="M23" s="205">
        <v>3</v>
      </c>
      <c r="N23" s="205">
        <v>0</v>
      </c>
      <c r="O23" s="161" t="str">
        <f t="shared" si="0"/>
        <v>8 OZ , 1 (0+1), 0 ±</v>
      </c>
      <c r="P23" s="5" t="str">
        <f t="shared" si="1"/>
        <v>ANO</v>
      </c>
    </row>
    <row r="24" spans="1:16" x14ac:dyDescent="0.25">
      <c r="A24" s="53">
        <v>23</v>
      </c>
      <c r="B24" s="4" t="s">
        <v>405</v>
      </c>
      <c r="C24" s="4"/>
      <c r="D24" s="5"/>
      <c r="E24" s="5">
        <v>0</v>
      </c>
      <c r="F24" s="5">
        <v>0</v>
      </c>
      <c r="G24" s="5">
        <v>0</v>
      </c>
      <c r="H24" s="5">
        <v>0</v>
      </c>
      <c r="I24" s="5">
        <v>1</v>
      </c>
      <c r="J24" s="5">
        <v>1</v>
      </c>
      <c r="K24" s="5">
        <v>0</v>
      </c>
      <c r="L24" s="5">
        <v>0</v>
      </c>
      <c r="M24" s="5">
        <v>0</v>
      </c>
      <c r="N24" s="5">
        <v>0</v>
      </c>
      <c r="O24" s="161" t="str">
        <f t="shared" si="0"/>
        <v>0 OZ , 1 (0+1), 0 ±</v>
      </c>
      <c r="P24" s="5" t="str">
        <f t="shared" si="1"/>
        <v>ANO</v>
      </c>
    </row>
    <row r="25" spans="1:16" x14ac:dyDescent="0.25">
      <c r="A25" s="53">
        <v>24</v>
      </c>
      <c r="B25" s="4" t="s">
        <v>396</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395</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397</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399</v>
      </c>
      <c r="C28" s="4"/>
      <c r="D28" s="5" t="s">
        <v>51</v>
      </c>
      <c r="E28" s="5">
        <v>3</v>
      </c>
      <c r="F28" s="5">
        <v>0</v>
      </c>
      <c r="G28" s="5">
        <v>0</v>
      </c>
      <c r="H28" s="5">
        <v>0</v>
      </c>
      <c r="I28" s="5">
        <v>0</v>
      </c>
      <c r="J28" s="5">
        <v>0</v>
      </c>
      <c r="K28" s="5">
        <v>0</v>
      </c>
      <c r="L28" s="5">
        <v>0</v>
      </c>
      <c r="M28" s="5">
        <v>0</v>
      </c>
      <c r="N28" s="5">
        <v>0</v>
      </c>
      <c r="O28" s="161" t="str">
        <f t="shared" si="0"/>
        <v>3 OZ , 0 (0+0), 0 ±</v>
      </c>
      <c r="P28" s="5" t="str">
        <f t="shared" si="1"/>
        <v>ANO</v>
      </c>
    </row>
    <row r="29" spans="1:16" x14ac:dyDescent="0.25">
      <c r="A29" s="53">
        <v>28</v>
      </c>
      <c r="B29" s="4" t="s">
        <v>400</v>
      </c>
      <c r="C29" s="4"/>
      <c r="D29" s="5"/>
      <c r="E29" s="5">
        <v>10</v>
      </c>
      <c r="F29" s="5">
        <v>0</v>
      </c>
      <c r="G29" s="5">
        <v>0</v>
      </c>
      <c r="H29" s="5">
        <v>0</v>
      </c>
      <c r="I29" s="5">
        <v>0</v>
      </c>
      <c r="J29" s="5">
        <v>0</v>
      </c>
      <c r="K29" s="5">
        <v>4</v>
      </c>
      <c r="L29" s="5">
        <v>3</v>
      </c>
      <c r="M29" s="5">
        <v>4</v>
      </c>
      <c r="N29" s="5">
        <v>-1</v>
      </c>
      <c r="O29" s="161" t="str">
        <f t="shared" si="0"/>
        <v>10 OZ , 0 (0+0), -1 ±</v>
      </c>
      <c r="P29" s="5" t="str">
        <f t="shared" si="1"/>
        <v>ANO</v>
      </c>
    </row>
    <row r="30" spans="1:16" x14ac:dyDescent="0.25">
      <c r="A30" s="54">
        <v>29</v>
      </c>
      <c r="B30" s="1" t="s">
        <v>401</v>
      </c>
      <c r="D30" s="205"/>
      <c r="E30" s="205">
        <v>0</v>
      </c>
      <c r="F30" s="205">
        <v>0</v>
      </c>
      <c r="G30" s="205">
        <v>0</v>
      </c>
      <c r="H30" s="205">
        <v>0</v>
      </c>
      <c r="I30" s="205">
        <v>0</v>
      </c>
      <c r="J30" s="205">
        <v>0</v>
      </c>
      <c r="K30" s="205">
        <v>0</v>
      </c>
      <c r="L30" s="205">
        <v>0</v>
      </c>
      <c r="M30" s="205">
        <v>0</v>
      </c>
      <c r="N30" s="205">
        <v>0</v>
      </c>
      <c r="O30" s="161" t="str">
        <f t="shared" si="0"/>
        <v>0 OZ , 0 (0+0), 0 ±</v>
      </c>
      <c r="P30" s="5" t="str">
        <f t="shared" si="1"/>
        <v>ANO</v>
      </c>
    </row>
    <row r="31" spans="1:16" x14ac:dyDescent="0.25">
      <c r="A31" s="54">
        <v>30</v>
      </c>
      <c r="B31" s="1" t="s">
        <v>403</v>
      </c>
      <c r="D31" s="205" t="s">
        <v>35</v>
      </c>
      <c r="E31" s="205">
        <v>0</v>
      </c>
      <c r="F31" s="205">
        <v>0</v>
      </c>
      <c r="G31" s="205">
        <v>0</v>
      </c>
      <c r="H31" s="205">
        <v>0</v>
      </c>
      <c r="I31" s="205">
        <v>0</v>
      </c>
      <c r="J31" s="205">
        <v>0</v>
      </c>
      <c r="K31" s="205">
        <v>0</v>
      </c>
      <c r="L31" s="205">
        <v>0</v>
      </c>
      <c r="M31" s="205">
        <v>0</v>
      </c>
      <c r="N31" s="205">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405</v>
      </c>
      <c r="C39"/>
      <c r="D39" s="190">
        <v>20</v>
      </c>
      <c r="E39" s="190">
        <v>16</v>
      </c>
      <c r="F39" s="190">
        <v>868.22</v>
      </c>
      <c r="G39" s="190">
        <v>12</v>
      </c>
      <c r="H39" s="190">
        <v>59</v>
      </c>
      <c r="I39" s="190">
        <v>0</v>
      </c>
      <c r="J39" s="190">
        <v>246</v>
      </c>
      <c r="K39" s="190">
        <v>0</v>
      </c>
      <c r="L39" s="190">
        <v>4</v>
      </c>
      <c r="M39" s="190">
        <v>187</v>
      </c>
      <c r="N39" s="190">
        <v>1</v>
      </c>
      <c r="O39" s="190">
        <v>0</v>
      </c>
      <c r="P39" s="11">
        <f>IF(B39&lt;&gt;0,IFERROR(H39/(F39/60),0),"")</f>
        <v>4.0773075948492314</v>
      </c>
      <c r="Q39" s="11">
        <f>IF(B39&lt;&gt;0,IFERROR((M39/J39)*100,0),"")</f>
        <v>76.016260162601625</v>
      </c>
      <c r="R39" s="134" t="str">
        <f>IF(B39&lt;&gt;0,CONCATENATE(G39, " V, ",L39," P"),"")</f>
        <v>12 V, 4 P</v>
      </c>
    </row>
    <row r="40" spans="1:27" x14ac:dyDescent="0.25">
      <c r="A40" s="54">
        <v>2</v>
      </c>
      <c r="B40" t="s">
        <v>403</v>
      </c>
      <c r="C40"/>
      <c r="D40" s="190">
        <v>14</v>
      </c>
      <c r="E40" s="190">
        <v>5</v>
      </c>
      <c r="F40" s="190">
        <v>262.92</v>
      </c>
      <c r="G40" s="190">
        <v>4</v>
      </c>
      <c r="H40" s="190">
        <v>20</v>
      </c>
      <c r="I40" s="190">
        <v>1</v>
      </c>
      <c r="J40" s="190">
        <v>78</v>
      </c>
      <c r="K40" s="190">
        <v>0</v>
      </c>
      <c r="L40" s="190">
        <v>1</v>
      </c>
      <c r="M40" s="190">
        <v>58</v>
      </c>
      <c r="N40" s="190">
        <v>0</v>
      </c>
      <c r="O40" s="190">
        <v>0</v>
      </c>
      <c r="P40" s="11">
        <f t="shared" ref="P40:P45" si="2">IF(B40&lt;&gt;0,IFERROR(H40/(F40/60),0),"")</f>
        <v>4.564125969876768</v>
      </c>
      <c r="Q40" s="11">
        <f t="shared" ref="Q40:Q45" si="3">IF(B40&lt;&gt;0,IFERROR((M40/J40)*100,0),"")</f>
        <v>74.358974358974365</v>
      </c>
      <c r="R40" s="134" t="str">
        <f t="shared" ref="R40:R45" si="4">IF(B40&lt;&gt;0,CONCATENATE(G40, " V, ",L40," P"),"")</f>
        <v>4 V, 1 P</v>
      </c>
    </row>
    <row r="41" spans="1:27" x14ac:dyDescent="0.25">
      <c r="A41" s="54">
        <v>3</v>
      </c>
      <c r="B41" t="s">
        <v>401</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381" t="s">
        <v>290</v>
      </c>
      <c r="Y46" s="381"/>
      <c r="Z46" s="381"/>
      <c r="AA46" s="381"/>
    </row>
    <row r="47" spans="1:27" s="135" customFormat="1" ht="15" customHeight="1" x14ac:dyDescent="0.25">
      <c r="A47" s="7">
        <f ca="1">TODAY()</f>
        <v>44244</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282</v>
      </c>
      <c r="V47" s="135" t="s">
        <v>283</v>
      </c>
      <c r="W47" s="135" t="s">
        <v>284</v>
      </c>
      <c r="X47" s="135" t="s">
        <v>289</v>
      </c>
      <c r="Y47" s="135" t="s">
        <v>287</v>
      </c>
      <c r="Z47" s="135" t="s">
        <v>288</v>
      </c>
      <c r="AA47" s="162" t="s">
        <v>478</v>
      </c>
    </row>
    <row r="48" spans="1:27" ht="15" customHeight="1" x14ac:dyDescent="0.25">
      <c r="B48" s="138" t="s">
        <v>383</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22 OZ, 29 (22+7)</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403</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5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382</v>
      </c>
      <c r="C50" s="137"/>
      <c r="D50" s="134" t="str">
        <f t="shared" si="5"/>
        <v/>
      </c>
      <c r="E50" s="139"/>
      <c r="F50" s="139"/>
      <c r="G50" s="139"/>
      <c r="H50" s="134">
        <f t="shared" si="6"/>
        <v>0</v>
      </c>
      <c r="I50" s="139"/>
      <c r="J50" s="139"/>
      <c r="K50" s="139"/>
      <c r="L50" s="139"/>
      <c r="M50" s="139"/>
      <c r="N50" s="139"/>
      <c r="O50" s="134" t="str">
        <f t="shared" si="7"/>
        <v>20 OZ, 37 (19+18)</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401</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399</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281</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387</v>
      </c>
      <c r="C54" s="137"/>
      <c r="D54" s="134" t="str">
        <f t="shared" si="5"/>
        <v/>
      </c>
      <c r="E54" s="139"/>
      <c r="F54" s="139"/>
      <c r="G54" s="139"/>
      <c r="H54" s="134">
        <f t="shared" si="6"/>
        <v>0</v>
      </c>
      <c r="I54" s="139"/>
      <c r="J54" s="139"/>
      <c r="K54" s="139"/>
      <c r="L54" s="139"/>
      <c r="M54" s="139"/>
      <c r="N54" s="139"/>
      <c r="O54" s="134" t="str">
        <f t="shared" si="7"/>
        <v>21 OZ, 10 (6+4)</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391</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398</v>
      </c>
      <c r="C56" s="137"/>
      <c r="D56" s="134" t="str">
        <f t="shared" si="5"/>
        <v/>
      </c>
      <c r="E56" s="139"/>
      <c r="F56" s="139"/>
      <c r="G56" s="139"/>
      <c r="H56" s="134">
        <f t="shared" si="6"/>
        <v>0</v>
      </c>
      <c r="I56" s="139"/>
      <c r="J56" s="139"/>
      <c r="K56" s="139"/>
      <c r="L56" s="139"/>
      <c r="M56" s="139"/>
      <c r="N56" s="139"/>
      <c r="O56" s="134" t="str">
        <f t="shared" si="7"/>
        <v>8 OZ, 2 (2+0)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405</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16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378</v>
      </c>
      <c r="C58" s="137"/>
      <c r="D58" s="134" t="str">
        <f t="shared" si="5"/>
        <v/>
      </c>
      <c r="E58" s="139"/>
      <c r="F58" s="139"/>
      <c r="G58" s="139"/>
      <c r="H58" s="134">
        <f t="shared" si="6"/>
        <v>0</v>
      </c>
      <c r="I58" s="139"/>
      <c r="J58" s="139"/>
      <c r="K58" s="139"/>
      <c r="L58" s="139"/>
      <c r="M58" s="139"/>
      <c r="N58" s="139"/>
      <c r="O58" s="134" t="str">
        <f t="shared" si="7"/>
        <v>22 OZ, 55 (27+28)</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380</v>
      </c>
      <c r="C59" s="137"/>
      <c r="D59" s="134" t="str">
        <f t="shared" si="5"/>
        <v/>
      </c>
      <c r="E59" s="139"/>
      <c r="F59" s="139"/>
      <c r="G59" s="139"/>
      <c r="H59" s="134">
        <f t="shared" si="6"/>
        <v>0</v>
      </c>
      <c r="I59" s="139"/>
      <c r="J59" s="139"/>
      <c r="K59" s="139"/>
      <c r="L59" s="139"/>
      <c r="M59" s="139"/>
      <c r="N59" s="139"/>
      <c r="O59" s="134" t="str">
        <f t="shared" si="7"/>
        <v>22 OZ, 35 (19+16)</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389</v>
      </c>
      <c r="C60" s="137"/>
      <c r="D60" s="134" t="str">
        <f t="shared" si="5"/>
        <v/>
      </c>
      <c r="E60" s="139"/>
      <c r="F60" s="139"/>
      <c r="G60" s="139"/>
      <c r="H60" s="134">
        <f t="shared" si="6"/>
        <v>0</v>
      </c>
      <c r="I60" s="139"/>
      <c r="J60" s="139"/>
      <c r="K60" s="139"/>
      <c r="L60" s="139"/>
      <c r="M60" s="139"/>
      <c r="N60" s="139"/>
      <c r="O60" s="134" t="str">
        <f t="shared" si="7"/>
        <v>22 OZ, 5 (4+1)</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393</v>
      </c>
      <c r="C61" s="137"/>
      <c r="D61" s="134" t="str">
        <f t="shared" si="5"/>
        <v/>
      </c>
      <c r="E61" s="139"/>
      <c r="F61" s="139"/>
      <c r="G61" s="139"/>
      <c r="H61" s="134">
        <f t="shared" si="6"/>
        <v>0</v>
      </c>
      <c r="I61" s="139"/>
      <c r="J61" s="139"/>
      <c r="K61" s="139"/>
      <c r="L61" s="139"/>
      <c r="M61" s="139"/>
      <c r="N61" s="139"/>
      <c r="O61" s="134" t="str">
        <f t="shared" si="7"/>
        <v>12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379</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319</v>
      </c>
      <c r="C63" s="137"/>
      <c r="D63" s="134" t="str">
        <f t="shared" si="5"/>
        <v/>
      </c>
      <c r="E63" s="139"/>
      <c r="F63" s="139"/>
      <c r="G63" s="139"/>
      <c r="H63" s="134">
        <f t="shared" si="6"/>
        <v>0</v>
      </c>
      <c r="I63" s="139"/>
      <c r="J63" s="139"/>
      <c r="K63" s="139"/>
      <c r="L63" s="139"/>
      <c r="M63" s="139"/>
      <c r="N63" s="139"/>
      <c r="O63" s="134" t="str">
        <f t="shared" si="7"/>
        <v>13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385</v>
      </c>
      <c r="C64" s="137"/>
      <c r="D64" s="134" t="str">
        <f t="shared" si="5"/>
        <v/>
      </c>
      <c r="E64" s="139"/>
      <c r="F64" s="139"/>
      <c r="G64" s="139"/>
      <c r="H64" s="134">
        <f t="shared" si="6"/>
        <v>0</v>
      </c>
      <c r="I64" s="139"/>
      <c r="J64" s="139"/>
      <c r="K64" s="139"/>
      <c r="L64" s="139"/>
      <c r="M64" s="139"/>
      <c r="N64" s="139"/>
      <c r="O64" s="134" t="str">
        <f t="shared" si="7"/>
        <v>17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402</v>
      </c>
      <c r="C65" s="137"/>
      <c r="D65" s="134" t="str">
        <f t="shared" si="5"/>
        <v/>
      </c>
      <c r="E65" s="139"/>
      <c r="F65" s="139"/>
      <c r="G65" s="139"/>
      <c r="H65" s="134">
        <f t="shared" si="6"/>
        <v>0</v>
      </c>
      <c r="I65" s="139"/>
      <c r="J65" s="139"/>
      <c r="K65" s="139"/>
      <c r="L65" s="139"/>
      <c r="M65" s="139"/>
      <c r="N65" s="139"/>
      <c r="O65" s="134" t="str">
        <f t="shared" si="7"/>
        <v>14 OZ, 1 (1+0)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390</v>
      </c>
      <c r="C66" s="137"/>
      <c r="D66" s="134" t="str">
        <f t="shared" si="5"/>
        <v/>
      </c>
      <c r="E66" s="139"/>
      <c r="F66" s="139"/>
      <c r="G66" s="139"/>
      <c r="H66" s="134">
        <f t="shared" si="6"/>
        <v>0</v>
      </c>
      <c r="I66" s="139"/>
      <c r="J66" s="139"/>
      <c r="K66" s="139"/>
      <c r="L66" s="139"/>
      <c r="M66" s="139"/>
      <c r="N66" s="139"/>
      <c r="O66" s="134" t="str">
        <f t="shared" si="7"/>
        <v>12 OZ, 5 (5+0)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396</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404</v>
      </c>
      <c r="C68" s="137"/>
      <c r="D68" s="134" t="str">
        <f t="shared" si="5"/>
        <v/>
      </c>
      <c r="E68" s="139"/>
      <c r="F68" s="139"/>
      <c r="G68" s="139"/>
      <c r="H68" s="134">
        <f t="shared" si="6"/>
        <v>0</v>
      </c>
      <c r="I68" s="139"/>
      <c r="J68" s="139"/>
      <c r="K68" s="139"/>
      <c r="L68" s="139"/>
      <c r="M68" s="139"/>
      <c r="N68" s="139"/>
      <c r="O68" s="134" t="str">
        <f t="shared" si="7"/>
        <v>15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394</v>
      </c>
      <c r="C69" s="137"/>
      <c r="D69" s="134" t="str">
        <f t="shared" si="5"/>
        <v/>
      </c>
      <c r="E69" s="139"/>
      <c r="F69" s="139"/>
      <c r="G69" s="139"/>
      <c r="H69" s="134">
        <f t="shared" si="6"/>
        <v>0</v>
      </c>
      <c r="I69" s="139"/>
      <c r="J69" s="139"/>
      <c r="K69" s="139"/>
      <c r="L69" s="139"/>
      <c r="M69" s="139"/>
      <c r="N69" s="139"/>
      <c r="O69" s="134" t="str">
        <f t="shared" si="7"/>
        <v>19 OZ, 2 (1+1)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384</v>
      </c>
      <c r="C70" s="137"/>
      <c r="D70" s="134" t="str">
        <f t="shared" si="5"/>
        <v/>
      </c>
      <c r="E70" s="139"/>
      <c r="F70" s="139"/>
      <c r="G70" s="139"/>
      <c r="H70" s="134">
        <f t="shared" si="6"/>
        <v>0</v>
      </c>
      <c r="I70" s="139"/>
      <c r="J70" s="139"/>
      <c r="K70" s="139"/>
      <c r="L70" s="139"/>
      <c r="M70" s="139"/>
      <c r="N70" s="139"/>
      <c r="O70" s="134" t="str">
        <f t="shared" si="7"/>
        <v>21 OZ, 16 (11+5)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381</v>
      </c>
      <c r="C71" s="137"/>
      <c r="D71" s="134" t="str">
        <f t="shared" si="5"/>
        <v/>
      </c>
      <c r="E71" s="139"/>
      <c r="F71" s="139"/>
      <c r="G71" s="139"/>
      <c r="H71" s="134">
        <f t="shared" si="6"/>
        <v>0</v>
      </c>
      <c r="I71" s="139"/>
      <c r="J71" s="139"/>
      <c r="K71" s="139"/>
      <c r="L71" s="139"/>
      <c r="M71" s="139"/>
      <c r="N71" s="139"/>
      <c r="O71" s="134" t="str">
        <f t="shared" si="7"/>
        <v>21 OZ, 32 (15+17)</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395</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400</v>
      </c>
      <c r="C73" s="137"/>
      <c r="D73" s="134" t="str">
        <f t="shared" si="5"/>
        <v/>
      </c>
      <c r="E73" s="139"/>
      <c r="F73" s="139"/>
      <c r="G73" s="139"/>
      <c r="H73" s="134">
        <f t="shared" si="6"/>
        <v>0</v>
      </c>
      <c r="I73" s="139"/>
      <c r="J73" s="139"/>
      <c r="K73" s="139"/>
      <c r="L73" s="139"/>
      <c r="M73" s="139"/>
      <c r="N73" s="139"/>
      <c r="O73" s="134" t="str">
        <f t="shared" si="7"/>
        <v>10 OZ, 0 (0+0)</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388</v>
      </c>
      <c r="C74" s="137"/>
      <c r="D74" s="134" t="str">
        <f t="shared" si="5"/>
        <v/>
      </c>
      <c r="E74" s="139"/>
      <c r="F74" s="139"/>
      <c r="G74" s="139"/>
      <c r="H74" s="134">
        <f t="shared" si="6"/>
        <v>0</v>
      </c>
      <c r="I74" s="139"/>
      <c r="J74" s="139"/>
      <c r="K74" s="139"/>
      <c r="L74" s="139"/>
      <c r="M74" s="139"/>
      <c r="N74" s="139"/>
      <c r="O74" s="134" t="str">
        <f t="shared" si="7"/>
        <v>22 OZ, 8 (2+6)</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392</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397</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386</v>
      </c>
      <c r="C77" s="137"/>
      <c r="D77" s="134" t="str">
        <f t="shared" si="5"/>
        <v/>
      </c>
      <c r="E77" s="139"/>
      <c r="F77" s="139"/>
      <c r="G77" s="139"/>
      <c r="H77" s="134">
        <f t="shared" si="6"/>
        <v>0</v>
      </c>
      <c r="I77" s="139"/>
      <c r="J77" s="139"/>
      <c r="K77" s="139"/>
      <c r="L77" s="139"/>
      <c r="M77" s="139"/>
      <c r="N77" s="139"/>
      <c r="O77" s="134" t="str">
        <f t="shared" si="7"/>
        <v>15 OZ, 9 (1+8)</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44244</v>
      </c>
      <c r="B84" s="135" t="s">
        <v>59</v>
      </c>
      <c r="C84" s="135" t="s">
        <v>66</v>
      </c>
      <c r="D84" s="135" t="s">
        <v>67</v>
      </c>
      <c r="E84" s="382" t="s">
        <v>94</v>
      </c>
      <c r="F84" s="382"/>
      <c r="G84" s="382" t="s">
        <v>100</v>
      </c>
      <c r="H84" s="382"/>
      <c r="I84" s="382"/>
      <c r="J84" s="382"/>
      <c r="K84" s="382"/>
      <c r="Q84" s="9"/>
    </row>
    <row r="85" spans="1:27" ht="30" customHeight="1" x14ac:dyDescent="0.25">
      <c r="B85" s="138"/>
      <c r="C85" s="137"/>
      <c r="D85" s="134" t="str">
        <f>IF(B85&lt;&gt;0,ROUNDDOWN(($A$84-C85)/365.25,0),"")</f>
        <v/>
      </c>
      <c r="E85" s="380"/>
      <c r="F85" s="380"/>
      <c r="G85" s="380"/>
      <c r="H85" s="380"/>
      <c r="I85" s="380"/>
      <c r="J85" s="380"/>
      <c r="K85" s="380"/>
    </row>
    <row r="86" spans="1:27" ht="30" customHeight="1" x14ac:dyDescent="0.25">
      <c r="B86" s="138"/>
      <c r="C86" s="137"/>
      <c r="D86" s="134" t="str">
        <f t="shared" ref="D86:D92" si="23">IF(B86&lt;&gt;0,ROUNDDOWN(($A$84-C86)/365.25,0),"")</f>
        <v/>
      </c>
      <c r="E86" s="380"/>
      <c r="F86" s="380"/>
      <c r="G86" s="380"/>
      <c r="H86" s="380"/>
      <c r="I86" s="380"/>
      <c r="J86" s="380"/>
      <c r="K86" s="380"/>
    </row>
    <row r="87" spans="1:27" ht="30" customHeight="1" x14ac:dyDescent="0.25">
      <c r="B87" s="138"/>
      <c r="C87" s="137"/>
      <c r="D87" s="134" t="str">
        <f t="shared" si="23"/>
        <v/>
      </c>
      <c r="E87" s="380"/>
      <c r="F87" s="380"/>
      <c r="G87" s="380"/>
      <c r="H87" s="380"/>
      <c r="I87" s="380"/>
      <c r="J87" s="380"/>
      <c r="K87" s="380"/>
    </row>
    <row r="88" spans="1:27" ht="30" customHeight="1" x14ac:dyDescent="0.25">
      <c r="B88" s="138"/>
      <c r="C88" s="137"/>
      <c r="D88" s="134" t="str">
        <f t="shared" si="23"/>
        <v/>
      </c>
      <c r="E88" s="380"/>
      <c r="F88" s="380"/>
      <c r="G88" s="380"/>
      <c r="H88" s="380"/>
      <c r="I88" s="380"/>
      <c r="J88" s="380"/>
      <c r="K88" s="380"/>
    </row>
    <row r="89" spans="1:27" ht="30" customHeight="1" x14ac:dyDescent="0.25">
      <c r="B89" s="138"/>
      <c r="C89" s="137"/>
      <c r="D89" s="134" t="str">
        <f t="shared" si="23"/>
        <v/>
      </c>
      <c r="E89" s="380"/>
      <c r="F89" s="380"/>
      <c r="G89" s="380"/>
      <c r="H89" s="380"/>
      <c r="I89" s="380"/>
      <c r="J89" s="380"/>
      <c r="K89" s="380"/>
    </row>
    <row r="90" spans="1:27" ht="30" customHeight="1" x14ac:dyDescent="0.25">
      <c r="B90" s="138"/>
      <c r="C90" s="138"/>
      <c r="D90" s="134" t="str">
        <f t="shared" si="23"/>
        <v/>
      </c>
      <c r="E90" s="380"/>
      <c r="F90" s="380"/>
      <c r="G90" s="380"/>
      <c r="H90" s="380"/>
      <c r="I90" s="380"/>
      <c r="J90" s="380"/>
      <c r="K90" s="380"/>
    </row>
    <row r="91" spans="1:27" ht="30" customHeight="1" x14ac:dyDescent="0.25">
      <c r="B91" s="138"/>
      <c r="C91" s="138"/>
      <c r="D91" s="134" t="str">
        <f t="shared" si="23"/>
        <v/>
      </c>
      <c r="E91" s="380"/>
      <c r="F91" s="380"/>
      <c r="G91" s="380"/>
      <c r="H91" s="380"/>
      <c r="I91" s="380"/>
      <c r="J91" s="380"/>
      <c r="K91" s="380"/>
    </row>
    <row r="92" spans="1:27" ht="30" customHeight="1" x14ac:dyDescent="0.25">
      <c r="B92" s="138"/>
      <c r="C92" s="138"/>
      <c r="D92" s="134" t="str">
        <f t="shared" si="23"/>
        <v/>
      </c>
      <c r="E92" s="380"/>
      <c r="F92" s="380"/>
      <c r="G92" s="380"/>
      <c r="H92" s="380"/>
      <c r="I92" s="380"/>
      <c r="J92" s="380"/>
      <c r="K92" s="380"/>
    </row>
  </sheetData>
  <sheetProtection algorithmName="SHA-512" hashValue="YAYDXUcKq7rk1fSPdFgMhVJ9msfAs1qxRgt78hmmFZOcSMjp69diQNvGBlpSIj+lCb0qNyOChDceLmVApm+1sw==" saltValue="/v8vj0OZOcvU0+vpnTyWvA=="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95" priority="1" operator="containsText" text="ANO">
      <formula>NOT(ISERROR(SEARCH("ANO",P2)))</formula>
    </cfRule>
    <cfRule type="containsText" dxfId="9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82" t="s">
        <v>36</v>
      </c>
      <c r="B1" s="1" t="s">
        <v>406</v>
      </c>
      <c r="C1" s="205">
        <v>55</v>
      </c>
      <c r="D1" s="383" t="str">
        <f t="shared" ref="D1:D30" si="0">IFERROR(RIGHT(B1,LEN(B1)-SEARCH(" ",B1)),"")</f>
        <v>Filip Langer</v>
      </c>
      <c r="E1" s="383"/>
      <c r="F1" s="134"/>
    </row>
    <row r="2" spans="1:6" x14ac:dyDescent="0.25">
      <c r="A2" s="382"/>
      <c r="B2" s="1" t="s">
        <v>409</v>
      </c>
      <c r="C2" s="205">
        <v>37</v>
      </c>
      <c r="D2" s="383" t="str">
        <f t="shared" si="0"/>
        <v>Matěj Havlas</v>
      </c>
      <c r="E2" s="383"/>
      <c r="F2" s="134"/>
    </row>
    <row r="3" spans="1:6" x14ac:dyDescent="0.25">
      <c r="A3" s="382"/>
      <c r="B3" s="1" t="s">
        <v>784</v>
      </c>
      <c r="C3" s="205">
        <v>35</v>
      </c>
      <c r="D3" s="383" t="str">
        <f t="shared" si="0"/>
        <v>Milan Meliš</v>
      </c>
      <c r="E3" s="383"/>
      <c r="F3" s="134"/>
    </row>
    <row r="4" spans="1:6" x14ac:dyDescent="0.25">
      <c r="A4" s="382"/>
      <c r="B4" s="1" t="s">
        <v>785</v>
      </c>
      <c r="C4" s="205">
        <v>35</v>
      </c>
      <c r="D4" s="383" t="str">
        <f t="shared" si="0"/>
        <v>Ondřej Němeček</v>
      </c>
      <c r="E4" s="383"/>
      <c r="F4" s="134"/>
    </row>
    <row r="5" spans="1:6" x14ac:dyDescent="0.25">
      <c r="A5" s="382"/>
      <c r="B5" s="1" t="s">
        <v>574</v>
      </c>
      <c r="C5" s="205">
        <v>32</v>
      </c>
      <c r="D5" s="383" t="str">
        <f t="shared" si="0"/>
        <v>Martin Šindelář</v>
      </c>
      <c r="E5" s="383"/>
      <c r="F5" s="134"/>
    </row>
    <row r="6" spans="1:6" x14ac:dyDescent="0.25">
      <c r="A6" s="382" t="s">
        <v>242</v>
      </c>
      <c r="B6" s="1" t="s">
        <v>408</v>
      </c>
      <c r="C6" s="205" t="s">
        <v>786</v>
      </c>
      <c r="D6" s="383" t="str">
        <f t="shared" si="0"/>
        <v>Lukáš Kříž</v>
      </c>
      <c r="E6" s="383"/>
      <c r="F6" s="134">
        <f t="shared" ref="F6:F10" si="1">IF(B6&lt;&gt;0,_xlfn.NUMBERVALUE(C6,","),"")</f>
        <v>4.08</v>
      </c>
    </row>
    <row r="7" spans="1:6" x14ac:dyDescent="0.25">
      <c r="A7" s="382"/>
      <c r="B7" s="1" t="s">
        <v>575</v>
      </c>
      <c r="C7" s="205" t="s">
        <v>697</v>
      </c>
      <c r="D7" s="383" t="str">
        <f t="shared" si="0"/>
        <v>Martin Frühbauer</v>
      </c>
      <c r="E7" s="383"/>
      <c r="F7" s="134">
        <f t="shared" si="1"/>
        <v>4.5599999999999996</v>
      </c>
    </row>
    <row r="8" spans="1:6" x14ac:dyDescent="0.25">
      <c r="A8" s="382"/>
      <c r="B8" s="1" t="s">
        <v>576</v>
      </c>
      <c r="C8" s="205" t="s">
        <v>698</v>
      </c>
      <c r="D8" s="383" t="str">
        <f t="shared" si="0"/>
        <v>Tomáš Jurco</v>
      </c>
      <c r="E8" s="383"/>
      <c r="F8" s="134">
        <f t="shared" si="1"/>
        <v>5.25</v>
      </c>
    </row>
    <row r="9" spans="1:6" x14ac:dyDescent="0.25">
      <c r="A9" s="382"/>
      <c r="B9" s="1"/>
      <c r="C9" s="205"/>
      <c r="D9" s="383" t="str">
        <f t="shared" si="0"/>
        <v/>
      </c>
      <c r="E9" s="383"/>
      <c r="F9" s="134" t="str">
        <f t="shared" si="1"/>
        <v/>
      </c>
    </row>
    <row r="10" spans="1:6" x14ac:dyDescent="0.25">
      <c r="A10" s="382"/>
      <c r="B10" s="1"/>
      <c r="C10" s="205"/>
      <c r="D10" s="383" t="str">
        <f t="shared" si="0"/>
        <v/>
      </c>
      <c r="E10" s="383"/>
      <c r="F10" s="134" t="str">
        <f t="shared" si="1"/>
        <v/>
      </c>
    </row>
    <row r="11" spans="1:6" x14ac:dyDescent="0.25">
      <c r="A11" s="382" t="s">
        <v>35</v>
      </c>
      <c r="B11" s="1" t="s">
        <v>406</v>
      </c>
      <c r="C11" s="205">
        <v>27</v>
      </c>
      <c r="D11" s="383" t="str">
        <f t="shared" si="0"/>
        <v>Filip Langer</v>
      </c>
      <c r="E11" s="383"/>
      <c r="F11" s="134"/>
    </row>
    <row r="12" spans="1:6" x14ac:dyDescent="0.25">
      <c r="A12" s="382"/>
      <c r="B12" s="1" t="s">
        <v>699</v>
      </c>
      <c r="C12" s="205">
        <v>22</v>
      </c>
      <c r="D12" s="383" t="str">
        <f t="shared" si="0"/>
        <v>Petr Brautferger</v>
      </c>
      <c r="E12" s="383"/>
      <c r="F12" s="134"/>
    </row>
    <row r="13" spans="1:6" x14ac:dyDescent="0.25">
      <c r="A13" s="382"/>
      <c r="B13" s="1" t="s">
        <v>573</v>
      </c>
      <c r="C13" s="205">
        <v>19</v>
      </c>
      <c r="D13" s="383" t="str">
        <f t="shared" si="0"/>
        <v>Matěj Havlas</v>
      </c>
      <c r="E13" s="383"/>
      <c r="F13" s="134"/>
    </row>
    <row r="14" spans="1:6" x14ac:dyDescent="0.25">
      <c r="A14" s="382"/>
      <c r="B14" s="1" t="s">
        <v>411</v>
      </c>
      <c r="C14" s="205">
        <v>19</v>
      </c>
      <c r="D14" s="383" t="str">
        <f t="shared" si="0"/>
        <v>Milan Meliš</v>
      </c>
      <c r="E14" s="383"/>
      <c r="F14" s="134"/>
    </row>
    <row r="15" spans="1:6" x14ac:dyDescent="0.25">
      <c r="A15" s="382"/>
      <c r="B15" s="1" t="s">
        <v>574</v>
      </c>
      <c r="C15" s="205">
        <v>15</v>
      </c>
      <c r="D15" s="383" t="str">
        <f t="shared" si="0"/>
        <v>Martin Šindelář</v>
      </c>
      <c r="E15" s="383"/>
      <c r="F15" s="134"/>
    </row>
    <row r="16" spans="1:6" x14ac:dyDescent="0.25">
      <c r="A16" s="382" t="s">
        <v>230</v>
      </c>
      <c r="B16" s="1" t="s">
        <v>408</v>
      </c>
      <c r="C16" s="205">
        <v>12</v>
      </c>
      <c r="D16" s="383" t="str">
        <f t="shared" si="0"/>
        <v>Lukáš Kříž</v>
      </c>
      <c r="E16" s="383"/>
      <c r="F16" s="134">
        <f t="shared" ref="F16:F20" si="2">IF(B16&lt;&gt;0,_xlfn.NUMBERVALUE(C16,","),"")</f>
        <v>12</v>
      </c>
    </row>
    <row r="17" spans="1:6" x14ac:dyDescent="0.25">
      <c r="A17" s="382"/>
      <c r="B17" s="1" t="s">
        <v>575</v>
      </c>
      <c r="C17" s="205">
        <v>4</v>
      </c>
      <c r="D17" s="383" t="str">
        <f t="shared" si="0"/>
        <v>Martin Frühbauer</v>
      </c>
      <c r="E17" s="383"/>
      <c r="F17" s="134">
        <f t="shared" si="2"/>
        <v>4</v>
      </c>
    </row>
    <row r="18" spans="1:6" x14ac:dyDescent="0.25">
      <c r="A18" s="382"/>
      <c r="B18" s="1" t="s">
        <v>576</v>
      </c>
      <c r="C18" s="205">
        <v>2</v>
      </c>
      <c r="D18" s="383" t="str">
        <f t="shared" si="0"/>
        <v>Tomáš Jurco</v>
      </c>
      <c r="E18" s="383"/>
      <c r="F18" s="134">
        <f t="shared" si="2"/>
        <v>2</v>
      </c>
    </row>
    <row r="19" spans="1:6" x14ac:dyDescent="0.25">
      <c r="A19" s="382"/>
      <c r="B19" s="1"/>
      <c r="C19" s="205"/>
      <c r="D19" s="383" t="str">
        <f t="shared" si="0"/>
        <v/>
      </c>
      <c r="E19" s="383"/>
      <c r="F19" s="134" t="str">
        <f t="shared" si="2"/>
        <v/>
      </c>
    </row>
    <row r="20" spans="1:6" x14ac:dyDescent="0.25">
      <c r="A20" s="382"/>
      <c r="B20" s="1"/>
      <c r="C20" s="205"/>
      <c r="D20" s="383" t="str">
        <f t="shared" si="0"/>
        <v/>
      </c>
      <c r="E20" s="383"/>
      <c r="F20" s="134" t="str">
        <f t="shared" si="2"/>
        <v/>
      </c>
    </row>
    <row r="21" spans="1:6" x14ac:dyDescent="0.25">
      <c r="A21" s="382" t="s">
        <v>37</v>
      </c>
      <c r="B21" s="1" t="s">
        <v>406</v>
      </c>
      <c r="C21" s="205">
        <v>28</v>
      </c>
      <c r="D21" s="383" t="str">
        <f>IFERROR(RIGHT(B21,LEN(B21)-SEARCH(" ",B21)),"")</f>
        <v>Filip Langer</v>
      </c>
      <c r="E21" s="383"/>
      <c r="F21" s="134"/>
    </row>
    <row r="22" spans="1:6" x14ac:dyDescent="0.25">
      <c r="A22" s="382"/>
      <c r="B22" s="1" t="s">
        <v>407</v>
      </c>
      <c r="C22" s="205">
        <v>22</v>
      </c>
      <c r="D22" s="383" t="str">
        <f>IFERROR(RIGHT(B22,LEN(B22)-SEARCH(" ",B22)),"")</f>
        <v>Ondřej Němeček</v>
      </c>
      <c r="E22" s="383"/>
      <c r="F22" s="134"/>
    </row>
    <row r="23" spans="1:6" x14ac:dyDescent="0.25">
      <c r="A23" s="382"/>
      <c r="B23" s="1" t="s">
        <v>573</v>
      </c>
      <c r="C23" s="205">
        <v>18</v>
      </c>
      <c r="D23" s="383" t="str">
        <f>IFERROR(RIGHT(B23,LEN(B23)-SEARCH(" ",B23)),"")</f>
        <v>Matěj Havlas</v>
      </c>
      <c r="E23" s="383"/>
      <c r="F23" s="134"/>
    </row>
    <row r="24" spans="1:6" x14ac:dyDescent="0.25">
      <c r="A24" s="382"/>
      <c r="B24" s="1" t="s">
        <v>787</v>
      </c>
      <c r="C24" s="205">
        <v>17</v>
      </c>
      <c r="D24" s="383" t="str">
        <f>IFERROR(RIGHT(B24,LEN(B24)-SEARCH(" ",B24)),"")</f>
        <v>Martin Šindelář</v>
      </c>
      <c r="E24" s="383"/>
      <c r="F24" s="134"/>
    </row>
    <row r="25" spans="1:6" x14ac:dyDescent="0.25">
      <c r="A25" s="382"/>
      <c r="B25" s="1" t="s">
        <v>577</v>
      </c>
      <c r="C25" s="205">
        <v>16</v>
      </c>
      <c r="D25" s="383" t="str">
        <f>IFERROR(RIGHT(B25,LEN(B25)-SEARCH(" ",B25)),"")</f>
        <v>Milan Meliš</v>
      </c>
      <c r="E25" s="383"/>
      <c r="F25" s="134"/>
    </row>
    <row r="26" spans="1:6" x14ac:dyDescent="0.25">
      <c r="A26" s="382" t="s">
        <v>38</v>
      </c>
      <c r="B26" s="1" t="s">
        <v>406</v>
      </c>
      <c r="C26" s="205">
        <v>16</v>
      </c>
      <c r="D26" s="383" t="str">
        <f t="shared" si="0"/>
        <v>Filip Langer</v>
      </c>
      <c r="E26" s="383"/>
      <c r="F26" s="134"/>
    </row>
    <row r="27" spans="1:6" x14ac:dyDescent="0.25">
      <c r="A27" s="382"/>
      <c r="B27" s="1" t="s">
        <v>700</v>
      </c>
      <c r="C27" s="205">
        <v>14</v>
      </c>
      <c r="D27" s="383" t="str">
        <f t="shared" si="0"/>
        <v>Petr Novotný</v>
      </c>
      <c r="E27" s="383"/>
      <c r="F27" s="134"/>
    </row>
    <row r="28" spans="1:6" x14ac:dyDescent="0.25">
      <c r="A28" s="382"/>
      <c r="B28" s="1" t="s">
        <v>410</v>
      </c>
      <c r="C28" s="205">
        <v>8</v>
      </c>
      <c r="D28" s="383" t="str">
        <f t="shared" si="0"/>
        <v>Martin Šindelář</v>
      </c>
      <c r="E28" s="383"/>
      <c r="F28" s="134"/>
    </row>
    <row r="29" spans="1:6" x14ac:dyDescent="0.25">
      <c r="A29" s="382"/>
      <c r="B29" s="1" t="s">
        <v>785</v>
      </c>
      <c r="C29" s="205">
        <v>8</v>
      </c>
      <c r="D29" s="383" t="str">
        <f t="shared" si="0"/>
        <v>Ondřej Němeček</v>
      </c>
      <c r="E29" s="383"/>
      <c r="F29" s="134"/>
    </row>
    <row r="30" spans="1:6" x14ac:dyDescent="0.25">
      <c r="A30" s="382"/>
      <c r="B30" s="1" t="s">
        <v>788</v>
      </c>
      <c r="C30" s="205">
        <v>8</v>
      </c>
      <c r="D30" s="383" t="str">
        <f t="shared" si="0"/>
        <v>Petr Brautferger</v>
      </c>
      <c r="E30" s="383"/>
      <c r="F30" s="134"/>
    </row>
    <row r="31" spans="1:6" x14ac:dyDescent="0.25">
      <c r="A31" s="382" t="s">
        <v>333</v>
      </c>
      <c r="B31" s="190" t="s">
        <v>490</v>
      </c>
      <c r="C31" s="190" t="s">
        <v>152</v>
      </c>
      <c r="D31" s="190" t="s">
        <v>913</v>
      </c>
      <c r="E31" s="178" t="str">
        <f>IFERROR(RIGHT(LEFT(D31,LEN(D31)-1),LEN(D31)-2),"")</f>
        <v>8:2</v>
      </c>
    </row>
    <row r="32" spans="1:6" x14ac:dyDescent="0.25">
      <c r="A32" s="382"/>
      <c r="B32" s="190" t="s">
        <v>572</v>
      </c>
      <c r="C32" s="190" t="s">
        <v>145</v>
      </c>
      <c r="D32" s="190" t="s">
        <v>914</v>
      </c>
      <c r="E32" s="178" t="str">
        <f t="shared" ref="E32:E40" si="3">IFERROR(RIGHT(LEFT(D32,LEN(D32)-1),LEN(D32)-2),"")</f>
        <v>13:4</v>
      </c>
    </row>
    <row r="33" spans="1:5" x14ac:dyDescent="0.25">
      <c r="A33" s="382"/>
      <c r="B33" s="190" t="s">
        <v>414</v>
      </c>
      <c r="C33" s="190" t="s">
        <v>143</v>
      </c>
      <c r="D33" s="190" t="s">
        <v>578</v>
      </c>
      <c r="E33" s="178" t="str">
        <f t="shared" si="3"/>
        <v>4:3</v>
      </c>
    </row>
    <row r="34" spans="1:5" x14ac:dyDescent="0.25">
      <c r="A34" s="382"/>
      <c r="B34" s="190" t="s">
        <v>350</v>
      </c>
      <c r="C34" s="190" t="s">
        <v>146</v>
      </c>
      <c r="D34" s="190" t="s">
        <v>695</v>
      </c>
      <c r="E34" s="178" t="str">
        <f t="shared" si="3"/>
        <v>3:0</v>
      </c>
    </row>
    <row r="35" spans="1:5" x14ac:dyDescent="0.25">
      <c r="A35" s="382"/>
      <c r="B35" s="190" t="s">
        <v>669</v>
      </c>
      <c r="C35" s="190" t="s">
        <v>144</v>
      </c>
      <c r="D35" s="190" t="s">
        <v>915</v>
      </c>
      <c r="E35" s="178" t="str">
        <f t="shared" si="3"/>
        <v>3:4p</v>
      </c>
    </row>
    <row r="36" spans="1:5" x14ac:dyDescent="0.25">
      <c r="A36" s="382" t="s">
        <v>334</v>
      </c>
      <c r="B36" s="190" t="s">
        <v>571</v>
      </c>
      <c r="C36" s="190" t="s">
        <v>149</v>
      </c>
      <c r="D36" s="190" t="s">
        <v>338</v>
      </c>
      <c r="E36" s="178" t="str">
        <f t="shared" si="3"/>
        <v>-:-</v>
      </c>
    </row>
    <row r="37" spans="1:5" x14ac:dyDescent="0.25">
      <c r="A37" s="382"/>
      <c r="B37" s="190" t="s">
        <v>660</v>
      </c>
      <c r="C37" s="190" t="s">
        <v>150</v>
      </c>
      <c r="D37" s="190" t="s">
        <v>338</v>
      </c>
      <c r="E37" s="178" t="str">
        <f t="shared" si="3"/>
        <v>-:-</v>
      </c>
    </row>
    <row r="38" spans="1:5" x14ac:dyDescent="0.25">
      <c r="A38" s="382"/>
      <c r="B38" s="190" t="s">
        <v>696</v>
      </c>
      <c r="C38" s="190" t="s">
        <v>147</v>
      </c>
      <c r="D38" s="190" t="s">
        <v>338</v>
      </c>
      <c r="E38" s="178" t="str">
        <f t="shared" si="3"/>
        <v>-:-</v>
      </c>
    </row>
    <row r="39" spans="1:5" x14ac:dyDescent="0.25">
      <c r="A39" s="382"/>
      <c r="B39" s="190" t="s">
        <v>619</v>
      </c>
      <c r="C39" s="190" t="s">
        <v>148</v>
      </c>
      <c r="D39" s="190" t="s">
        <v>338</v>
      </c>
      <c r="E39" s="178" t="str">
        <f t="shared" si="3"/>
        <v>-:-</v>
      </c>
    </row>
    <row r="40" spans="1:5" x14ac:dyDescent="0.25">
      <c r="A40" s="382"/>
      <c r="B40" s="190"/>
      <c r="C40" s="190"/>
      <c r="D40" s="190"/>
      <c r="E40" s="178" t="str">
        <f t="shared" si="3"/>
        <v/>
      </c>
    </row>
    <row r="41" spans="1:5" x14ac:dyDescent="0.25">
      <c r="A41" s="135" t="s">
        <v>335</v>
      </c>
      <c r="B41" s="384" t="s">
        <v>783</v>
      </c>
      <c r="C41" s="190"/>
      <c r="D41" s="190"/>
    </row>
  </sheetData>
  <sheetProtection algorithmName="SHA-512" hashValue="jsrQc8PVYHNMe01iv4qBSP0mkNSkLraGbgldXW9Tn4wZQEsSe8U13jqMgBfTbgL85gK2BoK4HvpD8Ak3pkSi2A==" saltValue="l9baTQbFpyuNWPhEDlu22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455</v>
      </c>
      <c r="Q1" s="115" t="s">
        <v>47</v>
      </c>
    </row>
    <row r="2" spans="1:26" s="4" customFormat="1" x14ac:dyDescent="0.25">
      <c r="A2" s="53">
        <v>1</v>
      </c>
      <c r="B2" s="4" t="s">
        <v>418</v>
      </c>
      <c r="D2" s="5" t="s">
        <v>51</v>
      </c>
      <c r="E2" s="5">
        <v>23</v>
      </c>
      <c r="F2" s="5">
        <v>13</v>
      </c>
      <c r="G2" s="5">
        <v>4</v>
      </c>
      <c r="H2" s="5">
        <v>1</v>
      </c>
      <c r="I2" s="5">
        <v>9</v>
      </c>
      <c r="J2" s="5">
        <v>22</v>
      </c>
      <c r="K2" s="5">
        <v>8</v>
      </c>
      <c r="L2" s="5">
        <v>25</v>
      </c>
      <c r="M2" s="5">
        <v>49</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22 (13+9), -24 ±</v>
      </c>
      <c r="P2" s="5" t="str">
        <f>IF(B2&lt;&gt;0,IF(IFERROR(VLOOKUP(B2,$B$48:$B$82,1,FALSE)=B2,FALSE),"ANO","NE"),"")</f>
        <v>ANO</v>
      </c>
      <c r="Q2" s="142" t="s">
        <v>589</v>
      </c>
      <c r="S2" s="5"/>
      <c r="X2" s="5"/>
      <c r="Y2" s="5"/>
      <c r="Z2" s="5"/>
    </row>
    <row r="3" spans="1:26" s="4" customFormat="1" x14ac:dyDescent="0.25">
      <c r="A3" s="53">
        <v>2</v>
      </c>
      <c r="B3" s="4" t="s">
        <v>420</v>
      </c>
      <c r="D3" s="5" t="s">
        <v>51</v>
      </c>
      <c r="E3" s="5">
        <v>21</v>
      </c>
      <c r="F3" s="5">
        <v>12</v>
      </c>
      <c r="G3" s="5">
        <v>0</v>
      </c>
      <c r="H3" s="5">
        <v>0</v>
      </c>
      <c r="I3" s="5">
        <v>3</v>
      </c>
      <c r="J3" s="5">
        <v>15</v>
      </c>
      <c r="K3" s="5">
        <v>6</v>
      </c>
      <c r="L3" s="5">
        <v>26</v>
      </c>
      <c r="M3" s="5">
        <v>39</v>
      </c>
      <c r="N3" s="5">
        <v>-13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15 (12+3), -13 ±</v>
      </c>
      <c r="P3" s="5" t="str">
        <f t="shared" ref="P3:P36" si="1">IF(B3&lt;&gt;0,IF(IFERROR(VLOOKUP(B3,$B$48:$B$82,1,FALSE)=B3,FALSE),"ANO","NE"),"")</f>
        <v>ANO</v>
      </c>
      <c r="Q3" s="142" t="s">
        <v>590</v>
      </c>
      <c r="S3" s="5"/>
      <c r="X3" s="5"/>
      <c r="Y3" s="5"/>
      <c r="Z3" s="5"/>
    </row>
    <row r="4" spans="1:26" s="4" customFormat="1" x14ac:dyDescent="0.25">
      <c r="A4" s="53">
        <v>3</v>
      </c>
      <c r="B4" s="4" t="s">
        <v>419</v>
      </c>
      <c r="D4" s="5"/>
      <c r="E4" s="5">
        <v>18</v>
      </c>
      <c r="F4" s="5">
        <v>6</v>
      </c>
      <c r="G4" s="5">
        <v>0</v>
      </c>
      <c r="H4" s="5">
        <v>1</v>
      </c>
      <c r="I4" s="5">
        <v>9</v>
      </c>
      <c r="J4" s="5">
        <v>15</v>
      </c>
      <c r="K4" s="5">
        <v>4</v>
      </c>
      <c r="L4" s="5">
        <v>23</v>
      </c>
      <c r="M4" s="5">
        <v>40</v>
      </c>
      <c r="N4" s="5">
        <v>-17</v>
      </c>
      <c r="O4" s="161" t="str">
        <f t="shared" si="0"/>
        <v>18 OZ , 15 (6+9), -17 ±</v>
      </c>
      <c r="P4" s="5" t="str">
        <f t="shared" si="1"/>
        <v>ANO</v>
      </c>
      <c r="Q4" s="142" t="s">
        <v>591</v>
      </c>
      <c r="S4" s="5"/>
      <c r="X4" s="5"/>
      <c r="Y4" s="5"/>
      <c r="Z4" s="5"/>
    </row>
    <row r="5" spans="1:26" s="4" customFormat="1" x14ac:dyDescent="0.25">
      <c r="A5" s="53">
        <v>4</v>
      </c>
      <c r="B5" s="4" t="s">
        <v>423</v>
      </c>
      <c r="D5" s="5"/>
      <c r="E5" s="5">
        <v>20</v>
      </c>
      <c r="F5" s="5">
        <v>10</v>
      </c>
      <c r="G5" s="5">
        <v>0</v>
      </c>
      <c r="H5" s="5">
        <v>0</v>
      </c>
      <c r="I5" s="5">
        <v>2</v>
      </c>
      <c r="J5" s="5">
        <v>12</v>
      </c>
      <c r="K5" s="5">
        <v>2</v>
      </c>
      <c r="L5" s="5">
        <v>14</v>
      </c>
      <c r="M5" s="5">
        <v>26</v>
      </c>
      <c r="N5" s="5">
        <v>-12</v>
      </c>
      <c r="O5" s="161" t="str">
        <f t="shared" si="0"/>
        <v>20 OZ , 12 (10+2), -12 ±</v>
      </c>
      <c r="P5" s="5" t="str">
        <f t="shared" si="1"/>
        <v>ANO</v>
      </c>
      <c r="Q5" s="142" t="s">
        <v>592</v>
      </c>
      <c r="S5" s="5"/>
      <c r="X5" s="5"/>
      <c r="Y5" s="5"/>
      <c r="Z5" s="5"/>
    </row>
    <row r="6" spans="1:26" x14ac:dyDescent="0.25">
      <c r="A6" s="54">
        <v>5</v>
      </c>
      <c r="B6" s="1" t="s">
        <v>429</v>
      </c>
      <c r="D6" s="205" t="s">
        <v>48</v>
      </c>
      <c r="E6" s="205">
        <v>17</v>
      </c>
      <c r="F6" s="205">
        <v>5</v>
      </c>
      <c r="G6" s="205">
        <v>1</v>
      </c>
      <c r="H6" s="205">
        <v>0</v>
      </c>
      <c r="I6" s="205">
        <v>7</v>
      </c>
      <c r="J6" s="205">
        <v>12</v>
      </c>
      <c r="K6" s="205">
        <v>12</v>
      </c>
      <c r="L6" s="205">
        <v>19</v>
      </c>
      <c r="M6" s="205">
        <v>41</v>
      </c>
      <c r="N6" s="205">
        <v>-22</v>
      </c>
      <c r="O6" s="161" t="str">
        <f t="shared" si="0"/>
        <v>17 OZ , 12 (5+7), -22 ±</v>
      </c>
      <c r="P6" s="5" t="str">
        <f t="shared" si="1"/>
        <v>ANO</v>
      </c>
    </row>
    <row r="7" spans="1:26" x14ac:dyDescent="0.25">
      <c r="A7" s="54">
        <v>6</v>
      </c>
      <c r="B7" s="1" t="s">
        <v>426</v>
      </c>
      <c r="D7" s="205" t="s">
        <v>51</v>
      </c>
      <c r="E7" s="205">
        <v>19</v>
      </c>
      <c r="F7" s="205">
        <v>5</v>
      </c>
      <c r="G7" s="205">
        <v>0</v>
      </c>
      <c r="H7" s="205">
        <v>0</v>
      </c>
      <c r="I7" s="205">
        <v>6</v>
      </c>
      <c r="J7" s="205">
        <v>11</v>
      </c>
      <c r="K7" s="205">
        <v>4</v>
      </c>
      <c r="L7" s="205">
        <v>25</v>
      </c>
      <c r="M7" s="205">
        <v>31</v>
      </c>
      <c r="N7" s="205">
        <v>-6</v>
      </c>
      <c r="O7" s="161" t="str">
        <f t="shared" si="0"/>
        <v>19 OZ , 11 (5+6), -6 ±</v>
      </c>
      <c r="P7" s="5" t="str">
        <f t="shared" si="1"/>
        <v>ANO</v>
      </c>
    </row>
    <row r="8" spans="1:26" x14ac:dyDescent="0.25">
      <c r="A8" s="54">
        <v>7</v>
      </c>
      <c r="B8" s="1" t="s">
        <v>424</v>
      </c>
      <c r="D8" s="205" t="s">
        <v>48</v>
      </c>
      <c r="E8" s="205">
        <v>16</v>
      </c>
      <c r="F8" s="205">
        <v>6</v>
      </c>
      <c r="G8" s="205">
        <v>1</v>
      </c>
      <c r="H8" s="205">
        <v>0</v>
      </c>
      <c r="I8" s="205">
        <v>4</v>
      </c>
      <c r="J8" s="205">
        <v>10</v>
      </c>
      <c r="K8" s="205">
        <v>10</v>
      </c>
      <c r="L8" s="205">
        <v>25</v>
      </c>
      <c r="M8" s="205">
        <v>36</v>
      </c>
      <c r="N8" s="205">
        <v>-11</v>
      </c>
      <c r="O8" s="161" t="str">
        <f t="shared" si="0"/>
        <v>16 OZ , 10 (6+4), -11 ±</v>
      </c>
      <c r="P8" s="5" t="str">
        <f t="shared" si="1"/>
        <v>ANO</v>
      </c>
    </row>
    <row r="9" spans="1:26" x14ac:dyDescent="0.25">
      <c r="A9" s="54">
        <v>8</v>
      </c>
      <c r="B9" s="1" t="s">
        <v>421</v>
      </c>
      <c r="D9" s="205" t="s">
        <v>51</v>
      </c>
      <c r="E9" s="205">
        <v>18</v>
      </c>
      <c r="F9" s="205">
        <v>6</v>
      </c>
      <c r="G9" s="205">
        <v>2</v>
      </c>
      <c r="H9" s="205">
        <v>0</v>
      </c>
      <c r="I9" s="205">
        <v>4</v>
      </c>
      <c r="J9" s="205">
        <v>10</v>
      </c>
      <c r="K9" s="205">
        <v>2</v>
      </c>
      <c r="L9" s="205">
        <v>17</v>
      </c>
      <c r="M9" s="205">
        <v>34</v>
      </c>
      <c r="N9" s="205">
        <v>-17</v>
      </c>
      <c r="O9" s="161" t="str">
        <f t="shared" si="0"/>
        <v>18 OZ , 10 (6+4), -17 ±</v>
      </c>
      <c r="P9" s="5" t="str">
        <f t="shared" si="1"/>
        <v>ANO</v>
      </c>
    </row>
    <row r="10" spans="1:26" x14ac:dyDescent="0.25">
      <c r="A10" s="54">
        <v>9</v>
      </c>
      <c r="B10" s="1" t="s">
        <v>422</v>
      </c>
      <c r="D10" s="205" t="s">
        <v>48</v>
      </c>
      <c r="E10" s="205">
        <v>23</v>
      </c>
      <c r="F10" s="205">
        <v>5</v>
      </c>
      <c r="G10" s="205">
        <v>1</v>
      </c>
      <c r="H10" s="205">
        <v>0</v>
      </c>
      <c r="I10" s="205">
        <v>5</v>
      </c>
      <c r="J10" s="205">
        <v>10</v>
      </c>
      <c r="K10" s="205">
        <v>14</v>
      </c>
      <c r="L10" s="205">
        <v>26</v>
      </c>
      <c r="M10" s="205">
        <v>38</v>
      </c>
      <c r="N10" s="205">
        <v>-12</v>
      </c>
      <c r="O10" s="161" t="str">
        <f t="shared" si="0"/>
        <v>23 OZ , 10 (5+5), -12 ±</v>
      </c>
      <c r="P10" s="5" t="str">
        <f t="shared" si="1"/>
        <v>ANO</v>
      </c>
    </row>
    <row r="11" spans="1:26" x14ac:dyDescent="0.25">
      <c r="A11" s="54">
        <v>10</v>
      </c>
      <c r="B11" s="1" t="s">
        <v>425</v>
      </c>
      <c r="D11" s="205" t="s">
        <v>51</v>
      </c>
      <c r="E11" s="205">
        <v>22</v>
      </c>
      <c r="F11" s="205">
        <v>5</v>
      </c>
      <c r="G11" s="205">
        <v>1</v>
      </c>
      <c r="H11" s="205">
        <v>0</v>
      </c>
      <c r="I11" s="205">
        <v>3</v>
      </c>
      <c r="J11" s="205">
        <v>8</v>
      </c>
      <c r="K11" s="205">
        <v>0</v>
      </c>
      <c r="L11" s="205">
        <v>21</v>
      </c>
      <c r="M11" s="205">
        <v>54</v>
      </c>
      <c r="N11" s="205">
        <v>-33</v>
      </c>
      <c r="O11" s="161" t="str">
        <f t="shared" si="0"/>
        <v>22 OZ , 8 (5+3), -33 ±</v>
      </c>
      <c r="P11" s="5" t="str">
        <f t="shared" si="1"/>
        <v>ANO</v>
      </c>
    </row>
    <row r="12" spans="1:26" x14ac:dyDescent="0.25">
      <c r="A12" s="54">
        <v>11</v>
      </c>
      <c r="B12" s="1" t="s">
        <v>431</v>
      </c>
      <c r="D12" s="205" t="s">
        <v>51</v>
      </c>
      <c r="E12" s="205">
        <v>14</v>
      </c>
      <c r="F12" s="205">
        <v>3</v>
      </c>
      <c r="G12" s="205">
        <v>0</v>
      </c>
      <c r="H12" s="205">
        <v>0</v>
      </c>
      <c r="I12" s="205">
        <v>2</v>
      </c>
      <c r="J12" s="205">
        <v>5</v>
      </c>
      <c r="K12" s="205">
        <v>8</v>
      </c>
      <c r="L12" s="205">
        <v>8</v>
      </c>
      <c r="M12" s="205">
        <v>26</v>
      </c>
      <c r="N12" s="205">
        <v>-18</v>
      </c>
      <c r="O12" s="161" t="str">
        <f t="shared" si="0"/>
        <v>14 OZ , 5 (3+2), -18 ±</v>
      </c>
      <c r="P12" s="5" t="str">
        <f t="shared" si="1"/>
        <v>ANO</v>
      </c>
    </row>
    <row r="13" spans="1:26" x14ac:dyDescent="0.25">
      <c r="A13" s="54">
        <v>12</v>
      </c>
      <c r="B13" s="1" t="s">
        <v>427</v>
      </c>
      <c r="D13" s="205" t="s">
        <v>51</v>
      </c>
      <c r="E13" s="205">
        <v>9</v>
      </c>
      <c r="F13" s="205">
        <v>2</v>
      </c>
      <c r="G13" s="205">
        <v>0</v>
      </c>
      <c r="H13" s="205">
        <v>0</v>
      </c>
      <c r="I13" s="205">
        <v>3</v>
      </c>
      <c r="J13" s="205">
        <v>5</v>
      </c>
      <c r="K13" s="205">
        <v>0</v>
      </c>
      <c r="L13" s="205">
        <v>13</v>
      </c>
      <c r="M13" s="205">
        <v>12</v>
      </c>
      <c r="N13" s="205">
        <v>1</v>
      </c>
      <c r="O13" s="161" t="str">
        <f t="shared" si="0"/>
        <v>9 OZ , 5 (2+3), +1 ±</v>
      </c>
      <c r="P13" s="5" t="str">
        <f t="shared" si="1"/>
        <v>ANO</v>
      </c>
    </row>
    <row r="14" spans="1:26" x14ac:dyDescent="0.25">
      <c r="A14" s="54">
        <v>13</v>
      </c>
      <c r="B14" s="1" t="s">
        <v>428</v>
      </c>
      <c r="D14" s="205" t="s">
        <v>48</v>
      </c>
      <c r="E14" s="205">
        <v>14</v>
      </c>
      <c r="F14" s="205">
        <v>2</v>
      </c>
      <c r="G14" s="205">
        <v>0</v>
      </c>
      <c r="H14" s="205">
        <v>0</v>
      </c>
      <c r="I14" s="205">
        <v>3</v>
      </c>
      <c r="J14" s="205">
        <v>5</v>
      </c>
      <c r="K14" s="205">
        <v>4</v>
      </c>
      <c r="L14" s="205">
        <v>27</v>
      </c>
      <c r="M14" s="205">
        <v>37</v>
      </c>
      <c r="N14" s="205">
        <v>-10</v>
      </c>
      <c r="O14" s="161" t="str">
        <f t="shared" si="0"/>
        <v>14 OZ , 5 (2+3), -10 ±</v>
      </c>
      <c r="P14" s="5" t="str">
        <f t="shared" si="1"/>
        <v>ANO</v>
      </c>
    </row>
    <row r="15" spans="1:26" x14ac:dyDescent="0.25">
      <c r="A15" s="54">
        <v>14</v>
      </c>
      <c r="B15" s="1" t="s">
        <v>430</v>
      </c>
      <c r="D15" s="205" t="s">
        <v>48</v>
      </c>
      <c r="E15" s="205">
        <v>21</v>
      </c>
      <c r="F15" s="205">
        <v>1</v>
      </c>
      <c r="G15" s="205">
        <v>1</v>
      </c>
      <c r="H15" s="205">
        <v>0</v>
      </c>
      <c r="I15" s="205">
        <v>3</v>
      </c>
      <c r="J15" s="205">
        <v>4</v>
      </c>
      <c r="K15" s="205">
        <v>4</v>
      </c>
      <c r="L15" s="205">
        <v>24</v>
      </c>
      <c r="M15" s="205">
        <v>50</v>
      </c>
      <c r="N15" s="205">
        <v>-26</v>
      </c>
      <c r="O15" s="161" t="str">
        <f t="shared" si="0"/>
        <v>21 OZ , 4 (1+3), -26 ±</v>
      </c>
      <c r="P15" s="5" t="str">
        <f t="shared" si="1"/>
        <v>ANO</v>
      </c>
    </row>
    <row r="16" spans="1:26" x14ac:dyDescent="0.25">
      <c r="A16" s="54">
        <v>15</v>
      </c>
      <c r="B16" s="1" t="s">
        <v>433</v>
      </c>
      <c r="D16" s="205"/>
      <c r="E16" s="205">
        <v>21</v>
      </c>
      <c r="F16" s="205">
        <v>3</v>
      </c>
      <c r="G16" s="205">
        <v>0</v>
      </c>
      <c r="H16" s="205">
        <v>0</v>
      </c>
      <c r="I16" s="205">
        <v>0</v>
      </c>
      <c r="J16" s="205">
        <v>3</v>
      </c>
      <c r="K16" s="205">
        <v>2</v>
      </c>
      <c r="L16" s="205">
        <v>14</v>
      </c>
      <c r="M16" s="205">
        <v>16</v>
      </c>
      <c r="N16" s="205">
        <v>-2</v>
      </c>
      <c r="O16" s="161" t="str">
        <f t="shared" si="0"/>
        <v>21 OZ , 3 (3+0), -2 ±</v>
      </c>
      <c r="P16" s="5" t="str">
        <f t="shared" si="1"/>
        <v>ANO</v>
      </c>
    </row>
    <row r="17" spans="1:16" x14ac:dyDescent="0.25">
      <c r="A17" s="54">
        <v>16</v>
      </c>
      <c r="B17" s="1" t="s">
        <v>703</v>
      </c>
      <c r="D17" s="205"/>
      <c r="E17" s="205">
        <v>6</v>
      </c>
      <c r="F17" s="205">
        <v>0</v>
      </c>
      <c r="G17" s="205">
        <v>0</v>
      </c>
      <c r="H17" s="205">
        <v>0</v>
      </c>
      <c r="I17" s="205">
        <v>3</v>
      </c>
      <c r="J17" s="205">
        <v>3</v>
      </c>
      <c r="K17" s="205">
        <v>2</v>
      </c>
      <c r="L17" s="205">
        <v>3</v>
      </c>
      <c r="M17" s="205">
        <v>10</v>
      </c>
      <c r="N17" s="205">
        <v>-7</v>
      </c>
      <c r="O17" s="161" t="e">
        <f t="shared" si="0"/>
        <v>#VALUE!</v>
      </c>
      <c r="P17" s="5" t="str">
        <f t="shared" si="1"/>
        <v>NE</v>
      </c>
    </row>
    <row r="18" spans="1:16" x14ac:dyDescent="0.25">
      <c r="A18" s="54">
        <v>17</v>
      </c>
      <c r="B18" s="1" t="s">
        <v>432</v>
      </c>
      <c r="D18" s="205" t="s">
        <v>51</v>
      </c>
      <c r="E18" s="205">
        <v>9</v>
      </c>
      <c r="F18" s="205">
        <v>0</v>
      </c>
      <c r="G18" s="205">
        <v>0</v>
      </c>
      <c r="H18" s="205">
        <v>0</v>
      </c>
      <c r="I18" s="205">
        <v>2</v>
      </c>
      <c r="J18" s="205">
        <v>2</v>
      </c>
      <c r="K18" s="205">
        <v>2</v>
      </c>
      <c r="L18" s="205">
        <v>4</v>
      </c>
      <c r="M18" s="205">
        <v>7</v>
      </c>
      <c r="N18" s="205">
        <v>-3</v>
      </c>
      <c r="O18" s="161" t="str">
        <f t="shared" si="0"/>
        <v>9 OZ , 2 (0+2), -3 ±</v>
      </c>
      <c r="P18" s="5" t="str">
        <f t="shared" si="1"/>
        <v>ANO</v>
      </c>
    </row>
    <row r="19" spans="1:16" x14ac:dyDescent="0.25">
      <c r="A19" s="54">
        <v>18</v>
      </c>
      <c r="B19" s="1" t="s">
        <v>440</v>
      </c>
      <c r="D19" s="205" t="s">
        <v>51</v>
      </c>
      <c r="E19" s="205">
        <v>9</v>
      </c>
      <c r="F19" s="205">
        <v>0</v>
      </c>
      <c r="G19" s="205">
        <v>0</v>
      </c>
      <c r="H19" s="205">
        <v>0</v>
      </c>
      <c r="I19" s="205">
        <v>2</v>
      </c>
      <c r="J19" s="205">
        <v>2</v>
      </c>
      <c r="K19" s="205">
        <v>6</v>
      </c>
      <c r="L19" s="205">
        <v>5</v>
      </c>
      <c r="M19" s="205">
        <v>12</v>
      </c>
      <c r="N19" s="205">
        <v>-7</v>
      </c>
      <c r="O19" s="161" t="str">
        <f t="shared" si="0"/>
        <v>9 OZ , 2 (0+2), -7 ±</v>
      </c>
      <c r="P19" s="5" t="str">
        <f t="shared" si="1"/>
        <v>ANO</v>
      </c>
    </row>
    <row r="20" spans="1:16" x14ac:dyDescent="0.25">
      <c r="A20" s="54">
        <v>19</v>
      </c>
      <c r="B20" s="1" t="s">
        <v>435</v>
      </c>
      <c r="D20" s="205" t="s">
        <v>48</v>
      </c>
      <c r="E20" s="205">
        <v>18</v>
      </c>
      <c r="F20" s="205">
        <v>0</v>
      </c>
      <c r="G20" s="205">
        <v>0</v>
      </c>
      <c r="H20" s="205">
        <v>0</v>
      </c>
      <c r="I20" s="205">
        <v>2</v>
      </c>
      <c r="J20" s="205">
        <v>2</v>
      </c>
      <c r="K20" s="205">
        <v>2</v>
      </c>
      <c r="L20" s="205">
        <v>8</v>
      </c>
      <c r="M20" s="205">
        <v>27</v>
      </c>
      <c r="N20" s="205">
        <v>-19</v>
      </c>
      <c r="O20" s="161" t="str">
        <f t="shared" si="0"/>
        <v>18 OZ , 2 (0+2), -19 ±</v>
      </c>
      <c r="P20" s="5" t="str">
        <f t="shared" si="1"/>
        <v>ANO</v>
      </c>
    </row>
    <row r="21" spans="1:16" x14ac:dyDescent="0.25">
      <c r="A21" s="54">
        <v>20</v>
      </c>
      <c r="B21" s="1" t="s">
        <v>702</v>
      </c>
      <c r="D21" s="205"/>
      <c r="E21" s="205">
        <v>2</v>
      </c>
      <c r="F21" s="205">
        <v>0</v>
      </c>
      <c r="G21" s="205">
        <v>0</v>
      </c>
      <c r="H21" s="205">
        <v>0</v>
      </c>
      <c r="I21" s="205">
        <v>1</v>
      </c>
      <c r="J21" s="205">
        <v>1</v>
      </c>
      <c r="K21" s="205">
        <v>0</v>
      </c>
      <c r="L21" s="205">
        <v>1</v>
      </c>
      <c r="M21" s="205">
        <v>1</v>
      </c>
      <c r="N21" s="205">
        <v>0</v>
      </c>
      <c r="O21" s="161" t="e">
        <f t="shared" si="0"/>
        <v>#VALUE!</v>
      </c>
      <c r="P21" s="5" t="str">
        <f t="shared" si="1"/>
        <v>NE</v>
      </c>
    </row>
    <row r="22" spans="1:16" x14ac:dyDescent="0.25">
      <c r="A22" s="54">
        <v>21</v>
      </c>
      <c r="B22" s="1" t="s">
        <v>705</v>
      </c>
      <c r="D22" s="205"/>
      <c r="E22" s="205">
        <v>6</v>
      </c>
      <c r="F22" s="205">
        <v>0</v>
      </c>
      <c r="G22" s="205">
        <v>0</v>
      </c>
      <c r="H22" s="205">
        <v>0</v>
      </c>
      <c r="I22" s="205">
        <v>1</v>
      </c>
      <c r="J22" s="205">
        <v>1</v>
      </c>
      <c r="K22" s="205">
        <v>0</v>
      </c>
      <c r="L22" s="205">
        <v>3</v>
      </c>
      <c r="M22" s="205">
        <v>6</v>
      </c>
      <c r="N22" s="205">
        <v>-3</v>
      </c>
      <c r="O22" s="161" t="e">
        <f t="shared" si="0"/>
        <v>#VALUE!</v>
      </c>
      <c r="P22" s="5" t="str">
        <f t="shared" si="1"/>
        <v>NE</v>
      </c>
    </row>
    <row r="23" spans="1:16" x14ac:dyDescent="0.25">
      <c r="A23" s="54">
        <v>22</v>
      </c>
      <c r="B23" s="1" t="s">
        <v>434</v>
      </c>
      <c r="D23" s="205" t="s">
        <v>51</v>
      </c>
      <c r="E23" s="205">
        <v>18</v>
      </c>
      <c r="F23" s="205">
        <v>0</v>
      </c>
      <c r="G23" s="205">
        <v>0</v>
      </c>
      <c r="H23" s="205">
        <v>0</v>
      </c>
      <c r="I23" s="205">
        <v>1</v>
      </c>
      <c r="J23" s="205">
        <v>1</v>
      </c>
      <c r="K23" s="205">
        <v>2</v>
      </c>
      <c r="L23" s="205">
        <v>5</v>
      </c>
      <c r="M23" s="205">
        <v>26</v>
      </c>
      <c r="N23" s="205">
        <v>-21</v>
      </c>
      <c r="O23" s="161" t="str">
        <f t="shared" si="0"/>
        <v>18 OZ , 1 (0+1), -21 ±</v>
      </c>
      <c r="P23" s="5" t="str">
        <f t="shared" si="1"/>
        <v>ANO</v>
      </c>
    </row>
    <row r="24" spans="1:16" x14ac:dyDescent="0.25">
      <c r="A24" s="53">
        <v>23</v>
      </c>
      <c r="B24" s="4" t="s">
        <v>446</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6" x14ac:dyDescent="0.25">
      <c r="A25" s="53">
        <v>24</v>
      </c>
      <c r="B25" s="4" t="s">
        <v>437</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436</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438</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6" x14ac:dyDescent="0.25">
      <c r="A28" s="53">
        <v>27</v>
      </c>
      <c r="B28" s="4" t="s">
        <v>704</v>
      </c>
      <c r="C28" s="4"/>
      <c r="D28" s="5"/>
      <c r="E28" s="5">
        <v>3</v>
      </c>
      <c r="F28" s="5">
        <v>0</v>
      </c>
      <c r="G28" s="5">
        <v>0</v>
      </c>
      <c r="H28" s="5">
        <v>0</v>
      </c>
      <c r="I28" s="5">
        <v>0</v>
      </c>
      <c r="J28" s="5">
        <v>0</v>
      </c>
      <c r="K28" s="5">
        <v>2</v>
      </c>
      <c r="L28" s="5">
        <v>2</v>
      </c>
      <c r="M28" s="5">
        <v>5</v>
      </c>
      <c r="N28" s="5">
        <v>-3</v>
      </c>
      <c r="O28" s="161" t="e">
        <f t="shared" si="0"/>
        <v>#VALUE!</v>
      </c>
      <c r="P28" s="5" t="str">
        <f t="shared" si="1"/>
        <v>NE</v>
      </c>
    </row>
    <row r="29" spans="1:16" x14ac:dyDescent="0.25">
      <c r="A29" s="53">
        <v>28</v>
      </c>
      <c r="B29" s="4" t="s">
        <v>439</v>
      </c>
      <c r="C29" s="4"/>
      <c r="D29" s="5"/>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442</v>
      </c>
      <c r="D30" s="205" t="s">
        <v>48</v>
      </c>
      <c r="E30" s="205">
        <v>5</v>
      </c>
      <c r="F30" s="205">
        <v>0</v>
      </c>
      <c r="G30" s="205">
        <v>0</v>
      </c>
      <c r="H30" s="205">
        <v>0</v>
      </c>
      <c r="I30" s="205">
        <v>0</v>
      </c>
      <c r="J30" s="205">
        <v>0</v>
      </c>
      <c r="K30" s="205">
        <v>2</v>
      </c>
      <c r="L30" s="205">
        <v>5</v>
      </c>
      <c r="M30" s="205">
        <v>14</v>
      </c>
      <c r="N30" s="205">
        <v>-9</v>
      </c>
      <c r="O30" s="161" t="str">
        <f t="shared" si="0"/>
        <v>5 OZ , 0 (0+0), -9 ±</v>
      </c>
      <c r="P30" s="5" t="str">
        <f t="shared" si="1"/>
        <v>ANO</v>
      </c>
    </row>
    <row r="31" spans="1:16" x14ac:dyDescent="0.25">
      <c r="A31" s="53">
        <v>30</v>
      </c>
      <c r="B31" s="4" t="s">
        <v>701</v>
      </c>
      <c r="C31" s="4"/>
      <c r="D31" s="5" t="s">
        <v>35</v>
      </c>
      <c r="E31" s="5">
        <v>0</v>
      </c>
      <c r="F31" s="5">
        <v>0</v>
      </c>
      <c r="G31" s="5">
        <v>0</v>
      </c>
      <c r="H31" s="5">
        <v>0</v>
      </c>
      <c r="I31" s="5">
        <v>0</v>
      </c>
      <c r="J31" s="5">
        <v>0</v>
      </c>
      <c r="K31" s="5">
        <v>0</v>
      </c>
      <c r="L31" s="5">
        <v>0</v>
      </c>
      <c r="M31" s="5">
        <v>0</v>
      </c>
      <c r="N31" s="5">
        <v>0</v>
      </c>
      <c r="O31" s="161" t="e">
        <f t="shared" si="0"/>
        <v>#VALUE!</v>
      </c>
      <c r="P31" s="5" t="str">
        <f t="shared" si="1"/>
        <v>NE</v>
      </c>
    </row>
    <row r="32" spans="1:16" x14ac:dyDescent="0.25">
      <c r="A32" s="53">
        <v>31</v>
      </c>
      <c r="B32" s="4" t="s">
        <v>441</v>
      </c>
      <c r="C32" s="4"/>
      <c r="D32" s="5"/>
      <c r="E32" s="5">
        <v>8</v>
      </c>
      <c r="F32" s="5">
        <v>0</v>
      </c>
      <c r="G32" s="5">
        <v>0</v>
      </c>
      <c r="H32" s="5">
        <v>0</v>
      </c>
      <c r="I32" s="5">
        <v>0</v>
      </c>
      <c r="J32" s="5">
        <v>0</v>
      </c>
      <c r="K32" s="5">
        <v>2</v>
      </c>
      <c r="L32" s="5">
        <v>0</v>
      </c>
      <c r="M32" s="5">
        <v>2</v>
      </c>
      <c r="N32" s="5">
        <v>-2</v>
      </c>
      <c r="O32" s="161" t="str">
        <f t="shared" si="0"/>
        <v>8 OZ , 0 (0+0), -2 ±</v>
      </c>
      <c r="P32" s="5" t="str">
        <f t="shared" si="1"/>
        <v>ANO</v>
      </c>
    </row>
    <row r="33" spans="1:27" x14ac:dyDescent="0.25">
      <c r="A33" s="53">
        <v>32</v>
      </c>
      <c r="B33" s="4" t="s">
        <v>443</v>
      </c>
      <c r="C33" s="4"/>
      <c r="D33" s="5"/>
      <c r="E33" s="5">
        <v>8</v>
      </c>
      <c r="F33" s="5">
        <v>0</v>
      </c>
      <c r="G33" s="5">
        <v>0</v>
      </c>
      <c r="H33" s="5">
        <v>0</v>
      </c>
      <c r="I33" s="5">
        <v>0</v>
      </c>
      <c r="J33" s="5">
        <v>0</v>
      </c>
      <c r="K33" s="5">
        <v>6</v>
      </c>
      <c r="L33" s="5">
        <v>3</v>
      </c>
      <c r="M33" s="5">
        <v>11</v>
      </c>
      <c r="N33" s="5">
        <v>-8</v>
      </c>
      <c r="O33" s="161" t="str">
        <f t="shared" si="0"/>
        <v>8 OZ , 0 (0+0), -8 ±</v>
      </c>
      <c r="P33" s="5" t="str">
        <f t="shared" si="1"/>
        <v>ANO</v>
      </c>
    </row>
    <row r="34" spans="1:27" x14ac:dyDescent="0.25">
      <c r="A34" s="53">
        <v>33</v>
      </c>
      <c r="B34" s="4" t="s">
        <v>444</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445</v>
      </c>
      <c r="C35" s="4"/>
      <c r="D35" s="5"/>
      <c r="E35" s="5">
        <v>1</v>
      </c>
      <c r="F35" s="5">
        <v>0</v>
      </c>
      <c r="G35" s="5">
        <v>0</v>
      </c>
      <c r="H35" s="5">
        <v>0</v>
      </c>
      <c r="I35" s="5">
        <v>0</v>
      </c>
      <c r="J35" s="5">
        <v>0</v>
      </c>
      <c r="K35" s="5">
        <v>0</v>
      </c>
      <c r="L35" s="5">
        <v>0</v>
      </c>
      <c r="M35" s="5">
        <v>1</v>
      </c>
      <c r="N35" s="5">
        <v>-1</v>
      </c>
      <c r="O35" s="161" t="str">
        <f t="shared" si="0"/>
        <v>1 OZ , 0 (0+0), -1 ±</v>
      </c>
      <c r="P35" s="5" t="str">
        <f t="shared" si="1"/>
        <v>ANO</v>
      </c>
    </row>
    <row r="36" spans="1:27" x14ac:dyDescent="0.25">
      <c r="A36" s="54"/>
      <c r="O36" s="161" t="str">
        <f t="shared" si="0"/>
        <v/>
      </c>
      <c r="P36" s="5" t="str">
        <f t="shared" si="1"/>
        <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446</v>
      </c>
      <c r="C39"/>
      <c r="D39" s="190">
        <v>23</v>
      </c>
      <c r="E39" s="190">
        <v>21</v>
      </c>
      <c r="F39" s="190">
        <v>1236.4000000000001</v>
      </c>
      <c r="G39" s="190">
        <v>2</v>
      </c>
      <c r="H39" s="190">
        <v>137</v>
      </c>
      <c r="I39" s="190">
        <v>0</v>
      </c>
      <c r="J39" s="190">
        <v>466</v>
      </c>
      <c r="K39" s="190">
        <v>0</v>
      </c>
      <c r="L39" s="190">
        <v>19</v>
      </c>
      <c r="M39" s="190">
        <v>329</v>
      </c>
      <c r="N39" s="190">
        <v>1</v>
      </c>
      <c r="O39" s="190">
        <v>0</v>
      </c>
      <c r="P39" s="11">
        <f>IF(B39&lt;&gt;0,IFERROR(H39/(F39/60),0),"")</f>
        <v>6.6483338725331604</v>
      </c>
      <c r="Q39" s="11">
        <f>IF(B39&lt;&gt;0,IFERROR((M39/J39)*100,0),"")</f>
        <v>70.600858369098717</v>
      </c>
      <c r="R39" s="151" t="str">
        <f>IF(B39&lt;&gt;0,CONCATENATE(G39, " V, ",L39," P"),"")</f>
        <v>2 V, 19 P</v>
      </c>
    </row>
    <row r="40" spans="1:27" x14ac:dyDescent="0.25">
      <c r="A40" s="54">
        <v>2</v>
      </c>
      <c r="B40" t="s">
        <v>445</v>
      </c>
      <c r="C40"/>
      <c r="D40" s="190">
        <v>8</v>
      </c>
      <c r="E40" s="190">
        <v>1</v>
      </c>
      <c r="F40" s="190">
        <v>60</v>
      </c>
      <c r="G40" s="190">
        <v>0</v>
      </c>
      <c r="H40" s="190">
        <v>11</v>
      </c>
      <c r="I40" s="190">
        <v>0</v>
      </c>
      <c r="J40" s="190">
        <v>38</v>
      </c>
      <c r="K40" s="190">
        <v>0</v>
      </c>
      <c r="L40" s="190">
        <v>1</v>
      </c>
      <c r="M40" s="190">
        <v>27</v>
      </c>
      <c r="N40" s="190">
        <v>0</v>
      </c>
      <c r="O40" s="190">
        <v>0</v>
      </c>
      <c r="P40" s="11">
        <f t="shared" ref="P40:P45" si="2">IF(B40&lt;&gt;0,IFERROR(H40/(F40/60),0),"")</f>
        <v>11</v>
      </c>
      <c r="Q40" s="11">
        <f t="shared" ref="Q40:Q45" si="3">IF(B40&lt;&gt;0,IFERROR((M40/J40)*100,0),"")</f>
        <v>71.05263157894737</v>
      </c>
      <c r="R40" s="151" t="str">
        <f t="shared" ref="R40:R45" si="4">IF(B40&lt;&gt;0,CONCATENATE(G40, " V, ",L40," P"),"")</f>
        <v>0 V, 1 P</v>
      </c>
    </row>
    <row r="41" spans="1:27" x14ac:dyDescent="0.25">
      <c r="A41" s="54">
        <v>3</v>
      </c>
      <c r="B41" t="s">
        <v>444</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701</v>
      </c>
      <c r="C42"/>
      <c r="D42" s="190">
        <v>5</v>
      </c>
      <c r="E42" s="190">
        <v>0</v>
      </c>
      <c r="F42" s="123">
        <v>0</v>
      </c>
      <c r="G42" s="190">
        <v>0</v>
      </c>
      <c r="H42" s="190">
        <v>0</v>
      </c>
      <c r="I42" s="190">
        <v>0</v>
      </c>
      <c r="J42" s="190">
        <v>0</v>
      </c>
      <c r="K42" s="190">
        <v>0</v>
      </c>
      <c r="L42" s="190">
        <v>0</v>
      </c>
      <c r="M42" s="190">
        <v>0</v>
      </c>
      <c r="N42" s="190">
        <v>0</v>
      </c>
      <c r="O42" s="190">
        <v>0</v>
      </c>
      <c r="P42" s="11">
        <f t="shared" si="2"/>
        <v>0</v>
      </c>
      <c r="Q42" s="11">
        <f t="shared" si="3"/>
        <v>0</v>
      </c>
      <c r="R42" s="151" t="str">
        <f t="shared" si="4"/>
        <v>0 V, 0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381" t="s">
        <v>290</v>
      </c>
      <c r="Y46" s="381"/>
      <c r="Z46" s="381"/>
      <c r="AA46" s="381"/>
    </row>
    <row r="47" spans="1:27" s="152" customFormat="1" ht="15" customHeight="1" x14ac:dyDescent="0.25">
      <c r="A47" s="7">
        <f ca="1">TODAY()</f>
        <v>44244</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282</v>
      </c>
      <c r="V47" s="152" t="s">
        <v>283</v>
      </c>
      <c r="W47" s="152" t="s">
        <v>284</v>
      </c>
      <c r="X47" s="152" t="s">
        <v>289</v>
      </c>
      <c r="Y47" s="152" t="s">
        <v>287</v>
      </c>
      <c r="Z47" s="152" t="s">
        <v>288</v>
      </c>
      <c r="AA47" s="162" t="s">
        <v>478</v>
      </c>
    </row>
    <row r="48" spans="1:27" ht="15" customHeight="1" x14ac:dyDescent="0.25">
      <c r="B48" s="138" t="s">
        <v>437</v>
      </c>
      <c r="C48" s="137">
        <v>36671</v>
      </c>
      <c r="D48" s="151">
        <f t="shared" ref="D48:D76" ca="1" si="5">IF(C48 &lt;&gt; 0,ROUNDDOWN(($A$47-C48)/365.25,0),"")</f>
        <v>20</v>
      </c>
      <c r="E48" s="139">
        <v>3</v>
      </c>
      <c r="F48" s="139">
        <v>0</v>
      </c>
      <c r="G48" s="139">
        <v>0</v>
      </c>
      <c r="H48" s="151">
        <f t="shared" ref="H48:H76" si="6">IF(B48&lt;&gt;0,F48+G48,"")</f>
        <v>0</v>
      </c>
      <c r="I48" s="139">
        <v>2</v>
      </c>
      <c r="J48" s="139">
        <v>9</v>
      </c>
      <c r="K48" s="139"/>
      <c r="L48" s="139" t="s">
        <v>41</v>
      </c>
      <c r="M48" s="139">
        <v>187</v>
      </c>
      <c r="N48" s="139">
        <v>77</v>
      </c>
      <c r="O48" s="151" t="str">
        <f t="shared" ref="O48:O76" si="7">IF(B48&lt;&gt;0,CONCATENATE(E48+IFERROR(VLOOKUP(B48,$B$2:$N$36,4,FALSE),0) + X48, " OZ, ", H48+IFERROR(VLOOKUP(B48,$B$2:$N$36,9,FALSE),0) + Y48+Z48, " (", F48+IFERROR(VLOOKUP(B48,$B$2:$N$36,5,FALSE),0) + Y48, "+",G48+IFERROR(VLOOKUP(B48,$B$2:$N$36,8,FALSE),0) +  Z48, ")"), "")</f>
        <v>4 OZ, 0 (0+0)</v>
      </c>
      <c r="P48" s="151" t="str">
        <f t="shared" ref="P48:P76" si="8">IF(M48&lt;&gt;0,CONCATENATE(M48,"/",N48),"")</f>
        <v>187/77</v>
      </c>
      <c r="Q48" s="140" t="s">
        <v>474</v>
      </c>
      <c r="R48" s="139">
        <v>2010</v>
      </c>
      <c r="S48" s="151"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1">
        <f t="shared" ref="V48:V76" si="12">IF(B48&lt;&gt;0,COUNTIF($U$48:$U$82,U48),"")</f>
        <v>1</v>
      </c>
      <c r="W48" s="151" t="str">
        <f t="shared" ref="W48:W76" si="13">IFERROR(LEFT(LEFT(B48,SEARCH(" ",B48,1)),1),"")</f>
        <v>V</v>
      </c>
      <c r="X48" s="139"/>
      <c r="Y48" s="139"/>
      <c r="Z48" s="139"/>
      <c r="AA48" s="138"/>
    </row>
    <row r="49" spans="2:27" ht="15" customHeight="1" x14ac:dyDescent="0.25">
      <c r="B49" s="138" t="s">
        <v>426</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45 OZ, 19 (9+10)</v>
      </c>
      <c r="P49" s="151" t="str">
        <f t="shared" si="8"/>
        <v>177/70</v>
      </c>
      <c r="Q49" s="140" t="s">
        <v>470</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421</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153 OZ, 98 (56+42)</v>
      </c>
      <c r="P50" s="151" t="str">
        <f t="shared" si="8"/>
        <v>177/77</v>
      </c>
      <c r="Q50" s="140" t="s">
        <v>462</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427</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465</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443</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470</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420</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168 OZ, 160 (99+61)</v>
      </c>
      <c r="P53" s="151" t="str">
        <f t="shared" si="8"/>
        <v>174/73</v>
      </c>
      <c r="Q53" s="140" t="s">
        <v>458</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419</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467</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433</v>
      </c>
      <c r="C55" s="137">
        <v>37306</v>
      </c>
      <c r="D55" s="151">
        <f t="shared" ca="1" si="5"/>
        <v>18</v>
      </c>
      <c r="E55" s="139">
        <v>1</v>
      </c>
      <c r="F55" s="139">
        <v>0</v>
      </c>
      <c r="G55" s="139">
        <v>0</v>
      </c>
      <c r="H55" s="151">
        <f t="shared" si="6"/>
        <v>0</v>
      </c>
      <c r="I55" s="139">
        <v>2</v>
      </c>
      <c r="J55" s="139">
        <v>55</v>
      </c>
      <c r="K55" s="139"/>
      <c r="L55" s="139" t="s">
        <v>78</v>
      </c>
      <c r="M55" s="139">
        <v>193</v>
      </c>
      <c r="N55" s="139">
        <v>90</v>
      </c>
      <c r="O55" s="151" t="str">
        <f t="shared" si="7"/>
        <v>22 OZ, 3 (3+0)</v>
      </c>
      <c r="P55" s="151" t="str">
        <f t="shared" si="8"/>
        <v>193/90</v>
      </c>
      <c r="Q55" s="140" t="s">
        <v>460</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41" t="s">
        <v>441</v>
      </c>
      <c r="C56" s="137">
        <v>37547</v>
      </c>
      <c r="D56" s="151">
        <f t="shared" ca="1" si="5"/>
        <v>18</v>
      </c>
      <c r="E56" s="139">
        <v>0</v>
      </c>
      <c r="F56" s="139">
        <v>0</v>
      </c>
      <c r="G56" s="139">
        <v>0</v>
      </c>
      <c r="H56" s="151">
        <f t="shared" si="6"/>
        <v>0</v>
      </c>
      <c r="I56" s="139">
        <v>1</v>
      </c>
      <c r="J56" s="139">
        <v>99</v>
      </c>
      <c r="K56" s="139"/>
      <c r="L56" s="139" t="s">
        <v>78</v>
      </c>
      <c r="M56" s="139">
        <v>188</v>
      </c>
      <c r="N56" s="139">
        <v>78</v>
      </c>
      <c r="O56" s="151" t="str">
        <f t="shared" si="7"/>
        <v>8 OZ, 0 (0+0)</v>
      </c>
      <c r="P56" s="151" t="str">
        <f t="shared" si="8"/>
        <v>188/78</v>
      </c>
      <c r="Q56" s="140" t="s">
        <v>470</v>
      </c>
      <c r="R56" s="139">
        <v>2014</v>
      </c>
      <c r="S56" s="151" t="str">
        <f t="shared" si="9"/>
        <v/>
      </c>
      <c r="T56" s="1" t="str">
        <f t="shared" si="10"/>
        <v>Javořík</v>
      </c>
      <c r="U56" s="1" t="str">
        <f t="shared" si="11"/>
        <v>Javořík</v>
      </c>
      <c r="V56" s="151">
        <f t="shared" si="12"/>
        <v>1</v>
      </c>
      <c r="W56" s="151" t="str">
        <f t="shared" si="13"/>
        <v>A</v>
      </c>
      <c r="X56" s="139"/>
      <c r="Y56" s="139"/>
      <c r="Z56" s="139"/>
      <c r="AA56" s="138"/>
    </row>
    <row r="57" spans="2:27" ht="15" customHeight="1" x14ac:dyDescent="0.25">
      <c r="B57" s="138" t="s">
        <v>432</v>
      </c>
      <c r="C57" s="137">
        <v>34470</v>
      </c>
      <c r="D57" s="151">
        <f t="shared" ca="1" si="5"/>
        <v>26</v>
      </c>
      <c r="E57" s="139">
        <v>132</v>
      </c>
      <c r="F57" s="139">
        <v>41</v>
      </c>
      <c r="G57" s="139">
        <v>18</v>
      </c>
      <c r="H57" s="151">
        <f t="shared" si="6"/>
        <v>59</v>
      </c>
      <c r="I57" s="139">
        <v>9</v>
      </c>
      <c r="J57" s="139">
        <v>21</v>
      </c>
      <c r="K57" s="139"/>
      <c r="L57" s="139" t="s">
        <v>41</v>
      </c>
      <c r="M57" s="139">
        <v>176</v>
      </c>
      <c r="N57" s="139">
        <v>80</v>
      </c>
      <c r="O57" s="151" t="str">
        <f t="shared" si="7"/>
        <v>141 OZ, 61 (41+20)</v>
      </c>
      <c r="P57" s="151" t="str">
        <f t="shared" si="8"/>
        <v>176/80</v>
      </c>
      <c r="Q57" s="140" t="s">
        <v>472</v>
      </c>
      <c r="R57" s="139">
        <v>2005</v>
      </c>
      <c r="S57" s="151" t="str">
        <f t="shared" si="9"/>
        <v/>
      </c>
      <c r="T57" s="1" t="str">
        <f t="shared" si="10"/>
        <v>Jurčík</v>
      </c>
      <c r="U57" s="1" t="str">
        <f t="shared" si="11"/>
        <v>Jurčík</v>
      </c>
      <c r="V57" s="151">
        <f t="shared" si="12"/>
        <v>1</v>
      </c>
      <c r="W57" s="151" t="str">
        <f t="shared" si="13"/>
        <v>P</v>
      </c>
      <c r="X57" s="139"/>
      <c r="Y57" s="139"/>
      <c r="Z57" s="139"/>
      <c r="AA57" s="138"/>
    </row>
    <row r="58" spans="2:27" ht="15" customHeight="1" x14ac:dyDescent="0.25">
      <c r="B58" s="138" t="s">
        <v>436</v>
      </c>
      <c r="C58" s="137">
        <v>37776</v>
      </c>
      <c r="D58" s="151">
        <f t="shared" ca="1" si="5"/>
        <v>17</v>
      </c>
      <c r="E58" s="139">
        <v>0</v>
      </c>
      <c r="F58" s="139">
        <v>0</v>
      </c>
      <c r="G58" s="139">
        <v>0</v>
      </c>
      <c r="H58" s="151">
        <f t="shared" si="6"/>
        <v>0</v>
      </c>
      <c r="I58" s="139">
        <v>1</v>
      </c>
      <c r="J58" s="139">
        <v>49</v>
      </c>
      <c r="K58" s="139"/>
      <c r="L58" s="139" t="s">
        <v>78</v>
      </c>
      <c r="M58" s="139">
        <v>172</v>
      </c>
      <c r="N58" s="139">
        <v>67</v>
      </c>
      <c r="O58" s="151" t="str">
        <f t="shared" si="7"/>
        <v>1 OZ, 0 (0+0)</v>
      </c>
      <c r="P58" s="151" t="str">
        <f t="shared" si="8"/>
        <v>172/67</v>
      </c>
      <c r="Q58" s="140" t="s">
        <v>460</v>
      </c>
      <c r="R58" s="139">
        <v>2014</v>
      </c>
      <c r="S58" s="151" t="str">
        <f t="shared" si="9"/>
        <v/>
      </c>
      <c r="T58" s="1" t="str">
        <f t="shared" si="10"/>
        <v>Kahoun</v>
      </c>
      <c r="U58" s="1" t="str">
        <f t="shared" si="11"/>
        <v>Kahoun</v>
      </c>
      <c r="V58" s="151">
        <f t="shared" si="12"/>
        <v>1</v>
      </c>
      <c r="W58" s="151" t="str">
        <f t="shared" si="13"/>
        <v>O</v>
      </c>
      <c r="X58" s="139"/>
      <c r="Y58" s="139"/>
      <c r="Z58" s="139"/>
      <c r="AA58" s="138"/>
    </row>
    <row r="59" spans="2:27" ht="15" customHeight="1" x14ac:dyDescent="0.25">
      <c r="B59" s="141" t="s">
        <v>442</v>
      </c>
      <c r="C59" s="137">
        <v>35541</v>
      </c>
      <c r="D59" s="151">
        <f t="shared" ca="1" si="5"/>
        <v>23</v>
      </c>
      <c r="E59" s="139">
        <v>80</v>
      </c>
      <c r="F59" s="139">
        <v>10</v>
      </c>
      <c r="G59" s="139">
        <v>10</v>
      </c>
      <c r="H59" s="151">
        <f t="shared" si="6"/>
        <v>20</v>
      </c>
      <c r="I59" s="139">
        <v>6</v>
      </c>
      <c r="J59" s="139">
        <v>12</v>
      </c>
      <c r="K59" s="139"/>
      <c r="L59" s="139" t="s">
        <v>78</v>
      </c>
      <c r="M59" s="139">
        <v>181</v>
      </c>
      <c r="N59" s="139">
        <v>80</v>
      </c>
      <c r="O59" s="151" t="str">
        <f t="shared" si="7"/>
        <v>85 OZ, 20 (10+10)</v>
      </c>
      <c r="P59" s="151" t="str">
        <f t="shared" si="8"/>
        <v>181/80</v>
      </c>
      <c r="Q59" s="140" t="s">
        <v>471</v>
      </c>
      <c r="R59" s="139">
        <v>2007</v>
      </c>
      <c r="S59" s="151" t="str">
        <f t="shared" si="9"/>
        <v/>
      </c>
      <c r="T59" s="1" t="str">
        <f t="shared" si="10"/>
        <v>Kladivo</v>
      </c>
      <c r="U59" s="1" t="str">
        <f t="shared" si="11"/>
        <v>Kladivo</v>
      </c>
      <c r="V59" s="151">
        <f t="shared" si="12"/>
        <v>1</v>
      </c>
      <c r="W59" s="151" t="str">
        <f t="shared" si="13"/>
        <v>M</v>
      </c>
      <c r="X59" s="139"/>
      <c r="Y59" s="139"/>
      <c r="Z59" s="139"/>
      <c r="AA59" s="138"/>
    </row>
    <row r="60" spans="2:27" ht="15" customHeight="1" x14ac:dyDescent="0.25">
      <c r="B60" s="138" t="s">
        <v>429</v>
      </c>
      <c r="C60" s="137">
        <v>36648</v>
      </c>
      <c r="D60" s="151">
        <f t="shared" ca="1" si="5"/>
        <v>20</v>
      </c>
      <c r="E60" s="139">
        <v>71</v>
      </c>
      <c r="F60" s="139">
        <v>29</v>
      </c>
      <c r="G60" s="139">
        <v>21</v>
      </c>
      <c r="H60" s="151">
        <f t="shared" si="6"/>
        <v>50</v>
      </c>
      <c r="I60" s="139">
        <v>4</v>
      </c>
      <c r="J60" s="139">
        <v>25</v>
      </c>
      <c r="K60" s="139"/>
      <c r="L60" s="139" t="s">
        <v>78</v>
      </c>
      <c r="M60" s="139">
        <v>185</v>
      </c>
      <c r="N60" s="139">
        <v>77</v>
      </c>
      <c r="O60" s="151" t="str">
        <f t="shared" si="7"/>
        <v>88 OZ, 62 (34+28)</v>
      </c>
      <c r="P60" s="151" t="str">
        <f t="shared" si="8"/>
        <v>185/77</v>
      </c>
      <c r="Q60" s="140" t="s">
        <v>27</v>
      </c>
      <c r="R60" s="139">
        <v>2008</v>
      </c>
      <c r="S60" s="151" t="str">
        <f t="shared" si="9"/>
        <v/>
      </c>
      <c r="T60" s="1" t="str">
        <f t="shared" si="10"/>
        <v>Koláčný</v>
      </c>
      <c r="U60" s="1" t="str">
        <f t="shared" si="11"/>
        <v>Koláčný</v>
      </c>
      <c r="V60" s="151">
        <f t="shared" si="12"/>
        <v>1</v>
      </c>
      <c r="W60" s="151" t="str">
        <f t="shared" si="13"/>
        <v>P</v>
      </c>
      <c r="X60" s="139"/>
      <c r="Y60" s="139"/>
      <c r="Z60" s="139"/>
      <c r="AA60" s="138"/>
    </row>
    <row r="61" spans="2:27" ht="15" customHeight="1" x14ac:dyDescent="0.25">
      <c r="B61" s="138" t="s">
        <v>439</v>
      </c>
      <c r="C61" s="137">
        <v>37962</v>
      </c>
      <c r="D61" s="151">
        <f t="shared" ca="1" si="5"/>
        <v>17</v>
      </c>
      <c r="E61" s="139">
        <v>0</v>
      </c>
      <c r="F61" s="139">
        <v>0</v>
      </c>
      <c r="G61" s="139">
        <v>0</v>
      </c>
      <c r="H61" s="151">
        <f t="shared" si="6"/>
        <v>0</v>
      </c>
      <c r="I61" s="139">
        <v>1</v>
      </c>
      <c r="J61" s="139">
        <v>55</v>
      </c>
      <c r="K61" s="139"/>
      <c r="L61" s="139" t="s">
        <v>78</v>
      </c>
      <c r="M61" s="139">
        <v>196</v>
      </c>
      <c r="N61" s="139">
        <v>91</v>
      </c>
      <c r="O61" s="151" t="str">
        <f t="shared" si="7"/>
        <v>3 OZ, 0 (0+0)</v>
      </c>
      <c r="P61" s="151" t="str">
        <f t="shared" si="8"/>
        <v>196/91</v>
      </c>
      <c r="Q61" s="140" t="s">
        <v>460</v>
      </c>
      <c r="R61" s="139">
        <v>2013</v>
      </c>
      <c r="S61" s="151" t="str">
        <f t="shared" si="9"/>
        <v/>
      </c>
      <c r="T61" s="1" t="str">
        <f t="shared" si="10"/>
        <v>Kopecký</v>
      </c>
      <c r="U61" s="1" t="str">
        <f t="shared" si="11"/>
        <v>Kopecký</v>
      </c>
      <c r="V61" s="151">
        <f t="shared" si="12"/>
        <v>1</v>
      </c>
      <c r="W61" s="151" t="str">
        <f t="shared" si="13"/>
        <v>P</v>
      </c>
      <c r="X61" s="139"/>
      <c r="Y61" s="139"/>
      <c r="Z61" s="139"/>
      <c r="AA61" s="138"/>
    </row>
    <row r="62" spans="2:27" ht="15" customHeight="1" x14ac:dyDescent="0.25">
      <c r="B62" s="141" t="s">
        <v>445</v>
      </c>
      <c r="C62" s="137">
        <v>36933</v>
      </c>
      <c r="D62" s="151">
        <f t="shared" ca="1" si="5"/>
        <v>20</v>
      </c>
      <c r="E62" s="139">
        <v>0</v>
      </c>
      <c r="F62" s="139">
        <v>0</v>
      </c>
      <c r="G62" s="139">
        <v>0</v>
      </c>
      <c r="H62" s="151">
        <f t="shared" si="6"/>
        <v>0</v>
      </c>
      <c r="I62" s="139">
        <v>1</v>
      </c>
      <c r="J62" s="139">
        <v>89</v>
      </c>
      <c r="K62" s="139"/>
      <c r="L62" s="139" t="s">
        <v>30</v>
      </c>
      <c r="M62" s="139">
        <v>187</v>
      </c>
      <c r="N62" s="139">
        <v>83</v>
      </c>
      <c r="O62" s="151" t="str">
        <f t="shared" si="7"/>
        <v>1 OZ, 0 (0+0)</v>
      </c>
      <c r="P62" s="151" t="str">
        <f t="shared" si="8"/>
        <v>187/83</v>
      </c>
      <c r="Q62" s="140" t="s">
        <v>468</v>
      </c>
      <c r="R62" s="139">
        <v>2018</v>
      </c>
      <c r="S62" s="151" t="str">
        <f t="shared" si="9"/>
        <v>1 OZ, 0 A</v>
      </c>
      <c r="T62" s="1" t="str">
        <f t="shared" si="10"/>
        <v>Kubíček</v>
      </c>
      <c r="U62" s="1" t="str">
        <f t="shared" si="11"/>
        <v>Kubíček</v>
      </c>
      <c r="V62" s="151">
        <f t="shared" si="12"/>
        <v>1</v>
      </c>
      <c r="W62" s="151" t="str">
        <f t="shared" si="13"/>
        <v>M</v>
      </c>
      <c r="X62" s="139"/>
      <c r="Y62" s="139"/>
      <c r="Z62" s="139"/>
      <c r="AA62" s="138"/>
    </row>
    <row r="63" spans="2:27" ht="15" customHeight="1" x14ac:dyDescent="0.25">
      <c r="B63" s="138" t="s">
        <v>430</v>
      </c>
      <c r="C63" s="137">
        <v>36427</v>
      </c>
      <c r="D63" s="151">
        <f t="shared" ca="1" si="5"/>
        <v>21</v>
      </c>
      <c r="E63" s="139">
        <v>65</v>
      </c>
      <c r="F63" s="139">
        <v>13</v>
      </c>
      <c r="G63" s="139">
        <v>8</v>
      </c>
      <c r="H63" s="151">
        <f t="shared" si="6"/>
        <v>21</v>
      </c>
      <c r="I63" s="139">
        <v>4</v>
      </c>
      <c r="J63" s="139">
        <v>74</v>
      </c>
      <c r="K63" s="139" t="s">
        <v>222</v>
      </c>
      <c r="L63" s="139" t="s">
        <v>41</v>
      </c>
      <c r="M63" s="139">
        <v>181</v>
      </c>
      <c r="N63" s="139">
        <v>72</v>
      </c>
      <c r="O63" s="151" t="str">
        <f t="shared" si="7"/>
        <v>86 OZ, 25 (14+11)</v>
      </c>
      <c r="P63" s="151" t="str">
        <f t="shared" si="8"/>
        <v>181/72</v>
      </c>
      <c r="Q63" s="140" t="s">
        <v>464</v>
      </c>
      <c r="R63" s="139">
        <v>2004</v>
      </c>
      <c r="S63" s="151" t="str">
        <f t="shared" si="9"/>
        <v/>
      </c>
      <c r="T63" s="1" t="str">
        <f t="shared" si="10"/>
        <v>Kvapil</v>
      </c>
      <c r="U63" s="1" t="str">
        <f t="shared" si="11"/>
        <v>Kvapil</v>
      </c>
      <c r="V63" s="151">
        <f t="shared" si="12"/>
        <v>1</v>
      </c>
      <c r="W63" s="151" t="str">
        <f t="shared" si="13"/>
        <v>L</v>
      </c>
      <c r="X63" s="139"/>
      <c r="Y63" s="139"/>
      <c r="Z63" s="139"/>
      <c r="AA63" s="138"/>
    </row>
    <row r="64" spans="2:27" ht="15" customHeight="1" x14ac:dyDescent="0.25">
      <c r="B64" s="138" t="s">
        <v>446</v>
      </c>
      <c r="C64" s="137">
        <v>35838</v>
      </c>
      <c r="D64" s="151">
        <f t="shared" ca="1" si="5"/>
        <v>23</v>
      </c>
      <c r="E64" s="139">
        <v>10</v>
      </c>
      <c r="F64" s="139">
        <v>0</v>
      </c>
      <c r="G64" s="139">
        <v>0</v>
      </c>
      <c r="H64" s="151">
        <f t="shared" si="6"/>
        <v>0</v>
      </c>
      <c r="I64" s="139">
        <v>5</v>
      </c>
      <c r="J64" s="139">
        <v>29</v>
      </c>
      <c r="K64" s="139"/>
      <c r="L64" s="139" t="s">
        <v>30</v>
      </c>
      <c r="M64" s="139">
        <v>181</v>
      </c>
      <c r="N64" s="139">
        <v>76</v>
      </c>
      <c r="O64" s="151" t="str">
        <f t="shared" si="7"/>
        <v>10 OZ, 1 (0+1)</v>
      </c>
      <c r="P64" s="151" t="str">
        <f t="shared" si="8"/>
        <v>181/76</v>
      </c>
      <c r="Q64" s="140" t="s">
        <v>461</v>
      </c>
      <c r="R64" s="139">
        <v>2012</v>
      </c>
      <c r="S64" s="151" t="str">
        <f t="shared" si="9"/>
        <v>31 OZ, 1 A</v>
      </c>
      <c r="T64" s="1" t="str">
        <f t="shared" si="10"/>
        <v>Majrich</v>
      </c>
      <c r="U64" s="1" t="str">
        <f t="shared" si="11"/>
        <v>Majrich</v>
      </c>
      <c r="V64" s="151">
        <f t="shared" si="12"/>
        <v>1</v>
      </c>
      <c r="W64" s="151" t="str">
        <f t="shared" si="13"/>
        <v>K</v>
      </c>
      <c r="X64" s="139"/>
      <c r="Y64" s="139"/>
      <c r="Z64" s="139"/>
      <c r="AA64" s="138"/>
    </row>
    <row r="65" spans="2:27" ht="15" customHeight="1" x14ac:dyDescent="0.25">
      <c r="B65" s="138" t="s">
        <v>428</v>
      </c>
      <c r="C65" s="137">
        <v>35695</v>
      </c>
      <c r="D65" s="151">
        <f t="shared" ca="1" si="5"/>
        <v>23</v>
      </c>
      <c r="E65" s="139">
        <v>24</v>
      </c>
      <c r="F65" s="139">
        <v>0</v>
      </c>
      <c r="G65" s="139">
        <v>6</v>
      </c>
      <c r="H65" s="151">
        <f t="shared" si="6"/>
        <v>6</v>
      </c>
      <c r="I65" s="139">
        <v>4</v>
      </c>
      <c r="J65" s="139">
        <v>13</v>
      </c>
      <c r="K65" s="139"/>
      <c r="L65" s="139" t="s">
        <v>78</v>
      </c>
      <c r="M65" s="139">
        <v>182</v>
      </c>
      <c r="N65" s="139">
        <v>74</v>
      </c>
      <c r="O65" s="151" t="str">
        <f t="shared" si="7"/>
        <v>38 OZ, 11 (2+9)</v>
      </c>
      <c r="P65" s="151" t="str">
        <f t="shared" si="8"/>
        <v>182/74</v>
      </c>
      <c r="Q65" s="140" t="s">
        <v>456</v>
      </c>
      <c r="R65" s="139">
        <v>2008</v>
      </c>
      <c r="S65" s="151" t="str">
        <f t="shared" si="9"/>
        <v/>
      </c>
      <c r="T65" s="1" t="str">
        <f t="shared" si="10"/>
        <v>Medek</v>
      </c>
      <c r="U65" s="1" t="str">
        <f t="shared" si="11"/>
        <v>Medek</v>
      </c>
      <c r="V65" s="151">
        <f t="shared" si="12"/>
        <v>1</v>
      </c>
      <c r="W65" s="151" t="str">
        <f t="shared" si="13"/>
        <v>D</v>
      </c>
      <c r="X65" s="139"/>
      <c r="Y65" s="139"/>
      <c r="Z65" s="139"/>
      <c r="AA65" s="138"/>
    </row>
    <row r="66" spans="2:27" ht="15" customHeight="1" x14ac:dyDescent="0.25">
      <c r="B66" s="138" t="s">
        <v>424</v>
      </c>
      <c r="C66" s="137">
        <v>32521</v>
      </c>
      <c r="D66" s="151">
        <f t="shared" ca="1" si="5"/>
        <v>32</v>
      </c>
      <c r="E66" s="139">
        <v>205</v>
      </c>
      <c r="F66" s="139">
        <v>41</v>
      </c>
      <c r="G66" s="139">
        <v>64</v>
      </c>
      <c r="H66" s="151">
        <f t="shared" si="6"/>
        <v>105</v>
      </c>
      <c r="I66" s="139">
        <v>11</v>
      </c>
      <c r="J66" s="139">
        <v>56</v>
      </c>
      <c r="K66" s="139"/>
      <c r="L66" s="139" t="s">
        <v>78</v>
      </c>
      <c r="M66" s="139">
        <v>182</v>
      </c>
      <c r="N66" s="139">
        <v>79</v>
      </c>
      <c r="O66" s="151" t="str">
        <f t="shared" si="7"/>
        <v>221 OZ, 115 (47+68)</v>
      </c>
      <c r="P66" s="151" t="str">
        <f t="shared" si="8"/>
        <v>182/79</v>
      </c>
      <c r="Q66" s="140" t="s">
        <v>460</v>
      </c>
      <c r="R66" s="139">
        <v>1998</v>
      </c>
      <c r="S66" s="151" t="str">
        <f t="shared" si="9"/>
        <v/>
      </c>
      <c r="T66" s="1" t="str">
        <f t="shared" si="10"/>
        <v>Nagy</v>
      </c>
      <c r="U66" s="1" t="str">
        <f t="shared" si="11"/>
        <v>Nagy</v>
      </c>
      <c r="V66" s="151">
        <f t="shared" si="12"/>
        <v>1</v>
      </c>
      <c r="W66" s="151" t="str">
        <f t="shared" si="13"/>
        <v>M</v>
      </c>
      <c r="X66" s="139"/>
      <c r="Y66" s="139"/>
      <c r="Z66" s="139"/>
      <c r="AA66" s="138"/>
    </row>
    <row r="67" spans="2:27" ht="15" customHeight="1" x14ac:dyDescent="0.25">
      <c r="B67" s="138" t="s">
        <v>423</v>
      </c>
      <c r="C67" s="137">
        <v>34858</v>
      </c>
      <c r="D67" s="151">
        <f t="shared" ca="1" si="5"/>
        <v>25</v>
      </c>
      <c r="E67" s="139">
        <v>39</v>
      </c>
      <c r="F67" s="139">
        <v>9</v>
      </c>
      <c r="G67" s="139">
        <v>10</v>
      </c>
      <c r="H67" s="151">
        <f t="shared" si="6"/>
        <v>19</v>
      </c>
      <c r="I67" s="139">
        <v>4</v>
      </c>
      <c r="J67" s="139">
        <v>99</v>
      </c>
      <c r="K67" s="139"/>
      <c r="L67" s="139" t="s">
        <v>78</v>
      </c>
      <c r="M67" s="139">
        <v>179</v>
      </c>
      <c r="N67" s="139">
        <v>77</v>
      </c>
      <c r="O67" s="151" t="str">
        <f t="shared" si="7"/>
        <v>59 OZ, 31 (19+12)</v>
      </c>
      <c r="P67" s="151" t="str">
        <f t="shared" si="8"/>
        <v>179/77</v>
      </c>
      <c r="Q67" s="140" t="s">
        <v>606</v>
      </c>
      <c r="R67" s="139">
        <v>2007</v>
      </c>
      <c r="S67" s="151" t="str">
        <f t="shared" si="9"/>
        <v/>
      </c>
      <c r="T67" s="1" t="str">
        <f t="shared" si="10"/>
        <v>Nehila</v>
      </c>
      <c r="U67" s="1" t="str">
        <f t="shared" si="11"/>
        <v>Nehila</v>
      </c>
      <c r="V67" s="151">
        <f t="shared" si="12"/>
        <v>1</v>
      </c>
      <c r="W67" s="151" t="str">
        <f t="shared" si="13"/>
        <v>P</v>
      </c>
      <c r="X67" s="139"/>
      <c r="Y67" s="139"/>
      <c r="Z67" s="139"/>
      <c r="AA67" s="138"/>
    </row>
    <row r="68" spans="2:27" ht="15" customHeight="1" x14ac:dyDescent="0.25">
      <c r="B68" s="138" t="s">
        <v>425</v>
      </c>
      <c r="C68" s="137">
        <v>30807</v>
      </c>
      <c r="D68" s="151">
        <f t="shared" ca="1" si="5"/>
        <v>36</v>
      </c>
      <c r="E68" s="139">
        <v>281</v>
      </c>
      <c r="F68" s="139">
        <v>116</v>
      </c>
      <c r="G68" s="139">
        <v>135</v>
      </c>
      <c r="H68" s="151">
        <f t="shared" si="6"/>
        <v>251</v>
      </c>
      <c r="I68" s="139">
        <v>14</v>
      </c>
      <c r="J68" s="139">
        <v>91</v>
      </c>
      <c r="K68" s="139"/>
      <c r="L68" s="139" t="s">
        <v>78</v>
      </c>
      <c r="M68" s="139">
        <v>192</v>
      </c>
      <c r="N68" s="139">
        <v>81</v>
      </c>
      <c r="O68" s="151" t="str">
        <f t="shared" si="7"/>
        <v>303 OZ, 259 (121+138)</v>
      </c>
      <c r="P68" s="151" t="str">
        <f t="shared" si="8"/>
        <v>192/81</v>
      </c>
      <c r="Q68" s="140" t="s">
        <v>463</v>
      </c>
      <c r="R68" s="139">
        <v>1999</v>
      </c>
      <c r="S68" s="151" t="str">
        <f t="shared" si="9"/>
        <v/>
      </c>
      <c r="T68" s="1" t="str">
        <f t="shared" si="10"/>
        <v>Petřík</v>
      </c>
      <c r="U68" s="1" t="str">
        <f t="shared" si="11"/>
        <v>Petřík</v>
      </c>
      <c r="V68" s="151">
        <f t="shared" si="12"/>
        <v>1</v>
      </c>
      <c r="W68" s="151" t="str">
        <f t="shared" si="13"/>
        <v>L</v>
      </c>
      <c r="X68" s="139"/>
      <c r="Y68" s="139"/>
      <c r="Z68" s="139"/>
      <c r="AA68" s="138"/>
    </row>
    <row r="69" spans="2:27" ht="15" customHeight="1" x14ac:dyDescent="0.25">
      <c r="B69" s="138" t="s">
        <v>435</v>
      </c>
      <c r="C69" s="137">
        <v>37544</v>
      </c>
      <c r="D69" s="151">
        <f t="shared" ca="1" si="5"/>
        <v>18</v>
      </c>
      <c r="E69" s="139">
        <v>12</v>
      </c>
      <c r="F69" s="139">
        <v>0</v>
      </c>
      <c r="G69" s="139">
        <v>1</v>
      </c>
      <c r="H69" s="151">
        <f t="shared" si="6"/>
        <v>1</v>
      </c>
      <c r="I69" s="139">
        <v>2</v>
      </c>
      <c r="J69" s="139">
        <v>82</v>
      </c>
      <c r="K69" s="139"/>
      <c r="L69" s="139" t="s">
        <v>78</v>
      </c>
      <c r="M69" s="139">
        <v>187</v>
      </c>
      <c r="N69" s="139">
        <v>78</v>
      </c>
      <c r="O69" s="151" t="str">
        <f t="shared" si="7"/>
        <v>30 OZ, 3 (0+3)</v>
      </c>
      <c r="P69" s="151" t="str">
        <f t="shared" si="8"/>
        <v>187/78</v>
      </c>
      <c r="Q69" s="140" t="s">
        <v>460</v>
      </c>
      <c r="R69" s="139">
        <v>2012</v>
      </c>
      <c r="S69" s="151" t="str">
        <f t="shared" si="9"/>
        <v/>
      </c>
      <c r="T69" s="1" t="str">
        <f t="shared" si="10"/>
        <v>Pšenčík</v>
      </c>
      <c r="U69" s="1" t="str">
        <f t="shared" si="11"/>
        <v>Pšenčík</v>
      </c>
      <c r="V69" s="151">
        <f t="shared" si="12"/>
        <v>1</v>
      </c>
      <c r="W69" s="151" t="str">
        <f t="shared" si="13"/>
        <v>P</v>
      </c>
      <c r="X69" s="139"/>
      <c r="Y69" s="139"/>
      <c r="Z69" s="139"/>
      <c r="AA69" s="138"/>
    </row>
    <row r="70" spans="2:27" ht="15" customHeight="1" x14ac:dyDescent="0.25">
      <c r="B70" s="141" t="s">
        <v>444</v>
      </c>
      <c r="C70" s="137">
        <v>36002</v>
      </c>
      <c r="D70" s="151">
        <f t="shared" ca="1" si="5"/>
        <v>22</v>
      </c>
      <c r="E70" s="139">
        <v>0</v>
      </c>
      <c r="F70" s="139">
        <v>0</v>
      </c>
      <c r="G70" s="139">
        <v>0</v>
      </c>
      <c r="H70" s="151">
        <f t="shared" si="6"/>
        <v>0</v>
      </c>
      <c r="I70" s="139">
        <v>1</v>
      </c>
      <c r="J70" s="139">
        <v>30</v>
      </c>
      <c r="K70" s="139"/>
      <c r="L70" s="139" t="s">
        <v>30</v>
      </c>
      <c r="M70" s="139">
        <v>183</v>
      </c>
      <c r="N70" s="139">
        <v>93</v>
      </c>
      <c r="O70" s="151" t="str">
        <f t="shared" si="7"/>
        <v>1 OZ, 0 (0+0)</v>
      </c>
      <c r="P70" s="151" t="str">
        <f t="shared" si="8"/>
        <v>183/93</v>
      </c>
      <c r="Q70" s="140" t="s">
        <v>469</v>
      </c>
      <c r="R70" s="139">
        <v>2002</v>
      </c>
      <c r="S70" s="151" t="str">
        <f t="shared" si="9"/>
        <v>2 OZ, 0 A</v>
      </c>
      <c r="T70" s="1" t="str">
        <f t="shared" si="10"/>
        <v>Raška</v>
      </c>
      <c r="U70" s="1" t="str">
        <f t="shared" si="11"/>
        <v>Raška</v>
      </c>
      <c r="V70" s="151">
        <f t="shared" si="12"/>
        <v>1</v>
      </c>
      <c r="W70" s="151" t="str">
        <f t="shared" si="13"/>
        <v>Z</v>
      </c>
      <c r="X70" s="139"/>
      <c r="Y70" s="139"/>
      <c r="Z70" s="139"/>
      <c r="AA70" s="138"/>
    </row>
    <row r="71" spans="2:27" ht="15" customHeight="1" x14ac:dyDescent="0.25">
      <c r="B71" s="141" t="s">
        <v>440</v>
      </c>
      <c r="C71" s="137">
        <v>33031</v>
      </c>
      <c r="D71" s="151">
        <f t="shared" ca="1" si="5"/>
        <v>30</v>
      </c>
      <c r="E71" s="139">
        <v>197</v>
      </c>
      <c r="F71" s="139">
        <v>106</v>
      </c>
      <c r="G71" s="139">
        <v>61</v>
      </c>
      <c r="H71" s="151">
        <f t="shared" si="6"/>
        <v>167</v>
      </c>
      <c r="I71" s="139">
        <v>10</v>
      </c>
      <c r="J71" s="139">
        <v>7</v>
      </c>
      <c r="K71" s="139"/>
      <c r="L71" s="139" t="s">
        <v>78</v>
      </c>
      <c r="M71" s="139">
        <v>190</v>
      </c>
      <c r="N71" s="139">
        <v>82</v>
      </c>
      <c r="O71" s="151" t="str">
        <f t="shared" si="7"/>
        <v>206 OZ, 169 (106+63)</v>
      </c>
      <c r="P71" s="151" t="str">
        <f t="shared" si="8"/>
        <v>190/82</v>
      </c>
      <c r="Q71" s="140" t="s">
        <v>460</v>
      </c>
      <c r="R71" s="139">
        <v>2004</v>
      </c>
      <c r="S71" s="151" t="str">
        <f t="shared" si="9"/>
        <v/>
      </c>
      <c r="T71" s="1" t="str">
        <f t="shared" si="10"/>
        <v>Sovják</v>
      </c>
      <c r="U71" s="1" t="str">
        <f t="shared" si="11"/>
        <v>Sovják</v>
      </c>
      <c r="V71" s="151">
        <f t="shared" si="12"/>
        <v>1</v>
      </c>
      <c r="W71" s="151" t="str">
        <f t="shared" si="13"/>
        <v>T</v>
      </c>
      <c r="X71" s="139"/>
      <c r="Y71" s="139"/>
      <c r="Z71" s="139"/>
      <c r="AA71" s="138"/>
    </row>
    <row r="72" spans="2:27" ht="15" customHeight="1" x14ac:dyDescent="0.25">
      <c r="B72" s="138" t="s">
        <v>422</v>
      </c>
      <c r="C72" s="137">
        <v>35449</v>
      </c>
      <c r="D72" s="151">
        <f t="shared" ca="1" si="5"/>
        <v>24</v>
      </c>
      <c r="E72" s="139">
        <v>95</v>
      </c>
      <c r="F72" s="139">
        <v>20</v>
      </c>
      <c r="G72" s="139">
        <v>14</v>
      </c>
      <c r="H72" s="151">
        <f t="shared" si="6"/>
        <v>34</v>
      </c>
      <c r="I72" s="139">
        <v>5</v>
      </c>
      <c r="J72" s="139">
        <v>23</v>
      </c>
      <c r="K72" s="139"/>
      <c r="L72" s="139" t="s">
        <v>78</v>
      </c>
      <c r="M72" s="139">
        <v>185</v>
      </c>
      <c r="N72" s="139">
        <v>78</v>
      </c>
      <c r="O72" s="151" t="str">
        <f t="shared" si="7"/>
        <v>118 OZ, 44 (25+19)</v>
      </c>
      <c r="P72" s="151" t="str">
        <f t="shared" si="8"/>
        <v>185/78</v>
      </c>
      <c r="Q72" s="140" t="s">
        <v>466</v>
      </c>
      <c r="R72" s="139">
        <v>2007</v>
      </c>
      <c r="S72" s="151" t="str">
        <f t="shared" si="9"/>
        <v/>
      </c>
      <c r="T72" s="1" t="str">
        <f t="shared" si="10"/>
        <v>Szweda</v>
      </c>
      <c r="U72" s="1" t="str">
        <f t="shared" si="11"/>
        <v>Szweda</v>
      </c>
      <c r="V72" s="151">
        <f t="shared" si="12"/>
        <v>1</v>
      </c>
      <c r="W72" s="151" t="str">
        <f t="shared" si="13"/>
        <v>M</v>
      </c>
      <c r="X72" s="139"/>
      <c r="Y72" s="139"/>
      <c r="Z72" s="139"/>
      <c r="AA72" s="138"/>
    </row>
    <row r="73" spans="2:27" ht="15" customHeight="1" x14ac:dyDescent="0.25">
      <c r="B73" s="138" t="s">
        <v>434</v>
      </c>
      <c r="C73" s="137">
        <v>37660</v>
      </c>
      <c r="D73" s="151">
        <f t="shared" ca="1" si="5"/>
        <v>18</v>
      </c>
      <c r="E73" s="139">
        <v>0</v>
      </c>
      <c r="F73" s="139">
        <v>0</v>
      </c>
      <c r="G73" s="139">
        <v>0</v>
      </c>
      <c r="H73" s="151">
        <f t="shared" si="6"/>
        <v>0</v>
      </c>
      <c r="I73" s="139">
        <v>1</v>
      </c>
      <c r="J73" s="139">
        <v>61</v>
      </c>
      <c r="K73" s="139"/>
      <c r="L73" s="139" t="s">
        <v>78</v>
      </c>
      <c r="M73" s="139">
        <v>184</v>
      </c>
      <c r="N73" s="139">
        <v>72</v>
      </c>
      <c r="O73" s="151" t="str">
        <f t="shared" si="7"/>
        <v>18 OZ, 1 (0+1)</v>
      </c>
      <c r="P73" s="151" t="str">
        <f t="shared" si="8"/>
        <v>184/72</v>
      </c>
      <c r="Q73" s="140" t="s">
        <v>460</v>
      </c>
      <c r="R73" s="139">
        <v>2013</v>
      </c>
      <c r="S73" s="151" t="str">
        <f t="shared" si="9"/>
        <v/>
      </c>
      <c r="T73" s="1" t="str">
        <f t="shared" si="10"/>
        <v>Štourač</v>
      </c>
      <c r="U73" s="1" t="str">
        <f t="shared" si="11"/>
        <v>Štourač</v>
      </c>
      <c r="V73" s="151">
        <f t="shared" si="12"/>
        <v>1</v>
      </c>
      <c r="W73" s="151" t="str">
        <f t="shared" si="13"/>
        <v>J</v>
      </c>
      <c r="X73" s="139"/>
      <c r="Y73" s="139"/>
      <c r="Z73" s="139"/>
      <c r="AA73" s="138"/>
    </row>
    <row r="74" spans="2:27" ht="15" customHeight="1" x14ac:dyDescent="0.25">
      <c r="B74" s="141" t="s">
        <v>418</v>
      </c>
      <c r="C74" s="137">
        <v>36144</v>
      </c>
      <c r="D74" s="151">
        <f t="shared" ca="1" si="5"/>
        <v>22</v>
      </c>
      <c r="E74" s="139">
        <v>73</v>
      </c>
      <c r="F74" s="139">
        <v>26</v>
      </c>
      <c r="G74" s="139">
        <v>20</v>
      </c>
      <c r="H74" s="151">
        <f t="shared" si="6"/>
        <v>46</v>
      </c>
      <c r="I74" s="139">
        <v>4</v>
      </c>
      <c r="J74" s="139">
        <v>88</v>
      </c>
      <c r="K74" s="139"/>
      <c r="L74" s="139" t="s">
        <v>41</v>
      </c>
      <c r="M74" s="139">
        <v>180</v>
      </c>
      <c r="N74" s="139">
        <v>73</v>
      </c>
      <c r="O74" s="151" t="str">
        <f t="shared" si="7"/>
        <v>96 OZ, 68 (39+29)</v>
      </c>
      <c r="P74" s="151" t="str">
        <f t="shared" si="8"/>
        <v>180/73</v>
      </c>
      <c r="Q74" s="140" t="s">
        <v>459</v>
      </c>
      <c r="R74" s="139">
        <v>2005</v>
      </c>
      <c r="S74" s="151" t="str">
        <f t="shared" si="9"/>
        <v/>
      </c>
      <c r="T74" s="1" t="str">
        <f t="shared" si="10"/>
        <v>Vykopal</v>
      </c>
      <c r="U74" s="1" t="str">
        <f t="shared" si="11"/>
        <v>Vykopal</v>
      </c>
      <c r="V74" s="151">
        <f t="shared" si="12"/>
        <v>1</v>
      </c>
      <c r="W74" s="151" t="str">
        <f t="shared" si="13"/>
        <v>F</v>
      </c>
      <c r="X74" s="139"/>
      <c r="Y74" s="139"/>
      <c r="Z74" s="139"/>
      <c r="AA74" s="138"/>
    </row>
    <row r="75" spans="2:27" ht="15" customHeight="1" x14ac:dyDescent="0.25">
      <c r="B75" s="138" t="s">
        <v>431</v>
      </c>
      <c r="C75" s="137">
        <v>30515</v>
      </c>
      <c r="D75" s="151">
        <f t="shared" ca="1" si="5"/>
        <v>37</v>
      </c>
      <c r="E75" s="139">
        <v>184</v>
      </c>
      <c r="F75" s="139">
        <v>72</v>
      </c>
      <c r="G75" s="139">
        <v>40</v>
      </c>
      <c r="H75" s="151">
        <f t="shared" si="6"/>
        <v>112</v>
      </c>
      <c r="I75" s="139">
        <v>10</v>
      </c>
      <c r="J75" s="139">
        <v>22</v>
      </c>
      <c r="K75" s="139"/>
      <c r="L75" s="139" t="s">
        <v>41</v>
      </c>
      <c r="M75" s="139">
        <v>180</v>
      </c>
      <c r="N75" s="139">
        <v>80</v>
      </c>
      <c r="O75" s="151" t="str">
        <f t="shared" si="7"/>
        <v>198 OZ, 117 (75+42)</v>
      </c>
      <c r="P75" s="151" t="str">
        <f t="shared" si="8"/>
        <v>180/80</v>
      </c>
      <c r="Q75" s="140" t="s">
        <v>473</v>
      </c>
      <c r="R75" s="139">
        <v>1998</v>
      </c>
      <c r="S75" s="151" t="str">
        <f t="shared" si="9"/>
        <v/>
      </c>
      <c r="T75" s="1" t="str">
        <f t="shared" si="10"/>
        <v>Zapletal</v>
      </c>
      <c r="U75" s="1" t="str">
        <f t="shared" si="11"/>
        <v>Zapletal</v>
      </c>
      <c r="V75" s="151">
        <f t="shared" si="12"/>
        <v>1</v>
      </c>
      <c r="W75" s="151" t="str">
        <f t="shared" si="13"/>
        <v>M</v>
      </c>
      <c r="X75" s="139"/>
      <c r="Y75" s="139"/>
      <c r="Z75" s="139"/>
      <c r="AA75" s="138"/>
    </row>
    <row r="76" spans="2:27" ht="15" customHeight="1" x14ac:dyDescent="0.25">
      <c r="B76" s="138" t="s">
        <v>438</v>
      </c>
      <c r="C76" s="137">
        <v>35465</v>
      </c>
      <c r="D76" s="151">
        <f t="shared" ca="1" si="5"/>
        <v>24</v>
      </c>
      <c r="E76" s="139">
        <v>52</v>
      </c>
      <c r="F76" s="139">
        <v>0</v>
      </c>
      <c r="G76" s="139">
        <v>8</v>
      </c>
      <c r="H76" s="151">
        <f t="shared" si="6"/>
        <v>8</v>
      </c>
      <c r="I76" s="139">
        <v>3</v>
      </c>
      <c r="J76" s="139">
        <v>42</v>
      </c>
      <c r="K76" s="139"/>
      <c r="L76" s="139" t="s">
        <v>78</v>
      </c>
      <c r="M76" s="139">
        <v>188</v>
      </c>
      <c r="N76" s="139">
        <v>85</v>
      </c>
      <c r="O76" s="151" t="str">
        <f t="shared" si="7"/>
        <v>54 OZ, 8 (0+8)</v>
      </c>
      <c r="P76" s="151" t="str">
        <f t="shared" si="8"/>
        <v>188/85</v>
      </c>
      <c r="Q76" s="140" t="s">
        <v>457</v>
      </c>
      <c r="R76" s="139">
        <v>2004</v>
      </c>
      <c r="S76" s="151" t="str">
        <f t="shared" si="9"/>
        <v/>
      </c>
      <c r="T76" s="1" t="str">
        <f t="shared" si="10"/>
        <v>Zimmer</v>
      </c>
      <c r="U76" s="1" t="str">
        <f t="shared" si="11"/>
        <v>Zimmer</v>
      </c>
      <c r="V76" s="151">
        <f t="shared" si="12"/>
        <v>1</v>
      </c>
      <c r="W76" s="151" t="str">
        <f t="shared" si="13"/>
        <v>D</v>
      </c>
      <c r="X76" s="139"/>
      <c r="Y76" s="139"/>
      <c r="Z76" s="139"/>
      <c r="AA76" s="138"/>
    </row>
    <row r="77" spans="2:27" ht="15" customHeight="1" x14ac:dyDescent="0.25">
      <c r="B77" s="138"/>
      <c r="C77" s="137"/>
      <c r="D77" s="151" t="str">
        <f t="shared" ref="D77:D82" si="14">IF(C77 &lt;&gt; 0,ROUNDDOWN(($A$47-C77)/365.25,0),"")</f>
        <v/>
      </c>
      <c r="E77" s="139"/>
      <c r="F77" s="139"/>
      <c r="G77" s="139"/>
      <c r="H77" s="151" t="str">
        <f t="shared" ref="H77:H82" si="15">IF(B77&lt;&gt;0,F77+G77,"")</f>
        <v/>
      </c>
      <c r="I77" s="139"/>
      <c r="J77" s="139"/>
      <c r="K77" s="139"/>
      <c r="L77" s="139"/>
      <c r="M77" s="139"/>
      <c r="N77" s="139"/>
      <c r="O77" s="151" t="str">
        <f t="shared" ref="O77:O82" si="16">IF(B77&lt;&gt;0,CONCATENATE(E77+IFERROR(VLOOKUP(B77,$B$2:$N$36,4,FALSE),0) + X77, " OZ, ", H77+IFERROR(VLOOKUP(B77,$B$2:$N$36,9,FALSE),0) + Y77+Z77, " (", F77+IFERROR(VLOOKUP(B77,$B$2:$N$36,5,FALSE),0) + Y77, "+",G77+IFERROR(VLOOKUP(B77,$B$2:$N$36,8,FALSE),0) +  Z77, ")"), "")</f>
        <v/>
      </c>
      <c r="P77" s="151" t="str">
        <f t="shared" ref="P77:P82" si="17">IF(M77&lt;&gt;0,CONCATENATE(M77,"/",N77),"")</f>
        <v/>
      </c>
      <c r="Q77" s="140"/>
      <c r="R77" s="139"/>
      <c r="S77" s="151"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1" t="str">
        <f t="shared" ref="V77:V82" si="21">IF(B77&lt;&gt;0,COUNTIF($U$48:$U$82,U77),"")</f>
        <v/>
      </c>
      <c r="W77" s="151" t="str">
        <f t="shared" ref="W77:W82" si="22">IFERROR(LEFT(LEFT(B77,SEARCH(" ",B77,1)),1),"")</f>
        <v/>
      </c>
      <c r="X77" s="139"/>
      <c r="Y77" s="139"/>
      <c r="Z77" s="139"/>
      <c r="AA77" s="138"/>
    </row>
    <row r="78" spans="2:27" ht="15" customHeight="1" x14ac:dyDescent="0.25">
      <c r="B78" s="138"/>
      <c r="C78" s="137"/>
      <c r="D78" s="151" t="str">
        <f t="shared" si="14"/>
        <v/>
      </c>
      <c r="E78" s="139"/>
      <c r="F78" s="139"/>
      <c r="G78" s="139"/>
      <c r="H78" s="151" t="str">
        <f t="shared" si="15"/>
        <v/>
      </c>
      <c r="I78" s="139"/>
      <c r="J78" s="139"/>
      <c r="K78" s="139"/>
      <c r="L78" s="139"/>
      <c r="M78" s="139"/>
      <c r="N78" s="139"/>
      <c r="O78" s="151" t="str">
        <f t="shared" si="16"/>
        <v/>
      </c>
      <c r="P78" s="151" t="str">
        <f t="shared" si="17"/>
        <v/>
      </c>
      <c r="Q78" s="140"/>
      <c r="R78" s="139"/>
      <c r="S78" s="151" t="str">
        <f t="shared" si="18"/>
        <v/>
      </c>
      <c r="T78" s="1" t="str">
        <f t="shared" si="19"/>
        <v/>
      </c>
      <c r="U78" s="1" t="str">
        <f t="shared" si="20"/>
        <v/>
      </c>
      <c r="V78" s="151" t="str">
        <f t="shared" si="21"/>
        <v/>
      </c>
      <c r="W78" s="151" t="str">
        <f t="shared" si="22"/>
        <v/>
      </c>
      <c r="X78" s="139"/>
      <c r="Y78" s="139"/>
      <c r="Z78" s="139"/>
      <c r="AA78" s="138"/>
    </row>
    <row r="79" spans="2:27" ht="15" customHeight="1" x14ac:dyDescent="0.25">
      <c r="B79" s="138"/>
      <c r="C79" s="137"/>
      <c r="D79" s="151" t="str">
        <f t="shared" si="14"/>
        <v/>
      </c>
      <c r="E79" s="139"/>
      <c r="F79" s="139"/>
      <c r="G79" s="139"/>
      <c r="H79" s="151" t="str">
        <f t="shared" si="15"/>
        <v/>
      </c>
      <c r="I79" s="139"/>
      <c r="J79" s="139"/>
      <c r="K79" s="139"/>
      <c r="L79" s="139"/>
      <c r="M79" s="139"/>
      <c r="N79" s="139"/>
      <c r="O79" s="151" t="str">
        <f t="shared" si="16"/>
        <v/>
      </c>
      <c r="P79" s="151" t="str">
        <f t="shared" si="17"/>
        <v/>
      </c>
      <c r="Q79" s="140"/>
      <c r="R79" s="139"/>
      <c r="S79" s="151" t="str">
        <f t="shared" si="18"/>
        <v/>
      </c>
      <c r="T79" s="1" t="str">
        <f t="shared" si="19"/>
        <v/>
      </c>
      <c r="U79" s="1" t="str">
        <f t="shared" si="20"/>
        <v/>
      </c>
      <c r="V79" s="151" t="str">
        <f t="shared" si="21"/>
        <v/>
      </c>
      <c r="W79" s="151" t="str">
        <f t="shared" si="22"/>
        <v/>
      </c>
      <c r="X79" s="139"/>
      <c r="Y79" s="139"/>
      <c r="Z79" s="139"/>
      <c r="AA79" s="138"/>
    </row>
    <row r="80" spans="2:27" ht="15" customHeight="1" x14ac:dyDescent="0.25">
      <c r="B80" s="138"/>
      <c r="C80" s="137"/>
      <c r="D80" s="151" t="str">
        <f t="shared" si="14"/>
        <v/>
      </c>
      <c r="E80" s="139"/>
      <c r="F80" s="139"/>
      <c r="G80" s="139"/>
      <c r="H80" s="151" t="str">
        <f t="shared" si="15"/>
        <v/>
      </c>
      <c r="I80" s="139"/>
      <c r="J80" s="139"/>
      <c r="K80" s="139"/>
      <c r="L80" s="139"/>
      <c r="M80" s="139"/>
      <c r="N80" s="139"/>
      <c r="O80" s="151" t="str">
        <f t="shared" si="16"/>
        <v/>
      </c>
      <c r="P80" s="151" t="str">
        <f t="shared" si="17"/>
        <v/>
      </c>
      <c r="Q80" s="140"/>
      <c r="R80" s="139"/>
      <c r="S80" s="151" t="str">
        <f t="shared" si="18"/>
        <v/>
      </c>
      <c r="T80" s="1" t="str">
        <f t="shared" si="19"/>
        <v/>
      </c>
      <c r="U80" s="1" t="str">
        <f t="shared" si="20"/>
        <v/>
      </c>
      <c r="V80" s="151" t="str">
        <f t="shared" si="21"/>
        <v/>
      </c>
      <c r="W80" s="151" t="str">
        <f t="shared" si="22"/>
        <v/>
      </c>
      <c r="X80" s="139"/>
      <c r="Y80" s="139"/>
      <c r="Z80" s="139"/>
      <c r="AA80" s="138"/>
    </row>
    <row r="81" spans="1:27" ht="15" customHeight="1" x14ac:dyDescent="0.25">
      <c r="B81" s="138"/>
      <c r="C81" s="137"/>
      <c r="D81" s="151" t="str">
        <f t="shared" si="14"/>
        <v/>
      </c>
      <c r="E81" s="139"/>
      <c r="F81" s="139"/>
      <c r="G81" s="139"/>
      <c r="H81" s="151" t="str">
        <f t="shared" si="15"/>
        <v/>
      </c>
      <c r="I81" s="139"/>
      <c r="J81" s="139"/>
      <c r="K81" s="139"/>
      <c r="L81" s="139"/>
      <c r="M81" s="139"/>
      <c r="N81" s="139"/>
      <c r="O81" s="151" t="str">
        <f t="shared" si="16"/>
        <v/>
      </c>
      <c r="P81" s="151" t="str">
        <f t="shared" si="17"/>
        <v/>
      </c>
      <c r="Q81" s="140"/>
      <c r="R81" s="139"/>
      <c r="S81" s="151" t="str">
        <f t="shared" si="18"/>
        <v/>
      </c>
      <c r="T81" s="1" t="str">
        <f t="shared" si="19"/>
        <v/>
      </c>
      <c r="U81" s="1" t="str">
        <f t="shared" si="20"/>
        <v/>
      </c>
      <c r="V81" s="151" t="str">
        <f t="shared" si="21"/>
        <v/>
      </c>
      <c r="W81" s="151" t="str">
        <f t="shared" si="22"/>
        <v/>
      </c>
      <c r="X81" s="139"/>
      <c r="Y81" s="139"/>
      <c r="Z81" s="139"/>
      <c r="AA81" s="138"/>
    </row>
    <row r="82" spans="1:27" ht="15" customHeight="1" x14ac:dyDescent="0.25">
      <c r="B82" s="138"/>
      <c r="C82" s="137"/>
      <c r="D82" s="151" t="str">
        <f t="shared" si="14"/>
        <v/>
      </c>
      <c r="E82" s="139"/>
      <c r="F82" s="139"/>
      <c r="G82" s="139"/>
      <c r="H82" s="151" t="str">
        <f t="shared" si="15"/>
        <v/>
      </c>
      <c r="I82" s="139"/>
      <c r="J82" s="139"/>
      <c r="K82" s="139"/>
      <c r="L82" s="139"/>
      <c r="M82" s="139"/>
      <c r="N82" s="139"/>
      <c r="O82" s="151" t="str">
        <f t="shared" si="16"/>
        <v/>
      </c>
      <c r="P82" s="151" t="str">
        <f t="shared" si="17"/>
        <v/>
      </c>
      <c r="Q82" s="140"/>
      <c r="R82" s="139"/>
      <c r="S82" s="151" t="str">
        <f t="shared" si="18"/>
        <v/>
      </c>
      <c r="T82" s="1" t="str">
        <f t="shared" si="19"/>
        <v/>
      </c>
      <c r="U82" s="1" t="str">
        <f t="shared" si="20"/>
        <v/>
      </c>
      <c r="V82" s="151" t="str">
        <f t="shared" si="21"/>
        <v/>
      </c>
      <c r="W82" s="151" t="str">
        <f t="shared" si="22"/>
        <v/>
      </c>
      <c r="X82" s="139"/>
      <c r="Y82" s="139"/>
      <c r="Z82" s="139"/>
      <c r="AA82" s="138"/>
    </row>
    <row r="84" spans="1:27" s="152" customFormat="1" ht="15" customHeight="1" x14ac:dyDescent="0.25">
      <c r="A84" s="7">
        <f ca="1">TODAY()</f>
        <v>44244</v>
      </c>
      <c r="B84" s="152" t="s">
        <v>59</v>
      </c>
      <c r="C84" s="152" t="s">
        <v>66</v>
      </c>
      <c r="D84" s="152" t="s">
        <v>67</v>
      </c>
      <c r="E84" s="382" t="s">
        <v>94</v>
      </c>
      <c r="F84" s="382"/>
      <c r="G84" s="382" t="s">
        <v>100</v>
      </c>
      <c r="H84" s="382"/>
      <c r="I84" s="382"/>
      <c r="J84" s="382"/>
      <c r="K84" s="382"/>
      <c r="Q84" s="9"/>
    </row>
    <row r="85" spans="1:27" ht="30" customHeight="1" x14ac:dyDescent="0.25">
      <c r="B85" s="138" t="s">
        <v>475</v>
      </c>
      <c r="C85" s="137">
        <v>27314</v>
      </c>
      <c r="D85" s="151">
        <f ca="1">IF(B85&lt;&gt;0,ROUNDDOWN(($A$84-C85)/365.25,0),"")</f>
        <v>46</v>
      </c>
      <c r="E85" s="380" t="s">
        <v>188</v>
      </c>
      <c r="F85" s="380"/>
      <c r="G85" s="380" t="s">
        <v>30</v>
      </c>
      <c r="H85" s="380"/>
      <c r="I85" s="380"/>
      <c r="J85" s="380"/>
      <c r="K85" s="380"/>
    </row>
    <row r="86" spans="1:27" ht="30" customHeight="1" x14ac:dyDescent="0.25">
      <c r="B86" s="138" t="s">
        <v>476</v>
      </c>
      <c r="C86" s="137">
        <v>33731</v>
      </c>
      <c r="D86" s="151">
        <f t="shared" ref="D86:D92" ca="1" si="23">IF(B86&lt;&gt;0,ROUNDDOWN(($A$84-C86)/365.25,0),"")</f>
        <v>28</v>
      </c>
      <c r="E86" s="380" t="s">
        <v>191</v>
      </c>
      <c r="F86" s="380"/>
      <c r="G86" s="380" t="s">
        <v>30</v>
      </c>
      <c r="H86" s="380"/>
      <c r="I86" s="380"/>
      <c r="J86" s="380"/>
      <c r="K86" s="380"/>
    </row>
    <row r="87" spans="1:27" ht="30" customHeight="1" x14ac:dyDescent="0.25">
      <c r="B87" s="138" t="s">
        <v>477</v>
      </c>
      <c r="C87" s="137">
        <v>25991</v>
      </c>
      <c r="D87" s="151">
        <f t="shared" ca="1" si="23"/>
        <v>49</v>
      </c>
      <c r="E87" s="380" t="s">
        <v>101</v>
      </c>
      <c r="F87" s="380"/>
      <c r="G87" s="380" t="s">
        <v>30</v>
      </c>
      <c r="H87" s="380"/>
      <c r="I87" s="380"/>
      <c r="J87" s="380"/>
      <c r="K87" s="380"/>
    </row>
    <row r="88" spans="1:27" ht="30" customHeight="1" x14ac:dyDescent="0.25">
      <c r="B88" s="138"/>
      <c r="C88" s="137"/>
      <c r="D88" s="151" t="str">
        <f t="shared" si="23"/>
        <v/>
      </c>
      <c r="E88" s="380"/>
      <c r="F88" s="380"/>
      <c r="G88" s="380"/>
      <c r="H88" s="380"/>
      <c r="I88" s="380"/>
      <c r="J88" s="380"/>
      <c r="K88" s="380"/>
    </row>
    <row r="89" spans="1:27" ht="30" customHeight="1" x14ac:dyDescent="0.25">
      <c r="B89" s="138"/>
      <c r="C89" s="137"/>
      <c r="D89" s="151" t="str">
        <f t="shared" si="23"/>
        <v/>
      </c>
      <c r="E89" s="380"/>
      <c r="F89" s="380"/>
      <c r="G89" s="380"/>
      <c r="H89" s="380"/>
      <c r="I89" s="380"/>
      <c r="J89" s="380"/>
      <c r="K89" s="380"/>
    </row>
    <row r="90" spans="1:27" ht="30" customHeight="1" x14ac:dyDescent="0.25">
      <c r="B90" s="138"/>
      <c r="C90" s="138"/>
      <c r="D90" s="151" t="str">
        <f t="shared" si="23"/>
        <v/>
      </c>
      <c r="E90" s="380"/>
      <c r="F90" s="380"/>
      <c r="G90" s="380"/>
      <c r="H90" s="380"/>
      <c r="I90" s="380"/>
      <c r="J90" s="380"/>
      <c r="K90" s="380"/>
    </row>
    <row r="91" spans="1:27" ht="30" customHeight="1" x14ac:dyDescent="0.25">
      <c r="B91" s="138"/>
      <c r="C91" s="138"/>
      <c r="D91" s="151" t="str">
        <f t="shared" si="23"/>
        <v/>
      </c>
      <c r="E91" s="380"/>
      <c r="F91" s="380"/>
      <c r="G91" s="380"/>
      <c r="H91" s="380"/>
      <c r="I91" s="380"/>
      <c r="J91" s="380"/>
      <c r="K91" s="380"/>
    </row>
    <row r="92" spans="1:27" ht="30" customHeight="1" x14ac:dyDescent="0.25">
      <c r="B92" s="138"/>
      <c r="C92" s="138"/>
      <c r="D92" s="151" t="str">
        <f t="shared" si="23"/>
        <v/>
      </c>
      <c r="E92" s="380"/>
      <c r="F92" s="380"/>
      <c r="G92" s="380"/>
      <c r="H92" s="380"/>
      <c r="I92" s="380"/>
      <c r="J92" s="380"/>
      <c r="K92" s="380"/>
    </row>
  </sheetData>
  <sheetProtection algorithmName="SHA-512" hashValue="YI6E2vFOjJg7x3LxcpJegI5wmzVDo4w1R2duBrNQyxAYRKpOJ2MW3IU0orGMhICcEEAAXyd7rk95u3peGLHooQ==" saltValue="L3Me80lkqznGjXRoHUfgvw==" spinCount="100000" sheet="1" objects="1" scenarios="1" selectLockedCells="1"/>
  <sortState ref="B48:AA76">
    <sortCondition ref="U48:U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3" priority="1" operator="containsText" text="ANO">
      <formula>NOT(ISERROR(SEARCH("ANO",P2)))</formula>
    </cfRule>
    <cfRule type="containsText" dxfId="9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82" t="s">
        <v>36</v>
      </c>
      <c r="B1" s="1" t="s">
        <v>447</v>
      </c>
      <c r="C1" s="205">
        <v>22</v>
      </c>
      <c r="D1" s="383" t="str">
        <f t="shared" ref="D1" si="0">IFERROR(RIGHT(B1,LEN(B1)-SEARCH(" ",B1)),"")</f>
        <v>František Vykopal</v>
      </c>
      <c r="E1" s="383"/>
      <c r="F1" s="151"/>
    </row>
    <row r="2" spans="1:6" x14ac:dyDescent="0.25">
      <c r="A2" s="382"/>
      <c r="B2" s="1" t="s">
        <v>709</v>
      </c>
      <c r="C2" s="205">
        <v>15</v>
      </c>
      <c r="D2" s="383" t="str">
        <f t="shared" ref="D2:D30" si="1">IFERROR(RIGHT(B2,LEN(B2)-SEARCH(" ",B2)),"")</f>
        <v>Filip Hrabal</v>
      </c>
      <c r="E2" s="383"/>
      <c r="F2" s="151"/>
    </row>
    <row r="3" spans="1:6" x14ac:dyDescent="0.25">
      <c r="A3" s="382"/>
      <c r="B3" s="1" t="s">
        <v>789</v>
      </c>
      <c r="C3" s="205">
        <v>15</v>
      </c>
      <c r="D3" s="383" t="str">
        <f t="shared" si="1"/>
        <v>Matěj Hronek</v>
      </c>
      <c r="E3" s="383"/>
      <c r="F3" s="151"/>
    </row>
    <row r="4" spans="1:6" x14ac:dyDescent="0.25">
      <c r="A4" s="382"/>
      <c r="B4" s="1" t="s">
        <v>706</v>
      </c>
      <c r="C4" s="205">
        <v>12</v>
      </c>
      <c r="D4" s="383" t="str">
        <f t="shared" si="1"/>
        <v>Peter Nehila</v>
      </c>
      <c r="E4" s="383"/>
      <c r="F4" s="151"/>
    </row>
    <row r="5" spans="1:6" x14ac:dyDescent="0.25">
      <c r="A5" s="382"/>
      <c r="B5" s="1" t="s">
        <v>790</v>
      </c>
      <c r="C5" s="205">
        <v>12</v>
      </c>
      <c r="D5" s="383" t="str">
        <f t="shared" si="1"/>
        <v>Petr Koláčný</v>
      </c>
      <c r="E5" s="383"/>
      <c r="F5" s="151"/>
    </row>
    <row r="6" spans="1:6" x14ac:dyDescent="0.25">
      <c r="A6" s="382" t="s">
        <v>242</v>
      </c>
      <c r="B6" s="1" t="s">
        <v>450</v>
      </c>
      <c r="C6" s="205" t="s">
        <v>791</v>
      </c>
      <c r="D6" s="383" t="str">
        <f t="shared" si="1"/>
        <v>Kevin Majrich</v>
      </c>
      <c r="E6" s="383"/>
      <c r="F6" s="151">
        <f t="shared" ref="F6:F10" si="2">IF(B6&lt;&gt;0,_xlfn.NUMBERVALUE(C6,","),"")</f>
        <v>6.65</v>
      </c>
    </row>
    <row r="7" spans="1:6" x14ac:dyDescent="0.25">
      <c r="A7" s="382"/>
      <c r="B7" s="1" t="s">
        <v>707</v>
      </c>
      <c r="C7" s="205" t="s">
        <v>331</v>
      </c>
      <c r="D7" s="383" t="str">
        <f t="shared" si="1"/>
        <v>Jan Vorálek</v>
      </c>
      <c r="E7" s="383"/>
      <c r="F7" s="151">
        <f t="shared" si="2"/>
        <v>0</v>
      </c>
    </row>
    <row r="8" spans="1:6" x14ac:dyDescent="0.25">
      <c r="A8" s="382"/>
      <c r="B8" s="1" t="s">
        <v>454</v>
      </c>
      <c r="C8" s="205" t="s">
        <v>451</v>
      </c>
      <c r="D8" s="383" t="str">
        <f t="shared" si="1"/>
        <v>Zdeněk Raška</v>
      </c>
      <c r="E8" s="383"/>
      <c r="F8" s="151">
        <f t="shared" si="2"/>
        <v>9.75</v>
      </c>
    </row>
    <row r="9" spans="1:6" x14ac:dyDescent="0.25">
      <c r="A9" s="382"/>
      <c r="B9" s="1" t="s">
        <v>708</v>
      </c>
      <c r="C9" s="205" t="s">
        <v>453</v>
      </c>
      <c r="D9" s="383" t="str">
        <f t="shared" si="1"/>
        <v>Matěj Kubíček</v>
      </c>
      <c r="E9" s="383"/>
      <c r="F9" s="151">
        <f t="shared" si="2"/>
        <v>11</v>
      </c>
    </row>
    <row r="10" spans="1:6" x14ac:dyDescent="0.25">
      <c r="A10" s="382"/>
      <c r="B10" s="1"/>
      <c r="C10" s="205"/>
      <c r="D10" s="383" t="str">
        <f t="shared" si="1"/>
        <v/>
      </c>
      <c r="E10" s="383"/>
      <c r="F10" s="151" t="str">
        <f t="shared" si="2"/>
        <v/>
      </c>
    </row>
    <row r="11" spans="1:6" x14ac:dyDescent="0.25">
      <c r="A11" s="382" t="s">
        <v>35</v>
      </c>
      <c r="B11" s="1" t="s">
        <v>447</v>
      </c>
      <c r="C11" s="205">
        <v>13</v>
      </c>
      <c r="D11" s="383" t="str">
        <f t="shared" si="1"/>
        <v>František Vykopal</v>
      </c>
      <c r="E11" s="383"/>
      <c r="F11" s="151"/>
    </row>
    <row r="12" spans="1:6" x14ac:dyDescent="0.25">
      <c r="A12" s="382"/>
      <c r="B12" s="1" t="s">
        <v>709</v>
      </c>
      <c r="C12" s="205">
        <v>12</v>
      </c>
      <c r="D12" s="383" t="str">
        <f t="shared" si="1"/>
        <v>Filip Hrabal</v>
      </c>
      <c r="E12" s="383"/>
      <c r="F12" s="151"/>
    </row>
    <row r="13" spans="1:6" x14ac:dyDescent="0.25">
      <c r="A13" s="382"/>
      <c r="B13" s="1" t="s">
        <v>596</v>
      </c>
      <c r="C13" s="205">
        <v>10</v>
      </c>
      <c r="D13" s="383" t="str">
        <f t="shared" si="1"/>
        <v>Peter Nehila</v>
      </c>
      <c r="E13" s="383"/>
      <c r="F13" s="151"/>
    </row>
    <row r="14" spans="1:6" x14ac:dyDescent="0.25">
      <c r="A14" s="382"/>
      <c r="B14" s="1" t="s">
        <v>449</v>
      </c>
      <c r="C14" s="205">
        <v>6</v>
      </c>
      <c r="D14" s="383" t="str">
        <f t="shared" si="1"/>
        <v>Ladislav Gál</v>
      </c>
      <c r="E14" s="383"/>
      <c r="F14" s="151"/>
    </row>
    <row r="15" spans="1:6" x14ac:dyDescent="0.25">
      <c r="A15" s="382"/>
      <c r="B15" s="1" t="s">
        <v>597</v>
      </c>
      <c r="C15" s="205">
        <v>6</v>
      </c>
      <c r="D15" s="383" t="str">
        <f t="shared" si="1"/>
        <v>Matěj Hronek</v>
      </c>
      <c r="E15" s="383"/>
      <c r="F15" s="151"/>
    </row>
    <row r="16" spans="1:6" x14ac:dyDescent="0.25">
      <c r="A16" s="382" t="s">
        <v>230</v>
      </c>
      <c r="B16" s="1" t="s">
        <v>450</v>
      </c>
      <c r="C16" s="205">
        <v>2</v>
      </c>
      <c r="D16" s="383" t="str">
        <f t="shared" si="1"/>
        <v>Kevin Majrich</v>
      </c>
      <c r="E16" s="383"/>
      <c r="F16" s="151">
        <f t="shared" ref="F16:F20" si="3">IF(B16&lt;&gt;0,_xlfn.NUMBERVALUE(C16,","),"")</f>
        <v>2</v>
      </c>
    </row>
    <row r="17" spans="1:6" x14ac:dyDescent="0.25">
      <c r="A17" s="382"/>
      <c r="B17" s="1" t="s">
        <v>707</v>
      </c>
      <c r="C17" s="205">
        <v>0</v>
      </c>
      <c r="D17" s="383" t="str">
        <f t="shared" si="1"/>
        <v>Jan Vorálek</v>
      </c>
      <c r="E17" s="383"/>
      <c r="F17" s="151">
        <f t="shared" si="3"/>
        <v>0</v>
      </c>
    </row>
    <row r="18" spans="1:6" x14ac:dyDescent="0.25">
      <c r="A18" s="382"/>
      <c r="B18" s="1" t="s">
        <v>452</v>
      </c>
      <c r="C18" s="205">
        <v>0</v>
      </c>
      <c r="D18" s="383" t="str">
        <f t="shared" si="1"/>
        <v>Matěj Kubíček</v>
      </c>
      <c r="E18" s="383"/>
      <c r="F18" s="151">
        <f t="shared" si="3"/>
        <v>0</v>
      </c>
    </row>
    <row r="19" spans="1:6" x14ac:dyDescent="0.25">
      <c r="A19" s="382"/>
      <c r="B19" s="1" t="s">
        <v>710</v>
      </c>
      <c r="C19" s="205">
        <v>0</v>
      </c>
      <c r="D19" s="383" t="str">
        <f t="shared" si="1"/>
        <v>Zdeněk Raška</v>
      </c>
      <c r="E19" s="383"/>
      <c r="F19" s="151">
        <f t="shared" si="3"/>
        <v>0</v>
      </c>
    </row>
    <row r="20" spans="1:6" x14ac:dyDescent="0.25">
      <c r="A20" s="382"/>
      <c r="B20" s="1"/>
      <c r="C20" s="205"/>
      <c r="D20" s="383" t="str">
        <f t="shared" si="1"/>
        <v/>
      </c>
      <c r="E20" s="383"/>
      <c r="F20" s="151" t="str">
        <f t="shared" si="3"/>
        <v/>
      </c>
    </row>
    <row r="21" spans="1:6" x14ac:dyDescent="0.25">
      <c r="A21" s="382" t="s">
        <v>37</v>
      </c>
      <c r="B21" s="1" t="s">
        <v>447</v>
      </c>
      <c r="C21" s="205">
        <v>9</v>
      </c>
      <c r="D21" s="383" t="str">
        <f t="shared" si="1"/>
        <v>František Vykopal</v>
      </c>
      <c r="E21" s="383"/>
      <c r="F21" s="151"/>
    </row>
    <row r="22" spans="1:6" x14ac:dyDescent="0.25">
      <c r="A22" s="382"/>
      <c r="B22" s="1" t="s">
        <v>448</v>
      </c>
      <c r="C22" s="205">
        <v>9</v>
      </c>
      <c r="D22" s="383" t="str">
        <f t="shared" si="1"/>
        <v>Matěj Hronek</v>
      </c>
      <c r="E22" s="383"/>
      <c r="F22" s="151"/>
    </row>
    <row r="23" spans="1:6" x14ac:dyDescent="0.25">
      <c r="A23" s="382"/>
      <c r="B23" s="1" t="s">
        <v>711</v>
      </c>
      <c r="C23" s="205">
        <v>7</v>
      </c>
      <c r="D23" s="383" t="str">
        <f t="shared" si="1"/>
        <v>Petr Koláčný</v>
      </c>
      <c r="E23" s="383"/>
      <c r="F23" s="151"/>
    </row>
    <row r="24" spans="1:6" x14ac:dyDescent="0.25">
      <c r="A24" s="382"/>
      <c r="B24" s="1" t="s">
        <v>767</v>
      </c>
      <c r="C24" s="205">
        <v>6</v>
      </c>
      <c r="D24" s="383" t="str">
        <f t="shared" si="1"/>
        <v>Vlastimil Červenka</v>
      </c>
      <c r="E24" s="383"/>
      <c r="F24" s="151"/>
    </row>
    <row r="25" spans="1:6" x14ac:dyDescent="0.25">
      <c r="A25" s="382"/>
      <c r="B25" s="1" t="s">
        <v>768</v>
      </c>
      <c r="C25" s="205">
        <v>5</v>
      </c>
      <c r="D25" s="383" t="str">
        <f t="shared" si="1"/>
        <v>Martin Szweda</v>
      </c>
      <c r="E25" s="383"/>
      <c r="F25" s="151"/>
    </row>
    <row r="26" spans="1:6" x14ac:dyDescent="0.25">
      <c r="A26" s="382" t="s">
        <v>38</v>
      </c>
      <c r="B26" s="1" t="s">
        <v>712</v>
      </c>
      <c r="C26" s="205">
        <v>14</v>
      </c>
      <c r="D26" s="383" t="str">
        <f t="shared" si="1"/>
        <v>Martin Szweda</v>
      </c>
      <c r="E26" s="383"/>
      <c r="F26" s="151"/>
    </row>
    <row r="27" spans="1:6" x14ac:dyDescent="0.25">
      <c r="A27" s="382"/>
      <c r="B27" s="1" t="s">
        <v>713</v>
      </c>
      <c r="C27" s="205">
        <v>12</v>
      </c>
      <c r="D27" s="383" t="str">
        <f t="shared" si="1"/>
        <v>Petr Koláčný</v>
      </c>
      <c r="E27" s="383"/>
      <c r="F27" s="151"/>
    </row>
    <row r="28" spans="1:6" x14ac:dyDescent="0.25">
      <c r="A28" s="382"/>
      <c r="B28" s="1" t="s">
        <v>714</v>
      </c>
      <c r="C28" s="205">
        <v>10</v>
      </c>
      <c r="D28" s="383" t="str">
        <f t="shared" si="1"/>
        <v>Michal Nagy</v>
      </c>
      <c r="E28" s="383"/>
      <c r="F28" s="151"/>
    </row>
    <row r="29" spans="1:6" x14ac:dyDescent="0.25">
      <c r="A29" s="382"/>
      <c r="B29" s="1" t="s">
        <v>715</v>
      </c>
      <c r="C29" s="205">
        <v>8</v>
      </c>
      <c r="D29" s="383" t="str">
        <f t="shared" si="1"/>
        <v>František Vykopal</v>
      </c>
      <c r="E29" s="383"/>
      <c r="F29" s="151"/>
    </row>
    <row r="30" spans="1:6" x14ac:dyDescent="0.25">
      <c r="A30" s="382"/>
      <c r="B30" s="1" t="s">
        <v>716</v>
      </c>
      <c r="C30" s="205">
        <v>8</v>
      </c>
      <c r="D30" s="383" t="str">
        <f t="shared" si="1"/>
        <v>Marek Zapletal</v>
      </c>
      <c r="E30" s="383"/>
      <c r="F30" s="151"/>
    </row>
    <row r="31" spans="1:6" x14ac:dyDescent="0.25">
      <c r="A31" s="382" t="s">
        <v>333</v>
      </c>
      <c r="B31" s="190" t="s">
        <v>490</v>
      </c>
      <c r="C31" s="190" t="s">
        <v>143</v>
      </c>
      <c r="D31" s="190" t="s">
        <v>412</v>
      </c>
      <c r="E31" s="178" t="str">
        <f>IFERROR(RIGHT(LEFT(D31,LEN(D31)-1),LEN(D31)-2),"")</f>
        <v>3:8</v>
      </c>
    </row>
    <row r="32" spans="1:6" x14ac:dyDescent="0.25">
      <c r="A32" s="382"/>
      <c r="B32" s="190" t="s">
        <v>568</v>
      </c>
      <c r="C32" s="190" t="s">
        <v>148</v>
      </c>
      <c r="D32" s="190" t="s">
        <v>412</v>
      </c>
      <c r="E32" s="178" t="str">
        <f t="shared" ref="E32:E40" si="4">IFERROR(RIGHT(LEFT(D32,LEN(D32)-1),LEN(D32)-2),"")</f>
        <v>3:8</v>
      </c>
    </row>
    <row r="33" spans="1:5" x14ac:dyDescent="0.25">
      <c r="A33" s="382"/>
      <c r="B33" s="190" t="s">
        <v>572</v>
      </c>
      <c r="C33" s="190" t="s">
        <v>141</v>
      </c>
      <c r="D33" s="190" t="s">
        <v>916</v>
      </c>
      <c r="E33" s="178" t="str">
        <f t="shared" si="4"/>
        <v>5:7</v>
      </c>
    </row>
    <row r="34" spans="1:5" x14ac:dyDescent="0.25">
      <c r="A34" s="382"/>
      <c r="B34" s="190" t="s">
        <v>570</v>
      </c>
      <c r="C34" s="190" t="s">
        <v>145</v>
      </c>
      <c r="D34" s="190" t="s">
        <v>917</v>
      </c>
      <c r="E34" s="178" t="str">
        <f t="shared" si="4"/>
        <v>7:8p</v>
      </c>
    </row>
    <row r="35" spans="1:5" x14ac:dyDescent="0.25">
      <c r="A35" s="382"/>
      <c r="B35" s="190" t="s">
        <v>364</v>
      </c>
      <c r="C35" s="190" t="s">
        <v>147</v>
      </c>
      <c r="D35" s="190" t="s">
        <v>717</v>
      </c>
      <c r="E35" s="178" t="str">
        <f t="shared" si="4"/>
        <v>2:7</v>
      </c>
    </row>
    <row r="36" spans="1:5" x14ac:dyDescent="0.25">
      <c r="A36" s="382" t="s">
        <v>334</v>
      </c>
      <c r="B36" s="190" t="s">
        <v>571</v>
      </c>
      <c r="C36" s="190" t="s">
        <v>145</v>
      </c>
      <c r="D36" s="190" t="s">
        <v>338</v>
      </c>
      <c r="E36" s="178" t="str">
        <f t="shared" si="4"/>
        <v>-:-</v>
      </c>
    </row>
    <row r="37" spans="1:5" x14ac:dyDescent="0.25">
      <c r="A37" s="382"/>
      <c r="B37" s="190" t="s">
        <v>660</v>
      </c>
      <c r="C37" s="190" t="s">
        <v>149</v>
      </c>
      <c r="D37" s="190" t="s">
        <v>338</v>
      </c>
      <c r="E37" s="178" t="str">
        <f t="shared" si="4"/>
        <v>-:-</v>
      </c>
    </row>
    <row r="38" spans="1:5" x14ac:dyDescent="0.25">
      <c r="A38" s="382"/>
      <c r="B38" s="190" t="s">
        <v>619</v>
      </c>
      <c r="C38" s="190" t="s">
        <v>150</v>
      </c>
      <c r="D38" s="190" t="s">
        <v>338</v>
      </c>
      <c r="E38" s="178" t="str">
        <f t="shared" si="4"/>
        <v>-:-</v>
      </c>
    </row>
    <row r="39" spans="1:5" x14ac:dyDescent="0.25">
      <c r="A39" s="382"/>
      <c r="B39" s="190"/>
      <c r="C39" s="190"/>
      <c r="D39" s="190"/>
      <c r="E39" s="178" t="str">
        <f t="shared" si="4"/>
        <v/>
      </c>
    </row>
    <row r="40" spans="1:5" x14ac:dyDescent="0.25">
      <c r="A40" s="382"/>
      <c r="B40" s="190"/>
      <c r="C40" s="190"/>
      <c r="D40" s="190"/>
      <c r="E40" s="178" t="str">
        <f t="shared" si="4"/>
        <v/>
      </c>
    </row>
    <row r="41" spans="1:5" x14ac:dyDescent="0.25">
      <c r="A41" s="152" t="s">
        <v>335</v>
      </c>
      <c r="B41" s="384" t="s">
        <v>792</v>
      </c>
      <c r="C41" s="190"/>
      <c r="D41" s="190"/>
    </row>
  </sheetData>
  <sheetProtection algorithmName="SHA-512" hashValue="ZvtC1i9m5RmUAhEHszozUTniB5S+n2Ab11Ff7yBJVANKIhVk8Emhn4aIRLCu1/H/oQzHduje2n6Lss0JrZl0SQ==" saltValue="D6TDkS7X4wHt0eICHjvr0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455</v>
      </c>
      <c r="Q1" s="115" t="s">
        <v>47</v>
      </c>
    </row>
    <row r="2" spans="1:26" s="4" customFormat="1" x14ac:dyDescent="0.25">
      <c r="A2" s="53">
        <v>1</v>
      </c>
      <c r="B2" s="4" t="s">
        <v>491</v>
      </c>
      <c r="D2" s="5"/>
      <c r="E2" s="5">
        <v>23</v>
      </c>
      <c r="F2" s="5">
        <v>14</v>
      </c>
      <c r="G2" s="5">
        <v>4</v>
      </c>
      <c r="H2" s="5">
        <v>0</v>
      </c>
      <c r="I2" s="5">
        <v>33</v>
      </c>
      <c r="J2" s="5">
        <v>47</v>
      </c>
      <c r="K2" s="5">
        <v>10</v>
      </c>
      <c r="L2" s="5">
        <v>70</v>
      </c>
      <c r="M2" s="5">
        <v>52</v>
      </c>
      <c r="N2" s="5">
        <v>18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47 (14+33), +18 ±</v>
      </c>
      <c r="P2" s="5" t="str">
        <f>IF(B2&lt;&gt;0,IF(IFERROR(VLOOKUP(B2,$B$48:$B$82,1,FALSE)=B2,FALSE),"ANO","NE"),"")</f>
        <v>ANO</v>
      </c>
      <c r="Q2" s="142" t="s">
        <v>628</v>
      </c>
      <c r="S2" s="5"/>
      <c r="X2" s="5"/>
      <c r="Y2" s="5"/>
      <c r="Z2" s="5"/>
    </row>
    <row r="3" spans="1:26" s="4" customFormat="1" x14ac:dyDescent="0.25">
      <c r="A3" s="53">
        <v>2</v>
      </c>
      <c r="B3" s="4" t="s">
        <v>494</v>
      </c>
      <c r="D3" s="5"/>
      <c r="E3" s="5">
        <v>23</v>
      </c>
      <c r="F3" s="5">
        <v>25</v>
      </c>
      <c r="G3" s="5">
        <v>8</v>
      </c>
      <c r="H3" s="5">
        <v>0</v>
      </c>
      <c r="I3" s="5">
        <v>13</v>
      </c>
      <c r="J3" s="5">
        <v>38</v>
      </c>
      <c r="K3" s="5">
        <v>4</v>
      </c>
      <c r="L3" s="5">
        <v>54</v>
      </c>
      <c r="M3" s="5">
        <v>45</v>
      </c>
      <c r="N3" s="5">
        <v>9</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38 (25+13), +9 ±</v>
      </c>
      <c r="P3" s="5" t="str">
        <f t="shared" ref="P3:P36" si="1">IF(B3&lt;&gt;0,IF(IFERROR(VLOOKUP(B3,$B$48:$B$82,1,FALSE)=B3,FALSE),"ANO","NE"),"")</f>
        <v>ANO</v>
      </c>
      <c r="Q3" s="142" t="s">
        <v>629</v>
      </c>
      <c r="S3" s="5"/>
      <c r="X3" s="5"/>
      <c r="Y3" s="5"/>
      <c r="Z3" s="5"/>
    </row>
    <row r="4" spans="1:26" s="4" customFormat="1" x14ac:dyDescent="0.25">
      <c r="A4" s="53">
        <v>3</v>
      </c>
      <c r="B4" s="4" t="s">
        <v>493</v>
      </c>
      <c r="D4" s="5" t="s">
        <v>51</v>
      </c>
      <c r="E4" s="5">
        <v>23</v>
      </c>
      <c r="F4" s="5">
        <v>17</v>
      </c>
      <c r="G4" s="5">
        <v>3</v>
      </c>
      <c r="H4" s="5">
        <v>0</v>
      </c>
      <c r="I4" s="5">
        <v>20</v>
      </c>
      <c r="J4" s="5">
        <v>37</v>
      </c>
      <c r="K4" s="5">
        <v>4</v>
      </c>
      <c r="L4" s="5">
        <v>48</v>
      </c>
      <c r="M4" s="5">
        <v>44</v>
      </c>
      <c r="N4" s="5">
        <v>4</v>
      </c>
      <c r="O4" s="166" t="str">
        <f t="shared" si="0"/>
        <v>23 OZ , 37 (17+20), +4 ±</v>
      </c>
      <c r="P4" s="5" t="str">
        <f t="shared" si="1"/>
        <v>ANO</v>
      </c>
      <c r="Q4" s="142" t="s">
        <v>630</v>
      </c>
      <c r="S4" s="5"/>
      <c r="X4" s="5"/>
      <c r="Y4" s="5"/>
      <c r="Z4" s="5"/>
    </row>
    <row r="5" spans="1:26" s="4" customFormat="1" x14ac:dyDescent="0.25">
      <c r="A5" s="53">
        <v>4</v>
      </c>
      <c r="B5" s="4" t="s">
        <v>496</v>
      </c>
      <c r="D5" s="5"/>
      <c r="E5" s="5">
        <v>23</v>
      </c>
      <c r="F5" s="5">
        <v>19</v>
      </c>
      <c r="G5" s="5">
        <v>0</v>
      </c>
      <c r="H5" s="5">
        <v>3</v>
      </c>
      <c r="I5" s="5">
        <v>9</v>
      </c>
      <c r="J5" s="5">
        <v>28</v>
      </c>
      <c r="K5" s="5">
        <v>4</v>
      </c>
      <c r="L5" s="5">
        <v>44</v>
      </c>
      <c r="M5" s="5">
        <v>44</v>
      </c>
      <c r="N5" s="5">
        <v>0</v>
      </c>
      <c r="O5" s="166" t="str">
        <f t="shared" si="0"/>
        <v>23 OZ , 28 (19+9), 0 ±</v>
      </c>
      <c r="P5" s="5" t="str">
        <f t="shared" si="1"/>
        <v>ANO</v>
      </c>
      <c r="Q5" s="142" t="s">
        <v>631</v>
      </c>
      <c r="S5" s="5"/>
      <c r="X5" s="5"/>
      <c r="Y5" s="5"/>
      <c r="Z5" s="5"/>
    </row>
    <row r="6" spans="1:26" x14ac:dyDescent="0.25">
      <c r="A6" s="54">
        <v>5</v>
      </c>
      <c r="B6" s="1" t="s">
        <v>492</v>
      </c>
      <c r="D6" s="205"/>
      <c r="E6" s="205">
        <v>23</v>
      </c>
      <c r="F6" s="205">
        <v>12</v>
      </c>
      <c r="G6" s="205">
        <v>6</v>
      </c>
      <c r="H6" s="205">
        <v>0</v>
      </c>
      <c r="I6" s="205">
        <v>16</v>
      </c>
      <c r="J6" s="205">
        <v>28</v>
      </c>
      <c r="K6" s="205">
        <v>22</v>
      </c>
      <c r="L6" s="205">
        <v>62</v>
      </c>
      <c r="M6" s="205">
        <v>47</v>
      </c>
      <c r="N6" s="205">
        <v>15</v>
      </c>
      <c r="O6" s="166" t="str">
        <f t="shared" si="0"/>
        <v>23 OZ , 28 (12+16), +15 ±</v>
      </c>
      <c r="P6" s="5" t="str">
        <f t="shared" si="1"/>
        <v>ANO</v>
      </c>
    </row>
    <row r="7" spans="1:26" x14ac:dyDescent="0.25">
      <c r="A7" s="54">
        <v>6</v>
      </c>
      <c r="B7" s="1" t="s">
        <v>495</v>
      </c>
      <c r="D7" s="205"/>
      <c r="E7" s="205">
        <v>22</v>
      </c>
      <c r="F7" s="205">
        <v>19</v>
      </c>
      <c r="G7" s="205">
        <v>9</v>
      </c>
      <c r="H7" s="205">
        <v>0</v>
      </c>
      <c r="I7" s="205">
        <v>6</v>
      </c>
      <c r="J7" s="205">
        <v>25</v>
      </c>
      <c r="K7" s="205">
        <v>2</v>
      </c>
      <c r="L7" s="205">
        <v>36</v>
      </c>
      <c r="M7" s="205">
        <v>30</v>
      </c>
      <c r="N7" s="205">
        <v>6</v>
      </c>
      <c r="O7" s="166" t="str">
        <f t="shared" si="0"/>
        <v>22 OZ , 25 (19+6), +6 ±</v>
      </c>
      <c r="P7" s="5" t="str">
        <f t="shared" si="1"/>
        <v>ANO</v>
      </c>
    </row>
    <row r="8" spans="1:26" x14ac:dyDescent="0.25">
      <c r="A8" s="54">
        <v>7</v>
      </c>
      <c r="B8" s="1" t="s">
        <v>499</v>
      </c>
      <c r="D8" s="205"/>
      <c r="E8" s="205">
        <v>21</v>
      </c>
      <c r="F8" s="205">
        <v>13</v>
      </c>
      <c r="G8" s="205">
        <v>0</v>
      </c>
      <c r="H8" s="205">
        <v>0</v>
      </c>
      <c r="I8" s="205">
        <v>7</v>
      </c>
      <c r="J8" s="205">
        <v>20</v>
      </c>
      <c r="K8" s="205">
        <v>4</v>
      </c>
      <c r="L8" s="205">
        <v>25</v>
      </c>
      <c r="M8" s="205">
        <v>17</v>
      </c>
      <c r="N8" s="205">
        <v>8</v>
      </c>
      <c r="O8" s="166" t="str">
        <f t="shared" si="0"/>
        <v>21 OZ , 20 (13+7), +8 ±</v>
      </c>
      <c r="P8" s="5" t="str">
        <f t="shared" si="1"/>
        <v>ANO</v>
      </c>
    </row>
    <row r="9" spans="1:26" x14ac:dyDescent="0.25">
      <c r="A9" s="54">
        <v>8</v>
      </c>
      <c r="B9" s="1" t="s">
        <v>497</v>
      </c>
      <c r="D9" s="205" t="s">
        <v>48</v>
      </c>
      <c r="E9" s="205">
        <v>23</v>
      </c>
      <c r="F9" s="205">
        <v>12</v>
      </c>
      <c r="G9" s="205">
        <v>0</v>
      </c>
      <c r="H9" s="205">
        <v>0</v>
      </c>
      <c r="I9" s="205">
        <v>8</v>
      </c>
      <c r="J9" s="205">
        <v>20</v>
      </c>
      <c r="K9" s="205">
        <v>4</v>
      </c>
      <c r="L9" s="205">
        <v>46</v>
      </c>
      <c r="M9" s="205">
        <v>38</v>
      </c>
      <c r="N9" s="205">
        <v>8</v>
      </c>
      <c r="O9" s="166" t="str">
        <f t="shared" si="0"/>
        <v>23 OZ , 20 (12+8), +8 ±</v>
      </c>
      <c r="P9" s="5" t="str">
        <f t="shared" si="1"/>
        <v>ANO</v>
      </c>
    </row>
    <row r="10" spans="1:26" x14ac:dyDescent="0.25">
      <c r="A10" s="54">
        <v>9</v>
      </c>
      <c r="B10" s="1" t="s">
        <v>498</v>
      </c>
      <c r="D10" s="205" t="s">
        <v>51</v>
      </c>
      <c r="E10" s="205">
        <v>22</v>
      </c>
      <c r="F10" s="205">
        <v>9</v>
      </c>
      <c r="G10" s="205">
        <v>0</v>
      </c>
      <c r="H10" s="205">
        <v>0</v>
      </c>
      <c r="I10" s="205">
        <v>10</v>
      </c>
      <c r="J10" s="205">
        <v>19</v>
      </c>
      <c r="K10" s="205">
        <v>2</v>
      </c>
      <c r="L10" s="205">
        <v>46</v>
      </c>
      <c r="M10" s="205">
        <v>42</v>
      </c>
      <c r="N10" s="205">
        <v>4</v>
      </c>
      <c r="O10" s="166" t="str">
        <f t="shared" si="0"/>
        <v>22 OZ , 19 (9+10), +4 ±</v>
      </c>
      <c r="P10" s="5" t="str">
        <f t="shared" si="1"/>
        <v>ANO</v>
      </c>
    </row>
    <row r="11" spans="1:26" x14ac:dyDescent="0.25">
      <c r="A11" s="54">
        <v>10</v>
      </c>
      <c r="B11" s="1" t="s">
        <v>504</v>
      </c>
      <c r="D11" s="205" t="s">
        <v>48</v>
      </c>
      <c r="E11" s="205">
        <v>21</v>
      </c>
      <c r="F11" s="205">
        <v>3</v>
      </c>
      <c r="G11" s="205">
        <v>0</v>
      </c>
      <c r="H11" s="205">
        <v>0</v>
      </c>
      <c r="I11" s="205">
        <v>9</v>
      </c>
      <c r="J11" s="205">
        <v>12</v>
      </c>
      <c r="K11" s="205">
        <v>2</v>
      </c>
      <c r="L11" s="205">
        <v>26</v>
      </c>
      <c r="M11" s="205">
        <v>29</v>
      </c>
      <c r="N11" s="205">
        <v>-3</v>
      </c>
      <c r="O11" s="166" t="str">
        <f t="shared" si="0"/>
        <v>21 OZ , 12 (3+9), -3 ±</v>
      </c>
      <c r="P11" s="5" t="str">
        <f t="shared" si="1"/>
        <v>ANO</v>
      </c>
    </row>
    <row r="12" spans="1:26" x14ac:dyDescent="0.25">
      <c r="A12" s="54">
        <v>11</v>
      </c>
      <c r="B12" s="1" t="s">
        <v>500</v>
      </c>
      <c r="D12" s="205" t="s">
        <v>48</v>
      </c>
      <c r="E12" s="205">
        <v>20</v>
      </c>
      <c r="F12" s="205">
        <v>8</v>
      </c>
      <c r="G12" s="205">
        <v>0</v>
      </c>
      <c r="H12" s="205">
        <v>0</v>
      </c>
      <c r="I12" s="205">
        <v>3</v>
      </c>
      <c r="J12" s="205">
        <v>11</v>
      </c>
      <c r="K12" s="205">
        <v>4</v>
      </c>
      <c r="L12" s="205">
        <v>15</v>
      </c>
      <c r="M12" s="205">
        <v>9</v>
      </c>
      <c r="N12" s="205">
        <v>6</v>
      </c>
      <c r="O12" s="166" t="str">
        <f t="shared" si="0"/>
        <v>20 OZ , 11 (8+3), +6 ±</v>
      </c>
      <c r="P12" s="5" t="str">
        <f t="shared" si="1"/>
        <v>ANO</v>
      </c>
    </row>
    <row r="13" spans="1:26" x14ac:dyDescent="0.25">
      <c r="A13" s="54">
        <v>12</v>
      </c>
      <c r="B13" s="1" t="s">
        <v>502</v>
      </c>
      <c r="D13" s="205" t="s">
        <v>48</v>
      </c>
      <c r="E13" s="205">
        <v>23</v>
      </c>
      <c r="F13" s="205">
        <v>5</v>
      </c>
      <c r="G13" s="205">
        <v>1</v>
      </c>
      <c r="H13" s="205">
        <v>0</v>
      </c>
      <c r="I13" s="205">
        <v>6</v>
      </c>
      <c r="J13" s="205">
        <v>11</v>
      </c>
      <c r="K13" s="205">
        <v>2</v>
      </c>
      <c r="L13" s="205">
        <v>38</v>
      </c>
      <c r="M13" s="205">
        <v>35</v>
      </c>
      <c r="N13" s="205">
        <v>3</v>
      </c>
      <c r="O13" s="166" t="str">
        <f t="shared" si="0"/>
        <v>23 OZ , 11 (5+6), +3 ±</v>
      </c>
      <c r="P13" s="5" t="str">
        <f t="shared" si="1"/>
        <v>ANO</v>
      </c>
    </row>
    <row r="14" spans="1:26" x14ac:dyDescent="0.25">
      <c r="A14" s="54">
        <v>13</v>
      </c>
      <c r="B14" s="1" t="s">
        <v>501</v>
      </c>
      <c r="D14" s="205" t="s">
        <v>51</v>
      </c>
      <c r="E14" s="205">
        <v>11</v>
      </c>
      <c r="F14" s="205">
        <v>4</v>
      </c>
      <c r="G14" s="205">
        <v>0</v>
      </c>
      <c r="H14" s="205">
        <v>0</v>
      </c>
      <c r="I14" s="205">
        <v>5</v>
      </c>
      <c r="J14" s="205">
        <v>9</v>
      </c>
      <c r="K14" s="205">
        <v>0</v>
      </c>
      <c r="L14" s="205">
        <v>17</v>
      </c>
      <c r="M14" s="205">
        <v>14</v>
      </c>
      <c r="N14" s="205">
        <v>3</v>
      </c>
      <c r="O14" s="166" t="str">
        <f t="shared" si="0"/>
        <v>11 OZ , 9 (4+5), +3 ±</v>
      </c>
      <c r="P14" s="5" t="str">
        <f t="shared" si="1"/>
        <v>ANO</v>
      </c>
    </row>
    <row r="15" spans="1:26" x14ac:dyDescent="0.25">
      <c r="A15" s="54">
        <v>14</v>
      </c>
      <c r="B15" s="1" t="s">
        <v>505</v>
      </c>
      <c r="D15" s="205" t="s">
        <v>48</v>
      </c>
      <c r="E15" s="205">
        <v>23</v>
      </c>
      <c r="F15" s="205">
        <v>2</v>
      </c>
      <c r="G15" s="205">
        <v>0</v>
      </c>
      <c r="H15" s="205">
        <v>1</v>
      </c>
      <c r="I15" s="205">
        <v>5</v>
      </c>
      <c r="J15" s="205">
        <v>7</v>
      </c>
      <c r="K15" s="205">
        <v>2</v>
      </c>
      <c r="L15" s="205">
        <v>45</v>
      </c>
      <c r="M15" s="205">
        <v>44</v>
      </c>
      <c r="N15" s="205">
        <v>1</v>
      </c>
      <c r="O15" s="166" t="str">
        <f t="shared" si="0"/>
        <v>23 OZ , 7 (2+5), +1 ±</v>
      </c>
      <c r="P15" s="5" t="str">
        <f t="shared" si="1"/>
        <v>ANO</v>
      </c>
    </row>
    <row r="16" spans="1:26" x14ac:dyDescent="0.25">
      <c r="A16" s="54">
        <v>15</v>
      </c>
      <c r="B16" s="1" t="s">
        <v>503</v>
      </c>
      <c r="D16" s="205" t="s">
        <v>51</v>
      </c>
      <c r="E16" s="205">
        <v>18</v>
      </c>
      <c r="F16" s="205">
        <v>4</v>
      </c>
      <c r="G16" s="205">
        <v>0</v>
      </c>
      <c r="H16" s="205">
        <v>0</v>
      </c>
      <c r="I16" s="205">
        <v>1</v>
      </c>
      <c r="J16" s="205">
        <v>5</v>
      </c>
      <c r="K16" s="205">
        <v>0</v>
      </c>
      <c r="L16" s="205">
        <v>20</v>
      </c>
      <c r="M16" s="205">
        <v>10</v>
      </c>
      <c r="N16" s="205">
        <v>10</v>
      </c>
      <c r="O16" s="166" t="str">
        <f t="shared" si="0"/>
        <v>18 OZ , 5 (4+1), +10 ±</v>
      </c>
      <c r="P16" s="5" t="str">
        <f t="shared" si="1"/>
        <v>ANO</v>
      </c>
    </row>
    <row r="17" spans="1:16" x14ac:dyDescent="0.25">
      <c r="A17" s="54">
        <v>16</v>
      </c>
      <c r="B17" s="1" t="s">
        <v>507</v>
      </c>
      <c r="D17" s="205"/>
      <c r="E17" s="205">
        <v>12</v>
      </c>
      <c r="F17" s="205">
        <v>3</v>
      </c>
      <c r="G17" s="205">
        <v>0</v>
      </c>
      <c r="H17" s="205">
        <v>0</v>
      </c>
      <c r="I17" s="205">
        <v>2</v>
      </c>
      <c r="J17" s="205">
        <v>5</v>
      </c>
      <c r="K17" s="205">
        <v>2</v>
      </c>
      <c r="L17" s="205">
        <v>15</v>
      </c>
      <c r="M17" s="205">
        <v>7</v>
      </c>
      <c r="N17" s="205">
        <v>8</v>
      </c>
      <c r="O17" s="166" t="str">
        <f t="shared" si="0"/>
        <v>12 OZ , 5 (3+2), +8 ±</v>
      </c>
      <c r="P17" s="5" t="str">
        <f t="shared" si="1"/>
        <v>ANO</v>
      </c>
    </row>
    <row r="18" spans="1:16" x14ac:dyDescent="0.25">
      <c r="A18" s="54">
        <v>17</v>
      </c>
      <c r="B18" s="1" t="s">
        <v>509</v>
      </c>
      <c r="D18" s="205"/>
      <c r="E18" s="205">
        <v>13</v>
      </c>
      <c r="F18" s="205">
        <v>2</v>
      </c>
      <c r="G18" s="205">
        <v>0</v>
      </c>
      <c r="H18" s="205">
        <v>0</v>
      </c>
      <c r="I18" s="205">
        <v>1</v>
      </c>
      <c r="J18" s="205">
        <v>3</v>
      </c>
      <c r="K18" s="205">
        <v>0</v>
      </c>
      <c r="L18" s="205">
        <v>12</v>
      </c>
      <c r="M18" s="205">
        <v>8</v>
      </c>
      <c r="N18" s="205">
        <v>4</v>
      </c>
      <c r="O18" s="166" t="str">
        <f t="shared" si="0"/>
        <v>13 OZ , 3 (2+1), +4 ±</v>
      </c>
      <c r="P18" s="5" t="str">
        <f t="shared" si="1"/>
        <v>ANO</v>
      </c>
    </row>
    <row r="19" spans="1:16" x14ac:dyDescent="0.25">
      <c r="A19" s="54">
        <v>18</v>
      </c>
      <c r="B19" s="1" t="s">
        <v>512</v>
      </c>
      <c r="D19" s="205" t="s">
        <v>51</v>
      </c>
      <c r="E19" s="205">
        <v>19</v>
      </c>
      <c r="F19" s="205">
        <v>2</v>
      </c>
      <c r="G19" s="205">
        <v>0</v>
      </c>
      <c r="H19" s="205">
        <v>0</v>
      </c>
      <c r="I19" s="205">
        <v>1</v>
      </c>
      <c r="J19" s="205">
        <v>3</v>
      </c>
      <c r="K19" s="205">
        <v>0</v>
      </c>
      <c r="L19" s="205">
        <v>12</v>
      </c>
      <c r="M19" s="205">
        <v>11</v>
      </c>
      <c r="N19" s="205">
        <v>1</v>
      </c>
      <c r="O19" s="166" t="str">
        <f t="shared" si="0"/>
        <v>19 OZ , 3 (2+1), +1 ±</v>
      </c>
      <c r="P19" s="5" t="str">
        <f t="shared" si="1"/>
        <v>ANO</v>
      </c>
    </row>
    <row r="20" spans="1:16" x14ac:dyDescent="0.25">
      <c r="A20" s="54">
        <v>19</v>
      </c>
      <c r="B20" s="1" t="s">
        <v>510</v>
      </c>
      <c r="D20" s="205"/>
      <c r="E20" s="205">
        <v>17</v>
      </c>
      <c r="F20" s="205">
        <v>2</v>
      </c>
      <c r="G20" s="205">
        <v>0</v>
      </c>
      <c r="H20" s="205">
        <v>0</v>
      </c>
      <c r="I20" s="205">
        <v>0</v>
      </c>
      <c r="J20" s="205">
        <v>2</v>
      </c>
      <c r="K20" s="205">
        <v>2</v>
      </c>
      <c r="L20" s="205">
        <v>4</v>
      </c>
      <c r="M20" s="205">
        <v>5</v>
      </c>
      <c r="N20" s="205">
        <v>-1</v>
      </c>
      <c r="O20" s="166" t="str">
        <f t="shared" si="0"/>
        <v>17 OZ , 2 (2+0), -1 ±</v>
      </c>
      <c r="P20" s="5" t="str">
        <f t="shared" si="1"/>
        <v>ANO</v>
      </c>
    </row>
    <row r="21" spans="1:16" x14ac:dyDescent="0.25">
      <c r="A21" s="54">
        <v>20</v>
      </c>
      <c r="B21" s="1" t="s">
        <v>506</v>
      </c>
      <c r="D21" s="205"/>
      <c r="E21" s="205">
        <v>2</v>
      </c>
      <c r="F21" s="205">
        <v>1</v>
      </c>
      <c r="G21" s="205">
        <v>0</v>
      </c>
      <c r="H21" s="205">
        <v>0</v>
      </c>
      <c r="I21" s="205">
        <v>1</v>
      </c>
      <c r="J21" s="205">
        <v>2</v>
      </c>
      <c r="K21" s="205">
        <v>0</v>
      </c>
      <c r="L21" s="205">
        <v>6</v>
      </c>
      <c r="M21" s="205">
        <v>3</v>
      </c>
      <c r="N21" s="205">
        <v>3</v>
      </c>
      <c r="O21" s="166" t="str">
        <f t="shared" si="0"/>
        <v>2 OZ , 2 (1+1), +3 ±</v>
      </c>
      <c r="P21" s="5" t="str">
        <f t="shared" si="1"/>
        <v>ANO</v>
      </c>
    </row>
    <row r="22" spans="1:16" x14ac:dyDescent="0.25">
      <c r="A22" s="54">
        <v>21</v>
      </c>
      <c r="B22" s="1" t="s">
        <v>508</v>
      </c>
      <c r="D22" s="205" t="s">
        <v>48</v>
      </c>
      <c r="E22" s="205">
        <v>1</v>
      </c>
      <c r="F22" s="205">
        <v>1</v>
      </c>
      <c r="G22" s="205">
        <v>0</v>
      </c>
      <c r="H22" s="205">
        <v>0</v>
      </c>
      <c r="I22" s="205">
        <v>0</v>
      </c>
      <c r="J22" s="205">
        <v>1</v>
      </c>
      <c r="K22" s="205">
        <v>0</v>
      </c>
      <c r="L22" s="205">
        <v>5</v>
      </c>
      <c r="M22" s="205">
        <v>2</v>
      </c>
      <c r="N22" s="205">
        <v>3</v>
      </c>
      <c r="O22" s="166" t="str">
        <f t="shared" si="0"/>
        <v>1 OZ , 1 (1+0), +3 ±</v>
      </c>
      <c r="P22" s="5" t="str">
        <f t="shared" si="1"/>
        <v>ANO</v>
      </c>
    </row>
    <row r="23" spans="1:16" x14ac:dyDescent="0.25">
      <c r="A23" s="54">
        <v>22</v>
      </c>
      <c r="B23" s="1" t="s">
        <v>0</v>
      </c>
      <c r="D23" s="205" t="s">
        <v>48</v>
      </c>
      <c r="E23" s="205">
        <v>4</v>
      </c>
      <c r="F23" s="205">
        <v>0</v>
      </c>
      <c r="G23" s="205">
        <v>0</v>
      </c>
      <c r="H23" s="205">
        <v>0</v>
      </c>
      <c r="I23" s="205">
        <v>1</v>
      </c>
      <c r="J23" s="205">
        <v>1</v>
      </c>
      <c r="K23" s="205">
        <v>0</v>
      </c>
      <c r="L23" s="205">
        <v>1</v>
      </c>
      <c r="M23" s="205">
        <v>0</v>
      </c>
      <c r="N23" s="205">
        <v>1</v>
      </c>
      <c r="O23" s="166" t="str">
        <f t="shared" si="0"/>
        <v>4 OZ , 1 (0+1), +1 ±</v>
      </c>
      <c r="P23" s="5" t="str">
        <f t="shared" si="1"/>
        <v>ANO</v>
      </c>
    </row>
    <row r="24" spans="1:16" x14ac:dyDescent="0.25">
      <c r="A24" s="53">
        <v>23</v>
      </c>
      <c r="B24" s="4" t="s">
        <v>511</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513</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514</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516</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515</v>
      </c>
      <c r="C28" s="4"/>
      <c r="D28" s="5" t="s">
        <v>48</v>
      </c>
      <c r="E28" s="5">
        <v>20</v>
      </c>
      <c r="F28" s="5">
        <v>0</v>
      </c>
      <c r="G28" s="5">
        <v>0</v>
      </c>
      <c r="H28" s="5">
        <v>0</v>
      </c>
      <c r="I28" s="5">
        <v>0</v>
      </c>
      <c r="J28" s="5">
        <v>0</v>
      </c>
      <c r="K28" s="5">
        <v>4</v>
      </c>
      <c r="L28" s="5">
        <v>10</v>
      </c>
      <c r="M28" s="5">
        <v>9</v>
      </c>
      <c r="N28" s="5">
        <v>1</v>
      </c>
      <c r="O28" s="166" t="str">
        <f t="shared" si="0"/>
        <v>20 OZ , 0 (0+0), +1 ±</v>
      </c>
      <c r="P28" s="5" t="str">
        <f t="shared" si="1"/>
        <v>ANO</v>
      </c>
    </row>
    <row r="29" spans="1:16" ht="15" customHeight="1" x14ac:dyDescent="0.25">
      <c r="A29" s="53">
        <v>28</v>
      </c>
      <c r="B29" s="4" t="s">
        <v>517</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517</v>
      </c>
      <c r="C39"/>
      <c r="D39" s="190">
        <v>22</v>
      </c>
      <c r="E39" s="190">
        <v>20</v>
      </c>
      <c r="F39" s="190">
        <v>1186.54</v>
      </c>
      <c r="G39" s="190">
        <v>12</v>
      </c>
      <c r="H39" s="190">
        <v>104</v>
      </c>
      <c r="I39" s="190">
        <v>0</v>
      </c>
      <c r="J39" s="190">
        <v>488</v>
      </c>
      <c r="K39" s="190">
        <v>0</v>
      </c>
      <c r="L39" s="190">
        <v>8</v>
      </c>
      <c r="M39" s="190">
        <v>384</v>
      </c>
      <c r="N39" s="190">
        <v>0</v>
      </c>
      <c r="O39" s="190">
        <v>0</v>
      </c>
      <c r="P39" s="11">
        <f>IF(B39&lt;&gt;0,IFERROR(H39/(F39/60),0),"")</f>
        <v>5.2589883189778686</v>
      </c>
      <c r="Q39" s="11">
        <f>IF(B39&lt;&gt;0,IFERROR((M39/J39)*100,0),"")</f>
        <v>78.688524590163937</v>
      </c>
      <c r="R39" s="166" t="str">
        <f>IF(B39&lt;&gt;0,CONCATENATE(G39, " V, ",L39," P"),"")</f>
        <v>12 V, 8 P</v>
      </c>
    </row>
    <row r="40" spans="1:27" x14ac:dyDescent="0.25">
      <c r="A40" s="54">
        <v>2</v>
      </c>
      <c r="B40" t="s">
        <v>511</v>
      </c>
      <c r="C40"/>
      <c r="D40" s="190">
        <v>5</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516</v>
      </c>
      <c r="C41"/>
      <c r="D41" s="190">
        <v>19</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81" t="s">
        <v>290</v>
      </c>
      <c r="Y46" s="381"/>
      <c r="Z46" s="381"/>
      <c r="AA46" s="381"/>
    </row>
    <row r="47" spans="1:27" s="167" customFormat="1" ht="15" customHeight="1" x14ac:dyDescent="0.25">
      <c r="A47" s="7">
        <f ca="1">TODAY()</f>
        <v>44244</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478</v>
      </c>
    </row>
    <row r="48" spans="1:27" ht="15" customHeight="1" x14ac:dyDescent="0.25">
      <c r="B48" s="1" t="s">
        <v>496</v>
      </c>
      <c r="C48" s="137">
        <v>36990</v>
      </c>
      <c r="D48" s="166">
        <f t="shared" ref="D48:D75" ca="1" si="5">IF(C48 &lt;&gt; 0,ROUNDDOWN(($A$47-C48)/365.25,0),"")</f>
        <v>19</v>
      </c>
      <c r="E48" s="139">
        <v>46</v>
      </c>
      <c r="F48" s="139">
        <v>43</v>
      </c>
      <c r="G48" s="139">
        <v>22</v>
      </c>
      <c r="H48" s="166">
        <f t="shared" ref="H48:H75" si="6">IF(B48&lt;&gt;0,F48+G48,"")</f>
        <v>65</v>
      </c>
      <c r="I48" s="139">
        <v>3</v>
      </c>
      <c r="J48" s="139">
        <v>21</v>
      </c>
      <c r="K48" s="139"/>
      <c r="L48" s="139" t="s">
        <v>78</v>
      </c>
      <c r="M48" s="139">
        <v>183</v>
      </c>
      <c r="N48" s="139">
        <v>67</v>
      </c>
      <c r="O48" s="166" t="str">
        <f t="shared" ref="O48:O75" si="7">IF(B48&lt;&gt;0,CONCATENATE(E48+IFERROR(VLOOKUP(B48,$B$2:$N$36,4,FALSE),0) + X48, " OZ, ", H48+IFERROR(VLOOKUP(B48,$B$2:$N$36,9,FALSE),0) + Y48+Z48, " (", F48+IFERROR(VLOOKUP(B48,$B$2:$N$36,5,FALSE),0) + Y48, "+",G48+IFERROR(VLOOKUP(B48,$B$2:$N$36,8,FALSE),0) +  Z48, ")"), "")</f>
        <v>69 OZ, 93 (62+31)</v>
      </c>
      <c r="P48" s="166" t="str">
        <f t="shared" ref="P48:P75" si="8">IF(M48&lt;&gt;0,CONCATENATE(M48,"/",N48),"")</f>
        <v>183/67</v>
      </c>
      <c r="Q48" s="140" t="s">
        <v>107</v>
      </c>
      <c r="R48" s="139">
        <v>2006</v>
      </c>
      <c r="S48" s="166"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6">
        <f t="shared" ref="V48:V75" si="12">IF(B48&lt;&gt;0,COUNTIF($U$48:$U$82,U48),"")</f>
        <v>1</v>
      </c>
      <c r="W48" s="166" t="str">
        <f t="shared" ref="W48:W75"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504</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241 OZ, 134 (69+65)</v>
      </c>
      <c r="P50" s="166" t="str">
        <f t="shared" si="8"/>
        <v>184/84</v>
      </c>
      <c r="Q50" s="140" t="s">
        <v>602</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503</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102 OZ, 30 (15+15)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508</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600</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514</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491</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139 OZ, 72 (31+41)</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500</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136 OZ, 36 (25+11)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516</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509</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13 OZ, 3 (2+1)</v>
      </c>
      <c r="P57" s="166" t="str">
        <f t="shared" si="8"/>
        <v>180/65</v>
      </c>
      <c r="Q57" s="140" t="s">
        <v>601</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506</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501</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601</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510</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17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505</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493</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114 OZ, 161 (79+82)</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515</v>
      </c>
      <c r="C63" s="137">
        <v>32940</v>
      </c>
      <c r="D63" s="166">
        <f t="shared" ca="1" si="5"/>
        <v>30</v>
      </c>
      <c r="E63" s="139">
        <v>155</v>
      </c>
      <c r="F63" s="139">
        <v>32</v>
      </c>
      <c r="G63" s="139">
        <v>36</v>
      </c>
      <c r="H63" s="166">
        <f t="shared" si="6"/>
        <v>68</v>
      </c>
      <c r="I63" s="139">
        <v>10</v>
      </c>
      <c r="J63" s="139">
        <v>39</v>
      </c>
      <c r="K63" s="139"/>
      <c r="L63" s="139" t="s">
        <v>41</v>
      </c>
      <c r="M63" s="139">
        <v>184</v>
      </c>
      <c r="N63" s="139">
        <v>90</v>
      </c>
      <c r="O63" s="166" t="str">
        <f t="shared" si="7"/>
        <v>175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492</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23 OZ, 28 (12+16)</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517</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603</v>
      </c>
      <c r="R65" s="139">
        <v>2000</v>
      </c>
      <c r="S65" s="166" t="str">
        <f t="shared" si="9"/>
        <v>192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513</v>
      </c>
      <c r="C66" s="137">
        <v>37315</v>
      </c>
      <c r="D66" s="166">
        <f t="shared" ca="1" si="5"/>
        <v>18</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604</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494</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30 OZ, 39 (26+13)</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507</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12 OZ, 5 (3+2)</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512</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207 OZ, 100 (44+56)</v>
      </c>
      <c r="P69" s="166" t="str">
        <f t="shared" si="8"/>
        <v>175/85</v>
      </c>
      <c r="Q69" s="140" t="s">
        <v>598</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495</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185 OZ, 244 (154+90)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498</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92 OZ, 90 (46+44)</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1" t="s">
        <v>499</v>
      </c>
      <c r="C72" s="137">
        <v>37331</v>
      </c>
      <c r="D72" s="166">
        <f t="shared" ca="1" si="5"/>
        <v>18</v>
      </c>
      <c r="E72" s="139">
        <v>13</v>
      </c>
      <c r="F72" s="139">
        <v>1</v>
      </c>
      <c r="G72" s="139">
        <v>1</v>
      </c>
      <c r="H72" s="166">
        <f t="shared" si="6"/>
        <v>2</v>
      </c>
      <c r="I72" s="139">
        <v>2</v>
      </c>
      <c r="J72" s="139">
        <v>99</v>
      </c>
      <c r="K72" s="139"/>
      <c r="L72" s="139" t="s">
        <v>78</v>
      </c>
      <c r="M72" s="139">
        <v>180</v>
      </c>
      <c r="N72" s="139">
        <v>71</v>
      </c>
      <c r="O72" s="166" t="str">
        <f t="shared" si="7"/>
        <v>34 OZ, 22 (14+8)</v>
      </c>
      <c r="P72" s="166" t="str">
        <f t="shared" si="8"/>
        <v>180/71</v>
      </c>
      <c r="Q72" s="140" t="s">
        <v>599</v>
      </c>
      <c r="R72" s="139" t="s">
        <v>30</v>
      </c>
      <c r="S72" s="166" t="str">
        <f t="shared" si="9"/>
        <v/>
      </c>
      <c r="T72" s="1" t="str">
        <f t="shared" si="10"/>
        <v>Tomčo</v>
      </c>
      <c r="U72" s="1" t="str">
        <f t="shared" si="11"/>
        <v>Tomčo</v>
      </c>
      <c r="V72" s="166">
        <f t="shared" si="12"/>
        <v>1</v>
      </c>
      <c r="W72" s="166" t="str">
        <f t="shared" si="13"/>
        <v>I</v>
      </c>
      <c r="X72" s="139"/>
      <c r="Y72" s="139"/>
      <c r="Z72" s="139"/>
      <c r="AA72" s="138"/>
    </row>
    <row r="73" spans="2:27" ht="15" customHeight="1" x14ac:dyDescent="0.25">
      <c r="B73" s="1" t="s">
        <v>497</v>
      </c>
      <c r="C73" s="137">
        <v>37356</v>
      </c>
      <c r="D73" s="166">
        <f t="shared" ca="1" si="5"/>
        <v>18</v>
      </c>
      <c r="E73" s="139">
        <v>22</v>
      </c>
      <c r="F73" s="139">
        <v>2</v>
      </c>
      <c r="G73" s="139">
        <v>2</v>
      </c>
      <c r="H73" s="166">
        <f t="shared" si="6"/>
        <v>4</v>
      </c>
      <c r="I73" s="139">
        <v>2</v>
      </c>
      <c r="J73" s="139">
        <v>13</v>
      </c>
      <c r="K73" s="139"/>
      <c r="L73" s="139" t="s">
        <v>41</v>
      </c>
      <c r="M73" s="139">
        <v>179</v>
      </c>
      <c r="N73" s="139">
        <v>73</v>
      </c>
      <c r="O73" s="166" t="str">
        <f t="shared" si="7"/>
        <v>45 OZ, 24 (14+10)</v>
      </c>
      <c r="P73" s="166" t="str">
        <f t="shared" si="8"/>
        <v>179/73</v>
      </c>
      <c r="Q73" s="140" t="s">
        <v>285</v>
      </c>
      <c r="R73" s="139" t="s">
        <v>30</v>
      </c>
      <c r="S73" s="166" t="str">
        <f t="shared" si="9"/>
        <v/>
      </c>
      <c r="T73" s="1" t="str">
        <f t="shared" si="10"/>
        <v>Vojtíšek</v>
      </c>
      <c r="U73" s="1" t="str">
        <f t="shared" si="11"/>
        <v>Vojtíšek</v>
      </c>
      <c r="V73" s="166">
        <f t="shared" si="12"/>
        <v>1</v>
      </c>
      <c r="W73" s="166" t="str">
        <f t="shared" si="13"/>
        <v>M</v>
      </c>
      <c r="X73" s="139"/>
      <c r="Y73" s="139"/>
      <c r="Z73" s="139"/>
      <c r="AA73" s="138"/>
    </row>
    <row r="74" spans="2:27" ht="15" customHeight="1" x14ac:dyDescent="0.25">
      <c r="B74" s="1" t="s">
        <v>511</v>
      </c>
      <c r="C74" s="137">
        <v>37384</v>
      </c>
      <c r="D74" s="166">
        <f t="shared" ca="1" si="5"/>
        <v>18</v>
      </c>
      <c r="E74" s="139">
        <v>7</v>
      </c>
      <c r="F74" s="139">
        <v>0</v>
      </c>
      <c r="G74" s="139">
        <v>1</v>
      </c>
      <c r="H74" s="166">
        <f t="shared" si="6"/>
        <v>1</v>
      </c>
      <c r="I74" s="139">
        <v>2</v>
      </c>
      <c r="J74" s="139">
        <v>94</v>
      </c>
      <c r="K74" s="139"/>
      <c r="L74" s="139" t="s">
        <v>30</v>
      </c>
      <c r="M74" s="139">
        <v>173</v>
      </c>
      <c r="N74" s="139">
        <v>70</v>
      </c>
      <c r="O74" s="166" t="str">
        <f t="shared" si="7"/>
        <v>7 OZ, 2 (0+2)</v>
      </c>
      <c r="P74" s="166" t="str">
        <f t="shared" si="8"/>
        <v>173/70</v>
      </c>
      <c r="Q74" s="140" t="s">
        <v>107</v>
      </c>
      <c r="R74" s="139" t="s">
        <v>30</v>
      </c>
      <c r="S74" s="166" t="str">
        <f t="shared" si="9"/>
        <v>10 OZ, 2 A</v>
      </c>
      <c r="T74" s="1" t="str">
        <f t="shared" si="10"/>
        <v>Zavřel</v>
      </c>
      <c r="U74" s="1" t="str">
        <f t="shared" si="11"/>
        <v>Zavřel</v>
      </c>
      <c r="V74" s="166">
        <f t="shared" si="12"/>
        <v>1</v>
      </c>
      <c r="W74" s="166" t="str">
        <f t="shared" si="13"/>
        <v>J</v>
      </c>
      <c r="X74" s="139"/>
      <c r="Y74" s="139"/>
      <c r="Z74" s="139"/>
      <c r="AA74" s="138"/>
    </row>
    <row r="75" spans="2:27" ht="15" customHeight="1" x14ac:dyDescent="0.25">
      <c r="B75" s="1" t="s">
        <v>502</v>
      </c>
      <c r="C75" s="137">
        <v>33195</v>
      </c>
      <c r="D75" s="166">
        <f t="shared" ca="1" si="5"/>
        <v>30</v>
      </c>
      <c r="E75" s="139">
        <v>250</v>
      </c>
      <c r="F75" s="139">
        <v>23</v>
      </c>
      <c r="G75" s="139">
        <v>47</v>
      </c>
      <c r="H75" s="166">
        <f t="shared" si="6"/>
        <v>70</v>
      </c>
      <c r="I75" s="139">
        <v>13</v>
      </c>
      <c r="J75" s="139">
        <v>3</v>
      </c>
      <c r="K75" s="139" t="s">
        <v>222</v>
      </c>
      <c r="L75" s="139" t="s">
        <v>78</v>
      </c>
      <c r="M75" s="139">
        <v>186</v>
      </c>
      <c r="N75" s="139">
        <v>88</v>
      </c>
      <c r="O75" s="166" t="str">
        <f t="shared" si="7"/>
        <v>273 OZ, 81 (28+53)</v>
      </c>
      <c r="P75" s="166" t="str">
        <f t="shared" si="8"/>
        <v>186/88</v>
      </c>
      <c r="Q75" s="140" t="s">
        <v>605</v>
      </c>
      <c r="R75" s="139" t="s">
        <v>30</v>
      </c>
      <c r="S75" s="166" t="str">
        <f t="shared" si="9"/>
        <v/>
      </c>
      <c r="T75" s="1" t="str">
        <f t="shared" si="10"/>
        <v>Zezulka</v>
      </c>
      <c r="U75" s="1" t="str">
        <f t="shared" si="11"/>
        <v>Zezulka</v>
      </c>
      <c r="V75" s="166">
        <f t="shared" si="12"/>
        <v>1</v>
      </c>
      <c r="W75" s="166" t="str">
        <f t="shared" si="13"/>
        <v>V</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44244</v>
      </c>
      <c r="B84" s="167" t="s">
        <v>59</v>
      </c>
      <c r="C84" s="167" t="s">
        <v>66</v>
      </c>
      <c r="D84" s="167" t="s">
        <v>67</v>
      </c>
      <c r="E84" s="382" t="s">
        <v>94</v>
      </c>
      <c r="F84" s="382"/>
      <c r="G84" s="382" t="s">
        <v>100</v>
      </c>
      <c r="H84" s="382"/>
      <c r="I84" s="382"/>
      <c r="J84" s="382"/>
      <c r="K84" s="382"/>
      <c r="Q84" s="9"/>
    </row>
    <row r="85" spans="1:27" ht="30" customHeight="1" x14ac:dyDescent="0.25">
      <c r="B85" s="138" t="s">
        <v>607</v>
      </c>
      <c r="C85" s="137">
        <v>29350</v>
      </c>
      <c r="D85" s="166">
        <f ca="1">IF(B85&lt;&gt;0,ROUNDDOWN(($A$84-C85)/365.25,0),"")</f>
        <v>40</v>
      </c>
      <c r="E85" s="380" t="s">
        <v>188</v>
      </c>
      <c r="F85" s="380"/>
      <c r="G85" s="380" t="s">
        <v>608</v>
      </c>
      <c r="H85" s="380"/>
      <c r="I85" s="380"/>
      <c r="J85" s="380"/>
      <c r="K85" s="380"/>
    </row>
    <row r="86" spans="1:27" ht="30" customHeight="1" x14ac:dyDescent="0.25">
      <c r="B86" s="138" t="s">
        <v>609</v>
      </c>
      <c r="C86" s="137">
        <v>33849</v>
      </c>
      <c r="D86" s="166">
        <f t="shared" ref="D86:D92" ca="1" si="23">IF(B86&lt;&gt;0,ROUNDDOWN(($A$84-C86)/365.25,0),"")</f>
        <v>28</v>
      </c>
      <c r="E86" s="380" t="s">
        <v>191</v>
      </c>
      <c r="F86" s="380"/>
      <c r="G86" s="380" t="s">
        <v>610</v>
      </c>
      <c r="H86" s="380"/>
      <c r="I86" s="380"/>
      <c r="J86" s="380"/>
      <c r="K86" s="380"/>
    </row>
    <row r="87" spans="1:27" ht="30" customHeight="1" x14ac:dyDescent="0.25">
      <c r="B87" s="138" t="s">
        <v>611</v>
      </c>
      <c r="C87" s="137">
        <v>28301</v>
      </c>
      <c r="D87" s="166">
        <f t="shared" ca="1" si="23"/>
        <v>43</v>
      </c>
      <c r="E87" s="380" t="s">
        <v>191</v>
      </c>
      <c r="F87" s="380"/>
      <c r="G87" s="380" t="s">
        <v>30</v>
      </c>
      <c r="H87" s="380"/>
      <c r="I87" s="380"/>
      <c r="J87" s="380"/>
      <c r="K87" s="380"/>
    </row>
    <row r="88" spans="1:27" ht="30" customHeight="1" x14ac:dyDescent="0.25">
      <c r="B88" s="138" t="s">
        <v>612</v>
      </c>
      <c r="C88" s="137">
        <v>24059</v>
      </c>
      <c r="D88" s="166">
        <f t="shared" ca="1" si="23"/>
        <v>55</v>
      </c>
      <c r="E88" s="380" t="s">
        <v>278</v>
      </c>
      <c r="F88" s="380"/>
      <c r="G88" s="380" t="s">
        <v>30</v>
      </c>
      <c r="H88" s="380"/>
      <c r="I88" s="380"/>
      <c r="J88" s="380"/>
      <c r="K88" s="380"/>
    </row>
    <row r="89" spans="1:27" ht="30" customHeight="1" x14ac:dyDescent="0.25">
      <c r="B89" s="138" t="s">
        <v>613</v>
      </c>
      <c r="C89" s="137">
        <v>33657</v>
      </c>
      <c r="D89" s="166">
        <f t="shared" ca="1" si="23"/>
        <v>28</v>
      </c>
      <c r="E89" s="380" t="s">
        <v>326</v>
      </c>
      <c r="F89" s="380"/>
      <c r="G89" s="380" t="s">
        <v>30</v>
      </c>
      <c r="H89" s="380"/>
      <c r="I89" s="380"/>
      <c r="J89" s="380"/>
      <c r="K89" s="380"/>
    </row>
    <row r="90" spans="1:27" ht="30" customHeight="1" x14ac:dyDescent="0.25">
      <c r="B90" s="138"/>
      <c r="C90" s="138"/>
      <c r="D90" s="166" t="str">
        <f t="shared" si="23"/>
        <v/>
      </c>
      <c r="E90" s="380"/>
      <c r="F90" s="380"/>
      <c r="G90" s="380"/>
      <c r="H90" s="380"/>
      <c r="I90" s="380"/>
      <c r="J90" s="380"/>
      <c r="K90" s="380"/>
    </row>
    <row r="91" spans="1:27" ht="30" customHeight="1" x14ac:dyDescent="0.25">
      <c r="B91" s="138"/>
      <c r="C91" s="138"/>
      <c r="D91" s="166" t="str">
        <f t="shared" si="23"/>
        <v/>
      </c>
      <c r="E91" s="380"/>
      <c r="F91" s="380"/>
      <c r="G91" s="380"/>
      <c r="H91" s="380"/>
      <c r="I91" s="380"/>
      <c r="J91" s="380"/>
      <c r="K91" s="380"/>
    </row>
    <row r="92" spans="1:27" ht="30" customHeight="1" x14ac:dyDescent="0.25">
      <c r="B92" s="138"/>
      <c r="C92" s="138"/>
      <c r="D92" s="166" t="str">
        <f t="shared" si="23"/>
        <v/>
      </c>
      <c r="E92" s="380"/>
      <c r="F92" s="380"/>
      <c r="G92" s="380"/>
      <c r="H92" s="380"/>
      <c r="I92" s="380"/>
      <c r="J92" s="380"/>
      <c r="K92" s="380"/>
    </row>
  </sheetData>
  <sheetProtection algorithmName="SHA-512" hashValue="4mOpc2146nf8WZDoVIbksfdB2oGKxR3YtiUlf0n5xBrsanmRJ+kgTAolvuthx9sHJjYWmGeuTsF1jhdN6lVgyg==" saltValue="gmnnGvAkciK9AsvfjOzXww=="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91" priority="1" operator="containsText" text="ANO">
      <formula>NOT(ISERROR(SEARCH("ANO",P2)))</formula>
    </cfRule>
    <cfRule type="containsText" dxfId="9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382" t="s">
        <v>36</v>
      </c>
      <c r="B1" s="1" t="s">
        <v>518</v>
      </c>
      <c r="C1" s="205">
        <v>47</v>
      </c>
      <c r="D1" s="383" t="str">
        <f t="shared" ref="D1:D30" si="0">IFERROR(RIGHT(B1,LEN(B1)-SEARCH(" ",B1)),"")</f>
        <v>Filip Forman</v>
      </c>
      <c r="E1" s="383"/>
      <c r="F1" s="166"/>
    </row>
    <row r="2" spans="1:6" x14ac:dyDescent="0.25">
      <c r="A2" s="382"/>
      <c r="B2" s="1" t="s">
        <v>718</v>
      </c>
      <c r="C2" s="205">
        <v>38</v>
      </c>
      <c r="D2" s="383" t="str">
        <f t="shared" si="0"/>
        <v>Matěj Pěnička</v>
      </c>
      <c r="E2" s="383"/>
      <c r="F2" s="166"/>
    </row>
    <row r="3" spans="1:6" x14ac:dyDescent="0.25">
      <c r="A3" s="382"/>
      <c r="B3" s="1" t="s">
        <v>719</v>
      </c>
      <c r="C3" s="205">
        <v>37</v>
      </c>
      <c r="D3" s="383" t="str">
        <f t="shared" si="0"/>
        <v>Matyáš Krebner</v>
      </c>
      <c r="E3" s="383"/>
      <c r="F3" s="166"/>
    </row>
    <row r="4" spans="1:6" x14ac:dyDescent="0.25">
      <c r="A4" s="382"/>
      <c r="B4" s="1" t="s">
        <v>626</v>
      </c>
      <c r="C4" s="205">
        <v>28</v>
      </c>
      <c r="D4" s="383" t="str">
        <f t="shared" si="0"/>
        <v>Jakub Buršík</v>
      </c>
      <c r="E4" s="383"/>
      <c r="F4" s="166"/>
    </row>
    <row r="5" spans="1:6" x14ac:dyDescent="0.25">
      <c r="A5" s="382"/>
      <c r="B5" s="1" t="s">
        <v>720</v>
      </c>
      <c r="C5" s="205">
        <v>28</v>
      </c>
      <c r="D5" s="383" t="str">
        <f t="shared" si="0"/>
        <v>Jan Malič</v>
      </c>
      <c r="E5" s="383"/>
      <c r="F5" s="166"/>
    </row>
    <row r="6" spans="1:6" x14ac:dyDescent="0.25">
      <c r="A6" s="382" t="s">
        <v>242</v>
      </c>
      <c r="B6" s="1" t="s">
        <v>519</v>
      </c>
      <c r="C6" s="205" t="s">
        <v>721</v>
      </c>
      <c r="D6" s="383" t="str">
        <f t="shared" si="0"/>
        <v>Radovan Michajlovič</v>
      </c>
      <c r="E6" s="383"/>
      <c r="F6" s="166">
        <f t="shared" ref="F6:F10" si="1">IF(B6&lt;&gt;0,_xlfn.NUMBERVALUE(C6,","),"")</f>
        <v>5.26</v>
      </c>
    </row>
    <row r="7" spans="1:6" x14ac:dyDescent="0.25">
      <c r="A7" s="382"/>
      <c r="B7" s="1" t="s">
        <v>520</v>
      </c>
      <c r="C7" s="205" t="s">
        <v>794</v>
      </c>
      <c r="D7" s="383" t="str">
        <f t="shared" si="0"/>
        <v>Jakub Zavřel</v>
      </c>
      <c r="E7" s="383"/>
      <c r="F7" s="166">
        <f t="shared" si="1"/>
        <v>4.24</v>
      </c>
    </row>
    <row r="8" spans="1:6" x14ac:dyDescent="0.25">
      <c r="A8" s="382"/>
      <c r="B8" s="1" t="s">
        <v>521</v>
      </c>
      <c r="C8" s="205" t="s">
        <v>522</v>
      </c>
      <c r="D8" s="383" t="str">
        <f t="shared" si="0"/>
        <v>Tomáš Hyršl</v>
      </c>
      <c r="E8" s="383"/>
      <c r="F8" s="166">
        <f t="shared" si="1"/>
        <v>13.73</v>
      </c>
    </row>
    <row r="9" spans="1:6" x14ac:dyDescent="0.25">
      <c r="A9" s="382"/>
      <c r="B9" s="1"/>
      <c r="C9" s="205"/>
      <c r="D9" s="383" t="str">
        <f t="shared" si="0"/>
        <v/>
      </c>
      <c r="E9" s="383"/>
      <c r="F9" s="166" t="str">
        <f t="shared" si="1"/>
        <v/>
      </c>
    </row>
    <row r="10" spans="1:6" x14ac:dyDescent="0.25">
      <c r="A10" s="382"/>
      <c r="B10" s="1"/>
      <c r="C10" s="205"/>
      <c r="D10" s="383" t="str">
        <f t="shared" si="0"/>
        <v/>
      </c>
      <c r="E10" s="383"/>
      <c r="F10" s="166" t="str">
        <f t="shared" si="1"/>
        <v/>
      </c>
    </row>
    <row r="11" spans="1:6" x14ac:dyDescent="0.25">
      <c r="A11" s="382" t="s">
        <v>35</v>
      </c>
      <c r="B11" s="1" t="s">
        <v>523</v>
      </c>
      <c r="C11" s="205">
        <v>25</v>
      </c>
      <c r="D11" s="383" t="str">
        <f t="shared" si="0"/>
        <v>Matěj Pěnička</v>
      </c>
      <c r="E11" s="383"/>
      <c r="F11" s="166"/>
    </row>
    <row r="12" spans="1:6" x14ac:dyDescent="0.25">
      <c r="A12" s="382"/>
      <c r="B12" s="1" t="s">
        <v>652</v>
      </c>
      <c r="C12" s="205">
        <v>19</v>
      </c>
      <c r="D12" s="383" t="str">
        <f t="shared" si="0"/>
        <v>Jakub Buršík</v>
      </c>
      <c r="E12" s="383"/>
      <c r="F12" s="166"/>
    </row>
    <row r="13" spans="1:6" x14ac:dyDescent="0.25">
      <c r="A13" s="382"/>
      <c r="B13" s="1" t="s">
        <v>653</v>
      </c>
      <c r="C13" s="205">
        <v>19</v>
      </c>
      <c r="D13" s="383" t="str">
        <f t="shared" si="0"/>
        <v>Jakub Šárka</v>
      </c>
      <c r="E13" s="383"/>
      <c r="F13" s="166"/>
    </row>
    <row r="14" spans="1:6" x14ac:dyDescent="0.25">
      <c r="A14" s="382"/>
      <c r="B14" s="1" t="s">
        <v>722</v>
      </c>
      <c r="C14" s="205">
        <v>17</v>
      </c>
      <c r="D14" s="383" t="str">
        <f t="shared" si="0"/>
        <v>Matyáš Krebner</v>
      </c>
      <c r="E14" s="383"/>
      <c r="F14" s="166"/>
    </row>
    <row r="15" spans="1:6" x14ac:dyDescent="0.25">
      <c r="A15" s="382"/>
      <c r="B15" s="1" t="s">
        <v>723</v>
      </c>
      <c r="C15" s="205">
        <v>14</v>
      </c>
      <c r="D15" s="383" t="str">
        <f t="shared" si="0"/>
        <v>Filip Forman</v>
      </c>
      <c r="E15" s="383"/>
      <c r="F15" s="166"/>
    </row>
    <row r="16" spans="1:6" x14ac:dyDescent="0.25">
      <c r="A16" s="382" t="s">
        <v>230</v>
      </c>
      <c r="B16" s="1" t="s">
        <v>519</v>
      </c>
      <c r="C16" s="205">
        <v>12</v>
      </c>
      <c r="D16" s="383" t="str">
        <f t="shared" si="0"/>
        <v>Radovan Michajlovič</v>
      </c>
      <c r="E16" s="383"/>
      <c r="F16" s="166">
        <f t="shared" ref="F16:F20" si="2">IF(B16&lt;&gt;0,_xlfn.NUMBERVALUE(C16,","),"")</f>
        <v>12</v>
      </c>
    </row>
    <row r="17" spans="1:6" x14ac:dyDescent="0.25">
      <c r="A17" s="382"/>
      <c r="B17" s="1" t="s">
        <v>520</v>
      </c>
      <c r="C17" s="205">
        <v>3</v>
      </c>
      <c r="D17" s="383" t="str">
        <f t="shared" si="0"/>
        <v>Jakub Zavřel</v>
      </c>
      <c r="E17" s="383"/>
      <c r="F17" s="166">
        <f t="shared" si="2"/>
        <v>3</v>
      </c>
    </row>
    <row r="18" spans="1:6" x14ac:dyDescent="0.25">
      <c r="A18" s="382"/>
      <c r="B18" s="1" t="s">
        <v>521</v>
      </c>
      <c r="C18" s="205">
        <v>2</v>
      </c>
      <c r="D18" s="383" t="str">
        <f t="shared" si="0"/>
        <v>Tomáš Hyršl</v>
      </c>
      <c r="E18" s="383"/>
      <c r="F18" s="166">
        <f t="shared" si="2"/>
        <v>2</v>
      </c>
    </row>
    <row r="19" spans="1:6" x14ac:dyDescent="0.25">
      <c r="A19" s="382"/>
      <c r="B19" s="1"/>
      <c r="C19" s="205"/>
      <c r="D19" s="383" t="str">
        <f t="shared" si="0"/>
        <v/>
      </c>
      <c r="E19" s="383"/>
      <c r="F19" s="166" t="str">
        <f t="shared" si="2"/>
        <v/>
      </c>
    </row>
    <row r="20" spans="1:6" x14ac:dyDescent="0.25">
      <c r="A20" s="382"/>
      <c r="B20" s="1"/>
      <c r="C20" s="205"/>
      <c r="D20" s="383" t="str">
        <f t="shared" si="0"/>
        <v/>
      </c>
      <c r="E20" s="383"/>
      <c r="F20" s="166" t="str">
        <f t="shared" si="2"/>
        <v/>
      </c>
    </row>
    <row r="21" spans="1:6" x14ac:dyDescent="0.25">
      <c r="A21" s="382" t="s">
        <v>37</v>
      </c>
      <c r="B21" s="1" t="s">
        <v>518</v>
      </c>
      <c r="C21" s="205">
        <v>33</v>
      </c>
      <c r="D21" s="383" t="str">
        <f t="shared" si="0"/>
        <v>Filip Forman</v>
      </c>
      <c r="E21" s="383"/>
      <c r="F21" s="166"/>
    </row>
    <row r="22" spans="1:6" x14ac:dyDescent="0.25">
      <c r="A22" s="382"/>
      <c r="B22" s="1" t="s">
        <v>651</v>
      </c>
      <c r="C22" s="205">
        <v>20</v>
      </c>
      <c r="D22" s="383" t="str">
        <f t="shared" si="0"/>
        <v>Matyáš Krebner</v>
      </c>
      <c r="E22" s="383"/>
      <c r="F22" s="166"/>
    </row>
    <row r="23" spans="1:6" x14ac:dyDescent="0.25">
      <c r="A23" s="382"/>
      <c r="B23" s="1" t="s">
        <v>654</v>
      </c>
      <c r="C23" s="205">
        <v>16</v>
      </c>
      <c r="D23" s="383" t="str">
        <f t="shared" si="0"/>
        <v>Jan Malič</v>
      </c>
      <c r="E23" s="383"/>
      <c r="F23" s="166"/>
    </row>
    <row r="24" spans="1:6" x14ac:dyDescent="0.25">
      <c r="A24" s="382"/>
      <c r="B24" s="1" t="s">
        <v>724</v>
      </c>
      <c r="C24" s="205">
        <v>13</v>
      </c>
      <c r="D24" s="383" t="str">
        <f t="shared" si="0"/>
        <v>Matěj Pěnička</v>
      </c>
      <c r="E24" s="383"/>
      <c r="F24" s="166"/>
    </row>
    <row r="25" spans="1:6" x14ac:dyDescent="0.25">
      <c r="A25" s="382"/>
      <c r="B25" s="1" t="s">
        <v>725</v>
      </c>
      <c r="C25" s="205">
        <v>10</v>
      </c>
      <c r="D25" s="383" t="str">
        <f t="shared" si="0"/>
        <v>Patrik Šebek</v>
      </c>
      <c r="E25" s="383"/>
      <c r="F25" s="166"/>
    </row>
    <row r="26" spans="1:6" x14ac:dyDescent="0.25">
      <c r="A26" s="382" t="s">
        <v>38</v>
      </c>
      <c r="B26" s="1" t="s">
        <v>524</v>
      </c>
      <c r="C26" s="205">
        <v>22</v>
      </c>
      <c r="D26" s="383" t="str">
        <f t="shared" si="0"/>
        <v>Jan Malič</v>
      </c>
      <c r="E26" s="383"/>
      <c r="F26" s="166"/>
    </row>
    <row r="27" spans="1:6" x14ac:dyDescent="0.25">
      <c r="A27" s="382"/>
      <c r="B27" s="1" t="s">
        <v>525</v>
      </c>
      <c r="C27" s="205">
        <v>10</v>
      </c>
      <c r="D27" s="383" t="str">
        <f t="shared" si="0"/>
        <v>Filip Forman</v>
      </c>
      <c r="E27" s="383"/>
      <c r="F27" s="166"/>
    </row>
    <row r="28" spans="1:6" x14ac:dyDescent="0.25">
      <c r="A28" s="382"/>
      <c r="B28" s="1" t="s">
        <v>726</v>
      </c>
      <c r="C28" s="205">
        <v>4</v>
      </c>
      <c r="D28" s="383" t="str">
        <f t="shared" si="0"/>
        <v>Ivan Tomčo</v>
      </c>
      <c r="E28" s="383"/>
      <c r="F28" s="166"/>
    </row>
    <row r="29" spans="1:6" x14ac:dyDescent="0.25">
      <c r="A29" s="382"/>
      <c r="B29" s="1" t="s">
        <v>626</v>
      </c>
      <c r="C29" s="205">
        <v>4</v>
      </c>
      <c r="D29" s="383" t="str">
        <f t="shared" si="0"/>
        <v>Jakub Buršík</v>
      </c>
      <c r="E29" s="383"/>
      <c r="F29" s="166"/>
    </row>
    <row r="30" spans="1:6" x14ac:dyDescent="0.25">
      <c r="A30" s="382"/>
      <c r="B30" s="1" t="s">
        <v>727</v>
      </c>
      <c r="C30" s="205">
        <v>4</v>
      </c>
      <c r="D30" s="383" t="str">
        <f t="shared" si="0"/>
        <v>Lukáš Kuncman</v>
      </c>
      <c r="E30" s="383"/>
      <c r="F30" s="166"/>
    </row>
    <row r="31" spans="1:6" x14ac:dyDescent="0.25">
      <c r="A31" s="382" t="s">
        <v>333</v>
      </c>
      <c r="B31" s="190" t="s">
        <v>490</v>
      </c>
      <c r="C31" s="190" t="s">
        <v>153</v>
      </c>
      <c r="D31" s="190" t="s">
        <v>362</v>
      </c>
      <c r="E31" s="178" t="str">
        <f>IFERROR(RIGHT(LEFT(D31,LEN(D31)-1),LEN(D31)-2),"")</f>
        <v>8:3</v>
      </c>
    </row>
    <row r="32" spans="1:6" x14ac:dyDescent="0.25">
      <c r="A32" s="382"/>
      <c r="B32" s="190" t="s">
        <v>621</v>
      </c>
      <c r="C32" s="190" t="s">
        <v>148</v>
      </c>
      <c r="D32" s="190" t="s">
        <v>918</v>
      </c>
      <c r="E32" s="178" t="str">
        <f t="shared" ref="E32:E40" si="3">IFERROR(RIGHT(LEFT(D32,LEN(D32)-1),LEN(D32)-2),"")</f>
        <v>5:10</v>
      </c>
    </row>
    <row r="33" spans="1:5" x14ac:dyDescent="0.25">
      <c r="A33" s="382"/>
      <c r="B33" s="190" t="s">
        <v>414</v>
      </c>
      <c r="C33" s="190" t="s">
        <v>142</v>
      </c>
      <c r="D33" s="190" t="s">
        <v>919</v>
      </c>
      <c r="E33" s="178" t="str">
        <f t="shared" si="3"/>
        <v>3:4</v>
      </c>
    </row>
    <row r="34" spans="1:5" x14ac:dyDescent="0.25">
      <c r="A34" s="382"/>
      <c r="B34" s="190" t="s">
        <v>350</v>
      </c>
      <c r="C34" s="190" t="s">
        <v>152</v>
      </c>
      <c r="D34" s="190" t="s">
        <v>650</v>
      </c>
      <c r="E34" s="178" t="str">
        <f t="shared" si="3"/>
        <v>14:5</v>
      </c>
    </row>
    <row r="35" spans="1:5" x14ac:dyDescent="0.25">
      <c r="A35" s="382"/>
      <c r="B35" s="190" t="s">
        <v>641</v>
      </c>
      <c r="C35" s="190" t="s">
        <v>29</v>
      </c>
      <c r="D35" s="190" t="s">
        <v>650</v>
      </c>
      <c r="E35" s="178" t="str">
        <f t="shared" si="3"/>
        <v>14:5</v>
      </c>
    </row>
    <row r="36" spans="1:5" x14ac:dyDescent="0.25">
      <c r="A36" s="382" t="s">
        <v>334</v>
      </c>
      <c r="B36" s="190" t="s">
        <v>625</v>
      </c>
      <c r="C36" s="190" t="s">
        <v>146</v>
      </c>
      <c r="D36" s="190" t="s">
        <v>338</v>
      </c>
      <c r="E36" s="178" t="str">
        <f t="shared" si="3"/>
        <v>-:-</v>
      </c>
    </row>
    <row r="37" spans="1:5" x14ac:dyDescent="0.25">
      <c r="A37" s="382"/>
      <c r="B37" s="190" t="s">
        <v>660</v>
      </c>
      <c r="C37" s="190" t="s">
        <v>151</v>
      </c>
      <c r="D37" s="190" t="s">
        <v>338</v>
      </c>
      <c r="E37" s="178" t="str">
        <f t="shared" si="3"/>
        <v>-:-</v>
      </c>
    </row>
    <row r="38" spans="1:5" x14ac:dyDescent="0.25">
      <c r="A38" s="382"/>
      <c r="B38" s="190" t="s">
        <v>670</v>
      </c>
      <c r="C38" s="190" t="s">
        <v>145</v>
      </c>
      <c r="D38" s="190" t="s">
        <v>338</v>
      </c>
      <c r="E38" s="178" t="str">
        <f t="shared" si="3"/>
        <v>-:-</v>
      </c>
    </row>
    <row r="39" spans="1:5" x14ac:dyDescent="0.25">
      <c r="A39" s="382"/>
      <c r="B39" s="190"/>
      <c r="C39" s="190"/>
      <c r="D39" s="190"/>
      <c r="E39" s="178" t="str">
        <f t="shared" si="3"/>
        <v/>
      </c>
    </row>
    <row r="40" spans="1:5" x14ac:dyDescent="0.25">
      <c r="A40" s="382"/>
      <c r="B40" s="190"/>
      <c r="C40" s="190"/>
      <c r="D40" s="190"/>
      <c r="E40" s="178" t="str">
        <f t="shared" si="3"/>
        <v/>
      </c>
    </row>
    <row r="41" spans="1:5" x14ac:dyDescent="0.25">
      <c r="A41" s="167" t="s">
        <v>335</v>
      </c>
      <c r="B41" s="384" t="s">
        <v>793</v>
      </c>
      <c r="C41" s="190"/>
      <c r="D41" s="190"/>
    </row>
  </sheetData>
  <sheetProtection algorithmName="SHA-512" hashValue="U4pBK/Z1sdCJJk2VUldcc0C16t9hukRxPiCf/s710aBgKlOHN4l8abg0o2pkY4wz+s5gu9q1v6F8RZrDM2cIhw==" saltValue="LGOP3nOy6BXSoNW4wC+D0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6"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455</v>
      </c>
      <c r="Q1" s="115" t="s">
        <v>47</v>
      </c>
    </row>
    <row r="2" spans="1:26" s="4" customFormat="1" x14ac:dyDescent="0.25">
      <c r="A2" s="53">
        <v>1</v>
      </c>
      <c r="B2" s="4" t="s">
        <v>527</v>
      </c>
      <c r="D2" s="5" t="s">
        <v>51</v>
      </c>
      <c r="E2" s="5">
        <v>21</v>
      </c>
      <c r="F2" s="5">
        <v>16</v>
      </c>
      <c r="G2" s="5">
        <v>2</v>
      </c>
      <c r="H2" s="5">
        <v>0</v>
      </c>
      <c r="I2" s="5">
        <v>23</v>
      </c>
      <c r="J2" s="5">
        <v>39</v>
      </c>
      <c r="K2" s="5">
        <v>6</v>
      </c>
      <c r="L2" s="5">
        <v>51</v>
      </c>
      <c r="M2" s="5">
        <v>35</v>
      </c>
      <c r="N2" s="5">
        <v>16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39 (16+23), +16 ±</v>
      </c>
      <c r="P2" s="5" t="str">
        <f>IF(B2&lt;&gt;0,IF(IFERROR(VLOOKUP(B2,$B$48:$B$82,1,FALSE)=B2,FALSE),"ANO","NE"),"")</f>
        <v>ANO</v>
      </c>
      <c r="Q2" s="142"/>
      <c r="S2" s="5"/>
      <c r="X2" s="5"/>
      <c r="Y2" s="5"/>
      <c r="Z2" s="5"/>
    </row>
    <row r="3" spans="1:26" s="4" customFormat="1" x14ac:dyDescent="0.25">
      <c r="A3" s="53">
        <v>2</v>
      </c>
      <c r="B3" s="4" t="s">
        <v>528</v>
      </c>
      <c r="D3" s="5" t="s">
        <v>51</v>
      </c>
      <c r="E3" s="5">
        <v>20</v>
      </c>
      <c r="F3" s="5">
        <v>23</v>
      </c>
      <c r="G3" s="5">
        <v>5</v>
      </c>
      <c r="H3" s="5">
        <v>2</v>
      </c>
      <c r="I3" s="5">
        <v>12</v>
      </c>
      <c r="J3" s="5">
        <v>35</v>
      </c>
      <c r="K3" s="5">
        <v>0</v>
      </c>
      <c r="L3" s="5">
        <v>52</v>
      </c>
      <c r="M3" s="5">
        <v>30</v>
      </c>
      <c r="N3" s="5">
        <v>22</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35 (23+12), +22 ±</v>
      </c>
      <c r="P3" s="5" t="str">
        <f t="shared" ref="P3:P36" si="1">IF(B3&lt;&gt;0,IF(IFERROR(VLOOKUP(B3,$B$48:$B$82,1,FALSE)=B3,FALSE),"ANO","NE"),"")</f>
        <v>ANO</v>
      </c>
      <c r="Q3" s="142"/>
      <c r="S3" s="5"/>
      <c r="X3" s="5"/>
      <c r="Y3" s="5"/>
      <c r="Z3" s="5"/>
    </row>
    <row r="4" spans="1:26" s="4" customFormat="1" x14ac:dyDescent="0.25">
      <c r="A4" s="53">
        <v>3</v>
      </c>
      <c r="B4" s="4" t="s">
        <v>530</v>
      </c>
      <c r="D4" s="5" t="s">
        <v>51</v>
      </c>
      <c r="E4" s="5">
        <v>21</v>
      </c>
      <c r="F4" s="5">
        <v>15</v>
      </c>
      <c r="G4" s="5">
        <v>1</v>
      </c>
      <c r="H4" s="5">
        <v>0</v>
      </c>
      <c r="I4" s="5">
        <v>7</v>
      </c>
      <c r="J4" s="5">
        <v>22</v>
      </c>
      <c r="K4" s="5">
        <v>2</v>
      </c>
      <c r="L4" s="5">
        <v>51</v>
      </c>
      <c r="M4" s="5">
        <v>28</v>
      </c>
      <c r="N4" s="5">
        <v>23</v>
      </c>
      <c r="O4" s="166" t="str">
        <f t="shared" si="0"/>
        <v>21 OZ , 22 (15+7), +23 ±</v>
      </c>
      <c r="P4" s="5" t="str">
        <f t="shared" si="1"/>
        <v>ANO</v>
      </c>
      <c r="Q4" s="142"/>
      <c r="S4" s="5"/>
      <c r="X4" s="5"/>
      <c r="Y4" s="5"/>
      <c r="Z4" s="5"/>
    </row>
    <row r="5" spans="1:26" s="4" customFormat="1" x14ac:dyDescent="0.25">
      <c r="A5" s="53">
        <v>4</v>
      </c>
      <c r="B5" s="4" t="s">
        <v>529</v>
      </c>
      <c r="D5" s="5"/>
      <c r="E5" s="5">
        <v>21</v>
      </c>
      <c r="F5" s="5">
        <v>11</v>
      </c>
      <c r="G5" s="5">
        <v>0</v>
      </c>
      <c r="H5" s="5">
        <v>0</v>
      </c>
      <c r="I5" s="5">
        <v>11</v>
      </c>
      <c r="J5" s="5">
        <v>22</v>
      </c>
      <c r="K5" s="5">
        <v>4</v>
      </c>
      <c r="L5" s="5">
        <v>38</v>
      </c>
      <c r="M5" s="5">
        <v>24</v>
      </c>
      <c r="N5" s="5">
        <v>14</v>
      </c>
      <c r="O5" s="166" t="str">
        <f t="shared" si="0"/>
        <v>21 OZ , 22 (11+11), +14 ±</v>
      </c>
      <c r="P5" s="5" t="str">
        <f t="shared" si="1"/>
        <v>ANO</v>
      </c>
      <c r="Q5" s="142"/>
      <c r="S5" s="5"/>
      <c r="X5" s="5"/>
      <c r="Y5" s="5"/>
      <c r="Z5" s="5"/>
    </row>
    <row r="6" spans="1:26" x14ac:dyDescent="0.25">
      <c r="A6" s="54">
        <v>5</v>
      </c>
      <c r="B6" s="1" t="s">
        <v>533</v>
      </c>
      <c r="D6" s="205" t="s">
        <v>48</v>
      </c>
      <c r="E6" s="205">
        <v>21</v>
      </c>
      <c r="F6" s="205">
        <v>8</v>
      </c>
      <c r="G6" s="205">
        <v>4</v>
      </c>
      <c r="H6" s="205">
        <v>0</v>
      </c>
      <c r="I6" s="205">
        <v>11</v>
      </c>
      <c r="J6" s="205">
        <v>19</v>
      </c>
      <c r="K6" s="205">
        <v>4</v>
      </c>
      <c r="L6" s="205">
        <v>51</v>
      </c>
      <c r="M6" s="205">
        <v>28</v>
      </c>
      <c r="N6" s="205">
        <v>23</v>
      </c>
      <c r="O6" s="166" t="str">
        <f t="shared" si="0"/>
        <v>21 OZ , 19 (8+11), +23 ±</v>
      </c>
      <c r="P6" s="5" t="str">
        <f t="shared" si="1"/>
        <v>ANO</v>
      </c>
    </row>
    <row r="7" spans="1:26" x14ac:dyDescent="0.25">
      <c r="A7" s="54">
        <v>6</v>
      </c>
      <c r="B7" s="1" t="s">
        <v>532</v>
      </c>
      <c r="D7" s="205" t="s">
        <v>51</v>
      </c>
      <c r="E7" s="205">
        <v>21</v>
      </c>
      <c r="F7" s="205">
        <v>5</v>
      </c>
      <c r="G7" s="205">
        <v>0</v>
      </c>
      <c r="H7" s="205">
        <v>0</v>
      </c>
      <c r="I7" s="205">
        <v>13</v>
      </c>
      <c r="J7" s="205">
        <v>18</v>
      </c>
      <c r="K7" s="205">
        <v>4</v>
      </c>
      <c r="L7" s="205">
        <v>32</v>
      </c>
      <c r="M7" s="205">
        <v>20</v>
      </c>
      <c r="N7" s="205">
        <v>12</v>
      </c>
      <c r="O7" s="166" t="str">
        <f t="shared" si="0"/>
        <v>21 OZ , 18 (5+13), +12 ±</v>
      </c>
      <c r="P7" s="5" t="str">
        <f t="shared" si="1"/>
        <v>ANO</v>
      </c>
    </row>
    <row r="8" spans="1:26" x14ac:dyDescent="0.25">
      <c r="A8" s="54">
        <v>7</v>
      </c>
      <c r="B8" s="1" t="s">
        <v>534</v>
      </c>
      <c r="D8" s="205"/>
      <c r="E8" s="205">
        <v>16</v>
      </c>
      <c r="F8" s="205">
        <v>12</v>
      </c>
      <c r="G8" s="205">
        <v>1</v>
      </c>
      <c r="H8" s="205">
        <v>1</v>
      </c>
      <c r="I8" s="205">
        <v>3</v>
      </c>
      <c r="J8" s="205">
        <v>15</v>
      </c>
      <c r="K8" s="205">
        <v>0</v>
      </c>
      <c r="L8" s="205">
        <v>35</v>
      </c>
      <c r="M8" s="205">
        <v>17</v>
      </c>
      <c r="N8" s="205">
        <v>18</v>
      </c>
      <c r="O8" s="166" t="str">
        <f t="shared" si="0"/>
        <v>16 OZ , 15 (12+3), +18 ±</v>
      </c>
      <c r="P8" s="5" t="str">
        <f t="shared" si="1"/>
        <v>ANO</v>
      </c>
    </row>
    <row r="9" spans="1:26" x14ac:dyDescent="0.25">
      <c r="A9" s="54">
        <v>8</v>
      </c>
      <c r="B9" s="1" t="s">
        <v>531</v>
      </c>
      <c r="D9" s="205"/>
      <c r="E9" s="205">
        <v>18</v>
      </c>
      <c r="F9" s="205">
        <v>7</v>
      </c>
      <c r="G9" s="205">
        <v>0</v>
      </c>
      <c r="H9" s="205">
        <v>0</v>
      </c>
      <c r="I9" s="205">
        <v>8</v>
      </c>
      <c r="J9" s="205">
        <v>15</v>
      </c>
      <c r="K9" s="205">
        <v>8</v>
      </c>
      <c r="L9" s="205">
        <v>17</v>
      </c>
      <c r="M9" s="205">
        <v>21</v>
      </c>
      <c r="N9" s="205">
        <v>-4</v>
      </c>
      <c r="O9" s="166" t="str">
        <f t="shared" si="0"/>
        <v>18 OZ , 15 (7+8), -4 ±</v>
      </c>
      <c r="P9" s="5" t="str">
        <f t="shared" si="1"/>
        <v>ANO</v>
      </c>
    </row>
    <row r="10" spans="1:26" x14ac:dyDescent="0.25">
      <c r="A10" s="54">
        <v>9</v>
      </c>
      <c r="B10" s="1" t="s">
        <v>536</v>
      </c>
      <c r="D10" s="205" t="s">
        <v>48</v>
      </c>
      <c r="E10" s="205">
        <v>21</v>
      </c>
      <c r="F10" s="205">
        <v>6</v>
      </c>
      <c r="G10" s="205">
        <v>0</v>
      </c>
      <c r="H10" s="205">
        <v>0</v>
      </c>
      <c r="I10" s="205">
        <v>5</v>
      </c>
      <c r="J10" s="205">
        <v>11</v>
      </c>
      <c r="K10" s="205">
        <v>6</v>
      </c>
      <c r="L10" s="205">
        <v>39</v>
      </c>
      <c r="M10" s="205">
        <v>24</v>
      </c>
      <c r="N10" s="205">
        <v>15</v>
      </c>
      <c r="O10" s="166" t="str">
        <f t="shared" si="0"/>
        <v>21 OZ , 11 (6+5), +15 ±</v>
      </c>
      <c r="P10" s="5" t="str">
        <f t="shared" si="1"/>
        <v>ANO</v>
      </c>
    </row>
    <row r="11" spans="1:26" x14ac:dyDescent="0.25">
      <c r="A11" s="54">
        <v>10</v>
      </c>
      <c r="B11" s="1" t="s">
        <v>537</v>
      </c>
      <c r="D11" s="205" t="s">
        <v>48</v>
      </c>
      <c r="E11" s="205">
        <v>15</v>
      </c>
      <c r="F11" s="205">
        <v>5</v>
      </c>
      <c r="G11" s="205">
        <v>1</v>
      </c>
      <c r="H11" s="205">
        <v>0</v>
      </c>
      <c r="I11" s="205">
        <v>4</v>
      </c>
      <c r="J11" s="205">
        <v>9</v>
      </c>
      <c r="K11" s="205">
        <v>4</v>
      </c>
      <c r="L11" s="205">
        <v>17</v>
      </c>
      <c r="M11" s="205">
        <v>13</v>
      </c>
      <c r="N11" s="205">
        <v>4</v>
      </c>
      <c r="O11" s="166" t="str">
        <f t="shared" si="0"/>
        <v>15 OZ , 9 (5+4), +4 ±</v>
      </c>
      <c r="P11" s="5" t="str">
        <f t="shared" si="1"/>
        <v>ANO</v>
      </c>
    </row>
    <row r="12" spans="1:26" x14ac:dyDescent="0.25">
      <c r="A12" s="54">
        <v>11</v>
      </c>
      <c r="B12" s="1" t="s">
        <v>535</v>
      </c>
      <c r="D12" s="205"/>
      <c r="E12" s="205">
        <v>13</v>
      </c>
      <c r="F12" s="205">
        <v>6</v>
      </c>
      <c r="G12" s="205">
        <v>0</v>
      </c>
      <c r="H12" s="205">
        <v>0</v>
      </c>
      <c r="I12" s="205">
        <v>2</v>
      </c>
      <c r="J12" s="205">
        <v>8</v>
      </c>
      <c r="K12" s="205">
        <v>4</v>
      </c>
      <c r="L12" s="205">
        <v>23</v>
      </c>
      <c r="M12" s="205">
        <v>16</v>
      </c>
      <c r="N12" s="205">
        <v>7</v>
      </c>
      <c r="O12" s="166" t="str">
        <f t="shared" si="0"/>
        <v>13 OZ , 8 (6+2), +7 ±</v>
      </c>
      <c r="P12" s="5" t="str">
        <f t="shared" si="1"/>
        <v>ANO</v>
      </c>
    </row>
    <row r="13" spans="1:26" x14ac:dyDescent="0.25">
      <c r="A13" s="54">
        <v>12</v>
      </c>
      <c r="B13" s="1" t="s">
        <v>540</v>
      </c>
      <c r="D13" s="205" t="s">
        <v>51</v>
      </c>
      <c r="E13" s="205">
        <v>20</v>
      </c>
      <c r="F13" s="205">
        <v>3</v>
      </c>
      <c r="G13" s="205">
        <v>0</v>
      </c>
      <c r="H13" s="205">
        <v>0</v>
      </c>
      <c r="I13" s="205">
        <v>4</v>
      </c>
      <c r="J13" s="205">
        <v>7</v>
      </c>
      <c r="K13" s="205">
        <v>26</v>
      </c>
      <c r="L13" s="205">
        <v>32</v>
      </c>
      <c r="M13" s="205">
        <v>27</v>
      </c>
      <c r="N13" s="205">
        <v>5</v>
      </c>
      <c r="O13" s="166" t="str">
        <f t="shared" si="0"/>
        <v>20 OZ , 7 (3+4), +5 ±</v>
      </c>
      <c r="P13" s="5" t="str">
        <f t="shared" si="1"/>
        <v>ANO</v>
      </c>
    </row>
    <row r="14" spans="1:26" x14ac:dyDescent="0.25">
      <c r="A14" s="54">
        <v>13</v>
      </c>
      <c r="B14" s="1" t="s">
        <v>547</v>
      </c>
      <c r="D14" s="205" t="s">
        <v>51</v>
      </c>
      <c r="E14" s="205">
        <v>14</v>
      </c>
      <c r="F14" s="205">
        <v>2</v>
      </c>
      <c r="G14" s="205">
        <v>0</v>
      </c>
      <c r="H14" s="205">
        <v>0</v>
      </c>
      <c r="I14" s="205">
        <v>5</v>
      </c>
      <c r="J14" s="205">
        <v>7</v>
      </c>
      <c r="K14" s="205">
        <v>10</v>
      </c>
      <c r="L14" s="205">
        <v>27</v>
      </c>
      <c r="M14" s="205">
        <v>17</v>
      </c>
      <c r="N14" s="205">
        <v>10</v>
      </c>
      <c r="O14" s="166" t="str">
        <f t="shared" si="0"/>
        <v>14 OZ , 7 (2+5), +10 ±</v>
      </c>
      <c r="P14" s="5" t="str">
        <f t="shared" si="1"/>
        <v>ANO</v>
      </c>
    </row>
    <row r="15" spans="1:26" x14ac:dyDescent="0.25">
      <c r="A15" s="54">
        <v>14</v>
      </c>
      <c r="B15" s="1" t="s">
        <v>541</v>
      </c>
      <c r="D15" s="205" t="s">
        <v>48</v>
      </c>
      <c r="E15" s="205">
        <v>21</v>
      </c>
      <c r="F15" s="205">
        <v>3</v>
      </c>
      <c r="G15" s="205">
        <v>0</v>
      </c>
      <c r="H15" s="205">
        <v>0</v>
      </c>
      <c r="I15" s="205">
        <v>3</v>
      </c>
      <c r="J15" s="205">
        <v>6</v>
      </c>
      <c r="K15" s="205">
        <v>4</v>
      </c>
      <c r="L15" s="205">
        <v>25</v>
      </c>
      <c r="M15" s="205">
        <v>23</v>
      </c>
      <c r="N15" s="205">
        <v>2</v>
      </c>
      <c r="O15" s="166" t="str">
        <f t="shared" si="0"/>
        <v>21 OZ , 6 (3+3), +2 ±</v>
      </c>
      <c r="P15" s="5" t="str">
        <f t="shared" si="1"/>
        <v>ANO</v>
      </c>
    </row>
    <row r="16" spans="1:26" x14ac:dyDescent="0.25">
      <c r="A16" s="54">
        <v>15</v>
      </c>
      <c r="B16" s="1" t="s">
        <v>539</v>
      </c>
      <c r="D16" s="205"/>
      <c r="E16" s="205">
        <v>14</v>
      </c>
      <c r="F16" s="205">
        <v>3</v>
      </c>
      <c r="G16" s="205">
        <v>0</v>
      </c>
      <c r="H16" s="205">
        <v>0</v>
      </c>
      <c r="I16" s="205">
        <v>2</v>
      </c>
      <c r="J16" s="205">
        <v>5</v>
      </c>
      <c r="K16" s="205">
        <v>0</v>
      </c>
      <c r="L16" s="205">
        <v>9</v>
      </c>
      <c r="M16" s="205">
        <v>8</v>
      </c>
      <c r="N16" s="205">
        <v>1</v>
      </c>
      <c r="O16" s="166" t="str">
        <f t="shared" si="0"/>
        <v>14 OZ , 5 (3+2), +1 ±</v>
      </c>
      <c r="P16" s="5" t="str">
        <f t="shared" si="1"/>
        <v>ANO</v>
      </c>
    </row>
    <row r="17" spans="1:16" x14ac:dyDescent="0.25">
      <c r="A17" s="54">
        <v>16</v>
      </c>
      <c r="B17" s="1" t="s">
        <v>538</v>
      </c>
      <c r="D17" s="205"/>
      <c r="E17" s="205">
        <v>20</v>
      </c>
      <c r="F17" s="205">
        <v>3</v>
      </c>
      <c r="G17" s="205">
        <v>2</v>
      </c>
      <c r="H17" s="205">
        <v>0</v>
      </c>
      <c r="I17" s="205">
        <v>1</v>
      </c>
      <c r="J17" s="205">
        <v>4</v>
      </c>
      <c r="K17" s="205">
        <v>10</v>
      </c>
      <c r="L17" s="205">
        <v>10</v>
      </c>
      <c r="M17" s="205">
        <v>16</v>
      </c>
      <c r="N17" s="205">
        <v>-6</v>
      </c>
      <c r="O17" s="166" t="str">
        <f t="shared" si="0"/>
        <v>20 OZ , 4 (3+1), -6 ±</v>
      </c>
      <c r="P17" s="5" t="str">
        <f t="shared" si="1"/>
        <v>ANO</v>
      </c>
    </row>
    <row r="18" spans="1:16" x14ac:dyDescent="0.25">
      <c r="A18" s="54">
        <v>17</v>
      </c>
      <c r="B18" s="1" t="s">
        <v>542</v>
      </c>
      <c r="D18" s="205"/>
      <c r="E18" s="205">
        <v>7</v>
      </c>
      <c r="F18" s="205">
        <v>2</v>
      </c>
      <c r="G18" s="205">
        <v>0</v>
      </c>
      <c r="H18" s="205">
        <v>0</v>
      </c>
      <c r="I18" s="205">
        <v>1</v>
      </c>
      <c r="J18" s="205">
        <v>3</v>
      </c>
      <c r="K18" s="205">
        <v>0</v>
      </c>
      <c r="L18" s="205">
        <v>4</v>
      </c>
      <c r="M18" s="205">
        <v>5</v>
      </c>
      <c r="N18" s="205">
        <v>-1</v>
      </c>
      <c r="O18" s="166" t="str">
        <f t="shared" si="0"/>
        <v>7 OZ , 3 (2+1), -1 ±</v>
      </c>
      <c r="P18" s="5" t="str">
        <f t="shared" si="1"/>
        <v>ANO</v>
      </c>
    </row>
    <row r="19" spans="1:16" x14ac:dyDescent="0.25">
      <c r="A19" s="54">
        <v>18</v>
      </c>
      <c r="B19" s="1" t="s">
        <v>543</v>
      </c>
      <c r="D19" s="205" t="s">
        <v>51</v>
      </c>
      <c r="E19" s="205">
        <v>16</v>
      </c>
      <c r="F19" s="205">
        <v>2</v>
      </c>
      <c r="G19" s="205">
        <v>0</v>
      </c>
      <c r="H19" s="205">
        <v>0</v>
      </c>
      <c r="I19" s="205">
        <v>1</v>
      </c>
      <c r="J19" s="205">
        <v>3</v>
      </c>
      <c r="K19" s="205">
        <v>0</v>
      </c>
      <c r="L19" s="205">
        <v>16</v>
      </c>
      <c r="M19" s="205">
        <v>13</v>
      </c>
      <c r="N19" s="205">
        <v>3</v>
      </c>
      <c r="O19" s="166" t="str">
        <f t="shared" si="0"/>
        <v>16 OZ , 3 (2+1), +3 ±</v>
      </c>
      <c r="P19" s="5" t="str">
        <f t="shared" si="1"/>
        <v>ANO</v>
      </c>
    </row>
    <row r="20" spans="1:16" x14ac:dyDescent="0.25">
      <c r="A20" s="54">
        <v>19</v>
      </c>
      <c r="B20" s="1" t="s">
        <v>544</v>
      </c>
      <c r="D20" s="205" t="s">
        <v>51</v>
      </c>
      <c r="E20" s="205">
        <v>3</v>
      </c>
      <c r="F20" s="205">
        <v>1</v>
      </c>
      <c r="G20" s="205">
        <v>0</v>
      </c>
      <c r="H20" s="205">
        <v>0</v>
      </c>
      <c r="I20" s="205">
        <v>2</v>
      </c>
      <c r="J20" s="205">
        <v>3</v>
      </c>
      <c r="K20" s="205">
        <v>0</v>
      </c>
      <c r="L20" s="205">
        <v>10</v>
      </c>
      <c r="M20" s="205">
        <v>6</v>
      </c>
      <c r="N20" s="205">
        <v>4</v>
      </c>
      <c r="O20" s="166" t="str">
        <f t="shared" si="0"/>
        <v>3 OZ , 3 (1+2), +4 ±</v>
      </c>
      <c r="P20" s="5" t="str">
        <f t="shared" si="1"/>
        <v>ANO</v>
      </c>
    </row>
    <row r="21" spans="1:16" x14ac:dyDescent="0.25">
      <c r="A21" s="54">
        <v>20</v>
      </c>
      <c r="B21" s="1" t="s">
        <v>548</v>
      </c>
      <c r="D21" s="205" t="s">
        <v>51</v>
      </c>
      <c r="E21" s="205">
        <v>14</v>
      </c>
      <c r="F21" s="205">
        <v>1</v>
      </c>
      <c r="G21" s="205">
        <v>0</v>
      </c>
      <c r="H21" s="205">
        <v>0</v>
      </c>
      <c r="I21" s="205">
        <v>2</v>
      </c>
      <c r="J21" s="205">
        <v>3</v>
      </c>
      <c r="K21" s="205">
        <v>2</v>
      </c>
      <c r="L21" s="205">
        <v>12</v>
      </c>
      <c r="M21" s="205">
        <v>9</v>
      </c>
      <c r="N21" s="205">
        <v>3</v>
      </c>
      <c r="O21" s="166" t="str">
        <f t="shared" si="0"/>
        <v>14 OZ , 3 (1+2), +3 ±</v>
      </c>
      <c r="P21" s="5" t="str">
        <f t="shared" si="1"/>
        <v>ANO</v>
      </c>
    </row>
    <row r="22" spans="1:16" x14ac:dyDescent="0.25">
      <c r="A22" s="54">
        <v>21</v>
      </c>
      <c r="B22" s="1" t="s">
        <v>545</v>
      </c>
      <c r="D22" s="205"/>
      <c r="E22" s="205">
        <v>6</v>
      </c>
      <c r="F22" s="205">
        <v>1</v>
      </c>
      <c r="G22" s="205">
        <v>0</v>
      </c>
      <c r="H22" s="205">
        <v>0</v>
      </c>
      <c r="I22" s="205">
        <v>1</v>
      </c>
      <c r="J22" s="205">
        <v>2</v>
      </c>
      <c r="K22" s="205">
        <v>2</v>
      </c>
      <c r="L22" s="205">
        <v>3</v>
      </c>
      <c r="M22" s="205">
        <v>3</v>
      </c>
      <c r="N22" s="205">
        <v>0</v>
      </c>
      <c r="O22" s="166" t="str">
        <f t="shared" si="0"/>
        <v>6 OZ , 2 (1+1), 0 ±</v>
      </c>
      <c r="P22" s="5" t="str">
        <f t="shared" si="1"/>
        <v>ANO</v>
      </c>
    </row>
    <row r="23" spans="1:16" x14ac:dyDescent="0.25">
      <c r="A23" s="54">
        <v>22</v>
      </c>
      <c r="B23" s="1" t="s">
        <v>546</v>
      </c>
      <c r="D23" s="205"/>
      <c r="E23" s="205">
        <v>12</v>
      </c>
      <c r="F23" s="205">
        <v>1</v>
      </c>
      <c r="G23" s="205">
        <v>0</v>
      </c>
      <c r="H23" s="205">
        <v>0</v>
      </c>
      <c r="I23" s="205">
        <v>1</v>
      </c>
      <c r="J23" s="205">
        <v>2</v>
      </c>
      <c r="K23" s="205">
        <v>0</v>
      </c>
      <c r="L23" s="205">
        <v>5</v>
      </c>
      <c r="M23" s="205">
        <v>8</v>
      </c>
      <c r="N23" s="205">
        <v>-3</v>
      </c>
      <c r="O23" s="166" t="str">
        <f t="shared" si="0"/>
        <v>12 OZ , 2 (1+1), -3 ±</v>
      </c>
      <c r="P23" s="5" t="str">
        <f t="shared" si="1"/>
        <v>ANO</v>
      </c>
    </row>
    <row r="24" spans="1:16" x14ac:dyDescent="0.25">
      <c r="A24" s="53">
        <v>23</v>
      </c>
      <c r="B24" s="4" t="s">
        <v>728</v>
      </c>
      <c r="C24" s="4"/>
      <c r="D24" s="5" t="s">
        <v>48</v>
      </c>
      <c r="E24" s="5">
        <v>7</v>
      </c>
      <c r="F24" s="5">
        <v>0</v>
      </c>
      <c r="G24" s="5">
        <v>0</v>
      </c>
      <c r="H24" s="5">
        <v>0</v>
      </c>
      <c r="I24" s="5">
        <v>1</v>
      </c>
      <c r="J24" s="5">
        <v>1</v>
      </c>
      <c r="K24" s="5">
        <v>0</v>
      </c>
      <c r="L24" s="5">
        <v>0</v>
      </c>
      <c r="M24" s="5">
        <v>0</v>
      </c>
      <c r="N24" s="5">
        <v>0</v>
      </c>
      <c r="O24" s="166" t="e">
        <f t="shared" si="0"/>
        <v>#VALUE!</v>
      </c>
      <c r="P24" s="5" t="str">
        <f t="shared" si="1"/>
        <v>NE</v>
      </c>
    </row>
    <row r="25" spans="1:16" x14ac:dyDescent="0.25">
      <c r="A25" s="53">
        <v>24</v>
      </c>
      <c r="B25" s="4" t="s">
        <v>549</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551</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550</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552</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553</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549</v>
      </c>
      <c r="C39"/>
      <c r="D39" s="190">
        <v>21</v>
      </c>
      <c r="E39" s="190">
        <v>20</v>
      </c>
      <c r="F39" s="190">
        <v>1189.98</v>
      </c>
      <c r="G39" s="190">
        <v>13</v>
      </c>
      <c r="H39" s="190">
        <v>96</v>
      </c>
      <c r="I39" s="190">
        <v>0</v>
      </c>
      <c r="J39" s="190">
        <v>453</v>
      </c>
      <c r="K39" s="190">
        <v>0</v>
      </c>
      <c r="L39" s="190">
        <v>7</v>
      </c>
      <c r="M39" s="190">
        <v>357</v>
      </c>
      <c r="N39" s="190">
        <v>1</v>
      </c>
      <c r="O39" s="190">
        <v>4</v>
      </c>
      <c r="P39" s="11">
        <f>IF(B39&lt;&gt;0,IFERROR(H39/(F39/60),0),"")</f>
        <v>4.8404174860081675</v>
      </c>
      <c r="Q39" s="11">
        <f>IF(B39&lt;&gt;0,IFERROR((M39/J39)*100,0),"")</f>
        <v>78.807947019867555</v>
      </c>
      <c r="R39" s="166" t="str">
        <f>IF(B39&lt;&gt;0,CONCATENATE(G39, " V, ",L39," P"),"")</f>
        <v>13 V, 7 P</v>
      </c>
    </row>
    <row r="40" spans="1:27" x14ac:dyDescent="0.25">
      <c r="A40" s="54">
        <v>2</v>
      </c>
      <c r="B40" t="s">
        <v>553</v>
      </c>
      <c r="C40"/>
      <c r="D40" s="190">
        <v>17</v>
      </c>
      <c r="E40" s="190">
        <v>2</v>
      </c>
      <c r="F40" s="190">
        <v>69.87</v>
      </c>
      <c r="G40" s="190">
        <v>2</v>
      </c>
      <c r="H40" s="190">
        <v>3</v>
      </c>
      <c r="I40" s="190">
        <v>0</v>
      </c>
      <c r="J40" s="190">
        <v>19</v>
      </c>
      <c r="K40" s="190">
        <v>0</v>
      </c>
      <c r="L40" s="190">
        <v>0</v>
      </c>
      <c r="M40" s="190">
        <v>16</v>
      </c>
      <c r="N40" s="190">
        <v>0</v>
      </c>
      <c r="O40" s="190">
        <v>0</v>
      </c>
      <c r="P40" s="11">
        <f t="shared" ref="P40:P45" si="2">IF(B40&lt;&gt;0,IFERROR(H40/(F40/60),0),"")</f>
        <v>2.5762129669386002</v>
      </c>
      <c r="Q40" s="11">
        <f t="shared" ref="Q40:Q45" si="3">IF(B40&lt;&gt;0,IFERROR((M40/J40)*100,0),"")</f>
        <v>84.210526315789465</v>
      </c>
      <c r="R40" s="166" t="str">
        <f t="shared" ref="R40:R45" si="4">IF(B40&lt;&gt;0,CONCATENATE(G40, " V, ",L40," P"),"")</f>
        <v>2 V, 0 P</v>
      </c>
    </row>
    <row r="41" spans="1:27" x14ac:dyDescent="0.25">
      <c r="A41" s="54">
        <v>3</v>
      </c>
      <c r="B41" t="s">
        <v>550</v>
      </c>
      <c r="C41"/>
      <c r="D41" s="190">
        <v>4</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81" t="s">
        <v>290</v>
      </c>
      <c r="Y46" s="381"/>
      <c r="Z46" s="381"/>
      <c r="AA46" s="381"/>
    </row>
    <row r="47" spans="1:27" s="167" customFormat="1" ht="15" customHeight="1" x14ac:dyDescent="0.25">
      <c r="A47" s="7">
        <f ca="1">TODAY()</f>
        <v>44244</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478</v>
      </c>
    </row>
    <row r="48" spans="1:27" ht="15" customHeight="1" x14ac:dyDescent="0.25">
      <c r="B48" s="1" t="s">
        <v>535</v>
      </c>
      <c r="C48" s="137"/>
      <c r="D48" s="166" t="str">
        <f t="shared" ref="D48:D74" si="5">IF(C48 &lt;&gt; 0,ROUNDDOWN(($A$47-C48)/365.25,0),"")</f>
        <v/>
      </c>
      <c r="E48" s="139"/>
      <c r="F48" s="139"/>
      <c r="G48" s="139"/>
      <c r="H48" s="166">
        <f t="shared" ref="H48:H74" si="6">IF(B48&lt;&gt;0,F48+G48,"")</f>
        <v>0</v>
      </c>
      <c r="I48" s="139"/>
      <c r="J48" s="139"/>
      <c r="K48" s="139"/>
      <c r="L48" s="139"/>
      <c r="M48" s="139"/>
      <c r="N48" s="139"/>
      <c r="O48" s="166" t="str">
        <f t="shared" ref="O48:O74" si="7">IF(B48&lt;&gt;0,CONCATENATE(E48+IFERROR(VLOOKUP(B48,$B$2:$N$36,4,FALSE),0) + X48, " OZ, ", H48+IFERROR(VLOOKUP(B48,$B$2:$N$36,9,FALSE),0) + Y48+Z48, " (", F48+IFERROR(VLOOKUP(B48,$B$2:$N$36,5,FALSE),0) + Y48, "+",G48+IFERROR(VLOOKUP(B48,$B$2:$N$36,8,FALSE),0) +  Z48, ")"), "")</f>
        <v>13 OZ, 8 (6+2)</v>
      </c>
      <c r="P48" s="166" t="str">
        <f t="shared" ref="P48:P74" si="8">IF(M48&lt;&gt;0,CONCATENATE(M48,"/",N48),"")</f>
        <v/>
      </c>
      <c r="Q48" s="140"/>
      <c r="R48" s="139"/>
      <c r="S48" s="166"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6">
        <f t="shared" ref="V48:V74" si="12">IF(B48&lt;&gt;0,COUNTIF($U$48:$U$82,U48),"")</f>
        <v>1</v>
      </c>
      <c r="W48" s="166" t="str">
        <f t="shared" ref="W48:W74" si="13">IFERROR(LEFT(LEFT(B48,SEARCH(" ",B48,1)),1),"")</f>
        <v>M</v>
      </c>
      <c r="X48" s="139"/>
      <c r="Y48" s="139"/>
      <c r="Z48" s="139"/>
      <c r="AA48" s="138"/>
    </row>
    <row r="49" spans="2:27" ht="15" customHeight="1" x14ac:dyDescent="0.25">
      <c r="B49" s="1" t="s">
        <v>541</v>
      </c>
      <c r="C49" s="137"/>
      <c r="D49" s="166" t="str">
        <f t="shared" si="5"/>
        <v/>
      </c>
      <c r="E49" s="139"/>
      <c r="F49" s="139"/>
      <c r="G49" s="139"/>
      <c r="H49" s="166">
        <f t="shared" si="6"/>
        <v>0</v>
      </c>
      <c r="I49" s="139"/>
      <c r="J49" s="139"/>
      <c r="K49" s="139"/>
      <c r="L49" s="139"/>
      <c r="M49" s="139"/>
      <c r="N49" s="139"/>
      <c r="O49" s="166" t="str">
        <f t="shared" si="7"/>
        <v>21 OZ, 6 (3+3)</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534</v>
      </c>
      <c r="C50" s="137"/>
      <c r="D50" s="166" t="str">
        <f t="shared" si="5"/>
        <v/>
      </c>
      <c r="E50" s="139"/>
      <c r="F50" s="139"/>
      <c r="G50" s="139"/>
      <c r="H50" s="166">
        <f t="shared" si="6"/>
        <v>0</v>
      </c>
      <c r="I50" s="139"/>
      <c r="J50" s="139"/>
      <c r="K50" s="139"/>
      <c r="L50" s="139"/>
      <c r="M50" s="139"/>
      <c r="N50" s="139"/>
      <c r="O50" s="166" t="str">
        <f t="shared" si="7"/>
        <v>16 OZ, 15 (12+3)</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549</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20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529</v>
      </c>
      <c r="C52" s="137"/>
      <c r="D52" s="166" t="str">
        <f t="shared" si="5"/>
        <v/>
      </c>
      <c r="E52" s="139"/>
      <c r="F52" s="139"/>
      <c r="G52" s="139"/>
      <c r="H52" s="166">
        <f t="shared" si="6"/>
        <v>0</v>
      </c>
      <c r="I52" s="139"/>
      <c r="J52" s="139"/>
      <c r="K52" s="139"/>
      <c r="L52" s="139"/>
      <c r="M52" s="139"/>
      <c r="N52" s="139"/>
      <c r="O52" s="166" t="str">
        <f t="shared" si="7"/>
        <v>21 OZ, 22 (11+11)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542</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543</v>
      </c>
      <c r="C54" s="137"/>
      <c r="D54" s="166" t="str">
        <f t="shared" si="5"/>
        <v/>
      </c>
      <c r="E54" s="139"/>
      <c r="F54" s="139"/>
      <c r="G54" s="139"/>
      <c r="H54" s="166">
        <f t="shared" si="6"/>
        <v>0</v>
      </c>
      <c r="I54" s="139"/>
      <c r="J54" s="139"/>
      <c r="K54" s="139"/>
      <c r="L54" s="139"/>
      <c r="M54" s="139"/>
      <c r="N54" s="139"/>
      <c r="O54" s="166" t="str">
        <f t="shared" si="7"/>
        <v>16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537</v>
      </c>
      <c r="C55" s="137"/>
      <c r="D55" s="166" t="str">
        <f t="shared" si="5"/>
        <v/>
      </c>
      <c r="E55" s="139"/>
      <c r="F55" s="139"/>
      <c r="G55" s="139"/>
      <c r="H55" s="166">
        <f t="shared" si="6"/>
        <v>0</v>
      </c>
      <c r="I55" s="139"/>
      <c r="J55" s="139"/>
      <c r="K55" s="139"/>
      <c r="L55" s="139"/>
      <c r="M55" s="139"/>
      <c r="N55" s="139"/>
      <c r="O55" s="166" t="str">
        <f t="shared" si="7"/>
        <v>15 OZ, 9 (5+4)</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539</v>
      </c>
      <c r="C56" s="137"/>
      <c r="D56" s="166" t="str">
        <f t="shared" si="5"/>
        <v/>
      </c>
      <c r="E56" s="139"/>
      <c r="F56" s="139"/>
      <c r="G56" s="139"/>
      <c r="H56" s="166">
        <f t="shared" si="6"/>
        <v>0</v>
      </c>
      <c r="I56" s="139"/>
      <c r="J56" s="139"/>
      <c r="K56" s="139"/>
      <c r="L56" s="139"/>
      <c r="M56" s="139"/>
      <c r="N56" s="139"/>
      <c r="O56" s="166" t="str">
        <f t="shared" si="7"/>
        <v>14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531</v>
      </c>
      <c r="C57" s="137"/>
      <c r="D57" s="166" t="str">
        <f t="shared" si="5"/>
        <v/>
      </c>
      <c r="E57" s="139"/>
      <c r="F57" s="139"/>
      <c r="G57" s="139"/>
      <c r="H57" s="166">
        <f t="shared" si="6"/>
        <v>0</v>
      </c>
      <c r="I57" s="139"/>
      <c r="J57" s="139"/>
      <c r="K57" s="139"/>
      <c r="L57" s="139"/>
      <c r="M57" s="139"/>
      <c r="N57" s="139"/>
      <c r="O57" s="166" t="str">
        <f t="shared" si="7"/>
        <v>18 OZ, 15 (7+8)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548</v>
      </c>
      <c r="C58" s="137"/>
      <c r="D58" s="166" t="str">
        <f t="shared" si="5"/>
        <v/>
      </c>
      <c r="E58" s="139"/>
      <c r="F58" s="139"/>
      <c r="G58" s="139"/>
      <c r="H58" s="166">
        <f t="shared" si="6"/>
        <v>0</v>
      </c>
      <c r="I58" s="139"/>
      <c r="J58" s="139"/>
      <c r="K58" s="139"/>
      <c r="L58" s="139"/>
      <c r="M58" s="139"/>
      <c r="N58" s="139"/>
      <c r="O58" s="166" t="str">
        <f t="shared" si="7"/>
        <v>14 OZ, 3 (1+2)</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530</v>
      </c>
      <c r="C59" s="137"/>
      <c r="D59" s="166" t="str">
        <f t="shared" si="5"/>
        <v/>
      </c>
      <c r="E59" s="139"/>
      <c r="F59" s="139"/>
      <c r="G59" s="139"/>
      <c r="H59" s="166">
        <f t="shared" si="6"/>
        <v>0</v>
      </c>
      <c r="I59" s="139"/>
      <c r="J59" s="139"/>
      <c r="K59" s="139"/>
      <c r="L59" s="139"/>
      <c r="M59" s="139"/>
      <c r="N59" s="139"/>
      <c r="O59" s="166" t="str">
        <f t="shared" si="7"/>
        <v>21 OZ, 22 (15+7)</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546</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538</v>
      </c>
      <c r="C61" s="137"/>
      <c r="D61" s="166" t="str">
        <f t="shared" si="5"/>
        <v/>
      </c>
      <c r="E61" s="139"/>
      <c r="F61" s="139"/>
      <c r="G61" s="139"/>
      <c r="H61" s="166">
        <f t="shared" si="6"/>
        <v>0</v>
      </c>
      <c r="I61" s="139"/>
      <c r="J61" s="139"/>
      <c r="K61" s="139"/>
      <c r="L61" s="139"/>
      <c r="M61" s="139"/>
      <c r="N61" s="139"/>
      <c r="O61" s="166" t="str">
        <f t="shared" si="7"/>
        <v>20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527</v>
      </c>
      <c r="C62" s="137"/>
      <c r="D62" s="166" t="str">
        <f t="shared" si="5"/>
        <v/>
      </c>
      <c r="E62" s="139"/>
      <c r="F62" s="139"/>
      <c r="G62" s="139"/>
      <c r="H62" s="166">
        <f t="shared" si="6"/>
        <v>0</v>
      </c>
      <c r="I62" s="139"/>
      <c r="J62" s="139"/>
      <c r="K62" s="139"/>
      <c r="L62" s="139"/>
      <c r="M62" s="139"/>
      <c r="N62" s="139"/>
      <c r="O62" s="166" t="str">
        <f t="shared" si="7"/>
        <v>21 OZ, 39 (16+23)</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533</v>
      </c>
      <c r="C63" s="137"/>
      <c r="D63" s="166" t="str">
        <f t="shared" si="5"/>
        <v/>
      </c>
      <c r="E63" s="139"/>
      <c r="F63" s="139"/>
      <c r="G63" s="139"/>
      <c r="H63" s="166">
        <f t="shared" si="6"/>
        <v>0</v>
      </c>
      <c r="I63" s="139"/>
      <c r="J63" s="139"/>
      <c r="K63" s="139"/>
      <c r="L63" s="139"/>
      <c r="M63" s="139"/>
      <c r="N63" s="139"/>
      <c r="O63" s="166" t="str">
        <f t="shared" si="7"/>
        <v>21 OZ, 19 (8+11)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4" t="s">
        <v>551</v>
      </c>
      <c r="C64" s="137"/>
      <c r="D64" s="166" t="str">
        <f t="shared" si="5"/>
        <v/>
      </c>
      <c r="E64" s="139"/>
      <c r="F64" s="139"/>
      <c r="G64" s="139"/>
      <c r="H64" s="166">
        <f t="shared" si="6"/>
        <v>0</v>
      </c>
      <c r="I64" s="139"/>
      <c r="J64" s="139"/>
      <c r="K64" s="139"/>
      <c r="L64" s="139"/>
      <c r="M64" s="139"/>
      <c r="N64" s="139"/>
      <c r="O64" s="166" t="str">
        <f t="shared" si="7"/>
        <v>4 OZ, 0 (0+0)</v>
      </c>
      <c r="P64" s="166" t="str">
        <f t="shared" si="8"/>
        <v/>
      </c>
      <c r="Q64" s="140"/>
      <c r="R64" s="139"/>
      <c r="S64" s="166" t="str">
        <f t="shared" si="9"/>
        <v/>
      </c>
      <c r="T64" s="1" t="str">
        <f t="shared" si="10"/>
        <v>Masár</v>
      </c>
      <c r="U64" s="1" t="str">
        <f t="shared" si="11"/>
        <v>Masár</v>
      </c>
      <c r="V64" s="166">
        <f t="shared" si="12"/>
        <v>1</v>
      </c>
      <c r="W64" s="166" t="str">
        <f t="shared" si="13"/>
        <v>Š</v>
      </c>
      <c r="X64" s="139"/>
      <c r="Y64" s="139"/>
      <c r="Z64" s="139"/>
      <c r="AA64" s="138"/>
    </row>
    <row r="65" spans="2:27" ht="15" customHeight="1" x14ac:dyDescent="0.25">
      <c r="B65" s="1" t="s">
        <v>547</v>
      </c>
      <c r="C65" s="137"/>
      <c r="D65" s="166" t="str">
        <f t="shared" si="5"/>
        <v/>
      </c>
      <c r="E65" s="139"/>
      <c r="F65" s="139"/>
      <c r="G65" s="139"/>
      <c r="H65" s="166">
        <f t="shared" si="6"/>
        <v>0</v>
      </c>
      <c r="I65" s="139"/>
      <c r="J65" s="139"/>
      <c r="K65" s="139"/>
      <c r="L65" s="139"/>
      <c r="M65" s="139"/>
      <c r="N65" s="139"/>
      <c r="O65" s="166" t="str">
        <f t="shared" si="7"/>
        <v>14 OZ, 7 (2+5)</v>
      </c>
      <c r="P65" s="166" t="str">
        <f t="shared" si="8"/>
        <v/>
      </c>
      <c r="Q65" s="140"/>
      <c r="R65" s="139"/>
      <c r="S65" s="166" t="str">
        <f t="shared" si="9"/>
        <v/>
      </c>
      <c r="T65" s="1" t="str">
        <f t="shared" si="10"/>
        <v>Pažák</v>
      </c>
      <c r="U65" s="1" t="str">
        <f t="shared" si="11"/>
        <v>Pažák</v>
      </c>
      <c r="V65" s="166">
        <f t="shared" si="12"/>
        <v>1</v>
      </c>
      <c r="W65" s="166" t="str">
        <f t="shared" si="13"/>
        <v>M</v>
      </c>
      <c r="X65" s="139"/>
      <c r="Y65" s="139"/>
      <c r="Z65" s="139"/>
      <c r="AA65" s="138"/>
    </row>
    <row r="66" spans="2:27" ht="15" customHeight="1" x14ac:dyDescent="0.25">
      <c r="B66" s="4" t="s">
        <v>550</v>
      </c>
      <c r="C66" s="137"/>
      <c r="D66" s="166" t="str">
        <f t="shared" si="5"/>
        <v/>
      </c>
      <c r="E66" s="139"/>
      <c r="F66" s="139"/>
      <c r="G66" s="139"/>
      <c r="H66" s="166">
        <f t="shared" si="6"/>
        <v>0</v>
      </c>
      <c r="I66" s="139"/>
      <c r="J66" s="139"/>
      <c r="K66" s="139"/>
      <c r="L66" s="139"/>
      <c r="M66" s="139"/>
      <c r="N66" s="139"/>
      <c r="O66" s="166" t="str">
        <f t="shared" si="7"/>
        <v>0 OZ, 0 (0+0)</v>
      </c>
      <c r="P66" s="166" t="str">
        <f t="shared" si="8"/>
        <v/>
      </c>
      <c r="Q66" s="140"/>
      <c r="R66" s="139"/>
      <c r="S66" s="166" t="str">
        <f t="shared" si="9"/>
        <v>0 OZ, 0 A</v>
      </c>
      <c r="T66" s="1" t="str">
        <f t="shared" si="10"/>
        <v>Pelech</v>
      </c>
      <c r="U66" s="1" t="str">
        <f t="shared" si="11"/>
        <v>Pelech</v>
      </c>
      <c r="V66" s="166">
        <f t="shared" si="12"/>
        <v>1</v>
      </c>
      <c r="W66" s="166" t="str">
        <f t="shared" si="13"/>
        <v>O</v>
      </c>
      <c r="X66" s="139"/>
      <c r="Y66" s="139"/>
      <c r="Z66" s="139"/>
      <c r="AA66" s="138"/>
    </row>
    <row r="67" spans="2:27" ht="15" customHeight="1" x14ac:dyDescent="0.25">
      <c r="B67" s="1" t="s">
        <v>540</v>
      </c>
      <c r="C67" s="137"/>
      <c r="D67" s="166" t="str">
        <f t="shared" si="5"/>
        <v/>
      </c>
      <c r="E67" s="139"/>
      <c r="F67" s="139"/>
      <c r="G67" s="139"/>
      <c r="H67" s="166">
        <f t="shared" si="6"/>
        <v>0</v>
      </c>
      <c r="I67" s="139"/>
      <c r="J67" s="139"/>
      <c r="K67" s="139"/>
      <c r="L67" s="139"/>
      <c r="M67" s="139"/>
      <c r="N67" s="139"/>
      <c r="O67" s="166" t="str">
        <f t="shared" si="7"/>
        <v>20 OZ, 7 (3+4)</v>
      </c>
      <c r="P67" s="166" t="str">
        <f t="shared" si="8"/>
        <v/>
      </c>
      <c r="Q67" s="140"/>
      <c r="R67" s="139"/>
      <c r="S67" s="166" t="str">
        <f t="shared" si="9"/>
        <v/>
      </c>
      <c r="T67" s="1" t="str">
        <f t="shared" si="10"/>
        <v>Pruner</v>
      </c>
      <c r="U67" s="1" t="str">
        <f t="shared" si="11"/>
        <v>Pruner</v>
      </c>
      <c r="V67" s="166">
        <f t="shared" si="12"/>
        <v>1</v>
      </c>
      <c r="W67" s="166" t="str">
        <f t="shared" si="13"/>
        <v>M</v>
      </c>
      <c r="X67" s="139"/>
      <c r="Y67" s="139"/>
      <c r="Z67" s="139"/>
      <c r="AA67" s="138"/>
    </row>
    <row r="68" spans="2:27" ht="15" customHeight="1" x14ac:dyDescent="0.25">
      <c r="B68" s="1" t="s">
        <v>544</v>
      </c>
      <c r="C68" s="137"/>
      <c r="D68" s="166" t="str">
        <f t="shared" si="5"/>
        <v/>
      </c>
      <c r="E68" s="139"/>
      <c r="F68" s="139"/>
      <c r="G68" s="139"/>
      <c r="H68" s="166">
        <f t="shared" si="6"/>
        <v>0</v>
      </c>
      <c r="I68" s="139"/>
      <c r="J68" s="139"/>
      <c r="K68" s="139"/>
      <c r="L68" s="139"/>
      <c r="M68" s="139"/>
      <c r="N68" s="139"/>
      <c r="O68" s="166" t="str">
        <f t="shared" si="7"/>
        <v>3 OZ, 3 (1+2)</v>
      </c>
      <c r="P68" s="166" t="str">
        <f t="shared" si="8"/>
        <v/>
      </c>
      <c r="Q68" s="140"/>
      <c r="R68" s="139"/>
      <c r="S68" s="166" t="str">
        <f t="shared" si="9"/>
        <v/>
      </c>
      <c r="T68" s="1" t="str">
        <f t="shared" si="10"/>
        <v>Riebauer</v>
      </c>
      <c r="U68" s="1" t="str">
        <f t="shared" si="11"/>
        <v>Riebauer</v>
      </c>
      <c r="V68" s="166">
        <f t="shared" si="12"/>
        <v>1</v>
      </c>
      <c r="W68" s="166" t="str">
        <f t="shared" si="13"/>
        <v>O</v>
      </c>
      <c r="X68" s="139"/>
      <c r="Y68" s="139"/>
      <c r="Z68" s="139"/>
      <c r="AA68" s="138"/>
    </row>
    <row r="69" spans="2:27" ht="15" customHeight="1" x14ac:dyDescent="0.25">
      <c r="B69" s="4" t="s">
        <v>528</v>
      </c>
      <c r="C69" s="137"/>
      <c r="D69" s="166" t="str">
        <f t="shared" si="5"/>
        <v/>
      </c>
      <c r="E69" s="139"/>
      <c r="F69" s="139"/>
      <c r="G69" s="139"/>
      <c r="H69" s="166">
        <f t="shared" si="6"/>
        <v>0</v>
      </c>
      <c r="I69" s="139"/>
      <c r="J69" s="139"/>
      <c r="K69" s="139"/>
      <c r="L69" s="139"/>
      <c r="M69" s="139"/>
      <c r="N69" s="139"/>
      <c r="O69" s="166" t="str">
        <f t="shared" si="7"/>
        <v>20 OZ, 35 (23+12)</v>
      </c>
      <c r="P69" s="166" t="str">
        <f t="shared" si="8"/>
        <v/>
      </c>
      <c r="Q69" s="140"/>
      <c r="R69" s="139"/>
      <c r="S69" s="166" t="str">
        <f t="shared" si="9"/>
        <v/>
      </c>
      <c r="T69" s="1" t="str">
        <f t="shared" si="10"/>
        <v>Ujhelyi</v>
      </c>
      <c r="U69" s="1" t="str">
        <f t="shared" si="11"/>
        <v>Ujhelyi</v>
      </c>
      <c r="V69" s="166">
        <f t="shared" si="12"/>
        <v>1</v>
      </c>
      <c r="W69" s="166" t="str">
        <f t="shared" si="13"/>
        <v>L</v>
      </c>
      <c r="X69" s="139"/>
      <c r="Y69" s="139"/>
      <c r="Z69" s="139"/>
      <c r="AA69" s="138"/>
    </row>
    <row r="70" spans="2:27" ht="15" customHeight="1" x14ac:dyDescent="0.25">
      <c r="B70" s="1" t="s">
        <v>545</v>
      </c>
      <c r="C70" s="137"/>
      <c r="D70" s="166" t="str">
        <f t="shared" si="5"/>
        <v/>
      </c>
      <c r="E70" s="139"/>
      <c r="F70" s="139"/>
      <c r="G70" s="139"/>
      <c r="H70" s="166">
        <f t="shared" si="6"/>
        <v>0</v>
      </c>
      <c r="I70" s="139"/>
      <c r="J70" s="139"/>
      <c r="K70" s="139"/>
      <c r="L70" s="139"/>
      <c r="M70" s="139"/>
      <c r="N70" s="139"/>
      <c r="O70" s="166" t="str">
        <f t="shared" si="7"/>
        <v>6 OZ, 2 (1+1)</v>
      </c>
      <c r="P70" s="166" t="str">
        <f t="shared" si="8"/>
        <v/>
      </c>
      <c r="Q70" s="140"/>
      <c r="R70" s="139"/>
      <c r="S70" s="166" t="str">
        <f t="shared" si="9"/>
        <v/>
      </c>
      <c r="T70" s="1" t="str">
        <f t="shared" si="10"/>
        <v>Velc</v>
      </c>
      <c r="U70" s="1" t="str">
        <f t="shared" si="11"/>
        <v>Velc</v>
      </c>
      <c r="V70" s="166">
        <f t="shared" si="12"/>
        <v>1</v>
      </c>
      <c r="W70" s="166" t="str">
        <f t="shared" si="13"/>
        <v>M</v>
      </c>
      <c r="X70" s="139"/>
      <c r="Y70" s="139"/>
      <c r="Z70" s="139"/>
      <c r="AA70" s="138"/>
    </row>
    <row r="71" spans="2:27" ht="15" customHeight="1" x14ac:dyDescent="0.25">
      <c r="B71" s="4" t="s">
        <v>552</v>
      </c>
      <c r="C71" s="137"/>
      <c r="D71" s="166" t="str">
        <f t="shared" si="5"/>
        <v/>
      </c>
      <c r="E71" s="139"/>
      <c r="F71" s="139"/>
      <c r="G71" s="139"/>
      <c r="H71" s="166">
        <f t="shared" si="6"/>
        <v>0</v>
      </c>
      <c r="I71" s="139"/>
      <c r="J71" s="139"/>
      <c r="K71" s="139"/>
      <c r="L71" s="139"/>
      <c r="M71" s="139"/>
      <c r="N71" s="139"/>
      <c r="O71" s="166" t="str">
        <f t="shared" si="7"/>
        <v>7 OZ, 0 (0+0)</v>
      </c>
      <c r="P71" s="166" t="str">
        <f t="shared" si="8"/>
        <v/>
      </c>
      <c r="Q71" s="140"/>
      <c r="R71" s="139"/>
      <c r="S71" s="166" t="str">
        <f t="shared" si="9"/>
        <v/>
      </c>
      <c r="T71" s="1" t="str">
        <f t="shared" si="10"/>
        <v>Veselý</v>
      </c>
      <c r="U71" s="1" t="str">
        <f t="shared" si="11"/>
        <v>Veselý</v>
      </c>
      <c r="V71" s="166">
        <f t="shared" si="12"/>
        <v>1</v>
      </c>
      <c r="W71" s="166" t="str">
        <f t="shared" si="13"/>
        <v>M</v>
      </c>
      <c r="X71" s="139"/>
      <c r="Y71" s="139"/>
      <c r="Z71" s="139"/>
      <c r="AA71" s="138"/>
    </row>
    <row r="72" spans="2:27" ht="15" customHeight="1" x14ac:dyDescent="0.25">
      <c r="B72" s="1" t="s">
        <v>536</v>
      </c>
      <c r="C72" s="137"/>
      <c r="D72" s="166" t="str">
        <f t="shared" si="5"/>
        <v/>
      </c>
      <c r="E72" s="139"/>
      <c r="F72" s="139"/>
      <c r="G72" s="139"/>
      <c r="H72" s="166">
        <f t="shared" si="6"/>
        <v>0</v>
      </c>
      <c r="I72" s="139"/>
      <c r="J72" s="139"/>
      <c r="K72" s="139"/>
      <c r="L72" s="139"/>
      <c r="M72" s="139"/>
      <c r="N72" s="139"/>
      <c r="O72" s="166" t="str">
        <f t="shared" si="7"/>
        <v>21 OZ, 11 (6+5)</v>
      </c>
      <c r="P72" s="166" t="str">
        <f t="shared" si="8"/>
        <v/>
      </c>
      <c r="Q72" s="140"/>
      <c r="R72" s="139"/>
      <c r="S72" s="166" t="str">
        <f t="shared" si="9"/>
        <v/>
      </c>
      <c r="T72" s="1" t="str">
        <f t="shared" si="10"/>
        <v>Zeman</v>
      </c>
      <c r="U72" s="1" t="str">
        <f t="shared" si="11"/>
        <v>Zeman</v>
      </c>
      <c r="V72" s="166">
        <f t="shared" si="12"/>
        <v>1</v>
      </c>
      <c r="W72" s="166" t="str">
        <f t="shared" si="13"/>
        <v>M</v>
      </c>
      <c r="X72" s="139"/>
      <c r="Y72" s="139"/>
      <c r="Z72" s="139"/>
      <c r="AA72" s="138"/>
    </row>
    <row r="73" spans="2:27" ht="15" customHeight="1" x14ac:dyDescent="0.25">
      <c r="B73" s="4" t="s">
        <v>553</v>
      </c>
      <c r="C73" s="137"/>
      <c r="D73" s="166" t="str">
        <f t="shared" si="5"/>
        <v/>
      </c>
      <c r="E73" s="139"/>
      <c r="F73" s="139"/>
      <c r="G73" s="139"/>
      <c r="H73" s="166">
        <f t="shared" si="6"/>
        <v>0</v>
      </c>
      <c r="I73" s="139"/>
      <c r="J73" s="139"/>
      <c r="K73" s="139"/>
      <c r="L73" s="139"/>
      <c r="M73" s="139"/>
      <c r="N73" s="139"/>
      <c r="O73" s="166" t="str">
        <f t="shared" si="7"/>
        <v>0 OZ, 0 (0+0)</v>
      </c>
      <c r="P73" s="166" t="str">
        <f t="shared" si="8"/>
        <v/>
      </c>
      <c r="Q73" s="140"/>
      <c r="R73" s="139"/>
      <c r="S73" s="166" t="str">
        <f t="shared" si="9"/>
        <v>2 OZ, 0 A</v>
      </c>
      <c r="T73" s="1" t="str">
        <f t="shared" si="10"/>
        <v>Zítka</v>
      </c>
      <c r="U73" s="1" t="str">
        <f t="shared" si="11"/>
        <v>Zítka</v>
      </c>
      <c r="V73" s="166">
        <f t="shared" si="12"/>
        <v>1</v>
      </c>
      <c r="W73" s="166" t="str">
        <f t="shared" si="13"/>
        <v>P</v>
      </c>
      <c r="X73" s="139"/>
      <c r="Y73" s="139"/>
      <c r="Z73" s="139"/>
      <c r="AA73" s="138"/>
    </row>
    <row r="74" spans="2:27" ht="15" customHeight="1" x14ac:dyDescent="0.25">
      <c r="B74" s="1" t="s">
        <v>532</v>
      </c>
      <c r="C74" s="137"/>
      <c r="D74" s="166" t="str">
        <f t="shared" si="5"/>
        <v/>
      </c>
      <c r="E74" s="139"/>
      <c r="F74" s="139"/>
      <c r="G74" s="139"/>
      <c r="H74" s="166">
        <f t="shared" si="6"/>
        <v>0</v>
      </c>
      <c r="I74" s="139"/>
      <c r="J74" s="139"/>
      <c r="K74" s="139"/>
      <c r="L74" s="139"/>
      <c r="M74" s="139"/>
      <c r="N74" s="139"/>
      <c r="O74" s="166" t="str">
        <f t="shared" si="7"/>
        <v>21 OZ, 18 (5+13)</v>
      </c>
      <c r="P74" s="166" t="str">
        <f t="shared" si="8"/>
        <v/>
      </c>
      <c r="Q74" s="140"/>
      <c r="R74" s="139"/>
      <c r="S74" s="166" t="str">
        <f t="shared" si="9"/>
        <v/>
      </c>
      <c r="T74" s="1" t="str">
        <f t="shared" si="10"/>
        <v>Zouzal</v>
      </c>
      <c r="U74" s="1" t="str">
        <f t="shared" si="11"/>
        <v>Zouzal</v>
      </c>
      <c r="V74" s="166">
        <f t="shared" si="12"/>
        <v>1</v>
      </c>
      <c r="W74" s="166" t="str">
        <f t="shared" si="13"/>
        <v>M</v>
      </c>
      <c r="X74" s="139"/>
      <c r="Y74" s="139"/>
      <c r="Z74" s="139"/>
      <c r="AA74" s="138"/>
    </row>
    <row r="75" spans="2:27" ht="15" customHeight="1" x14ac:dyDescent="0.25">
      <c r="C75" s="137"/>
      <c r="D75" s="166" t="str">
        <f t="shared" ref="D75" si="14">IF(C75 &lt;&gt; 0,ROUNDDOWN(($A$47-C75)/365.25,0),"")</f>
        <v/>
      </c>
      <c r="E75" s="139"/>
      <c r="F75" s="139"/>
      <c r="G75" s="139"/>
      <c r="H75" s="166" t="str">
        <f t="shared" ref="H75" si="15">IF(B75&lt;&gt;0,F75+G75,"")</f>
        <v/>
      </c>
      <c r="I75" s="139"/>
      <c r="J75" s="139"/>
      <c r="K75" s="139"/>
      <c r="L75" s="139"/>
      <c r="M75" s="139"/>
      <c r="N75" s="139"/>
      <c r="O75" s="166" t="str">
        <f t="shared" ref="O75" si="16">IF(B75&lt;&gt;0,CONCATENATE(E75+IFERROR(VLOOKUP(B75,$B$2:$N$36,4,FALSE),0) + X75, " OZ, ", H75+IFERROR(VLOOKUP(B75,$B$2:$N$36,9,FALSE),0) + Y75+Z75, " (", F75+IFERROR(VLOOKUP(B75,$B$2:$N$36,5,FALSE),0) + Y75, "+",G75+IFERROR(VLOOKUP(B75,$B$2:$N$36,8,FALSE),0) +  Z75, ")"), "")</f>
        <v/>
      </c>
      <c r="P75" s="166" t="str">
        <f t="shared" ref="P75" si="17">IF(M75&lt;&gt;0,CONCATENATE(M75,"/",N75),"")</f>
        <v/>
      </c>
      <c r="Q75" s="140"/>
      <c r="R75" s="139"/>
      <c r="S75" s="166" t="str">
        <f t="shared" ref="S75" si="18">IFERROR(CONCATENATE(E75+VLOOKUP(B75,$B$39:$R$42,4,FALSE), " OZ, ",G75+VLOOKUP(B75,$B$39:$R$42,13,FALSE), " A"),"")</f>
        <v/>
      </c>
      <c r="T75" s="1" t="str">
        <f t="shared" ref="T75" si="19">IF(B75&lt;&gt;0,IF(V75=1,U75,CONCATENATE(U75," ",W75,".")),"")</f>
        <v/>
      </c>
      <c r="U75" s="1" t="str">
        <f t="shared" ref="U75" si="20">IFERROR(RIGHT(B75,LEN(B75)-SEARCH(" ", B75,1)),"")</f>
        <v/>
      </c>
      <c r="V75" s="166" t="str">
        <f t="shared" ref="V75" si="21">IF(B75&lt;&gt;0,COUNTIF($U$48:$U$82,U75),"")</f>
        <v/>
      </c>
      <c r="W75" s="166" t="str">
        <f t="shared" ref="W75" si="22">IFERROR(LEFT(LEFT(B75,SEARCH(" ",B75,1)),1),"")</f>
        <v/>
      </c>
      <c r="X75" s="139"/>
      <c r="Y75" s="139"/>
      <c r="Z75" s="139"/>
      <c r="AA75" s="138"/>
    </row>
    <row r="76" spans="2:27" ht="15" customHeight="1" x14ac:dyDescent="0.25">
      <c r="B76" s="141"/>
      <c r="C76" s="137"/>
      <c r="D76" s="166" t="str">
        <f t="shared" ref="D76:D82" si="23">IF(C76 &lt;&gt; 0,ROUNDDOWN(($A$47-C76)/365.25,0),"")</f>
        <v/>
      </c>
      <c r="E76" s="139"/>
      <c r="F76" s="139"/>
      <c r="G76" s="139"/>
      <c r="H76" s="166" t="str">
        <f t="shared" ref="H76:H82" si="24">IF(B76&lt;&gt;0,F76+G76,"")</f>
        <v/>
      </c>
      <c r="I76" s="139"/>
      <c r="J76" s="139"/>
      <c r="K76" s="139"/>
      <c r="L76" s="139"/>
      <c r="M76" s="139"/>
      <c r="N76" s="139"/>
      <c r="O76" s="166" t="str">
        <f t="shared" ref="O76:O82" si="25">IF(B76&lt;&gt;0,CONCATENATE(E76+IFERROR(VLOOKUP(B76,$B$2:$N$36,4,FALSE),0) + X76, " OZ, ", H76+IFERROR(VLOOKUP(B76,$B$2:$N$36,9,FALSE),0) + Y76+Z76, " (", F76+IFERROR(VLOOKUP(B76,$B$2:$N$36,5,FALSE),0) + Y76, "+",G76+IFERROR(VLOOKUP(B76,$B$2:$N$36,8,FALSE),0) +  Z76, ")"), "")</f>
        <v/>
      </c>
      <c r="P76" s="166" t="str">
        <f t="shared" ref="P76:P82" si="26">IF(M76&lt;&gt;0,CONCATENATE(M76,"/",N76),"")</f>
        <v/>
      </c>
      <c r="Q76" s="140"/>
      <c r="R76" s="139"/>
      <c r="S76" s="166"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6" t="str">
        <f t="shared" ref="V76:V82" si="30">IF(B76&lt;&gt;0,COUNTIF($U$48:$U$82,U76),"")</f>
        <v/>
      </c>
      <c r="W76" s="166" t="str">
        <f t="shared" ref="W76:W82" si="31">IFERROR(LEFT(LEFT(B76,SEARCH(" ",B76,1)),1),"")</f>
        <v/>
      </c>
      <c r="X76" s="139"/>
      <c r="Y76" s="139"/>
      <c r="Z76" s="139"/>
      <c r="AA76" s="138"/>
    </row>
    <row r="77" spans="2:27" ht="15" customHeight="1" x14ac:dyDescent="0.25">
      <c r="B77" s="138"/>
      <c r="C77" s="137"/>
      <c r="D77" s="166" t="str">
        <f t="shared" si="23"/>
        <v/>
      </c>
      <c r="E77" s="139"/>
      <c r="F77" s="139"/>
      <c r="G77" s="139"/>
      <c r="H77" s="166" t="str">
        <f t="shared" si="24"/>
        <v/>
      </c>
      <c r="I77" s="139"/>
      <c r="J77" s="139"/>
      <c r="K77" s="139"/>
      <c r="L77" s="139"/>
      <c r="M77" s="139"/>
      <c r="N77" s="139"/>
      <c r="O77" s="166" t="str">
        <f t="shared" si="25"/>
        <v/>
      </c>
      <c r="P77" s="166" t="str">
        <f t="shared" si="26"/>
        <v/>
      </c>
      <c r="Q77" s="140"/>
      <c r="R77" s="139"/>
      <c r="S77" s="166" t="str">
        <f t="shared" si="27"/>
        <v/>
      </c>
      <c r="T77" s="1" t="str">
        <f t="shared" si="28"/>
        <v/>
      </c>
      <c r="U77" s="1" t="str">
        <f t="shared" si="29"/>
        <v/>
      </c>
      <c r="V77" s="166" t="str">
        <f t="shared" si="30"/>
        <v/>
      </c>
      <c r="W77" s="166" t="str">
        <f t="shared" si="31"/>
        <v/>
      </c>
      <c r="X77" s="139"/>
      <c r="Y77" s="139"/>
      <c r="Z77" s="139"/>
      <c r="AA77" s="138"/>
    </row>
    <row r="78" spans="2:27" ht="15" customHeight="1" x14ac:dyDescent="0.25">
      <c r="B78" s="138"/>
      <c r="C78" s="137"/>
      <c r="D78" s="166" t="str">
        <f t="shared" si="23"/>
        <v/>
      </c>
      <c r="E78" s="139"/>
      <c r="F78" s="139"/>
      <c r="G78" s="139"/>
      <c r="H78" s="166" t="str">
        <f t="shared" si="24"/>
        <v/>
      </c>
      <c r="I78" s="139"/>
      <c r="J78" s="139"/>
      <c r="K78" s="139"/>
      <c r="L78" s="139"/>
      <c r="M78" s="139"/>
      <c r="N78" s="139"/>
      <c r="O78" s="166" t="str">
        <f t="shared" si="25"/>
        <v/>
      </c>
      <c r="P78" s="166" t="str">
        <f t="shared" si="26"/>
        <v/>
      </c>
      <c r="Q78" s="140"/>
      <c r="R78" s="139"/>
      <c r="S78" s="166" t="str">
        <f t="shared" si="27"/>
        <v/>
      </c>
      <c r="T78" s="1" t="str">
        <f t="shared" si="28"/>
        <v/>
      </c>
      <c r="U78" s="1" t="str">
        <f t="shared" si="29"/>
        <v/>
      </c>
      <c r="V78" s="166" t="str">
        <f t="shared" si="30"/>
        <v/>
      </c>
      <c r="W78" s="166" t="str">
        <f t="shared" si="31"/>
        <v/>
      </c>
      <c r="X78" s="139"/>
      <c r="Y78" s="139"/>
      <c r="Z78" s="139"/>
      <c r="AA78" s="138"/>
    </row>
    <row r="79" spans="2:27" ht="15" customHeight="1" x14ac:dyDescent="0.25">
      <c r="B79" s="138"/>
      <c r="C79" s="137"/>
      <c r="D79" s="166" t="str">
        <f t="shared" si="23"/>
        <v/>
      </c>
      <c r="E79" s="139"/>
      <c r="F79" s="139"/>
      <c r="G79" s="139"/>
      <c r="H79" s="166" t="str">
        <f t="shared" si="24"/>
        <v/>
      </c>
      <c r="I79" s="139"/>
      <c r="J79" s="139"/>
      <c r="K79" s="139"/>
      <c r="L79" s="139"/>
      <c r="M79" s="139"/>
      <c r="N79" s="139"/>
      <c r="O79" s="166" t="str">
        <f t="shared" si="25"/>
        <v/>
      </c>
      <c r="P79" s="166" t="str">
        <f t="shared" si="26"/>
        <v/>
      </c>
      <c r="Q79" s="140"/>
      <c r="R79" s="139"/>
      <c r="S79" s="166" t="str">
        <f t="shared" si="27"/>
        <v/>
      </c>
      <c r="T79" s="1" t="str">
        <f t="shared" si="28"/>
        <v/>
      </c>
      <c r="U79" s="1" t="str">
        <f t="shared" si="29"/>
        <v/>
      </c>
      <c r="V79" s="166" t="str">
        <f t="shared" si="30"/>
        <v/>
      </c>
      <c r="W79" s="166" t="str">
        <f t="shared" si="31"/>
        <v/>
      </c>
      <c r="X79" s="139"/>
      <c r="Y79" s="139"/>
      <c r="Z79" s="139"/>
      <c r="AA79" s="138"/>
    </row>
    <row r="80" spans="2:27" ht="15" customHeight="1" x14ac:dyDescent="0.25">
      <c r="B80" s="138"/>
      <c r="C80" s="137"/>
      <c r="D80" s="166" t="str">
        <f t="shared" si="23"/>
        <v/>
      </c>
      <c r="E80" s="139"/>
      <c r="F80" s="139"/>
      <c r="G80" s="139"/>
      <c r="H80" s="166" t="str">
        <f t="shared" si="24"/>
        <v/>
      </c>
      <c r="I80" s="139"/>
      <c r="J80" s="139"/>
      <c r="K80" s="139"/>
      <c r="L80" s="139"/>
      <c r="M80" s="139"/>
      <c r="N80" s="139"/>
      <c r="O80" s="166" t="str">
        <f t="shared" si="25"/>
        <v/>
      </c>
      <c r="P80" s="166" t="str">
        <f t="shared" si="26"/>
        <v/>
      </c>
      <c r="Q80" s="140"/>
      <c r="R80" s="139"/>
      <c r="S80" s="166" t="str">
        <f t="shared" si="27"/>
        <v/>
      </c>
      <c r="T80" s="1" t="str">
        <f t="shared" si="28"/>
        <v/>
      </c>
      <c r="U80" s="1" t="str">
        <f t="shared" si="29"/>
        <v/>
      </c>
      <c r="V80" s="166" t="str">
        <f t="shared" si="30"/>
        <v/>
      </c>
      <c r="W80" s="166" t="str">
        <f t="shared" si="31"/>
        <v/>
      </c>
      <c r="X80" s="139"/>
      <c r="Y80" s="139"/>
      <c r="Z80" s="139"/>
      <c r="AA80" s="138"/>
    </row>
    <row r="81" spans="1:27" ht="15" customHeight="1" x14ac:dyDescent="0.25">
      <c r="B81" s="138"/>
      <c r="C81" s="137"/>
      <c r="D81" s="166" t="str">
        <f t="shared" si="23"/>
        <v/>
      </c>
      <c r="E81" s="139"/>
      <c r="F81" s="139"/>
      <c r="G81" s="139"/>
      <c r="H81" s="166" t="str">
        <f t="shared" si="24"/>
        <v/>
      </c>
      <c r="I81" s="139"/>
      <c r="J81" s="139"/>
      <c r="K81" s="139"/>
      <c r="L81" s="139"/>
      <c r="M81" s="139"/>
      <c r="N81" s="139"/>
      <c r="O81" s="166" t="str">
        <f t="shared" si="25"/>
        <v/>
      </c>
      <c r="P81" s="166" t="str">
        <f t="shared" si="26"/>
        <v/>
      </c>
      <c r="Q81" s="140"/>
      <c r="R81" s="139"/>
      <c r="S81" s="166" t="str">
        <f t="shared" si="27"/>
        <v/>
      </c>
      <c r="T81" s="1" t="str">
        <f t="shared" si="28"/>
        <v/>
      </c>
      <c r="U81" s="1" t="str">
        <f t="shared" si="29"/>
        <v/>
      </c>
      <c r="V81" s="166" t="str">
        <f t="shared" si="30"/>
        <v/>
      </c>
      <c r="W81" s="166" t="str">
        <f t="shared" si="31"/>
        <v/>
      </c>
      <c r="X81" s="139"/>
      <c r="Y81" s="139"/>
      <c r="Z81" s="139"/>
      <c r="AA81" s="138"/>
    </row>
    <row r="82" spans="1:27" ht="15" customHeight="1" x14ac:dyDescent="0.25">
      <c r="B82" s="138"/>
      <c r="C82" s="137"/>
      <c r="D82" s="166" t="str">
        <f t="shared" si="23"/>
        <v/>
      </c>
      <c r="E82" s="139"/>
      <c r="F82" s="139"/>
      <c r="G82" s="139"/>
      <c r="H82" s="166" t="str">
        <f t="shared" si="24"/>
        <v/>
      </c>
      <c r="I82" s="139"/>
      <c r="J82" s="139"/>
      <c r="K82" s="139"/>
      <c r="L82" s="139"/>
      <c r="M82" s="139"/>
      <c r="N82" s="139"/>
      <c r="O82" s="166" t="str">
        <f t="shared" si="25"/>
        <v/>
      </c>
      <c r="P82" s="166" t="str">
        <f t="shared" si="26"/>
        <v/>
      </c>
      <c r="Q82" s="140"/>
      <c r="R82" s="139"/>
      <c r="S82" s="166" t="str">
        <f t="shared" si="27"/>
        <v/>
      </c>
      <c r="T82" s="1" t="str">
        <f t="shared" si="28"/>
        <v/>
      </c>
      <c r="U82" s="1" t="str">
        <f t="shared" si="29"/>
        <v/>
      </c>
      <c r="V82" s="166" t="str">
        <f t="shared" si="30"/>
        <v/>
      </c>
      <c r="W82" s="166" t="str">
        <f t="shared" si="31"/>
        <v/>
      </c>
      <c r="X82" s="139"/>
      <c r="Y82" s="139"/>
      <c r="Z82" s="139"/>
      <c r="AA82" s="138"/>
    </row>
    <row r="84" spans="1:27" s="167" customFormat="1" ht="15" customHeight="1" x14ac:dyDescent="0.25">
      <c r="A84" s="7">
        <f ca="1">TODAY()</f>
        <v>44244</v>
      </c>
      <c r="B84" s="167" t="s">
        <v>59</v>
      </c>
      <c r="C84" s="167" t="s">
        <v>66</v>
      </c>
      <c r="D84" s="167" t="s">
        <v>67</v>
      </c>
      <c r="E84" s="382" t="s">
        <v>94</v>
      </c>
      <c r="F84" s="382"/>
      <c r="G84" s="382" t="s">
        <v>100</v>
      </c>
      <c r="H84" s="382"/>
      <c r="I84" s="382"/>
      <c r="J84" s="382"/>
      <c r="K84" s="382"/>
      <c r="Q84" s="9"/>
    </row>
    <row r="85" spans="1:27" ht="30" customHeight="1" x14ac:dyDescent="0.25">
      <c r="B85" s="138"/>
      <c r="C85" s="137"/>
      <c r="D85" s="166" t="str">
        <f>IF(B85&lt;&gt;0,ROUNDDOWN(($A$84-C85)/365.25,0),"")</f>
        <v/>
      </c>
      <c r="E85" s="380"/>
      <c r="F85" s="380"/>
      <c r="G85" s="380"/>
      <c r="H85" s="380"/>
      <c r="I85" s="380"/>
      <c r="J85" s="380"/>
      <c r="K85" s="380"/>
    </row>
    <row r="86" spans="1:27" ht="30" customHeight="1" x14ac:dyDescent="0.25">
      <c r="B86" s="138"/>
      <c r="C86" s="137"/>
      <c r="D86" s="166" t="str">
        <f t="shared" ref="D86:D92" si="32">IF(B86&lt;&gt;0,ROUNDDOWN(($A$84-C86)/365.25,0),"")</f>
        <v/>
      </c>
      <c r="E86" s="380"/>
      <c r="F86" s="380"/>
      <c r="G86" s="380"/>
      <c r="H86" s="380"/>
      <c r="I86" s="380"/>
      <c r="J86" s="380"/>
      <c r="K86" s="380"/>
    </row>
    <row r="87" spans="1:27" ht="30" customHeight="1" x14ac:dyDescent="0.25">
      <c r="B87" s="138"/>
      <c r="C87" s="137"/>
      <c r="D87" s="166" t="str">
        <f t="shared" si="32"/>
        <v/>
      </c>
      <c r="E87" s="380"/>
      <c r="F87" s="380"/>
      <c r="G87" s="380"/>
      <c r="H87" s="380"/>
      <c r="I87" s="380"/>
      <c r="J87" s="380"/>
      <c r="K87" s="380"/>
    </row>
    <row r="88" spans="1:27" ht="30" customHeight="1" x14ac:dyDescent="0.25">
      <c r="B88" s="138"/>
      <c r="C88" s="137"/>
      <c r="D88" s="166" t="str">
        <f t="shared" si="32"/>
        <v/>
      </c>
      <c r="E88" s="380"/>
      <c r="F88" s="380"/>
      <c r="G88" s="380"/>
      <c r="H88" s="380"/>
      <c r="I88" s="380"/>
      <c r="J88" s="380"/>
      <c r="K88" s="380"/>
    </row>
    <row r="89" spans="1:27" ht="30" customHeight="1" x14ac:dyDescent="0.25">
      <c r="B89" s="138"/>
      <c r="C89" s="137"/>
      <c r="D89" s="166" t="str">
        <f t="shared" si="32"/>
        <v/>
      </c>
      <c r="E89" s="380"/>
      <c r="F89" s="380"/>
      <c r="G89" s="380"/>
      <c r="H89" s="380"/>
      <c r="I89" s="380"/>
      <c r="J89" s="380"/>
      <c r="K89" s="380"/>
    </row>
    <row r="90" spans="1:27" ht="30" customHeight="1" x14ac:dyDescent="0.25">
      <c r="B90" s="138"/>
      <c r="C90" s="138"/>
      <c r="D90" s="166" t="str">
        <f t="shared" si="32"/>
        <v/>
      </c>
      <c r="E90" s="380"/>
      <c r="F90" s="380"/>
      <c r="G90" s="380"/>
      <c r="H90" s="380"/>
      <c r="I90" s="380"/>
      <c r="J90" s="380"/>
      <c r="K90" s="380"/>
    </row>
    <row r="91" spans="1:27" ht="30" customHeight="1" x14ac:dyDescent="0.25">
      <c r="B91" s="138"/>
      <c r="C91" s="138"/>
      <c r="D91" s="166" t="str">
        <f t="shared" si="32"/>
        <v/>
      </c>
      <c r="E91" s="380"/>
      <c r="F91" s="380"/>
      <c r="G91" s="380"/>
      <c r="H91" s="380"/>
      <c r="I91" s="380"/>
      <c r="J91" s="380"/>
      <c r="K91" s="380"/>
    </row>
    <row r="92" spans="1:27" ht="30" customHeight="1" x14ac:dyDescent="0.25">
      <c r="B92" s="138"/>
      <c r="C92" s="138"/>
      <c r="D92" s="166" t="str">
        <f t="shared" si="32"/>
        <v/>
      </c>
      <c r="E92" s="380"/>
      <c r="F92" s="380"/>
      <c r="G92" s="380"/>
      <c r="H92" s="380"/>
      <c r="I92" s="380"/>
      <c r="J92" s="380"/>
      <c r="K92" s="380"/>
    </row>
  </sheetData>
  <sheetProtection algorithmName="SHA-512" hashValue="u3AuCx7CabhiLvJN8kqLlQKkMra67k+wLlWOTvoogLHNNSNKHUCwic9mJWkW20Fes9Ws6uKO3lRPVacqZZy+lg==" saltValue="jilYyKu7Nh+F/4EZclkzPw=="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89" priority="1" operator="containsText" text="ANO">
      <formula>NOT(ISERROR(SEARCH("ANO",P2)))</formula>
    </cfRule>
    <cfRule type="containsText" dxfId="8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382" t="s">
        <v>36</v>
      </c>
      <c r="B1" s="1" t="s">
        <v>554</v>
      </c>
      <c r="C1" s="205">
        <v>39</v>
      </c>
      <c r="D1" s="383" t="str">
        <f t="shared" ref="D1:D30" si="0">IFERROR(RIGHT(B1,LEN(B1)-SEARCH(" ",B1)),"")</f>
        <v>Mikuláš Krbec</v>
      </c>
      <c r="E1" s="383"/>
      <c r="F1" s="166"/>
    </row>
    <row r="2" spans="1:6" x14ac:dyDescent="0.25">
      <c r="A2" s="382"/>
      <c r="B2" s="1" t="s">
        <v>555</v>
      </c>
      <c r="C2" s="205">
        <v>35</v>
      </c>
      <c r="D2" s="383" t="str">
        <f t="shared" si="0"/>
        <v>Lukáš Ujhelyi</v>
      </c>
      <c r="E2" s="383"/>
      <c r="F2" s="166"/>
    </row>
    <row r="3" spans="1:6" x14ac:dyDescent="0.25">
      <c r="A3" s="382"/>
      <c r="B3" s="1" t="s">
        <v>560</v>
      </c>
      <c r="C3" s="205">
        <v>22</v>
      </c>
      <c r="D3" s="383" t="str">
        <f t="shared" si="0"/>
        <v>Jakub Kolstrunk</v>
      </c>
      <c r="E3" s="383"/>
      <c r="F3" s="166"/>
    </row>
    <row r="4" spans="1:6" x14ac:dyDescent="0.25">
      <c r="A4" s="382"/>
      <c r="B4" s="1" t="s">
        <v>561</v>
      </c>
      <c r="C4" s="205">
        <v>22</v>
      </c>
      <c r="D4" s="383" t="str">
        <f t="shared" si="0"/>
        <v>Matěj Čermák</v>
      </c>
      <c r="E4" s="383"/>
      <c r="F4" s="166"/>
    </row>
    <row r="5" spans="1:6" x14ac:dyDescent="0.25">
      <c r="A5" s="382"/>
      <c r="B5" s="1" t="s">
        <v>731</v>
      </c>
      <c r="C5" s="205">
        <v>19</v>
      </c>
      <c r="D5" s="383" t="str">
        <f t="shared" si="0"/>
        <v>Radim Křenek</v>
      </c>
      <c r="E5" s="383"/>
      <c r="F5" s="166"/>
    </row>
    <row r="6" spans="1:6" x14ac:dyDescent="0.25">
      <c r="A6" s="382" t="s">
        <v>242</v>
      </c>
      <c r="B6" s="1" t="s">
        <v>556</v>
      </c>
      <c r="C6" s="205" t="s">
        <v>796</v>
      </c>
      <c r="D6" s="383" t="str">
        <f t="shared" si="0"/>
        <v>Martin Beneš</v>
      </c>
      <c r="E6" s="383"/>
      <c r="F6" s="166">
        <f t="shared" ref="F6:F10" si="1">IF(B6&lt;&gt;0,_xlfn.NUMBERVALUE(C6,","),"")</f>
        <v>4.84</v>
      </c>
    </row>
    <row r="7" spans="1:6" x14ac:dyDescent="0.25">
      <c r="A7" s="382"/>
      <c r="B7" s="1" t="s">
        <v>557</v>
      </c>
      <c r="C7" s="205" t="s">
        <v>331</v>
      </c>
      <c r="D7" s="383" t="str">
        <f t="shared" si="0"/>
        <v>Ondřej Pelech</v>
      </c>
      <c r="E7" s="383"/>
      <c r="F7" s="166">
        <f t="shared" si="1"/>
        <v>0</v>
      </c>
    </row>
    <row r="8" spans="1:6" x14ac:dyDescent="0.25">
      <c r="A8" s="382"/>
      <c r="B8" s="1" t="s">
        <v>558</v>
      </c>
      <c r="C8" s="205" t="s">
        <v>769</v>
      </c>
      <c r="D8" s="383" t="str">
        <f t="shared" si="0"/>
        <v>Patrik Zítka</v>
      </c>
      <c r="E8" s="383"/>
      <c r="F8" s="166">
        <f t="shared" si="1"/>
        <v>2.58</v>
      </c>
    </row>
    <row r="9" spans="1:6" x14ac:dyDescent="0.25">
      <c r="A9" s="382"/>
      <c r="B9" s="1"/>
      <c r="C9" s="205"/>
      <c r="D9" s="383" t="str">
        <f t="shared" si="0"/>
        <v/>
      </c>
      <c r="E9" s="383"/>
      <c r="F9" s="166" t="str">
        <f t="shared" si="1"/>
        <v/>
      </c>
    </row>
    <row r="10" spans="1:6" x14ac:dyDescent="0.25">
      <c r="A10" s="382"/>
      <c r="B10" s="1"/>
      <c r="C10" s="205"/>
      <c r="D10" s="383" t="str">
        <f t="shared" si="0"/>
        <v/>
      </c>
      <c r="E10" s="383"/>
      <c r="F10" s="166" t="str">
        <f t="shared" si="1"/>
        <v/>
      </c>
    </row>
    <row r="11" spans="1:6" x14ac:dyDescent="0.25">
      <c r="A11" s="382" t="s">
        <v>35</v>
      </c>
      <c r="B11" s="1" t="s">
        <v>559</v>
      </c>
      <c r="C11" s="205">
        <v>23</v>
      </c>
      <c r="D11" s="383" t="str">
        <f t="shared" si="0"/>
        <v>Lukáš Ujhelyi</v>
      </c>
      <c r="E11" s="383"/>
      <c r="F11" s="166"/>
    </row>
    <row r="12" spans="1:6" x14ac:dyDescent="0.25">
      <c r="A12" s="382"/>
      <c r="B12" s="1" t="s">
        <v>770</v>
      </c>
      <c r="C12" s="205">
        <v>16</v>
      </c>
      <c r="D12" s="383" t="str">
        <f t="shared" si="0"/>
        <v>Mikuláš Krbec</v>
      </c>
      <c r="E12" s="383"/>
      <c r="F12" s="166"/>
    </row>
    <row r="13" spans="1:6" x14ac:dyDescent="0.25">
      <c r="A13" s="382"/>
      <c r="B13" s="1" t="s">
        <v>560</v>
      </c>
      <c r="C13" s="205">
        <v>15</v>
      </c>
      <c r="D13" s="383" t="str">
        <f t="shared" si="0"/>
        <v>Jakub Kolstrunk</v>
      </c>
      <c r="E13" s="383"/>
      <c r="F13" s="166"/>
    </row>
    <row r="14" spans="1:6" x14ac:dyDescent="0.25">
      <c r="A14" s="382"/>
      <c r="B14" s="1" t="s">
        <v>732</v>
      </c>
      <c r="C14" s="205">
        <v>12</v>
      </c>
      <c r="D14" s="383" t="str">
        <f t="shared" si="0"/>
        <v>Dominik Beneš</v>
      </c>
      <c r="E14" s="383"/>
      <c r="F14" s="166"/>
    </row>
    <row r="15" spans="1:6" x14ac:dyDescent="0.25">
      <c r="A15" s="382"/>
      <c r="B15" s="1" t="s">
        <v>733</v>
      </c>
      <c r="C15" s="205">
        <v>11</v>
      </c>
      <c r="D15" s="383" t="str">
        <f t="shared" si="0"/>
        <v>Matěj Čermák</v>
      </c>
      <c r="E15" s="383"/>
      <c r="F15" s="166"/>
    </row>
    <row r="16" spans="1:6" x14ac:dyDescent="0.25">
      <c r="A16" s="382" t="s">
        <v>230</v>
      </c>
      <c r="B16" s="1" t="s">
        <v>556</v>
      </c>
      <c r="C16" s="205">
        <v>13</v>
      </c>
      <c r="D16" s="383" t="str">
        <f t="shared" si="0"/>
        <v>Martin Beneš</v>
      </c>
      <c r="E16" s="383"/>
      <c r="F16" s="166">
        <f t="shared" ref="F16:F20" si="2">IF(B16&lt;&gt;0,_xlfn.NUMBERVALUE(C16,","),"")</f>
        <v>13</v>
      </c>
    </row>
    <row r="17" spans="1:6" x14ac:dyDescent="0.25">
      <c r="A17" s="382"/>
      <c r="B17" s="1" t="s">
        <v>562</v>
      </c>
      <c r="C17" s="205">
        <v>2</v>
      </c>
      <c r="D17" s="383" t="str">
        <f t="shared" si="0"/>
        <v>Patrik Zítka</v>
      </c>
      <c r="E17" s="383"/>
      <c r="F17" s="166">
        <f t="shared" si="2"/>
        <v>2</v>
      </c>
    </row>
    <row r="18" spans="1:6" x14ac:dyDescent="0.25">
      <c r="A18" s="382"/>
      <c r="B18" s="1" t="s">
        <v>563</v>
      </c>
      <c r="C18" s="205">
        <v>0</v>
      </c>
      <c r="D18" s="383" t="str">
        <f t="shared" si="0"/>
        <v>Ondřej Pelech</v>
      </c>
      <c r="E18" s="383"/>
      <c r="F18" s="166">
        <f t="shared" si="2"/>
        <v>0</v>
      </c>
    </row>
    <row r="19" spans="1:6" x14ac:dyDescent="0.25">
      <c r="A19" s="382"/>
      <c r="B19" s="1"/>
      <c r="C19" s="205"/>
      <c r="D19" s="383" t="str">
        <f t="shared" si="0"/>
        <v/>
      </c>
      <c r="E19" s="383"/>
      <c r="F19" s="166" t="str">
        <f t="shared" si="2"/>
        <v/>
      </c>
    </row>
    <row r="20" spans="1:6" x14ac:dyDescent="0.25">
      <c r="A20" s="382"/>
      <c r="B20" s="1"/>
      <c r="C20" s="205"/>
      <c r="D20" s="383" t="str">
        <f t="shared" si="0"/>
        <v/>
      </c>
      <c r="E20" s="383"/>
      <c r="F20" s="166" t="str">
        <f t="shared" si="2"/>
        <v/>
      </c>
    </row>
    <row r="21" spans="1:6" x14ac:dyDescent="0.25">
      <c r="A21" s="382" t="s">
        <v>37</v>
      </c>
      <c r="B21" s="1" t="s">
        <v>554</v>
      </c>
      <c r="C21" s="205">
        <v>23</v>
      </c>
      <c r="D21" s="383" t="str">
        <f t="shared" si="0"/>
        <v>Mikuláš Krbec</v>
      </c>
      <c r="E21" s="383"/>
      <c r="F21" s="166"/>
    </row>
    <row r="22" spans="1:6" x14ac:dyDescent="0.25">
      <c r="A22" s="382"/>
      <c r="B22" s="1" t="s">
        <v>797</v>
      </c>
      <c r="C22" s="205">
        <v>13</v>
      </c>
      <c r="D22" s="383" t="str">
        <f t="shared" si="0"/>
        <v>Marek Zouzal</v>
      </c>
      <c r="E22" s="383"/>
      <c r="F22" s="166"/>
    </row>
    <row r="23" spans="1:6" x14ac:dyDescent="0.25">
      <c r="A23" s="382"/>
      <c r="B23" s="1" t="s">
        <v>798</v>
      </c>
      <c r="C23" s="205">
        <v>12</v>
      </c>
      <c r="D23" s="383" t="str">
        <f t="shared" si="0"/>
        <v>Lukáš Ujhelyi</v>
      </c>
      <c r="E23" s="383"/>
      <c r="F23" s="166"/>
    </row>
    <row r="24" spans="1:6" x14ac:dyDescent="0.25">
      <c r="A24" s="382"/>
      <c r="B24" s="1" t="s">
        <v>561</v>
      </c>
      <c r="C24" s="205">
        <v>11</v>
      </c>
      <c r="D24" s="383" t="str">
        <f t="shared" si="0"/>
        <v>Matěj Čermák</v>
      </c>
      <c r="E24" s="383"/>
      <c r="F24" s="166"/>
    </row>
    <row r="25" spans="1:6" x14ac:dyDescent="0.25">
      <c r="A25" s="382"/>
      <c r="B25" s="1" t="s">
        <v>731</v>
      </c>
      <c r="C25" s="205">
        <v>11</v>
      </c>
      <c r="D25" s="383" t="str">
        <f t="shared" si="0"/>
        <v>Radim Křenek</v>
      </c>
      <c r="E25" s="383"/>
      <c r="F25" s="166"/>
    </row>
    <row r="26" spans="1:6" x14ac:dyDescent="0.25">
      <c r="A26" s="382" t="s">
        <v>38</v>
      </c>
      <c r="B26" s="1" t="s">
        <v>565</v>
      </c>
      <c r="C26" s="205">
        <v>26</v>
      </c>
      <c r="D26" s="383" t="str">
        <f t="shared" si="0"/>
        <v>Matěj Pruner</v>
      </c>
      <c r="E26" s="383"/>
      <c r="F26" s="166"/>
    </row>
    <row r="27" spans="1:6" x14ac:dyDescent="0.25">
      <c r="A27" s="382"/>
      <c r="B27" s="1" t="s">
        <v>566</v>
      </c>
      <c r="C27" s="205">
        <v>10</v>
      </c>
      <c r="D27" s="383" t="str">
        <f t="shared" si="0"/>
        <v>Kristián Kozák</v>
      </c>
      <c r="E27" s="383"/>
      <c r="F27" s="166"/>
    </row>
    <row r="28" spans="1:6" x14ac:dyDescent="0.25">
      <c r="A28" s="382"/>
      <c r="B28" s="1" t="s">
        <v>567</v>
      </c>
      <c r="C28" s="205">
        <v>10</v>
      </c>
      <c r="D28" s="383" t="str">
        <f t="shared" si="0"/>
        <v>Michal Pažák</v>
      </c>
      <c r="E28" s="383"/>
      <c r="F28" s="166"/>
    </row>
    <row r="29" spans="1:6" x14ac:dyDescent="0.25">
      <c r="A29" s="382"/>
      <c r="B29" s="1" t="s">
        <v>564</v>
      </c>
      <c r="C29" s="205">
        <v>8</v>
      </c>
      <c r="D29" s="383" t="str">
        <f t="shared" si="0"/>
        <v>Josef Juha</v>
      </c>
      <c r="E29" s="383"/>
      <c r="F29" s="166"/>
    </row>
    <row r="30" spans="1:6" x14ac:dyDescent="0.25">
      <c r="A30" s="382"/>
      <c r="B30" s="1" t="s">
        <v>734</v>
      </c>
      <c r="C30" s="205">
        <v>6</v>
      </c>
      <c r="D30" s="383" t="str">
        <f t="shared" si="0"/>
        <v>Michal Zeman</v>
      </c>
      <c r="E30" s="383"/>
      <c r="F30" s="166"/>
    </row>
    <row r="31" spans="1:6" x14ac:dyDescent="0.25">
      <c r="A31" s="382" t="s">
        <v>333</v>
      </c>
      <c r="B31" s="190" t="s">
        <v>490</v>
      </c>
      <c r="C31" s="190" t="s">
        <v>141</v>
      </c>
      <c r="D31" s="190" t="s">
        <v>920</v>
      </c>
      <c r="E31" s="178" t="str">
        <f>IFERROR(RIGHT(LEFT(D31,LEN(D31)-1),LEN(D31)-2),"")</f>
        <v>4:7</v>
      </c>
    </row>
    <row r="32" spans="1:6" x14ac:dyDescent="0.25">
      <c r="A32" s="382"/>
      <c r="B32" s="190" t="s">
        <v>568</v>
      </c>
      <c r="C32" s="190" t="s">
        <v>153</v>
      </c>
      <c r="D32" s="190" t="s">
        <v>362</v>
      </c>
      <c r="E32" s="178" t="str">
        <f t="shared" ref="E32:E40" si="3">IFERROR(RIGHT(LEFT(D32,LEN(D32)-1),LEN(D32)-2),"")</f>
        <v>8:3</v>
      </c>
    </row>
    <row r="33" spans="1:5" x14ac:dyDescent="0.25">
      <c r="A33" s="382"/>
      <c r="B33" s="190" t="s">
        <v>621</v>
      </c>
      <c r="C33" s="190" t="s">
        <v>143</v>
      </c>
      <c r="D33" s="190" t="s">
        <v>363</v>
      </c>
      <c r="E33" s="178" t="str">
        <f t="shared" si="3"/>
        <v>10:5</v>
      </c>
    </row>
    <row r="34" spans="1:5" x14ac:dyDescent="0.25">
      <c r="A34" s="382"/>
      <c r="B34" s="190" t="s">
        <v>364</v>
      </c>
      <c r="C34" s="190" t="s">
        <v>152</v>
      </c>
      <c r="D34" s="190" t="s">
        <v>729</v>
      </c>
      <c r="E34" s="178" t="str">
        <f t="shared" si="3"/>
        <v>4:2</v>
      </c>
    </row>
    <row r="35" spans="1:5" x14ac:dyDescent="0.25">
      <c r="A35" s="382"/>
      <c r="B35" s="190" t="s">
        <v>622</v>
      </c>
      <c r="C35" s="190" t="s">
        <v>144</v>
      </c>
      <c r="D35" s="190" t="s">
        <v>730</v>
      </c>
      <c r="E35" s="178" t="str">
        <f t="shared" si="3"/>
        <v>8:4</v>
      </c>
    </row>
    <row r="36" spans="1:5" x14ac:dyDescent="0.25">
      <c r="A36" s="382" t="s">
        <v>334</v>
      </c>
      <c r="B36" s="190" t="s">
        <v>625</v>
      </c>
      <c r="C36" s="190" t="s">
        <v>150</v>
      </c>
      <c r="D36" s="190" t="s">
        <v>338</v>
      </c>
      <c r="E36" s="178" t="str">
        <f t="shared" si="3"/>
        <v>-:-</v>
      </c>
    </row>
    <row r="37" spans="1:5" x14ac:dyDescent="0.25">
      <c r="A37" s="382"/>
      <c r="B37" s="190" t="s">
        <v>687</v>
      </c>
      <c r="C37" s="190" t="s">
        <v>150</v>
      </c>
      <c r="D37" s="190" t="s">
        <v>338</v>
      </c>
      <c r="E37" s="178" t="str">
        <f t="shared" si="3"/>
        <v>-:-</v>
      </c>
    </row>
    <row r="38" spans="1:5" x14ac:dyDescent="0.25">
      <c r="A38" s="382"/>
      <c r="B38" s="190" t="s">
        <v>679</v>
      </c>
      <c r="C38" s="190" t="s">
        <v>147</v>
      </c>
      <c r="D38" s="190" t="s">
        <v>338</v>
      </c>
      <c r="E38" s="178" t="str">
        <f t="shared" si="3"/>
        <v>-:-</v>
      </c>
    </row>
    <row r="39" spans="1:5" x14ac:dyDescent="0.25">
      <c r="A39" s="382"/>
      <c r="B39" s="190" t="s">
        <v>660</v>
      </c>
      <c r="C39" s="190" t="s">
        <v>29</v>
      </c>
      <c r="D39" s="190" t="s">
        <v>338</v>
      </c>
      <c r="E39" s="178" t="str">
        <f t="shared" si="3"/>
        <v>-:-</v>
      </c>
    </row>
    <row r="40" spans="1:5" x14ac:dyDescent="0.25">
      <c r="A40" s="382"/>
      <c r="B40" s="190" t="s">
        <v>619</v>
      </c>
      <c r="C40" s="190" t="s">
        <v>142</v>
      </c>
      <c r="D40" s="190" t="s">
        <v>338</v>
      </c>
      <c r="E40" s="178" t="str">
        <f t="shared" si="3"/>
        <v>-:-</v>
      </c>
    </row>
    <row r="41" spans="1:5" x14ac:dyDescent="0.25">
      <c r="A41" s="167" t="s">
        <v>335</v>
      </c>
      <c r="B41" s="384" t="s">
        <v>795</v>
      </c>
    </row>
  </sheetData>
  <sheetProtection algorithmName="SHA-512" hashValue="zINhdHQE3D1LxI65stUPghvsrY/xck6XlMvRTEkmwSyEywZFojR8/rTTRXl6IHiLQ8xLtFPQ5JTOCRdyIt0hEg==" saltValue="eqa/p3US4epsZVqouWpvC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54"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1" customWidth="1"/>
    <col min="28" max="16384" width="9.140625" style="1"/>
  </cols>
  <sheetData>
    <row r="1" spans="1:26"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455</v>
      </c>
      <c r="Q1" s="115" t="s">
        <v>47</v>
      </c>
    </row>
    <row r="2" spans="1:26" s="4" customFormat="1" x14ac:dyDescent="0.25">
      <c r="A2" s="53">
        <v>1</v>
      </c>
      <c r="B2" s="4" t="s">
        <v>799</v>
      </c>
      <c r="D2" s="5" t="s">
        <v>51</v>
      </c>
      <c r="E2" s="5">
        <v>21</v>
      </c>
      <c r="F2" s="5">
        <v>30</v>
      </c>
      <c r="G2" s="5">
        <v>5</v>
      </c>
      <c r="H2" s="5">
        <v>1</v>
      </c>
      <c r="I2" s="5">
        <v>18</v>
      </c>
      <c r="J2" s="5">
        <v>48</v>
      </c>
      <c r="K2" s="5">
        <v>14</v>
      </c>
      <c r="L2" s="5">
        <v>66</v>
      </c>
      <c r="M2" s="5">
        <v>69</v>
      </c>
      <c r="N2" s="5">
        <v>-3</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48 (30+18), -3 ±</v>
      </c>
      <c r="P2" s="5" t="str">
        <f>IF(B2&lt;&gt;0,IF(IFERROR(VLOOKUP(B2,$B$48:$B$82,1,FALSE)=B2,FALSE),"ANO","NE"),"")</f>
        <v>ANO</v>
      </c>
      <c r="Q2" s="142"/>
      <c r="S2" s="5"/>
      <c r="X2" s="5"/>
      <c r="Y2" s="5"/>
      <c r="Z2" s="5"/>
    </row>
    <row r="3" spans="1:26" s="4" customFormat="1" x14ac:dyDescent="0.25">
      <c r="A3" s="53">
        <v>2</v>
      </c>
      <c r="B3" s="4" t="s">
        <v>800</v>
      </c>
      <c r="D3" s="5" t="s">
        <v>51</v>
      </c>
      <c r="E3" s="5">
        <v>22</v>
      </c>
      <c r="F3" s="5">
        <v>15</v>
      </c>
      <c r="G3" s="5">
        <v>0</v>
      </c>
      <c r="H3" s="5">
        <v>0</v>
      </c>
      <c r="I3" s="5">
        <v>15</v>
      </c>
      <c r="J3" s="5">
        <v>30</v>
      </c>
      <c r="K3" s="5">
        <v>2</v>
      </c>
      <c r="L3" s="5">
        <v>51</v>
      </c>
      <c r="M3" s="5">
        <v>70</v>
      </c>
      <c r="N3" s="5">
        <v>-19</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30 (15+15), -19 ±</v>
      </c>
      <c r="P3" s="5" t="str">
        <f t="shared" ref="P3:P36" si="1">IF(B3&lt;&gt;0,IF(IFERROR(VLOOKUP(B3,$B$48:$B$82,1,FALSE)=B3,FALSE),"ANO","NE"),"")</f>
        <v>ANO</v>
      </c>
      <c r="Q3" s="142"/>
      <c r="S3" s="5"/>
      <c r="X3" s="5"/>
      <c r="Y3" s="5"/>
      <c r="Z3" s="5"/>
    </row>
    <row r="4" spans="1:26" s="4" customFormat="1" x14ac:dyDescent="0.25">
      <c r="A4" s="53">
        <v>3</v>
      </c>
      <c r="B4" s="4" t="s">
        <v>801</v>
      </c>
      <c r="D4" s="5"/>
      <c r="E4" s="5">
        <v>21</v>
      </c>
      <c r="F4" s="5">
        <v>14</v>
      </c>
      <c r="G4" s="5">
        <v>1</v>
      </c>
      <c r="H4" s="5">
        <v>0</v>
      </c>
      <c r="I4" s="5">
        <v>7</v>
      </c>
      <c r="J4" s="5">
        <v>21</v>
      </c>
      <c r="K4" s="5">
        <v>6</v>
      </c>
      <c r="L4" s="5">
        <v>44</v>
      </c>
      <c r="M4" s="5">
        <v>48</v>
      </c>
      <c r="N4" s="5">
        <v>-4</v>
      </c>
      <c r="O4" s="196" t="str">
        <f t="shared" si="0"/>
        <v>21 OZ , 21 (14+7), -4 ±</v>
      </c>
      <c r="P4" s="5" t="str">
        <f t="shared" si="1"/>
        <v>ANO</v>
      </c>
      <c r="Q4" s="142"/>
      <c r="S4" s="5"/>
      <c r="X4" s="5"/>
      <c r="Y4" s="5"/>
      <c r="Z4" s="5"/>
    </row>
    <row r="5" spans="1:26" s="4" customFormat="1" x14ac:dyDescent="0.25">
      <c r="A5" s="53">
        <v>4</v>
      </c>
      <c r="B5" s="4" t="s">
        <v>802</v>
      </c>
      <c r="D5" s="5" t="s">
        <v>48</v>
      </c>
      <c r="E5" s="5">
        <v>22</v>
      </c>
      <c r="F5" s="5">
        <v>7</v>
      </c>
      <c r="G5" s="5">
        <v>1</v>
      </c>
      <c r="H5" s="5">
        <v>0</v>
      </c>
      <c r="I5" s="5">
        <v>14</v>
      </c>
      <c r="J5" s="5">
        <v>21</v>
      </c>
      <c r="K5" s="5">
        <v>6</v>
      </c>
      <c r="L5" s="5">
        <v>52</v>
      </c>
      <c r="M5" s="5">
        <v>63</v>
      </c>
      <c r="N5" s="5">
        <v>-11</v>
      </c>
      <c r="O5" s="196" t="str">
        <f t="shared" si="0"/>
        <v>22 OZ , 21 (7+14), -11 ±</v>
      </c>
      <c r="P5" s="5" t="str">
        <f t="shared" si="1"/>
        <v>ANO</v>
      </c>
      <c r="Q5" s="142"/>
      <c r="S5" s="5"/>
      <c r="X5" s="5"/>
      <c r="Y5" s="5"/>
      <c r="Z5" s="5"/>
    </row>
    <row r="6" spans="1:26" x14ac:dyDescent="0.25">
      <c r="A6" s="54">
        <v>5</v>
      </c>
      <c r="B6" s="1" t="s">
        <v>803</v>
      </c>
      <c r="D6" s="205" t="s">
        <v>51</v>
      </c>
      <c r="E6" s="205">
        <v>22</v>
      </c>
      <c r="F6" s="205">
        <v>10</v>
      </c>
      <c r="G6" s="205">
        <v>0</v>
      </c>
      <c r="H6" s="205">
        <v>1</v>
      </c>
      <c r="I6" s="205">
        <v>7</v>
      </c>
      <c r="J6" s="205">
        <v>17</v>
      </c>
      <c r="K6" s="205">
        <v>32</v>
      </c>
      <c r="L6" s="205">
        <v>27</v>
      </c>
      <c r="M6" s="205">
        <v>57</v>
      </c>
      <c r="N6" s="205">
        <v>-30</v>
      </c>
      <c r="O6" s="196" t="str">
        <f t="shared" si="0"/>
        <v>22 OZ , 17 (10+7), -30 ±</v>
      </c>
      <c r="P6" s="5" t="str">
        <f t="shared" si="1"/>
        <v>ANO</v>
      </c>
    </row>
    <row r="7" spans="1:26" x14ac:dyDescent="0.25">
      <c r="A7" s="54">
        <v>6</v>
      </c>
      <c r="B7" s="1" t="s">
        <v>804</v>
      </c>
      <c r="D7" s="205" t="s">
        <v>48</v>
      </c>
      <c r="E7" s="205">
        <v>22</v>
      </c>
      <c r="F7" s="205">
        <v>3</v>
      </c>
      <c r="G7" s="205">
        <v>1</v>
      </c>
      <c r="H7" s="205">
        <v>0</v>
      </c>
      <c r="I7" s="205">
        <v>14</v>
      </c>
      <c r="J7" s="205">
        <v>17</v>
      </c>
      <c r="K7" s="205">
        <v>8</v>
      </c>
      <c r="L7" s="205">
        <v>42</v>
      </c>
      <c r="M7" s="205">
        <v>68</v>
      </c>
      <c r="N7" s="205">
        <v>-26</v>
      </c>
      <c r="O7" s="196" t="str">
        <f t="shared" si="0"/>
        <v>22 OZ , 17 (3+14), -26 ±</v>
      </c>
      <c r="P7" s="5" t="str">
        <f t="shared" si="1"/>
        <v>ANO</v>
      </c>
    </row>
    <row r="8" spans="1:26" x14ac:dyDescent="0.25">
      <c r="A8" s="54">
        <v>7</v>
      </c>
      <c r="B8" s="1" t="s">
        <v>805</v>
      </c>
      <c r="D8" s="205" t="s">
        <v>51</v>
      </c>
      <c r="E8" s="205">
        <v>19</v>
      </c>
      <c r="F8" s="205">
        <v>4</v>
      </c>
      <c r="G8" s="205">
        <v>0</v>
      </c>
      <c r="H8" s="205">
        <v>0</v>
      </c>
      <c r="I8" s="205">
        <v>7</v>
      </c>
      <c r="J8" s="205">
        <v>11</v>
      </c>
      <c r="K8" s="205">
        <v>4</v>
      </c>
      <c r="L8" s="205">
        <v>14</v>
      </c>
      <c r="M8" s="205">
        <v>24</v>
      </c>
      <c r="N8" s="205">
        <v>-10</v>
      </c>
      <c r="O8" s="196" t="str">
        <f t="shared" si="0"/>
        <v>19 OZ , 11 (4+7), -10 ±</v>
      </c>
      <c r="P8" s="5" t="str">
        <f t="shared" si="1"/>
        <v>ANO</v>
      </c>
    </row>
    <row r="9" spans="1:26" x14ac:dyDescent="0.25">
      <c r="A9" s="54">
        <v>8</v>
      </c>
      <c r="B9" s="1" t="s">
        <v>806</v>
      </c>
      <c r="D9" s="205"/>
      <c r="E9" s="205">
        <v>17</v>
      </c>
      <c r="F9" s="205">
        <v>6</v>
      </c>
      <c r="G9" s="205">
        <v>0</v>
      </c>
      <c r="H9" s="205">
        <v>0</v>
      </c>
      <c r="I9" s="205">
        <v>4</v>
      </c>
      <c r="J9" s="205">
        <v>10</v>
      </c>
      <c r="K9" s="205">
        <v>0</v>
      </c>
      <c r="L9" s="205">
        <v>11</v>
      </c>
      <c r="M9" s="205">
        <v>24</v>
      </c>
      <c r="N9" s="205">
        <v>-13</v>
      </c>
      <c r="O9" s="196" t="str">
        <f t="shared" si="0"/>
        <v>17 OZ , 10 (6+4), -13 ±</v>
      </c>
      <c r="P9" s="5" t="str">
        <f t="shared" si="1"/>
        <v>ANO</v>
      </c>
    </row>
    <row r="10" spans="1:26" x14ac:dyDescent="0.25">
      <c r="A10" s="54">
        <v>9</v>
      </c>
      <c r="B10" s="1" t="s">
        <v>807</v>
      </c>
      <c r="D10" s="205" t="s">
        <v>51</v>
      </c>
      <c r="E10" s="205">
        <v>12</v>
      </c>
      <c r="F10" s="205">
        <v>5</v>
      </c>
      <c r="G10" s="205">
        <v>0</v>
      </c>
      <c r="H10" s="205">
        <v>0</v>
      </c>
      <c r="I10" s="205">
        <v>3</v>
      </c>
      <c r="J10" s="205">
        <v>8</v>
      </c>
      <c r="K10" s="205">
        <v>2</v>
      </c>
      <c r="L10" s="205">
        <v>17</v>
      </c>
      <c r="M10" s="205">
        <v>17</v>
      </c>
      <c r="N10" s="205">
        <v>0</v>
      </c>
      <c r="O10" s="196" t="str">
        <f t="shared" si="0"/>
        <v>12 OZ , 8 (5+3), 0 ±</v>
      </c>
      <c r="P10" s="5" t="str">
        <f t="shared" si="1"/>
        <v>ANO</v>
      </c>
    </row>
    <row r="11" spans="1:26" x14ac:dyDescent="0.25">
      <c r="A11" s="54">
        <v>10</v>
      </c>
      <c r="B11" s="1" t="s">
        <v>808</v>
      </c>
      <c r="D11" s="205" t="s">
        <v>48</v>
      </c>
      <c r="E11" s="205">
        <v>22</v>
      </c>
      <c r="F11" s="205">
        <v>4</v>
      </c>
      <c r="G11" s="205">
        <v>0</v>
      </c>
      <c r="H11" s="205">
        <v>0</v>
      </c>
      <c r="I11" s="205">
        <v>4</v>
      </c>
      <c r="J11" s="205">
        <v>8</v>
      </c>
      <c r="K11" s="205">
        <v>6</v>
      </c>
      <c r="L11" s="205">
        <v>39</v>
      </c>
      <c r="M11" s="205">
        <v>60</v>
      </c>
      <c r="N11" s="205">
        <v>-21</v>
      </c>
      <c r="O11" s="196" t="str">
        <f t="shared" si="0"/>
        <v>22 OZ , 8 (4+4), -21 ±</v>
      </c>
      <c r="P11" s="5" t="str">
        <f t="shared" si="1"/>
        <v>ANO</v>
      </c>
    </row>
    <row r="12" spans="1:26" x14ac:dyDescent="0.25">
      <c r="A12" s="54">
        <v>11</v>
      </c>
      <c r="B12" s="1" t="s">
        <v>809</v>
      </c>
      <c r="D12" s="205" t="s">
        <v>51</v>
      </c>
      <c r="E12" s="205">
        <v>17</v>
      </c>
      <c r="F12" s="205">
        <v>2</v>
      </c>
      <c r="G12" s="205">
        <v>0</v>
      </c>
      <c r="H12" s="205">
        <v>0</v>
      </c>
      <c r="I12" s="205">
        <v>5</v>
      </c>
      <c r="J12" s="205">
        <v>7</v>
      </c>
      <c r="K12" s="205">
        <v>0</v>
      </c>
      <c r="L12" s="205">
        <v>23</v>
      </c>
      <c r="M12" s="205">
        <v>27</v>
      </c>
      <c r="N12" s="205">
        <v>-4</v>
      </c>
      <c r="O12" s="196" t="str">
        <f t="shared" si="0"/>
        <v>17 OZ , 7 (2+5), -4 ±</v>
      </c>
      <c r="P12" s="5" t="str">
        <f t="shared" si="1"/>
        <v>ANO</v>
      </c>
    </row>
    <row r="13" spans="1:26" x14ac:dyDescent="0.25">
      <c r="A13" s="54">
        <v>12</v>
      </c>
      <c r="B13" s="1" t="s">
        <v>810</v>
      </c>
      <c r="D13" s="205" t="s">
        <v>51</v>
      </c>
      <c r="E13" s="205">
        <v>22</v>
      </c>
      <c r="F13" s="205">
        <v>3</v>
      </c>
      <c r="G13" s="205">
        <v>0</v>
      </c>
      <c r="H13" s="205">
        <v>0</v>
      </c>
      <c r="I13" s="205">
        <v>3</v>
      </c>
      <c r="J13" s="205">
        <v>6</v>
      </c>
      <c r="K13" s="205">
        <v>2</v>
      </c>
      <c r="L13" s="205">
        <v>18</v>
      </c>
      <c r="M13" s="205">
        <v>32</v>
      </c>
      <c r="N13" s="205">
        <v>-14</v>
      </c>
      <c r="O13" s="196" t="str">
        <f t="shared" si="0"/>
        <v>22 OZ , 6 (3+3), -14 ±</v>
      </c>
      <c r="P13" s="5" t="str">
        <f t="shared" si="1"/>
        <v>ANO</v>
      </c>
    </row>
    <row r="14" spans="1:26" x14ac:dyDescent="0.25">
      <c r="A14" s="54">
        <v>13</v>
      </c>
      <c r="B14" s="1" t="s">
        <v>811</v>
      </c>
      <c r="D14" s="205" t="s">
        <v>48</v>
      </c>
      <c r="E14" s="205">
        <v>13</v>
      </c>
      <c r="F14" s="205">
        <v>1</v>
      </c>
      <c r="G14" s="205">
        <v>0</v>
      </c>
      <c r="H14" s="205">
        <v>0</v>
      </c>
      <c r="I14" s="205">
        <v>4</v>
      </c>
      <c r="J14" s="205">
        <v>5</v>
      </c>
      <c r="K14" s="205">
        <v>6</v>
      </c>
      <c r="L14" s="205">
        <v>22</v>
      </c>
      <c r="M14" s="205">
        <v>27</v>
      </c>
      <c r="N14" s="205">
        <v>-5</v>
      </c>
      <c r="O14" s="196" t="str">
        <f t="shared" si="0"/>
        <v>13 OZ , 5 (1+4), -5 ±</v>
      </c>
      <c r="P14" s="5" t="str">
        <f t="shared" si="1"/>
        <v>ANO</v>
      </c>
    </row>
    <row r="15" spans="1:26" x14ac:dyDescent="0.25">
      <c r="A15" s="54">
        <v>14</v>
      </c>
      <c r="B15" s="1" t="s">
        <v>812</v>
      </c>
      <c r="D15" s="205"/>
      <c r="E15" s="205">
        <v>5</v>
      </c>
      <c r="F15" s="205">
        <v>2</v>
      </c>
      <c r="G15" s="205">
        <v>0</v>
      </c>
      <c r="H15" s="205">
        <v>0</v>
      </c>
      <c r="I15" s="205">
        <v>1</v>
      </c>
      <c r="J15" s="205">
        <v>3</v>
      </c>
      <c r="K15" s="205">
        <v>4</v>
      </c>
      <c r="L15" s="205">
        <v>10</v>
      </c>
      <c r="M15" s="205">
        <v>18</v>
      </c>
      <c r="N15" s="205">
        <v>-8</v>
      </c>
      <c r="O15" s="196" t="str">
        <f t="shared" si="0"/>
        <v>5 OZ , 3 (2+1), -8 ±</v>
      </c>
      <c r="P15" s="5" t="str">
        <f t="shared" si="1"/>
        <v>ANO</v>
      </c>
    </row>
    <row r="16" spans="1:26" x14ac:dyDescent="0.25">
      <c r="A16" s="54">
        <v>15</v>
      </c>
      <c r="B16" s="1" t="s">
        <v>813</v>
      </c>
      <c r="D16" s="205"/>
      <c r="E16" s="205">
        <v>9</v>
      </c>
      <c r="F16" s="205">
        <v>2</v>
      </c>
      <c r="G16" s="205">
        <v>0</v>
      </c>
      <c r="H16" s="205">
        <v>0</v>
      </c>
      <c r="I16" s="205">
        <v>1</v>
      </c>
      <c r="J16" s="205">
        <v>3</v>
      </c>
      <c r="K16" s="205">
        <v>0</v>
      </c>
      <c r="L16" s="205">
        <v>4</v>
      </c>
      <c r="M16" s="205">
        <v>15</v>
      </c>
      <c r="N16" s="205">
        <v>-11</v>
      </c>
      <c r="O16" s="196" t="str">
        <f t="shared" si="0"/>
        <v>9 OZ , 3 (2+1), -11 ±</v>
      </c>
      <c r="P16" s="5" t="str">
        <f t="shared" si="1"/>
        <v>ANO</v>
      </c>
    </row>
    <row r="17" spans="1:16" x14ac:dyDescent="0.25">
      <c r="A17" s="54">
        <v>16</v>
      </c>
      <c r="B17" s="1" t="s">
        <v>814</v>
      </c>
      <c r="D17" s="205" t="s">
        <v>48</v>
      </c>
      <c r="E17" s="205">
        <v>20</v>
      </c>
      <c r="F17" s="205">
        <v>2</v>
      </c>
      <c r="G17" s="205">
        <v>0</v>
      </c>
      <c r="H17" s="205">
        <v>0</v>
      </c>
      <c r="I17" s="205">
        <v>0</v>
      </c>
      <c r="J17" s="205">
        <v>2</v>
      </c>
      <c r="K17" s="205">
        <v>6</v>
      </c>
      <c r="L17" s="205">
        <v>12</v>
      </c>
      <c r="M17" s="205">
        <v>29</v>
      </c>
      <c r="N17" s="205">
        <v>-17</v>
      </c>
      <c r="O17" s="196" t="str">
        <f t="shared" si="0"/>
        <v>20 OZ , 2 (2+0), -17 ±</v>
      </c>
      <c r="P17" s="5" t="str">
        <f t="shared" si="1"/>
        <v>ANO</v>
      </c>
    </row>
    <row r="18" spans="1:16" x14ac:dyDescent="0.25">
      <c r="A18" s="54">
        <v>17</v>
      </c>
      <c r="B18" s="1" t="s">
        <v>306</v>
      </c>
      <c r="D18" s="205" t="s">
        <v>48</v>
      </c>
      <c r="E18" s="205">
        <v>4</v>
      </c>
      <c r="F18" s="205">
        <v>1</v>
      </c>
      <c r="G18" s="205">
        <v>0</v>
      </c>
      <c r="H18" s="205">
        <v>0</v>
      </c>
      <c r="I18" s="205">
        <v>1</v>
      </c>
      <c r="J18" s="205">
        <v>2</v>
      </c>
      <c r="K18" s="205">
        <v>0</v>
      </c>
      <c r="L18" s="205">
        <v>4</v>
      </c>
      <c r="M18" s="205">
        <v>7</v>
      </c>
      <c r="N18" s="205">
        <v>-3</v>
      </c>
      <c r="O18" s="196" t="str">
        <f t="shared" si="0"/>
        <v>4 OZ , 2 (1+1), -3 ±</v>
      </c>
      <c r="P18" s="5" t="str">
        <f t="shared" si="1"/>
        <v>ANO</v>
      </c>
    </row>
    <row r="19" spans="1:16" x14ac:dyDescent="0.25">
      <c r="A19" s="54">
        <v>18</v>
      </c>
      <c r="B19" s="1" t="s">
        <v>815</v>
      </c>
      <c r="D19" s="205"/>
      <c r="E19" s="205">
        <v>4</v>
      </c>
      <c r="F19" s="205">
        <v>1</v>
      </c>
      <c r="G19" s="205">
        <v>0</v>
      </c>
      <c r="H19" s="205">
        <v>0</v>
      </c>
      <c r="I19" s="205">
        <v>1</v>
      </c>
      <c r="J19" s="205">
        <v>2</v>
      </c>
      <c r="K19" s="205">
        <v>0</v>
      </c>
      <c r="L19" s="205">
        <v>13</v>
      </c>
      <c r="M19" s="205">
        <v>8</v>
      </c>
      <c r="N19" s="205">
        <v>5</v>
      </c>
      <c r="O19" s="196" t="str">
        <f t="shared" si="0"/>
        <v>4 OZ , 2 (1+1), +5 ±</v>
      </c>
      <c r="P19" s="5" t="str">
        <f t="shared" si="1"/>
        <v>ANO</v>
      </c>
    </row>
    <row r="20" spans="1:16" x14ac:dyDescent="0.25">
      <c r="A20" s="54">
        <v>19</v>
      </c>
      <c r="B20" s="1" t="s">
        <v>816</v>
      </c>
      <c r="D20" s="205"/>
      <c r="E20" s="205">
        <v>4</v>
      </c>
      <c r="F20" s="205">
        <v>1</v>
      </c>
      <c r="G20" s="205">
        <v>0</v>
      </c>
      <c r="H20" s="205">
        <v>0</v>
      </c>
      <c r="I20" s="205">
        <v>1</v>
      </c>
      <c r="J20" s="205">
        <v>2</v>
      </c>
      <c r="K20" s="205">
        <v>2</v>
      </c>
      <c r="L20" s="205">
        <v>2</v>
      </c>
      <c r="M20" s="205">
        <v>7</v>
      </c>
      <c r="N20" s="205">
        <v>-5</v>
      </c>
      <c r="O20" s="196" t="str">
        <f t="shared" si="0"/>
        <v>4 OZ , 2 (1+1), -5 ±</v>
      </c>
      <c r="P20" s="5" t="str">
        <f t="shared" si="1"/>
        <v>ANO</v>
      </c>
    </row>
    <row r="21" spans="1:16" x14ac:dyDescent="0.25">
      <c r="A21" s="54">
        <v>20</v>
      </c>
      <c r="B21" s="1" t="s">
        <v>817</v>
      </c>
      <c r="D21" s="205" t="s">
        <v>51</v>
      </c>
      <c r="E21" s="205">
        <v>2</v>
      </c>
      <c r="F21" s="205">
        <v>1</v>
      </c>
      <c r="G21" s="205">
        <v>0</v>
      </c>
      <c r="H21" s="205">
        <v>0</v>
      </c>
      <c r="I21" s="205">
        <v>0</v>
      </c>
      <c r="J21" s="205">
        <v>1</v>
      </c>
      <c r="K21" s="205">
        <v>0</v>
      </c>
      <c r="L21" s="205">
        <v>2</v>
      </c>
      <c r="M21" s="205">
        <v>2</v>
      </c>
      <c r="N21" s="205">
        <v>0</v>
      </c>
      <c r="O21" s="196" t="str">
        <f t="shared" si="0"/>
        <v>2 OZ , 1 (1+0), 0 ±</v>
      </c>
      <c r="P21" s="5" t="str">
        <f t="shared" si="1"/>
        <v>ANO</v>
      </c>
    </row>
    <row r="22" spans="1:16" x14ac:dyDescent="0.25">
      <c r="A22" s="54">
        <v>21</v>
      </c>
      <c r="B22" s="1" t="s">
        <v>818</v>
      </c>
      <c r="D22" s="205"/>
      <c r="E22" s="205">
        <v>3</v>
      </c>
      <c r="F22" s="205">
        <v>1</v>
      </c>
      <c r="G22" s="205">
        <v>0</v>
      </c>
      <c r="H22" s="205">
        <v>0</v>
      </c>
      <c r="I22" s="205">
        <v>0</v>
      </c>
      <c r="J22" s="205">
        <v>1</v>
      </c>
      <c r="K22" s="205">
        <v>0</v>
      </c>
      <c r="L22" s="205">
        <v>1</v>
      </c>
      <c r="M22" s="205">
        <v>3</v>
      </c>
      <c r="N22" s="205">
        <v>-2</v>
      </c>
      <c r="O22" s="196" t="str">
        <f t="shared" si="0"/>
        <v>3 OZ , 1 (1+0), -2 ±</v>
      </c>
      <c r="P22" s="5" t="str">
        <f t="shared" si="1"/>
        <v>ANO</v>
      </c>
    </row>
    <row r="23" spans="1:16" x14ac:dyDescent="0.25">
      <c r="A23" s="54">
        <v>22</v>
      </c>
      <c r="B23" s="1" t="s">
        <v>819</v>
      </c>
      <c r="D23" s="205"/>
      <c r="E23" s="205">
        <v>3</v>
      </c>
      <c r="F23" s="205">
        <v>1</v>
      </c>
      <c r="G23" s="205">
        <v>0</v>
      </c>
      <c r="H23" s="205">
        <v>0</v>
      </c>
      <c r="I23" s="205">
        <v>0</v>
      </c>
      <c r="J23" s="205">
        <v>1</v>
      </c>
      <c r="K23" s="205">
        <v>0</v>
      </c>
      <c r="L23" s="205">
        <v>3</v>
      </c>
      <c r="M23" s="205">
        <v>3</v>
      </c>
      <c r="N23" s="205">
        <v>0</v>
      </c>
      <c r="O23" s="196" t="str">
        <f t="shared" si="0"/>
        <v>3 OZ , 1 (1+0), 0 ±</v>
      </c>
      <c r="P23" s="5" t="str">
        <f t="shared" si="1"/>
        <v>ANO</v>
      </c>
    </row>
    <row r="24" spans="1:16" x14ac:dyDescent="0.25">
      <c r="A24" s="53">
        <v>23</v>
      </c>
      <c r="B24" s="4" t="s">
        <v>820</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821</v>
      </c>
      <c r="C25" s="4"/>
      <c r="D25" s="5" t="s">
        <v>48</v>
      </c>
      <c r="E25" s="5">
        <v>7</v>
      </c>
      <c r="F25" s="5">
        <v>1</v>
      </c>
      <c r="G25" s="5">
        <v>0</v>
      </c>
      <c r="H25" s="5">
        <v>0</v>
      </c>
      <c r="I25" s="5">
        <v>0</v>
      </c>
      <c r="J25" s="5">
        <v>1</v>
      </c>
      <c r="K25" s="5">
        <v>0</v>
      </c>
      <c r="L25" s="5">
        <v>8</v>
      </c>
      <c r="M25" s="5">
        <v>15</v>
      </c>
      <c r="N25" s="5">
        <v>-7</v>
      </c>
      <c r="O25" s="196" t="str">
        <f t="shared" si="0"/>
        <v>7 OZ , 1 (1+0), -7 ±</v>
      </c>
      <c r="P25" s="5" t="str">
        <f t="shared" si="1"/>
        <v>ANO</v>
      </c>
    </row>
    <row r="26" spans="1:16" x14ac:dyDescent="0.25">
      <c r="A26" s="53">
        <v>25</v>
      </c>
      <c r="B26" s="4" t="s">
        <v>822</v>
      </c>
      <c r="C26" s="4"/>
      <c r="D26" s="5"/>
      <c r="E26" s="5">
        <v>10</v>
      </c>
      <c r="F26" s="5">
        <v>1</v>
      </c>
      <c r="G26" s="5">
        <v>0</v>
      </c>
      <c r="H26" s="5">
        <v>0</v>
      </c>
      <c r="I26" s="5">
        <v>0</v>
      </c>
      <c r="J26" s="5">
        <v>1</v>
      </c>
      <c r="K26" s="5">
        <v>0</v>
      </c>
      <c r="L26" s="5">
        <v>4</v>
      </c>
      <c r="M26" s="5">
        <v>9</v>
      </c>
      <c r="N26" s="5">
        <v>-5</v>
      </c>
      <c r="O26" s="196" t="str">
        <f t="shared" si="0"/>
        <v>10 OZ , 1 (1+0), -5 ±</v>
      </c>
      <c r="P26" s="5" t="str">
        <f t="shared" si="1"/>
        <v>ANO</v>
      </c>
    </row>
    <row r="27" spans="1:16" x14ac:dyDescent="0.25">
      <c r="A27" s="53">
        <v>26</v>
      </c>
      <c r="B27" s="4" t="s">
        <v>823</v>
      </c>
      <c r="C27" s="4"/>
      <c r="D27" s="5" t="s">
        <v>51</v>
      </c>
      <c r="E27" s="5">
        <v>1</v>
      </c>
      <c r="F27" s="5">
        <v>0</v>
      </c>
      <c r="G27" s="5">
        <v>0</v>
      </c>
      <c r="H27" s="5">
        <v>0</v>
      </c>
      <c r="I27" s="5">
        <v>0</v>
      </c>
      <c r="J27" s="5">
        <v>0</v>
      </c>
      <c r="K27" s="5">
        <v>0</v>
      </c>
      <c r="L27" s="5">
        <v>1</v>
      </c>
      <c r="M27" s="5">
        <v>3</v>
      </c>
      <c r="N27" s="5">
        <v>-2</v>
      </c>
      <c r="O27" s="196" t="str">
        <f t="shared" si="0"/>
        <v>1 OZ , 0 (0+0), -2 ±</v>
      </c>
      <c r="P27" s="5" t="str">
        <f t="shared" si="1"/>
        <v>ANO</v>
      </c>
    </row>
    <row r="28" spans="1:16" x14ac:dyDescent="0.25">
      <c r="A28" s="53">
        <v>27</v>
      </c>
      <c r="B28" s="4" t="s">
        <v>824</v>
      </c>
      <c r="C28" s="4"/>
      <c r="D28" s="5"/>
      <c r="E28" s="5">
        <v>0</v>
      </c>
      <c r="F28" s="5">
        <v>0</v>
      </c>
      <c r="G28" s="5">
        <v>0</v>
      </c>
      <c r="H28" s="5">
        <v>0</v>
      </c>
      <c r="I28" s="5">
        <v>0</v>
      </c>
      <c r="J28" s="5">
        <v>0</v>
      </c>
      <c r="K28" s="5">
        <v>0</v>
      </c>
      <c r="L28" s="5">
        <v>0</v>
      </c>
      <c r="M28" s="5">
        <v>0</v>
      </c>
      <c r="N28" s="5">
        <v>0</v>
      </c>
      <c r="O28" s="196" t="str">
        <f t="shared" si="0"/>
        <v>0 OZ , 0 (0+0), 0 ±</v>
      </c>
      <c r="P28" s="5" t="str">
        <f t="shared" si="1"/>
        <v>ANO</v>
      </c>
    </row>
    <row r="29" spans="1:16" ht="15" customHeight="1" x14ac:dyDescent="0.25">
      <c r="A29" s="53">
        <v>28</v>
      </c>
      <c r="B29" s="4" t="s">
        <v>316</v>
      </c>
      <c r="C29" s="4"/>
      <c r="D29" s="5"/>
      <c r="E29" s="5">
        <v>2</v>
      </c>
      <c r="F29" s="5">
        <v>0</v>
      </c>
      <c r="G29" s="5">
        <v>0</v>
      </c>
      <c r="H29" s="5">
        <v>0</v>
      </c>
      <c r="I29" s="5">
        <v>0</v>
      </c>
      <c r="J29" s="5">
        <v>0</v>
      </c>
      <c r="K29" s="5">
        <v>0</v>
      </c>
      <c r="L29" s="5">
        <v>0</v>
      </c>
      <c r="M29" s="5">
        <v>0</v>
      </c>
      <c r="N29" s="5">
        <v>0</v>
      </c>
      <c r="O29" s="196" t="str">
        <f t="shared" si="0"/>
        <v>2 OZ , 0 (0+0), 0 ±</v>
      </c>
      <c r="P29" s="5" t="str">
        <f t="shared" si="1"/>
        <v>ANO</v>
      </c>
    </row>
    <row r="30" spans="1:16" x14ac:dyDescent="0.25">
      <c r="A30" s="54">
        <v>29</v>
      </c>
      <c r="B30" s="1" t="s">
        <v>825</v>
      </c>
      <c r="D30" s="205"/>
      <c r="E30" s="205">
        <v>2</v>
      </c>
      <c r="F30" s="205">
        <v>0</v>
      </c>
      <c r="G30" s="205">
        <v>0</v>
      </c>
      <c r="H30" s="205">
        <v>0</v>
      </c>
      <c r="I30" s="205">
        <v>0</v>
      </c>
      <c r="J30" s="205">
        <v>0</v>
      </c>
      <c r="K30" s="205">
        <v>0</v>
      </c>
      <c r="L30" s="205">
        <v>0</v>
      </c>
      <c r="M30" s="205">
        <v>2</v>
      </c>
      <c r="N30" s="205">
        <v>-2</v>
      </c>
      <c r="O30" s="196" t="str">
        <f t="shared" si="0"/>
        <v>2 OZ , 0 (0+0), -2 ±</v>
      </c>
      <c r="P30" s="5" t="str">
        <f t="shared" si="1"/>
        <v>ANO</v>
      </c>
    </row>
    <row r="31" spans="1:16" x14ac:dyDescent="0.25">
      <c r="A31" s="54">
        <v>30</v>
      </c>
      <c r="B31" s="1" t="s">
        <v>826</v>
      </c>
      <c r="D31" s="205"/>
      <c r="E31" s="205">
        <v>3</v>
      </c>
      <c r="F31" s="205">
        <v>0</v>
      </c>
      <c r="G31" s="205">
        <v>0</v>
      </c>
      <c r="H31" s="205">
        <v>0</v>
      </c>
      <c r="I31" s="205">
        <v>0</v>
      </c>
      <c r="J31" s="205">
        <v>0</v>
      </c>
      <c r="K31" s="205">
        <v>0</v>
      </c>
      <c r="L31" s="205">
        <v>1</v>
      </c>
      <c r="M31" s="205">
        <v>2</v>
      </c>
      <c r="N31" s="205">
        <v>-1</v>
      </c>
      <c r="O31" s="196" t="str">
        <f t="shared" si="0"/>
        <v>3 OZ , 0 (0+0), -1 ±</v>
      </c>
      <c r="P31" s="5" t="str">
        <f t="shared" si="1"/>
        <v>ANO</v>
      </c>
    </row>
    <row r="32" spans="1:16" x14ac:dyDescent="0.25">
      <c r="A32" s="54">
        <v>31</v>
      </c>
      <c r="B32" s="1" t="s">
        <v>827</v>
      </c>
      <c r="D32" s="205" t="s">
        <v>48</v>
      </c>
      <c r="E32" s="205">
        <v>3</v>
      </c>
      <c r="F32" s="205">
        <v>0</v>
      </c>
      <c r="G32" s="205">
        <v>0</v>
      </c>
      <c r="H32" s="205">
        <v>0</v>
      </c>
      <c r="I32" s="205">
        <v>0</v>
      </c>
      <c r="J32" s="205">
        <v>0</v>
      </c>
      <c r="K32" s="205">
        <v>0</v>
      </c>
      <c r="L32" s="205">
        <v>0</v>
      </c>
      <c r="M32" s="205">
        <v>0</v>
      </c>
      <c r="N32" s="205">
        <v>0</v>
      </c>
      <c r="O32" s="196" t="str">
        <f t="shared" si="0"/>
        <v>3 OZ , 0 (0+0), 0 ±</v>
      </c>
      <c r="P32" s="5" t="str">
        <f t="shared" si="1"/>
        <v>ANO</v>
      </c>
    </row>
    <row r="33" spans="1:27" x14ac:dyDescent="0.25">
      <c r="A33" s="54">
        <v>32</v>
      </c>
      <c r="B33" s="1" t="s">
        <v>828</v>
      </c>
      <c r="D33" s="205"/>
      <c r="E33" s="205">
        <v>8</v>
      </c>
      <c r="F33" s="205">
        <v>0</v>
      </c>
      <c r="G33" s="205">
        <v>0</v>
      </c>
      <c r="H33" s="205">
        <v>0</v>
      </c>
      <c r="I33" s="205">
        <v>0</v>
      </c>
      <c r="J33" s="205">
        <v>0</v>
      </c>
      <c r="K33" s="205">
        <v>0</v>
      </c>
      <c r="L33" s="205">
        <v>4</v>
      </c>
      <c r="M33" s="205">
        <v>7</v>
      </c>
      <c r="N33" s="205">
        <v>-3</v>
      </c>
      <c r="O33" s="196" t="str">
        <f t="shared" si="0"/>
        <v>8 OZ , 0 (0+0), -3 ±</v>
      </c>
      <c r="P33" s="5" t="str">
        <f t="shared" si="1"/>
        <v>ANO</v>
      </c>
    </row>
    <row r="34" spans="1:27" x14ac:dyDescent="0.25">
      <c r="A34" s="54">
        <v>33</v>
      </c>
      <c r="B34" s="1" t="s">
        <v>829</v>
      </c>
      <c r="D34" s="205" t="s">
        <v>48</v>
      </c>
      <c r="E34" s="205">
        <v>16</v>
      </c>
      <c r="F34" s="205">
        <v>0</v>
      </c>
      <c r="G34" s="205">
        <v>0</v>
      </c>
      <c r="H34" s="205">
        <v>0</v>
      </c>
      <c r="I34" s="205">
        <v>0</v>
      </c>
      <c r="J34" s="205">
        <v>0</v>
      </c>
      <c r="K34" s="205">
        <v>0</v>
      </c>
      <c r="L34" s="205">
        <v>16</v>
      </c>
      <c r="M34" s="205">
        <v>32</v>
      </c>
      <c r="N34" s="205">
        <v>-16</v>
      </c>
      <c r="O34" s="196" t="str">
        <f t="shared" si="0"/>
        <v>16 OZ , 0 (0+0), -16 ±</v>
      </c>
      <c r="P34" s="5" t="str">
        <f t="shared" si="1"/>
        <v>ANO</v>
      </c>
    </row>
    <row r="35" spans="1:27" x14ac:dyDescent="0.25">
      <c r="A35" s="54">
        <v>34</v>
      </c>
      <c r="B35" s="1" t="s">
        <v>830</v>
      </c>
      <c r="D35" s="205" t="s">
        <v>35</v>
      </c>
      <c r="E35" s="205">
        <v>0</v>
      </c>
      <c r="F35" s="205">
        <v>0</v>
      </c>
      <c r="G35" s="205">
        <v>0</v>
      </c>
      <c r="H35" s="205">
        <v>0</v>
      </c>
      <c r="I35" s="205">
        <v>0</v>
      </c>
      <c r="J35" s="205">
        <v>0</v>
      </c>
      <c r="K35" s="205">
        <v>0</v>
      </c>
      <c r="L35" s="205">
        <v>0</v>
      </c>
      <c r="M35" s="205">
        <v>0</v>
      </c>
      <c r="N35" s="205">
        <v>0</v>
      </c>
      <c r="O35" s="196" t="str">
        <f t="shared" si="0"/>
        <v>0 OZ , 0 (0+0), 0 ±</v>
      </c>
      <c r="P35" s="5" t="str">
        <f t="shared" si="1"/>
        <v>ANO</v>
      </c>
    </row>
    <row r="36" spans="1:27" x14ac:dyDescent="0.25">
      <c r="A36" s="54">
        <v>35</v>
      </c>
      <c r="B36" s="1" t="s">
        <v>831</v>
      </c>
      <c r="D36" s="205" t="s">
        <v>35</v>
      </c>
      <c r="E36" s="205">
        <v>0</v>
      </c>
      <c r="F36" s="205">
        <v>0</v>
      </c>
      <c r="G36" s="205">
        <v>0</v>
      </c>
      <c r="H36" s="205">
        <v>0</v>
      </c>
      <c r="I36" s="205">
        <v>0</v>
      </c>
      <c r="J36" s="205">
        <v>0</v>
      </c>
      <c r="K36" s="205">
        <v>0</v>
      </c>
      <c r="L36" s="205">
        <v>0</v>
      </c>
      <c r="M36" s="205">
        <v>0</v>
      </c>
      <c r="N36" s="205">
        <v>0</v>
      </c>
      <c r="O36" s="196" t="str">
        <f t="shared" si="0"/>
        <v>0 OZ , 0 (0+0), 0 ±</v>
      </c>
      <c r="P36" s="5" t="str">
        <f t="shared" si="1"/>
        <v>ANO</v>
      </c>
    </row>
    <row r="38" spans="1:27" s="197" customFormat="1" ht="15" customHeight="1" x14ac:dyDescent="0.25">
      <c r="A38" s="8" t="s">
        <v>58</v>
      </c>
      <c r="B38" s="197" t="s">
        <v>59</v>
      </c>
      <c r="D38" s="197" t="s">
        <v>83</v>
      </c>
      <c r="E38" s="197" t="s">
        <v>84</v>
      </c>
      <c r="F38" s="197" t="s">
        <v>85</v>
      </c>
      <c r="G38" s="197" t="s">
        <v>40</v>
      </c>
      <c r="H38" s="197" t="s">
        <v>86</v>
      </c>
      <c r="I38" s="197" t="s">
        <v>87</v>
      </c>
      <c r="J38" s="197" t="s">
        <v>88</v>
      </c>
      <c r="K38" s="197" t="s">
        <v>79</v>
      </c>
      <c r="L38" s="197" t="s">
        <v>41</v>
      </c>
      <c r="M38" s="197" t="s">
        <v>89</v>
      </c>
      <c r="N38" s="3" t="s">
        <v>37</v>
      </c>
      <c r="O38" s="197" t="s">
        <v>38</v>
      </c>
      <c r="P38" s="197" t="s">
        <v>90</v>
      </c>
      <c r="Q38" s="197" t="s">
        <v>91</v>
      </c>
      <c r="R38" s="197" t="s">
        <v>92</v>
      </c>
    </row>
    <row r="39" spans="1:27" x14ac:dyDescent="0.25">
      <c r="A39" s="54">
        <v>1</v>
      </c>
      <c r="B39" t="s">
        <v>830</v>
      </c>
      <c r="C39"/>
      <c r="D39" s="190">
        <v>20</v>
      </c>
      <c r="E39" s="190">
        <v>16</v>
      </c>
      <c r="F39" s="190">
        <v>872.19</v>
      </c>
      <c r="G39" s="190">
        <v>6</v>
      </c>
      <c r="H39" s="190">
        <v>100</v>
      </c>
      <c r="I39" s="190">
        <v>0</v>
      </c>
      <c r="J39" s="190">
        <v>397</v>
      </c>
      <c r="K39" s="190">
        <v>0</v>
      </c>
      <c r="L39" s="190">
        <v>10</v>
      </c>
      <c r="M39" s="190">
        <v>297</v>
      </c>
      <c r="N39" s="190">
        <v>0</v>
      </c>
      <c r="O39" s="190">
        <v>0</v>
      </c>
      <c r="P39" s="11">
        <f>IF(B39&lt;&gt;0,IFERROR(H39/(F39/60),0),"")</f>
        <v>6.8792350290647679</v>
      </c>
      <c r="Q39" s="11">
        <f>IF(B39&lt;&gt;0,IFERROR((M39/J39)*100,0),"")</f>
        <v>74.811083123425689</v>
      </c>
      <c r="R39" s="196" t="str">
        <f>IF(B39&lt;&gt;0,CONCATENATE(G39, " V, ",L39," P"),"")</f>
        <v>6 V, 10 P</v>
      </c>
    </row>
    <row r="40" spans="1:27" x14ac:dyDescent="0.25">
      <c r="A40" s="54">
        <v>2</v>
      </c>
      <c r="B40" t="s">
        <v>831</v>
      </c>
      <c r="C40"/>
      <c r="D40" s="190">
        <v>22</v>
      </c>
      <c r="E40" s="190">
        <v>11</v>
      </c>
      <c r="F40" s="190">
        <v>423.95</v>
      </c>
      <c r="G40" s="190">
        <v>1</v>
      </c>
      <c r="H40" s="190">
        <v>79</v>
      </c>
      <c r="I40" s="190">
        <v>0</v>
      </c>
      <c r="J40" s="190">
        <v>235</v>
      </c>
      <c r="K40" s="190">
        <v>0</v>
      </c>
      <c r="L40" s="190">
        <v>10</v>
      </c>
      <c r="M40" s="190">
        <v>156</v>
      </c>
      <c r="N40" s="190">
        <v>0</v>
      </c>
      <c r="O40" s="190">
        <v>0</v>
      </c>
      <c r="P40" s="11">
        <f t="shared" ref="P40:P45" si="2">IF(B40&lt;&gt;0,IFERROR(H40/(F40/60),0),"")</f>
        <v>11.180563745724733</v>
      </c>
      <c r="Q40" s="11">
        <f t="shared" ref="Q40:Q45" si="3">IF(B40&lt;&gt;0,IFERROR((M40/J40)*100,0),"")</f>
        <v>66.38297872340425</v>
      </c>
      <c r="R40" s="196" t="str">
        <f t="shared" ref="R40:R45" si="4">IF(B40&lt;&gt;0,CONCATENATE(G40, " V, ",L40," P"),"")</f>
        <v>1 V, 10 P</v>
      </c>
    </row>
    <row r="41" spans="1:27" x14ac:dyDescent="0.25">
      <c r="A41" s="54">
        <v>3</v>
      </c>
      <c r="B41" t="s">
        <v>824</v>
      </c>
      <c r="C41"/>
      <c r="D41" s="190">
        <v>2</v>
      </c>
      <c r="E41" s="190">
        <v>1</v>
      </c>
      <c r="F41" s="190">
        <v>20</v>
      </c>
      <c r="G41" s="190">
        <v>0</v>
      </c>
      <c r="H41" s="190">
        <v>5</v>
      </c>
      <c r="I41" s="190">
        <v>0</v>
      </c>
      <c r="J41" s="190">
        <v>14</v>
      </c>
      <c r="K41" s="190">
        <v>0</v>
      </c>
      <c r="L41" s="190">
        <v>1</v>
      </c>
      <c r="M41" s="190">
        <v>9</v>
      </c>
      <c r="N41" s="190">
        <v>0</v>
      </c>
      <c r="O41" s="190">
        <v>0</v>
      </c>
      <c r="P41" s="11">
        <f t="shared" si="2"/>
        <v>15</v>
      </c>
      <c r="Q41" s="11">
        <f t="shared" si="3"/>
        <v>64.285714285714292</v>
      </c>
      <c r="R41" s="196" t="str">
        <f t="shared" si="4"/>
        <v>0 V, 1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196" t="str">
        <f t="shared" si="4"/>
        <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381" t="s">
        <v>290</v>
      </c>
      <c r="Y46" s="381"/>
      <c r="Z46" s="381"/>
      <c r="AA46" s="381"/>
    </row>
    <row r="47" spans="1:27" s="197" customFormat="1" ht="15" customHeight="1" x14ac:dyDescent="0.25">
      <c r="A47" s="7">
        <f ca="1">TODAY()</f>
        <v>44244</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282</v>
      </c>
      <c r="V47" s="197" t="s">
        <v>283</v>
      </c>
      <c r="W47" s="197" t="s">
        <v>284</v>
      </c>
      <c r="X47" s="197" t="s">
        <v>289</v>
      </c>
      <c r="Y47" s="197" t="s">
        <v>287</v>
      </c>
      <c r="Z47" s="197" t="s">
        <v>288</v>
      </c>
      <c r="AA47" s="197" t="s">
        <v>478</v>
      </c>
    </row>
    <row r="48" spans="1:27" ht="15" customHeight="1" x14ac:dyDescent="0.25">
      <c r="B48" s="4" t="s">
        <v>820</v>
      </c>
      <c r="C48" s="185"/>
      <c r="D48" s="196" t="str">
        <f>IF(C48 &lt;&gt; 0,ROUNDDOWN(($A$47-C48)/365.25,0),"")</f>
        <v/>
      </c>
      <c r="E48" s="191">
        <v>0</v>
      </c>
      <c r="F48" s="191">
        <v>0</v>
      </c>
      <c r="G48" s="191">
        <v>0</v>
      </c>
      <c r="H48" s="196">
        <f>IF(B48&lt;&gt;0,F48+G48,"")</f>
        <v>0</v>
      </c>
      <c r="I48" s="191">
        <v>1</v>
      </c>
      <c r="J48" s="191">
        <v>30</v>
      </c>
      <c r="K48" s="191"/>
      <c r="L48" s="191" t="s">
        <v>78</v>
      </c>
      <c r="M48" s="191">
        <v>192</v>
      </c>
      <c r="N48" s="191">
        <v>87</v>
      </c>
      <c r="O48" s="196" t="str">
        <f>IF(B48&lt;&gt;0,CONCATENATE(E48+IFERROR(VLOOKUP(B48,$B$2:$N$36,4,FALSE),0) + X48, " OZ, ", H48+IFERROR(VLOOKUP(B48,$B$2:$N$36,9,FALSE),0) + Y48+Z48, " (", F48+IFERROR(VLOOKUP(B48,$B$2:$N$36,5,FALSE),0) + Y48, "+",G48+IFERROR(VLOOKUP(B48,$B$2:$N$36,8,FALSE),0) +  Z48, ")"), "")</f>
        <v>5 OZ, 1 (1+0)</v>
      </c>
      <c r="P48" s="196" t="str">
        <f>IF(M48&lt;&gt;0,CONCATENATE(M48,"/",N48),"")</f>
        <v>192/87</v>
      </c>
      <c r="Q48" s="192" t="s">
        <v>972</v>
      </c>
      <c r="R48" s="191">
        <v>2010</v>
      </c>
      <c r="S48" s="196" t="str">
        <f>IFERROR(CONCATENATE(E48+VLOOKUP(B48,$B$39:$R$42,4,FALSE), " OZ, ",G48+VLOOKUP(B48,$B$39:$R$42,13,FALSE), " A"),"")</f>
        <v/>
      </c>
      <c r="T48" s="1" t="str">
        <f>IF(B48&lt;&gt;0,IF(V48=1,U48,CONCATENATE(U48," ",W48,".")),"")</f>
        <v>Černý</v>
      </c>
      <c r="U48" s="1" t="str">
        <f>IFERROR(RIGHT(B48,LEN(B48)-SEARCH(" ", B48,1)),"")</f>
        <v>Černý</v>
      </c>
      <c r="V48" s="196">
        <f>IF(B48&lt;&gt;0,COUNTIF($U$48:$U$82,U48),"")</f>
        <v>1</v>
      </c>
      <c r="W48" s="196" t="str">
        <f>IFERROR(LEFT(LEFT(B48,SEARCH(" ",B48,1)),1),"")</f>
        <v>J</v>
      </c>
      <c r="X48" s="191"/>
      <c r="Y48" s="191"/>
      <c r="Z48" s="191"/>
      <c r="AA48" s="186"/>
    </row>
    <row r="49" spans="2:27" ht="15" customHeight="1" x14ac:dyDescent="0.25">
      <c r="B49" s="4" t="s">
        <v>824</v>
      </c>
      <c r="C49" s="185">
        <v>37267</v>
      </c>
      <c r="D49" s="196">
        <f ca="1">IF(C49 &lt;&gt; 0,ROUNDDOWN(($A$47-C49)/365.25,0),"")</f>
        <v>19</v>
      </c>
      <c r="E49" s="191">
        <v>0</v>
      </c>
      <c r="F49" s="191">
        <v>0</v>
      </c>
      <c r="G49" s="191">
        <v>0</v>
      </c>
      <c r="H49" s="196">
        <f>IF(B49&lt;&gt;0,F49+G49,"")</f>
        <v>0</v>
      </c>
      <c r="I49" s="191">
        <v>1</v>
      </c>
      <c r="J49" s="191">
        <v>94</v>
      </c>
      <c r="K49" s="191"/>
      <c r="L49" s="191" t="s">
        <v>30</v>
      </c>
      <c r="M49" s="191">
        <v>186</v>
      </c>
      <c r="N49" s="191">
        <v>94</v>
      </c>
      <c r="O49" s="196" t="str">
        <f>IF(B49&lt;&gt;0,CONCATENATE(E49+IFERROR(VLOOKUP(B49,$B$2:$N$36,4,FALSE),0) + X49, " OZ, ", H49+IFERROR(VLOOKUP(B49,$B$2:$N$36,9,FALSE),0) + Y49+Z49, " (", F49+IFERROR(VLOOKUP(B49,$B$2:$N$36,5,FALSE),0) + Y49, "+",G49+IFERROR(VLOOKUP(B49,$B$2:$N$36,8,FALSE),0) +  Z49, ")"), "")</f>
        <v>0 OZ, 0 (0+0)</v>
      </c>
      <c r="P49" s="196" t="str">
        <f>IF(M49&lt;&gt;0,CONCATENATE(M49,"/",N49),"")</f>
        <v>186/94</v>
      </c>
      <c r="Q49" s="192" t="s">
        <v>966</v>
      </c>
      <c r="R49" s="191">
        <v>2009</v>
      </c>
      <c r="S49" s="196" t="str">
        <f>IFERROR(CONCATENATE(E49+VLOOKUP(B49,$B$39:$R$42,4,FALSE), " OZ, ",G49+VLOOKUP(B49,$B$39:$R$42,13,FALSE), " A"),"")</f>
        <v>1 OZ, 0 A</v>
      </c>
      <c r="T49" s="1" t="str">
        <f>IF(B49&lt;&gt;0,IF(V49=1,U49,CONCATENATE(U49," ",W49,".")),"")</f>
        <v>Dittrich</v>
      </c>
      <c r="U49" s="1" t="str">
        <f>IFERROR(RIGHT(B49,LEN(B49)-SEARCH(" ", B49,1)),"")</f>
        <v>Dittrich</v>
      </c>
      <c r="V49" s="196">
        <f>IF(B49&lt;&gt;0,COUNTIF($U$48:$U$82,U49),"")</f>
        <v>1</v>
      </c>
      <c r="W49" s="196" t="str">
        <f>IFERROR(LEFT(LEFT(B49,SEARCH(" ",B49,1)),1),"")</f>
        <v>T</v>
      </c>
      <c r="X49" s="191"/>
      <c r="Y49" s="191"/>
      <c r="Z49" s="191"/>
      <c r="AA49" s="186"/>
    </row>
    <row r="50" spans="2:27" ht="15" customHeight="1" x14ac:dyDescent="0.25">
      <c r="B50" s="1" t="s">
        <v>830</v>
      </c>
      <c r="C50" s="185">
        <v>35187</v>
      </c>
      <c r="D50" s="196">
        <f ca="1">IF(C50 &lt;&gt; 0,ROUNDDOWN(($A$47-C50)/365.25,0),"")</f>
        <v>24</v>
      </c>
      <c r="E50" s="191">
        <v>38</v>
      </c>
      <c r="F50" s="191">
        <v>0</v>
      </c>
      <c r="G50" s="191">
        <v>1</v>
      </c>
      <c r="H50" s="196">
        <f>IF(B50&lt;&gt;0,F50+G50,"")</f>
        <v>1</v>
      </c>
      <c r="I50" s="191">
        <v>5</v>
      </c>
      <c r="J50" s="191">
        <v>1</v>
      </c>
      <c r="K50" s="191"/>
      <c r="L50" s="191" t="s">
        <v>30</v>
      </c>
      <c r="M50" s="191">
        <v>191</v>
      </c>
      <c r="N50" s="191">
        <v>84</v>
      </c>
      <c r="O50" s="196" t="str">
        <f>IF(B50&lt;&gt;0,CONCATENATE(E50+IFERROR(VLOOKUP(B50,$B$2:$N$36,4,FALSE),0) + X50, " OZ, ", H50+IFERROR(VLOOKUP(B50,$B$2:$N$36,9,FALSE),0) + Y50+Z50, " (", F50+IFERROR(VLOOKUP(B50,$B$2:$N$36,5,FALSE),0) + Y50, "+",G50+IFERROR(VLOOKUP(B50,$B$2:$N$36,8,FALSE),0) +  Z50, ")"), "")</f>
        <v>38 OZ, 1 (0+1)</v>
      </c>
      <c r="P50" s="196" t="str">
        <f>IF(M50&lt;&gt;0,CONCATENATE(M50,"/",N50),"")</f>
        <v>191/84</v>
      </c>
      <c r="Q50" s="192" t="s">
        <v>970</v>
      </c>
      <c r="R50" s="191">
        <v>2002</v>
      </c>
      <c r="S50" s="196" t="str">
        <f>IFERROR(CONCATENATE(E50+VLOOKUP(B50,$B$39:$R$42,4,FALSE), " OZ, ",G50+VLOOKUP(B50,$B$39:$R$42,13,FALSE), " A"),"")</f>
        <v>54 OZ, 1 A</v>
      </c>
      <c r="T50" s="1" t="str">
        <f>IF(B50&lt;&gt;0,IF(V50=1,U50,CONCATENATE(U50," ",W50,".")),"")</f>
        <v>Dvořák</v>
      </c>
      <c r="U50" s="1" t="str">
        <f>IFERROR(RIGHT(B50,LEN(B50)-SEARCH(" ", B50,1)),"")</f>
        <v>Dvořák</v>
      </c>
      <c r="V50" s="196">
        <f>IF(B50&lt;&gt;0,COUNTIF($U$48:$U$82,U50),"")</f>
        <v>1</v>
      </c>
      <c r="W50" s="196" t="str">
        <f>IFERROR(LEFT(LEFT(B50,SEARCH(" ",B50,1)),1),"")</f>
        <v>J</v>
      </c>
      <c r="X50" s="191"/>
      <c r="Y50" s="191"/>
      <c r="Z50" s="191"/>
      <c r="AA50" s="186"/>
    </row>
    <row r="51" spans="2:27" ht="15" customHeight="1" x14ac:dyDescent="0.25">
      <c r="B51" s="1" t="s">
        <v>810</v>
      </c>
      <c r="C51" s="185">
        <v>31655</v>
      </c>
      <c r="D51" s="196">
        <f ca="1">IF(C51 &lt;&gt; 0,ROUNDDOWN(($A$47-C51)/365.25,0),"")</f>
        <v>34</v>
      </c>
      <c r="E51" s="191">
        <v>77</v>
      </c>
      <c r="F51" s="191">
        <v>26</v>
      </c>
      <c r="G51" s="191">
        <v>16</v>
      </c>
      <c r="H51" s="196">
        <f>IF(B51&lt;&gt;0,F51+G51,"")</f>
        <v>42</v>
      </c>
      <c r="I51" s="191">
        <v>4</v>
      </c>
      <c r="J51" s="191">
        <v>9</v>
      </c>
      <c r="K51" s="191"/>
      <c r="L51" s="191" t="s">
        <v>78</v>
      </c>
      <c r="M51" s="191">
        <v>182</v>
      </c>
      <c r="N51" s="191">
        <v>79</v>
      </c>
      <c r="O51" s="196" t="str">
        <f>IF(B51&lt;&gt;0,CONCATENATE(E51+IFERROR(VLOOKUP(B51,$B$2:$N$36,4,FALSE),0) + X51, " OZ, ", H51+IFERROR(VLOOKUP(B51,$B$2:$N$36,9,FALSE),0) + Y51+Z51, " (", F51+IFERROR(VLOOKUP(B51,$B$2:$N$36,5,FALSE),0) + Y51, "+",G51+IFERROR(VLOOKUP(B51,$B$2:$N$36,8,FALSE),0) +  Z51, ")"), "")</f>
        <v>99 OZ, 48 (29+19)</v>
      </c>
      <c r="P51" s="196" t="str">
        <f>IF(M51&lt;&gt;0,CONCATENATE(M51,"/",N51),"")</f>
        <v>182/79</v>
      </c>
      <c r="Q51" s="192" t="s">
        <v>967</v>
      </c>
      <c r="R51" s="191">
        <v>2005</v>
      </c>
      <c r="S51" s="196" t="str">
        <f>IFERROR(CONCATENATE(E51+VLOOKUP(B51,$B$39:$R$42,4,FALSE), " OZ, ",G51+VLOOKUP(B51,$B$39:$R$42,13,FALSE), " A"),"")</f>
        <v/>
      </c>
      <c r="T51" s="1" t="str">
        <f>IF(B51&lt;&gt;0,IF(V51=1,U51,CONCATENATE(U51," ",W51,".")),"")</f>
        <v>Dzierža</v>
      </c>
      <c r="U51" s="1" t="str">
        <f>IFERROR(RIGHT(B51,LEN(B51)-SEARCH(" ", B51,1)),"")</f>
        <v>Dzierža</v>
      </c>
      <c r="V51" s="196">
        <f>IF(B51&lt;&gt;0,COUNTIF($U$48:$U$82,U51),"")</f>
        <v>1</v>
      </c>
      <c r="W51" s="196" t="str">
        <f>IFERROR(LEFT(LEFT(B51,SEARCH(" ",B51,1)),1),"")</f>
        <v>M</v>
      </c>
      <c r="X51" s="191"/>
      <c r="Y51" s="191"/>
      <c r="Z51" s="191"/>
      <c r="AA51" s="186"/>
    </row>
    <row r="52" spans="2:27" ht="15" customHeight="1" x14ac:dyDescent="0.25">
      <c r="B52" s="4" t="s">
        <v>800</v>
      </c>
      <c r="C52" s="185">
        <v>32150</v>
      </c>
      <c r="D52" s="196">
        <f ca="1">IF(C52 &lt;&gt; 0,ROUNDDOWN(($A$47-C52)/365.25,0),"")</f>
        <v>33</v>
      </c>
      <c r="E52" s="191">
        <v>281</v>
      </c>
      <c r="F52" s="191">
        <v>160</v>
      </c>
      <c r="G52" s="191">
        <v>97</v>
      </c>
      <c r="H52" s="196">
        <f>IF(B52&lt;&gt;0,F52+G52,"")</f>
        <v>257</v>
      </c>
      <c r="I52" s="191">
        <v>16</v>
      </c>
      <c r="J52" s="191">
        <v>88</v>
      </c>
      <c r="K52" s="191"/>
      <c r="L52" s="191" t="s">
        <v>41</v>
      </c>
      <c r="M52" s="191">
        <v>200</v>
      </c>
      <c r="N52" s="191">
        <v>99</v>
      </c>
      <c r="O52" s="196" t="str">
        <f>IF(B52&lt;&gt;0,CONCATENATE(E52+IFERROR(VLOOKUP(B52,$B$2:$N$36,4,FALSE),0) + X52, " OZ, ", H52+IFERROR(VLOOKUP(B52,$B$2:$N$36,9,FALSE),0) + Y52+Z52, " (", F52+IFERROR(VLOOKUP(B52,$B$2:$N$36,5,FALSE),0) + Y52, "+",G52+IFERROR(VLOOKUP(B52,$B$2:$N$36,8,FALSE),0) +  Z52, ")"), "")</f>
        <v>303 OZ, 287 (175+112)</v>
      </c>
      <c r="P52" s="196" t="str">
        <f>IF(M52&lt;&gt;0,CONCATENATE(M52,"/",N52),"")</f>
        <v>200/99</v>
      </c>
      <c r="Q52" s="192" t="s">
        <v>963</v>
      </c>
      <c r="R52" s="191">
        <v>2007</v>
      </c>
      <c r="S52" s="196" t="str">
        <f>IFERROR(CONCATENATE(E52+VLOOKUP(B52,$B$39:$R$42,4,FALSE), " OZ, ",G52+VLOOKUP(B52,$B$39:$R$42,13,FALSE), " A"),"")</f>
        <v/>
      </c>
      <c r="T52" s="1" t="str">
        <f>IF(B52&lt;&gt;0,IF(V52=1,U52,CONCATENATE(U52," ",W52,".")),"")</f>
        <v>Ekl</v>
      </c>
      <c r="U52" s="1" t="str">
        <f>IFERROR(RIGHT(B52,LEN(B52)-SEARCH(" ", B52,1)),"")</f>
        <v>Ekl</v>
      </c>
      <c r="V52" s="196">
        <f>IF(B52&lt;&gt;0,COUNTIF($U$48:$U$82,U52),"")</f>
        <v>1</v>
      </c>
      <c r="W52" s="196" t="str">
        <f>IFERROR(LEFT(LEFT(B52,SEARCH(" ",B52,1)),1),"")</f>
        <v>J</v>
      </c>
      <c r="X52" s="191"/>
      <c r="Y52" s="191"/>
      <c r="Z52" s="191"/>
      <c r="AA52" s="186"/>
    </row>
    <row r="53" spans="2:27" ht="15" customHeight="1" x14ac:dyDescent="0.25">
      <c r="B53" s="1" t="s">
        <v>817</v>
      </c>
      <c r="C53" s="185">
        <v>36672</v>
      </c>
      <c r="D53" s="196">
        <f ca="1">IF(C53 &lt;&gt; 0,ROUNDDOWN(($A$47-C53)/365.25,0),"")</f>
        <v>20</v>
      </c>
      <c r="E53" s="191">
        <v>0</v>
      </c>
      <c r="F53" s="191">
        <v>0</v>
      </c>
      <c r="G53" s="191">
        <v>0</v>
      </c>
      <c r="H53" s="196">
        <f>IF(B53&lt;&gt;0,F53+G53,"")</f>
        <v>0</v>
      </c>
      <c r="I53" s="191">
        <v>1</v>
      </c>
      <c r="J53" s="191"/>
      <c r="K53" s="191"/>
      <c r="L53" s="191" t="s">
        <v>78</v>
      </c>
      <c r="M53" s="191">
        <v>183</v>
      </c>
      <c r="N53" s="191">
        <v>73</v>
      </c>
      <c r="O53" s="196" t="str">
        <f>IF(B53&lt;&gt;0,CONCATENATE(E53+IFERROR(VLOOKUP(B53,$B$2:$N$36,4,FALSE),0) + X53, " OZ, ", H53+IFERROR(VLOOKUP(B53,$B$2:$N$36,9,FALSE),0) + Y53+Z53, " (", F53+IFERROR(VLOOKUP(B53,$B$2:$N$36,5,FALSE),0) + Y53, "+",G53+IFERROR(VLOOKUP(B53,$B$2:$N$36,8,FALSE),0) +  Z53, ")"), "")</f>
        <v>2 OZ, 1 (1+0)</v>
      </c>
      <c r="P53" s="196" t="str">
        <f>IF(M53&lt;&gt;0,CONCATENATE(M53,"/",N53),"")</f>
        <v>183/73</v>
      </c>
      <c r="Q53" s="192" t="s">
        <v>966</v>
      </c>
      <c r="R53" s="191">
        <v>2008</v>
      </c>
      <c r="S53" s="196" t="str">
        <f>IFERROR(CONCATENATE(E53+VLOOKUP(B53,$B$39:$R$42,4,FALSE), " OZ, ",G53+VLOOKUP(B53,$B$39:$R$42,13,FALSE), " A"),"")</f>
        <v/>
      </c>
      <c r="T53" s="1" t="str">
        <f>IF(B53&lt;&gt;0,IF(V53=1,U53,CONCATENATE(U53," ",W53,".")),"")</f>
        <v>Fuchsig</v>
      </c>
      <c r="U53" s="1" t="str">
        <f>IFERROR(RIGHT(B53,LEN(B53)-SEARCH(" ", B53,1)),"")</f>
        <v>Fuchsig</v>
      </c>
      <c r="V53" s="196">
        <f>IF(B53&lt;&gt;0,COUNTIF($U$48:$U$82,U53),"")</f>
        <v>1</v>
      </c>
      <c r="W53" s="196" t="str">
        <f>IFERROR(LEFT(LEFT(B53,SEARCH(" ",B53,1)),1),"")</f>
        <v>M</v>
      </c>
      <c r="X53" s="191"/>
      <c r="Y53" s="191"/>
      <c r="Z53" s="191"/>
      <c r="AA53" s="186"/>
    </row>
    <row r="54" spans="2:27" ht="15" customHeight="1" x14ac:dyDescent="0.25">
      <c r="B54" s="1" t="s">
        <v>807</v>
      </c>
      <c r="C54" s="185">
        <v>35422</v>
      </c>
      <c r="D54" s="196">
        <f ca="1">IF(C54 &lt;&gt; 0,ROUNDDOWN(($A$47-C54)/365.25,0),"")</f>
        <v>24</v>
      </c>
      <c r="E54" s="191">
        <v>57</v>
      </c>
      <c r="F54" s="191">
        <v>11</v>
      </c>
      <c r="G54" s="191">
        <v>17</v>
      </c>
      <c r="H54" s="196">
        <f>IF(B54&lt;&gt;0,F54+G54,"")</f>
        <v>28</v>
      </c>
      <c r="I54" s="191">
        <v>5</v>
      </c>
      <c r="J54" s="191">
        <v>26</v>
      </c>
      <c r="K54" s="191"/>
      <c r="L54" s="191" t="s">
        <v>78</v>
      </c>
      <c r="M54" s="191">
        <v>185</v>
      </c>
      <c r="N54" s="191">
        <v>76</v>
      </c>
      <c r="O54" s="196" t="str">
        <f>IF(B54&lt;&gt;0,CONCATENATE(E54+IFERROR(VLOOKUP(B54,$B$2:$N$36,4,FALSE),0) + X54, " OZ, ", H54+IFERROR(VLOOKUP(B54,$B$2:$N$36,9,FALSE),0) + Y54+Z54, " (", F54+IFERROR(VLOOKUP(B54,$B$2:$N$36,5,FALSE),0) + Y54, "+",G54+IFERROR(VLOOKUP(B54,$B$2:$N$36,8,FALSE),0) +  Z54, ")"), "")</f>
        <v>69 OZ, 36 (16+20)</v>
      </c>
      <c r="P54" s="196" t="str">
        <f>IF(M54&lt;&gt;0,CONCATENATE(M54,"/",N54),"")</f>
        <v>185/76</v>
      </c>
      <c r="Q54" s="192" t="s">
        <v>746</v>
      </c>
      <c r="R54" s="191">
        <v>2011</v>
      </c>
      <c r="S54" s="196" t="str">
        <f>IFERROR(CONCATENATE(E54+VLOOKUP(B54,$B$39:$R$42,4,FALSE), " OZ, ",G54+VLOOKUP(B54,$B$39:$R$42,13,FALSE), " A"),"")</f>
        <v/>
      </c>
      <c r="T54" s="1" t="str">
        <f>IF(B54&lt;&gt;0,IF(V54=1,U54,CONCATENATE(U54," ",W54,".")),"")</f>
        <v>Hřebřina</v>
      </c>
      <c r="U54" s="1" t="str">
        <f>IFERROR(RIGHT(B54,LEN(B54)-SEARCH(" ", B54,1)),"")</f>
        <v>Hřebřina</v>
      </c>
      <c r="V54" s="196">
        <f>IF(B54&lt;&gt;0,COUNTIF($U$48:$U$82,U54),"")</f>
        <v>1</v>
      </c>
      <c r="W54" s="196" t="str">
        <f>IFERROR(LEFT(LEFT(B54,SEARCH(" ",B54,1)),1),"")</f>
        <v>J</v>
      </c>
      <c r="X54" s="191"/>
      <c r="Y54" s="191"/>
      <c r="Z54" s="191"/>
      <c r="AA54" s="186"/>
    </row>
    <row r="55" spans="2:27" ht="15" customHeight="1" x14ac:dyDescent="0.25">
      <c r="B55" s="1" t="s">
        <v>831</v>
      </c>
      <c r="C55" s="185">
        <v>35663</v>
      </c>
      <c r="D55" s="196">
        <f ca="1">IF(C55 &lt;&gt; 0,ROUNDDOWN(($A$47-C55)/365.25,0),"")</f>
        <v>23</v>
      </c>
      <c r="E55" s="191">
        <v>17</v>
      </c>
      <c r="F55" s="191">
        <v>0</v>
      </c>
      <c r="G55" s="191">
        <v>0</v>
      </c>
      <c r="H55" s="196">
        <f>IF(B55&lt;&gt;0,F55+G55,"")</f>
        <v>0</v>
      </c>
      <c r="I55" s="191">
        <v>5</v>
      </c>
      <c r="J55" s="191">
        <v>97</v>
      </c>
      <c r="K55" s="191"/>
      <c r="L55" s="191" t="s">
        <v>30</v>
      </c>
      <c r="M55" s="191">
        <v>181</v>
      </c>
      <c r="N55" s="191">
        <v>79</v>
      </c>
      <c r="O55" s="196" t="str">
        <f>IF(B55&lt;&gt;0,CONCATENATE(E55+IFERROR(VLOOKUP(B55,$B$2:$N$36,4,FALSE),0) + X55, " OZ, ", H55+IFERROR(VLOOKUP(B55,$B$2:$N$36,9,FALSE),0) + Y55+Z55, " (", F55+IFERROR(VLOOKUP(B55,$B$2:$N$36,5,FALSE),0) + Y55, "+",G55+IFERROR(VLOOKUP(B55,$B$2:$N$36,8,FALSE),0) +  Z55, ")"), "")</f>
        <v>17 OZ, 0 (0+0)</v>
      </c>
      <c r="P55" s="196" t="str">
        <f>IF(M55&lt;&gt;0,CONCATENATE(M55,"/",N55),"")</f>
        <v>181/79</v>
      </c>
      <c r="Q55" s="192" t="s">
        <v>746</v>
      </c>
      <c r="R55" s="191" t="s">
        <v>30</v>
      </c>
      <c r="S55" s="196" t="str">
        <f>IFERROR(CONCATENATE(E55+VLOOKUP(B55,$B$39:$R$42,4,FALSE), " OZ, ",G55+VLOOKUP(B55,$B$39:$R$42,13,FALSE), " A"),"")</f>
        <v>28 OZ, 0 A</v>
      </c>
      <c r="T55" s="1" t="str">
        <f>IF(B55&lt;&gt;0,IF(V55=1,U55,CONCATENATE(U55," ",W55,".")),"")</f>
        <v>Chyna</v>
      </c>
      <c r="U55" s="1" t="str">
        <f>IFERROR(RIGHT(B55,LEN(B55)-SEARCH(" ", B55,1)),"")</f>
        <v>Chyna</v>
      </c>
      <c r="V55" s="196">
        <f>IF(B55&lt;&gt;0,COUNTIF($U$48:$U$82,U55),"")</f>
        <v>1</v>
      </c>
      <c r="W55" s="196" t="str">
        <f>IFERROR(LEFT(LEFT(B55,SEARCH(" ",B55,1)),1),"")</f>
        <v>L</v>
      </c>
      <c r="X55" s="191"/>
      <c r="Y55" s="191"/>
      <c r="Z55" s="191"/>
      <c r="AA55" s="186"/>
    </row>
    <row r="56" spans="2:27" ht="15" customHeight="1" x14ac:dyDescent="0.25">
      <c r="B56" s="1" t="s">
        <v>806</v>
      </c>
      <c r="C56" s="185">
        <v>36686</v>
      </c>
      <c r="D56" s="196">
        <f ca="1">IF(C56 &lt;&gt; 0,ROUNDDOWN(($A$47-C56)/365.25,0),"")</f>
        <v>20</v>
      </c>
      <c r="E56" s="191">
        <v>8</v>
      </c>
      <c r="F56" s="191">
        <v>2</v>
      </c>
      <c r="G56" s="191">
        <v>0</v>
      </c>
      <c r="H56" s="196">
        <f>IF(B56&lt;&gt;0,F56+G56,"")</f>
        <v>2</v>
      </c>
      <c r="I56" s="191">
        <v>2</v>
      </c>
      <c r="J56" s="191">
        <v>8</v>
      </c>
      <c r="K56" s="191"/>
      <c r="L56" s="191" t="s">
        <v>78</v>
      </c>
      <c r="M56" s="191">
        <v>186</v>
      </c>
      <c r="N56" s="191">
        <v>63</v>
      </c>
      <c r="O56" s="196" t="str">
        <f>IF(B56&lt;&gt;0,CONCATENATE(E56+IFERROR(VLOOKUP(B56,$B$2:$N$36,4,FALSE),0) + X56, " OZ, ", H56+IFERROR(VLOOKUP(B56,$B$2:$N$36,9,FALSE),0) + Y56+Z56, " (", F56+IFERROR(VLOOKUP(B56,$B$2:$N$36,5,FALSE),0) + Y56, "+",G56+IFERROR(VLOOKUP(B56,$B$2:$N$36,8,FALSE),0) +  Z56, ")"), "")</f>
        <v>25 OZ, 12 (8+4)</v>
      </c>
      <c r="P56" s="196" t="str">
        <f>IF(M56&lt;&gt;0,CONCATENATE(M56,"/",N56),"")</f>
        <v>186/63</v>
      </c>
      <c r="Q56" s="192" t="s">
        <v>966</v>
      </c>
      <c r="R56" s="191">
        <v>2008</v>
      </c>
      <c r="S56" s="196" t="str">
        <f>IFERROR(CONCATENATE(E56+VLOOKUP(B56,$B$39:$R$42,4,FALSE), " OZ, ",G56+VLOOKUP(B56,$B$39:$R$42,13,FALSE), " A"),"")</f>
        <v/>
      </c>
      <c r="T56" s="1" t="str">
        <f>IF(B56&lt;&gt;0,IF(V56=1,U56,CONCATENATE(U56," ",W56,".")),"")</f>
        <v>Jireček</v>
      </c>
      <c r="U56" s="1" t="str">
        <f>IFERROR(RIGHT(B56,LEN(B56)-SEARCH(" ", B56,1)),"")</f>
        <v>Jireček</v>
      </c>
      <c r="V56" s="196">
        <f>IF(B56&lt;&gt;0,COUNTIF($U$48:$U$82,U56),"")</f>
        <v>1</v>
      </c>
      <c r="W56" s="196" t="str">
        <f>IFERROR(LEFT(LEFT(B56,SEARCH(" ",B56,1)),1),"")</f>
        <v>O</v>
      </c>
      <c r="X56" s="191"/>
      <c r="Y56" s="191"/>
      <c r="Z56" s="191"/>
      <c r="AA56" s="186"/>
    </row>
    <row r="57" spans="2:27" ht="15" customHeight="1" x14ac:dyDescent="0.25">
      <c r="B57" s="1" t="s">
        <v>803</v>
      </c>
      <c r="C57" s="185">
        <v>33522</v>
      </c>
      <c r="D57" s="196">
        <f ca="1">IF(C57 &lt;&gt; 0,ROUNDDOWN(($A$47-C57)/365.25,0),"")</f>
        <v>29</v>
      </c>
      <c r="E57" s="191">
        <v>77</v>
      </c>
      <c r="F57" s="191">
        <v>13</v>
      </c>
      <c r="G57" s="191">
        <v>41</v>
      </c>
      <c r="H57" s="196">
        <f>IF(B57&lt;&gt;0,F57+G57,"")</f>
        <v>54</v>
      </c>
      <c r="I57" s="191">
        <v>5</v>
      </c>
      <c r="J57" s="191">
        <v>55</v>
      </c>
      <c r="K57" s="191"/>
      <c r="L57" s="191" t="s">
        <v>78</v>
      </c>
      <c r="M57" s="191">
        <v>186</v>
      </c>
      <c r="N57" s="191">
        <v>87</v>
      </c>
      <c r="O57" s="196" t="str">
        <f>IF(B57&lt;&gt;0,CONCATENATE(E57+IFERROR(VLOOKUP(B57,$B$2:$N$36,4,FALSE),0) + X57, " OZ, ", H57+IFERROR(VLOOKUP(B57,$B$2:$N$36,9,FALSE),0) + Y57+Z57, " (", F57+IFERROR(VLOOKUP(B57,$B$2:$N$36,5,FALSE),0) + Y57, "+",G57+IFERROR(VLOOKUP(B57,$B$2:$N$36,8,FALSE),0) +  Z57, ")"), "")</f>
        <v>99 OZ, 71 (23+48)</v>
      </c>
      <c r="P57" s="196" t="str">
        <f>IF(M57&lt;&gt;0,CONCATENATE(M57,"/",N57),"")</f>
        <v>186/87</v>
      </c>
      <c r="Q57" s="192" t="s">
        <v>746</v>
      </c>
      <c r="R57" s="191">
        <v>2006</v>
      </c>
      <c r="S57" s="196" t="str">
        <f>IFERROR(CONCATENATE(E57+VLOOKUP(B57,$B$39:$R$42,4,FALSE), " OZ, ",G57+VLOOKUP(B57,$B$39:$R$42,13,FALSE), " A"),"")</f>
        <v/>
      </c>
      <c r="T57" s="1" t="str">
        <f>IF(B57&lt;&gt;0,IF(V57=1,U57,CONCATENATE(U57," ",W57,".")),"")</f>
        <v>Jirsa</v>
      </c>
      <c r="U57" s="1" t="str">
        <f>IFERROR(RIGHT(B57,LEN(B57)-SEARCH(" ", B57,1)),"")</f>
        <v>Jirsa</v>
      </c>
      <c r="V57" s="196">
        <f>IF(B57&lt;&gt;0,COUNTIF($U$48:$U$82,U57),"")</f>
        <v>1</v>
      </c>
      <c r="W57" s="196" t="str">
        <f>IFERROR(LEFT(LEFT(B57,SEARCH(" ",B57,1)),1),"")</f>
        <v>J</v>
      </c>
      <c r="X57" s="191"/>
      <c r="Y57" s="191"/>
      <c r="Z57" s="191"/>
      <c r="AA57" s="186"/>
    </row>
    <row r="58" spans="2:27" ht="15" customHeight="1" x14ac:dyDescent="0.25">
      <c r="B58" s="1" t="s">
        <v>808</v>
      </c>
      <c r="C58" s="185">
        <v>33176</v>
      </c>
      <c r="D58" s="196">
        <f ca="1">IF(C58 &lt;&gt; 0,ROUNDDOWN(($A$47-C58)/365.25,0),"")</f>
        <v>30</v>
      </c>
      <c r="E58" s="191">
        <v>257</v>
      </c>
      <c r="F58" s="191">
        <v>25</v>
      </c>
      <c r="G58" s="191">
        <v>32</v>
      </c>
      <c r="H58" s="196">
        <f>IF(B58&lt;&gt;0,F58+G58,"")</f>
        <v>57</v>
      </c>
      <c r="I58" s="191">
        <v>13</v>
      </c>
      <c r="J58" s="191">
        <v>23</v>
      </c>
      <c r="K58" s="191" t="s">
        <v>222</v>
      </c>
      <c r="L58" s="191" t="s">
        <v>78</v>
      </c>
      <c r="M58" s="191">
        <v>176</v>
      </c>
      <c r="N58" s="191">
        <v>80</v>
      </c>
      <c r="O58" s="196" t="str">
        <f>IF(B58&lt;&gt;0,CONCATENATE(E58+IFERROR(VLOOKUP(B58,$B$2:$N$36,4,FALSE),0) + X58, " OZ, ", H58+IFERROR(VLOOKUP(B58,$B$2:$N$36,9,FALSE),0) + Y58+Z58, " (", F58+IFERROR(VLOOKUP(B58,$B$2:$N$36,5,FALSE),0) + Y58, "+",G58+IFERROR(VLOOKUP(B58,$B$2:$N$36,8,FALSE),0) +  Z58, ")"), "")</f>
        <v>279 OZ, 65 (29+36)</v>
      </c>
      <c r="P58" s="196" t="str">
        <f>IF(M58&lt;&gt;0,CONCATENATE(M58,"/",N58),"")</f>
        <v>176/80</v>
      </c>
      <c r="Q58" s="192" t="s">
        <v>963</v>
      </c>
      <c r="R58" s="191">
        <v>2007</v>
      </c>
      <c r="S58" s="196" t="str">
        <f>IFERROR(CONCATENATE(E58+VLOOKUP(B58,$B$39:$R$42,4,FALSE), " OZ, ",G58+VLOOKUP(B58,$B$39:$R$42,13,FALSE), " A"),"")</f>
        <v/>
      </c>
      <c r="T58" s="1" t="str">
        <f>IF(B58&lt;&gt;0,IF(V58=1,U58,CONCATENATE(U58," ",W58,".")),"")</f>
        <v>Kadlec</v>
      </c>
      <c r="U58" s="1" t="str">
        <f>IFERROR(RIGHT(B58,LEN(B58)-SEARCH(" ", B58,1)),"")</f>
        <v>Kadlec</v>
      </c>
      <c r="V58" s="196">
        <f>IF(B58&lt;&gt;0,COUNTIF($U$48:$U$82,U58),"")</f>
        <v>1</v>
      </c>
      <c r="W58" s="196" t="str">
        <f>IFERROR(LEFT(LEFT(B58,SEARCH(" ",B58,1)),1),"")</f>
        <v>T</v>
      </c>
      <c r="X58" s="191"/>
      <c r="Y58" s="191"/>
      <c r="Z58" s="191"/>
      <c r="AA58" s="186"/>
    </row>
    <row r="59" spans="2:27" ht="15" customHeight="1" x14ac:dyDescent="0.25">
      <c r="B59" s="1" t="s">
        <v>826</v>
      </c>
      <c r="C59" s="185"/>
      <c r="D59" s="196" t="str">
        <f>IF(C59 &lt;&gt; 0,ROUNDDOWN(($A$47-C59)/365.25,0),"")</f>
        <v/>
      </c>
      <c r="E59" s="191">
        <v>6</v>
      </c>
      <c r="F59" s="191">
        <v>0</v>
      </c>
      <c r="G59" s="191">
        <v>0</v>
      </c>
      <c r="H59" s="196">
        <f>IF(B59&lt;&gt;0,F59+G59,"")</f>
        <v>0</v>
      </c>
      <c r="I59" s="191">
        <v>3</v>
      </c>
      <c r="J59" s="191"/>
      <c r="K59" s="191"/>
      <c r="L59" s="191" t="s">
        <v>30</v>
      </c>
      <c r="M59" s="191"/>
      <c r="N59" s="191"/>
      <c r="O59" s="196" t="str">
        <f>IF(B59&lt;&gt;0,CONCATENATE(E59+IFERROR(VLOOKUP(B59,$B$2:$N$36,4,FALSE),0) + X59, " OZ, ", H59+IFERROR(VLOOKUP(B59,$B$2:$N$36,9,FALSE),0) + Y59+Z59, " (", F59+IFERROR(VLOOKUP(B59,$B$2:$N$36,5,FALSE),0) + Y59, "+",G59+IFERROR(VLOOKUP(B59,$B$2:$N$36,8,FALSE),0) +  Z59, ")"), "")</f>
        <v>9 OZ, 0 (0+0)</v>
      </c>
      <c r="P59" s="196" t="str">
        <f>IF(M59&lt;&gt;0,CONCATENATE(M59,"/",N59),"")</f>
        <v/>
      </c>
      <c r="Q59" s="192" t="s">
        <v>972</v>
      </c>
      <c r="R59" s="191">
        <v>2007</v>
      </c>
      <c r="S59" s="196" t="str">
        <f>IFERROR(CONCATENATE(E59+VLOOKUP(B59,$B$39:$R$42,4,FALSE), " OZ, ",G59+VLOOKUP(B59,$B$39:$R$42,13,FALSE), " A"),"")</f>
        <v/>
      </c>
      <c r="T59" s="1" t="str">
        <f>IF(B59&lt;&gt;0,IF(V59=1,U59,CONCATENATE(U59," ",W59,".")),"")</f>
        <v>Kalina</v>
      </c>
      <c r="U59" s="1" t="str">
        <f>IFERROR(RIGHT(B59,LEN(B59)-SEARCH(" ", B59,1)),"")</f>
        <v>Kalina</v>
      </c>
      <c r="V59" s="196">
        <f>IF(B59&lt;&gt;0,COUNTIF($U$48:$U$82,U59),"")</f>
        <v>1</v>
      </c>
      <c r="W59" s="196" t="str">
        <f>IFERROR(LEFT(LEFT(B59,SEARCH(" ",B59,1)),1),"")</f>
        <v>M</v>
      </c>
      <c r="X59" s="191"/>
      <c r="Y59" s="191"/>
      <c r="Z59" s="191"/>
      <c r="AA59" s="186"/>
    </row>
    <row r="60" spans="2:27" ht="15" customHeight="1" x14ac:dyDescent="0.25">
      <c r="B60" s="1" t="s">
        <v>809</v>
      </c>
      <c r="C60" s="185">
        <v>33030</v>
      </c>
      <c r="D60" s="196">
        <f ca="1">IF(C60 &lt;&gt; 0,ROUNDDOWN(($A$47-C60)/365.25,0),"")</f>
        <v>30</v>
      </c>
      <c r="E60" s="191">
        <v>70</v>
      </c>
      <c r="F60" s="191">
        <v>6</v>
      </c>
      <c r="G60" s="191">
        <v>10</v>
      </c>
      <c r="H60" s="196">
        <f>IF(B60&lt;&gt;0,F60+G60,"")</f>
        <v>16</v>
      </c>
      <c r="I60" s="191">
        <v>5</v>
      </c>
      <c r="J60" s="191">
        <v>27</v>
      </c>
      <c r="K60" s="191"/>
      <c r="L60" s="191" t="s">
        <v>78</v>
      </c>
      <c r="M60" s="191">
        <v>186</v>
      </c>
      <c r="N60" s="191">
        <v>86</v>
      </c>
      <c r="O60" s="196" t="str">
        <f>IF(B60&lt;&gt;0,CONCATENATE(E60+IFERROR(VLOOKUP(B60,$B$2:$N$36,4,FALSE),0) + X60, " OZ, ", H60+IFERROR(VLOOKUP(B60,$B$2:$N$36,9,FALSE),0) + Y60+Z60, " (", F60+IFERROR(VLOOKUP(B60,$B$2:$N$36,5,FALSE),0) + Y60, "+",G60+IFERROR(VLOOKUP(B60,$B$2:$N$36,8,FALSE),0) +  Z60, ")"), "")</f>
        <v>87 OZ, 23 (8+15)</v>
      </c>
      <c r="P60" s="196" t="str">
        <f>IF(M60&lt;&gt;0,CONCATENATE(M60,"/",N60),"")</f>
        <v>186/86</v>
      </c>
      <c r="Q60" s="192" t="s">
        <v>746</v>
      </c>
      <c r="R60" s="191">
        <v>2006</v>
      </c>
      <c r="S60" s="196" t="str">
        <f>IFERROR(CONCATENATE(E60+VLOOKUP(B60,$B$39:$R$42,4,FALSE), " OZ, ",G60+VLOOKUP(B60,$B$39:$R$42,13,FALSE), " A"),"")</f>
        <v/>
      </c>
      <c r="T60" s="1" t="str">
        <f>IF(B60&lt;&gt;0,IF(V60=1,U60,CONCATENATE(U60," ",W60,".")),"")</f>
        <v>Karel</v>
      </c>
      <c r="U60" s="1" t="str">
        <f>IFERROR(RIGHT(B60,LEN(B60)-SEARCH(" ", B60,1)),"")</f>
        <v>Karel</v>
      </c>
      <c r="V60" s="196">
        <f>IF(B60&lt;&gt;0,COUNTIF($U$48:$U$82,U60),"")</f>
        <v>1</v>
      </c>
      <c r="W60" s="196" t="str">
        <f>IFERROR(LEFT(LEFT(B60,SEARCH(" ",B60,1)),1),"")</f>
        <v>J</v>
      </c>
      <c r="X60" s="191"/>
      <c r="Y60" s="191"/>
      <c r="Z60" s="191"/>
      <c r="AA60" s="186"/>
    </row>
    <row r="61" spans="2:27" ht="15" customHeight="1" x14ac:dyDescent="0.25">
      <c r="B61" s="4" t="s">
        <v>801</v>
      </c>
      <c r="C61" s="185">
        <v>37951</v>
      </c>
      <c r="D61" s="196">
        <f ca="1">IF(C61 &lt;&gt; 0,ROUNDDOWN(($A$47-C61)/365.25,0),"")</f>
        <v>17</v>
      </c>
      <c r="E61" s="191">
        <v>0</v>
      </c>
      <c r="F61" s="191">
        <v>0</v>
      </c>
      <c r="G61" s="191">
        <v>0</v>
      </c>
      <c r="H61" s="196">
        <f>IF(B61&lt;&gt;0,F61+G61,"")</f>
        <v>0</v>
      </c>
      <c r="I61" s="191">
        <v>1</v>
      </c>
      <c r="J61" s="191">
        <v>29</v>
      </c>
      <c r="K61" s="191"/>
      <c r="L61" s="191" t="s">
        <v>78</v>
      </c>
      <c r="M61" s="191">
        <v>175</v>
      </c>
      <c r="N61" s="191">
        <v>70</v>
      </c>
      <c r="O61" s="196" t="str">
        <f>IF(B61&lt;&gt;0,CONCATENATE(E61+IFERROR(VLOOKUP(B61,$B$2:$N$36,4,FALSE),0) + X61, " OZ, ", H61+IFERROR(VLOOKUP(B61,$B$2:$N$36,9,FALSE),0) + Y61+Z61, " (", F61+IFERROR(VLOOKUP(B61,$B$2:$N$36,5,FALSE),0) + Y61, "+",G61+IFERROR(VLOOKUP(B61,$B$2:$N$36,8,FALSE),0) +  Z61, ")"), "")</f>
        <v>21 OZ, 21 (14+7)</v>
      </c>
      <c r="P61" s="196" t="str">
        <f>IF(M61&lt;&gt;0,CONCATENATE(M61,"/",N61),"")</f>
        <v>175/70</v>
      </c>
      <c r="Q61" s="192" t="s">
        <v>746</v>
      </c>
      <c r="R61" s="191" t="s">
        <v>30</v>
      </c>
      <c r="S61" s="196" t="str">
        <f>IFERROR(CONCATENATE(E61+VLOOKUP(B61,$B$39:$R$42,4,FALSE), " OZ, ",G61+VLOOKUP(B61,$B$39:$R$42,13,FALSE), " A"),"")</f>
        <v/>
      </c>
      <c r="T61" s="1" t="str">
        <f>IF(B61&lt;&gt;0,IF(V61=1,U61,CONCATENATE(U61," ",W61,".")),"")</f>
        <v>Kopič</v>
      </c>
      <c r="U61" s="1" t="str">
        <f>IFERROR(RIGHT(B61,LEN(B61)-SEARCH(" ", B61,1)),"")</f>
        <v>Kopič</v>
      </c>
      <c r="V61" s="196">
        <f>IF(B61&lt;&gt;0,COUNTIF($U$48:$U$82,U61),"")</f>
        <v>1</v>
      </c>
      <c r="W61" s="196" t="str">
        <f>IFERROR(LEFT(LEFT(B61,SEARCH(" ",B61,1)),1),"")</f>
        <v>O</v>
      </c>
      <c r="X61" s="191"/>
      <c r="Y61" s="191"/>
      <c r="Z61" s="191"/>
      <c r="AA61" s="186"/>
    </row>
    <row r="62" spans="2:27" ht="15" customHeight="1" x14ac:dyDescent="0.25">
      <c r="B62" s="1" t="s">
        <v>828</v>
      </c>
      <c r="C62" s="185">
        <v>37944</v>
      </c>
      <c r="D62" s="196">
        <f ca="1">IF(C62 &lt;&gt; 0,ROUNDDOWN(($A$47-C62)/365.25,0),"")</f>
        <v>17</v>
      </c>
      <c r="E62" s="191">
        <v>0</v>
      </c>
      <c r="F62" s="191">
        <v>0</v>
      </c>
      <c r="G62" s="191">
        <v>0</v>
      </c>
      <c r="H62" s="196">
        <f>IF(B62&lt;&gt;0,F62+G62,"")</f>
        <v>0</v>
      </c>
      <c r="I62" s="191">
        <v>1</v>
      </c>
      <c r="J62" s="191">
        <v>19</v>
      </c>
      <c r="K62" s="191"/>
      <c r="L62" s="191" t="s">
        <v>78</v>
      </c>
      <c r="M62" s="191">
        <v>170</v>
      </c>
      <c r="N62" s="191">
        <v>62</v>
      </c>
      <c r="O62" s="196" t="str">
        <f>IF(B62&lt;&gt;0,CONCATENATE(E62+IFERROR(VLOOKUP(B62,$B$2:$N$36,4,FALSE),0) + X62, " OZ, ", H62+IFERROR(VLOOKUP(B62,$B$2:$N$36,9,FALSE),0) + Y62+Z62, " (", F62+IFERROR(VLOOKUP(B62,$B$2:$N$36,5,FALSE),0) + Y62, "+",G62+IFERROR(VLOOKUP(B62,$B$2:$N$36,8,FALSE),0) +  Z62, ")"), "")</f>
        <v>8 OZ, 0 (0+0)</v>
      </c>
      <c r="P62" s="196" t="str">
        <f>IF(M62&lt;&gt;0,CONCATENATE(M62,"/",N62),"")</f>
        <v>170/62</v>
      </c>
      <c r="Q62" s="192" t="s">
        <v>746</v>
      </c>
      <c r="R62" s="191" t="s">
        <v>30</v>
      </c>
      <c r="S62" s="196" t="str">
        <f>IFERROR(CONCATENATE(E62+VLOOKUP(B62,$B$39:$R$42,4,FALSE), " OZ, ",G62+VLOOKUP(B62,$B$39:$R$42,13,FALSE), " A"),"")</f>
        <v/>
      </c>
      <c r="T62" s="1" t="str">
        <f>IF(B62&lt;&gt;0,IF(V62=1,U62,CONCATENATE(U62," ",W62,".")),"")</f>
        <v>Kouba</v>
      </c>
      <c r="U62" s="1" t="str">
        <f>IFERROR(RIGHT(B62,LEN(B62)-SEARCH(" ", B62,1)),"")</f>
        <v>Kouba</v>
      </c>
      <c r="V62" s="196">
        <f>IF(B62&lt;&gt;0,COUNTIF($U$48:$U$82,U62),"")</f>
        <v>1</v>
      </c>
      <c r="W62" s="196" t="str">
        <f>IFERROR(LEFT(LEFT(B62,SEARCH(" ",B62,1)),1),"")</f>
        <v>A</v>
      </c>
      <c r="X62" s="191"/>
      <c r="Y62" s="191"/>
      <c r="Z62" s="191"/>
      <c r="AA62" s="186"/>
    </row>
    <row r="63" spans="2:27" ht="15" customHeight="1" x14ac:dyDescent="0.25">
      <c r="B63" s="4" t="s">
        <v>799</v>
      </c>
      <c r="C63" s="185">
        <v>33970</v>
      </c>
      <c r="D63" s="196">
        <f ca="1">IF(C63 &lt;&gt; 0,ROUNDDOWN(($A$47-C63)/365.25,0),"")</f>
        <v>28</v>
      </c>
      <c r="E63" s="191">
        <v>169</v>
      </c>
      <c r="F63" s="191">
        <v>197</v>
      </c>
      <c r="G63" s="191">
        <v>71</v>
      </c>
      <c r="H63" s="196">
        <f>IF(B63&lt;&gt;0,F63+G63,"")</f>
        <v>268</v>
      </c>
      <c r="I63" s="191">
        <v>9</v>
      </c>
      <c r="J63" s="191">
        <v>77</v>
      </c>
      <c r="K63" s="191"/>
      <c r="L63" s="191" t="s">
        <v>78</v>
      </c>
      <c r="M63" s="191">
        <v>186</v>
      </c>
      <c r="N63" s="191">
        <v>82</v>
      </c>
      <c r="O63" s="196" t="str">
        <f>IF(B63&lt;&gt;0,CONCATENATE(E63+IFERROR(VLOOKUP(B63,$B$2:$N$36,4,FALSE),0) + X63, " OZ, ", H63+IFERROR(VLOOKUP(B63,$B$2:$N$36,9,FALSE),0) + Y63+Z63, " (", F63+IFERROR(VLOOKUP(B63,$B$2:$N$36,5,FALSE),0) + Y63, "+",G63+IFERROR(VLOOKUP(B63,$B$2:$N$36,8,FALSE),0) +  Z63, ")"), "")</f>
        <v>190 OZ, 316 (227+89)</v>
      </c>
      <c r="P63" s="196" t="str">
        <f>IF(M63&lt;&gt;0,CONCATENATE(M63,"/",N63),"")</f>
        <v>186/82</v>
      </c>
      <c r="Q63" s="192" t="s">
        <v>962</v>
      </c>
      <c r="R63" s="191" t="s">
        <v>30</v>
      </c>
      <c r="S63" s="196" t="str">
        <f>IFERROR(CONCATENATE(E63+VLOOKUP(B63,$B$39:$R$42,4,FALSE), " OZ, ",G63+VLOOKUP(B63,$B$39:$R$42,13,FALSE), " A"),"")</f>
        <v/>
      </c>
      <c r="T63" s="1" t="str">
        <f>IF(B63&lt;&gt;0,IF(V63=1,U63,CONCATENATE(U63," ",W63,".")),"")</f>
        <v>Krajcigr</v>
      </c>
      <c r="U63" s="1" t="str">
        <f>IFERROR(RIGHT(B63,LEN(B63)-SEARCH(" ", B63,1)),"")</f>
        <v>Krajcigr</v>
      </c>
      <c r="V63" s="196">
        <f>IF(B63&lt;&gt;0,COUNTIF($U$48:$U$82,U63),"")</f>
        <v>1</v>
      </c>
      <c r="W63" s="196" t="str">
        <f>IFERROR(LEFT(LEFT(B63,SEARCH(" ",B63,1)),1),"")</f>
        <v>R</v>
      </c>
      <c r="X63" s="191"/>
      <c r="Y63" s="191"/>
      <c r="Z63" s="191"/>
      <c r="AA63" s="186"/>
    </row>
    <row r="64" spans="2:27" ht="15" customHeight="1" x14ac:dyDescent="0.25">
      <c r="B64" s="4" t="s">
        <v>821</v>
      </c>
      <c r="C64" s="185">
        <v>31959</v>
      </c>
      <c r="D64" s="196">
        <f ca="1">IF(C64 &lt;&gt; 0,ROUNDDOWN(($A$47-C64)/365.25,0),"")</f>
        <v>33</v>
      </c>
      <c r="E64" s="191">
        <v>76</v>
      </c>
      <c r="F64" s="191">
        <v>11</v>
      </c>
      <c r="G64" s="191">
        <v>8</v>
      </c>
      <c r="H64" s="196">
        <f>IF(B64&lt;&gt;0,F64+G64,"")</f>
        <v>19</v>
      </c>
      <c r="I64" s="191">
        <v>5</v>
      </c>
      <c r="J64" s="191">
        <v>12</v>
      </c>
      <c r="K64" s="191"/>
      <c r="L64" s="191" t="s">
        <v>78</v>
      </c>
      <c r="M64" s="191">
        <v>185</v>
      </c>
      <c r="N64" s="191">
        <v>85</v>
      </c>
      <c r="O64" s="196" t="str">
        <f>IF(B64&lt;&gt;0,CONCATENATE(E64+IFERROR(VLOOKUP(B64,$B$2:$N$36,4,FALSE),0) + X64, " OZ, ", H64+IFERROR(VLOOKUP(B64,$B$2:$N$36,9,FALSE),0) + Y64+Z64, " (", F64+IFERROR(VLOOKUP(B64,$B$2:$N$36,5,FALSE),0) + Y64, "+",G64+IFERROR(VLOOKUP(B64,$B$2:$N$36,8,FALSE),0) +  Z64, ")"), "")</f>
        <v>83 OZ, 20 (12+8)</v>
      </c>
      <c r="P64" s="196" t="str">
        <f>IF(M64&lt;&gt;0,CONCATENATE(M64,"/",N64),"")</f>
        <v>185/85</v>
      </c>
      <c r="Q64" s="192" t="s">
        <v>973</v>
      </c>
      <c r="R64" s="191">
        <v>1999</v>
      </c>
      <c r="S64" s="196" t="str">
        <f>IFERROR(CONCATENATE(E64+VLOOKUP(B64,$B$39:$R$42,4,FALSE), " OZ, ",G64+VLOOKUP(B64,$B$39:$R$42,13,FALSE), " A"),"")</f>
        <v/>
      </c>
      <c r="T64" s="1" t="str">
        <f>IF(B64&lt;&gt;0,IF(V64=1,U64,CONCATENATE(U64," ",W64,".")),"")</f>
        <v>Mlejnek</v>
      </c>
      <c r="U64" s="1" t="str">
        <f>IFERROR(RIGHT(B64,LEN(B64)-SEARCH(" ", B64,1)),"")</f>
        <v>Mlejnek</v>
      </c>
      <c r="V64" s="196">
        <f>IF(B64&lt;&gt;0,COUNTIF($U$48:$U$82,U64),"")</f>
        <v>1</v>
      </c>
      <c r="W64" s="196" t="str">
        <f>IFERROR(LEFT(LEFT(B64,SEARCH(" ",B64,1)),1),"")</f>
        <v>L</v>
      </c>
      <c r="X64" s="191"/>
      <c r="Y64" s="191"/>
      <c r="Z64" s="191"/>
      <c r="AA64" s="186"/>
    </row>
    <row r="65" spans="2:27" ht="15" customHeight="1" x14ac:dyDescent="0.25">
      <c r="B65" s="1" t="s">
        <v>818</v>
      </c>
      <c r="C65" s="185">
        <v>35293</v>
      </c>
      <c r="D65" s="196">
        <f ca="1">IF(C65 &lt;&gt; 0,ROUNDDOWN(($A$47-C65)/365.25,0),"")</f>
        <v>24</v>
      </c>
      <c r="E65" s="191">
        <v>0</v>
      </c>
      <c r="F65" s="191">
        <v>0</v>
      </c>
      <c r="G65" s="191">
        <v>0</v>
      </c>
      <c r="H65" s="196">
        <f>IF(B65&lt;&gt;0,F65+G65,"")</f>
        <v>0</v>
      </c>
      <c r="I65" s="191">
        <v>1</v>
      </c>
      <c r="J65" s="191"/>
      <c r="K65" s="191"/>
      <c r="L65" s="191" t="s">
        <v>41</v>
      </c>
      <c r="M65" s="191">
        <v>186</v>
      </c>
      <c r="N65" s="191">
        <v>96</v>
      </c>
      <c r="O65" s="196" t="str">
        <f>IF(B65&lt;&gt;0,CONCATENATE(E65+IFERROR(VLOOKUP(B65,$B$2:$N$36,4,FALSE),0) + X65, " OZ, ", H65+IFERROR(VLOOKUP(B65,$B$2:$N$36,9,FALSE),0) + Y65+Z65, " (", F65+IFERROR(VLOOKUP(B65,$B$2:$N$36,5,FALSE),0) + Y65, "+",G65+IFERROR(VLOOKUP(B65,$B$2:$N$36,8,FALSE),0) +  Z65, ")"), "")</f>
        <v>3 OZ, 1 (1+0)</v>
      </c>
      <c r="P65" s="196" t="str">
        <f>IF(M65&lt;&gt;0,CONCATENATE(M65,"/",N65),"")</f>
        <v>186/96</v>
      </c>
      <c r="Q65" s="192" t="s">
        <v>971</v>
      </c>
      <c r="R65" s="191">
        <v>2010</v>
      </c>
      <c r="S65" s="196" t="str">
        <f>IFERROR(CONCATENATE(E65+VLOOKUP(B65,$B$39:$R$42,4,FALSE), " OZ, ",G65+VLOOKUP(B65,$B$39:$R$42,13,FALSE), " A"),"")</f>
        <v/>
      </c>
      <c r="T65" s="1" t="str">
        <f>IF(B65&lt;&gt;0,IF(V65=1,U65,CONCATENATE(U65," ",W65,".")),"")</f>
        <v>Nicklas</v>
      </c>
      <c r="U65" s="1" t="str">
        <f>IFERROR(RIGHT(B65,LEN(B65)-SEARCH(" ", B65,1)),"")</f>
        <v>Nicklas</v>
      </c>
      <c r="V65" s="196">
        <f>IF(B65&lt;&gt;0,COUNTIF($U$48:$U$82,U65),"")</f>
        <v>1</v>
      </c>
      <c r="W65" s="196" t="str">
        <f>IFERROR(LEFT(LEFT(B65,SEARCH(" ",B65,1)),1),"")</f>
        <v>D</v>
      </c>
      <c r="X65" s="191"/>
      <c r="Y65" s="191"/>
      <c r="Z65" s="191"/>
      <c r="AA65" s="186"/>
    </row>
    <row r="66" spans="2:27" ht="15" customHeight="1" x14ac:dyDescent="0.25">
      <c r="B66" s="1" t="s">
        <v>811</v>
      </c>
      <c r="C66" s="185">
        <v>34046</v>
      </c>
      <c r="D66" s="196">
        <f ca="1">IF(C66 &lt;&gt; 0,ROUNDDOWN(($A$47-C66)/365.25,0),"")</f>
        <v>27</v>
      </c>
      <c r="E66" s="191">
        <v>177</v>
      </c>
      <c r="F66" s="191">
        <v>32</v>
      </c>
      <c r="G66" s="191">
        <v>34</v>
      </c>
      <c r="H66" s="196">
        <f>IF(B66&lt;&gt;0,F66+G66,"")</f>
        <v>66</v>
      </c>
      <c r="I66" s="191">
        <v>11</v>
      </c>
      <c r="J66" s="191">
        <v>7</v>
      </c>
      <c r="K66" s="191"/>
      <c r="L66" s="191" t="s">
        <v>78</v>
      </c>
      <c r="M66" s="191">
        <v>178</v>
      </c>
      <c r="N66" s="191">
        <v>75</v>
      </c>
      <c r="O66" s="196" t="str">
        <f>IF(B66&lt;&gt;0,CONCATENATE(E66+IFERROR(VLOOKUP(B66,$B$2:$N$36,4,FALSE),0) + X66, " OZ, ", H66+IFERROR(VLOOKUP(B66,$B$2:$N$36,9,FALSE),0) + Y66+Z66, " (", F66+IFERROR(VLOOKUP(B66,$B$2:$N$36,5,FALSE),0) + Y66, "+",G66+IFERROR(VLOOKUP(B66,$B$2:$N$36,8,FALSE),0) +  Z66, ")"), "")</f>
        <v>190 OZ, 71 (33+38)</v>
      </c>
      <c r="P66" s="196" t="str">
        <f>IF(M66&lt;&gt;0,CONCATENATE(M66,"/",N66),"")</f>
        <v>178/75</v>
      </c>
      <c r="Q66" s="192" t="s">
        <v>963</v>
      </c>
      <c r="R66" s="191">
        <v>2005</v>
      </c>
      <c r="S66" s="196" t="str">
        <f>IFERROR(CONCATENATE(E66+VLOOKUP(B66,$B$39:$R$42,4,FALSE), " OZ, ",G66+VLOOKUP(B66,$B$39:$R$42,13,FALSE), " A"),"")</f>
        <v/>
      </c>
      <c r="T66" s="1" t="str">
        <f>IF(B66&lt;&gt;0,IF(V66=1,U66,CONCATENATE(U66," ",W66,".")),"")</f>
        <v>Novák</v>
      </c>
      <c r="U66" s="1" t="str">
        <f>IFERROR(RIGHT(B66,LEN(B66)-SEARCH(" ", B66,1)),"")</f>
        <v>Novák</v>
      </c>
      <c r="V66" s="196">
        <f>IF(B66&lt;&gt;0,COUNTIF($U$48:$U$82,U66),"")</f>
        <v>1</v>
      </c>
      <c r="W66" s="196" t="str">
        <f>IFERROR(LEFT(LEFT(B66,SEARCH(" ",B66,1)),1),"")</f>
        <v>T</v>
      </c>
      <c r="X66" s="191"/>
      <c r="Y66" s="191"/>
      <c r="Z66" s="191"/>
      <c r="AA66" s="186"/>
    </row>
    <row r="67" spans="2:27" ht="15" customHeight="1" x14ac:dyDescent="0.25">
      <c r="B67" s="4" t="s">
        <v>316</v>
      </c>
      <c r="C67" s="185"/>
      <c r="D67" s="196" t="str">
        <f>IF(C67 &lt;&gt; 0,ROUNDDOWN(($A$47-C67)/365.25,0),"")</f>
        <v/>
      </c>
      <c r="E67" s="191">
        <v>3</v>
      </c>
      <c r="F67" s="191">
        <v>0</v>
      </c>
      <c r="G67" s="191">
        <v>0</v>
      </c>
      <c r="H67" s="196">
        <f>IF(B67&lt;&gt;0,F67+G67,"")</f>
        <v>0</v>
      </c>
      <c r="I67" s="191">
        <v>2</v>
      </c>
      <c r="J67" s="191"/>
      <c r="K67" s="191"/>
      <c r="L67" s="191" t="s">
        <v>30</v>
      </c>
      <c r="M67" s="191"/>
      <c r="N67" s="191"/>
      <c r="O67" s="196" t="str">
        <f>IF(B67&lt;&gt;0,CONCATENATE(E67+IFERROR(VLOOKUP(B67,$B$2:$N$36,4,FALSE),0) + X67, " OZ, ", H67+IFERROR(VLOOKUP(B67,$B$2:$N$36,9,FALSE),0) + Y67+Z67, " (", F67+IFERROR(VLOOKUP(B67,$B$2:$N$36,5,FALSE),0) + Y67, "+",G67+IFERROR(VLOOKUP(B67,$B$2:$N$36,8,FALSE),0) +  Z67, ")"), "")</f>
        <v>5 OZ, 0 (0+0)</v>
      </c>
      <c r="P67" s="196" t="str">
        <f>IF(M67&lt;&gt;0,CONCATENATE(M67,"/",N67),"")</f>
        <v/>
      </c>
      <c r="Q67" s="192" t="s">
        <v>974</v>
      </c>
      <c r="R67" s="191">
        <v>2010</v>
      </c>
      <c r="S67" s="196" t="str">
        <f>IFERROR(CONCATENATE(E67+VLOOKUP(B67,$B$39:$R$42,4,FALSE), " OZ, ",G67+VLOOKUP(B67,$B$39:$R$42,13,FALSE), " A"),"")</f>
        <v/>
      </c>
      <c r="T67" s="1" t="str">
        <f>IF(B67&lt;&gt;0,IF(V67=1,U67,CONCATENATE(U67," ",W67,".")),"")</f>
        <v>Pařízek</v>
      </c>
      <c r="U67" s="1" t="str">
        <f>IFERROR(RIGHT(B67,LEN(B67)-SEARCH(" ", B67,1)),"")</f>
        <v>Pařízek</v>
      </c>
      <c r="V67" s="196">
        <f>IF(B67&lt;&gt;0,COUNTIF($U$48:$U$82,U67),"")</f>
        <v>1</v>
      </c>
      <c r="W67" s="196" t="str">
        <f>IFERROR(LEFT(LEFT(B67,SEARCH(" ",B67,1)),1),"")</f>
        <v>J</v>
      </c>
      <c r="X67" s="191"/>
      <c r="Y67" s="191"/>
      <c r="Z67" s="191"/>
      <c r="AA67" s="186"/>
    </row>
    <row r="68" spans="2:27" ht="15" customHeight="1" x14ac:dyDescent="0.25">
      <c r="B68" s="1" t="s">
        <v>829</v>
      </c>
      <c r="C68" s="185">
        <v>35331</v>
      </c>
      <c r="D68" s="196">
        <f ca="1">IF(C68 &lt;&gt; 0,ROUNDDOWN(($A$47-C68)/365.25,0),"")</f>
        <v>24</v>
      </c>
      <c r="E68" s="191">
        <v>66</v>
      </c>
      <c r="F68" s="191">
        <v>0</v>
      </c>
      <c r="G68" s="191">
        <v>1</v>
      </c>
      <c r="H68" s="196">
        <f>IF(B68&lt;&gt;0,F68+G68,"")</f>
        <v>1</v>
      </c>
      <c r="I68" s="191">
        <v>5</v>
      </c>
      <c r="J68" s="191">
        <v>39</v>
      </c>
      <c r="K68" s="191"/>
      <c r="L68" s="191" t="s">
        <v>78</v>
      </c>
      <c r="M68" s="191">
        <v>185</v>
      </c>
      <c r="N68" s="191">
        <v>88</v>
      </c>
      <c r="O68" s="196" t="str">
        <f>IF(B68&lt;&gt;0,CONCATENATE(E68+IFERROR(VLOOKUP(B68,$B$2:$N$36,4,FALSE),0) + X68, " OZ, ", H68+IFERROR(VLOOKUP(B68,$B$2:$N$36,9,FALSE),0) + Y68+Z68, " (", F68+IFERROR(VLOOKUP(B68,$B$2:$N$36,5,FALSE),0) + Y68, "+",G68+IFERROR(VLOOKUP(B68,$B$2:$N$36,8,FALSE),0) +  Z68, ")"), "")</f>
        <v>82 OZ, 1 (0+1)</v>
      </c>
      <c r="P68" s="196" t="str">
        <f>IF(M68&lt;&gt;0,CONCATENATE(M68,"/",N68),"")</f>
        <v>185/88</v>
      </c>
      <c r="Q68" s="192" t="s">
        <v>746</v>
      </c>
      <c r="R68" s="191" t="s">
        <v>30</v>
      </c>
      <c r="S68" s="196" t="str">
        <f>IFERROR(CONCATENATE(E68+VLOOKUP(B68,$B$39:$R$42,4,FALSE), " OZ, ",G68+VLOOKUP(B68,$B$39:$R$42,13,FALSE), " A"),"")</f>
        <v/>
      </c>
      <c r="T68" s="1" t="str">
        <f>IF(B68&lt;&gt;0,IF(V68=1,U68,CONCATENATE(U68," ",W68,".")),"")</f>
        <v>Pastor</v>
      </c>
      <c r="U68" s="1" t="str">
        <f>IFERROR(RIGHT(B68,LEN(B68)-SEARCH(" ", B68,1)),"")</f>
        <v>Pastor</v>
      </c>
      <c r="V68" s="196">
        <f>IF(B68&lt;&gt;0,COUNTIF($U$48:$U$82,U68),"")</f>
        <v>1</v>
      </c>
      <c r="W68" s="196" t="str">
        <f>IFERROR(LEFT(LEFT(B68,SEARCH(" ",B68,1)),1),"")</f>
        <v>D</v>
      </c>
      <c r="X68" s="191"/>
      <c r="Y68" s="191"/>
      <c r="Z68" s="191"/>
      <c r="AA68" s="186"/>
    </row>
    <row r="69" spans="2:27" ht="15" customHeight="1" x14ac:dyDescent="0.25">
      <c r="B69" s="1" t="s">
        <v>827</v>
      </c>
      <c r="C69" s="185"/>
      <c r="D69" s="196" t="str">
        <f>IF(C69 &lt;&gt; 0,ROUNDDOWN(($A$47-C69)/365.25,0),"")</f>
        <v/>
      </c>
      <c r="E69" s="191">
        <v>0</v>
      </c>
      <c r="F69" s="191">
        <v>0</v>
      </c>
      <c r="G69" s="191">
        <v>0</v>
      </c>
      <c r="H69" s="196">
        <f>IF(B69&lt;&gt;0,F69+G69,"")</f>
        <v>0</v>
      </c>
      <c r="I69" s="191">
        <v>1</v>
      </c>
      <c r="J69" s="191">
        <v>40</v>
      </c>
      <c r="K69" s="191"/>
      <c r="L69" s="191" t="s">
        <v>78</v>
      </c>
      <c r="M69" s="191"/>
      <c r="N69" s="191"/>
      <c r="O69" s="196" t="str">
        <f>IF(B69&lt;&gt;0,CONCATENATE(E69+IFERROR(VLOOKUP(B69,$B$2:$N$36,4,FALSE),0) + X69, " OZ, ", H69+IFERROR(VLOOKUP(B69,$B$2:$N$36,9,FALSE),0) + Y69+Z69, " (", F69+IFERROR(VLOOKUP(B69,$B$2:$N$36,5,FALSE),0) + Y69, "+",G69+IFERROR(VLOOKUP(B69,$B$2:$N$36,8,FALSE),0) +  Z69, ")"), "")</f>
        <v>3 OZ, 0 (0+0)</v>
      </c>
      <c r="P69" s="196" t="str">
        <f>IF(M69&lt;&gt;0,CONCATENATE(M69,"/",N69),"")</f>
        <v/>
      </c>
      <c r="Q69" s="192" t="s">
        <v>746</v>
      </c>
      <c r="R69" s="191">
        <v>2008</v>
      </c>
      <c r="S69" s="196" t="str">
        <f>IFERROR(CONCATENATE(E69+VLOOKUP(B69,$B$39:$R$42,4,FALSE), " OZ, ",G69+VLOOKUP(B69,$B$39:$R$42,13,FALSE), " A"),"")</f>
        <v/>
      </c>
      <c r="T69" s="1" t="str">
        <f>IF(B69&lt;&gt;0,IF(V69=1,U69,CONCATENATE(U69," ",W69,".")),"")</f>
        <v>Petříček</v>
      </c>
      <c r="U69" s="1" t="str">
        <f>IFERROR(RIGHT(B69,LEN(B69)-SEARCH(" ", B69,1)),"")</f>
        <v>Petříček</v>
      </c>
      <c r="V69" s="196">
        <f>IF(B69&lt;&gt;0,COUNTIF($U$48:$U$82,U69),"")</f>
        <v>1</v>
      </c>
      <c r="W69" s="196" t="str">
        <f>IFERROR(LEFT(LEFT(B69,SEARCH(" ",B69,1)),1),"")</f>
        <v>J</v>
      </c>
      <c r="X69" s="191"/>
      <c r="Y69" s="191"/>
      <c r="Z69" s="191"/>
      <c r="AA69" s="186"/>
    </row>
    <row r="70" spans="2:27" ht="15" customHeight="1" x14ac:dyDescent="0.25">
      <c r="B70" s="1" t="s">
        <v>812</v>
      </c>
      <c r="C70" s="185">
        <v>34274</v>
      </c>
      <c r="D70" s="196">
        <f ca="1">IF(C70 &lt;&gt; 0,ROUNDDOWN(($A$47-C70)/365.25,0),"")</f>
        <v>27</v>
      </c>
      <c r="E70" s="191">
        <v>269</v>
      </c>
      <c r="F70" s="191">
        <v>55</v>
      </c>
      <c r="G70" s="191">
        <v>74</v>
      </c>
      <c r="H70" s="196">
        <f>IF(B70&lt;&gt;0,F70+G70,"")</f>
        <v>129</v>
      </c>
      <c r="I70" s="191">
        <v>10</v>
      </c>
      <c r="J70" s="191"/>
      <c r="K70" s="191"/>
      <c r="L70" s="191" t="s">
        <v>78</v>
      </c>
      <c r="M70" s="191">
        <v>183</v>
      </c>
      <c r="N70" s="191">
        <v>77</v>
      </c>
      <c r="O70" s="196" t="str">
        <f>IF(B70&lt;&gt;0,CONCATENATE(E70+IFERROR(VLOOKUP(B70,$B$2:$N$36,4,FALSE),0) + X70, " OZ, ", H70+IFERROR(VLOOKUP(B70,$B$2:$N$36,9,FALSE),0) + Y70+Z70, " (", F70+IFERROR(VLOOKUP(B70,$B$2:$N$36,5,FALSE),0) + Y70, "+",G70+IFERROR(VLOOKUP(B70,$B$2:$N$36,8,FALSE),0) +  Z70, ")"), "")</f>
        <v>274 OZ, 132 (57+75)</v>
      </c>
      <c r="P70" s="196" t="str">
        <f>IF(M70&lt;&gt;0,CONCATENATE(M70,"/",N70),"")</f>
        <v>183/77</v>
      </c>
      <c r="Q70" s="192" t="s">
        <v>963</v>
      </c>
      <c r="R70" s="191">
        <v>2004</v>
      </c>
      <c r="S70" s="196" t="str">
        <f>IFERROR(CONCATENATE(E70+VLOOKUP(B70,$B$39:$R$42,4,FALSE), " OZ, ",G70+VLOOKUP(B70,$B$39:$R$42,13,FALSE), " A"),"")</f>
        <v/>
      </c>
      <c r="T70" s="1" t="str">
        <f>IF(B70&lt;&gt;0,IF(V70=1,U70,CONCATENATE(U70," ",W70,".")),"")</f>
        <v>Pluhař</v>
      </c>
      <c r="U70" s="1" t="str">
        <f>IFERROR(RIGHT(B70,LEN(B70)-SEARCH(" ", B70,1)),"")</f>
        <v>Pluhař</v>
      </c>
      <c r="V70" s="196">
        <f>IF(B70&lt;&gt;0,COUNTIF($U$48:$U$82,U70),"")</f>
        <v>1</v>
      </c>
      <c r="W70" s="196" t="str">
        <f>IFERROR(LEFT(LEFT(B70,SEARCH(" ",B70,1)),1),"")</f>
        <v>J</v>
      </c>
      <c r="X70" s="191"/>
      <c r="Y70" s="191"/>
      <c r="Z70" s="191"/>
      <c r="AA70" s="186"/>
    </row>
    <row r="71" spans="2:27" ht="15" customHeight="1" x14ac:dyDescent="0.25">
      <c r="B71" s="1" t="s">
        <v>819</v>
      </c>
      <c r="C71" s="185"/>
      <c r="D71" s="196" t="str">
        <f>IF(C71 &lt;&gt; 0,ROUNDDOWN(($A$47-C71)/365.25,0),"")</f>
        <v/>
      </c>
      <c r="E71" s="191">
        <v>0</v>
      </c>
      <c r="F71" s="191">
        <v>0</v>
      </c>
      <c r="G71" s="191">
        <v>0</v>
      </c>
      <c r="H71" s="196">
        <f>IF(B71&lt;&gt;0,F71+G71,"")</f>
        <v>0</v>
      </c>
      <c r="I71" s="191">
        <v>1</v>
      </c>
      <c r="J71" s="191"/>
      <c r="K71" s="191"/>
      <c r="L71" s="191" t="s">
        <v>30</v>
      </c>
      <c r="M71" s="191"/>
      <c r="N71" s="191"/>
      <c r="O71" s="196" t="str">
        <f>IF(B71&lt;&gt;0,CONCATENATE(E71+IFERROR(VLOOKUP(B71,$B$2:$N$36,4,FALSE),0) + X71, " OZ, ", H71+IFERROR(VLOOKUP(B71,$B$2:$N$36,9,FALSE),0) + Y71+Z71, " (", F71+IFERROR(VLOOKUP(B71,$B$2:$N$36,5,FALSE),0) + Y71, "+",G71+IFERROR(VLOOKUP(B71,$B$2:$N$36,8,FALSE),0) +  Z71, ")"), "")</f>
        <v>3 OZ, 1 (1+0)</v>
      </c>
      <c r="P71" s="196" t="str">
        <f>IF(M71&lt;&gt;0,CONCATENATE(M71,"/",N71),"")</f>
        <v/>
      </c>
      <c r="Q71" s="192" t="s">
        <v>746</v>
      </c>
      <c r="R71" s="191">
        <v>2005</v>
      </c>
      <c r="S71" s="196" t="str">
        <f>IFERROR(CONCATENATE(E71+VLOOKUP(B71,$B$39:$R$42,4,FALSE), " OZ, ",G71+VLOOKUP(B71,$B$39:$R$42,13,FALSE), " A"),"")</f>
        <v/>
      </c>
      <c r="T71" s="1" t="str">
        <f>IF(B71&lt;&gt;0,IF(V71=1,U71,CONCATENATE(U71," ",W71,".")),"")</f>
        <v>Procházka</v>
      </c>
      <c r="U71" s="1" t="str">
        <f>IFERROR(RIGHT(B71,LEN(B71)-SEARCH(" ", B71,1)),"")</f>
        <v>Procházka</v>
      </c>
      <c r="V71" s="196">
        <f>IF(B71&lt;&gt;0,COUNTIF($U$48:$U$82,U71),"")</f>
        <v>1</v>
      </c>
      <c r="W71" s="196" t="str">
        <f>IFERROR(LEFT(LEFT(B71,SEARCH(" ",B71,1)),1),"")</f>
        <v>P</v>
      </c>
      <c r="X71" s="191"/>
      <c r="Y71" s="191"/>
      <c r="Z71" s="191"/>
      <c r="AA71" s="186"/>
    </row>
    <row r="72" spans="2:27" ht="15" customHeight="1" x14ac:dyDescent="0.25">
      <c r="B72" s="1" t="s">
        <v>813</v>
      </c>
      <c r="C72" s="185">
        <v>37043</v>
      </c>
      <c r="D72" s="196">
        <f ca="1">IF(C72 &lt;&gt; 0,ROUNDDOWN(($A$47-C72)/365.25,0),"")</f>
        <v>19</v>
      </c>
      <c r="E72" s="191">
        <v>0</v>
      </c>
      <c r="F72" s="191">
        <v>0</v>
      </c>
      <c r="G72" s="191">
        <v>0</v>
      </c>
      <c r="H72" s="196">
        <f>IF(B72&lt;&gt;0,F72+G72,"")</f>
        <v>0</v>
      </c>
      <c r="I72" s="191">
        <v>1</v>
      </c>
      <c r="J72" s="191">
        <v>70</v>
      </c>
      <c r="K72" s="191"/>
      <c r="L72" s="191" t="s">
        <v>78</v>
      </c>
      <c r="M72" s="191">
        <v>180</v>
      </c>
      <c r="N72" s="191">
        <v>69</v>
      </c>
      <c r="O72" s="196" t="str">
        <f>IF(B72&lt;&gt;0,CONCATENATE(E72+IFERROR(VLOOKUP(B72,$B$2:$N$36,4,FALSE),0) + X72, " OZ, ", H72+IFERROR(VLOOKUP(B72,$B$2:$N$36,9,FALSE),0) + Y72+Z72, " (", F72+IFERROR(VLOOKUP(B72,$B$2:$N$36,5,FALSE),0) + Y72, "+",G72+IFERROR(VLOOKUP(B72,$B$2:$N$36,8,FALSE),0) +  Z72, ")"), "")</f>
        <v>9 OZ, 3 (2+1)</v>
      </c>
      <c r="P72" s="196" t="str">
        <f>IF(M72&lt;&gt;0,CONCATENATE(M72,"/",N72),"")</f>
        <v>180/69</v>
      </c>
      <c r="Q72" s="192" t="s">
        <v>968</v>
      </c>
      <c r="R72" s="191">
        <v>2011</v>
      </c>
      <c r="S72" s="196" t="str">
        <f>IFERROR(CONCATENATE(E72+VLOOKUP(B72,$B$39:$R$42,4,FALSE), " OZ, ",G72+VLOOKUP(B72,$B$39:$R$42,13,FALSE), " A"),"")</f>
        <v/>
      </c>
      <c r="T72" s="1" t="str">
        <f>IF(B72&lt;&gt;0,IF(V72=1,U72,CONCATENATE(U72," ",W72,".")),"")</f>
        <v>Semerád</v>
      </c>
      <c r="U72" s="1" t="str">
        <f>IFERROR(RIGHT(B72,LEN(B72)-SEARCH(" ", B72,1)),"")</f>
        <v>Semerád</v>
      </c>
      <c r="V72" s="196">
        <f>IF(B72&lt;&gt;0,COUNTIF($U$48:$U$82,U72),"")</f>
        <v>1</v>
      </c>
      <c r="W72" s="196" t="str">
        <f>IFERROR(LEFT(LEFT(B72,SEARCH(" ",B72,1)),1),"")</f>
        <v>D</v>
      </c>
      <c r="X72" s="191"/>
      <c r="Y72" s="191"/>
      <c r="Z72" s="191"/>
      <c r="AA72" s="186"/>
    </row>
    <row r="73" spans="2:27" ht="15" customHeight="1" x14ac:dyDescent="0.25">
      <c r="B73" s="1" t="s">
        <v>804</v>
      </c>
      <c r="C73" s="185">
        <v>30346</v>
      </c>
      <c r="D73" s="196">
        <f ca="1">IF(C73 &lt;&gt; 0,ROUNDDOWN(($A$47-C73)/365.25,0),"")</f>
        <v>38</v>
      </c>
      <c r="E73" s="191">
        <v>283</v>
      </c>
      <c r="F73" s="191">
        <v>149</v>
      </c>
      <c r="G73" s="191">
        <v>148</v>
      </c>
      <c r="H73" s="196">
        <f>IF(B73&lt;&gt;0,F73+G73,"")</f>
        <v>297</v>
      </c>
      <c r="I73" s="191">
        <v>14</v>
      </c>
      <c r="J73" s="191">
        <v>50</v>
      </c>
      <c r="K73" s="191"/>
      <c r="L73" s="191" t="s">
        <v>78</v>
      </c>
      <c r="M73" s="191">
        <v>184</v>
      </c>
      <c r="N73" s="191">
        <v>91</v>
      </c>
      <c r="O73" s="196" t="str">
        <f>IF(B73&lt;&gt;0,CONCATENATE(E73+IFERROR(VLOOKUP(B73,$B$2:$N$36,4,FALSE),0) + X73, " OZ, ", H73+IFERROR(VLOOKUP(B73,$B$2:$N$36,9,FALSE),0) + Y73+Z73, " (", F73+IFERROR(VLOOKUP(B73,$B$2:$N$36,5,FALSE),0) + Y73, "+",G73+IFERROR(VLOOKUP(B73,$B$2:$N$36,8,FALSE),0) +  Z73, ")"), "")</f>
        <v>305 OZ, 314 (152+162)</v>
      </c>
      <c r="P73" s="196" t="str">
        <f>IF(M73&lt;&gt;0,CONCATENATE(M73,"/",N73),"")</f>
        <v>184/91</v>
      </c>
      <c r="Q73" s="192" t="s">
        <v>964</v>
      </c>
      <c r="R73" s="191">
        <v>1998</v>
      </c>
      <c r="S73" s="196" t="str">
        <f>IFERROR(CONCATENATE(E73+VLOOKUP(B73,$B$39:$R$42,4,FALSE), " OZ, ",G73+VLOOKUP(B73,$B$39:$R$42,13,FALSE), " A"),"")</f>
        <v/>
      </c>
      <c r="T73" s="1" t="str">
        <f>IF(B73&lt;&gt;0,IF(V73=1,U73,CONCATENATE(U73," ",W73,".")),"")</f>
        <v>Slaný</v>
      </c>
      <c r="U73" s="1" t="str">
        <f>IFERROR(RIGHT(B73,LEN(B73)-SEARCH(" ", B73,1)),"")</f>
        <v>Slaný</v>
      </c>
      <c r="V73" s="196">
        <f>IF(B73&lt;&gt;0,COUNTIF($U$48:$U$82,U73),"")</f>
        <v>1</v>
      </c>
      <c r="W73" s="196" t="str">
        <f>IFERROR(LEFT(LEFT(B73,SEARCH(" ",B73,1)),1),"")</f>
        <v>Š</v>
      </c>
      <c r="X73" s="191"/>
      <c r="Y73" s="191"/>
      <c r="Z73" s="191"/>
      <c r="AA73" s="186"/>
    </row>
    <row r="74" spans="2:27" ht="15" customHeight="1" x14ac:dyDescent="0.25">
      <c r="B74" s="4" t="s">
        <v>823</v>
      </c>
      <c r="C74" s="185">
        <v>36660</v>
      </c>
      <c r="D74" s="196">
        <f ca="1">IF(C74 &lt;&gt; 0,ROUNDDOWN(($A$47-C74)/365.25,0),"")</f>
        <v>20</v>
      </c>
      <c r="E74" s="191">
        <v>68</v>
      </c>
      <c r="F74" s="191">
        <v>18</v>
      </c>
      <c r="G74" s="191">
        <v>7</v>
      </c>
      <c r="H74" s="196">
        <f>IF(B74&lt;&gt;0,F74+G74,"")</f>
        <v>25</v>
      </c>
      <c r="I74" s="191">
        <v>4</v>
      </c>
      <c r="J74" s="191">
        <v>18</v>
      </c>
      <c r="K74" s="191"/>
      <c r="L74" s="191" t="s">
        <v>78</v>
      </c>
      <c r="M74" s="191">
        <v>194</v>
      </c>
      <c r="N74" s="191">
        <v>89</v>
      </c>
      <c r="O74" s="196" t="str">
        <f>IF(B74&lt;&gt;0,CONCATENATE(E74+IFERROR(VLOOKUP(B74,$B$2:$N$36,4,FALSE),0) + X74, " OZ, ", H74+IFERROR(VLOOKUP(B74,$B$2:$N$36,9,FALSE),0) + Y74+Z74, " (", F74+IFERROR(VLOOKUP(B74,$B$2:$N$36,5,FALSE),0) + Y74, "+",G74+IFERROR(VLOOKUP(B74,$B$2:$N$36,8,FALSE),0) +  Z74, ")"), "")</f>
        <v>69 OZ, 25 (18+7)</v>
      </c>
      <c r="P74" s="196" t="str">
        <f>IF(M74&lt;&gt;0,CONCATENATE(M74,"/",N74),"")</f>
        <v>194/89</v>
      </c>
      <c r="Q74" s="192" t="s">
        <v>746</v>
      </c>
      <c r="R74" s="191">
        <v>2007</v>
      </c>
      <c r="S74" s="196" t="str">
        <f>IFERROR(CONCATENATE(E74+VLOOKUP(B74,$B$39:$R$42,4,FALSE), " OZ, ",G74+VLOOKUP(B74,$B$39:$R$42,13,FALSE), " A"),"")</f>
        <v/>
      </c>
      <c r="T74" s="1" t="str">
        <f>IF(B74&lt;&gt;0,IF(V74=1,U74,CONCATENATE(U74," ",W74,".")),"")</f>
        <v>Spilka</v>
      </c>
      <c r="U74" s="1" t="str">
        <f>IFERROR(RIGHT(B74,LEN(B74)-SEARCH(" ", B74,1)),"")</f>
        <v>Spilka</v>
      </c>
      <c r="V74" s="196">
        <f>IF(B74&lt;&gt;0,COUNTIF($U$48:$U$82,U74),"")</f>
        <v>1</v>
      </c>
      <c r="W74" s="196" t="str">
        <f>IFERROR(LEFT(LEFT(B74,SEARCH(" ",B74,1)),1),"")</f>
        <v>J</v>
      </c>
      <c r="X74" s="191"/>
      <c r="Y74" s="191"/>
      <c r="Z74" s="191"/>
      <c r="AA74" s="186"/>
    </row>
    <row r="75" spans="2:27" ht="15" customHeight="1" x14ac:dyDescent="0.25">
      <c r="B75" s="1" t="s">
        <v>814</v>
      </c>
      <c r="C75" s="185">
        <v>37722</v>
      </c>
      <c r="D75" s="196">
        <f ca="1">IF(C75 &lt;&gt; 0,ROUNDDOWN(($A$47-C75)/365.25,0),"")</f>
        <v>17</v>
      </c>
      <c r="E75" s="191">
        <v>0</v>
      </c>
      <c r="F75" s="191">
        <v>0</v>
      </c>
      <c r="G75" s="191">
        <v>0</v>
      </c>
      <c r="H75" s="196">
        <f>IF(B75&lt;&gt;0,F75+G75,"")</f>
        <v>0</v>
      </c>
      <c r="I75" s="191">
        <v>1</v>
      </c>
      <c r="J75" s="191">
        <v>20</v>
      </c>
      <c r="K75" s="191"/>
      <c r="L75" s="191" t="s">
        <v>78</v>
      </c>
      <c r="M75" s="191">
        <v>192</v>
      </c>
      <c r="N75" s="191">
        <v>82</v>
      </c>
      <c r="O75" s="196" t="str">
        <f>IF(B75&lt;&gt;0,CONCATENATE(E75+IFERROR(VLOOKUP(B75,$B$2:$N$36,4,FALSE),0) + X75, " OZ, ", H75+IFERROR(VLOOKUP(B75,$B$2:$N$36,9,FALSE),0) + Y75+Z75, " (", F75+IFERROR(VLOOKUP(B75,$B$2:$N$36,5,FALSE),0) + Y75, "+",G75+IFERROR(VLOOKUP(B75,$B$2:$N$36,8,FALSE),0) +  Z75, ")"), "")</f>
        <v>20 OZ, 2 (2+0)</v>
      </c>
      <c r="P75" s="196" t="str">
        <f>IF(M75&lt;&gt;0,CONCATENATE(M75,"/",N75),"")</f>
        <v>192/82</v>
      </c>
      <c r="Q75" s="192" t="s">
        <v>746</v>
      </c>
      <c r="R75" s="191" t="s">
        <v>30</v>
      </c>
      <c r="S75" s="196" t="str">
        <f>IFERROR(CONCATENATE(E75+VLOOKUP(B75,$B$39:$R$42,4,FALSE), " OZ, ",G75+VLOOKUP(B75,$B$39:$R$42,13,FALSE), " A"),"")</f>
        <v/>
      </c>
      <c r="T75" s="1" t="str">
        <f>IF(B75&lt;&gt;0,IF(V75=1,U75,CONCATENATE(U75," ",W75,".")),"")</f>
        <v>Stárek</v>
      </c>
      <c r="U75" s="1" t="str">
        <f>IFERROR(RIGHT(B75,LEN(B75)-SEARCH(" ", B75,1)),"")</f>
        <v>Stárek</v>
      </c>
      <c r="V75" s="196">
        <f>IF(B75&lt;&gt;0,COUNTIF($U$48:$U$82,U75),"")</f>
        <v>1</v>
      </c>
      <c r="W75" s="196" t="str">
        <f>IFERROR(LEFT(LEFT(B75,SEARCH(" ",B75,1)),1),"")</f>
        <v>A</v>
      </c>
      <c r="X75" s="191"/>
      <c r="Y75" s="191"/>
      <c r="Z75" s="191"/>
      <c r="AA75" s="186"/>
    </row>
    <row r="76" spans="2:27" ht="15" customHeight="1" x14ac:dyDescent="0.25">
      <c r="B76" s="4" t="s">
        <v>822</v>
      </c>
      <c r="C76" s="185"/>
      <c r="D76" s="196" t="str">
        <f>IF(C76 &lt;&gt; 0,ROUNDDOWN(($A$47-C76)/365.25,0),"")</f>
        <v/>
      </c>
      <c r="E76" s="191"/>
      <c r="F76" s="191"/>
      <c r="G76" s="191"/>
      <c r="H76" s="196">
        <f>IF(B76&lt;&gt;0,F76+G76,"")</f>
        <v>0</v>
      </c>
      <c r="I76" s="191"/>
      <c r="J76" s="191">
        <v>96</v>
      </c>
      <c r="K76" s="191"/>
      <c r="L76" s="191" t="s">
        <v>78</v>
      </c>
      <c r="M76" s="191">
        <v>181</v>
      </c>
      <c r="N76" s="191">
        <v>87</v>
      </c>
      <c r="O76" s="196" t="str">
        <f>IF(B76&lt;&gt;0,CONCATENATE(E76+IFERROR(VLOOKUP(B76,$B$2:$N$36,4,FALSE),0) + X76, " OZ, ", H76+IFERROR(VLOOKUP(B76,$B$2:$N$36,9,FALSE),0) + Y76+Z76, " (", F76+IFERROR(VLOOKUP(B76,$B$2:$N$36,5,FALSE),0) + Y76, "+",G76+IFERROR(VLOOKUP(B76,$B$2:$N$36,8,FALSE),0) +  Z76, ")"), "")</f>
        <v>10 OZ, 1 (1+0)</v>
      </c>
      <c r="P76" s="196" t="str">
        <f>IF(M76&lt;&gt;0,CONCATENATE(M76,"/",N76),"")</f>
        <v>181/87</v>
      </c>
      <c r="Q76" s="192" t="s">
        <v>207</v>
      </c>
      <c r="R76" s="191">
        <v>2007</v>
      </c>
      <c r="S76" s="196" t="str">
        <f>IFERROR(CONCATENATE(E76+VLOOKUP(B76,$B$39:$R$42,4,FALSE), " OZ, ",G76+VLOOKUP(B76,$B$39:$R$42,13,FALSE), " A"),"")</f>
        <v/>
      </c>
      <c r="T76" s="1" t="str">
        <f>IF(B76&lt;&gt;0,IF(V76=1,U76,CONCATENATE(U76," ",W76,".")),"")</f>
        <v>Studený</v>
      </c>
      <c r="U76" s="1" t="str">
        <f>IFERROR(RIGHT(B76,LEN(B76)-SEARCH(" ", B76,1)),"")</f>
        <v>Studený</v>
      </c>
      <c r="V76" s="196">
        <f>IF(B76&lt;&gt;0,COUNTIF($U$48:$U$82,U76),"")</f>
        <v>1</v>
      </c>
      <c r="W76" s="196" t="str">
        <f>IFERROR(LEFT(LEFT(B76,SEARCH(" ",B76,1)),1),"")</f>
        <v>L</v>
      </c>
      <c r="X76" s="191"/>
      <c r="Y76" s="191"/>
      <c r="Z76" s="191"/>
      <c r="AA76" s="186"/>
    </row>
    <row r="77" spans="2:27" ht="15" customHeight="1" x14ac:dyDescent="0.25">
      <c r="B77" s="4" t="s">
        <v>802</v>
      </c>
      <c r="C77" s="185">
        <v>35199</v>
      </c>
      <c r="D77" s="196">
        <f ca="1">IF(C77 &lt;&gt; 0,ROUNDDOWN(($A$47-C77)/365.25,0),"")</f>
        <v>24</v>
      </c>
      <c r="E77" s="191">
        <v>76</v>
      </c>
      <c r="F77" s="191">
        <v>20</v>
      </c>
      <c r="G77" s="191">
        <v>31</v>
      </c>
      <c r="H77" s="196">
        <f>IF(B77&lt;&gt;0,F77+G77,"")</f>
        <v>51</v>
      </c>
      <c r="I77" s="191">
        <v>7</v>
      </c>
      <c r="J77" s="191">
        <v>66</v>
      </c>
      <c r="K77" s="191"/>
      <c r="L77" s="191" t="s">
        <v>41</v>
      </c>
      <c r="M77" s="191">
        <v>185</v>
      </c>
      <c r="N77" s="191">
        <v>85</v>
      </c>
      <c r="O77" s="196" t="str">
        <f>IF(B77&lt;&gt;0,CONCATENATE(E77+IFERROR(VLOOKUP(B77,$B$2:$N$36,4,FALSE),0) + X77, " OZ, ", H77+IFERROR(VLOOKUP(B77,$B$2:$N$36,9,FALSE),0) + Y77+Z77, " (", F77+IFERROR(VLOOKUP(B77,$B$2:$N$36,5,FALSE),0) + Y77, "+",G77+IFERROR(VLOOKUP(B77,$B$2:$N$36,8,FALSE),0) +  Z77, ")"), "")</f>
        <v>98 OZ, 72 (27+45)</v>
      </c>
      <c r="P77" s="196" t="str">
        <f>IF(M77&lt;&gt;0,CONCATENATE(M77,"/",N77),"")</f>
        <v>185/85</v>
      </c>
      <c r="Q77" s="192" t="s">
        <v>963</v>
      </c>
      <c r="R77" s="191">
        <v>2007</v>
      </c>
      <c r="S77" s="196" t="str">
        <f>IFERROR(CONCATENATE(E77+VLOOKUP(B77,$B$39:$R$42,4,FALSE), " OZ, ",G77+VLOOKUP(B77,$B$39:$R$42,13,FALSE), " A"),"")</f>
        <v/>
      </c>
      <c r="T77" s="1" t="str">
        <f>IF(B77&lt;&gt;0,IF(V77=1,U77,CONCATENATE(U77," ",W77,".")),"")</f>
        <v>Štěrba</v>
      </c>
      <c r="U77" s="1" t="str">
        <f>IFERROR(RIGHT(B77,LEN(B77)-SEARCH(" ", B77,1)),"")</f>
        <v>Štěrba</v>
      </c>
      <c r="V77" s="196">
        <f>IF(B77&lt;&gt;0,COUNTIF($U$48:$U$82,U77),"")</f>
        <v>1</v>
      </c>
      <c r="W77" s="196" t="str">
        <f>IFERROR(LEFT(LEFT(B77,SEARCH(" ",B77,1)),1),"")</f>
        <v>D</v>
      </c>
      <c r="X77" s="191"/>
      <c r="Y77" s="191"/>
      <c r="Z77" s="191"/>
      <c r="AA77" s="186"/>
    </row>
    <row r="78" spans="2:27" ht="15" customHeight="1" x14ac:dyDescent="0.25">
      <c r="B78" s="1" t="s">
        <v>306</v>
      </c>
      <c r="C78" s="185">
        <v>33976</v>
      </c>
      <c r="D78" s="196">
        <f ca="1">IF(C78 &lt;&gt; 0,ROUNDDOWN(($A$47-C78)/365.25,0),"")</f>
        <v>28</v>
      </c>
      <c r="E78" s="191">
        <v>66</v>
      </c>
      <c r="F78" s="191">
        <v>31</v>
      </c>
      <c r="G78" s="191">
        <v>23</v>
      </c>
      <c r="H78" s="196">
        <f>IF(B78&lt;&gt;0,F78+G78,"")</f>
        <v>54</v>
      </c>
      <c r="I78" s="191">
        <v>6</v>
      </c>
      <c r="J78" s="191">
        <v>4</v>
      </c>
      <c r="K78" s="191"/>
      <c r="L78" s="191" t="s">
        <v>78</v>
      </c>
      <c r="M78" s="191">
        <v>192</v>
      </c>
      <c r="N78" s="191">
        <v>90</v>
      </c>
      <c r="O78" s="196" t="str">
        <f>IF(B78&lt;&gt;0,CONCATENATE(E78+IFERROR(VLOOKUP(B78,$B$2:$N$36,4,FALSE),0) + X78, " OZ, ", H78+IFERROR(VLOOKUP(B78,$B$2:$N$36,9,FALSE),0) + Y78+Z78, " (", F78+IFERROR(VLOOKUP(B78,$B$2:$N$36,5,FALSE),0) + Y78, "+",G78+IFERROR(VLOOKUP(B78,$B$2:$N$36,8,FALSE),0) +  Z78, ")"), "")</f>
        <v>70 OZ, 56 (32+24)</v>
      </c>
      <c r="P78" s="196" t="str">
        <f>IF(M78&lt;&gt;0,CONCATENATE(M78,"/",N78),"")</f>
        <v>192/90</v>
      </c>
      <c r="Q78" s="192" t="s">
        <v>746</v>
      </c>
      <c r="R78" s="191">
        <v>2008</v>
      </c>
      <c r="S78" s="196" t="str">
        <f>IFERROR(CONCATENATE(E78+VLOOKUP(B78,$B$39:$R$42,4,FALSE), " OZ, ",G78+VLOOKUP(B78,$B$39:$R$42,13,FALSE), " A"),"")</f>
        <v/>
      </c>
      <c r="T78" s="1" t="str">
        <f>IF(B78&lt;&gt;0,IF(V78=1,U78,CONCATENATE(U78," ",W78,".")),"")</f>
        <v>Tichý</v>
      </c>
      <c r="U78" s="1" t="str">
        <f>IFERROR(RIGHT(B78,LEN(B78)-SEARCH(" ", B78,1)),"")</f>
        <v>Tichý</v>
      </c>
      <c r="V78" s="196">
        <f>IF(B78&lt;&gt;0,COUNTIF($U$48:$U$82,U78),"")</f>
        <v>1</v>
      </c>
      <c r="W78" s="196" t="str">
        <f>IFERROR(LEFT(LEFT(B78,SEARCH(" ",B78,1)),1),"")</f>
        <v>M</v>
      </c>
      <c r="X78" s="191"/>
      <c r="Y78" s="191"/>
      <c r="Z78" s="191"/>
      <c r="AA78" s="186"/>
    </row>
    <row r="79" spans="2:27" ht="15" customHeight="1" x14ac:dyDescent="0.25">
      <c r="B79" s="1" t="s">
        <v>825</v>
      </c>
      <c r="C79" s="185">
        <v>37758</v>
      </c>
      <c r="D79" s="196">
        <f ca="1">IF(C79 &lt;&gt; 0,ROUNDDOWN(($A$47-C79)/365.25,0),"")</f>
        <v>17</v>
      </c>
      <c r="E79" s="191">
        <v>0</v>
      </c>
      <c r="F79" s="191">
        <v>0</v>
      </c>
      <c r="G79" s="191">
        <v>0</v>
      </c>
      <c r="H79" s="196">
        <f>IF(B79&lt;&gt;0,F79+G79,"")</f>
        <v>0</v>
      </c>
      <c r="I79" s="191">
        <v>1</v>
      </c>
      <c r="J79" s="191"/>
      <c r="K79" s="191"/>
      <c r="L79" s="191" t="s">
        <v>78</v>
      </c>
      <c r="M79" s="191">
        <v>187</v>
      </c>
      <c r="N79" s="191">
        <v>76</v>
      </c>
      <c r="O79" s="196" t="str">
        <f>IF(B79&lt;&gt;0,CONCATENATE(E79+IFERROR(VLOOKUP(B79,$B$2:$N$36,4,FALSE),0) + X79, " OZ, ", H79+IFERROR(VLOOKUP(B79,$B$2:$N$36,9,FALSE),0) + Y79+Z79, " (", F79+IFERROR(VLOOKUP(B79,$B$2:$N$36,5,FALSE),0) + Y79, "+",G79+IFERROR(VLOOKUP(B79,$B$2:$N$36,8,FALSE),0) +  Z79, ")"), "")</f>
        <v>2 OZ, 0 (0+0)</v>
      </c>
      <c r="P79" s="196" t="str">
        <f>IF(M79&lt;&gt;0,CONCATENATE(M79,"/",N79),"")</f>
        <v>187/76</v>
      </c>
      <c r="Q79" s="192" t="s">
        <v>969</v>
      </c>
      <c r="R79" s="191">
        <v>2011</v>
      </c>
      <c r="S79" s="196" t="str">
        <f>IFERROR(CONCATENATE(E79+VLOOKUP(B79,$B$39:$R$42,4,FALSE), " OZ, ",G79+VLOOKUP(B79,$B$39:$R$42,13,FALSE), " A"),"")</f>
        <v/>
      </c>
      <c r="T79" s="1" t="str">
        <f>IF(B79&lt;&gt;0,IF(V79=1,U79,CONCATENATE(U79," ",W79,".")),"")</f>
        <v>Trčka</v>
      </c>
      <c r="U79" s="1" t="str">
        <f>IFERROR(RIGHT(B79,LEN(B79)-SEARCH(" ", B79,1)),"")</f>
        <v>Trčka</v>
      </c>
      <c r="V79" s="196">
        <f>IF(B79&lt;&gt;0,COUNTIF($U$48:$U$82,U79),"")</f>
        <v>1</v>
      </c>
      <c r="W79" s="196" t="str">
        <f>IFERROR(LEFT(LEFT(B79,SEARCH(" ",B79,1)),1),"")</f>
        <v>V</v>
      </c>
      <c r="X79" s="191"/>
      <c r="Y79" s="191"/>
      <c r="Z79" s="191"/>
      <c r="AA79" s="186"/>
    </row>
    <row r="80" spans="2:27" ht="15" customHeight="1" x14ac:dyDescent="0.25">
      <c r="B80" s="1" t="s">
        <v>816</v>
      </c>
      <c r="C80" s="185">
        <v>36722</v>
      </c>
      <c r="D80" s="196">
        <f ca="1">IF(C80 &lt;&gt; 0,ROUNDDOWN(($A$47-C80)/365.25,0),"")</f>
        <v>20</v>
      </c>
      <c r="E80" s="191">
        <v>0</v>
      </c>
      <c r="F80" s="191">
        <v>0</v>
      </c>
      <c r="G80" s="191">
        <v>0</v>
      </c>
      <c r="H80" s="196">
        <f>IF(B80&lt;&gt;0,F80+G80,"")</f>
        <v>0</v>
      </c>
      <c r="I80" s="191">
        <v>1</v>
      </c>
      <c r="J80" s="191"/>
      <c r="K80" s="191"/>
      <c r="L80" s="191" t="s">
        <v>78</v>
      </c>
      <c r="M80" s="191">
        <v>182</v>
      </c>
      <c r="N80" s="191">
        <v>83</v>
      </c>
      <c r="O80" s="196" t="str">
        <f>IF(B80&lt;&gt;0,CONCATENATE(E80+IFERROR(VLOOKUP(B80,$B$2:$N$36,4,FALSE),0) + X80, " OZ, ", H80+IFERROR(VLOOKUP(B80,$B$2:$N$36,9,FALSE),0) + Y80+Z80, " (", F80+IFERROR(VLOOKUP(B80,$B$2:$N$36,5,FALSE),0) + Y80, "+",G80+IFERROR(VLOOKUP(B80,$B$2:$N$36,8,FALSE),0) +  Z80, ")"), "")</f>
        <v>4 OZ, 2 (1+1)</v>
      </c>
      <c r="P80" s="196" t="str">
        <f>IF(M80&lt;&gt;0,CONCATENATE(M80,"/",N80),"")</f>
        <v>182/83</v>
      </c>
      <c r="Q80" s="192" t="s">
        <v>970</v>
      </c>
      <c r="R80" s="191">
        <v>2013</v>
      </c>
      <c r="S80" s="196" t="str">
        <f>IFERROR(CONCATENATE(E80+VLOOKUP(B80,$B$39:$R$42,4,FALSE), " OZ, ",G80+VLOOKUP(B80,$B$39:$R$42,13,FALSE), " A"),"")</f>
        <v/>
      </c>
      <c r="T80" s="1" t="str">
        <f>IF(B80&lt;&gt;0,IF(V80=1,U80,CONCATENATE(U80," ",W80,".")),"")</f>
        <v>Vavruška</v>
      </c>
      <c r="U80" s="1" t="str">
        <f>IFERROR(RIGHT(B80,LEN(B80)-SEARCH(" ", B80,1)),"")</f>
        <v>Vavruška</v>
      </c>
      <c r="V80" s="196">
        <f>IF(B80&lt;&gt;0,COUNTIF($U$48:$U$82,U80),"")</f>
        <v>1</v>
      </c>
      <c r="W80" s="196" t="str">
        <f>IFERROR(LEFT(LEFT(B80,SEARCH(" ",B80,1)),1),"")</f>
        <v>V</v>
      </c>
      <c r="X80" s="191"/>
      <c r="Y80" s="191"/>
      <c r="Z80" s="191"/>
      <c r="AA80" s="186"/>
    </row>
    <row r="81" spans="1:27" ht="15" customHeight="1" x14ac:dyDescent="0.25">
      <c r="B81" s="1" t="s">
        <v>805</v>
      </c>
      <c r="C81" s="185">
        <v>35758</v>
      </c>
      <c r="D81" s="196">
        <f ca="1">IF(C81 &lt;&gt; 0,ROUNDDOWN(($A$47-C81)/365.25,0),"")</f>
        <v>23</v>
      </c>
      <c r="E81" s="191">
        <v>43</v>
      </c>
      <c r="F81" s="191">
        <v>4</v>
      </c>
      <c r="G81" s="191">
        <v>2</v>
      </c>
      <c r="H81" s="196">
        <f>IF(B81&lt;&gt;0,F81+G81,"")</f>
        <v>6</v>
      </c>
      <c r="I81" s="191">
        <v>4</v>
      </c>
      <c r="J81" s="191">
        <v>2</v>
      </c>
      <c r="K81" s="191"/>
      <c r="L81" s="191" t="s">
        <v>78</v>
      </c>
      <c r="M81" s="191">
        <v>185</v>
      </c>
      <c r="N81" s="191">
        <v>75</v>
      </c>
      <c r="O81" s="196" t="str">
        <f>IF(B81&lt;&gt;0,CONCATENATE(E81+IFERROR(VLOOKUP(B81,$B$2:$N$36,4,FALSE),0) + X81, " OZ, ", H81+IFERROR(VLOOKUP(B81,$B$2:$N$36,9,FALSE),0) + Y81+Z81, " (", F81+IFERROR(VLOOKUP(B81,$B$2:$N$36,5,FALSE),0) + Y81, "+",G81+IFERROR(VLOOKUP(B81,$B$2:$N$36,8,FALSE),0) +  Z81, ")"), "")</f>
        <v>62 OZ, 17 (8+9)</v>
      </c>
      <c r="P81" s="196" t="str">
        <f>IF(M81&lt;&gt;0,CONCATENATE(M81,"/",N81),"")</f>
        <v>185/75</v>
      </c>
      <c r="Q81" s="192" t="s">
        <v>965</v>
      </c>
      <c r="R81" s="191" t="s">
        <v>30</v>
      </c>
      <c r="S81" s="196" t="str">
        <f>IFERROR(CONCATENATE(E81+VLOOKUP(B81,$B$39:$R$42,4,FALSE), " OZ, ",G81+VLOOKUP(B81,$B$39:$R$42,13,FALSE), " A"),"")</f>
        <v/>
      </c>
      <c r="T81" s="1" t="str">
        <f>IF(B81&lt;&gt;0,IF(V81=1,U81,CONCATENATE(U81," ",W81,".")),"")</f>
        <v>Vlček</v>
      </c>
      <c r="U81" s="1" t="str">
        <f>IFERROR(RIGHT(B81,LEN(B81)-SEARCH(" ", B81,1)),"")</f>
        <v>Vlček</v>
      </c>
      <c r="V81" s="196">
        <f>IF(B81&lt;&gt;0,COUNTIF($U$48:$U$82,U81),"")</f>
        <v>1</v>
      </c>
      <c r="W81" s="196" t="str">
        <f>IFERROR(LEFT(LEFT(B81,SEARCH(" ",B81,1)),1),"")</f>
        <v>J</v>
      </c>
      <c r="X81" s="191"/>
      <c r="Y81" s="191"/>
      <c r="Z81" s="191"/>
      <c r="AA81" s="186"/>
    </row>
    <row r="82" spans="1:27" ht="15" customHeight="1" x14ac:dyDescent="0.25">
      <c r="B82" s="1" t="s">
        <v>815</v>
      </c>
      <c r="C82" s="185">
        <v>37245</v>
      </c>
      <c r="D82" s="196">
        <f ca="1">IF(C82 &lt;&gt; 0,ROUNDDOWN(($A$47-C82)/365.25,0),"")</f>
        <v>19</v>
      </c>
      <c r="E82" s="191">
        <v>0</v>
      </c>
      <c r="F82" s="191">
        <v>0</v>
      </c>
      <c r="G82" s="191">
        <v>0</v>
      </c>
      <c r="H82" s="196">
        <f>IF(B82&lt;&gt;0,F82+G82,"")</f>
        <v>0</v>
      </c>
      <c r="I82" s="191">
        <v>1</v>
      </c>
      <c r="J82" s="191">
        <v>80</v>
      </c>
      <c r="K82" s="191"/>
      <c r="L82" s="191" t="s">
        <v>78</v>
      </c>
      <c r="M82" s="191">
        <v>184</v>
      </c>
      <c r="N82" s="191">
        <v>76</v>
      </c>
      <c r="O82" s="196" t="str">
        <f>IF(B82&lt;&gt;0,CONCATENATE(E82+IFERROR(VLOOKUP(B82,$B$2:$N$36,4,FALSE),0) + X82, " OZ, ", H82+IFERROR(VLOOKUP(B82,$B$2:$N$36,9,FALSE),0) + Y82+Z82, " (", F82+IFERROR(VLOOKUP(B82,$B$2:$N$36,5,FALSE),0) + Y82, "+",G82+IFERROR(VLOOKUP(B82,$B$2:$N$36,8,FALSE),0) +  Z82, ")"), "")</f>
        <v>4 OZ, 2 (1+1)</v>
      </c>
      <c r="P82" s="196" t="str">
        <f>IF(M82&lt;&gt;0,CONCATENATE(M82,"/",N82),"")</f>
        <v>184/76</v>
      </c>
      <c r="Q82" s="192" t="s">
        <v>969</v>
      </c>
      <c r="R82" s="191">
        <v>2011</v>
      </c>
      <c r="S82" s="196" t="str">
        <f>IFERROR(CONCATENATE(E82+VLOOKUP(B82,$B$39:$R$42,4,FALSE), " OZ, ",G82+VLOOKUP(B82,$B$39:$R$42,13,FALSE), " A"),"")</f>
        <v/>
      </c>
      <c r="T82" s="1" t="str">
        <f>IF(B82&lt;&gt;0,IF(V82=1,U82,CONCATENATE(U82," ",W82,".")),"")</f>
        <v>Vybíral</v>
      </c>
      <c r="U82" s="1" t="str">
        <f>IFERROR(RIGHT(B82,LEN(B82)-SEARCH(" ", B82,1)),"")</f>
        <v>Vybíral</v>
      </c>
      <c r="V82" s="196">
        <f>IF(B82&lt;&gt;0,COUNTIF($U$48:$U$82,U82),"")</f>
        <v>1</v>
      </c>
      <c r="W82" s="196" t="str">
        <f>IFERROR(LEFT(LEFT(B82,SEARCH(" ",B82,1)),1),"")</f>
        <v>F</v>
      </c>
      <c r="X82" s="191"/>
      <c r="Y82" s="191"/>
      <c r="Z82" s="191"/>
      <c r="AA82" s="186"/>
    </row>
    <row r="84" spans="1:27" s="197" customFormat="1" ht="15" customHeight="1" x14ac:dyDescent="0.25">
      <c r="A84" s="7">
        <f ca="1">TODAY()</f>
        <v>44244</v>
      </c>
      <c r="B84" s="197" t="s">
        <v>59</v>
      </c>
      <c r="C84" s="197" t="s">
        <v>66</v>
      </c>
      <c r="D84" s="197" t="s">
        <v>67</v>
      </c>
      <c r="E84" s="382" t="s">
        <v>94</v>
      </c>
      <c r="F84" s="382"/>
      <c r="G84" s="382" t="s">
        <v>100</v>
      </c>
      <c r="H84" s="382"/>
      <c r="I84" s="382"/>
      <c r="J84" s="382"/>
      <c r="K84" s="382"/>
      <c r="Q84" s="9"/>
    </row>
    <row r="85" spans="1:27" ht="30" customHeight="1" x14ac:dyDescent="0.25">
      <c r="B85" s="186" t="s">
        <v>975</v>
      </c>
      <c r="C85" s="185">
        <v>31211</v>
      </c>
      <c r="D85" s="196">
        <f ca="1">IF(B85&lt;&gt;0,ROUNDDOWN(($A$84-C85)/365.25,0),"")</f>
        <v>35</v>
      </c>
      <c r="E85" s="380" t="s">
        <v>99</v>
      </c>
      <c r="F85" s="380"/>
      <c r="G85" s="380" t="s">
        <v>30</v>
      </c>
      <c r="H85" s="380"/>
      <c r="I85" s="380"/>
      <c r="J85" s="380"/>
      <c r="K85" s="380"/>
    </row>
    <row r="86" spans="1:27" ht="30" customHeight="1" x14ac:dyDescent="0.25">
      <c r="B86" s="186" t="s">
        <v>976</v>
      </c>
      <c r="C86" s="185">
        <v>30597</v>
      </c>
      <c r="D86" s="196">
        <f t="shared" ref="D86:D92" ca="1" si="5">IF(B86&lt;&gt;0,ROUNDDOWN(($A$84-C86)/365.25,0),"")</f>
        <v>37</v>
      </c>
      <c r="E86" s="380" t="s">
        <v>191</v>
      </c>
      <c r="F86" s="380"/>
      <c r="G86" s="380" t="s">
        <v>30</v>
      </c>
      <c r="H86" s="380"/>
      <c r="I86" s="380"/>
      <c r="J86" s="380"/>
      <c r="K86" s="380"/>
    </row>
    <row r="87" spans="1:27" ht="30" customHeight="1" x14ac:dyDescent="0.25">
      <c r="B87" s="186" t="s">
        <v>977</v>
      </c>
      <c r="C87" s="185">
        <v>31784</v>
      </c>
      <c r="D87" s="196">
        <f t="shared" ca="1" si="5"/>
        <v>34</v>
      </c>
      <c r="E87" s="380" t="s">
        <v>101</v>
      </c>
      <c r="F87" s="380"/>
      <c r="G87" s="380" t="s">
        <v>30</v>
      </c>
      <c r="H87" s="380"/>
      <c r="I87" s="380"/>
      <c r="J87" s="380"/>
      <c r="K87" s="380"/>
    </row>
    <row r="88" spans="1:27" ht="30" customHeight="1" x14ac:dyDescent="0.25">
      <c r="B88" s="186" t="s">
        <v>978</v>
      </c>
      <c r="C88" s="185">
        <v>29101</v>
      </c>
      <c r="D88" s="196">
        <f t="shared" ca="1" si="5"/>
        <v>41</v>
      </c>
      <c r="E88" s="380" t="s">
        <v>101</v>
      </c>
      <c r="F88" s="380"/>
      <c r="G88" s="380" t="s">
        <v>30</v>
      </c>
      <c r="H88" s="380"/>
      <c r="I88" s="380"/>
      <c r="J88" s="380"/>
      <c r="K88" s="380"/>
    </row>
    <row r="89" spans="1:27" ht="30" customHeight="1" x14ac:dyDescent="0.25">
      <c r="B89" s="186"/>
      <c r="C89" s="185"/>
      <c r="D89" s="196" t="str">
        <f t="shared" si="5"/>
        <v/>
      </c>
      <c r="E89" s="380"/>
      <c r="F89" s="380"/>
      <c r="G89" s="380"/>
      <c r="H89" s="380"/>
      <c r="I89" s="380"/>
      <c r="J89" s="380"/>
      <c r="K89" s="380"/>
    </row>
    <row r="90" spans="1:27" ht="30" customHeight="1" x14ac:dyDescent="0.25">
      <c r="B90" s="186"/>
      <c r="C90" s="186"/>
      <c r="D90" s="196" t="str">
        <f t="shared" si="5"/>
        <v/>
      </c>
      <c r="E90" s="380"/>
      <c r="F90" s="380"/>
      <c r="G90" s="380"/>
      <c r="H90" s="380"/>
      <c r="I90" s="380"/>
      <c r="J90" s="380"/>
      <c r="K90" s="380"/>
    </row>
    <row r="91" spans="1:27" ht="30" customHeight="1" x14ac:dyDescent="0.25">
      <c r="B91" s="186"/>
      <c r="C91" s="186"/>
      <c r="D91" s="196" t="str">
        <f t="shared" si="5"/>
        <v/>
      </c>
      <c r="E91" s="380"/>
      <c r="F91" s="380"/>
      <c r="G91" s="380"/>
      <c r="H91" s="380"/>
      <c r="I91" s="380"/>
      <c r="J91" s="380"/>
      <c r="K91" s="380"/>
    </row>
    <row r="92" spans="1:27" ht="30" customHeight="1" x14ac:dyDescent="0.25">
      <c r="B92" s="186"/>
      <c r="C92" s="186"/>
      <c r="D92" s="196" t="str">
        <f t="shared" si="5"/>
        <v/>
      </c>
      <c r="E92" s="380"/>
      <c r="F92" s="380"/>
      <c r="G92" s="380"/>
      <c r="H92" s="380"/>
      <c r="I92" s="380"/>
      <c r="J92" s="380"/>
      <c r="K92" s="380"/>
    </row>
  </sheetData>
  <sheetProtection algorithmName="SHA-512" hashValue="+8HYgjNANELDAg5zmiongSV9Hh7MNn4oFjm68ryLbTZxgmEyK+XPsJkzufYeMmrXAtK9Glup7GfOkkO9QAzM5g==" saltValue="wNU8nFvl68qrBt1k5qovWg=="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87" priority="1" operator="containsText" text="ANO">
      <formula>NOT(ISERROR(SEARCH("ANO",P2)))</formula>
    </cfRule>
    <cfRule type="containsText" dxfId="8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382" t="s">
        <v>36</v>
      </c>
      <c r="B1" s="1" t="s">
        <v>832</v>
      </c>
      <c r="C1" s="205">
        <v>48</v>
      </c>
      <c r="D1" s="383" t="str">
        <f t="shared" ref="D1" si="0">IFERROR(RIGHT(B1,LEN(B1)-SEARCH(" ",B1)),"")</f>
        <v>Radek Krajcigr</v>
      </c>
      <c r="E1" s="383"/>
      <c r="F1" s="196"/>
    </row>
    <row r="2" spans="1:6" x14ac:dyDescent="0.25">
      <c r="A2" s="382"/>
      <c r="B2" s="1" t="s">
        <v>833</v>
      </c>
      <c r="C2" s="205">
        <v>30</v>
      </c>
      <c r="D2" s="383" t="str">
        <f t="shared" ref="D2:D30" si="1">IFERROR(RIGHT(B2,LEN(B2)-SEARCH(" ",B2)),"")</f>
        <v>Jaromír Ekl</v>
      </c>
      <c r="E2" s="383"/>
      <c r="F2" s="196"/>
    </row>
    <row r="3" spans="1:6" x14ac:dyDescent="0.25">
      <c r="A3" s="382"/>
      <c r="B3" s="1" t="s">
        <v>834</v>
      </c>
      <c r="C3" s="205">
        <v>21</v>
      </c>
      <c r="D3" s="383" t="str">
        <f t="shared" si="1"/>
        <v>Ondřej Kopič</v>
      </c>
      <c r="E3" s="383"/>
      <c r="F3" s="196"/>
    </row>
    <row r="4" spans="1:6" x14ac:dyDescent="0.25">
      <c r="A4" s="382"/>
      <c r="B4" s="1" t="s">
        <v>835</v>
      </c>
      <c r="C4" s="205">
        <v>21</v>
      </c>
      <c r="D4" s="383" t="str">
        <f t="shared" si="1"/>
        <v>Daniel Štěrba</v>
      </c>
      <c r="E4" s="383"/>
      <c r="F4" s="196"/>
    </row>
    <row r="5" spans="1:6" x14ac:dyDescent="0.25">
      <c r="A5" s="382"/>
      <c r="B5" s="1" t="s">
        <v>836</v>
      </c>
      <c r="C5" s="205">
        <v>17</v>
      </c>
      <c r="D5" s="383" t="str">
        <f t="shared" si="1"/>
        <v>Jakub Jirsa</v>
      </c>
      <c r="E5" s="383"/>
      <c r="F5" s="196"/>
    </row>
    <row r="6" spans="1:6" x14ac:dyDescent="0.25">
      <c r="A6" s="382" t="s">
        <v>242</v>
      </c>
      <c r="B6" s="1" t="s">
        <v>837</v>
      </c>
      <c r="C6" s="205" t="s">
        <v>838</v>
      </c>
      <c r="D6" s="383" t="str">
        <f t="shared" si="1"/>
        <v>Jan Dvořák</v>
      </c>
      <c r="E6" s="383"/>
      <c r="F6" s="196">
        <f t="shared" ref="F6:F10" si="2">IF(B6&lt;&gt;0,_xlfn.NUMBERVALUE(C6,","),"")</f>
        <v>6.88</v>
      </c>
    </row>
    <row r="7" spans="1:6" x14ac:dyDescent="0.25">
      <c r="A7" s="382"/>
      <c r="B7" s="1" t="s">
        <v>839</v>
      </c>
      <c r="C7" s="205" t="s">
        <v>840</v>
      </c>
      <c r="D7" s="383" t="str">
        <f t="shared" si="1"/>
        <v>Lukáš Chyna</v>
      </c>
      <c r="E7" s="383"/>
      <c r="F7" s="196">
        <f t="shared" si="2"/>
        <v>11.18</v>
      </c>
    </row>
    <row r="8" spans="1:6" x14ac:dyDescent="0.25">
      <c r="A8" s="382"/>
      <c r="B8" s="1" t="s">
        <v>841</v>
      </c>
      <c r="C8" s="205" t="s">
        <v>372</v>
      </c>
      <c r="D8" s="383" t="str">
        <f t="shared" si="1"/>
        <v>Tadeáš Dittrich</v>
      </c>
      <c r="E8" s="383"/>
      <c r="F8" s="196">
        <f t="shared" si="2"/>
        <v>15</v>
      </c>
    </row>
    <row r="9" spans="1:6" x14ac:dyDescent="0.25">
      <c r="A9" s="382"/>
      <c r="B9" s="1"/>
      <c r="C9" s="205"/>
      <c r="D9" s="383" t="str">
        <f t="shared" si="1"/>
        <v/>
      </c>
      <c r="E9" s="383"/>
      <c r="F9" s="196" t="str">
        <f t="shared" si="2"/>
        <v/>
      </c>
    </row>
    <row r="10" spans="1:6" x14ac:dyDescent="0.25">
      <c r="A10" s="382"/>
      <c r="B10" s="1"/>
      <c r="C10" s="205"/>
      <c r="D10" s="383" t="str">
        <f t="shared" si="1"/>
        <v/>
      </c>
      <c r="E10" s="383"/>
      <c r="F10" s="196" t="str">
        <f t="shared" si="2"/>
        <v/>
      </c>
    </row>
    <row r="11" spans="1:6" x14ac:dyDescent="0.25">
      <c r="A11" s="382" t="s">
        <v>35</v>
      </c>
      <c r="B11" s="1" t="s">
        <v>832</v>
      </c>
      <c r="C11" s="205">
        <v>30</v>
      </c>
      <c r="D11" s="383" t="str">
        <f t="shared" si="1"/>
        <v>Radek Krajcigr</v>
      </c>
      <c r="E11" s="383"/>
      <c r="F11" s="196"/>
    </row>
    <row r="12" spans="1:6" x14ac:dyDescent="0.25">
      <c r="A12" s="382"/>
      <c r="B12" s="1" t="s">
        <v>833</v>
      </c>
      <c r="C12" s="205">
        <v>15</v>
      </c>
      <c r="D12" s="383" t="str">
        <f t="shared" si="1"/>
        <v>Jaromír Ekl</v>
      </c>
      <c r="E12" s="383"/>
      <c r="F12" s="196"/>
    </row>
    <row r="13" spans="1:6" x14ac:dyDescent="0.25">
      <c r="A13" s="382"/>
      <c r="B13" s="1" t="s">
        <v>834</v>
      </c>
      <c r="C13" s="205">
        <v>14</v>
      </c>
      <c r="D13" s="383" t="str">
        <f t="shared" si="1"/>
        <v>Ondřej Kopič</v>
      </c>
      <c r="E13" s="383"/>
      <c r="F13" s="196"/>
    </row>
    <row r="14" spans="1:6" x14ac:dyDescent="0.25">
      <c r="A14" s="382"/>
      <c r="B14" s="1" t="s">
        <v>842</v>
      </c>
      <c r="C14" s="205">
        <v>10</v>
      </c>
      <c r="D14" s="383" t="str">
        <f t="shared" si="1"/>
        <v>Jakub Jirsa</v>
      </c>
      <c r="E14" s="383"/>
      <c r="F14" s="196"/>
    </row>
    <row r="15" spans="1:6" x14ac:dyDescent="0.25">
      <c r="A15" s="382"/>
      <c r="B15" s="1" t="s">
        <v>843</v>
      </c>
      <c r="C15" s="205">
        <v>7</v>
      </c>
      <c r="D15" s="383" t="str">
        <f t="shared" si="1"/>
        <v>Daniel Štěrba</v>
      </c>
      <c r="E15" s="383"/>
      <c r="F15" s="196"/>
    </row>
    <row r="16" spans="1:6" x14ac:dyDescent="0.25">
      <c r="A16" s="382" t="s">
        <v>230</v>
      </c>
      <c r="B16" s="1" t="s">
        <v>837</v>
      </c>
      <c r="C16" s="205">
        <v>6</v>
      </c>
      <c r="D16" s="383" t="str">
        <f t="shared" si="1"/>
        <v>Jan Dvořák</v>
      </c>
      <c r="E16" s="383"/>
      <c r="F16" s="196">
        <f t="shared" ref="F16:F20" si="3">IF(B16&lt;&gt;0,_xlfn.NUMBERVALUE(C16,","),"")</f>
        <v>6</v>
      </c>
    </row>
    <row r="17" spans="1:6" x14ac:dyDescent="0.25">
      <c r="A17" s="382"/>
      <c r="B17" s="1" t="s">
        <v>839</v>
      </c>
      <c r="C17" s="205">
        <v>1</v>
      </c>
      <c r="D17" s="383" t="str">
        <f t="shared" si="1"/>
        <v>Lukáš Chyna</v>
      </c>
      <c r="E17" s="383"/>
      <c r="F17" s="196">
        <f t="shared" si="3"/>
        <v>1</v>
      </c>
    </row>
    <row r="18" spans="1:6" x14ac:dyDescent="0.25">
      <c r="A18" s="382"/>
      <c r="B18" s="1" t="s">
        <v>841</v>
      </c>
      <c r="C18" s="205">
        <v>0</v>
      </c>
      <c r="D18" s="383" t="str">
        <f t="shared" si="1"/>
        <v>Tadeáš Dittrich</v>
      </c>
      <c r="E18" s="383"/>
      <c r="F18" s="196">
        <f t="shared" si="3"/>
        <v>0</v>
      </c>
    </row>
    <row r="19" spans="1:6" x14ac:dyDescent="0.25">
      <c r="A19" s="382"/>
      <c r="B19" s="1"/>
      <c r="C19" s="205"/>
      <c r="D19" s="383" t="str">
        <f t="shared" si="1"/>
        <v/>
      </c>
      <c r="E19" s="383"/>
      <c r="F19" s="196" t="str">
        <f t="shared" si="3"/>
        <v/>
      </c>
    </row>
    <row r="20" spans="1:6" x14ac:dyDescent="0.25">
      <c r="A20" s="382"/>
      <c r="B20" s="1"/>
      <c r="C20" s="205"/>
      <c r="D20" s="383" t="str">
        <f t="shared" si="1"/>
        <v/>
      </c>
      <c r="E20" s="383"/>
      <c r="F20" s="196" t="str">
        <f t="shared" si="3"/>
        <v/>
      </c>
    </row>
    <row r="21" spans="1:6" x14ac:dyDescent="0.25">
      <c r="A21" s="382" t="s">
        <v>37</v>
      </c>
      <c r="B21" s="1" t="s">
        <v>832</v>
      </c>
      <c r="C21" s="205">
        <v>18</v>
      </c>
      <c r="D21" s="383" t="str">
        <f t="shared" si="1"/>
        <v>Radek Krajcigr</v>
      </c>
      <c r="E21" s="383"/>
      <c r="F21" s="196"/>
    </row>
    <row r="22" spans="1:6" x14ac:dyDescent="0.25">
      <c r="A22" s="382"/>
      <c r="B22" s="1" t="s">
        <v>833</v>
      </c>
      <c r="C22" s="205">
        <v>15</v>
      </c>
      <c r="D22" s="383" t="str">
        <f t="shared" si="1"/>
        <v>Jaromír Ekl</v>
      </c>
      <c r="E22" s="383"/>
      <c r="F22" s="196"/>
    </row>
    <row r="23" spans="1:6" x14ac:dyDescent="0.25">
      <c r="A23" s="382"/>
      <c r="B23" s="1" t="s">
        <v>844</v>
      </c>
      <c r="C23" s="205">
        <v>14</v>
      </c>
      <c r="D23" s="383" t="str">
        <f t="shared" si="1"/>
        <v>Daniel Štěrba</v>
      </c>
      <c r="E23" s="383"/>
      <c r="F23" s="196"/>
    </row>
    <row r="24" spans="1:6" x14ac:dyDescent="0.25">
      <c r="A24" s="382"/>
      <c r="B24" s="1" t="s">
        <v>845</v>
      </c>
      <c r="C24" s="205">
        <v>14</v>
      </c>
      <c r="D24" s="383" t="str">
        <f t="shared" si="1"/>
        <v>Štěpán Slaný</v>
      </c>
      <c r="E24" s="383"/>
      <c r="F24" s="196"/>
    </row>
    <row r="25" spans="1:6" x14ac:dyDescent="0.25">
      <c r="A25" s="382"/>
      <c r="B25" s="1" t="s">
        <v>836</v>
      </c>
      <c r="C25" s="205">
        <v>7</v>
      </c>
      <c r="D25" s="383" t="str">
        <f t="shared" si="1"/>
        <v>Jakub Jirsa</v>
      </c>
      <c r="E25" s="383"/>
      <c r="F25" s="196"/>
    </row>
    <row r="26" spans="1:6" x14ac:dyDescent="0.25">
      <c r="A26" s="382" t="s">
        <v>38</v>
      </c>
      <c r="B26" s="1" t="s">
        <v>846</v>
      </c>
      <c r="C26" s="205">
        <v>32</v>
      </c>
      <c r="D26" s="383" t="str">
        <f t="shared" si="1"/>
        <v>Jakub Jirsa</v>
      </c>
      <c r="E26" s="383"/>
      <c r="F26" s="196"/>
    </row>
    <row r="27" spans="1:6" x14ac:dyDescent="0.25">
      <c r="A27" s="382"/>
      <c r="B27" s="1" t="s">
        <v>847</v>
      </c>
      <c r="C27" s="205">
        <v>14</v>
      </c>
      <c r="D27" s="383" t="str">
        <f t="shared" si="1"/>
        <v>Radek Krajcigr</v>
      </c>
      <c r="E27" s="383"/>
      <c r="F27" s="196"/>
    </row>
    <row r="28" spans="1:6" x14ac:dyDescent="0.25">
      <c r="A28" s="382"/>
      <c r="B28" s="1" t="s">
        <v>848</v>
      </c>
      <c r="C28" s="205">
        <v>8</v>
      </c>
      <c r="D28" s="383" t="str">
        <f t="shared" si="1"/>
        <v>Štěpán Slaný</v>
      </c>
      <c r="E28" s="383"/>
      <c r="F28" s="196"/>
    </row>
    <row r="29" spans="1:6" x14ac:dyDescent="0.25">
      <c r="A29" s="382"/>
      <c r="B29" s="1" t="s">
        <v>849</v>
      </c>
      <c r="C29" s="205">
        <v>6</v>
      </c>
      <c r="D29" s="383" t="str">
        <f t="shared" si="1"/>
        <v>Antonín Stárek</v>
      </c>
      <c r="E29" s="383"/>
      <c r="F29" s="196"/>
    </row>
    <row r="30" spans="1:6" x14ac:dyDescent="0.25">
      <c r="A30" s="382"/>
      <c r="B30" s="1" t="s">
        <v>843</v>
      </c>
      <c r="C30" s="205">
        <v>6</v>
      </c>
      <c r="D30" s="383" t="str">
        <f t="shared" si="1"/>
        <v>Daniel Štěrba</v>
      </c>
      <c r="E30" s="383"/>
      <c r="F30" s="196"/>
    </row>
    <row r="31" spans="1:6" x14ac:dyDescent="0.25">
      <c r="A31" s="382" t="s">
        <v>333</v>
      </c>
      <c r="B31" s="190" t="s">
        <v>490</v>
      </c>
      <c r="C31" s="190" t="s">
        <v>142</v>
      </c>
      <c r="D31" s="190" t="s">
        <v>850</v>
      </c>
      <c r="E31" s="178" t="str">
        <f>IFERROR(RIGHT(LEFT(D31,LEN(D31)-1),LEN(D31)-2),"")</f>
        <v>2:8</v>
      </c>
    </row>
    <row r="32" spans="1:6" x14ac:dyDescent="0.25">
      <c r="A32" s="382"/>
      <c r="B32" s="190" t="s">
        <v>364</v>
      </c>
      <c r="C32" s="190" t="s">
        <v>148</v>
      </c>
      <c r="D32" s="190" t="s">
        <v>921</v>
      </c>
      <c r="E32" s="178" t="str">
        <f t="shared" ref="E32:E40" si="4">IFERROR(RIGHT(LEFT(D32,LEN(D32)-1),LEN(D32)-2),"")</f>
        <v>2:4</v>
      </c>
    </row>
    <row r="33" spans="1:5" x14ac:dyDescent="0.25">
      <c r="A33" s="382"/>
      <c r="B33" s="190" t="s">
        <v>350</v>
      </c>
      <c r="C33" s="190" t="s">
        <v>143</v>
      </c>
      <c r="D33" s="190" t="s">
        <v>905</v>
      </c>
      <c r="E33" s="178" t="str">
        <f t="shared" si="4"/>
        <v>5:14</v>
      </c>
    </row>
    <row r="34" spans="1:5" x14ac:dyDescent="0.25">
      <c r="A34" s="382"/>
      <c r="B34" s="190" t="s">
        <v>588</v>
      </c>
      <c r="C34" s="190" t="s">
        <v>149</v>
      </c>
      <c r="D34" s="190" t="s">
        <v>922</v>
      </c>
      <c r="E34" s="178" t="str">
        <f t="shared" si="4"/>
        <v>10:9sn</v>
      </c>
    </row>
    <row r="35" spans="1:5" x14ac:dyDescent="0.25">
      <c r="A35" s="382"/>
      <c r="B35" s="190" t="s">
        <v>337</v>
      </c>
      <c r="C35" s="190" t="s">
        <v>151</v>
      </c>
      <c r="D35" s="190" t="s">
        <v>658</v>
      </c>
      <c r="E35" s="178" t="str">
        <f t="shared" si="4"/>
        <v>5:4p</v>
      </c>
    </row>
    <row r="36" spans="1:5" x14ac:dyDescent="0.25">
      <c r="A36" s="382" t="s">
        <v>334</v>
      </c>
      <c r="B36" s="190" t="s">
        <v>851</v>
      </c>
      <c r="C36" s="190" t="s">
        <v>147</v>
      </c>
      <c r="D36" s="190" t="s">
        <v>338</v>
      </c>
      <c r="E36" s="178" t="str">
        <f t="shared" si="4"/>
        <v>-:-</v>
      </c>
    </row>
    <row r="37" spans="1:5" x14ac:dyDescent="0.25">
      <c r="A37" s="382"/>
      <c r="B37" s="190" t="s">
        <v>625</v>
      </c>
      <c r="C37" s="190" t="s">
        <v>144</v>
      </c>
      <c r="D37" s="190" t="s">
        <v>338</v>
      </c>
      <c r="E37" s="178" t="str">
        <f t="shared" si="4"/>
        <v>-:-</v>
      </c>
    </row>
    <row r="38" spans="1:5" x14ac:dyDescent="0.25">
      <c r="A38" s="382"/>
      <c r="B38" s="190" t="s">
        <v>660</v>
      </c>
      <c r="C38" s="190" t="s">
        <v>146</v>
      </c>
      <c r="D38" s="190" t="s">
        <v>338</v>
      </c>
      <c r="E38" s="178" t="str">
        <f t="shared" si="4"/>
        <v>-:-</v>
      </c>
    </row>
    <row r="39" spans="1:5" x14ac:dyDescent="0.25">
      <c r="A39" s="382"/>
      <c r="B39" s="190" t="s">
        <v>619</v>
      </c>
      <c r="C39" s="190" t="s">
        <v>151</v>
      </c>
      <c r="D39" s="190" t="s">
        <v>338</v>
      </c>
      <c r="E39" s="178" t="str">
        <f t="shared" si="4"/>
        <v>-:-</v>
      </c>
    </row>
    <row r="40" spans="1:5" x14ac:dyDescent="0.25">
      <c r="A40" s="382"/>
      <c r="C40" s="190"/>
      <c r="D40" s="190"/>
      <c r="E40" s="178" t="str">
        <f t="shared" si="4"/>
        <v/>
      </c>
    </row>
    <row r="41" spans="1:5" x14ac:dyDescent="0.25">
      <c r="A41" s="197" t="s">
        <v>335</v>
      </c>
      <c r="B41" s="384" t="s">
        <v>852</v>
      </c>
      <c r="C41" s="190"/>
      <c r="D41" s="190"/>
    </row>
  </sheetData>
  <sheetProtection algorithmName="SHA-512" hashValue="IyCtQlDqVQAAO7/E/OLAMrHeJKCWHAiNzTQ4RCBK0O6bIaarbGtFKUZ5nxiWxPoH5YYK3COP1a3usr9Jmtf56Q==" saltValue="0sYJLGOE7Y+kcHUlqZs0f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19" zoomScaleNormal="100" workbookViewId="0">
      <selection activeCell="G90" sqref="G90:K90"/>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455</v>
      </c>
      <c r="Q1" s="115" t="s">
        <v>47</v>
      </c>
    </row>
    <row r="2" spans="1:26" s="4" customFormat="1" x14ac:dyDescent="0.25">
      <c r="A2" s="53">
        <v>1</v>
      </c>
      <c r="B2" s="4" t="s">
        <v>853</v>
      </c>
      <c r="D2" s="5" t="s">
        <v>51</v>
      </c>
      <c r="E2" s="5">
        <v>21</v>
      </c>
      <c r="F2" s="5">
        <v>17</v>
      </c>
      <c r="G2" s="5">
        <v>4</v>
      </c>
      <c r="H2" s="5">
        <v>0</v>
      </c>
      <c r="I2" s="5">
        <v>14</v>
      </c>
      <c r="J2" s="5">
        <v>31</v>
      </c>
      <c r="K2" s="5">
        <v>10</v>
      </c>
      <c r="L2" s="5">
        <v>48</v>
      </c>
      <c r="M2" s="5">
        <v>52</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(17+14), -4 ±</v>
      </c>
      <c r="P2" s="5" t="str">
        <f>IF(B2&lt;&gt;0,IF(IFERROR(VLOOKUP(B2,$B$48:$B$82,1,FALSE)=B2,FALSE),"ANO","NE"),"")</f>
        <v>ANO</v>
      </c>
      <c r="Q2" s="142"/>
      <c r="S2" s="5"/>
      <c r="X2" s="5"/>
      <c r="Y2" s="5"/>
      <c r="Z2" s="5"/>
    </row>
    <row r="3" spans="1:26" s="4" customFormat="1" x14ac:dyDescent="0.25">
      <c r="A3" s="53">
        <v>2</v>
      </c>
      <c r="B3" s="4" t="s">
        <v>854</v>
      </c>
      <c r="D3" s="5" t="s">
        <v>51</v>
      </c>
      <c r="E3" s="5">
        <v>16</v>
      </c>
      <c r="F3" s="5">
        <v>13</v>
      </c>
      <c r="G3" s="5">
        <v>2</v>
      </c>
      <c r="H3" s="5">
        <v>1</v>
      </c>
      <c r="I3" s="5">
        <v>9</v>
      </c>
      <c r="J3" s="5">
        <v>22</v>
      </c>
      <c r="K3" s="5">
        <v>4</v>
      </c>
      <c r="L3" s="5">
        <v>31</v>
      </c>
      <c r="M3" s="5">
        <v>37</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22 (13+9), -6 ±</v>
      </c>
      <c r="P3" s="5" t="str">
        <f t="shared" ref="P3:P36" si="1">IF(B3&lt;&gt;0,IF(IFERROR(VLOOKUP(B3,$B$48:$B$82,1,FALSE)=B3,FALSE),"ANO","NE"),"")</f>
        <v>ANO</v>
      </c>
      <c r="Q3" s="142"/>
      <c r="S3" s="5"/>
      <c r="X3" s="5"/>
      <c r="Y3" s="5"/>
      <c r="Z3" s="5"/>
    </row>
    <row r="4" spans="1:26" s="4" customFormat="1" x14ac:dyDescent="0.25">
      <c r="A4" s="53">
        <v>3</v>
      </c>
      <c r="B4" s="4" t="s">
        <v>855</v>
      </c>
      <c r="D4" s="5"/>
      <c r="E4" s="5">
        <v>20</v>
      </c>
      <c r="F4" s="5">
        <v>11</v>
      </c>
      <c r="G4" s="5">
        <v>4</v>
      </c>
      <c r="H4" s="5">
        <v>0</v>
      </c>
      <c r="I4" s="5">
        <v>9</v>
      </c>
      <c r="J4" s="5">
        <v>20</v>
      </c>
      <c r="K4" s="5">
        <v>0</v>
      </c>
      <c r="L4" s="5">
        <v>35</v>
      </c>
      <c r="M4" s="5">
        <v>36</v>
      </c>
      <c r="N4" s="5">
        <v>-1</v>
      </c>
      <c r="O4" s="199" t="str">
        <f t="shared" si="0"/>
        <v>20 OZ , 20 (11+9), -1 ±</v>
      </c>
      <c r="P4" s="5" t="str">
        <f t="shared" si="1"/>
        <v>ANO</v>
      </c>
      <c r="Q4" s="142"/>
      <c r="S4" s="5"/>
      <c r="X4" s="5"/>
      <c r="Y4" s="5"/>
      <c r="Z4" s="5"/>
    </row>
    <row r="5" spans="1:26" s="4" customFormat="1" x14ac:dyDescent="0.25">
      <c r="A5" s="53">
        <v>4</v>
      </c>
      <c r="B5" s="4" t="s">
        <v>856</v>
      </c>
      <c r="D5" s="5"/>
      <c r="E5" s="5">
        <v>21</v>
      </c>
      <c r="F5" s="5">
        <v>14</v>
      </c>
      <c r="G5" s="5">
        <v>1</v>
      </c>
      <c r="H5" s="5">
        <v>0</v>
      </c>
      <c r="I5" s="5">
        <v>5</v>
      </c>
      <c r="J5" s="5">
        <v>19</v>
      </c>
      <c r="K5" s="5">
        <v>8</v>
      </c>
      <c r="L5" s="5">
        <v>33</v>
      </c>
      <c r="M5" s="5">
        <v>48</v>
      </c>
      <c r="N5" s="5">
        <v>-15</v>
      </c>
      <c r="O5" s="199" t="str">
        <f t="shared" si="0"/>
        <v>21 OZ , 19 (14+5), -15 ±</v>
      </c>
      <c r="P5" s="5" t="str">
        <f t="shared" si="1"/>
        <v>ANO</v>
      </c>
      <c r="Q5" s="142"/>
      <c r="S5" s="5"/>
      <c r="X5" s="5"/>
      <c r="Y5" s="5"/>
      <c r="Z5" s="5"/>
    </row>
    <row r="6" spans="1:26" x14ac:dyDescent="0.25">
      <c r="A6" s="54">
        <v>5</v>
      </c>
      <c r="B6" s="1" t="s">
        <v>857</v>
      </c>
      <c r="D6" s="205"/>
      <c r="E6" s="205">
        <v>19</v>
      </c>
      <c r="F6" s="205">
        <v>6</v>
      </c>
      <c r="G6" s="205">
        <v>0</v>
      </c>
      <c r="H6" s="205">
        <v>0</v>
      </c>
      <c r="I6" s="205">
        <v>12</v>
      </c>
      <c r="J6" s="205">
        <v>18</v>
      </c>
      <c r="K6" s="205">
        <v>4</v>
      </c>
      <c r="L6" s="205">
        <v>40</v>
      </c>
      <c r="M6" s="205">
        <v>36</v>
      </c>
      <c r="N6" s="205">
        <v>4</v>
      </c>
      <c r="O6" s="199" t="str">
        <f t="shared" si="0"/>
        <v>19 OZ , 18 (6+12), +4 ±</v>
      </c>
      <c r="P6" s="5" t="str">
        <f t="shared" si="1"/>
        <v>ANO</v>
      </c>
    </row>
    <row r="7" spans="1:26" x14ac:dyDescent="0.25">
      <c r="A7" s="54">
        <v>6</v>
      </c>
      <c r="B7" s="1" t="s">
        <v>858</v>
      </c>
      <c r="D7" s="205" t="s">
        <v>51</v>
      </c>
      <c r="E7" s="205">
        <v>23</v>
      </c>
      <c r="F7" s="205">
        <v>8</v>
      </c>
      <c r="G7" s="205">
        <v>0</v>
      </c>
      <c r="H7" s="205">
        <v>1</v>
      </c>
      <c r="I7" s="205">
        <v>9</v>
      </c>
      <c r="J7" s="205">
        <v>17</v>
      </c>
      <c r="K7" s="205">
        <v>2</v>
      </c>
      <c r="L7" s="205">
        <v>36</v>
      </c>
      <c r="M7" s="205">
        <v>41</v>
      </c>
      <c r="N7" s="205">
        <v>-5</v>
      </c>
      <c r="O7" s="199" t="str">
        <f t="shared" si="0"/>
        <v>23 OZ , 17 (8+9), -5 ±</v>
      </c>
      <c r="P7" s="5" t="str">
        <f t="shared" si="1"/>
        <v>ANO</v>
      </c>
    </row>
    <row r="8" spans="1:26" x14ac:dyDescent="0.25">
      <c r="A8" s="54">
        <v>7</v>
      </c>
      <c r="B8" s="1" t="s">
        <v>859</v>
      </c>
      <c r="D8" s="205" t="s">
        <v>51</v>
      </c>
      <c r="E8" s="205">
        <v>22</v>
      </c>
      <c r="F8" s="205">
        <v>10</v>
      </c>
      <c r="G8" s="205">
        <v>3</v>
      </c>
      <c r="H8" s="205">
        <v>0</v>
      </c>
      <c r="I8" s="205">
        <v>4</v>
      </c>
      <c r="J8" s="205">
        <v>14</v>
      </c>
      <c r="K8" s="205">
        <v>2</v>
      </c>
      <c r="L8" s="205">
        <v>27</v>
      </c>
      <c r="M8" s="205">
        <v>40</v>
      </c>
      <c r="N8" s="205">
        <v>-13</v>
      </c>
      <c r="O8" s="199" t="str">
        <f t="shared" si="0"/>
        <v>22 OZ , 14 (10+4), -13 ±</v>
      </c>
      <c r="P8" s="5" t="str">
        <f t="shared" si="1"/>
        <v>ANO</v>
      </c>
    </row>
    <row r="9" spans="1:26" x14ac:dyDescent="0.25">
      <c r="A9" s="54">
        <v>8</v>
      </c>
      <c r="B9" s="1" t="s">
        <v>860</v>
      </c>
      <c r="D9" s="205" t="s">
        <v>48</v>
      </c>
      <c r="E9" s="205">
        <v>22</v>
      </c>
      <c r="F9" s="205">
        <v>1</v>
      </c>
      <c r="G9" s="205">
        <v>0</v>
      </c>
      <c r="H9" s="205">
        <v>0</v>
      </c>
      <c r="I9" s="205">
        <v>11</v>
      </c>
      <c r="J9" s="205">
        <v>12</v>
      </c>
      <c r="K9" s="205">
        <v>8</v>
      </c>
      <c r="L9" s="205">
        <v>44</v>
      </c>
      <c r="M9" s="205">
        <v>45</v>
      </c>
      <c r="N9" s="205">
        <v>-1</v>
      </c>
      <c r="O9" s="199" t="str">
        <f t="shared" si="0"/>
        <v>22 OZ , 12 (1+11), -1 ±</v>
      </c>
      <c r="P9" s="5" t="str">
        <f t="shared" si="1"/>
        <v>ANO</v>
      </c>
    </row>
    <row r="10" spans="1:26" x14ac:dyDescent="0.25">
      <c r="A10" s="54">
        <v>9</v>
      </c>
      <c r="B10" s="1" t="s">
        <v>861</v>
      </c>
      <c r="D10" s="205"/>
      <c r="E10" s="205">
        <v>16</v>
      </c>
      <c r="F10" s="205">
        <v>7</v>
      </c>
      <c r="G10" s="205">
        <v>0</v>
      </c>
      <c r="H10" s="205">
        <v>0</v>
      </c>
      <c r="I10" s="205">
        <v>4</v>
      </c>
      <c r="J10" s="205">
        <v>11</v>
      </c>
      <c r="K10" s="205">
        <v>6</v>
      </c>
      <c r="L10" s="205">
        <v>26</v>
      </c>
      <c r="M10" s="205">
        <v>25</v>
      </c>
      <c r="N10" s="205">
        <v>1</v>
      </c>
      <c r="O10" s="199" t="str">
        <f t="shared" si="0"/>
        <v>16 OZ , 11 (7+4), +1 ±</v>
      </c>
      <c r="P10" s="5" t="str">
        <f t="shared" si="1"/>
        <v>ANO</v>
      </c>
    </row>
    <row r="11" spans="1:26" x14ac:dyDescent="0.25">
      <c r="A11" s="54">
        <v>10</v>
      </c>
      <c r="B11" s="1" t="s">
        <v>862</v>
      </c>
      <c r="D11" s="205" t="s">
        <v>51</v>
      </c>
      <c r="E11" s="205">
        <v>22</v>
      </c>
      <c r="F11" s="205">
        <v>5</v>
      </c>
      <c r="G11" s="205">
        <v>0</v>
      </c>
      <c r="H11" s="205">
        <v>0</v>
      </c>
      <c r="I11" s="205">
        <v>4</v>
      </c>
      <c r="J11" s="205">
        <v>9</v>
      </c>
      <c r="K11" s="205">
        <v>4</v>
      </c>
      <c r="L11" s="205">
        <v>21</v>
      </c>
      <c r="M11" s="205">
        <v>23</v>
      </c>
      <c r="N11" s="205">
        <v>-2</v>
      </c>
      <c r="O11" s="199" t="str">
        <f t="shared" si="0"/>
        <v>22 OZ , 9 (5+4), -2 ±</v>
      </c>
      <c r="P11" s="5" t="str">
        <f t="shared" si="1"/>
        <v>ANO</v>
      </c>
    </row>
    <row r="12" spans="1:26" x14ac:dyDescent="0.25">
      <c r="A12" s="54">
        <v>11</v>
      </c>
      <c r="B12" s="1" t="s">
        <v>863</v>
      </c>
      <c r="D12" s="205" t="s">
        <v>51</v>
      </c>
      <c r="E12" s="205">
        <v>21</v>
      </c>
      <c r="F12" s="205">
        <v>7</v>
      </c>
      <c r="G12" s="205">
        <v>0</v>
      </c>
      <c r="H12" s="205">
        <v>0</v>
      </c>
      <c r="I12" s="205">
        <v>1</v>
      </c>
      <c r="J12" s="205">
        <v>8</v>
      </c>
      <c r="K12" s="205">
        <v>2</v>
      </c>
      <c r="L12" s="205">
        <v>21</v>
      </c>
      <c r="M12" s="205">
        <v>30</v>
      </c>
      <c r="N12" s="205">
        <v>-9</v>
      </c>
      <c r="O12" s="199" t="str">
        <f t="shared" si="0"/>
        <v>21 OZ , 8 (7+1), -9 ±</v>
      </c>
      <c r="P12" s="5" t="str">
        <f t="shared" si="1"/>
        <v>ANO</v>
      </c>
    </row>
    <row r="13" spans="1:26" x14ac:dyDescent="0.25">
      <c r="A13" s="54">
        <v>12</v>
      </c>
      <c r="B13" s="1" t="s">
        <v>864</v>
      </c>
      <c r="D13" s="205" t="s">
        <v>51</v>
      </c>
      <c r="E13" s="205">
        <v>22</v>
      </c>
      <c r="F13" s="205">
        <v>5</v>
      </c>
      <c r="G13" s="205">
        <v>0</v>
      </c>
      <c r="H13" s="205">
        <v>0</v>
      </c>
      <c r="I13" s="205">
        <v>2</v>
      </c>
      <c r="J13" s="205">
        <v>7</v>
      </c>
      <c r="K13" s="205">
        <v>6</v>
      </c>
      <c r="L13" s="205">
        <v>21</v>
      </c>
      <c r="M13" s="205">
        <v>28</v>
      </c>
      <c r="N13" s="205">
        <v>-7</v>
      </c>
      <c r="O13" s="199" t="str">
        <f t="shared" si="0"/>
        <v>22 OZ , 7 (5+2), -7 ±</v>
      </c>
      <c r="P13" s="5" t="str">
        <f t="shared" si="1"/>
        <v>ANO</v>
      </c>
    </row>
    <row r="14" spans="1:26" x14ac:dyDescent="0.25">
      <c r="A14" s="54">
        <v>13</v>
      </c>
      <c r="B14" s="1" t="s">
        <v>865</v>
      </c>
      <c r="D14" s="205"/>
      <c r="E14" s="205">
        <v>17</v>
      </c>
      <c r="F14" s="205">
        <v>3</v>
      </c>
      <c r="G14" s="205">
        <v>0</v>
      </c>
      <c r="H14" s="205">
        <v>0</v>
      </c>
      <c r="I14" s="205">
        <v>4</v>
      </c>
      <c r="J14" s="205">
        <v>7</v>
      </c>
      <c r="K14" s="205">
        <v>2</v>
      </c>
      <c r="L14" s="205">
        <v>15</v>
      </c>
      <c r="M14" s="205">
        <v>20</v>
      </c>
      <c r="N14" s="205">
        <v>-5</v>
      </c>
      <c r="O14" s="199" t="str">
        <f t="shared" si="0"/>
        <v>17 OZ , 7 (3+4), -5 ±</v>
      </c>
      <c r="P14" s="5" t="str">
        <f t="shared" si="1"/>
        <v>ANO</v>
      </c>
    </row>
    <row r="15" spans="1:26" x14ac:dyDescent="0.25">
      <c r="A15" s="54">
        <v>14</v>
      </c>
      <c r="B15" s="1" t="s">
        <v>866</v>
      </c>
      <c r="D15" s="205" t="s">
        <v>48</v>
      </c>
      <c r="E15" s="205">
        <v>21</v>
      </c>
      <c r="F15" s="205">
        <v>2</v>
      </c>
      <c r="G15" s="205">
        <v>1</v>
      </c>
      <c r="H15" s="205">
        <v>0</v>
      </c>
      <c r="I15" s="205">
        <v>4</v>
      </c>
      <c r="J15" s="205">
        <v>6</v>
      </c>
      <c r="K15" s="205">
        <v>6</v>
      </c>
      <c r="L15" s="205">
        <v>26</v>
      </c>
      <c r="M15" s="205">
        <v>30</v>
      </c>
      <c r="N15" s="205">
        <v>-4</v>
      </c>
      <c r="O15" s="199" t="str">
        <f t="shared" si="0"/>
        <v>21 OZ , 6 (2+4), -4 ±</v>
      </c>
      <c r="P15" s="5" t="str">
        <f t="shared" si="1"/>
        <v>ANO</v>
      </c>
    </row>
    <row r="16" spans="1:26" x14ac:dyDescent="0.25">
      <c r="A16" s="54">
        <v>15</v>
      </c>
      <c r="B16" s="1" t="s">
        <v>867</v>
      </c>
      <c r="D16" s="205"/>
      <c r="E16" s="205">
        <v>13</v>
      </c>
      <c r="F16" s="205">
        <v>3</v>
      </c>
      <c r="G16" s="205">
        <v>2</v>
      </c>
      <c r="H16" s="205">
        <v>0</v>
      </c>
      <c r="I16" s="205">
        <v>2</v>
      </c>
      <c r="J16" s="205">
        <v>5</v>
      </c>
      <c r="K16" s="205">
        <v>4</v>
      </c>
      <c r="L16" s="205">
        <v>18</v>
      </c>
      <c r="M16" s="205">
        <v>20</v>
      </c>
      <c r="N16" s="205">
        <v>-2</v>
      </c>
      <c r="O16" s="199" t="str">
        <f t="shared" si="0"/>
        <v>13 OZ , 5 (3+2), -2 ±</v>
      </c>
      <c r="P16" s="5" t="str">
        <f t="shared" si="1"/>
        <v>ANO</v>
      </c>
    </row>
    <row r="17" spans="1:16" x14ac:dyDescent="0.25">
      <c r="A17" s="54">
        <v>16</v>
      </c>
      <c r="B17" s="1" t="s">
        <v>868</v>
      </c>
      <c r="D17" s="205" t="s">
        <v>51</v>
      </c>
      <c r="E17" s="205">
        <v>17</v>
      </c>
      <c r="F17" s="205">
        <v>2</v>
      </c>
      <c r="G17" s="205">
        <v>0</v>
      </c>
      <c r="H17" s="205">
        <v>0</v>
      </c>
      <c r="I17" s="205">
        <v>1</v>
      </c>
      <c r="J17" s="205">
        <v>3</v>
      </c>
      <c r="K17" s="205">
        <v>4</v>
      </c>
      <c r="L17" s="205">
        <v>11</v>
      </c>
      <c r="M17" s="205">
        <v>12</v>
      </c>
      <c r="N17" s="205">
        <v>-1</v>
      </c>
      <c r="O17" s="199" t="str">
        <f t="shared" si="0"/>
        <v>17 OZ , 3 (2+1), -1 ±</v>
      </c>
      <c r="P17" s="5" t="str">
        <f t="shared" si="1"/>
        <v>ANO</v>
      </c>
    </row>
    <row r="18" spans="1:16" x14ac:dyDescent="0.25">
      <c r="A18" s="54">
        <v>17</v>
      </c>
      <c r="B18" s="1" t="s">
        <v>869</v>
      </c>
      <c r="D18" s="205"/>
      <c r="E18" s="205">
        <v>5</v>
      </c>
      <c r="F18" s="205">
        <v>1</v>
      </c>
      <c r="G18" s="205">
        <v>0</v>
      </c>
      <c r="H18" s="205">
        <v>0</v>
      </c>
      <c r="I18" s="205">
        <v>2</v>
      </c>
      <c r="J18" s="205">
        <v>3</v>
      </c>
      <c r="K18" s="205">
        <v>0</v>
      </c>
      <c r="L18" s="205">
        <v>5</v>
      </c>
      <c r="M18" s="205">
        <v>6</v>
      </c>
      <c r="N18" s="205">
        <v>-1</v>
      </c>
      <c r="O18" s="199" t="str">
        <f t="shared" si="0"/>
        <v>5 OZ , 3 (1+2), -1 ±</v>
      </c>
      <c r="P18" s="5" t="str">
        <f t="shared" si="1"/>
        <v>ANO</v>
      </c>
    </row>
    <row r="19" spans="1:16" x14ac:dyDescent="0.25">
      <c r="A19" s="54">
        <v>18</v>
      </c>
      <c r="B19" s="1" t="s">
        <v>870</v>
      </c>
      <c r="D19" s="205" t="s">
        <v>48</v>
      </c>
      <c r="E19" s="205">
        <v>19</v>
      </c>
      <c r="F19" s="205">
        <v>1</v>
      </c>
      <c r="G19" s="205">
        <v>0</v>
      </c>
      <c r="H19" s="205">
        <v>0</v>
      </c>
      <c r="I19" s="205">
        <v>2</v>
      </c>
      <c r="J19" s="205">
        <v>3</v>
      </c>
      <c r="K19" s="205">
        <v>4</v>
      </c>
      <c r="L19" s="205">
        <v>25</v>
      </c>
      <c r="M19" s="205">
        <v>35</v>
      </c>
      <c r="N19" s="205">
        <v>-10</v>
      </c>
      <c r="O19" s="199" t="str">
        <f t="shared" si="0"/>
        <v>19 OZ , 3 (1+2), -10 ±</v>
      </c>
      <c r="P19" s="5" t="str">
        <f t="shared" si="1"/>
        <v>ANO</v>
      </c>
    </row>
    <row r="20" spans="1:16" x14ac:dyDescent="0.25">
      <c r="A20" s="54">
        <v>19</v>
      </c>
      <c r="B20" s="1" t="s">
        <v>871</v>
      </c>
      <c r="D20" s="205"/>
      <c r="E20" s="205">
        <v>21</v>
      </c>
      <c r="F20" s="205">
        <v>1</v>
      </c>
      <c r="G20" s="205">
        <v>0</v>
      </c>
      <c r="H20" s="205">
        <v>0</v>
      </c>
      <c r="I20" s="205">
        <v>2</v>
      </c>
      <c r="J20" s="205">
        <v>3</v>
      </c>
      <c r="K20" s="205">
        <v>4</v>
      </c>
      <c r="L20" s="205">
        <v>12</v>
      </c>
      <c r="M20" s="205">
        <v>26</v>
      </c>
      <c r="N20" s="205">
        <v>-14</v>
      </c>
      <c r="O20" s="199" t="str">
        <f t="shared" si="0"/>
        <v>21 OZ , 3 (1+2), -14 ±</v>
      </c>
      <c r="P20" s="5" t="str">
        <f t="shared" si="1"/>
        <v>ANO</v>
      </c>
    </row>
    <row r="21" spans="1:16" x14ac:dyDescent="0.25">
      <c r="A21" s="54">
        <v>20</v>
      </c>
      <c r="B21" s="1" t="s">
        <v>872</v>
      </c>
      <c r="D21" s="205" t="s">
        <v>48</v>
      </c>
      <c r="E21" s="205">
        <v>23</v>
      </c>
      <c r="F21" s="205">
        <v>1</v>
      </c>
      <c r="G21" s="205">
        <v>0</v>
      </c>
      <c r="H21" s="205">
        <v>0</v>
      </c>
      <c r="I21" s="205">
        <v>1</v>
      </c>
      <c r="J21" s="205">
        <v>2</v>
      </c>
      <c r="K21" s="205">
        <v>0</v>
      </c>
      <c r="L21" s="205">
        <v>13</v>
      </c>
      <c r="M21" s="205">
        <v>24</v>
      </c>
      <c r="N21" s="205">
        <v>-11</v>
      </c>
      <c r="O21" s="199" t="str">
        <f t="shared" si="0"/>
        <v>23 OZ , 2 (1+1), -11 ±</v>
      </c>
      <c r="P21" s="5" t="str">
        <f t="shared" si="1"/>
        <v>ANO</v>
      </c>
    </row>
    <row r="22" spans="1:16" x14ac:dyDescent="0.25">
      <c r="A22" s="54">
        <v>21</v>
      </c>
      <c r="B22" s="1" t="s">
        <v>873</v>
      </c>
      <c r="D22" s="205" t="s">
        <v>51</v>
      </c>
      <c r="E22" s="205">
        <v>5</v>
      </c>
      <c r="F22" s="205">
        <v>0</v>
      </c>
      <c r="G22" s="205">
        <v>0</v>
      </c>
      <c r="H22" s="205">
        <v>0</v>
      </c>
      <c r="I22" s="205">
        <v>2</v>
      </c>
      <c r="J22" s="205">
        <v>2</v>
      </c>
      <c r="K22" s="205">
        <v>4</v>
      </c>
      <c r="L22" s="205">
        <v>2</v>
      </c>
      <c r="M22" s="205">
        <v>3</v>
      </c>
      <c r="N22" s="205">
        <v>-1</v>
      </c>
      <c r="O22" s="199" t="str">
        <f t="shared" si="0"/>
        <v>5 OZ , 2 (0+2), -1 ±</v>
      </c>
      <c r="P22" s="5" t="str">
        <f t="shared" si="1"/>
        <v>ANO</v>
      </c>
    </row>
    <row r="23" spans="1:16" x14ac:dyDescent="0.25">
      <c r="A23" s="54">
        <v>22</v>
      </c>
      <c r="B23" s="1" t="s">
        <v>874</v>
      </c>
      <c r="D23" s="205"/>
      <c r="E23" s="205">
        <v>1</v>
      </c>
      <c r="F23" s="205">
        <v>0</v>
      </c>
      <c r="G23" s="205">
        <v>0</v>
      </c>
      <c r="H23" s="205">
        <v>0</v>
      </c>
      <c r="I23" s="205">
        <v>0</v>
      </c>
      <c r="J23" s="205">
        <v>0</v>
      </c>
      <c r="K23" s="205">
        <v>0</v>
      </c>
      <c r="L23" s="205">
        <v>0</v>
      </c>
      <c r="M23" s="205">
        <v>3</v>
      </c>
      <c r="N23" s="205">
        <v>-3</v>
      </c>
      <c r="O23" s="199" t="str">
        <f t="shared" si="0"/>
        <v>1 OZ , 0 (0+0), -3 ±</v>
      </c>
      <c r="P23" s="5" t="str">
        <f t="shared" si="1"/>
        <v>ANO</v>
      </c>
    </row>
    <row r="24" spans="1:16" x14ac:dyDescent="0.25">
      <c r="A24" s="53">
        <v>23</v>
      </c>
      <c r="B24" s="4" t="s">
        <v>875</v>
      </c>
      <c r="C24" s="4"/>
      <c r="D24" s="5"/>
      <c r="E24" s="5">
        <v>2</v>
      </c>
      <c r="F24" s="5">
        <v>0</v>
      </c>
      <c r="G24" s="5">
        <v>0</v>
      </c>
      <c r="H24" s="5">
        <v>0</v>
      </c>
      <c r="I24" s="5">
        <v>0</v>
      </c>
      <c r="J24" s="5">
        <v>0</v>
      </c>
      <c r="K24" s="5">
        <v>0</v>
      </c>
      <c r="L24" s="5">
        <v>0</v>
      </c>
      <c r="M24" s="5">
        <v>0</v>
      </c>
      <c r="N24" s="5">
        <v>0</v>
      </c>
      <c r="O24" s="199" t="str">
        <f t="shared" si="0"/>
        <v>2 OZ , 0 (0+0), 0 ±</v>
      </c>
      <c r="P24" s="5" t="str">
        <f t="shared" si="1"/>
        <v>ANO</v>
      </c>
    </row>
    <row r="25" spans="1:16" x14ac:dyDescent="0.25">
      <c r="A25" s="53">
        <v>24</v>
      </c>
      <c r="B25" s="4" t="s">
        <v>876</v>
      </c>
      <c r="C25" s="4"/>
      <c r="D25" s="5"/>
      <c r="E25" s="5">
        <v>4</v>
      </c>
      <c r="F25" s="5">
        <v>0</v>
      </c>
      <c r="G25" s="5">
        <v>0</v>
      </c>
      <c r="H25" s="5">
        <v>0</v>
      </c>
      <c r="I25" s="5">
        <v>0</v>
      </c>
      <c r="J25" s="5">
        <v>0</v>
      </c>
      <c r="K25" s="5">
        <v>0</v>
      </c>
      <c r="L25" s="5">
        <v>2</v>
      </c>
      <c r="M25" s="5">
        <v>3</v>
      </c>
      <c r="N25" s="5">
        <v>-1</v>
      </c>
      <c r="O25" s="199" t="str">
        <f t="shared" si="0"/>
        <v>4 OZ , 0 (0+0), -1 ±</v>
      </c>
      <c r="P25" s="5" t="str">
        <f t="shared" si="1"/>
        <v>ANO</v>
      </c>
    </row>
    <row r="26" spans="1:16" x14ac:dyDescent="0.25">
      <c r="A26" s="53">
        <v>25</v>
      </c>
      <c r="B26" s="4" t="s">
        <v>877</v>
      </c>
      <c r="C26" s="4"/>
      <c r="D26" s="5"/>
      <c r="E26" s="5">
        <v>9</v>
      </c>
      <c r="F26" s="5">
        <v>0</v>
      </c>
      <c r="G26" s="5">
        <v>0</v>
      </c>
      <c r="H26" s="5">
        <v>0</v>
      </c>
      <c r="I26" s="5">
        <v>0</v>
      </c>
      <c r="J26" s="5">
        <v>0</v>
      </c>
      <c r="K26" s="5">
        <v>2</v>
      </c>
      <c r="L26" s="5">
        <v>0</v>
      </c>
      <c r="M26" s="5">
        <v>6</v>
      </c>
      <c r="N26" s="5">
        <v>-6</v>
      </c>
      <c r="O26" s="199" t="str">
        <f t="shared" si="0"/>
        <v>9 OZ , 0 (0+0), -6 ±</v>
      </c>
      <c r="P26" s="5" t="str">
        <f t="shared" si="1"/>
        <v>ANO</v>
      </c>
    </row>
    <row r="27" spans="1:16" x14ac:dyDescent="0.25">
      <c r="A27" s="53">
        <v>26</v>
      </c>
      <c r="B27" s="4" t="s">
        <v>878</v>
      </c>
      <c r="C27" s="4"/>
      <c r="D27" s="5" t="s">
        <v>35</v>
      </c>
      <c r="E27" s="5">
        <v>0</v>
      </c>
      <c r="F27" s="5">
        <v>0</v>
      </c>
      <c r="G27" s="5">
        <v>0</v>
      </c>
      <c r="H27" s="5">
        <v>0</v>
      </c>
      <c r="I27" s="5">
        <v>0</v>
      </c>
      <c r="J27" s="5">
        <v>0</v>
      </c>
      <c r="K27" s="5">
        <v>0</v>
      </c>
      <c r="L27" s="5">
        <v>0</v>
      </c>
      <c r="M27" s="5">
        <v>0</v>
      </c>
      <c r="N27" s="5">
        <v>0</v>
      </c>
      <c r="O27" s="199" t="str">
        <f t="shared" si="0"/>
        <v>0 OZ , 0 (0+0), 0 ±</v>
      </c>
      <c r="P27" s="5" t="str">
        <f t="shared" si="1"/>
        <v>ANO</v>
      </c>
    </row>
    <row r="28" spans="1:16" x14ac:dyDescent="0.25">
      <c r="A28" s="53">
        <v>27</v>
      </c>
      <c r="B28" s="4" t="s">
        <v>879</v>
      </c>
      <c r="C28" s="4"/>
      <c r="D28" s="5"/>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99" t="str">
        <f t="shared" si="0"/>
        <v/>
      </c>
      <c r="P29" s="5" t="str">
        <f t="shared" si="1"/>
        <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879</v>
      </c>
      <c r="C39"/>
      <c r="D39" s="190">
        <v>23</v>
      </c>
      <c r="E39" s="190">
        <v>20</v>
      </c>
      <c r="F39" s="190">
        <v>1028.4000000000001</v>
      </c>
      <c r="G39" s="190">
        <v>9</v>
      </c>
      <c r="H39" s="190">
        <v>97</v>
      </c>
      <c r="I39" s="190">
        <v>1</v>
      </c>
      <c r="J39" s="190">
        <v>447</v>
      </c>
      <c r="K39" s="190">
        <v>0</v>
      </c>
      <c r="L39" s="190">
        <v>11</v>
      </c>
      <c r="M39" s="190">
        <v>350</v>
      </c>
      <c r="N39" s="190">
        <v>0</v>
      </c>
      <c r="O39" s="190">
        <v>0</v>
      </c>
      <c r="P39" s="11">
        <f>IF(B39&lt;&gt;0,IFERROR(H39/(F39/60),0),"")</f>
        <v>5.6592765460910153</v>
      </c>
      <c r="Q39" s="11">
        <f>IF(B39&lt;&gt;0,IFERROR((M39/J39)*100,0),"")</f>
        <v>78.299776286353477</v>
      </c>
      <c r="R39" s="199" t="str">
        <f>IF(B39&lt;&gt;0,CONCATENATE(G39, " V, ",L39," P"),"")</f>
        <v>9 V, 11 P</v>
      </c>
    </row>
    <row r="40" spans="1:27" x14ac:dyDescent="0.25">
      <c r="A40" s="54">
        <v>2</v>
      </c>
      <c r="B40" t="s">
        <v>878</v>
      </c>
      <c r="C40"/>
      <c r="D40" s="190">
        <v>23</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864</v>
      </c>
      <c r="C41"/>
      <c r="D41" s="190">
        <v>1</v>
      </c>
      <c r="E41" s="190">
        <v>0</v>
      </c>
      <c r="F41" s="190">
        <v>0</v>
      </c>
      <c r="G41" s="190">
        <v>0</v>
      </c>
      <c r="H41" s="190">
        <v>0</v>
      </c>
      <c r="I41" s="190">
        <v>0</v>
      </c>
      <c r="J41" s="190">
        <v>0</v>
      </c>
      <c r="K41" s="190">
        <v>0</v>
      </c>
      <c r="L41" s="190">
        <v>0</v>
      </c>
      <c r="M41" s="190">
        <v>0</v>
      </c>
      <c r="N41" s="190">
        <v>0</v>
      </c>
      <c r="O41" s="190">
        <v>2</v>
      </c>
      <c r="P41" s="11">
        <f t="shared" si="2"/>
        <v>0</v>
      </c>
      <c r="Q41" s="11">
        <f t="shared" si="3"/>
        <v>0</v>
      </c>
      <c r="R41" s="199" t="str">
        <f t="shared" si="4"/>
        <v>0 V, 0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199" t="str">
        <f t="shared" si="4"/>
        <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381" t="s">
        <v>290</v>
      </c>
      <c r="Y46" s="381"/>
      <c r="Z46" s="381"/>
      <c r="AA46" s="381"/>
    </row>
    <row r="47" spans="1:27" s="200" customFormat="1" ht="15" customHeight="1" x14ac:dyDescent="0.25">
      <c r="A47" s="7">
        <f ca="1">TODAY()</f>
        <v>44244</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282</v>
      </c>
      <c r="V47" s="200" t="s">
        <v>283</v>
      </c>
      <c r="W47" s="200" t="s">
        <v>284</v>
      </c>
      <c r="X47" s="200" t="s">
        <v>289</v>
      </c>
      <c r="Y47" s="200" t="s">
        <v>287</v>
      </c>
      <c r="Z47" s="200" t="s">
        <v>288</v>
      </c>
      <c r="AA47" s="200" t="s">
        <v>478</v>
      </c>
    </row>
    <row r="48" spans="1:27" ht="15" customHeight="1" x14ac:dyDescent="0.25">
      <c r="B48" s="1" t="s">
        <v>865</v>
      </c>
      <c r="C48" s="185">
        <v>36458</v>
      </c>
      <c r="D48" s="199">
        <f ca="1">IF(C48 &lt;&gt; 0,ROUNDDOWN(($A$47-C48)/365.25,0),"")</f>
        <v>21</v>
      </c>
      <c r="E48" s="191">
        <v>63</v>
      </c>
      <c r="F48" s="191">
        <v>26</v>
      </c>
      <c r="G48" s="191">
        <v>13</v>
      </c>
      <c r="H48" s="199">
        <f>IF(B48&lt;&gt;0,F48+G48,"")</f>
        <v>39</v>
      </c>
      <c r="I48" s="191">
        <v>5</v>
      </c>
      <c r="J48" s="191">
        <v>86</v>
      </c>
      <c r="K48" s="191"/>
      <c r="L48" s="191" t="s">
        <v>78</v>
      </c>
      <c r="M48" s="191">
        <v>189</v>
      </c>
      <c r="N48" s="191">
        <v>85</v>
      </c>
      <c r="O48" s="199" t="str">
        <f>IF(B48&lt;&gt;0,CONCATENATE(E48+IFERROR(VLOOKUP(B48,$B$2:$N$36,4,FALSE),0) + X48, " OZ, ", H48+IFERROR(VLOOKUP(B48,$B$2:$N$36,9,FALSE),0) + Y48+Z48, " (", F48+IFERROR(VLOOKUP(B48,$B$2:$N$36,5,FALSE),0) + Y48, "+",G48+IFERROR(VLOOKUP(B48,$B$2:$N$36,8,FALSE),0) +  Z48, ")"), "")</f>
        <v>80 OZ, 46 (29+17)</v>
      </c>
      <c r="P48" s="199" t="str">
        <f>IF(M48&lt;&gt;0,CONCATENATE(M48,"/",N48),"")</f>
        <v>189/85</v>
      </c>
      <c r="Q48" s="192" t="s">
        <v>949</v>
      </c>
      <c r="R48" s="191">
        <v>2012</v>
      </c>
      <c r="S48" s="199" t="str">
        <f>IFERROR(CONCATENATE(E48+VLOOKUP(B48,$B$39:$R$42,4,FALSE), " OZ, ",G48+VLOOKUP(B48,$B$39:$R$42,13,FALSE), " A"),"")</f>
        <v/>
      </c>
      <c r="T48" s="1" t="str">
        <f>IF(B48&lt;&gt;0,IF(V48=1,U48,CONCATENATE(U48," ",W48,".")),"")</f>
        <v>Balatka</v>
      </c>
      <c r="U48" s="1" t="str">
        <f>IFERROR(RIGHT(B48,LEN(B48)-SEARCH(" ", B48,1)),"")</f>
        <v>Balatka</v>
      </c>
      <c r="V48" s="199">
        <f>IF(B48&lt;&gt;0,COUNTIF($U$48:$U$82,U48),"")</f>
        <v>1</v>
      </c>
      <c r="W48" s="199" t="str">
        <f>IFERROR(LEFT(LEFT(B48,SEARCH(" ",B48,1)),1),"")</f>
        <v>A</v>
      </c>
      <c r="X48" s="191"/>
      <c r="Y48" s="191"/>
      <c r="Z48" s="191"/>
      <c r="AA48" s="186"/>
    </row>
    <row r="49" spans="2:27" ht="15" customHeight="1" x14ac:dyDescent="0.25">
      <c r="B49" s="1" t="s">
        <v>864</v>
      </c>
      <c r="C49" s="185">
        <v>34442</v>
      </c>
      <c r="D49" s="199">
        <f ca="1">IF(C49 &lt;&gt; 0,ROUNDDOWN(($A$47-C49)/365.25,0),"")</f>
        <v>26</v>
      </c>
      <c r="E49" s="191">
        <v>118</v>
      </c>
      <c r="F49" s="191">
        <v>26</v>
      </c>
      <c r="G49" s="191">
        <v>9</v>
      </c>
      <c r="H49" s="199">
        <f>IF(B49&lt;&gt;0,F49+G49,"")</f>
        <v>35</v>
      </c>
      <c r="I49" s="191">
        <v>10</v>
      </c>
      <c r="J49" s="191">
        <v>48</v>
      </c>
      <c r="K49" s="191"/>
      <c r="L49" s="191" t="s">
        <v>78</v>
      </c>
      <c r="M49" s="191">
        <v>185</v>
      </c>
      <c r="N49" s="191">
        <v>86</v>
      </c>
      <c r="O49" s="199" t="str">
        <f>IF(B49&lt;&gt;0,CONCATENATE(E49+IFERROR(VLOOKUP(B49,$B$2:$N$36,4,FALSE),0) + X49, " OZ, ", H49+IFERROR(VLOOKUP(B49,$B$2:$N$36,9,FALSE),0) + Y49+Z49, " (", F49+IFERROR(VLOOKUP(B49,$B$2:$N$36,5,FALSE),0) + Y49, "+",G49+IFERROR(VLOOKUP(B49,$B$2:$N$36,8,FALSE),0) +  Z49, ")"), "")</f>
        <v>140 OZ, 42 (31+11)</v>
      </c>
      <c r="P49" s="199" t="str">
        <f>IF(M49&lt;&gt;0,CONCATENATE(M49,"/",N49),"")</f>
        <v>185/86</v>
      </c>
      <c r="Q49" s="192" t="s">
        <v>948</v>
      </c>
      <c r="R49" s="191">
        <v>2001</v>
      </c>
      <c r="S49" s="199" t="str">
        <f>IFERROR(CONCATENATE(E49+VLOOKUP(B49,$B$39:$R$42,4,FALSE), " OZ, ",G49+VLOOKUP(B49,$B$39:$R$42,13,FALSE), " A"),"")</f>
        <v>118 OZ, 9 A</v>
      </c>
      <c r="T49" s="1" t="str">
        <f>IF(B49&lt;&gt;0,IF(V49=1,U49,CONCATENATE(U49," ",W49,".")),"")</f>
        <v>Baudisch</v>
      </c>
      <c r="U49" s="1" t="str">
        <f>IFERROR(RIGHT(B49,LEN(B49)-SEARCH(" ", B49,1)),"")</f>
        <v>Baudisch</v>
      </c>
      <c r="V49" s="199">
        <f>IF(B49&lt;&gt;0,COUNTIF($U$48:$U$82,U49),"")</f>
        <v>1</v>
      </c>
      <c r="W49" s="199" t="str">
        <f>IFERROR(LEFT(LEFT(B49,SEARCH(" ",B49,1)),1),"")</f>
        <v>J</v>
      </c>
      <c r="X49" s="191"/>
      <c r="Y49" s="191"/>
      <c r="Z49" s="191"/>
      <c r="AA49" s="186"/>
    </row>
    <row r="50" spans="2:27" ht="15" customHeight="1" x14ac:dyDescent="0.25">
      <c r="B50" s="1" t="s">
        <v>872</v>
      </c>
      <c r="C50" s="185">
        <v>35107</v>
      </c>
      <c r="D50" s="199">
        <f ca="1">IF(C50 &lt;&gt; 0,ROUNDDOWN(($A$47-C50)/365.25,0),"")</f>
        <v>25</v>
      </c>
      <c r="E50" s="191">
        <v>95</v>
      </c>
      <c r="F50" s="191">
        <v>3</v>
      </c>
      <c r="G50" s="191">
        <v>11</v>
      </c>
      <c r="H50" s="199">
        <f>IF(B50&lt;&gt;0,F50+G50,"")</f>
        <v>14</v>
      </c>
      <c r="I50" s="191">
        <v>5</v>
      </c>
      <c r="J50" s="191">
        <v>8</v>
      </c>
      <c r="K50" s="191"/>
      <c r="L50" s="191" t="s">
        <v>78</v>
      </c>
      <c r="M50" s="191">
        <v>180</v>
      </c>
      <c r="N50" s="191">
        <v>73</v>
      </c>
      <c r="O50" s="199" t="str">
        <f>IF(B50&lt;&gt;0,CONCATENATE(E50+IFERROR(VLOOKUP(B50,$B$2:$N$36,4,FALSE),0) + X50, " OZ, ", H50+IFERROR(VLOOKUP(B50,$B$2:$N$36,9,FALSE),0) + Y50+Z50, " (", F50+IFERROR(VLOOKUP(B50,$B$2:$N$36,5,FALSE),0) + Y50, "+",G50+IFERROR(VLOOKUP(B50,$B$2:$N$36,8,FALSE),0) +  Z50, ")"), "")</f>
        <v>118 OZ, 16 (4+12)</v>
      </c>
      <c r="P50" s="199" t="str">
        <f>IF(M50&lt;&gt;0,CONCATENATE(M50,"/",N50),"")</f>
        <v>180/73</v>
      </c>
      <c r="Q50" s="192" t="s">
        <v>112</v>
      </c>
      <c r="R50" s="191">
        <v>2011</v>
      </c>
      <c r="S50" s="199" t="str">
        <f>IFERROR(CONCATENATE(E50+VLOOKUP(B50,$B$39:$R$42,4,FALSE), " OZ, ",G50+VLOOKUP(B50,$B$39:$R$42,13,FALSE), " A"),"")</f>
        <v/>
      </c>
      <c r="T50" s="1" t="str">
        <f>IF(B50&lt;&gt;0,IF(V50=1,U50,CONCATENATE(U50," ",W50,".")),"")</f>
        <v>Bitman</v>
      </c>
      <c r="U50" s="1" t="str">
        <f>IFERROR(RIGHT(B50,LEN(B50)-SEARCH(" ", B50,1)),"")</f>
        <v>Bitman</v>
      </c>
      <c r="V50" s="199">
        <f>IF(B50&lt;&gt;0,COUNTIF($U$48:$U$82,U50),"")</f>
        <v>1</v>
      </c>
      <c r="W50" s="199" t="str">
        <f>IFERROR(LEFT(LEFT(B50,SEARCH(" ",B50,1)),1),"")</f>
        <v>J</v>
      </c>
      <c r="X50" s="191"/>
      <c r="Y50" s="191"/>
      <c r="Z50" s="191"/>
      <c r="AA50" s="186"/>
    </row>
    <row r="51" spans="2:27" ht="15" customHeight="1" x14ac:dyDescent="0.25">
      <c r="B51" s="1" t="s">
        <v>869</v>
      </c>
      <c r="C51" s="185">
        <v>37271</v>
      </c>
      <c r="D51" s="199">
        <f ca="1">IF(C51 &lt;&gt; 0,ROUNDDOWN(($A$47-C51)/365.25,0),"")</f>
        <v>19</v>
      </c>
      <c r="E51" s="191">
        <v>0</v>
      </c>
      <c r="F51" s="191">
        <v>0</v>
      </c>
      <c r="G51" s="191">
        <v>0</v>
      </c>
      <c r="H51" s="199">
        <f>IF(B51&lt;&gt;0,F51+G51,"")</f>
        <v>0</v>
      </c>
      <c r="I51" s="191">
        <v>1</v>
      </c>
      <c r="J51" s="191">
        <v>89</v>
      </c>
      <c r="K51" s="191"/>
      <c r="L51" s="191" t="s">
        <v>78</v>
      </c>
      <c r="M51" s="191">
        <v>180</v>
      </c>
      <c r="N51" s="191">
        <v>66</v>
      </c>
      <c r="O51" s="199" t="str">
        <f>IF(B51&lt;&gt;0,CONCATENATE(E51+IFERROR(VLOOKUP(B51,$B$2:$N$36,4,FALSE),0) + X51, " OZ, ", H51+IFERROR(VLOOKUP(B51,$B$2:$N$36,9,FALSE),0) + Y51+Z51, " (", F51+IFERROR(VLOOKUP(B51,$B$2:$N$36,5,FALSE),0) + Y51, "+",G51+IFERROR(VLOOKUP(B51,$B$2:$N$36,8,FALSE),0) +  Z51, ")"), "")</f>
        <v>5 OZ, 3 (1+2)</v>
      </c>
      <c r="P51" s="199" t="str">
        <f>IF(M51&lt;&gt;0,CONCATENATE(M51,"/",N51),"")</f>
        <v>180/66</v>
      </c>
      <c r="Q51" s="192" t="s">
        <v>112</v>
      </c>
      <c r="R51" s="191">
        <v>2009</v>
      </c>
      <c r="S51" s="199" t="str">
        <f>IFERROR(CONCATENATE(E51+VLOOKUP(B51,$B$39:$R$42,4,FALSE), " OZ, ",G51+VLOOKUP(B51,$B$39:$R$42,13,FALSE), " A"),"")</f>
        <v/>
      </c>
      <c r="T51" s="1" t="str">
        <f>IF(B51&lt;&gt;0,IF(V51=1,U51,CONCATENATE(U51," ",W51,".")),"")</f>
        <v>Blažek</v>
      </c>
      <c r="U51" s="1" t="str">
        <f>IFERROR(RIGHT(B51,LEN(B51)-SEARCH(" ", B51,1)),"")</f>
        <v>Blažek</v>
      </c>
      <c r="V51" s="199">
        <f>IF(B51&lt;&gt;0,COUNTIF($U$48:$U$82,U51),"")</f>
        <v>1</v>
      </c>
      <c r="W51" s="199" t="str">
        <f>IFERROR(LEFT(LEFT(B51,SEARCH(" ",B51,1)),1),"")</f>
        <v>V</v>
      </c>
      <c r="X51" s="191"/>
      <c r="Y51" s="191"/>
      <c r="Z51" s="191"/>
      <c r="AA51" s="186"/>
    </row>
    <row r="52" spans="2:27" ht="15" customHeight="1" x14ac:dyDescent="0.25">
      <c r="B52" s="1" t="s">
        <v>874</v>
      </c>
      <c r="C52" s="185">
        <v>37393</v>
      </c>
      <c r="D52" s="199">
        <f ca="1">IF(C52 &lt;&gt; 0,ROUNDDOWN(($A$47-C52)/365.25,0),"")</f>
        <v>18</v>
      </c>
      <c r="E52" s="191">
        <v>0</v>
      </c>
      <c r="F52" s="191">
        <v>0</v>
      </c>
      <c r="G52" s="191">
        <v>0</v>
      </c>
      <c r="H52" s="199">
        <f>IF(B52&lt;&gt;0,F52+G52,"")</f>
        <v>0</v>
      </c>
      <c r="I52" s="191">
        <v>1</v>
      </c>
      <c r="J52" s="191">
        <v>64</v>
      </c>
      <c r="K52" s="191"/>
      <c r="L52" s="191"/>
      <c r="M52" s="191"/>
      <c r="N52" s="191"/>
      <c r="O52" s="199" t="str">
        <f>IF(B52&lt;&gt;0,CONCATENATE(E52+IFERROR(VLOOKUP(B52,$B$2:$N$36,4,FALSE),0) + X52, " OZ, ", H52+IFERROR(VLOOKUP(B52,$B$2:$N$36,9,FALSE),0) + Y52+Z52, " (", F52+IFERROR(VLOOKUP(B52,$B$2:$N$36,5,FALSE),0) + Y52, "+",G52+IFERROR(VLOOKUP(B52,$B$2:$N$36,8,FALSE),0) +  Z52, ")"), "")</f>
        <v>1 OZ, 0 (0+0)</v>
      </c>
      <c r="P52" s="199" t="str">
        <f>IF(M52&lt;&gt;0,CONCATENATE(M52,"/",N52),"")</f>
        <v/>
      </c>
      <c r="Q52" s="192" t="s">
        <v>112</v>
      </c>
      <c r="R52" s="191">
        <v>2011</v>
      </c>
      <c r="S52" s="199" t="str">
        <f>IFERROR(CONCATENATE(E52+VLOOKUP(B52,$B$39:$R$42,4,FALSE), " OZ, ",G52+VLOOKUP(B52,$B$39:$R$42,13,FALSE), " A"),"")</f>
        <v/>
      </c>
      <c r="T52" s="1" t="str">
        <f>IF(B52&lt;&gt;0,IF(V52=1,U52,CONCATENATE(U52," ",W52,".")),"")</f>
        <v>Blecha</v>
      </c>
      <c r="U52" s="1" t="str">
        <f>IFERROR(RIGHT(B52,LEN(B52)-SEARCH(" ", B52,1)),"")</f>
        <v>Blecha</v>
      </c>
      <c r="V52" s="199">
        <f>IF(B52&lt;&gt;0,COUNTIF($U$48:$U$82,U52),"")</f>
        <v>1</v>
      </c>
      <c r="W52" s="199" t="str">
        <f>IFERROR(LEFT(LEFT(B52,SEARCH(" ",B52,1)),1),"")</f>
        <v>M</v>
      </c>
      <c r="X52" s="191"/>
      <c r="Y52" s="191"/>
      <c r="Z52" s="191"/>
      <c r="AA52" s="186"/>
    </row>
    <row r="53" spans="2:27" ht="15" customHeight="1" x14ac:dyDescent="0.25">
      <c r="B53" s="4" t="s">
        <v>855</v>
      </c>
      <c r="C53" s="185">
        <v>37448</v>
      </c>
      <c r="D53" s="199">
        <f ca="1">IF(C53 &lt;&gt; 0,ROUNDDOWN(($A$47-C53)/365.25,0),"")</f>
        <v>18</v>
      </c>
      <c r="E53" s="191">
        <v>21</v>
      </c>
      <c r="F53" s="191">
        <v>3</v>
      </c>
      <c r="G53" s="191">
        <v>3</v>
      </c>
      <c r="H53" s="199">
        <f>IF(B53&lt;&gt;0,F53+G53,"")</f>
        <v>6</v>
      </c>
      <c r="I53" s="191">
        <v>2</v>
      </c>
      <c r="J53" s="191">
        <v>23</v>
      </c>
      <c r="K53" s="191"/>
      <c r="L53" s="191" t="s">
        <v>41</v>
      </c>
      <c r="M53" s="191">
        <v>183</v>
      </c>
      <c r="N53" s="191">
        <v>74</v>
      </c>
      <c r="O53" s="199" t="str">
        <f>IF(B53&lt;&gt;0,CONCATENATE(E53+IFERROR(VLOOKUP(B53,$B$2:$N$36,4,FALSE),0) + X53, " OZ, ", H53+IFERROR(VLOOKUP(B53,$B$2:$N$36,9,FALSE),0) + Y53+Z53, " (", F53+IFERROR(VLOOKUP(B53,$B$2:$N$36,5,FALSE),0) + Y53, "+",G53+IFERROR(VLOOKUP(B53,$B$2:$N$36,8,FALSE),0) +  Z53, ")"), "")</f>
        <v>41 OZ, 26 (14+12)</v>
      </c>
      <c r="P53" s="199" t="str">
        <f>IF(M53&lt;&gt;0,CONCATENATE(M53,"/",N53),"")</f>
        <v>183/74</v>
      </c>
      <c r="Q53" s="192" t="s">
        <v>112</v>
      </c>
      <c r="R53" s="191">
        <v>2010</v>
      </c>
      <c r="S53" s="199" t="str">
        <f>IFERROR(CONCATENATE(E53+VLOOKUP(B53,$B$39:$R$42,4,FALSE), " OZ, ",G53+VLOOKUP(B53,$B$39:$R$42,13,FALSE), " A"),"")</f>
        <v/>
      </c>
      <c r="T53" s="1" t="str">
        <f>IF(B53&lt;&gt;0,IF(V53=1,U53,CONCATENATE(U53," ",W53,".")),"")</f>
        <v>Čermák</v>
      </c>
      <c r="U53" s="1" t="str">
        <f>IFERROR(RIGHT(B53,LEN(B53)-SEARCH(" ", B53,1)),"")</f>
        <v>Čermák</v>
      </c>
      <c r="V53" s="199">
        <f>IF(B53&lt;&gt;0,COUNTIF($U$48:$U$82,U53),"")</f>
        <v>1</v>
      </c>
      <c r="W53" s="199" t="str">
        <f>IFERROR(LEFT(LEFT(B53,SEARCH(" ",B53,1)),1),"")</f>
        <v>M</v>
      </c>
      <c r="X53" s="191"/>
      <c r="Y53" s="191"/>
      <c r="Z53" s="191"/>
      <c r="AA53" s="186"/>
    </row>
    <row r="54" spans="2:27" ht="15" customHeight="1" x14ac:dyDescent="0.25">
      <c r="B54" s="1" t="s">
        <v>858</v>
      </c>
      <c r="C54" s="185">
        <v>34407</v>
      </c>
      <c r="D54" s="199">
        <f ca="1">IF(C54 &lt;&gt; 0,ROUNDDOWN(($A$47-C54)/365.25,0),"")</f>
        <v>26</v>
      </c>
      <c r="E54" s="191">
        <v>168</v>
      </c>
      <c r="F54" s="191">
        <v>39</v>
      </c>
      <c r="G54" s="191">
        <v>57</v>
      </c>
      <c r="H54" s="199">
        <f>IF(B54&lt;&gt;0,F54+G54,"")</f>
        <v>96</v>
      </c>
      <c r="I54" s="191">
        <v>10</v>
      </c>
      <c r="J54" s="191">
        <v>24</v>
      </c>
      <c r="K54" s="191"/>
      <c r="L54" s="191" t="s">
        <v>78</v>
      </c>
      <c r="M54" s="191">
        <v>180</v>
      </c>
      <c r="N54" s="191">
        <v>82</v>
      </c>
      <c r="O54" s="199" t="str">
        <f>IF(B54&lt;&gt;0,CONCATENATE(E54+IFERROR(VLOOKUP(B54,$B$2:$N$36,4,FALSE),0) + X54, " OZ, ", H54+IFERROR(VLOOKUP(B54,$B$2:$N$36,9,FALSE),0) + Y54+Z54, " (", F54+IFERROR(VLOOKUP(B54,$B$2:$N$36,5,FALSE),0) + Y54, "+",G54+IFERROR(VLOOKUP(B54,$B$2:$N$36,8,FALSE),0) +  Z54, ")"), "")</f>
        <v>191 OZ, 113 (47+66)</v>
      </c>
      <c r="P54" s="199" t="str">
        <f>IF(M54&lt;&gt;0,CONCATENATE(M54,"/",N54),"")</f>
        <v>180/82</v>
      </c>
      <c r="Q54" s="192" t="s">
        <v>943</v>
      </c>
      <c r="R54" s="191">
        <v>2009</v>
      </c>
      <c r="S54" s="199" t="str">
        <f>IFERROR(CONCATENATE(E54+VLOOKUP(B54,$B$39:$R$42,4,FALSE), " OZ, ",G54+VLOOKUP(B54,$B$39:$R$42,13,FALSE), " A"),"")</f>
        <v/>
      </c>
      <c r="T54" s="1" t="str">
        <f>IF(B54&lt;&gt;0,IF(V54=1,U54,CONCATENATE(U54," ",W54,".")),"")</f>
        <v>Dlesk</v>
      </c>
      <c r="U54" s="1" t="str">
        <f>IFERROR(RIGHT(B54,LEN(B54)-SEARCH(" ", B54,1)),"")</f>
        <v>Dlesk</v>
      </c>
      <c r="V54" s="199">
        <f>IF(B54&lt;&gt;0,COUNTIF($U$48:$U$82,U54),"")</f>
        <v>1</v>
      </c>
      <c r="W54" s="199" t="str">
        <f>IFERROR(LEFT(LEFT(B54,SEARCH(" ",B54,1)),1),"")</f>
        <v>T</v>
      </c>
      <c r="X54" s="191"/>
      <c r="Y54" s="191"/>
      <c r="Z54" s="191"/>
      <c r="AA54" s="186"/>
    </row>
    <row r="55" spans="2:27" ht="15" customHeight="1" x14ac:dyDescent="0.25">
      <c r="B55" s="4" t="s">
        <v>876</v>
      </c>
      <c r="C55" s="185"/>
      <c r="D55" s="199" t="str">
        <f>IF(C55 &lt;&gt; 0,ROUNDDOWN(($A$47-C55)/365.25,0),"")</f>
        <v/>
      </c>
      <c r="E55" s="191">
        <v>2</v>
      </c>
      <c r="F55" s="191">
        <v>1</v>
      </c>
      <c r="G55" s="191">
        <v>1</v>
      </c>
      <c r="H55" s="199">
        <f>IF(B55&lt;&gt;0,F55+G55,"")</f>
        <v>2</v>
      </c>
      <c r="I55" s="191">
        <v>2</v>
      </c>
      <c r="J55" s="191">
        <v>12</v>
      </c>
      <c r="K55" s="191"/>
      <c r="L55" s="191" t="s">
        <v>78</v>
      </c>
      <c r="M55" s="191">
        <v>192</v>
      </c>
      <c r="N55" s="191">
        <v>71</v>
      </c>
      <c r="O55" s="199" t="str">
        <f>IF(B55&lt;&gt;0,CONCATENATE(E55+IFERROR(VLOOKUP(B55,$B$2:$N$36,4,FALSE),0) + X55, " OZ, ", H55+IFERROR(VLOOKUP(B55,$B$2:$N$36,9,FALSE),0) + Y55+Z55, " (", F55+IFERROR(VLOOKUP(B55,$B$2:$N$36,5,FALSE),0) + Y55, "+",G55+IFERROR(VLOOKUP(B55,$B$2:$N$36,8,FALSE),0) +  Z55, ")"), "")</f>
        <v>6 OZ, 2 (1+1)</v>
      </c>
      <c r="P55" s="199" t="str">
        <f>IF(M55&lt;&gt;0,CONCATENATE(M55,"/",N55),"")</f>
        <v>192/71</v>
      </c>
      <c r="Q55" s="192" t="s">
        <v>942</v>
      </c>
      <c r="R55" s="191">
        <v>2008</v>
      </c>
      <c r="S55" s="199" t="str">
        <f>IFERROR(CONCATENATE(E55+VLOOKUP(B55,$B$39:$R$42,4,FALSE), " OZ, ",G55+VLOOKUP(B55,$B$39:$R$42,13,FALSE), " A"),"")</f>
        <v/>
      </c>
      <c r="T55" s="1" t="str">
        <f>IF(B55&lt;&gt;0,IF(V55=1,U55,CONCATENATE(U55," ",W55,".")),"")</f>
        <v>Emlar</v>
      </c>
      <c r="U55" s="1" t="str">
        <f>IFERROR(RIGHT(B55,LEN(B55)-SEARCH(" ", B55,1)),"")</f>
        <v>Emlar</v>
      </c>
      <c r="V55" s="199">
        <f>IF(B55&lt;&gt;0,COUNTIF($U$48:$U$82,U55),"")</f>
        <v>1</v>
      </c>
      <c r="W55" s="199" t="str">
        <f>IFERROR(LEFT(LEFT(B55,SEARCH(" ",B55,1)),1),"")</f>
        <v>D</v>
      </c>
      <c r="X55" s="191"/>
      <c r="Y55" s="191"/>
      <c r="Z55" s="191"/>
      <c r="AA55" s="186"/>
    </row>
    <row r="56" spans="2:27" ht="15" customHeight="1" x14ac:dyDescent="0.25">
      <c r="B56" s="4" t="s">
        <v>854</v>
      </c>
      <c r="C56" s="185">
        <v>33683</v>
      </c>
      <c r="D56" s="199">
        <f ca="1">IF(C56 &lt;&gt; 0,ROUNDDOWN(($A$47-C56)/365.25,0),"")</f>
        <v>28</v>
      </c>
      <c r="E56" s="191">
        <v>166</v>
      </c>
      <c r="F56" s="191">
        <v>110</v>
      </c>
      <c r="G56" s="191">
        <v>87</v>
      </c>
      <c r="H56" s="199">
        <f>IF(B56&lt;&gt;0,F56+G56,"")</f>
        <v>197</v>
      </c>
      <c r="I56" s="191">
        <v>9</v>
      </c>
      <c r="J56" s="191">
        <v>55</v>
      </c>
      <c r="K56" s="191"/>
      <c r="L56" s="191" t="s">
        <v>41</v>
      </c>
      <c r="M56" s="191">
        <v>176</v>
      </c>
      <c r="N56" s="191">
        <v>74</v>
      </c>
      <c r="O56" s="199" t="str">
        <f>IF(B56&lt;&gt;0,CONCATENATE(E56+IFERROR(VLOOKUP(B56,$B$2:$N$36,4,FALSE),0) + X56, " OZ, ", H56+IFERROR(VLOOKUP(B56,$B$2:$N$36,9,FALSE),0) + Y56+Z56, " (", F56+IFERROR(VLOOKUP(B56,$B$2:$N$36,5,FALSE),0) + Y56, "+",G56+IFERROR(VLOOKUP(B56,$B$2:$N$36,8,FALSE),0) +  Z56, ")"), "")</f>
        <v>182 OZ, 219 (123+96)</v>
      </c>
      <c r="P56" s="199" t="str">
        <f>IF(M56&lt;&gt;0,CONCATENATE(M56,"/",N56),"")</f>
        <v>176/74</v>
      </c>
      <c r="Q56" s="192" t="s">
        <v>941</v>
      </c>
      <c r="R56" s="191">
        <v>2006</v>
      </c>
      <c r="S56" s="199" t="str">
        <f>IFERROR(CONCATENATE(E56+VLOOKUP(B56,$B$39:$R$42,4,FALSE), " OZ, ",G56+VLOOKUP(B56,$B$39:$R$42,13,FALSE), " A"),"")</f>
        <v/>
      </c>
      <c r="T56" s="1" t="str">
        <f>IF(B56&lt;&gt;0,IF(V56=1,U56,CONCATENATE(U56," ",W56,".")),"")</f>
        <v>Ferdan</v>
      </c>
      <c r="U56" s="1" t="str">
        <f>IFERROR(RIGHT(B56,LEN(B56)-SEARCH(" ", B56,1)),"")</f>
        <v>Ferdan</v>
      </c>
      <c r="V56" s="199">
        <f>IF(B56&lt;&gt;0,COUNTIF($U$48:$U$82,U56),"")</f>
        <v>1</v>
      </c>
      <c r="W56" s="199" t="str">
        <f>IFERROR(LEFT(LEFT(B56,SEARCH(" ",B56,1)),1),"")</f>
        <v>P</v>
      </c>
      <c r="X56" s="191"/>
      <c r="Y56" s="191"/>
      <c r="Z56" s="191"/>
      <c r="AA56" s="186"/>
    </row>
    <row r="57" spans="2:27" ht="15" customHeight="1" x14ac:dyDescent="0.25">
      <c r="B57" s="1" t="s">
        <v>870</v>
      </c>
      <c r="C57" s="185">
        <v>37882</v>
      </c>
      <c r="D57" s="199">
        <f ca="1">IF(C57 &lt;&gt; 0,ROUNDDOWN(($A$47-C57)/365.25,0),"")</f>
        <v>17</v>
      </c>
      <c r="E57" s="191">
        <v>0</v>
      </c>
      <c r="F57" s="191">
        <v>0</v>
      </c>
      <c r="G57" s="191">
        <v>0</v>
      </c>
      <c r="H57" s="199">
        <f>IF(B57&lt;&gt;0,F57+G57,"")</f>
        <v>0</v>
      </c>
      <c r="I57" s="191">
        <v>1</v>
      </c>
      <c r="J57" s="191">
        <v>93</v>
      </c>
      <c r="K57" s="191"/>
      <c r="L57" s="191" t="s">
        <v>78</v>
      </c>
      <c r="M57" s="191">
        <v>178</v>
      </c>
      <c r="N57" s="191">
        <v>74</v>
      </c>
      <c r="O57" s="199" t="str">
        <f>IF(B57&lt;&gt;0,CONCATENATE(E57+IFERROR(VLOOKUP(B57,$B$2:$N$36,4,FALSE),0) + X57, " OZ, ", H57+IFERROR(VLOOKUP(B57,$B$2:$N$36,9,FALSE),0) + Y57+Z57, " (", F57+IFERROR(VLOOKUP(B57,$B$2:$N$36,5,FALSE),0) + Y57, "+",G57+IFERROR(VLOOKUP(B57,$B$2:$N$36,8,FALSE),0) +  Z57, ")"), "")</f>
        <v>19 OZ, 3 (1+2)</v>
      </c>
      <c r="P57" s="199" t="str">
        <f>IF(M57&lt;&gt;0,CONCATENATE(M57,"/",N57),"")</f>
        <v>178/74</v>
      </c>
      <c r="Q57" s="192" t="s">
        <v>112</v>
      </c>
      <c r="R57" s="191">
        <v>2010</v>
      </c>
      <c r="S57" s="199" t="str">
        <f>IFERROR(CONCATENATE(E57+VLOOKUP(B57,$B$39:$R$42,4,FALSE), " OZ, ",G57+VLOOKUP(B57,$B$39:$R$42,13,FALSE), " A"),"")</f>
        <v/>
      </c>
      <c r="T57" s="1" t="str">
        <f>IF(B57&lt;&gt;0,IF(V57=1,U57,CONCATENATE(U57," ",W57,".")),"")</f>
        <v>Janeček</v>
      </c>
      <c r="U57" s="1" t="str">
        <f>IFERROR(RIGHT(B57,LEN(B57)-SEARCH(" ", B57,1)),"")</f>
        <v>Janeček</v>
      </c>
      <c r="V57" s="199">
        <f>IF(B57&lt;&gt;0,COUNTIF($U$48:$U$82,U57),"")</f>
        <v>1</v>
      </c>
      <c r="W57" s="199" t="str">
        <f>IFERROR(LEFT(LEFT(B57,SEARCH(" ",B57,1)),1),"")</f>
        <v>V</v>
      </c>
      <c r="X57" s="191"/>
      <c r="Y57" s="191"/>
      <c r="Z57" s="191"/>
      <c r="AA57" s="186"/>
    </row>
    <row r="58" spans="2:27" ht="15" customHeight="1" x14ac:dyDescent="0.25">
      <c r="B58" s="1" t="s">
        <v>871</v>
      </c>
      <c r="C58" s="185">
        <v>36611</v>
      </c>
      <c r="D58" s="199">
        <f ca="1">IF(C58 &lt;&gt; 0,ROUNDDOWN(($A$47-C58)/365.25,0),"")</f>
        <v>20</v>
      </c>
      <c r="E58" s="191">
        <v>26</v>
      </c>
      <c r="F58" s="191">
        <v>4</v>
      </c>
      <c r="G58" s="191">
        <v>5</v>
      </c>
      <c r="H58" s="199">
        <f>IF(B58&lt;&gt;0,F58+G58,"")</f>
        <v>9</v>
      </c>
      <c r="I58" s="191">
        <v>2</v>
      </c>
      <c r="J58" s="191">
        <v>7</v>
      </c>
      <c r="K58" s="191"/>
      <c r="L58" s="191" t="s">
        <v>41</v>
      </c>
      <c r="M58" s="191">
        <v>180</v>
      </c>
      <c r="N58" s="191">
        <v>72</v>
      </c>
      <c r="O58" s="199" t="str">
        <f>IF(B58&lt;&gt;0,CONCATENATE(E58+IFERROR(VLOOKUP(B58,$B$2:$N$36,4,FALSE),0) + X58, " OZ, ", H58+IFERROR(VLOOKUP(B58,$B$2:$N$36,9,FALSE),0) + Y58+Z58, " (", F58+IFERROR(VLOOKUP(B58,$B$2:$N$36,5,FALSE),0) + Y58, "+",G58+IFERROR(VLOOKUP(B58,$B$2:$N$36,8,FALSE),0) +  Z58, ")"), "")</f>
        <v>47 OZ, 12 (5+7)</v>
      </c>
      <c r="P58" s="199" t="str">
        <f>IF(M58&lt;&gt;0,CONCATENATE(M58,"/",N58),"")</f>
        <v>180/72</v>
      </c>
      <c r="Q58" s="192" t="s">
        <v>745</v>
      </c>
      <c r="R58" s="191">
        <v>2006</v>
      </c>
      <c r="S58" s="199" t="str">
        <f>IFERROR(CONCATENATE(E58+VLOOKUP(B58,$B$39:$R$42,4,FALSE), " OZ, ",G58+VLOOKUP(B58,$B$39:$R$42,13,FALSE), " A"),"")</f>
        <v/>
      </c>
      <c r="T58" s="1" t="str">
        <f>IF(B58&lt;&gt;0,IF(V58=1,U58,CONCATENATE(U58," ",W58,".")),"")</f>
        <v>Kárník</v>
      </c>
      <c r="U58" s="1" t="str">
        <f>IFERROR(RIGHT(B58,LEN(B58)-SEARCH(" ", B58,1)),"")</f>
        <v>Kárník</v>
      </c>
      <c r="V58" s="199">
        <f>IF(B58&lt;&gt;0,COUNTIF($U$48:$U$82,U58),"")</f>
        <v>1</v>
      </c>
      <c r="W58" s="199" t="str">
        <f>IFERROR(LEFT(LEFT(B58,SEARCH(" ",B58,1)),1),"")</f>
        <v>J</v>
      </c>
      <c r="X58" s="191"/>
      <c r="Y58" s="191"/>
      <c r="Z58" s="191"/>
      <c r="AA58" s="186"/>
    </row>
    <row r="59" spans="2:27" ht="15" customHeight="1" x14ac:dyDescent="0.25">
      <c r="B59" s="1" t="s">
        <v>866</v>
      </c>
      <c r="C59" s="185">
        <v>32803</v>
      </c>
      <c r="D59" s="199">
        <f ca="1">IF(C59 &lt;&gt; 0,ROUNDDOWN(($A$47-C59)/365.25,0),"")</f>
        <v>31</v>
      </c>
      <c r="E59" s="191">
        <v>218</v>
      </c>
      <c r="F59" s="191">
        <v>61</v>
      </c>
      <c r="G59" s="191">
        <v>51</v>
      </c>
      <c r="H59" s="199">
        <f>IF(B59&lt;&gt;0,F59+G59,"")</f>
        <v>112</v>
      </c>
      <c r="I59" s="191">
        <v>13</v>
      </c>
      <c r="J59" s="191">
        <v>6</v>
      </c>
      <c r="K59" s="191" t="s">
        <v>222</v>
      </c>
      <c r="L59" s="191" t="s">
        <v>78</v>
      </c>
      <c r="M59" s="191">
        <v>194</v>
      </c>
      <c r="N59" s="191">
        <v>98</v>
      </c>
      <c r="O59" s="199" t="str">
        <f>IF(B59&lt;&gt;0,CONCATENATE(E59+IFERROR(VLOOKUP(B59,$B$2:$N$36,4,FALSE),0) + X59, " OZ, ", H59+IFERROR(VLOOKUP(B59,$B$2:$N$36,9,FALSE),0) + Y59+Z59, " (", F59+IFERROR(VLOOKUP(B59,$B$2:$N$36,5,FALSE),0) + Y59, "+",G59+IFERROR(VLOOKUP(B59,$B$2:$N$36,8,FALSE),0) +  Z59, ")"), "")</f>
        <v>239 OZ, 118 (63+55)</v>
      </c>
      <c r="P59" s="199" t="str">
        <f>IF(M59&lt;&gt;0,CONCATENATE(M59,"/",N59),"")</f>
        <v>194/98</v>
      </c>
      <c r="Q59" s="192" t="s">
        <v>112</v>
      </c>
      <c r="R59" s="191">
        <v>1999</v>
      </c>
      <c r="S59" s="199" t="str">
        <f>IFERROR(CONCATENATE(E59+VLOOKUP(B59,$B$39:$R$42,4,FALSE), " OZ, ",G59+VLOOKUP(B59,$B$39:$R$42,13,FALSE), " A"),"")</f>
        <v/>
      </c>
      <c r="T59" s="1" t="str">
        <f>IF(B59&lt;&gt;0,IF(V59=1,U59,CONCATENATE(U59," ",W59,".")),"")</f>
        <v>Klucho</v>
      </c>
      <c r="U59" s="1" t="str">
        <f>IFERROR(RIGHT(B59,LEN(B59)-SEARCH(" ", B59,1)),"")</f>
        <v>Klucho</v>
      </c>
      <c r="V59" s="199">
        <f>IF(B59&lt;&gt;0,COUNTIF($U$48:$U$82,U59),"")</f>
        <v>1</v>
      </c>
      <c r="W59" s="199" t="str">
        <f>IFERROR(LEFT(LEFT(B59,SEARCH(" ",B59,1)),1),"")</f>
        <v>M</v>
      </c>
      <c r="X59" s="191"/>
      <c r="Y59" s="191"/>
      <c r="Z59" s="191"/>
      <c r="AA59" s="186"/>
    </row>
    <row r="60" spans="2:27" ht="15" customHeight="1" x14ac:dyDescent="0.25">
      <c r="B60" s="1" t="s">
        <v>860</v>
      </c>
      <c r="C60" s="185">
        <v>31531</v>
      </c>
      <c r="D60" s="199">
        <f ca="1">IF(C60 &lt;&gt; 0,ROUNDDOWN(($A$47-C60)/365.25,0),"")</f>
        <v>34</v>
      </c>
      <c r="E60" s="191">
        <v>277</v>
      </c>
      <c r="F60" s="191">
        <v>94</v>
      </c>
      <c r="G60" s="191">
        <v>124</v>
      </c>
      <c r="H60" s="199">
        <f>IF(B60&lt;&gt;0,F60+G60,"")</f>
        <v>218</v>
      </c>
      <c r="I60" s="191">
        <v>17</v>
      </c>
      <c r="J60" s="191">
        <v>11</v>
      </c>
      <c r="K60" s="191"/>
      <c r="L60" s="191" t="s">
        <v>78</v>
      </c>
      <c r="M60" s="191">
        <v>185</v>
      </c>
      <c r="N60" s="191">
        <v>69</v>
      </c>
      <c r="O60" s="199" t="str">
        <f>IF(B60&lt;&gt;0,CONCATENATE(E60+IFERROR(VLOOKUP(B60,$B$2:$N$36,4,FALSE),0) + X60, " OZ, ", H60+IFERROR(VLOOKUP(B60,$B$2:$N$36,9,FALSE),0) + Y60+Z60, " (", F60+IFERROR(VLOOKUP(B60,$B$2:$N$36,5,FALSE),0) + Y60, "+",G60+IFERROR(VLOOKUP(B60,$B$2:$N$36,8,FALSE),0) +  Z60, ")"), "")</f>
        <v>299 OZ, 230 (95+135)</v>
      </c>
      <c r="P60" s="199" t="str">
        <f>IF(M60&lt;&gt;0,CONCATENATE(M60,"/",N60),"")</f>
        <v>185/69</v>
      </c>
      <c r="Q60" s="192" t="s">
        <v>945</v>
      </c>
      <c r="R60" s="191">
        <v>1996</v>
      </c>
      <c r="S60" s="199" t="str">
        <f>IFERROR(CONCATENATE(E60+VLOOKUP(B60,$B$39:$R$42,4,FALSE), " OZ, ",G60+VLOOKUP(B60,$B$39:$R$42,13,FALSE), " A"),"")</f>
        <v/>
      </c>
      <c r="T60" s="1" t="str">
        <f>IF(B60&lt;&gt;0,IF(V60=1,U60,CONCATENATE(U60," ",W60,".")),"")</f>
        <v>Kološ</v>
      </c>
      <c r="U60" s="1" t="str">
        <f>IFERROR(RIGHT(B60,LEN(B60)-SEARCH(" ", B60,1)),"")</f>
        <v>Kološ</v>
      </c>
      <c r="V60" s="199">
        <f>IF(B60&lt;&gt;0,COUNTIF($U$48:$U$82,U60),"")</f>
        <v>1</v>
      </c>
      <c r="W60" s="199" t="str">
        <f>IFERROR(LEFT(LEFT(B60,SEARCH(" ",B60,1)),1),"")</f>
        <v>P</v>
      </c>
      <c r="X60" s="191"/>
      <c r="Y60" s="191"/>
      <c r="Z60" s="191"/>
      <c r="AA60" s="186"/>
    </row>
    <row r="61" spans="2:27" ht="15" customHeight="1" x14ac:dyDescent="0.25">
      <c r="B61" s="4" t="s">
        <v>856</v>
      </c>
      <c r="C61" s="185">
        <v>36014</v>
      </c>
      <c r="D61" s="199">
        <f ca="1">IF(C61 &lt;&gt; 0,ROUNDDOWN(($A$47-C61)/365.25,0),"")</f>
        <v>22</v>
      </c>
      <c r="E61" s="191">
        <v>76</v>
      </c>
      <c r="F61" s="191">
        <v>35</v>
      </c>
      <c r="G61" s="191">
        <v>28</v>
      </c>
      <c r="H61" s="199">
        <f>IF(B61&lt;&gt;0,F61+G61,"")</f>
        <v>63</v>
      </c>
      <c r="I61" s="191">
        <v>4</v>
      </c>
      <c r="J61" s="191">
        <v>5</v>
      </c>
      <c r="K61" s="191"/>
      <c r="L61" s="191" t="s">
        <v>78</v>
      </c>
      <c r="M61" s="191">
        <v>185</v>
      </c>
      <c r="N61" s="191">
        <v>74</v>
      </c>
      <c r="O61" s="199" t="str">
        <f>IF(B61&lt;&gt;0,CONCATENATE(E61+IFERROR(VLOOKUP(B61,$B$2:$N$36,4,FALSE),0) + X61, " OZ, ", H61+IFERROR(VLOOKUP(B61,$B$2:$N$36,9,FALSE),0) + Y61+Z61, " (", F61+IFERROR(VLOOKUP(B61,$B$2:$N$36,5,FALSE),0) + Y61, "+",G61+IFERROR(VLOOKUP(B61,$B$2:$N$36,8,FALSE),0) +  Z61, ")"), "")</f>
        <v>97 OZ, 82 (49+33)</v>
      </c>
      <c r="P61" s="199" t="str">
        <f>IF(M61&lt;&gt;0,CONCATENATE(M61,"/",N61),"")</f>
        <v>185/74</v>
      </c>
      <c r="Q61" s="192" t="s">
        <v>942</v>
      </c>
      <c r="R61" s="191">
        <v>2007</v>
      </c>
      <c r="S61" s="199" t="str">
        <f>IFERROR(CONCATENATE(E61+VLOOKUP(B61,$B$39:$R$42,4,FALSE), " OZ, ",G61+VLOOKUP(B61,$B$39:$R$42,13,FALSE), " A"),"")</f>
        <v/>
      </c>
      <c r="T61" s="1" t="str">
        <f>IF(B61&lt;&gt;0,IF(V61=1,U61,CONCATENATE(U61," ",W61,".")),"")</f>
        <v>Kopecký</v>
      </c>
      <c r="U61" s="1" t="str">
        <f>IFERROR(RIGHT(B61,LEN(B61)-SEARCH(" ", B61,1)),"")</f>
        <v>Kopecký</v>
      </c>
      <c r="V61" s="199">
        <f>IF(B61&lt;&gt;0,COUNTIF($U$48:$U$82,U61),"")</f>
        <v>1</v>
      </c>
      <c r="W61" s="199" t="str">
        <f>IFERROR(LEFT(LEFT(B61,SEARCH(" ",B61,1)),1),"")</f>
        <v>J</v>
      </c>
      <c r="X61" s="191"/>
      <c r="Y61" s="191"/>
      <c r="Z61" s="191"/>
      <c r="AA61" s="186"/>
    </row>
    <row r="62" spans="2:27" ht="15" customHeight="1" x14ac:dyDescent="0.25">
      <c r="B62" s="1" t="s">
        <v>868</v>
      </c>
      <c r="C62" s="185">
        <v>36061</v>
      </c>
      <c r="D62" s="199">
        <f ca="1">IF(C62 &lt;&gt; 0,ROUNDDOWN(($A$47-C62)/365.25,0),"")</f>
        <v>22</v>
      </c>
      <c r="E62" s="191">
        <v>85</v>
      </c>
      <c r="F62" s="191">
        <v>20</v>
      </c>
      <c r="G62" s="191">
        <v>10</v>
      </c>
      <c r="H62" s="199">
        <f>IF(B62&lt;&gt;0,F62+G62,"")</f>
        <v>30</v>
      </c>
      <c r="I62" s="191">
        <v>5</v>
      </c>
      <c r="J62" s="191">
        <v>67</v>
      </c>
      <c r="K62" s="191"/>
      <c r="L62" s="191" t="s">
        <v>78</v>
      </c>
      <c r="M62" s="191">
        <v>188</v>
      </c>
      <c r="N62" s="191">
        <v>72</v>
      </c>
      <c r="O62" s="199" t="str">
        <f>IF(B62&lt;&gt;0,CONCATENATE(E62+IFERROR(VLOOKUP(B62,$B$2:$N$36,4,FALSE),0) + X62, " OZ, ", H62+IFERROR(VLOOKUP(B62,$B$2:$N$36,9,FALSE),0) + Y62+Z62, " (", F62+IFERROR(VLOOKUP(B62,$B$2:$N$36,5,FALSE),0) + Y62, "+",G62+IFERROR(VLOOKUP(B62,$B$2:$N$36,8,FALSE),0) +  Z62, ")"), "")</f>
        <v>102 OZ, 33 (22+11)</v>
      </c>
      <c r="P62" s="199" t="str">
        <f>IF(M62&lt;&gt;0,CONCATENATE(M62,"/",N62),"")</f>
        <v>188/72</v>
      </c>
      <c r="Q62" s="192" t="s">
        <v>112</v>
      </c>
      <c r="R62" s="191">
        <v>2006</v>
      </c>
      <c r="S62" s="199" t="str">
        <f>IFERROR(CONCATENATE(E62+VLOOKUP(B62,$B$39:$R$42,4,FALSE), " OZ, ",G62+VLOOKUP(B62,$B$39:$R$42,13,FALSE), " A"),"")</f>
        <v/>
      </c>
      <c r="T62" s="1" t="str">
        <f>IF(B62&lt;&gt;0,IF(V62=1,U62,CONCATENATE(U62," ",W62,".")),"")</f>
        <v>Kořínek</v>
      </c>
      <c r="U62" s="1" t="str">
        <f>IFERROR(RIGHT(B62,LEN(B62)-SEARCH(" ", B62,1)),"")</f>
        <v>Kořínek</v>
      </c>
      <c r="V62" s="199">
        <f>IF(B62&lt;&gt;0,COUNTIF($U$48:$U$82,U62),"")</f>
        <v>1</v>
      </c>
      <c r="W62" s="199" t="str">
        <f>IFERROR(LEFT(LEFT(B62,SEARCH(" ",B62,1)),1),"")</f>
        <v>L</v>
      </c>
      <c r="X62" s="191"/>
      <c r="Y62" s="191"/>
      <c r="Z62" s="191"/>
      <c r="AA62" s="186"/>
    </row>
    <row r="63" spans="2:27" ht="15" customHeight="1" x14ac:dyDescent="0.25">
      <c r="B63" s="4" t="s">
        <v>875</v>
      </c>
      <c r="C63" s="185">
        <v>36022</v>
      </c>
      <c r="D63" s="199">
        <f ca="1">IF(C63 &lt;&gt; 0,ROUNDDOWN(($A$47-C63)/365.25,0),"")</f>
        <v>22</v>
      </c>
      <c r="E63" s="191">
        <v>25</v>
      </c>
      <c r="F63" s="191">
        <v>1</v>
      </c>
      <c r="G63" s="191">
        <v>2</v>
      </c>
      <c r="H63" s="199">
        <f>IF(B63&lt;&gt;0,F63+G63,"")</f>
        <v>3</v>
      </c>
      <c r="I63" s="191">
        <v>4</v>
      </c>
      <c r="J63" s="191">
        <v>13</v>
      </c>
      <c r="K63" s="191"/>
      <c r="L63" s="191" t="s">
        <v>41</v>
      </c>
      <c r="M63" s="191">
        <v>184</v>
      </c>
      <c r="N63" s="191">
        <v>103</v>
      </c>
      <c r="O63" s="199" t="str">
        <f>IF(B63&lt;&gt;0,CONCATENATE(E63+IFERROR(VLOOKUP(B63,$B$2:$N$36,4,FALSE),0) + X63, " OZ, ", H63+IFERROR(VLOOKUP(B63,$B$2:$N$36,9,FALSE),0) + Y63+Z63, " (", F63+IFERROR(VLOOKUP(B63,$B$2:$N$36,5,FALSE),0) + Y63, "+",G63+IFERROR(VLOOKUP(B63,$B$2:$N$36,8,FALSE),0) +  Z63, ")"), "")</f>
        <v>27 OZ, 3 (1+2)</v>
      </c>
      <c r="P63" s="199" t="str">
        <f>IF(M63&lt;&gt;0,CONCATENATE(M63,"/",N63),"")</f>
        <v>184/103</v>
      </c>
      <c r="Q63" s="192" t="s">
        <v>112</v>
      </c>
      <c r="R63" s="191" t="s">
        <v>30</v>
      </c>
      <c r="S63" s="199" t="str">
        <f>IFERROR(CONCATENATE(E63+VLOOKUP(B63,$B$39:$R$42,4,FALSE), " OZ, ",G63+VLOOKUP(B63,$B$39:$R$42,13,FALSE), " A"),"")</f>
        <v/>
      </c>
      <c r="T63" s="1" t="str">
        <f>IF(B63&lt;&gt;0,IF(V63=1,U63,CONCATENATE(U63," ",W63,".")),"")</f>
        <v>Leksa</v>
      </c>
      <c r="U63" s="1" t="str">
        <f>IFERROR(RIGHT(B63,LEN(B63)-SEARCH(" ", B63,1)),"")</f>
        <v>Leksa</v>
      </c>
      <c r="V63" s="199">
        <f>IF(B63&lt;&gt;0,COUNTIF($U$48:$U$82,U63),"")</f>
        <v>1</v>
      </c>
      <c r="W63" s="199" t="str">
        <f>IFERROR(LEFT(LEFT(B63,SEARCH(" ",B63,1)),1),"")</f>
        <v>T</v>
      </c>
      <c r="X63" s="191"/>
      <c r="Y63" s="191"/>
      <c r="Z63" s="191"/>
      <c r="AA63" s="186"/>
    </row>
    <row r="64" spans="2:27" ht="15" customHeight="1" x14ac:dyDescent="0.25">
      <c r="B64" s="1" t="s">
        <v>867</v>
      </c>
      <c r="C64" s="185">
        <v>36830</v>
      </c>
      <c r="D64" s="199">
        <f ca="1">IF(C64 &lt;&gt; 0,ROUNDDOWN(($A$47-C64)/365.25,0),"")</f>
        <v>20</v>
      </c>
      <c r="E64" s="191">
        <v>42</v>
      </c>
      <c r="F64" s="191">
        <v>16</v>
      </c>
      <c r="G64" s="191">
        <v>20</v>
      </c>
      <c r="H64" s="199">
        <f>IF(B64&lt;&gt;0,F64+G64,"")</f>
        <v>36</v>
      </c>
      <c r="I64" s="191">
        <v>4</v>
      </c>
      <c r="J64" s="191">
        <v>29</v>
      </c>
      <c r="K64" s="191"/>
      <c r="L64" s="191" t="s">
        <v>78</v>
      </c>
      <c r="M64" s="191">
        <v>182</v>
      </c>
      <c r="N64" s="191">
        <v>64</v>
      </c>
      <c r="O64" s="199" t="str">
        <f>IF(B64&lt;&gt;0,CONCATENATE(E64+IFERROR(VLOOKUP(B64,$B$2:$N$36,4,FALSE),0) + X64, " OZ, ", H64+IFERROR(VLOOKUP(B64,$B$2:$N$36,9,FALSE),0) + Y64+Z64, " (", F64+IFERROR(VLOOKUP(B64,$B$2:$N$36,5,FALSE),0) + Y64, "+",G64+IFERROR(VLOOKUP(B64,$B$2:$N$36,8,FALSE),0) +  Z64, ")"), "")</f>
        <v>55 OZ, 41 (19+22)</v>
      </c>
      <c r="P64" s="199" t="str">
        <f>IF(M64&lt;&gt;0,CONCATENATE(M64,"/",N64),"")</f>
        <v>182/64</v>
      </c>
      <c r="Q64" s="192" t="s">
        <v>949</v>
      </c>
      <c r="R64" s="191">
        <v>2007</v>
      </c>
      <c r="S64" s="199" t="str">
        <f>IFERROR(CONCATENATE(E64+VLOOKUP(B64,$B$39:$R$42,4,FALSE), " OZ, ",G64+VLOOKUP(B64,$B$39:$R$42,13,FALSE), " A"),"")</f>
        <v/>
      </c>
      <c r="T64" s="1" t="str">
        <f>IF(B64&lt;&gt;0,IF(V64=1,U64,CONCATENATE(U64," ",W64,".")),"")</f>
        <v>Lhota</v>
      </c>
      <c r="U64" s="1" t="str">
        <f>IFERROR(RIGHT(B64,LEN(B64)-SEARCH(" ", B64,1)),"")</f>
        <v>Lhota</v>
      </c>
      <c r="V64" s="199">
        <f>IF(B64&lt;&gt;0,COUNTIF($U$48:$U$82,U64),"")</f>
        <v>1</v>
      </c>
      <c r="W64" s="199" t="str">
        <f>IFERROR(LEFT(LEFT(B64,SEARCH(" ",B64,1)),1),"")</f>
        <v>L</v>
      </c>
      <c r="X64" s="191"/>
      <c r="Y64" s="191"/>
      <c r="Z64" s="191"/>
      <c r="AA64" s="186"/>
    </row>
    <row r="65" spans="2:27" ht="15" customHeight="1" x14ac:dyDescent="0.25">
      <c r="B65" s="4" t="s">
        <v>877</v>
      </c>
      <c r="C65" s="185">
        <v>36962</v>
      </c>
      <c r="D65" s="199">
        <f ca="1">IF(C65 &lt;&gt; 0,ROUNDDOWN(($A$47-C65)/365.25,0),"")</f>
        <v>19</v>
      </c>
      <c r="E65" s="191">
        <v>5</v>
      </c>
      <c r="F65" s="191">
        <v>0</v>
      </c>
      <c r="G65" s="191">
        <v>0</v>
      </c>
      <c r="H65" s="199">
        <f>IF(B65&lt;&gt;0,F65+G65,"")</f>
        <v>0</v>
      </c>
      <c r="I65" s="191">
        <v>3</v>
      </c>
      <c r="J65" s="191">
        <v>65</v>
      </c>
      <c r="K65" s="191"/>
      <c r="L65" s="191" t="s">
        <v>41</v>
      </c>
      <c r="M65" s="191">
        <v>170</v>
      </c>
      <c r="N65" s="191">
        <v>67</v>
      </c>
      <c r="O65" s="199" t="str">
        <f>IF(B65&lt;&gt;0,CONCATENATE(E65+IFERROR(VLOOKUP(B65,$B$2:$N$36,4,FALSE),0) + X65, " OZ, ", H65+IFERROR(VLOOKUP(B65,$B$2:$N$36,9,FALSE),0) + Y65+Z65, " (", F65+IFERROR(VLOOKUP(B65,$B$2:$N$36,5,FALSE),0) + Y65, "+",G65+IFERROR(VLOOKUP(B65,$B$2:$N$36,8,FALSE),0) +  Z65, ")"), "")</f>
        <v>14 OZ, 0 (0+0)</v>
      </c>
      <c r="P65" s="199" t="str">
        <f>IF(M65&lt;&gt;0,CONCATENATE(M65,"/",N65),"")</f>
        <v>170/67</v>
      </c>
      <c r="Q65" s="192" t="s">
        <v>951</v>
      </c>
      <c r="R65" s="191">
        <v>2006</v>
      </c>
      <c r="S65" s="199" t="str">
        <f>IFERROR(CONCATENATE(E65+VLOOKUP(B65,$B$39:$R$42,4,FALSE), " OZ, ",G65+VLOOKUP(B65,$B$39:$R$42,13,FALSE), " A"),"")</f>
        <v/>
      </c>
      <c r="T65" s="1" t="str">
        <f>IF(B65&lt;&gt;0,IF(V65=1,U65,CONCATENATE(U65," ",W65,".")),"")</f>
        <v>Martínek</v>
      </c>
      <c r="U65" s="1" t="str">
        <f>IFERROR(RIGHT(B65,LEN(B65)-SEARCH(" ", B65,1)),"")</f>
        <v>Martínek</v>
      </c>
      <c r="V65" s="199">
        <f>IF(B65&lt;&gt;0,COUNTIF($U$48:$U$82,U65),"")</f>
        <v>1</v>
      </c>
      <c r="W65" s="199" t="str">
        <f>IFERROR(LEFT(LEFT(B65,SEARCH(" ",B65,1)),1),"")</f>
        <v>D</v>
      </c>
      <c r="X65" s="191"/>
      <c r="Y65" s="191"/>
      <c r="Z65" s="191"/>
      <c r="AA65" s="186"/>
    </row>
    <row r="66" spans="2:27" ht="15" customHeight="1" x14ac:dyDescent="0.25">
      <c r="B66" s="4" t="s">
        <v>879</v>
      </c>
      <c r="C66" s="185">
        <v>35992</v>
      </c>
      <c r="D66" s="199">
        <f ca="1">IF(C66 &lt;&gt; 0,ROUNDDOWN(($A$47-C66)/365.25,0),"")</f>
        <v>22</v>
      </c>
      <c r="E66" s="191">
        <v>25</v>
      </c>
      <c r="F66" s="191">
        <v>0</v>
      </c>
      <c r="G66" s="191">
        <v>0</v>
      </c>
      <c r="H66" s="199">
        <f>IF(B66&lt;&gt;0,F66+G66,"")</f>
        <v>0</v>
      </c>
      <c r="I66" s="191">
        <v>3</v>
      </c>
      <c r="J66" s="191">
        <v>30</v>
      </c>
      <c r="K66" s="191"/>
      <c r="L66" s="191" t="s">
        <v>30</v>
      </c>
      <c r="M66" s="191">
        <v>185</v>
      </c>
      <c r="N66" s="191">
        <v>94</v>
      </c>
      <c r="O66" s="199" t="str">
        <f>IF(B66&lt;&gt;0,CONCATENATE(E66+IFERROR(VLOOKUP(B66,$B$2:$N$36,4,FALSE),0) + X66, " OZ, ", H66+IFERROR(VLOOKUP(B66,$B$2:$N$36,9,FALSE),0) + Y66+Z66, " (", F66+IFERROR(VLOOKUP(B66,$B$2:$N$36,5,FALSE),0) + Y66, "+",G66+IFERROR(VLOOKUP(B66,$B$2:$N$36,8,FALSE),0) +  Z66, ")"), "")</f>
        <v>25 OZ, 0 (0+0)</v>
      </c>
      <c r="P66" s="199" t="str">
        <f>IF(M66&lt;&gt;0,CONCATENATE(M66,"/",N66),"")</f>
        <v>185/94</v>
      </c>
      <c r="Q66" s="192" t="s">
        <v>953</v>
      </c>
      <c r="R66" s="191">
        <v>2007</v>
      </c>
      <c r="S66" s="199" t="str">
        <f>IFERROR(CONCATENATE(E66+VLOOKUP(B66,$B$39:$R$42,4,FALSE), " OZ, ",G66+VLOOKUP(B66,$B$39:$R$42,13,FALSE), " A"),"")</f>
        <v>45 OZ, 0 A</v>
      </c>
      <c r="T66" s="1" t="str">
        <f>IF(B66&lt;&gt;0,IF(V66=1,U66,CONCATENATE(U66," ",W66,".")),"")</f>
        <v>Mück</v>
      </c>
      <c r="U66" s="1" t="str">
        <f>IFERROR(RIGHT(B66,LEN(B66)-SEARCH(" ", B66,1)),"")</f>
        <v>Mück</v>
      </c>
      <c r="V66" s="199">
        <f>IF(B66&lt;&gt;0,COUNTIF($U$48:$U$82,U66),"")</f>
        <v>1</v>
      </c>
      <c r="W66" s="199" t="str">
        <f>IFERROR(LEFT(LEFT(B66,SEARCH(" ",B66,1)),1),"")</f>
        <v>D</v>
      </c>
      <c r="X66" s="191"/>
      <c r="Y66" s="191"/>
      <c r="Z66" s="191"/>
      <c r="AA66" s="186"/>
    </row>
    <row r="67" spans="2:27" ht="15" customHeight="1" x14ac:dyDescent="0.25">
      <c r="B67" s="4" t="s">
        <v>878</v>
      </c>
      <c r="C67" s="185">
        <v>30929</v>
      </c>
      <c r="D67" s="199">
        <f ca="1">IF(C67 &lt;&gt; 0,ROUNDDOWN(($A$47-C67)/365.25,0),"")</f>
        <v>36</v>
      </c>
      <c r="E67" s="191">
        <v>107</v>
      </c>
      <c r="F67" s="191">
        <v>0</v>
      </c>
      <c r="G67" s="191">
        <v>7</v>
      </c>
      <c r="H67" s="199">
        <f>IF(B67&lt;&gt;0,F67+G67,"")</f>
        <v>7</v>
      </c>
      <c r="I67" s="191">
        <v>10</v>
      </c>
      <c r="J67" s="191">
        <v>33</v>
      </c>
      <c r="K67" s="191"/>
      <c r="L67" s="191" t="s">
        <v>30</v>
      </c>
      <c r="M67" s="191">
        <v>172</v>
      </c>
      <c r="N67" s="191">
        <v>72</v>
      </c>
      <c r="O67" s="199" t="str">
        <f>IF(B67&lt;&gt;0,CONCATENATE(E67+IFERROR(VLOOKUP(B67,$B$2:$N$36,4,FALSE),0) + X67, " OZ, ", H67+IFERROR(VLOOKUP(B67,$B$2:$N$36,9,FALSE),0) + Y67+Z67, " (", F67+IFERROR(VLOOKUP(B67,$B$2:$N$36,5,FALSE),0) + Y67, "+",G67+IFERROR(VLOOKUP(B67,$B$2:$N$36,8,FALSE),0) +  Z67, ")"), "")</f>
        <v>107 OZ, 7 (0+7)</v>
      </c>
      <c r="P67" s="199" t="str">
        <f>IF(M67&lt;&gt;0,CONCATENATE(M67,"/",N67),"")</f>
        <v>172/72</v>
      </c>
      <c r="Q67" s="192" t="s">
        <v>952</v>
      </c>
      <c r="R67" s="191">
        <v>2003</v>
      </c>
      <c r="S67" s="199" t="str">
        <f>IFERROR(CONCATENATE(E67+VLOOKUP(B67,$B$39:$R$42,4,FALSE), " OZ, ",G67+VLOOKUP(B67,$B$39:$R$42,13,FALSE), " A"),"")</f>
        <v>115 OZ, 7 A</v>
      </c>
      <c r="T67" s="1" t="str">
        <f>IF(B67&lt;&gt;0,IF(V67=1,U67,CONCATENATE(U67," ",W67,".")),"")</f>
        <v>Ponomarev</v>
      </c>
      <c r="U67" s="1" t="str">
        <f>IFERROR(RIGHT(B67,LEN(B67)-SEARCH(" ", B67,1)),"")</f>
        <v>Ponomarev</v>
      </c>
      <c r="V67" s="199">
        <f>IF(B67&lt;&gt;0,COUNTIF($U$48:$U$82,U67),"")</f>
        <v>1</v>
      </c>
      <c r="W67" s="199" t="str">
        <f>IFERROR(LEFT(LEFT(B67,SEARCH(" ",B67,1)),1),"")</f>
        <v>I</v>
      </c>
      <c r="X67" s="191"/>
      <c r="Y67" s="191"/>
      <c r="Z67" s="191"/>
      <c r="AA67" s="186"/>
    </row>
    <row r="68" spans="2:27" ht="15" customHeight="1" x14ac:dyDescent="0.25">
      <c r="B68" s="1" t="s">
        <v>862</v>
      </c>
      <c r="C68" s="185">
        <v>36449</v>
      </c>
      <c r="D68" s="199">
        <f ca="1">IF(C68 &lt;&gt; 0,ROUNDDOWN(($A$47-C68)/365.25,0),"")</f>
        <v>21</v>
      </c>
      <c r="E68" s="191">
        <v>50</v>
      </c>
      <c r="F68" s="191">
        <v>18</v>
      </c>
      <c r="G68" s="191">
        <v>16</v>
      </c>
      <c r="H68" s="199">
        <f>IF(B68&lt;&gt;0,F68+G68,"")</f>
        <v>34</v>
      </c>
      <c r="I68" s="191">
        <v>3</v>
      </c>
      <c r="J68" s="191">
        <v>22</v>
      </c>
      <c r="K68" s="191"/>
      <c r="L68" s="191" t="s">
        <v>78</v>
      </c>
      <c r="M68" s="191">
        <v>164</v>
      </c>
      <c r="N68" s="191">
        <v>60</v>
      </c>
      <c r="O68" s="199" t="str">
        <f>IF(B68&lt;&gt;0,CONCATENATE(E68+IFERROR(VLOOKUP(B68,$B$2:$N$36,4,FALSE),0) + X68, " OZ, ", H68+IFERROR(VLOOKUP(B68,$B$2:$N$36,9,FALSE),0) + Y68+Z68, " (", F68+IFERROR(VLOOKUP(B68,$B$2:$N$36,5,FALSE),0) + Y68, "+",G68+IFERROR(VLOOKUP(B68,$B$2:$N$36,8,FALSE),0) +  Z68, ")"), "")</f>
        <v>72 OZ, 43 (23+20)</v>
      </c>
      <c r="P68" s="199" t="str">
        <f>IF(M68&lt;&gt;0,CONCATENATE(M68,"/",N68),"")</f>
        <v>164/60</v>
      </c>
      <c r="Q68" s="192" t="s">
        <v>947</v>
      </c>
      <c r="R68" s="191">
        <v>2008</v>
      </c>
      <c r="S68" s="199" t="str">
        <f>IFERROR(CONCATENATE(E68+VLOOKUP(B68,$B$39:$R$42,4,FALSE), " OZ, ",G68+VLOOKUP(B68,$B$39:$R$42,13,FALSE), " A"),"")</f>
        <v/>
      </c>
      <c r="T68" s="1" t="str">
        <f>IF(B68&lt;&gt;0,IF(V68=1,U68,CONCATENATE(U68," ",W68,".")),"")</f>
        <v>Rozkovec</v>
      </c>
      <c r="U68" s="1" t="str">
        <f>IFERROR(RIGHT(B68,LEN(B68)-SEARCH(" ", B68,1)),"")</f>
        <v>Rozkovec</v>
      </c>
      <c r="V68" s="199">
        <f>IF(B68&lt;&gt;0,COUNTIF($U$48:$U$82,U68),"")</f>
        <v>1</v>
      </c>
      <c r="W68" s="199" t="str">
        <f>IFERROR(LEFT(LEFT(B68,SEARCH(" ",B68,1)),1),"")</f>
        <v>P</v>
      </c>
      <c r="X68" s="191"/>
      <c r="Y68" s="191"/>
      <c r="Z68" s="191"/>
      <c r="AA68" s="186"/>
    </row>
    <row r="69" spans="2:27" ht="15" customHeight="1" x14ac:dyDescent="0.25">
      <c r="B69" s="1" t="s">
        <v>873</v>
      </c>
      <c r="C69" s="185">
        <v>31222</v>
      </c>
      <c r="D69" s="199">
        <f ca="1">IF(C69 &lt;&gt; 0,ROUNDDOWN(($A$47-C69)/365.25,0),"")</f>
        <v>35</v>
      </c>
      <c r="E69" s="191">
        <v>324</v>
      </c>
      <c r="F69" s="191">
        <v>191</v>
      </c>
      <c r="G69" s="191">
        <v>258</v>
      </c>
      <c r="H69" s="199">
        <f>IF(B69&lt;&gt;0,F69+G69,"")</f>
        <v>449</v>
      </c>
      <c r="I69" s="191">
        <v>17</v>
      </c>
      <c r="J69" s="191">
        <v>10</v>
      </c>
      <c r="K69" s="191"/>
      <c r="L69" s="191" t="s">
        <v>78</v>
      </c>
      <c r="M69" s="191">
        <v>181</v>
      </c>
      <c r="N69" s="191">
        <v>79</v>
      </c>
      <c r="O69" s="199" t="str">
        <f>IF(B69&lt;&gt;0,CONCATENATE(E69+IFERROR(VLOOKUP(B69,$B$2:$N$36,4,FALSE),0) + X69, " OZ, ", H69+IFERROR(VLOOKUP(B69,$B$2:$N$36,9,FALSE),0) + Y69+Z69, " (", F69+IFERROR(VLOOKUP(B69,$B$2:$N$36,5,FALSE),0) + Y69, "+",G69+IFERROR(VLOOKUP(B69,$B$2:$N$36,8,FALSE),0) +  Z69, ")"), "")</f>
        <v>329 OZ, 451 (191+260)</v>
      </c>
      <c r="P69" s="199" t="str">
        <f>IF(M69&lt;&gt;0,CONCATENATE(M69,"/",N69),"")</f>
        <v>181/79</v>
      </c>
      <c r="Q69" s="192" t="s">
        <v>950</v>
      </c>
      <c r="R69" s="191">
        <v>2000</v>
      </c>
      <c r="S69" s="199" t="str">
        <f>IFERROR(CONCATENATE(E69+VLOOKUP(B69,$B$39:$R$42,4,FALSE), " OZ, ",G69+VLOOKUP(B69,$B$39:$R$42,13,FALSE), " A"),"")</f>
        <v/>
      </c>
      <c r="T69" s="1" t="str">
        <f>IF(B69&lt;&gt;0,IF(V69=1,U69,CONCATENATE(U69," ",W69,".")),"")</f>
        <v>Salát</v>
      </c>
      <c r="U69" s="1" t="str">
        <f>IFERROR(RIGHT(B69,LEN(B69)-SEARCH(" ", B69,1)),"")</f>
        <v>Salát</v>
      </c>
      <c r="V69" s="199">
        <f>IF(B69&lt;&gt;0,COUNTIF($U$48:$U$82,U69),"")</f>
        <v>1</v>
      </c>
      <c r="W69" s="199" t="str">
        <f>IFERROR(LEFT(LEFT(B69,SEARCH(" ",B69,1)),1),"")</f>
        <v>P</v>
      </c>
      <c r="X69" s="191"/>
      <c r="Y69" s="191"/>
      <c r="Z69" s="191"/>
      <c r="AA69" s="186"/>
    </row>
    <row r="70" spans="2:27" ht="15" customHeight="1" x14ac:dyDescent="0.25">
      <c r="B70" s="1" t="s">
        <v>861</v>
      </c>
      <c r="C70" s="185">
        <v>37818</v>
      </c>
      <c r="D70" s="199">
        <f ca="1">IF(C70 &lt;&gt; 0,ROUNDDOWN(($A$47-C70)/365.25,0),"")</f>
        <v>17</v>
      </c>
      <c r="E70" s="191">
        <v>0</v>
      </c>
      <c r="F70" s="191">
        <v>0</v>
      </c>
      <c r="G70" s="191">
        <v>0</v>
      </c>
      <c r="H70" s="199">
        <f>IF(B70&lt;&gt;0,F70+G70,"")</f>
        <v>0</v>
      </c>
      <c r="I70" s="191">
        <v>1</v>
      </c>
      <c r="J70" s="191">
        <v>28</v>
      </c>
      <c r="K70" s="191"/>
      <c r="L70" s="191" t="s">
        <v>78</v>
      </c>
      <c r="M70" s="191">
        <v>187</v>
      </c>
      <c r="N70" s="191">
        <v>83</v>
      </c>
      <c r="O70" s="199" t="str">
        <f>IF(B70&lt;&gt;0,CONCATENATE(E70+IFERROR(VLOOKUP(B70,$B$2:$N$36,4,FALSE),0) + X70, " OZ, ", H70+IFERROR(VLOOKUP(B70,$B$2:$N$36,9,FALSE),0) + Y70+Z70, " (", F70+IFERROR(VLOOKUP(B70,$B$2:$N$36,5,FALSE),0) + Y70, "+",G70+IFERROR(VLOOKUP(B70,$B$2:$N$36,8,FALSE),0) +  Z70, ")"), "")</f>
        <v>16 OZ, 11 (7+4)</v>
      </c>
      <c r="P70" s="199" t="str">
        <f>IF(M70&lt;&gt;0,CONCATENATE(M70,"/",N70),"")</f>
        <v>187/83</v>
      </c>
      <c r="Q70" s="192" t="s">
        <v>946</v>
      </c>
      <c r="R70" s="191">
        <v>2010</v>
      </c>
      <c r="S70" s="199" t="str">
        <f>IFERROR(CONCATENATE(E70+VLOOKUP(B70,$B$39:$R$42,4,FALSE), " OZ, ",G70+VLOOKUP(B70,$B$39:$R$42,13,FALSE), " A"),"")</f>
        <v/>
      </c>
      <c r="T70" s="1" t="str">
        <f>IF(B70&lt;&gt;0,IF(V70=1,U70,CONCATENATE(U70," ",W70,".")),"")</f>
        <v>Stránský</v>
      </c>
      <c r="U70" s="1" t="str">
        <f>IFERROR(RIGHT(B70,LEN(B70)-SEARCH(" ", B70,1)),"")</f>
        <v>Stránský</v>
      </c>
      <c r="V70" s="199">
        <f>IF(B70&lt;&gt;0,COUNTIF($U$48:$U$82,U70),"")</f>
        <v>1</v>
      </c>
      <c r="W70" s="199" t="str">
        <f>IFERROR(LEFT(LEFT(B70,SEARCH(" ",B70,1)),1),"")</f>
        <v>Š</v>
      </c>
      <c r="X70" s="191"/>
      <c r="Y70" s="191"/>
      <c r="Z70" s="191"/>
      <c r="AA70" s="186"/>
    </row>
    <row r="71" spans="2:27" ht="15" customHeight="1" x14ac:dyDescent="0.25">
      <c r="B71" s="1" t="s">
        <v>859</v>
      </c>
      <c r="C71" s="185">
        <v>35909</v>
      </c>
      <c r="D71" s="199">
        <f ca="1">IF(C71 &lt;&gt; 0,ROUNDDOWN(($A$47-C71)/365.25,0),"")</f>
        <v>22</v>
      </c>
      <c r="E71" s="191">
        <v>16</v>
      </c>
      <c r="F71" s="191">
        <v>5</v>
      </c>
      <c r="G71" s="191">
        <v>6</v>
      </c>
      <c r="H71" s="199">
        <f>IF(B71&lt;&gt;0,F71+G71,"")</f>
        <v>11</v>
      </c>
      <c r="I71" s="191">
        <v>2</v>
      </c>
      <c r="J71" s="191">
        <v>90</v>
      </c>
      <c r="K71" s="191"/>
      <c r="L71" s="191" t="s">
        <v>78</v>
      </c>
      <c r="M71" s="191">
        <v>187</v>
      </c>
      <c r="N71" s="191">
        <v>82</v>
      </c>
      <c r="O71" s="199" t="str">
        <f>IF(B71&lt;&gt;0,CONCATENATE(E71+IFERROR(VLOOKUP(B71,$B$2:$N$36,4,FALSE),0) + X71, " OZ, ", H71+IFERROR(VLOOKUP(B71,$B$2:$N$36,9,FALSE),0) + Y71+Z71, " (", F71+IFERROR(VLOOKUP(B71,$B$2:$N$36,5,FALSE),0) + Y71, "+",G71+IFERROR(VLOOKUP(B71,$B$2:$N$36,8,FALSE),0) +  Z71, ")"), "")</f>
        <v>38 OZ, 25 (15+10)</v>
      </c>
      <c r="P71" s="199" t="str">
        <f>IF(M71&lt;&gt;0,CONCATENATE(M71,"/",N71),"")</f>
        <v>187/82</v>
      </c>
      <c r="Q71" s="192" t="s">
        <v>944</v>
      </c>
      <c r="R71" s="191">
        <v>2014</v>
      </c>
      <c r="S71" s="199" t="str">
        <f>IFERROR(CONCATENATE(E71+VLOOKUP(B71,$B$39:$R$42,4,FALSE), " OZ, ",G71+VLOOKUP(B71,$B$39:$R$42,13,FALSE), " A"),"")</f>
        <v/>
      </c>
      <c r="T71" s="1" t="str">
        <f>IF(B71&lt;&gt;0,IF(V71=1,U71,CONCATENATE(U71," ",W71,".")),"")</f>
        <v>Světlík</v>
      </c>
      <c r="U71" s="1" t="str">
        <f>IFERROR(RIGHT(B71,LEN(B71)-SEARCH(" ", B71,1)),"")</f>
        <v>Světlík</v>
      </c>
      <c r="V71" s="199">
        <f>IF(B71&lt;&gt;0,COUNTIF($U$48:$U$82,U71),"")</f>
        <v>1</v>
      </c>
      <c r="W71" s="199" t="str">
        <f>IFERROR(LEFT(LEFT(B71,SEARCH(" ",B71,1)),1),"")</f>
        <v>J</v>
      </c>
      <c r="X71" s="191"/>
      <c r="Y71" s="191"/>
      <c r="Z71" s="191"/>
      <c r="AA71" s="186"/>
    </row>
    <row r="72" spans="2:27" ht="15" customHeight="1" x14ac:dyDescent="0.25">
      <c r="B72" s="1" t="s">
        <v>863</v>
      </c>
      <c r="C72" s="185">
        <v>36067</v>
      </c>
      <c r="D72" s="199">
        <f ca="1">IF(C72 &lt;&gt; 0,ROUNDDOWN(($A$47-C72)/365.25,0),"")</f>
        <v>22</v>
      </c>
      <c r="E72" s="191">
        <v>70</v>
      </c>
      <c r="F72" s="191">
        <v>12</v>
      </c>
      <c r="G72" s="191">
        <v>8</v>
      </c>
      <c r="H72" s="199">
        <f>IF(B72&lt;&gt;0,F72+G72,"")</f>
        <v>20</v>
      </c>
      <c r="I72" s="191">
        <v>5</v>
      </c>
      <c r="J72" s="191">
        <v>61</v>
      </c>
      <c r="K72" s="191"/>
      <c r="L72" s="191" t="s">
        <v>78</v>
      </c>
      <c r="M72" s="191">
        <v>177</v>
      </c>
      <c r="N72" s="191">
        <v>74</v>
      </c>
      <c r="O72" s="199" t="str">
        <f>IF(B72&lt;&gt;0,CONCATENATE(E72+IFERROR(VLOOKUP(B72,$B$2:$N$36,4,FALSE),0) + X72, " OZ, ", H72+IFERROR(VLOOKUP(B72,$B$2:$N$36,9,FALSE),0) + Y72+Z72, " (", F72+IFERROR(VLOOKUP(B72,$B$2:$N$36,5,FALSE),0) + Y72, "+",G72+IFERROR(VLOOKUP(B72,$B$2:$N$36,8,FALSE),0) +  Z72, ")"), "")</f>
        <v>91 OZ, 28 (19+9)</v>
      </c>
      <c r="P72" s="199" t="str">
        <f>IF(M72&lt;&gt;0,CONCATENATE(M72,"/",N72),"")</f>
        <v>177/74</v>
      </c>
      <c r="Q72" s="192" t="s">
        <v>112</v>
      </c>
      <c r="R72" s="191">
        <v>2011</v>
      </c>
      <c r="S72" s="199" t="str">
        <f>IFERROR(CONCATENATE(E72+VLOOKUP(B72,$B$39:$R$42,4,FALSE), " OZ, ",G72+VLOOKUP(B72,$B$39:$R$42,13,FALSE), " A"),"")</f>
        <v/>
      </c>
      <c r="T72" s="1" t="str">
        <f>IF(B72&lt;&gt;0,IF(V72=1,U72,CONCATENATE(U72," ",W72,".")),"")</f>
        <v>Šoltys</v>
      </c>
      <c r="U72" s="1" t="str">
        <f>IFERROR(RIGHT(B72,LEN(B72)-SEARCH(" ", B72,1)),"")</f>
        <v>Šoltys</v>
      </c>
      <c r="V72" s="199">
        <f>IF(B72&lt;&gt;0,COUNTIF($U$48:$U$82,U72),"")</f>
        <v>1</v>
      </c>
      <c r="W72" s="199" t="str">
        <f>IFERROR(LEFT(LEFT(B72,SEARCH(" ",B72,1)),1),"")</f>
        <v>J</v>
      </c>
      <c r="X72" s="191"/>
      <c r="Y72" s="191"/>
      <c r="Z72" s="191"/>
      <c r="AA72" s="186"/>
    </row>
    <row r="73" spans="2:27" ht="15" customHeight="1" x14ac:dyDescent="0.25">
      <c r="B73" s="4" t="s">
        <v>853</v>
      </c>
      <c r="C73" s="185">
        <v>34624</v>
      </c>
      <c r="D73" s="199">
        <f ca="1">IF(C73 &lt;&gt; 0,ROUNDDOWN(($A$47-C73)/365.25,0),"")</f>
        <v>26</v>
      </c>
      <c r="E73" s="191">
        <v>165</v>
      </c>
      <c r="F73" s="191">
        <v>145</v>
      </c>
      <c r="G73" s="191">
        <v>121</v>
      </c>
      <c r="H73" s="199">
        <f>IF(B73&lt;&gt;0,F73+G73,"")</f>
        <v>266</v>
      </c>
      <c r="I73" s="191">
        <v>9</v>
      </c>
      <c r="J73" s="191">
        <v>9</v>
      </c>
      <c r="K73" s="191"/>
      <c r="L73" s="191" t="s">
        <v>78</v>
      </c>
      <c r="M73" s="191">
        <v>187</v>
      </c>
      <c r="N73" s="191">
        <v>76</v>
      </c>
      <c r="O73" s="199" t="str">
        <f>IF(B73&lt;&gt;0,CONCATENATE(E73+IFERROR(VLOOKUP(B73,$B$2:$N$36,4,FALSE),0) + X73, " OZ, ", H73+IFERROR(VLOOKUP(B73,$B$2:$N$36,9,FALSE),0) + Y73+Z73, " (", F73+IFERROR(VLOOKUP(B73,$B$2:$N$36,5,FALSE),0) + Y73, "+",G73+IFERROR(VLOOKUP(B73,$B$2:$N$36,8,FALSE),0) +  Z73, ")"), "")</f>
        <v>186 OZ, 297 (162+135)</v>
      </c>
      <c r="P73" s="199" t="str">
        <f>IF(M73&lt;&gt;0,CONCATENATE(M73,"/",N73),"")</f>
        <v>187/76</v>
      </c>
      <c r="Q73" s="192" t="s">
        <v>112</v>
      </c>
      <c r="R73" s="191">
        <v>2002</v>
      </c>
      <c r="S73" s="199" t="str">
        <f>IFERROR(CONCATENATE(E73+VLOOKUP(B73,$B$39:$R$42,4,FALSE), " OZ, ",G73+VLOOKUP(B73,$B$39:$R$42,13,FALSE), " A"),"")</f>
        <v/>
      </c>
      <c r="T73" s="1" t="str">
        <f>IF(B73&lt;&gt;0,IF(V73=1,U73,CONCATENATE(U73," ",W73,".")),"")</f>
        <v>Valeš</v>
      </c>
      <c r="U73" s="1" t="str">
        <f>IFERROR(RIGHT(B73,LEN(B73)-SEARCH(" ", B73,1)),"")</f>
        <v>Valeš</v>
      </c>
      <c r="V73" s="199">
        <f>IF(B73&lt;&gt;0,COUNTIF($U$48:$U$82,U73),"")</f>
        <v>1</v>
      </c>
      <c r="W73" s="199" t="str">
        <f>IFERROR(LEFT(LEFT(B73,SEARCH(" ",B73,1)),1),"")</f>
        <v>R</v>
      </c>
      <c r="X73" s="191"/>
      <c r="Y73" s="191"/>
      <c r="Z73" s="191"/>
      <c r="AA73" s="186"/>
    </row>
    <row r="74" spans="2:27" ht="15" customHeight="1" x14ac:dyDescent="0.25">
      <c r="B74" s="1" t="s">
        <v>857</v>
      </c>
      <c r="C74" s="185">
        <v>37710</v>
      </c>
      <c r="D74" s="199">
        <f ca="1">IF(C74 &lt;&gt; 0,ROUNDDOWN(($A$47-C74)/365.25,0),"")</f>
        <v>17</v>
      </c>
      <c r="E74" s="191">
        <v>0</v>
      </c>
      <c r="F74" s="191">
        <v>0</v>
      </c>
      <c r="G74" s="191">
        <v>0</v>
      </c>
      <c r="H74" s="199">
        <f>IF(B74&lt;&gt;0,F74+G74,"")</f>
        <v>0</v>
      </c>
      <c r="I74" s="191">
        <v>1</v>
      </c>
      <c r="J74" s="191">
        <v>73</v>
      </c>
      <c r="K74" s="191"/>
      <c r="L74" s="191" t="s">
        <v>78</v>
      </c>
      <c r="M74" s="191">
        <v>178</v>
      </c>
      <c r="N74" s="191">
        <v>70</v>
      </c>
      <c r="O74" s="199" t="str">
        <f>IF(B74&lt;&gt;0,CONCATENATE(E74+IFERROR(VLOOKUP(B74,$B$2:$N$36,4,FALSE),0) + X74, " OZ, ", H74+IFERROR(VLOOKUP(B74,$B$2:$N$36,9,FALSE),0) + Y74+Z74, " (", F74+IFERROR(VLOOKUP(B74,$B$2:$N$36,5,FALSE),0) + Y74, "+",G74+IFERROR(VLOOKUP(B74,$B$2:$N$36,8,FALSE),0) +  Z74, ")"), "")</f>
        <v>19 OZ, 18 (6+12)</v>
      </c>
      <c r="P74" s="199" t="str">
        <f>IF(M74&lt;&gt;0,CONCATENATE(M74,"/",N74),"")</f>
        <v>178/70</v>
      </c>
      <c r="Q74" s="192" t="s">
        <v>112</v>
      </c>
      <c r="R74" s="191">
        <v>2010</v>
      </c>
      <c r="S74" s="199" t="str">
        <f>IFERROR(CONCATENATE(E74+VLOOKUP(B74,$B$39:$R$42,4,FALSE), " OZ, ",G74+VLOOKUP(B74,$B$39:$R$42,13,FALSE), " A"),"")</f>
        <v/>
      </c>
      <c r="T74" s="1" t="str">
        <f>IF(B74&lt;&gt;0,IF(V74=1,U74,CONCATENATE(U74," ",W74,".")),"")</f>
        <v>Wiener</v>
      </c>
      <c r="U74" s="1" t="str">
        <f>IFERROR(RIGHT(B74,LEN(B74)-SEARCH(" ", B74,1)),"")</f>
        <v>Wiener</v>
      </c>
      <c r="V74" s="199">
        <f>IF(B74&lt;&gt;0,COUNTIF($U$48:$U$82,U74),"")</f>
        <v>1</v>
      </c>
      <c r="W74" s="199" t="str">
        <f>IFERROR(LEFT(LEFT(B74,SEARCH(" ",B74,1)),1),"")</f>
        <v>V</v>
      </c>
      <c r="X74" s="191"/>
      <c r="Y74" s="191"/>
      <c r="Z74" s="191"/>
      <c r="AA74" s="186"/>
    </row>
    <row r="75" spans="2:27" ht="15" customHeight="1" x14ac:dyDescent="0.25">
      <c r="B75" s="4"/>
      <c r="C75" s="185"/>
      <c r="D75" s="199" t="str">
        <f t="shared" ref="D48:D82" si="5">IF(C75 &lt;&gt; 0,ROUNDDOWN(($A$47-C75)/365.25,0),"")</f>
        <v/>
      </c>
      <c r="E75" s="191"/>
      <c r="F75" s="191"/>
      <c r="G75" s="191"/>
      <c r="H75" s="199" t="str">
        <f t="shared" ref="H48:H82" si="6">IF(B75&lt;&gt;0,F75+G75,"")</f>
        <v/>
      </c>
      <c r="I75" s="191"/>
      <c r="J75" s="191"/>
      <c r="K75" s="191"/>
      <c r="L75" s="191"/>
      <c r="M75" s="191"/>
      <c r="N75" s="191"/>
      <c r="O75" s="199" t="str">
        <f t="shared" ref="O48:O82" si="7">IF(B75&lt;&gt;0,CONCATENATE(E75+IFERROR(VLOOKUP(B75,$B$2:$N$36,4,FALSE),0) + X75, " OZ, ", H75+IFERROR(VLOOKUP(B75,$B$2:$N$36,9,FALSE),0) + Y75+Z75, " (", F75+IFERROR(VLOOKUP(B75,$B$2:$N$36,5,FALSE),0) + Y75, "+",G75+IFERROR(VLOOKUP(B75,$B$2:$N$36,8,FALSE),0) +  Z75, ")"), "")</f>
        <v/>
      </c>
      <c r="P75" s="199" t="str">
        <f t="shared" ref="P48:P82" si="8">IF(M75&lt;&gt;0,CONCATENATE(M75,"/",N75),"")</f>
        <v/>
      </c>
      <c r="Q75" s="192"/>
      <c r="R75" s="191"/>
      <c r="S75" s="199" t="str">
        <f t="shared" ref="S48:S82" si="9">IFERROR(CONCATENATE(E75+VLOOKUP(B75,$B$39:$R$42,4,FALSE), " OZ, ",G75+VLOOKUP(B75,$B$39:$R$42,13,FALSE), " A"),"")</f>
        <v/>
      </c>
      <c r="T75" s="1" t="str">
        <f t="shared" ref="T48:T82" si="10">IF(B75&lt;&gt;0,IF(V75=1,U75,CONCATENATE(U75," ",W75,".")),"")</f>
        <v/>
      </c>
      <c r="U75" s="1" t="str">
        <f t="shared" ref="U48:U82" si="11">IFERROR(RIGHT(B75,LEN(B75)-SEARCH(" ", B75,1)),"")</f>
        <v/>
      </c>
      <c r="V75" s="199" t="str">
        <f t="shared" ref="V48:V82" si="12">IF(B75&lt;&gt;0,COUNTIF($U$48:$U$82,U75),"")</f>
        <v/>
      </c>
      <c r="W75" s="199" t="str">
        <f t="shared" ref="W48:W82" si="13">IFERROR(LEFT(LEFT(B75,SEARCH(" ",B75,1)),1),"")</f>
        <v/>
      </c>
      <c r="X75" s="191"/>
      <c r="Y75" s="191"/>
      <c r="Z75" s="191"/>
      <c r="AA75" s="186"/>
    </row>
    <row r="76" spans="2:27" ht="15" customHeight="1" x14ac:dyDescent="0.25">
      <c r="C76" s="185"/>
      <c r="D76" s="199" t="str">
        <f t="shared" si="5"/>
        <v/>
      </c>
      <c r="E76" s="191"/>
      <c r="F76" s="191"/>
      <c r="G76" s="191"/>
      <c r="H76" s="199" t="str">
        <f t="shared" si="6"/>
        <v/>
      </c>
      <c r="I76" s="191"/>
      <c r="J76" s="191"/>
      <c r="K76" s="191"/>
      <c r="L76" s="191"/>
      <c r="M76" s="191"/>
      <c r="N76" s="191"/>
      <c r="O76" s="199" t="str">
        <f t="shared" si="7"/>
        <v/>
      </c>
      <c r="P76" s="199" t="str">
        <f t="shared" si="8"/>
        <v/>
      </c>
      <c r="Q76" s="192"/>
      <c r="R76" s="191"/>
      <c r="S76" s="199" t="str">
        <f t="shared" si="9"/>
        <v/>
      </c>
      <c r="T76" s="1" t="str">
        <f t="shared" si="10"/>
        <v/>
      </c>
      <c r="U76" s="1" t="str">
        <f t="shared" si="11"/>
        <v/>
      </c>
      <c r="V76" s="199" t="str">
        <f t="shared" si="12"/>
        <v/>
      </c>
      <c r="W76" s="199" t="str">
        <f t="shared" si="13"/>
        <v/>
      </c>
      <c r="X76" s="191"/>
      <c r="Y76" s="191"/>
      <c r="Z76" s="191"/>
      <c r="AA76" s="186"/>
    </row>
    <row r="77" spans="2:27" ht="15" customHeight="1" x14ac:dyDescent="0.25">
      <c r="C77" s="185"/>
      <c r="D77" s="199" t="str">
        <f t="shared" si="5"/>
        <v/>
      </c>
      <c r="E77" s="191"/>
      <c r="F77" s="191"/>
      <c r="G77" s="191"/>
      <c r="H77" s="199" t="str">
        <f t="shared" si="6"/>
        <v/>
      </c>
      <c r="I77" s="191"/>
      <c r="J77" s="191"/>
      <c r="K77" s="191"/>
      <c r="L77" s="191"/>
      <c r="M77" s="191"/>
      <c r="N77" s="191"/>
      <c r="O77" s="199" t="str">
        <f t="shared" si="7"/>
        <v/>
      </c>
      <c r="P77" s="199" t="str">
        <f t="shared" si="8"/>
        <v/>
      </c>
      <c r="Q77" s="192"/>
      <c r="R77" s="191"/>
      <c r="S77" s="199" t="str">
        <f t="shared" si="9"/>
        <v/>
      </c>
      <c r="T77" s="1" t="str">
        <f t="shared" si="10"/>
        <v/>
      </c>
      <c r="U77" s="1" t="str">
        <f t="shared" si="11"/>
        <v/>
      </c>
      <c r="V77" s="199" t="str">
        <f t="shared" si="12"/>
        <v/>
      </c>
      <c r="W77" s="199" t="str">
        <f t="shared" si="13"/>
        <v/>
      </c>
      <c r="X77" s="191"/>
      <c r="Y77" s="191"/>
      <c r="Z77" s="191"/>
      <c r="AA77" s="186"/>
    </row>
    <row r="78" spans="2:27" ht="15" customHeight="1" x14ac:dyDescent="0.25">
      <c r="C78" s="185"/>
      <c r="D78" s="199" t="str">
        <f t="shared" si="5"/>
        <v/>
      </c>
      <c r="E78" s="191"/>
      <c r="F78" s="191"/>
      <c r="G78" s="191"/>
      <c r="H78" s="199" t="str">
        <f t="shared" si="6"/>
        <v/>
      </c>
      <c r="I78" s="191"/>
      <c r="J78" s="191"/>
      <c r="K78" s="191"/>
      <c r="L78" s="191"/>
      <c r="M78" s="191"/>
      <c r="N78" s="191"/>
      <c r="O78" s="199" t="str">
        <f t="shared" si="7"/>
        <v/>
      </c>
      <c r="P78" s="199" t="str">
        <f t="shared" si="8"/>
        <v/>
      </c>
      <c r="Q78" s="192"/>
      <c r="R78" s="191"/>
      <c r="S78" s="199" t="str">
        <f t="shared" si="9"/>
        <v/>
      </c>
      <c r="T78" s="1" t="str">
        <f t="shared" si="10"/>
        <v/>
      </c>
      <c r="U78" s="1" t="str">
        <f t="shared" si="11"/>
        <v/>
      </c>
      <c r="V78" s="199" t="str">
        <f t="shared" si="12"/>
        <v/>
      </c>
      <c r="W78" s="199" t="str">
        <f t="shared" si="13"/>
        <v/>
      </c>
      <c r="X78" s="191"/>
      <c r="Y78" s="191"/>
      <c r="Z78" s="191"/>
      <c r="AA78" s="186"/>
    </row>
    <row r="79" spans="2:27" ht="15" customHeight="1" x14ac:dyDescent="0.25">
      <c r="C79" s="185"/>
      <c r="D79" s="199" t="str">
        <f t="shared" si="5"/>
        <v/>
      </c>
      <c r="E79" s="191"/>
      <c r="F79" s="191"/>
      <c r="G79" s="191"/>
      <c r="H79" s="199" t="str">
        <f t="shared" si="6"/>
        <v/>
      </c>
      <c r="I79" s="191"/>
      <c r="J79" s="191"/>
      <c r="K79" s="191"/>
      <c r="L79" s="191"/>
      <c r="M79" s="191"/>
      <c r="N79" s="191"/>
      <c r="O79" s="199" t="str">
        <f t="shared" si="7"/>
        <v/>
      </c>
      <c r="P79" s="199" t="str">
        <f t="shared" si="8"/>
        <v/>
      </c>
      <c r="Q79" s="192"/>
      <c r="R79" s="191"/>
      <c r="S79" s="199" t="str">
        <f t="shared" si="9"/>
        <v/>
      </c>
      <c r="T79" s="1" t="str">
        <f t="shared" si="10"/>
        <v/>
      </c>
      <c r="U79" s="1" t="str">
        <f t="shared" si="11"/>
        <v/>
      </c>
      <c r="V79" s="199" t="str">
        <f t="shared" si="12"/>
        <v/>
      </c>
      <c r="W79" s="199" t="str">
        <f t="shared" si="13"/>
        <v/>
      </c>
      <c r="X79" s="191"/>
      <c r="Y79" s="191"/>
      <c r="Z79" s="191"/>
      <c r="AA79" s="186"/>
    </row>
    <row r="80" spans="2:27" ht="15" customHeight="1" x14ac:dyDescent="0.25">
      <c r="C80" s="185"/>
      <c r="D80" s="199" t="str">
        <f t="shared" si="5"/>
        <v/>
      </c>
      <c r="E80" s="191"/>
      <c r="F80" s="191"/>
      <c r="G80" s="191"/>
      <c r="H80" s="199" t="str">
        <f t="shared" si="6"/>
        <v/>
      </c>
      <c r="I80" s="191"/>
      <c r="J80" s="191"/>
      <c r="K80" s="191"/>
      <c r="L80" s="191"/>
      <c r="M80" s="191"/>
      <c r="N80" s="191"/>
      <c r="O80" s="199" t="str">
        <f t="shared" si="7"/>
        <v/>
      </c>
      <c r="P80" s="199" t="str">
        <f t="shared" si="8"/>
        <v/>
      </c>
      <c r="Q80" s="192"/>
      <c r="R80" s="191"/>
      <c r="S80" s="199" t="str">
        <f t="shared" si="9"/>
        <v/>
      </c>
      <c r="T80" s="1" t="str">
        <f t="shared" si="10"/>
        <v/>
      </c>
      <c r="U80" s="1" t="str">
        <f t="shared" si="11"/>
        <v/>
      </c>
      <c r="V80" s="199" t="str">
        <f t="shared" si="12"/>
        <v/>
      </c>
      <c r="W80" s="199" t="str">
        <f t="shared" si="13"/>
        <v/>
      </c>
      <c r="X80" s="191"/>
      <c r="Y80" s="191"/>
      <c r="Z80" s="191"/>
      <c r="AA80" s="186"/>
    </row>
    <row r="81" spans="1:27" ht="15" customHeight="1" x14ac:dyDescent="0.25">
      <c r="C81" s="185"/>
      <c r="D81" s="199" t="str">
        <f t="shared" si="5"/>
        <v/>
      </c>
      <c r="E81" s="191"/>
      <c r="F81" s="191"/>
      <c r="G81" s="191"/>
      <c r="H81" s="199" t="str">
        <f t="shared" si="6"/>
        <v/>
      </c>
      <c r="I81" s="191"/>
      <c r="J81" s="191"/>
      <c r="K81" s="191"/>
      <c r="L81" s="191"/>
      <c r="M81" s="191"/>
      <c r="N81" s="191"/>
      <c r="O81" s="199" t="str">
        <f t="shared" si="7"/>
        <v/>
      </c>
      <c r="P81" s="199" t="str">
        <f t="shared" si="8"/>
        <v/>
      </c>
      <c r="Q81" s="192"/>
      <c r="R81" s="191"/>
      <c r="S81" s="199" t="str">
        <f t="shared" si="9"/>
        <v/>
      </c>
      <c r="T81" s="1" t="str">
        <f t="shared" si="10"/>
        <v/>
      </c>
      <c r="U81" s="1" t="str">
        <f t="shared" si="11"/>
        <v/>
      </c>
      <c r="V81" s="199" t="str">
        <f t="shared" si="12"/>
        <v/>
      </c>
      <c r="W81" s="199" t="str">
        <f t="shared" si="13"/>
        <v/>
      </c>
      <c r="X81" s="191"/>
      <c r="Y81" s="191"/>
      <c r="Z81" s="191"/>
      <c r="AA81" s="186"/>
    </row>
    <row r="82" spans="1:27" ht="15" customHeight="1" x14ac:dyDescent="0.25">
      <c r="C82" s="185"/>
      <c r="D82" s="199" t="str">
        <f t="shared" si="5"/>
        <v/>
      </c>
      <c r="E82" s="191"/>
      <c r="F82" s="191"/>
      <c r="G82" s="191"/>
      <c r="H82" s="199" t="str">
        <f t="shared" si="6"/>
        <v/>
      </c>
      <c r="I82" s="191"/>
      <c r="J82" s="191"/>
      <c r="K82" s="191"/>
      <c r="L82" s="191"/>
      <c r="M82" s="191"/>
      <c r="N82" s="191"/>
      <c r="O82" s="199" t="str">
        <f t="shared" si="7"/>
        <v/>
      </c>
      <c r="P82" s="199" t="str">
        <f t="shared" si="8"/>
        <v/>
      </c>
      <c r="Q82" s="192"/>
      <c r="R82" s="191"/>
      <c r="S82" s="199" t="str">
        <f t="shared" si="9"/>
        <v/>
      </c>
      <c r="T82" s="1" t="str">
        <f t="shared" si="10"/>
        <v/>
      </c>
      <c r="U82" s="1" t="str">
        <f t="shared" si="11"/>
        <v/>
      </c>
      <c r="V82" s="199" t="str">
        <f t="shared" si="12"/>
        <v/>
      </c>
      <c r="W82" s="199" t="str">
        <f t="shared" si="13"/>
        <v/>
      </c>
      <c r="X82" s="191"/>
      <c r="Y82" s="191"/>
      <c r="Z82" s="191"/>
      <c r="AA82" s="186"/>
    </row>
    <row r="84" spans="1:27" s="200" customFormat="1" ht="15" customHeight="1" x14ac:dyDescent="0.25">
      <c r="A84" s="7">
        <f ca="1">TODAY()</f>
        <v>44244</v>
      </c>
      <c r="B84" s="200" t="s">
        <v>59</v>
      </c>
      <c r="C84" s="200" t="s">
        <v>66</v>
      </c>
      <c r="D84" s="200" t="s">
        <v>67</v>
      </c>
      <c r="E84" s="382" t="s">
        <v>94</v>
      </c>
      <c r="F84" s="382"/>
      <c r="G84" s="382" t="s">
        <v>100</v>
      </c>
      <c r="H84" s="382"/>
      <c r="I84" s="382"/>
      <c r="J84" s="382"/>
      <c r="K84" s="382"/>
      <c r="Q84" s="9"/>
    </row>
    <row r="85" spans="1:27" ht="30" customHeight="1" x14ac:dyDescent="0.25">
      <c r="B85" s="186" t="s">
        <v>954</v>
      </c>
      <c r="C85" s="185">
        <v>24850</v>
      </c>
      <c r="D85" s="199">
        <f ca="1">IF(B85&lt;&gt;0,ROUNDDOWN(($A$84-C85)/365.25,0),"")</f>
        <v>53</v>
      </c>
      <c r="E85" s="380" t="s">
        <v>188</v>
      </c>
      <c r="F85" s="380"/>
      <c r="G85" s="380" t="s">
        <v>959</v>
      </c>
      <c r="H85" s="380"/>
      <c r="I85" s="380"/>
      <c r="J85" s="380"/>
      <c r="K85" s="380"/>
    </row>
    <row r="86" spans="1:27" ht="30" customHeight="1" x14ac:dyDescent="0.25">
      <c r="B86" s="186" t="s">
        <v>955</v>
      </c>
      <c r="C86" s="185">
        <v>34764</v>
      </c>
      <c r="D86" s="199">
        <f t="shared" ref="D86:D92" ca="1" si="14">IF(B86&lt;&gt;0,ROUNDDOWN(($A$84-C86)/365.25,0),"")</f>
        <v>25</v>
      </c>
      <c r="E86" s="380" t="s">
        <v>191</v>
      </c>
      <c r="F86" s="380"/>
      <c r="G86" s="380" t="s">
        <v>30</v>
      </c>
      <c r="H86" s="380"/>
      <c r="I86" s="380"/>
      <c r="J86" s="380"/>
      <c r="K86" s="380"/>
    </row>
    <row r="87" spans="1:27" ht="30" customHeight="1" x14ac:dyDescent="0.25">
      <c r="B87" s="186" t="s">
        <v>956</v>
      </c>
      <c r="C87" s="185">
        <v>29102</v>
      </c>
      <c r="D87" s="199">
        <f t="shared" ca="1" si="14"/>
        <v>41</v>
      </c>
      <c r="E87" s="380" t="s">
        <v>101</v>
      </c>
      <c r="F87" s="380"/>
      <c r="G87" s="380" t="s">
        <v>30</v>
      </c>
      <c r="H87" s="380"/>
      <c r="I87" s="380"/>
      <c r="J87" s="380"/>
      <c r="K87" s="380"/>
    </row>
    <row r="88" spans="1:27" ht="30" customHeight="1" x14ac:dyDescent="0.25">
      <c r="B88" s="186" t="s">
        <v>957</v>
      </c>
      <c r="C88" s="185">
        <v>30335</v>
      </c>
      <c r="D88" s="199">
        <f t="shared" ca="1" si="14"/>
        <v>38</v>
      </c>
      <c r="E88" s="380" t="s">
        <v>960</v>
      </c>
      <c r="F88" s="380"/>
      <c r="G88" s="380" t="s">
        <v>30</v>
      </c>
      <c r="H88" s="380"/>
      <c r="I88" s="380"/>
      <c r="J88" s="380"/>
      <c r="K88" s="380"/>
    </row>
    <row r="89" spans="1:27" ht="30" customHeight="1" x14ac:dyDescent="0.25">
      <c r="B89" s="186" t="s">
        <v>958</v>
      </c>
      <c r="C89" s="185">
        <v>36034</v>
      </c>
      <c r="D89" s="199">
        <f t="shared" ca="1" si="14"/>
        <v>22</v>
      </c>
      <c r="E89" s="380" t="s">
        <v>961</v>
      </c>
      <c r="F89" s="380"/>
      <c r="G89" s="380" t="s">
        <v>30</v>
      </c>
      <c r="H89" s="380"/>
      <c r="I89" s="380"/>
      <c r="J89" s="380"/>
      <c r="K89" s="380"/>
    </row>
    <row r="90" spans="1:27" ht="30" customHeight="1" x14ac:dyDescent="0.25">
      <c r="B90" s="186"/>
      <c r="C90" s="186"/>
      <c r="D90" s="199" t="str">
        <f t="shared" si="14"/>
        <v/>
      </c>
      <c r="E90" s="380"/>
      <c r="F90" s="380"/>
      <c r="G90" s="380"/>
      <c r="H90" s="380"/>
      <c r="I90" s="380"/>
      <c r="J90" s="380"/>
      <c r="K90" s="380"/>
    </row>
    <row r="91" spans="1:27" ht="30" customHeight="1" x14ac:dyDescent="0.25">
      <c r="B91" s="186"/>
      <c r="C91" s="186"/>
      <c r="D91" s="199" t="str">
        <f t="shared" si="14"/>
        <v/>
      </c>
      <c r="E91" s="380"/>
      <c r="F91" s="380"/>
      <c r="G91" s="380"/>
      <c r="H91" s="380"/>
      <c r="I91" s="380"/>
      <c r="J91" s="380"/>
      <c r="K91" s="380"/>
    </row>
    <row r="92" spans="1:27" ht="30" customHeight="1" x14ac:dyDescent="0.25">
      <c r="B92" s="186"/>
      <c r="C92" s="186"/>
      <c r="D92" s="199" t="str">
        <f t="shared" si="14"/>
        <v/>
      </c>
      <c r="E92" s="380"/>
      <c r="F92" s="380"/>
      <c r="G92" s="380"/>
      <c r="H92" s="380"/>
      <c r="I92" s="380"/>
      <c r="J92" s="380"/>
      <c r="K92" s="380"/>
    </row>
  </sheetData>
  <sheetProtection algorithmName="SHA-512" hashValue="mlS9hI+C3voy67NEskKQf2r2hVJ0I2Y3DKrYhL05InYYOI2bMsSScqeOdLJlhAeWbpbwqcYkMM6+mdzCMIMbTA==" saltValue="YThoegyy8FSB+KISF8GO5A=="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85" priority="1" operator="containsText" text="ANO">
      <formula>NOT(ISERROR(SEARCH("ANO",P2)))</formula>
    </cfRule>
    <cfRule type="containsText" dxfId="8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382" t="s">
        <v>36</v>
      </c>
      <c r="B1" s="1" t="s">
        <v>880</v>
      </c>
      <c r="C1" s="205">
        <v>31</v>
      </c>
      <c r="D1" s="383" t="str">
        <f t="shared" ref="D1:D30" si="0">IFERROR(RIGHT(B1,LEN(B1)-SEARCH(" ",B1)),"")</f>
        <v>Radek Valeš</v>
      </c>
      <c r="E1" s="383"/>
      <c r="F1" s="199"/>
    </row>
    <row r="2" spans="1:6" x14ac:dyDescent="0.25">
      <c r="A2" s="382"/>
      <c r="B2" s="1" t="s">
        <v>881</v>
      </c>
      <c r="C2" s="205">
        <v>22</v>
      </c>
      <c r="D2" s="383" t="str">
        <f t="shared" si="0"/>
        <v>Prokop Ferdan</v>
      </c>
      <c r="E2" s="383"/>
      <c r="F2" s="199"/>
    </row>
    <row r="3" spans="1:6" x14ac:dyDescent="0.25">
      <c r="A3" s="382"/>
      <c r="B3" s="1" t="s">
        <v>882</v>
      </c>
      <c r="C3" s="205">
        <v>20</v>
      </c>
      <c r="D3" s="383" t="str">
        <f t="shared" si="0"/>
        <v>Martin Čermák</v>
      </c>
      <c r="E3" s="383"/>
      <c r="F3" s="199"/>
    </row>
    <row r="4" spans="1:6" x14ac:dyDescent="0.25">
      <c r="A4" s="382"/>
      <c r="B4" s="1" t="s">
        <v>883</v>
      </c>
      <c r="C4" s="205">
        <v>19</v>
      </c>
      <c r="D4" s="383" t="str">
        <f t="shared" si="0"/>
        <v>Jakub Kopecký</v>
      </c>
      <c r="E4" s="383"/>
      <c r="F4" s="199"/>
    </row>
    <row r="5" spans="1:6" x14ac:dyDescent="0.25">
      <c r="A5" s="382"/>
      <c r="B5" s="1" t="s">
        <v>884</v>
      </c>
      <c r="C5" s="205">
        <v>18</v>
      </c>
      <c r="D5" s="383" t="str">
        <f t="shared" si="0"/>
        <v>Vojtěch Wiener</v>
      </c>
      <c r="E5" s="383"/>
      <c r="F5" s="199"/>
    </row>
    <row r="6" spans="1:6" x14ac:dyDescent="0.25">
      <c r="A6" s="382" t="s">
        <v>242</v>
      </c>
      <c r="B6" s="1" t="s">
        <v>885</v>
      </c>
      <c r="C6" s="205" t="s">
        <v>886</v>
      </c>
      <c r="D6" s="383" t="str">
        <f t="shared" si="0"/>
        <v>Daniel Mück</v>
      </c>
      <c r="E6" s="383"/>
      <c r="F6" s="199">
        <f t="shared" ref="F6:F10" si="1">IF(B6&lt;&gt;0,_xlfn.NUMBERVALUE(C6,","),"")</f>
        <v>5.66</v>
      </c>
    </row>
    <row r="7" spans="1:6" x14ac:dyDescent="0.25">
      <c r="A7" s="382"/>
      <c r="B7" s="1" t="s">
        <v>887</v>
      </c>
      <c r="C7" s="205" t="s">
        <v>331</v>
      </c>
      <c r="D7" s="383" t="str">
        <f t="shared" si="0"/>
        <v>Jan Baudisch</v>
      </c>
      <c r="E7" s="383"/>
      <c r="F7" s="199">
        <f t="shared" si="1"/>
        <v>0</v>
      </c>
    </row>
    <row r="8" spans="1:6" x14ac:dyDescent="0.25">
      <c r="A8" s="382"/>
      <c r="B8" s="1" t="s">
        <v>888</v>
      </c>
      <c r="C8" s="205" t="s">
        <v>889</v>
      </c>
      <c r="D8" s="383" t="str">
        <f t="shared" si="0"/>
        <v>Ivan Ponomarev</v>
      </c>
      <c r="E8" s="383"/>
      <c r="F8" s="199">
        <f t="shared" si="1"/>
        <v>6.39</v>
      </c>
    </row>
    <row r="9" spans="1:6" x14ac:dyDescent="0.25">
      <c r="A9" s="382"/>
      <c r="B9" s="1"/>
      <c r="C9" s="205"/>
      <c r="D9" s="383" t="str">
        <f t="shared" si="0"/>
        <v/>
      </c>
      <c r="E9" s="383"/>
      <c r="F9" s="199" t="str">
        <f t="shared" si="1"/>
        <v/>
      </c>
    </row>
    <row r="10" spans="1:6" x14ac:dyDescent="0.25">
      <c r="A10" s="382"/>
      <c r="B10" s="1"/>
      <c r="C10" s="205"/>
      <c r="D10" s="383" t="str">
        <f t="shared" si="0"/>
        <v/>
      </c>
      <c r="E10" s="383"/>
      <c r="F10" s="199" t="str">
        <f t="shared" si="1"/>
        <v/>
      </c>
    </row>
    <row r="11" spans="1:6" x14ac:dyDescent="0.25">
      <c r="A11" s="382" t="s">
        <v>35</v>
      </c>
      <c r="B11" s="1" t="s">
        <v>880</v>
      </c>
      <c r="C11" s="205">
        <v>17</v>
      </c>
      <c r="D11" s="383" t="str">
        <f t="shared" si="0"/>
        <v>Radek Valeš</v>
      </c>
      <c r="E11" s="383"/>
      <c r="F11" s="199"/>
    </row>
    <row r="12" spans="1:6" x14ac:dyDescent="0.25">
      <c r="A12" s="382"/>
      <c r="B12" s="1" t="s">
        <v>890</v>
      </c>
      <c r="C12" s="205">
        <v>14</v>
      </c>
      <c r="D12" s="383" t="str">
        <f t="shared" si="0"/>
        <v>Jakub Kopecký</v>
      </c>
      <c r="E12" s="383"/>
      <c r="F12" s="199"/>
    </row>
    <row r="13" spans="1:6" x14ac:dyDescent="0.25">
      <c r="A13" s="382"/>
      <c r="B13" s="1" t="s">
        <v>891</v>
      </c>
      <c r="C13" s="205">
        <v>13</v>
      </c>
      <c r="D13" s="383" t="str">
        <f t="shared" si="0"/>
        <v>Prokop Ferdan</v>
      </c>
      <c r="E13" s="383"/>
      <c r="F13" s="199"/>
    </row>
    <row r="14" spans="1:6" x14ac:dyDescent="0.25">
      <c r="A14" s="382"/>
      <c r="B14" s="1" t="s">
        <v>892</v>
      </c>
      <c r="C14" s="205">
        <v>11</v>
      </c>
      <c r="D14" s="383" t="str">
        <f t="shared" si="0"/>
        <v>Martin Čermák</v>
      </c>
      <c r="E14" s="383"/>
      <c r="F14" s="199"/>
    </row>
    <row r="15" spans="1:6" x14ac:dyDescent="0.25">
      <c r="A15" s="382"/>
      <c r="B15" s="1" t="s">
        <v>893</v>
      </c>
      <c r="C15" s="205">
        <v>10</v>
      </c>
      <c r="D15" s="383" t="str">
        <f t="shared" si="0"/>
        <v>Jan Světlík</v>
      </c>
      <c r="E15" s="383"/>
      <c r="F15" s="199"/>
    </row>
    <row r="16" spans="1:6" x14ac:dyDescent="0.25">
      <c r="A16" s="382" t="s">
        <v>230</v>
      </c>
      <c r="B16" s="1" t="s">
        <v>885</v>
      </c>
      <c r="C16" s="205">
        <v>9</v>
      </c>
      <c r="D16" s="383" t="str">
        <f t="shared" si="0"/>
        <v>Daniel Mück</v>
      </c>
      <c r="E16" s="383"/>
      <c r="F16" s="199">
        <f t="shared" ref="F16:F20" si="2">IF(B16&lt;&gt;0,_xlfn.NUMBERVALUE(C16,","),"")</f>
        <v>9</v>
      </c>
    </row>
    <row r="17" spans="1:6" x14ac:dyDescent="0.25">
      <c r="A17" s="382"/>
      <c r="B17" s="1" t="s">
        <v>894</v>
      </c>
      <c r="C17" s="205">
        <v>3</v>
      </c>
      <c r="D17" s="383" t="str">
        <f t="shared" si="0"/>
        <v>Ivan Ponomarev</v>
      </c>
      <c r="E17" s="383"/>
      <c r="F17" s="199">
        <f t="shared" si="2"/>
        <v>3</v>
      </c>
    </row>
    <row r="18" spans="1:6" x14ac:dyDescent="0.25">
      <c r="A18" s="382"/>
      <c r="B18" s="1" t="s">
        <v>895</v>
      </c>
      <c r="C18" s="205">
        <v>0</v>
      </c>
      <c r="D18" s="383" t="str">
        <f t="shared" si="0"/>
        <v>Jan Baudisch</v>
      </c>
      <c r="E18" s="383"/>
      <c r="F18" s="199">
        <f t="shared" si="2"/>
        <v>0</v>
      </c>
    </row>
    <row r="19" spans="1:6" x14ac:dyDescent="0.25">
      <c r="A19" s="382"/>
      <c r="B19" s="1"/>
      <c r="C19" s="205"/>
      <c r="D19" s="383" t="str">
        <f t="shared" si="0"/>
        <v/>
      </c>
      <c r="E19" s="383"/>
      <c r="F19" s="199" t="str">
        <f t="shared" si="2"/>
        <v/>
      </c>
    </row>
    <row r="20" spans="1:6" x14ac:dyDescent="0.25">
      <c r="A20" s="382"/>
      <c r="B20" s="1"/>
      <c r="C20" s="205"/>
      <c r="D20" s="383" t="str">
        <f t="shared" si="0"/>
        <v/>
      </c>
      <c r="E20" s="383"/>
      <c r="F20" s="199" t="str">
        <f t="shared" si="2"/>
        <v/>
      </c>
    </row>
    <row r="21" spans="1:6" x14ac:dyDescent="0.25">
      <c r="A21" s="382" t="s">
        <v>37</v>
      </c>
      <c r="B21" s="1" t="s">
        <v>880</v>
      </c>
      <c r="C21" s="205">
        <v>14</v>
      </c>
      <c r="D21" s="383" t="str">
        <f t="shared" si="0"/>
        <v>Radek Valeš</v>
      </c>
      <c r="E21" s="383"/>
      <c r="F21" s="199"/>
    </row>
    <row r="22" spans="1:6" x14ac:dyDescent="0.25">
      <c r="A22" s="382"/>
      <c r="B22" s="1" t="s">
        <v>896</v>
      </c>
      <c r="C22" s="205">
        <v>12</v>
      </c>
      <c r="D22" s="383" t="str">
        <f t="shared" si="0"/>
        <v>Vojtěch Wiener</v>
      </c>
      <c r="E22" s="383"/>
      <c r="F22" s="199"/>
    </row>
    <row r="23" spans="1:6" x14ac:dyDescent="0.25">
      <c r="A23" s="382"/>
      <c r="B23" s="1" t="s">
        <v>897</v>
      </c>
      <c r="C23" s="205">
        <v>11</v>
      </c>
      <c r="D23" s="383" t="str">
        <f t="shared" si="0"/>
        <v>Petr Kološ</v>
      </c>
      <c r="E23" s="383"/>
      <c r="F23" s="199"/>
    </row>
    <row r="24" spans="1:6" x14ac:dyDescent="0.25">
      <c r="A24" s="382"/>
      <c r="B24" s="1" t="s">
        <v>892</v>
      </c>
      <c r="C24" s="205">
        <v>9</v>
      </c>
      <c r="D24" s="383" t="str">
        <f t="shared" si="0"/>
        <v>Martin Čermák</v>
      </c>
      <c r="E24" s="383"/>
      <c r="F24" s="199"/>
    </row>
    <row r="25" spans="1:6" x14ac:dyDescent="0.25">
      <c r="A25" s="382"/>
      <c r="B25" s="1" t="s">
        <v>898</v>
      </c>
      <c r="C25" s="205">
        <v>9</v>
      </c>
      <c r="D25" s="383" t="str">
        <f t="shared" si="0"/>
        <v>Prokop Ferdan</v>
      </c>
      <c r="E25" s="383"/>
      <c r="F25" s="199"/>
    </row>
    <row r="26" spans="1:6" x14ac:dyDescent="0.25">
      <c r="A26" s="382" t="s">
        <v>38</v>
      </c>
      <c r="B26" s="1" t="s">
        <v>880</v>
      </c>
      <c r="C26" s="205">
        <v>10</v>
      </c>
      <c r="D26" s="383" t="str">
        <f t="shared" si="0"/>
        <v>Radek Valeš</v>
      </c>
      <c r="E26" s="383"/>
      <c r="F26" s="199"/>
    </row>
    <row r="27" spans="1:6" x14ac:dyDescent="0.25">
      <c r="A27" s="382"/>
      <c r="B27" s="1" t="s">
        <v>890</v>
      </c>
      <c r="C27" s="205">
        <v>8</v>
      </c>
      <c r="D27" s="383" t="str">
        <f t="shared" si="0"/>
        <v>Jakub Kopecký</v>
      </c>
      <c r="E27" s="383"/>
      <c r="F27" s="199"/>
    </row>
    <row r="28" spans="1:6" x14ac:dyDescent="0.25">
      <c r="A28" s="382"/>
      <c r="B28" s="1" t="s">
        <v>897</v>
      </c>
      <c r="C28" s="205">
        <v>8</v>
      </c>
      <c r="D28" s="383" t="str">
        <f t="shared" si="0"/>
        <v>Petr Kološ</v>
      </c>
      <c r="E28" s="383"/>
      <c r="F28" s="199"/>
    </row>
    <row r="29" spans="1:6" x14ac:dyDescent="0.25">
      <c r="A29" s="382"/>
      <c r="B29" s="1" t="s">
        <v>899</v>
      </c>
      <c r="C29" s="205">
        <v>6</v>
      </c>
      <c r="D29" s="383" t="str">
        <f t="shared" si="0"/>
        <v>Jan Baudisch</v>
      </c>
      <c r="E29" s="383"/>
      <c r="F29" s="199"/>
    </row>
    <row r="30" spans="1:6" x14ac:dyDescent="0.25">
      <c r="A30" s="382"/>
      <c r="B30" s="1" t="s">
        <v>900</v>
      </c>
      <c r="C30" s="205">
        <v>6</v>
      </c>
      <c r="D30" s="383" t="str">
        <f t="shared" si="0"/>
        <v>Matěj Klucho</v>
      </c>
      <c r="E30" s="383"/>
      <c r="F30" s="199"/>
    </row>
    <row r="31" spans="1:6" x14ac:dyDescent="0.25">
      <c r="A31" s="382" t="s">
        <v>333</v>
      </c>
      <c r="B31" s="190" t="s">
        <v>490</v>
      </c>
      <c r="C31" s="190" t="s">
        <v>150</v>
      </c>
      <c r="D31" s="190" t="s">
        <v>923</v>
      </c>
      <c r="E31" s="178" t="str">
        <f>IFERROR(RIGHT(LEFT(D31,LEN(D31)-1),LEN(D31)-2),"")</f>
        <v>5:9</v>
      </c>
    </row>
    <row r="32" spans="1:6" x14ac:dyDescent="0.25">
      <c r="A32" s="382"/>
      <c r="B32" s="190" t="s">
        <v>572</v>
      </c>
      <c r="C32" s="190" t="s">
        <v>147</v>
      </c>
      <c r="D32" s="190" t="s">
        <v>578</v>
      </c>
      <c r="E32" s="178" t="str">
        <f t="shared" ref="E32:E40" si="3">IFERROR(RIGHT(LEFT(D32,LEN(D32)-1),LEN(D32)-2),"")</f>
        <v>4:3</v>
      </c>
    </row>
    <row r="33" spans="1:5" x14ac:dyDescent="0.25">
      <c r="A33" s="382"/>
      <c r="B33" s="190" t="s">
        <v>570</v>
      </c>
      <c r="C33" s="190" t="s">
        <v>149</v>
      </c>
      <c r="D33" s="190" t="s">
        <v>668</v>
      </c>
      <c r="E33" s="178" t="str">
        <f t="shared" si="3"/>
        <v>6:5</v>
      </c>
    </row>
    <row r="34" spans="1:5" x14ac:dyDescent="0.25">
      <c r="A34" s="382"/>
      <c r="B34" s="190" t="s">
        <v>622</v>
      </c>
      <c r="C34" s="190" t="s">
        <v>148</v>
      </c>
      <c r="D34" s="190" t="s">
        <v>924</v>
      </c>
      <c r="E34" s="178" t="str">
        <f t="shared" si="3"/>
        <v>4:8</v>
      </c>
    </row>
    <row r="35" spans="1:5" x14ac:dyDescent="0.25">
      <c r="A35" s="382"/>
      <c r="B35" s="190" t="s">
        <v>350</v>
      </c>
      <c r="C35" s="190" t="s">
        <v>153</v>
      </c>
      <c r="D35" s="190" t="s">
        <v>925</v>
      </c>
      <c r="E35" s="178" t="str">
        <f t="shared" si="3"/>
        <v>2:0</v>
      </c>
    </row>
    <row r="36" spans="1:5" x14ac:dyDescent="0.25">
      <c r="A36" s="382" t="s">
        <v>334</v>
      </c>
      <c r="B36" s="190" t="s">
        <v>625</v>
      </c>
      <c r="C36" s="190" t="s">
        <v>152</v>
      </c>
      <c r="D36" s="190" t="s">
        <v>338</v>
      </c>
      <c r="E36" s="178" t="str">
        <f t="shared" si="3"/>
        <v>-:-</v>
      </c>
    </row>
    <row r="37" spans="1:5" x14ac:dyDescent="0.25">
      <c r="A37" s="382"/>
      <c r="B37" s="190" t="s">
        <v>901</v>
      </c>
      <c r="C37" s="190" t="s">
        <v>147</v>
      </c>
      <c r="D37" s="190" t="s">
        <v>338</v>
      </c>
      <c r="E37" s="178" t="str">
        <f t="shared" si="3"/>
        <v>-:-</v>
      </c>
    </row>
    <row r="38" spans="1:5" x14ac:dyDescent="0.25">
      <c r="A38" s="382"/>
      <c r="B38" s="190" t="s">
        <v>619</v>
      </c>
      <c r="C38" s="190" t="s">
        <v>29</v>
      </c>
      <c r="D38" s="190" t="s">
        <v>338</v>
      </c>
      <c r="E38" s="178" t="str">
        <f t="shared" si="3"/>
        <v>-:-</v>
      </c>
    </row>
    <row r="39" spans="1:5" x14ac:dyDescent="0.25">
      <c r="A39" s="382"/>
      <c r="C39" s="190"/>
      <c r="D39" s="190"/>
      <c r="E39" s="178" t="str">
        <f t="shared" si="3"/>
        <v/>
      </c>
    </row>
    <row r="40" spans="1:5" x14ac:dyDescent="0.25">
      <c r="A40" s="382"/>
      <c r="B40" s="190"/>
      <c r="C40" s="190"/>
      <c r="D40" s="190"/>
      <c r="E40" s="178" t="str">
        <f t="shared" si="3"/>
        <v/>
      </c>
    </row>
    <row r="41" spans="1:5" x14ac:dyDescent="0.25">
      <c r="A41" s="200" t="s">
        <v>335</v>
      </c>
      <c r="B41" s="384" t="s">
        <v>902</v>
      </c>
      <c r="C41" s="190"/>
      <c r="D41" s="190"/>
    </row>
  </sheetData>
  <sheetProtection algorithmName="SHA-512" hashValue="1YIrn5VdYt9JlPOmT227/gz2gW4vxnQjLr1/EU83KH2gkMsQcMb+q+Df1liCWMNoRrA3nUXl6ULvwX19Nyg2IA==" saltValue="atv5Xmyh311YUyw6uVyJu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22</vt:i4>
      </vt:variant>
      <vt:variant>
        <vt:lpstr>Pojmenované oblasti</vt:lpstr>
      </vt:variant>
      <vt:variant>
        <vt:i4>42</vt:i4>
      </vt:variant>
    </vt:vector>
  </HeadingPairs>
  <TitlesOfParts>
    <vt:vector size="64"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BOH_nej!BOH_bestof</vt:lpstr>
      <vt:lpstr>BOH!BOH_goalies</vt:lpstr>
      <vt:lpstr>BOH!BOH_players</vt:lpstr>
      <vt:lpstr>BOH_nej!BOH_zapasy</vt:lpstr>
      <vt:lpstr>CLP_nej!CLP_bestof_1</vt:lpstr>
      <vt:lpstr>CLP!CLP_goalies</vt:lpstr>
      <vt:lpstr>CLP!CLP_players</vt:lpstr>
      <vt:lpstr>CLP_nej!CLP_zapasy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2021-02-12T13:20:35Z</cp:lastPrinted>
  <dcterms:created xsi:type="dcterms:W3CDTF">2021-01-02T13:16:40Z</dcterms:created>
  <dcterms:modified xsi:type="dcterms:W3CDTF">2021-02-17T20:09:01Z</dcterms:modified>
</cp:coreProperties>
</file>