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Pj8ag/jvh/bKKbhY+PnEa17d3bpBMDApcvEc859Q7MhdDKG1EP0k1XHBLNLv6Bnemnkf0tjb98KUlTgvS0uAog==" workbookSaltValue="gsjr99ltJw4XKG9AH6HbW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s>
  <definedNames>
    <definedName name="BOH_bestof" localSheetId="16">BOH_nej!$B$1:$C$30</definedName>
    <definedName name="BOH_goalies" localSheetId="15">BOH!$A$39:$O$41</definedName>
    <definedName name="BOH_players" localSheetId="15">BOH!$A$2:$N$29</definedName>
    <definedName name="BOH_zapasy" localSheetId="16">BOH_nej!$B$31:$D$41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OTR!$A$39:$O$41</definedName>
    <definedName name="OTR_players" localSheetId="13">OTR!$A$2:$N$30</definedName>
    <definedName name="OTR_zapasy" localSheetId="14">OTR_nej!$B$31:$D$41</definedName>
    <definedName name="SKV_bestof" localSheetId="4">SKV_nej!$B$1:$C$30</definedName>
    <definedName name="SKV_goalies_1" localSheetId="3">SKV!$A$39:$O$42</definedName>
    <definedName name="SKV_players" localSheetId="3">SKV!$A$2:$N$29</definedName>
    <definedName name="SKV_zapasy" localSheetId="4">SKV_nej!$B$31:$D$41</definedName>
    <definedName name="SPA_bestof" localSheetId="18">SPA_nej!$B$1:$C$30</definedName>
    <definedName name="SPA_goalies" localSheetId="17">SPA!$A$39:$O$41</definedName>
    <definedName name="SPA_players" localSheetId="17">SPA!$A$2:$N$28</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VIT!$A$39:$O$40</definedName>
    <definedName name="VIT_players" localSheetId="7">VIT!$A$2:$N$25</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4" i="21"/>
  <c r="U74" i="21"/>
  <c r="S74" i="21"/>
  <c r="P74" i="21"/>
  <c r="H74" i="21"/>
  <c r="O74" i="21" s="1"/>
  <c r="D74" i="21"/>
  <c r="W73" i="21"/>
  <c r="U73" i="21"/>
  <c r="S73" i="21"/>
  <c r="P73" i="21"/>
  <c r="O73" i="21"/>
  <c r="H73" i="21"/>
  <c r="D73" i="21"/>
  <c r="W72" i="21"/>
  <c r="U72" i="21"/>
  <c r="S72" i="21"/>
  <c r="P72" i="21"/>
  <c r="H72" i="21"/>
  <c r="O72" i="21" s="1"/>
  <c r="D72" i="21"/>
  <c r="W71" i="21"/>
  <c r="U71" i="21"/>
  <c r="S71" i="21"/>
  <c r="P71" i="21"/>
  <c r="O71" i="21"/>
  <c r="H71" i="21"/>
  <c r="D71" i="21"/>
  <c r="W70" i="21"/>
  <c r="U70" i="21"/>
  <c r="S70" i="21"/>
  <c r="P70" i="21"/>
  <c r="H70" i="21"/>
  <c r="O70" i="21" s="1"/>
  <c r="D70" i="21"/>
  <c r="W69" i="21"/>
  <c r="U69" i="21"/>
  <c r="S69" i="21"/>
  <c r="P69" i="21"/>
  <c r="H69" i="21"/>
  <c r="O69" i="21" s="1"/>
  <c r="D69" i="21"/>
  <c r="W68" i="21"/>
  <c r="U68" i="21"/>
  <c r="S68" i="21"/>
  <c r="P68" i="21"/>
  <c r="H68" i="21"/>
  <c r="O68" i="21" s="1"/>
  <c r="D68" i="21"/>
  <c r="W67" i="21"/>
  <c r="U67" i="21"/>
  <c r="S67" i="21"/>
  <c r="P67" i="21"/>
  <c r="O67" i="21"/>
  <c r="H67" i="21"/>
  <c r="D67" i="21"/>
  <c r="W66" i="21"/>
  <c r="U66" i="21"/>
  <c r="S66" i="21"/>
  <c r="P66" i="21"/>
  <c r="H66" i="21"/>
  <c r="O66" i="21" s="1"/>
  <c r="D66" i="21"/>
  <c r="W65" i="21"/>
  <c r="U65" i="21"/>
  <c r="S65" i="21"/>
  <c r="P65" i="21"/>
  <c r="H65" i="21"/>
  <c r="O65" i="21" s="1"/>
  <c r="D65" i="21"/>
  <c r="W64" i="21"/>
  <c r="U64" i="21"/>
  <c r="S64" i="21"/>
  <c r="P64" i="21"/>
  <c r="O64" i="21"/>
  <c r="H64" i="21"/>
  <c r="D64" i="21"/>
  <c r="W63" i="21"/>
  <c r="U63" i="21"/>
  <c r="S63" i="21"/>
  <c r="P63" i="21"/>
  <c r="H63" i="21"/>
  <c r="O63" i="21" s="1"/>
  <c r="D63" i="21"/>
  <c r="W62" i="21"/>
  <c r="U62" i="21"/>
  <c r="S62" i="21"/>
  <c r="P62" i="21"/>
  <c r="O62" i="21"/>
  <c r="H62" i="21"/>
  <c r="D62" i="21"/>
  <c r="W61" i="21"/>
  <c r="U61" i="21"/>
  <c r="S61" i="21"/>
  <c r="P61" i="21"/>
  <c r="H61" i="21"/>
  <c r="O61" i="21" s="1"/>
  <c r="D61" i="21"/>
  <c r="W60" i="21"/>
  <c r="U60" i="21"/>
  <c r="S60" i="21"/>
  <c r="P60" i="21"/>
  <c r="H60" i="21"/>
  <c r="O60" i="21" s="1"/>
  <c r="D60" i="21"/>
  <c r="W59" i="21"/>
  <c r="U59" i="21"/>
  <c r="S59" i="21"/>
  <c r="P59" i="21"/>
  <c r="O59" i="21"/>
  <c r="H59" i="21"/>
  <c r="D59" i="21"/>
  <c r="W58" i="21"/>
  <c r="U58" i="21"/>
  <c r="S58" i="21"/>
  <c r="P58" i="21"/>
  <c r="H58" i="21"/>
  <c r="O58" i="21" s="1"/>
  <c r="D58" i="21"/>
  <c r="W57" i="21"/>
  <c r="U57" i="21"/>
  <c r="S57" i="21"/>
  <c r="P57" i="21"/>
  <c r="H57" i="21"/>
  <c r="O57" i="21" s="1"/>
  <c r="D57" i="21"/>
  <c r="W56" i="21"/>
  <c r="U56" i="21"/>
  <c r="V56" i="21" s="1"/>
  <c r="T56" i="21" s="1"/>
  <c r="S56" i="21"/>
  <c r="P56" i="21"/>
  <c r="O56" i="21"/>
  <c r="H56" i="21"/>
  <c r="D56" i="21"/>
  <c r="W55" i="21"/>
  <c r="U55" i="21"/>
  <c r="S55" i="21"/>
  <c r="P55" i="21"/>
  <c r="H55" i="21"/>
  <c r="O55" i="21" s="1"/>
  <c r="D55" i="21"/>
  <c r="W54" i="21"/>
  <c r="U54" i="21"/>
  <c r="S54" i="21"/>
  <c r="P54" i="21"/>
  <c r="O54" i="21"/>
  <c r="H54" i="21"/>
  <c r="D54" i="21"/>
  <c r="W53" i="21"/>
  <c r="U53" i="21"/>
  <c r="S53" i="21"/>
  <c r="P53" i="21"/>
  <c r="H53" i="21"/>
  <c r="O53" i="21" s="1"/>
  <c r="D53" i="21"/>
  <c r="W52" i="21"/>
  <c r="U52" i="21"/>
  <c r="S52" i="21"/>
  <c r="P52" i="21"/>
  <c r="H52" i="21"/>
  <c r="O52" i="21" s="1"/>
  <c r="D52" i="21"/>
  <c r="W51" i="21"/>
  <c r="U51" i="21"/>
  <c r="S51" i="21"/>
  <c r="P51" i="21"/>
  <c r="H51" i="21"/>
  <c r="O51" i="21" s="1"/>
  <c r="D51" i="21"/>
  <c r="W50" i="21"/>
  <c r="U50" i="21"/>
  <c r="V50" i="21" s="1"/>
  <c r="T50" i="21" s="1"/>
  <c r="S50" i="21"/>
  <c r="P50" i="21"/>
  <c r="H50" i="21"/>
  <c r="O50" i="21" s="1"/>
  <c r="D50" i="21"/>
  <c r="W49" i="21"/>
  <c r="U49" i="21"/>
  <c r="S49" i="21"/>
  <c r="P49" i="21"/>
  <c r="H49" i="21"/>
  <c r="O49" i="21" s="1"/>
  <c r="D49" i="21"/>
  <c r="W48" i="21"/>
  <c r="U48" i="21"/>
  <c r="S48" i="21"/>
  <c r="P48" i="21"/>
  <c r="H48" i="21"/>
  <c r="O48" i="21" s="1"/>
  <c r="D48" i="21"/>
  <c r="A47" i="21"/>
  <c r="R45" i="21"/>
  <c r="Q45" i="21"/>
  <c r="P45" i="21"/>
  <c r="R44" i="21"/>
  <c r="Q44" i="21"/>
  <c r="P44" i="21"/>
  <c r="R43" i="21"/>
  <c r="Q43" i="21"/>
  <c r="P43" i="21"/>
  <c r="R42" i="21"/>
  <c r="Q42" i="21"/>
  <c r="P42" i="21"/>
  <c r="R41" i="21"/>
  <c r="Q41" i="21"/>
  <c r="P41" i="21"/>
  <c r="R40" i="21"/>
  <c r="Q40" i="21"/>
  <c r="P40" i="21"/>
  <c r="R39" i="21"/>
  <c r="Q39" i="21"/>
  <c r="P39" i="21"/>
  <c r="P36" i="21"/>
  <c r="O36" i="21"/>
  <c r="P35" i="21"/>
  <c r="O35" i="21"/>
  <c r="P34" i="21"/>
  <c r="O34" i="21"/>
  <c r="P33" i="21"/>
  <c r="O33" i="21"/>
  <c r="P32" i="21"/>
  <c r="O32" i="21"/>
  <c r="P31" i="21"/>
  <c r="O31" i="21"/>
  <c r="P30" i="21"/>
  <c r="O30" i="21"/>
  <c r="P29" i="21"/>
  <c r="O29" i="21"/>
  <c r="P28" i="21"/>
  <c r="O28" i="21"/>
  <c r="P27" i="21"/>
  <c r="O27" i="21"/>
  <c r="P26" i="21"/>
  <c r="O26" i="21"/>
  <c r="P25" i="21"/>
  <c r="O25" i="21"/>
  <c r="P24" i="21"/>
  <c r="O24" i="21"/>
  <c r="P23" i="21"/>
  <c r="O23" i="21"/>
  <c r="P22" i="21"/>
  <c r="O22" i="21"/>
  <c r="P21" i="21"/>
  <c r="O21" i="21"/>
  <c r="P20" i="21"/>
  <c r="O20" i="21"/>
  <c r="P19" i="21"/>
  <c r="O19" i="21"/>
  <c r="P18" i="21"/>
  <c r="O18" i="21"/>
  <c r="P17" i="21"/>
  <c r="O17" i="21"/>
  <c r="P16" i="21"/>
  <c r="O16" i="21"/>
  <c r="P15" i="21"/>
  <c r="O15" i="21"/>
  <c r="P14" i="21"/>
  <c r="O14" i="21"/>
  <c r="P13" i="21"/>
  <c r="O13" i="21"/>
  <c r="P12" i="21"/>
  <c r="O12" i="21"/>
  <c r="P11" i="21"/>
  <c r="O11" i="21"/>
  <c r="P10" i="21"/>
  <c r="O10" i="21"/>
  <c r="P9" i="21"/>
  <c r="O9" i="21"/>
  <c r="P8" i="21"/>
  <c r="O8" i="21"/>
  <c r="P7" i="21"/>
  <c r="O7" i="21"/>
  <c r="P6" i="21"/>
  <c r="O6" i="21"/>
  <c r="P5" i="21"/>
  <c r="O5" i="21"/>
  <c r="P4" i="21"/>
  <c r="O4" i="21"/>
  <c r="P3" i="21"/>
  <c r="O3" i="21"/>
  <c r="P2" i="21"/>
  <c r="O2" i="21"/>
  <c r="DO50" i="1"/>
  <c r="DN50" i="1"/>
  <c r="DR49" i="1"/>
  <c r="DO48" i="1"/>
  <c r="DN48" i="1"/>
  <c r="DF48" i="1"/>
  <c r="DE48" i="1"/>
  <c r="DR47" i="1"/>
  <c r="DI47" i="1"/>
  <c r="DU44" i="1"/>
  <c r="DR44" i="1"/>
  <c r="DO44" i="1"/>
  <c r="DN44" i="1"/>
  <c r="DJ44" i="1"/>
  <c r="DH44" i="1"/>
  <c r="DE44" i="1"/>
  <c r="DT43" i="1"/>
  <c r="DR43" i="1"/>
  <c r="DQ43" i="1"/>
  <c r="DO43" i="1"/>
  <c r="DN43" i="1"/>
  <c r="DI43" i="1"/>
  <c r="DG43" i="1"/>
  <c r="DE43" i="1"/>
  <c r="DV42" i="1"/>
  <c r="DU42" i="1"/>
  <c r="DJ42" i="1"/>
  <c r="DH42" i="1"/>
  <c r="DF42" i="1"/>
  <c r="DE42" i="1"/>
  <c r="DI41" i="1"/>
  <c r="DH41" i="1"/>
  <c r="DF41" i="1"/>
  <c r="DE41" i="1"/>
  <c r="DU40" i="1"/>
  <c r="DR40" i="1"/>
  <c r="DO40" i="1"/>
  <c r="DN40" i="1"/>
  <c r="DJ40" i="1"/>
  <c r="DI40" i="1"/>
  <c r="DT39" i="1"/>
  <c r="DR39" i="1"/>
  <c r="DQ39" i="1"/>
  <c r="DO39" i="1"/>
  <c r="DN39" i="1"/>
  <c r="DV38" i="1"/>
  <c r="DU38" i="1"/>
  <c r="DJ38" i="1"/>
  <c r="DH38" i="1"/>
  <c r="DE38" i="1"/>
  <c r="DI37" i="1"/>
  <c r="DG37" i="1"/>
  <c r="DE37" i="1"/>
  <c r="DU36" i="1"/>
  <c r="DR36" i="1"/>
  <c r="DO36" i="1"/>
  <c r="DN36" i="1"/>
  <c r="DJ36" i="1"/>
  <c r="DH36" i="1"/>
  <c r="DF36" i="1"/>
  <c r="DE36" i="1"/>
  <c r="DT35" i="1"/>
  <c r="DR35" i="1"/>
  <c r="DQ35" i="1"/>
  <c r="DO35" i="1"/>
  <c r="DN35" i="1"/>
  <c r="DI35" i="1"/>
  <c r="DH35" i="1"/>
  <c r="DF35" i="1"/>
  <c r="DE35" i="1"/>
  <c r="DV34" i="1"/>
  <c r="DU34" i="1"/>
  <c r="DJ34" i="1"/>
  <c r="DI34" i="1"/>
  <c r="DV31" i="1"/>
  <c r="DT31" i="1"/>
  <c r="DQ31" i="1"/>
  <c r="DJ31" i="1"/>
  <c r="DH31" i="1"/>
  <c r="DE31" i="1"/>
  <c r="DT30" i="1"/>
  <c r="DQ30" i="1"/>
  <c r="DH30" i="1"/>
  <c r="DE30" i="1"/>
  <c r="DU29" i="1"/>
  <c r="DT29" i="1"/>
  <c r="DR29" i="1"/>
  <c r="DQ29" i="1"/>
  <c r="DI29" i="1"/>
  <c r="DH29" i="1"/>
  <c r="DF29" i="1"/>
  <c r="DE29" i="1"/>
  <c r="DV28" i="1"/>
  <c r="DU28" i="1"/>
  <c r="DP28" i="1"/>
  <c r="DN28" i="1"/>
  <c r="DK28" i="1"/>
  <c r="DJ28" i="1"/>
  <c r="DI28" i="1"/>
  <c r="DN27" i="1"/>
  <c r="DK27" i="1"/>
  <c r="DV26" i="1"/>
  <c r="DT26" i="1"/>
  <c r="DQ26" i="1"/>
  <c r="DO26" i="1"/>
  <c r="DN26" i="1"/>
  <c r="DL26" i="1"/>
  <c r="DK26" i="1"/>
  <c r="DJ26" i="1"/>
  <c r="DH26" i="1"/>
  <c r="DE26" i="1"/>
  <c r="DT25" i="1"/>
  <c r="DQ25" i="1"/>
  <c r="DP25" i="1"/>
  <c r="DO25" i="1"/>
  <c r="DH25" i="1"/>
  <c r="DE25" i="1"/>
  <c r="DU24" i="1"/>
  <c r="DT24" i="1"/>
  <c r="DR24" i="1"/>
  <c r="DQ24" i="1"/>
  <c r="DI24" i="1"/>
  <c r="DH24" i="1"/>
  <c r="DF24" i="1"/>
  <c r="DE24" i="1"/>
  <c r="DV23" i="1"/>
  <c r="DU23" i="1"/>
  <c r="DJ23" i="1"/>
  <c r="DI23" i="1"/>
  <c r="DV20" i="1"/>
  <c r="DT20" i="1"/>
  <c r="DQ20" i="1"/>
  <c r="DJ20" i="1"/>
  <c r="DH20" i="1"/>
  <c r="DE20" i="1"/>
  <c r="DT19" i="1"/>
  <c r="DQ19" i="1"/>
  <c r="DH19" i="1"/>
  <c r="DE19" i="1"/>
  <c r="DU18" i="1"/>
  <c r="DT18" i="1"/>
  <c r="DR18" i="1"/>
  <c r="DQ18" i="1"/>
  <c r="DI18" i="1"/>
  <c r="DH18" i="1"/>
  <c r="DF18" i="1"/>
  <c r="DE18" i="1"/>
  <c r="DV17" i="1"/>
  <c r="DU17" i="1"/>
  <c r="DP17" i="1"/>
  <c r="DN17" i="1"/>
  <c r="DK17" i="1"/>
  <c r="DJ17" i="1"/>
  <c r="DI17" i="1"/>
  <c r="DN16" i="1"/>
  <c r="DK16" i="1"/>
  <c r="DV15" i="1"/>
  <c r="DT15" i="1"/>
  <c r="DQ15" i="1"/>
  <c r="DO15" i="1"/>
  <c r="DN15" i="1"/>
  <c r="DL15" i="1"/>
  <c r="DK15" i="1"/>
  <c r="DJ15" i="1"/>
  <c r="DH15" i="1"/>
  <c r="DE15" i="1"/>
  <c r="DT14" i="1"/>
  <c r="DQ14" i="1"/>
  <c r="DP14" i="1"/>
  <c r="DO14" i="1"/>
  <c r="DH14" i="1"/>
  <c r="DE14" i="1"/>
  <c r="DU13" i="1"/>
  <c r="DT13" i="1"/>
  <c r="DR13" i="1"/>
  <c r="DQ13" i="1"/>
  <c r="DI13" i="1"/>
  <c r="DH13" i="1"/>
  <c r="DF13" i="1"/>
  <c r="DE13" i="1"/>
  <c r="DV12" i="1"/>
  <c r="DU12" i="1"/>
  <c r="DJ12" i="1"/>
  <c r="DI12" i="1"/>
  <c r="DV9" i="1"/>
  <c r="DT9" i="1"/>
  <c r="DQ9" i="1"/>
  <c r="DJ9" i="1"/>
  <c r="DH9" i="1"/>
  <c r="DE9" i="1"/>
  <c r="DT8" i="1"/>
  <c r="DQ8" i="1"/>
  <c r="DH8" i="1"/>
  <c r="DE8" i="1"/>
  <c r="DU7" i="1"/>
  <c r="DT7" i="1"/>
  <c r="DR7" i="1"/>
  <c r="DQ7" i="1"/>
  <c r="DI7" i="1"/>
  <c r="DH7" i="1"/>
  <c r="DF7" i="1"/>
  <c r="DE7" i="1"/>
  <c r="DV6" i="1"/>
  <c r="DU6" i="1"/>
  <c r="DP6" i="1"/>
  <c r="DN6" i="1"/>
  <c r="DK6" i="1"/>
  <c r="DJ6" i="1"/>
  <c r="DI6" i="1"/>
  <c r="DN5" i="1"/>
  <c r="DK5" i="1"/>
  <c r="DV4" i="1"/>
  <c r="DT4" i="1"/>
  <c r="DQ4" i="1"/>
  <c r="DO4" i="1"/>
  <c r="DN4" i="1"/>
  <c r="DL4" i="1"/>
  <c r="DK4" i="1"/>
  <c r="DJ4" i="1"/>
  <c r="DH4" i="1"/>
  <c r="DE4" i="1"/>
  <c r="DT3" i="1"/>
  <c r="DQ3" i="1"/>
  <c r="DP3" i="1"/>
  <c r="DO3" i="1"/>
  <c r="DH3" i="1"/>
  <c r="DE3" i="1"/>
  <c r="DU2" i="1"/>
  <c r="DT2" i="1"/>
  <c r="DR2" i="1"/>
  <c r="DQ2" i="1"/>
  <c r="DI2" i="1"/>
  <c r="DH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71" i="19"/>
  <c r="U71" i="19"/>
  <c r="S71" i="19"/>
  <c r="P71" i="19"/>
  <c r="H71" i="19"/>
  <c r="O71" i="19" s="1"/>
  <c r="W72" i="19"/>
  <c r="U72" i="19"/>
  <c r="S72" i="19"/>
  <c r="P72" i="19"/>
  <c r="H72" i="19"/>
  <c r="O72" i="19" s="1"/>
  <c r="W60" i="19"/>
  <c r="U60" i="19"/>
  <c r="S60" i="19"/>
  <c r="P60" i="19"/>
  <c r="H60" i="19"/>
  <c r="O60" i="19" s="1"/>
  <c r="W50" i="19"/>
  <c r="U50" i="19"/>
  <c r="S50" i="19"/>
  <c r="P50" i="19"/>
  <c r="H50" i="19"/>
  <c r="O50" i="19" s="1"/>
  <c r="W73" i="19"/>
  <c r="U73" i="19"/>
  <c r="S73" i="19"/>
  <c r="P73" i="19"/>
  <c r="H73" i="19"/>
  <c r="O73" i="19" s="1"/>
  <c r="W48" i="19"/>
  <c r="U48" i="19"/>
  <c r="S48" i="19"/>
  <c r="P48" i="19"/>
  <c r="H48" i="19"/>
  <c r="O48" i="19" s="1"/>
  <c r="W49" i="19"/>
  <c r="U49" i="19"/>
  <c r="S49" i="19"/>
  <c r="P49" i="19"/>
  <c r="H49" i="19"/>
  <c r="O49" i="19" s="1"/>
  <c r="W55" i="19"/>
  <c r="U55" i="19"/>
  <c r="S55" i="19"/>
  <c r="P55" i="19"/>
  <c r="H55" i="19"/>
  <c r="O55" i="19" s="1"/>
  <c r="W58" i="19"/>
  <c r="U58" i="19"/>
  <c r="S58" i="19"/>
  <c r="P58" i="19"/>
  <c r="H58" i="19"/>
  <c r="O58" i="19" s="1"/>
  <c r="W68" i="19"/>
  <c r="U68" i="19"/>
  <c r="S68" i="19"/>
  <c r="P68" i="19"/>
  <c r="H68" i="19"/>
  <c r="O68" i="19" s="1"/>
  <c r="W62" i="19"/>
  <c r="U62" i="19"/>
  <c r="S62" i="19"/>
  <c r="P62" i="19"/>
  <c r="H62" i="19"/>
  <c r="O62" i="19" s="1"/>
  <c r="W61" i="19"/>
  <c r="U61" i="19"/>
  <c r="S61" i="19"/>
  <c r="P61" i="19"/>
  <c r="H61" i="19"/>
  <c r="O61" i="19" s="1"/>
  <c r="W63" i="19"/>
  <c r="U63" i="19"/>
  <c r="S63" i="19"/>
  <c r="P63" i="19"/>
  <c r="H63" i="19"/>
  <c r="O63" i="19" s="1"/>
  <c r="W59" i="19"/>
  <c r="U59" i="19"/>
  <c r="S59" i="19"/>
  <c r="P59" i="19"/>
  <c r="H59" i="19"/>
  <c r="O59" i="19" s="1"/>
  <c r="W70" i="19"/>
  <c r="U70" i="19"/>
  <c r="S70" i="19"/>
  <c r="P70" i="19"/>
  <c r="H70" i="19"/>
  <c r="O70" i="19" s="1"/>
  <c r="W56" i="19"/>
  <c r="U56" i="19"/>
  <c r="S56" i="19"/>
  <c r="P56" i="19"/>
  <c r="H56" i="19"/>
  <c r="O56" i="19" s="1"/>
  <c r="W75" i="19"/>
  <c r="U75" i="19"/>
  <c r="S75" i="19"/>
  <c r="P75" i="19"/>
  <c r="H75" i="19"/>
  <c r="O75" i="19" s="1"/>
  <c r="W74" i="19"/>
  <c r="U74" i="19"/>
  <c r="S74" i="19"/>
  <c r="P74" i="19"/>
  <c r="H74" i="19"/>
  <c r="O74" i="19" s="1"/>
  <c r="W67" i="19"/>
  <c r="U67" i="19"/>
  <c r="S67" i="19"/>
  <c r="P67" i="19"/>
  <c r="H67" i="19"/>
  <c r="O67" i="19" s="1"/>
  <c r="W52" i="19"/>
  <c r="U52" i="19"/>
  <c r="S52" i="19"/>
  <c r="P52" i="19"/>
  <c r="H52" i="19"/>
  <c r="O52" i="19" s="1"/>
  <c r="W69" i="19"/>
  <c r="U69" i="19"/>
  <c r="S69" i="19"/>
  <c r="P69" i="19"/>
  <c r="H69" i="19"/>
  <c r="O69" i="19" s="1"/>
  <c r="W66" i="19"/>
  <c r="U66" i="19"/>
  <c r="S66" i="19"/>
  <c r="P66" i="19"/>
  <c r="H66" i="19"/>
  <c r="O66" i="19" s="1"/>
  <c r="W53" i="19"/>
  <c r="U53" i="19"/>
  <c r="S53" i="19"/>
  <c r="P53" i="19"/>
  <c r="H53" i="19"/>
  <c r="O53" i="19" s="1"/>
  <c r="W54" i="19"/>
  <c r="U54" i="19"/>
  <c r="S54" i="19"/>
  <c r="P54" i="19"/>
  <c r="H54" i="19"/>
  <c r="O54" i="19" s="1"/>
  <c r="W64" i="19"/>
  <c r="U64" i="19"/>
  <c r="S64" i="19"/>
  <c r="P64" i="19"/>
  <c r="H64" i="19"/>
  <c r="O64" i="19" s="1"/>
  <c r="W65" i="19"/>
  <c r="U65" i="19"/>
  <c r="S65" i="19"/>
  <c r="P65" i="19"/>
  <c r="H65" i="19"/>
  <c r="O65" i="19" s="1"/>
  <c r="W57" i="19"/>
  <c r="U57" i="19"/>
  <c r="S57" i="19"/>
  <c r="P57" i="19"/>
  <c r="H57" i="19"/>
  <c r="O57" i="19" s="1"/>
  <c r="W51" i="19"/>
  <c r="U51" i="19"/>
  <c r="S51" i="19"/>
  <c r="P51" i="19"/>
  <c r="H51" i="19"/>
  <c r="O51" i="19" s="1"/>
  <c r="A47" i="19"/>
  <c r="D71" i="19" s="1"/>
  <c r="R45" i="19"/>
  <c r="Q45" i="19"/>
  <c r="P45" i="19"/>
  <c r="R44" i="19"/>
  <c r="Q44" i="19"/>
  <c r="P44" i="19"/>
  <c r="R43" i="19"/>
  <c r="Q43" i="19"/>
  <c r="P43" i="19"/>
  <c r="R42" i="19"/>
  <c r="Q42" i="19"/>
  <c r="P42" i="19"/>
  <c r="R41" i="19"/>
  <c r="Q41" i="19"/>
  <c r="P41" i="19"/>
  <c r="R40" i="19"/>
  <c r="Q40" i="19"/>
  <c r="P40" i="19"/>
  <c r="R39" i="19"/>
  <c r="Q39" i="19"/>
  <c r="P39" i="19"/>
  <c r="P36" i="19"/>
  <c r="O36" i="19"/>
  <c r="P35" i="19"/>
  <c r="O35" i="19"/>
  <c r="P34" i="19"/>
  <c r="O34" i="19"/>
  <c r="P33" i="19"/>
  <c r="O33" i="19"/>
  <c r="P32" i="19"/>
  <c r="O32" i="19"/>
  <c r="P31" i="19"/>
  <c r="O31" i="19"/>
  <c r="P30" i="19"/>
  <c r="O30" i="19"/>
  <c r="P29" i="19"/>
  <c r="O29" i="19"/>
  <c r="P28" i="19"/>
  <c r="O28" i="19"/>
  <c r="P27" i="19"/>
  <c r="O27" i="19"/>
  <c r="P26" i="19"/>
  <c r="O26" i="19"/>
  <c r="P25" i="19"/>
  <c r="O25" i="19"/>
  <c r="P24" i="19"/>
  <c r="O24" i="19"/>
  <c r="P23" i="19"/>
  <c r="O23" i="19"/>
  <c r="P22" i="19"/>
  <c r="O22" i="19"/>
  <c r="P21" i="19"/>
  <c r="O21" i="19"/>
  <c r="P20" i="19"/>
  <c r="O20" i="19"/>
  <c r="P19" i="19"/>
  <c r="O19" i="19"/>
  <c r="P18" i="19"/>
  <c r="O18" i="19"/>
  <c r="P17" i="19"/>
  <c r="O17" i="19"/>
  <c r="P16" i="19"/>
  <c r="O16" i="19"/>
  <c r="P15" i="19"/>
  <c r="O15" i="19"/>
  <c r="P14" i="19"/>
  <c r="O14" i="19"/>
  <c r="P13" i="19"/>
  <c r="O13" i="19"/>
  <c r="P12" i="19"/>
  <c r="O12" i="19"/>
  <c r="P11" i="19"/>
  <c r="O11" i="19"/>
  <c r="P10" i="19"/>
  <c r="O10" i="19"/>
  <c r="P9" i="19"/>
  <c r="O9" i="19"/>
  <c r="P8" i="19"/>
  <c r="O8" i="19"/>
  <c r="P7" i="19"/>
  <c r="O7" i="19"/>
  <c r="P6" i="19"/>
  <c r="O6" i="19"/>
  <c r="P5" i="19"/>
  <c r="O5" i="19"/>
  <c r="P4" i="19"/>
  <c r="O4" i="19"/>
  <c r="P3" i="19"/>
  <c r="O3" i="19"/>
  <c r="P2" i="19"/>
  <c r="O2" i="19"/>
  <c r="Z30" i="1"/>
  <c r="Z19" i="1"/>
  <c r="D89" i="19" l="1"/>
  <c r="D88" i="19"/>
  <c r="V52" i="21"/>
  <c r="T52" i="21" s="1"/>
  <c r="V61" i="21"/>
  <c r="T61" i="21" s="1"/>
  <c r="V66" i="21"/>
  <c r="T66" i="21" s="1"/>
  <c r="V72" i="21"/>
  <c r="T72" i="21" s="1"/>
  <c r="V71" i="21"/>
  <c r="T71" i="21" s="1"/>
  <c r="V62" i="21"/>
  <c r="T62" i="21" s="1"/>
  <c r="V60" i="21"/>
  <c r="T60" i="21" s="1"/>
  <c r="V69" i="21"/>
  <c r="T69" i="21" s="1"/>
  <c r="V53" i="21"/>
  <c r="T53" i="21" s="1"/>
  <c r="V54" i="21"/>
  <c r="T54" i="21" s="1"/>
  <c r="V64" i="21"/>
  <c r="T64" i="21" s="1"/>
  <c r="V75" i="21"/>
  <c r="T75" i="21" s="1"/>
  <c r="V67" i="21"/>
  <c r="T67" i="21" s="1"/>
  <c r="V58" i="21"/>
  <c r="T58" i="21" s="1"/>
  <c r="V63" i="21"/>
  <c r="T63" i="21" s="1"/>
  <c r="V68" i="21"/>
  <c r="T68" i="21" s="1"/>
  <c r="V55" i="21"/>
  <c r="T55" i="21" s="1"/>
  <c r="V48" i="21"/>
  <c r="T48" i="21" s="1"/>
  <c r="V49" i="21"/>
  <c r="T49" i="21" s="1"/>
  <c r="V57" i="21"/>
  <c r="T57" i="21" s="1"/>
  <c r="V65" i="21"/>
  <c r="T65" i="21" s="1"/>
  <c r="V73" i="21"/>
  <c r="T73" i="21" s="1"/>
  <c r="V70" i="21"/>
  <c r="T70" i="21" s="1"/>
  <c r="V74" i="21"/>
  <c r="T74" i="21" s="1"/>
  <c r="V51" i="21"/>
  <c r="T51" i="21" s="1"/>
  <c r="V59" i="21"/>
  <c r="T59" i="21" s="1"/>
  <c r="V66" i="19"/>
  <c r="T66" i="19" s="1"/>
  <c r="V65" i="19"/>
  <c r="T65" i="19" s="1"/>
  <c r="V56" i="19"/>
  <c r="T56" i="19" s="1"/>
  <c r="V63" i="19"/>
  <c r="T63" i="19" s="1"/>
  <c r="V76" i="19"/>
  <c r="T76" i="19" s="1"/>
  <c r="V68" i="19"/>
  <c r="T68" i="19" s="1"/>
  <c r="V61" i="19"/>
  <c r="T61" i="19" s="1"/>
  <c r="V52" i="19"/>
  <c r="T52" i="19" s="1"/>
  <c r="V50" i="19"/>
  <c r="T50" i="19" s="1"/>
  <c r="V54" i="19"/>
  <c r="T54" i="19" s="1"/>
  <c r="V48" i="19"/>
  <c r="T48" i="19" s="1"/>
  <c r="V55" i="19"/>
  <c r="T55" i="19" s="1"/>
  <c r="V73" i="19"/>
  <c r="T73" i="19" s="1"/>
  <c r="V64" i="19"/>
  <c r="T64" i="19" s="1"/>
  <c r="V74" i="19"/>
  <c r="T74" i="19" s="1"/>
  <c r="V72" i="19"/>
  <c r="T72" i="19" s="1"/>
  <c r="D65" i="19"/>
  <c r="D48" i="19"/>
  <c r="D87" i="19"/>
  <c r="D86" i="19"/>
  <c r="D53" i="19"/>
  <c r="D59" i="19"/>
  <c r="D51" i="19"/>
  <c r="D49" i="19"/>
  <c r="D68" i="19"/>
  <c r="D54" i="19"/>
  <c r="D70" i="19"/>
  <c r="D52" i="19"/>
  <c r="D66" i="19"/>
  <c r="D74" i="19"/>
  <c r="D56" i="19"/>
  <c r="V53" i="19"/>
  <c r="T53" i="19" s="1"/>
  <c r="V70" i="19"/>
  <c r="T70" i="19" s="1"/>
  <c r="D55" i="19"/>
  <c r="V49" i="19"/>
  <c r="T49" i="19" s="1"/>
  <c r="D76" i="19"/>
  <c r="V59" i="19"/>
  <c r="T59" i="19" s="1"/>
  <c r="V69" i="19"/>
  <c r="T69" i="19" s="1"/>
  <c r="V51" i="19"/>
  <c r="T51" i="19" s="1"/>
  <c r="D69" i="19"/>
  <c r="D63" i="19"/>
  <c r="D73" i="19"/>
  <c r="V57" i="19"/>
  <c r="T57" i="19" s="1"/>
  <c r="V67" i="19"/>
  <c r="T67" i="19" s="1"/>
  <c r="D61" i="19"/>
  <c r="V62" i="19"/>
  <c r="T62" i="19" s="1"/>
  <c r="D50" i="19"/>
  <c r="V60" i="19"/>
  <c r="T60" i="19" s="1"/>
  <c r="D57" i="19"/>
  <c r="D67" i="19"/>
  <c r="D62" i="19"/>
  <c r="D60" i="19"/>
  <c r="V75" i="19"/>
  <c r="T75" i="19" s="1"/>
  <c r="V58" i="19"/>
  <c r="T58" i="19" s="1"/>
  <c r="D72" i="19"/>
  <c r="V71" i="19"/>
  <c r="T71" i="19" s="1"/>
  <c r="D64" i="19"/>
  <c r="D75" i="19"/>
  <c r="D58" i="19"/>
  <c r="AI44" i="1"/>
  <c r="AF44" i="1"/>
  <c r="AB44" i="1"/>
  <c r="V44" i="1"/>
  <c r="S44" i="1"/>
  <c r="Q44" i="1"/>
  <c r="N44" i="1"/>
  <c r="J44" i="1"/>
  <c r="D44" i="1"/>
  <c r="A44" i="1"/>
  <c r="AF43" i="1"/>
  <c r="AC43" i="1"/>
  <c r="AB43" i="1"/>
  <c r="N43" i="1"/>
  <c r="K43" i="1"/>
  <c r="J43" i="1"/>
  <c r="AJ42" i="1"/>
  <c r="AI42" i="1"/>
  <c r="R42" i="1"/>
  <c r="Q42" i="1"/>
  <c r="E41" i="1"/>
  <c r="B41" i="1"/>
  <c r="A41" i="1"/>
  <c r="AI40" i="1"/>
  <c r="AF40" i="1"/>
  <c r="AB40" i="1"/>
  <c r="X40" i="1"/>
  <c r="W40" i="1"/>
  <c r="Q40" i="1"/>
  <c r="N40" i="1"/>
  <c r="J40" i="1"/>
  <c r="F40" i="1"/>
  <c r="E40" i="1"/>
  <c r="AF39" i="1"/>
  <c r="AC39" i="1"/>
  <c r="AB39" i="1"/>
  <c r="N39" i="1"/>
  <c r="K39" i="1"/>
  <c r="J39" i="1"/>
  <c r="AJ38" i="1"/>
  <c r="AI38" i="1"/>
  <c r="V38" i="1"/>
  <c r="S38" i="1"/>
  <c r="R38" i="1"/>
  <c r="Q38" i="1"/>
  <c r="D38" i="1"/>
  <c r="A38" i="1"/>
  <c r="AI36" i="1"/>
  <c r="AF36" i="1"/>
  <c r="AB36" i="1"/>
  <c r="Q36" i="1"/>
  <c r="N36" i="1"/>
  <c r="J36" i="1"/>
  <c r="AE35" i="1"/>
  <c r="AC35" i="1"/>
  <c r="AB35" i="1"/>
  <c r="N35" i="1"/>
  <c r="K35" i="1"/>
  <c r="J35" i="1"/>
  <c r="E35" i="1"/>
  <c r="B35" i="1"/>
  <c r="A35" i="1"/>
  <c r="AJ34" i="1"/>
  <c r="AI34" i="1"/>
  <c r="X34" i="1"/>
  <c r="W34" i="1"/>
  <c r="R34" i="1"/>
  <c r="Q34" i="1"/>
  <c r="F34" i="1"/>
  <c r="E34" i="1"/>
  <c r="AJ31" i="1"/>
  <c r="AH31" i="1"/>
  <c r="AE31" i="1"/>
  <c r="X31" i="1"/>
  <c r="V31" i="1"/>
  <c r="S31" i="1"/>
  <c r="R31" i="1"/>
  <c r="P31" i="1"/>
  <c r="M31" i="1"/>
  <c r="F31" i="1"/>
  <c r="D31" i="1"/>
  <c r="A31" i="1"/>
  <c r="AI29" i="1"/>
  <c r="AF29" i="1"/>
  <c r="AE29" i="1"/>
  <c r="W29" i="1"/>
  <c r="T29" i="1"/>
  <c r="S29" i="1"/>
  <c r="Q29" i="1"/>
  <c r="N29" i="1"/>
  <c r="M29" i="1"/>
  <c r="E29" i="1"/>
  <c r="B29" i="1"/>
  <c r="A29" i="1"/>
  <c r="AJ28" i="1"/>
  <c r="AI28" i="1"/>
  <c r="AD28" i="1"/>
  <c r="AB28" i="1"/>
  <c r="Y28" i="1"/>
  <c r="X28" i="1"/>
  <c r="W28" i="1"/>
  <c r="R28" i="1"/>
  <c r="Q28" i="1"/>
  <c r="L28" i="1"/>
  <c r="J28" i="1"/>
  <c r="G28" i="1"/>
  <c r="F28" i="1"/>
  <c r="E28" i="1"/>
  <c r="AJ26" i="1"/>
  <c r="AH26" i="1"/>
  <c r="AE26" i="1"/>
  <c r="AC26" i="1"/>
  <c r="Z26" i="1"/>
  <c r="Y26" i="1"/>
  <c r="X26" i="1"/>
  <c r="V26" i="1"/>
  <c r="S26" i="1"/>
  <c r="R26" i="1"/>
  <c r="P26" i="1"/>
  <c r="M26" i="1"/>
  <c r="K26" i="1"/>
  <c r="H26" i="1"/>
  <c r="G26" i="1"/>
  <c r="F26" i="1"/>
  <c r="D26" i="1"/>
  <c r="A26" i="1"/>
  <c r="AD25" i="1"/>
  <c r="AC25" i="1"/>
  <c r="L25" i="1"/>
  <c r="K25" i="1"/>
  <c r="AI24" i="1"/>
  <c r="AF24" i="1"/>
  <c r="AE24" i="1"/>
  <c r="W24" i="1"/>
  <c r="T24" i="1"/>
  <c r="S24" i="1"/>
  <c r="Q24" i="1"/>
  <c r="N24" i="1"/>
  <c r="M24" i="1"/>
  <c r="E24" i="1"/>
  <c r="B24" i="1"/>
  <c r="A24" i="1"/>
  <c r="AJ23" i="1"/>
  <c r="AI23" i="1"/>
  <c r="X23" i="1"/>
  <c r="W23" i="1"/>
  <c r="R23" i="1"/>
  <c r="Q23" i="1"/>
  <c r="F23" i="1"/>
  <c r="E23" i="1"/>
  <c r="AJ20" i="1"/>
  <c r="AH20" i="1"/>
  <c r="AE20" i="1"/>
  <c r="X20" i="1"/>
  <c r="V20" i="1"/>
  <c r="S20" i="1"/>
  <c r="R20" i="1"/>
  <c r="P20" i="1"/>
  <c r="M20" i="1"/>
  <c r="F20" i="1"/>
  <c r="D20" i="1"/>
  <c r="A20" i="1"/>
  <c r="AI18" i="1"/>
  <c r="AF18" i="1"/>
  <c r="AE18" i="1"/>
  <c r="W18" i="1"/>
  <c r="T18" i="1"/>
  <c r="S18" i="1"/>
  <c r="Q18" i="1"/>
  <c r="N18" i="1"/>
  <c r="M18" i="1"/>
  <c r="E18" i="1"/>
  <c r="B18" i="1"/>
  <c r="A18" i="1"/>
  <c r="AJ17" i="1"/>
  <c r="AI17" i="1"/>
  <c r="AD17" i="1"/>
  <c r="AB17" i="1"/>
  <c r="Y17" i="1"/>
  <c r="X17" i="1"/>
  <c r="W17" i="1"/>
  <c r="R17" i="1"/>
  <c r="Q17" i="1"/>
  <c r="L17" i="1"/>
  <c r="J17" i="1"/>
  <c r="G17" i="1"/>
  <c r="F17" i="1"/>
  <c r="E17" i="1"/>
  <c r="AJ15" i="1"/>
  <c r="AH15" i="1"/>
  <c r="AE15" i="1"/>
  <c r="AC15" i="1"/>
  <c r="Z15" i="1"/>
  <c r="Y15" i="1"/>
  <c r="X15" i="1"/>
  <c r="V15" i="1"/>
  <c r="S15" i="1"/>
  <c r="R15" i="1"/>
  <c r="P15" i="1"/>
  <c r="M15" i="1"/>
  <c r="K15" i="1"/>
  <c r="H15" i="1"/>
  <c r="G15" i="1"/>
  <c r="F15" i="1"/>
  <c r="D15" i="1"/>
  <c r="A15" i="1"/>
  <c r="AD14" i="1"/>
  <c r="AC14" i="1"/>
  <c r="L14" i="1"/>
  <c r="K14" i="1"/>
  <c r="AI13" i="1"/>
  <c r="AF13" i="1"/>
  <c r="AE13" i="1"/>
  <c r="W13" i="1"/>
  <c r="T13" i="1"/>
  <c r="S13" i="1"/>
  <c r="Q13" i="1"/>
  <c r="N13" i="1"/>
  <c r="M13" i="1"/>
  <c r="E13" i="1"/>
  <c r="B13" i="1"/>
  <c r="A13" i="1"/>
  <c r="AJ12" i="1"/>
  <c r="AI12" i="1"/>
  <c r="X12" i="1"/>
  <c r="W12" i="1"/>
  <c r="R12" i="1"/>
  <c r="Q12" i="1"/>
  <c r="F12" i="1"/>
  <c r="E12" i="1"/>
  <c r="AJ9" i="1"/>
  <c r="AH9" i="1"/>
  <c r="AE9" i="1"/>
  <c r="X9" i="1"/>
  <c r="V9" i="1"/>
  <c r="S9" i="1"/>
  <c r="R9" i="1"/>
  <c r="P9" i="1"/>
  <c r="M9" i="1"/>
  <c r="F9" i="1"/>
  <c r="D9" i="1"/>
  <c r="A9" i="1"/>
  <c r="AI7" i="1"/>
  <c r="AF7" i="1"/>
  <c r="AE7" i="1"/>
  <c r="W7" i="1"/>
  <c r="T7" i="1"/>
  <c r="S7" i="1"/>
  <c r="Q7" i="1"/>
  <c r="N7" i="1"/>
  <c r="M7" i="1"/>
  <c r="E7" i="1"/>
  <c r="B7" i="1"/>
  <c r="A7" i="1"/>
  <c r="AJ6" i="1"/>
  <c r="AI6" i="1"/>
  <c r="AD6" i="1"/>
  <c r="AB6" i="1"/>
  <c r="Y6" i="1"/>
  <c r="X6" i="1"/>
  <c r="W6" i="1"/>
  <c r="R6" i="1"/>
  <c r="Q6" i="1"/>
  <c r="L6" i="1"/>
  <c r="J6" i="1"/>
  <c r="G6" i="1"/>
  <c r="F6" i="1"/>
  <c r="E6" i="1"/>
  <c r="AJ4" i="1"/>
  <c r="AH4" i="1"/>
  <c r="AE4" i="1"/>
  <c r="AC4" i="1"/>
  <c r="Z4" i="1"/>
  <c r="Y4" i="1"/>
  <c r="X4" i="1"/>
  <c r="V4" i="1"/>
  <c r="S4" i="1"/>
  <c r="R4" i="1"/>
  <c r="P4" i="1"/>
  <c r="M4" i="1"/>
  <c r="K4" i="1"/>
  <c r="H4" i="1"/>
  <c r="G4" i="1"/>
  <c r="F4" i="1"/>
  <c r="D4" i="1"/>
  <c r="A4" i="1"/>
  <c r="AD3" i="1"/>
  <c r="AC3" i="1"/>
  <c r="L3" i="1"/>
  <c r="K3" i="1"/>
  <c r="AI2" i="1"/>
  <c r="AF2" i="1"/>
  <c r="AE2" i="1"/>
  <c r="W2" i="1"/>
  <c r="T2" i="1"/>
  <c r="S2" i="1"/>
  <c r="Q2" i="1"/>
  <c r="N2" i="1"/>
  <c r="M2" i="1"/>
  <c r="E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F9" i="18"/>
  <c r="C3" i="18"/>
  <c r="J5" i="18"/>
  <c r="K5" i="18"/>
  <c r="F2" i="18"/>
  <c r="I3" i="18"/>
  <c r="H7" i="18"/>
  <c r="K7" i="18"/>
  <c r="E3" i="18"/>
  <c r="F6" i="18"/>
  <c r="E2" i="18"/>
  <c r="C2" i="18"/>
  <c r="D8" i="18"/>
  <c r="N8" i="18"/>
  <c r="B5" i="18"/>
  <c r="D2" i="18"/>
  <c r="K8" i="18"/>
  <c r="G2" i="18"/>
  <c r="L6" i="18"/>
  <c r="I4" i="18"/>
  <c r="L9" i="18"/>
  <c r="G6" i="18"/>
  <c r="K9" i="18"/>
  <c r="O6" i="18"/>
  <c r="L4" i="18"/>
  <c r="I8" i="18"/>
  <c r="C5" i="18"/>
  <c r="L7" i="18"/>
  <c r="E4" i="18"/>
  <c r="K2" i="18"/>
  <c r="G5" i="18"/>
  <c r="N2" i="18"/>
  <c r="J2" i="18"/>
  <c r="O5" i="18"/>
  <c r="M7" i="18"/>
  <c r="B8" i="18"/>
  <c r="E8" i="18"/>
  <c r="D9" i="18"/>
  <c r="M9" i="18"/>
  <c r="B3" i="18"/>
  <c r="M2" i="18"/>
  <c r="I2" i="18"/>
  <c r="L8" i="18"/>
  <c r="G3" i="18"/>
  <c r="O9" i="18"/>
  <c r="B6" i="18"/>
  <c r="H2" i="18"/>
  <c r="E9" i="18"/>
  <c r="J6" i="18"/>
  <c r="G8" i="18"/>
  <c r="D6" i="18"/>
  <c r="E7" i="18"/>
  <c r="N5" i="18"/>
  <c r="H9" i="18"/>
  <c r="G7" i="18"/>
  <c r="J9" i="18"/>
  <c r="H5" i="18"/>
  <c r="H4" i="18"/>
  <c r="B2" i="18"/>
  <c r="D3" i="18"/>
  <c r="C7" i="18"/>
  <c r="K3" i="18"/>
  <c r="F7" i="18"/>
  <c r="O7" i="18"/>
  <c r="I5" i="18"/>
  <c r="L5" i="18"/>
  <c r="C6" i="18"/>
  <c r="I7" i="18"/>
  <c r="O2" i="18"/>
  <c r="C8" i="18"/>
  <c r="O4" i="18"/>
  <c r="B4" i="18"/>
  <c r="J4" i="18"/>
  <c r="G9" i="18"/>
  <c r="O8" i="18"/>
  <c r="H6" i="18"/>
  <c r="K4" i="18"/>
  <c r="D5" i="18"/>
  <c r="M5" i="18"/>
  <c r="N4" i="18"/>
  <c r="F4" i="18"/>
  <c r="I6" i="18"/>
  <c r="I9" i="18"/>
  <c r="J8" i="18"/>
  <c r="E6" i="18"/>
  <c r="D4" i="18"/>
  <c r="M4" i="18"/>
  <c r="D7" i="18"/>
  <c r="M3" i="18"/>
  <c r="M6" i="18"/>
  <c r="B7" i="18"/>
  <c r="J7" i="18"/>
  <c r="N9" i="18"/>
  <c r="F5" i="18"/>
  <c r="N7" i="18"/>
  <c r="C4" i="18"/>
  <c r="N6" i="18"/>
  <c r="G4" i="18"/>
  <c r="L2" i="18"/>
  <c r="H8" i="18"/>
  <c r="K6" i="18"/>
  <c r="E5" i="18"/>
  <c r="B9" i="18"/>
  <c r="M8" i="18"/>
  <c r="C9" i="18"/>
  <c r="F8" i="18"/>
  <c r="CW50" i="1" l="1"/>
  <c r="CZ49" i="1"/>
  <c r="CW48" i="1"/>
  <c r="CN48" i="1"/>
  <c r="CZ47" i="1"/>
  <c r="CQ47" i="1"/>
  <c r="DC44" i="1"/>
  <c r="CZ44" i="1"/>
  <c r="CV44" i="1"/>
  <c r="CR44" i="1"/>
  <c r="CP44" i="1"/>
  <c r="CM44" i="1"/>
  <c r="DB43" i="1"/>
  <c r="CZ43" i="1"/>
  <c r="CW43" i="1"/>
  <c r="CV43" i="1"/>
  <c r="CM43" i="1"/>
  <c r="DD42" i="1"/>
  <c r="DC42" i="1"/>
  <c r="CP42" i="1"/>
  <c r="CN42" i="1"/>
  <c r="CM42" i="1"/>
  <c r="CQ41" i="1"/>
  <c r="CN41" i="1"/>
  <c r="CM41" i="1"/>
  <c r="DC40" i="1"/>
  <c r="CZ40" i="1"/>
  <c r="CV40" i="1"/>
  <c r="CR40" i="1"/>
  <c r="CQ40" i="1"/>
  <c r="DB39" i="1"/>
  <c r="CZ39" i="1"/>
  <c r="CW39" i="1"/>
  <c r="CV39" i="1"/>
  <c r="DD38" i="1"/>
  <c r="DC38" i="1"/>
  <c r="CR38" i="1"/>
  <c r="CP38" i="1"/>
  <c r="CM38" i="1"/>
  <c r="CO37" i="1"/>
  <c r="CM37" i="1"/>
  <c r="DC36" i="1"/>
  <c r="CZ36" i="1"/>
  <c r="CV36" i="1"/>
  <c r="CP36" i="1"/>
  <c r="CM36" i="1"/>
  <c r="DB35" i="1"/>
  <c r="CZ35" i="1"/>
  <c r="CW35" i="1"/>
  <c r="CV35" i="1"/>
  <c r="CQ35" i="1"/>
  <c r="CN35" i="1"/>
  <c r="CM35" i="1"/>
  <c r="DD34" i="1"/>
  <c r="DC34" i="1"/>
  <c r="CR34" i="1"/>
  <c r="CQ34" i="1"/>
  <c r="DD31" i="1"/>
  <c r="DB31" i="1"/>
  <c r="CY31" i="1"/>
  <c r="CR31" i="1"/>
  <c r="CP31" i="1"/>
  <c r="CM31" i="1"/>
  <c r="DB30" i="1"/>
  <c r="CY30" i="1"/>
  <c r="CM30" i="1"/>
  <c r="DC29" i="1"/>
  <c r="DB29" i="1"/>
  <c r="CZ29" i="1"/>
  <c r="CY29" i="1"/>
  <c r="CQ29" i="1"/>
  <c r="CN29" i="1"/>
  <c r="CM29" i="1"/>
  <c r="DD28" i="1"/>
  <c r="DC28" i="1"/>
  <c r="CX28" i="1"/>
  <c r="CV28" i="1"/>
  <c r="CS28" i="1"/>
  <c r="CR28" i="1"/>
  <c r="CQ28" i="1"/>
  <c r="CS27" i="1"/>
  <c r="DD26" i="1"/>
  <c r="DB26" i="1"/>
  <c r="CY26" i="1"/>
  <c r="CW26" i="1"/>
  <c r="CT26" i="1"/>
  <c r="CS26" i="1"/>
  <c r="CR26" i="1"/>
  <c r="CP26" i="1"/>
  <c r="CM26" i="1"/>
  <c r="CY25" i="1"/>
  <c r="CX25" i="1"/>
  <c r="CW25" i="1"/>
  <c r="CM25" i="1"/>
  <c r="DC24" i="1"/>
  <c r="CZ24" i="1"/>
  <c r="CY24" i="1"/>
  <c r="CQ24" i="1"/>
  <c r="CN24" i="1"/>
  <c r="CM24" i="1"/>
  <c r="DD23" i="1"/>
  <c r="DC23" i="1"/>
  <c r="CR23" i="1"/>
  <c r="CQ23" i="1"/>
  <c r="DD20" i="1"/>
  <c r="DB20" i="1"/>
  <c r="CY20" i="1"/>
  <c r="CR20" i="1"/>
  <c r="CP20" i="1"/>
  <c r="CM20" i="1"/>
  <c r="CY19" i="1"/>
  <c r="CM19" i="1"/>
  <c r="DC18" i="1"/>
  <c r="CZ18" i="1"/>
  <c r="CY18" i="1"/>
  <c r="CQ18" i="1"/>
  <c r="CN18" i="1"/>
  <c r="CM18" i="1"/>
  <c r="DD17" i="1"/>
  <c r="DC17" i="1"/>
  <c r="CX17" i="1"/>
  <c r="CV17" i="1"/>
  <c r="CS17" i="1"/>
  <c r="CR17" i="1"/>
  <c r="CQ17" i="1"/>
  <c r="CS16" i="1"/>
  <c r="DD15" i="1"/>
  <c r="DB15" i="1"/>
  <c r="CY15" i="1"/>
  <c r="CW15" i="1"/>
  <c r="CT15" i="1"/>
  <c r="CS15" i="1"/>
  <c r="CR15" i="1"/>
  <c r="CP15" i="1"/>
  <c r="CM15" i="1"/>
  <c r="CY14" i="1"/>
  <c r="CX14" i="1"/>
  <c r="CW14" i="1"/>
  <c r="CM14" i="1"/>
  <c r="DC13" i="1"/>
  <c r="CZ13" i="1"/>
  <c r="CY13" i="1"/>
  <c r="CQ13" i="1"/>
  <c r="CN13" i="1"/>
  <c r="CM13" i="1"/>
  <c r="DD12" i="1"/>
  <c r="DC12" i="1"/>
  <c r="CR12" i="1"/>
  <c r="CQ12" i="1"/>
  <c r="DD9" i="1"/>
  <c r="DB9" i="1"/>
  <c r="CY9" i="1"/>
  <c r="CR9" i="1"/>
  <c r="CP9" i="1"/>
  <c r="CM9" i="1"/>
  <c r="CY8" i="1"/>
  <c r="CM8" i="1"/>
  <c r="DC7" i="1"/>
  <c r="CZ7" i="1"/>
  <c r="CY7" i="1"/>
  <c r="CQ7" i="1"/>
  <c r="CN7" i="1"/>
  <c r="CM7" i="1"/>
  <c r="DD6" i="1"/>
  <c r="DC6" i="1"/>
  <c r="CX6" i="1"/>
  <c r="CV6" i="1"/>
  <c r="CS6" i="1"/>
  <c r="CR6" i="1"/>
  <c r="CQ6" i="1"/>
  <c r="CS5" i="1"/>
  <c r="DD4" i="1"/>
  <c r="DB4" i="1"/>
  <c r="CY4" i="1"/>
  <c r="CW4" i="1"/>
  <c r="CT4" i="1"/>
  <c r="CS4" i="1"/>
  <c r="CR4" i="1"/>
  <c r="CP4" i="1"/>
  <c r="CM4" i="1"/>
  <c r="CY3" i="1"/>
  <c r="CX3" i="1"/>
  <c r="CW3" i="1"/>
  <c r="CM3" i="1"/>
  <c r="DC2" i="1"/>
  <c r="CZ2" i="1"/>
  <c r="CY2" i="1"/>
  <c r="CQ2" i="1"/>
  <c r="CN2" i="1"/>
  <c r="CM2" i="1"/>
  <c r="DD1" i="1"/>
  <c r="DC1" i="1"/>
  <c r="CR1" i="1"/>
  <c r="CQ1" i="1"/>
  <c r="CT30" i="1"/>
  <c r="CT19" i="1"/>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2" i="13"/>
  <c r="P2" i="11"/>
  <c r="P2" i="7"/>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6"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2" i="2"/>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55" i="15"/>
  <c r="U55" i="15"/>
  <c r="S55" i="15"/>
  <c r="CQ37" i="1" s="1"/>
  <c r="P55" i="15"/>
  <c r="H55" i="15"/>
  <c r="O55" i="15" s="1"/>
  <c r="W64" i="15"/>
  <c r="U64" i="15"/>
  <c r="S64" i="15"/>
  <c r="P64" i="15"/>
  <c r="H64" i="15"/>
  <c r="O64" i="15" s="1"/>
  <c r="W76" i="15"/>
  <c r="U76" i="15"/>
  <c r="S76" i="15"/>
  <c r="CQ43" i="1" s="1"/>
  <c r="P76" i="15"/>
  <c r="H76" i="15"/>
  <c r="O76" i="15" s="1"/>
  <c r="W56" i="15"/>
  <c r="U56" i="15"/>
  <c r="S56" i="15"/>
  <c r="P56" i="15"/>
  <c r="H56" i="15"/>
  <c r="O56" i="15" s="1"/>
  <c r="W66" i="15"/>
  <c r="U66" i="15"/>
  <c r="S66" i="15"/>
  <c r="P66" i="15"/>
  <c r="H66" i="15"/>
  <c r="O66" i="15" s="1"/>
  <c r="W48" i="15"/>
  <c r="U48" i="15"/>
  <c r="S48" i="15"/>
  <c r="P48" i="15"/>
  <c r="H48" i="15"/>
  <c r="O48" i="15" s="1"/>
  <c r="W73" i="15"/>
  <c r="U73" i="15"/>
  <c r="S73" i="15"/>
  <c r="P73" i="15"/>
  <c r="H73" i="15"/>
  <c r="O73" i="15" s="1"/>
  <c r="DB25" i="1" s="1"/>
  <c r="W71" i="15"/>
  <c r="U71" i="15"/>
  <c r="S71" i="15"/>
  <c r="P71" i="15"/>
  <c r="H71" i="15"/>
  <c r="O71" i="15" s="1"/>
  <c r="W50" i="15"/>
  <c r="U50" i="15"/>
  <c r="S50" i="15"/>
  <c r="P50" i="15"/>
  <c r="H50" i="15"/>
  <c r="O50" i="15" s="1"/>
  <c r="W74" i="15"/>
  <c r="U74" i="15"/>
  <c r="S74" i="15"/>
  <c r="P74" i="15"/>
  <c r="H74" i="15"/>
  <c r="O74" i="15" s="1"/>
  <c r="W67" i="15"/>
  <c r="U67" i="15"/>
  <c r="S67" i="15"/>
  <c r="P67" i="15"/>
  <c r="H67" i="15"/>
  <c r="O67" i="15" s="1"/>
  <c r="W72" i="15"/>
  <c r="U72" i="15"/>
  <c r="S72" i="15"/>
  <c r="P72" i="15"/>
  <c r="O72" i="15"/>
  <c r="CP30" i="1" s="1"/>
  <c r="H72" i="15"/>
  <c r="W54" i="15"/>
  <c r="U54" i="15"/>
  <c r="S54" i="15"/>
  <c r="P54" i="15"/>
  <c r="H54" i="15"/>
  <c r="O54" i="15" s="1"/>
  <c r="CW40" i="1" s="1"/>
  <c r="W53" i="15"/>
  <c r="U53" i="15"/>
  <c r="S53" i="15"/>
  <c r="P53" i="15"/>
  <c r="H53" i="15"/>
  <c r="O53" i="15" s="1"/>
  <c r="CP25" i="1" s="1"/>
  <c r="W68" i="15"/>
  <c r="U68" i="15"/>
  <c r="S68" i="15"/>
  <c r="P68" i="15"/>
  <c r="H68" i="15"/>
  <c r="O68" i="15" s="1"/>
  <c r="W60" i="15"/>
  <c r="U60" i="15"/>
  <c r="S60" i="15"/>
  <c r="P60" i="15"/>
  <c r="H60" i="15"/>
  <c r="O60" i="15" s="1"/>
  <c r="CV27" i="1" s="1"/>
  <c r="W58" i="15"/>
  <c r="U58" i="15"/>
  <c r="S58" i="15"/>
  <c r="P58" i="15"/>
  <c r="H58" i="15"/>
  <c r="O58" i="15" s="1"/>
  <c r="CV16" i="1" s="1"/>
  <c r="W70" i="15"/>
  <c r="U70" i="15"/>
  <c r="S70" i="15"/>
  <c r="P70" i="15"/>
  <c r="H70" i="15"/>
  <c r="O70" i="15" s="1"/>
  <c r="CP19" i="1" s="1"/>
  <c r="W49" i="15"/>
  <c r="U49" i="15"/>
  <c r="S49" i="15"/>
  <c r="P49" i="15"/>
  <c r="H49" i="15"/>
  <c r="O49" i="15" s="1"/>
  <c r="CP8" i="1" s="1"/>
  <c r="W61" i="15"/>
  <c r="U61" i="15"/>
  <c r="S61" i="15"/>
  <c r="P61" i="15"/>
  <c r="H61" i="15"/>
  <c r="O61" i="15" s="1"/>
  <c r="W75" i="15"/>
  <c r="U75" i="15"/>
  <c r="S75" i="15"/>
  <c r="P75" i="15"/>
  <c r="H75" i="15"/>
  <c r="O75" i="15" s="1"/>
  <c r="CP14" i="1" s="1"/>
  <c r="W59" i="15"/>
  <c r="U59" i="15"/>
  <c r="S59" i="15"/>
  <c r="P59" i="15"/>
  <c r="H59" i="15"/>
  <c r="O59" i="15" s="1"/>
  <c r="DB3" i="1" s="1"/>
  <c r="W65" i="15"/>
  <c r="U65" i="15"/>
  <c r="S65" i="15"/>
  <c r="P65" i="15"/>
  <c r="H65" i="15"/>
  <c r="O65" i="15" s="1"/>
  <c r="DB8" i="1" s="1"/>
  <c r="W69" i="15"/>
  <c r="U69" i="15"/>
  <c r="S69" i="15"/>
  <c r="P69" i="15"/>
  <c r="H69" i="15"/>
  <c r="O69" i="15" s="1"/>
  <c r="CW44" i="1" s="1"/>
  <c r="W62" i="15"/>
  <c r="U62" i="15"/>
  <c r="S62" i="15"/>
  <c r="P62" i="15"/>
  <c r="H62" i="15"/>
  <c r="O62" i="15" s="1"/>
  <c r="DB19" i="1" s="1"/>
  <c r="W57" i="15"/>
  <c r="U57" i="15"/>
  <c r="S57" i="15"/>
  <c r="P57" i="15"/>
  <c r="H57" i="15"/>
  <c r="O57" i="15" s="1"/>
  <c r="CW36" i="1" s="1"/>
  <c r="W51" i="15"/>
  <c r="U51" i="15"/>
  <c r="S51" i="15"/>
  <c r="P51" i="15"/>
  <c r="H51" i="15"/>
  <c r="O51" i="15" s="1"/>
  <c r="DB14" i="1" s="1"/>
  <c r="W63" i="15"/>
  <c r="U63" i="15"/>
  <c r="S63" i="15"/>
  <c r="P63" i="15"/>
  <c r="H63" i="15"/>
  <c r="O63" i="15" s="1"/>
  <c r="CP3" i="1" s="1"/>
  <c r="W52" i="15"/>
  <c r="U52" i="15"/>
  <c r="S52" i="15"/>
  <c r="P52" i="15"/>
  <c r="H52" i="15"/>
  <c r="O52" i="15" s="1"/>
  <c r="CV5" i="1" s="1"/>
  <c r="A47" i="15"/>
  <c r="D49" i="15" s="1"/>
  <c r="CP7" i="1" s="1"/>
  <c r="R45" i="15"/>
  <c r="Q45" i="15"/>
  <c r="P45" i="15"/>
  <c r="R44" i="15"/>
  <c r="Q44" i="15"/>
  <c r="P44" i="15"/>
  <c r="R43" i="15"/>
  <c r="Q43" i="15"/>
  <c r="P43" i="15"/>
  <c r="R42" i="15"/>
  <c r="Q42" i="15"/>
  <c r="P42" i="15"/>
  <c r="R41" i="15"/>
  <c r="Q41" i="15"/>
  <c r="CR42" i="1" s="1"/>
  <c r="P41" i="15"/>
  <c r="CO43" i="1" s="1"/>
  <c r="R40" i="15"/>
  <c r="Q40" i="15"/>
  <c r="P40" i="15"/>
  <c r="R39" i="15"/>
  <c r="CN36" i="1" s="1"/>
  <c r="Q39" i="15"/>
  <c r="CR36" i="1" s="1"/>
  <c r="P39" i="15"/>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M75" i="1"/>
  <c r="J79" i="1"/>
  <c r="M82" i="1"/>
  <c r="P74" i="1"/>
  <c r="M73" i="1"/>
  <c r="J74" i="1"/>
  <c r="J78" i="1"/>
  <c r="M71" i="1"/>
  <c r="J71" i="1"/>
  <c r="L3" i="18"/>
  <c r="M79" i="1"/>
  <c r="J75" i="1"/>
  <c r="M74" i="1"/>
  <c r="J80" i="1"/>
  <c r="J82" i="1"/>
  <c r="J72" i="1"/>
  <c r="M78" i="1"/>
  <c r="P75" i="1"/>
  <c r="F3" i="18"/>
  <c r="M80" i="1"/>
  <c r="J81" i="1"/>
  <c r="H3" i="18"/>
  <c r="O3" i="18"/>
  <c r="P73" i="1"/>
  <c r="P81" i="1"/>
  <c r="P80" i="1"/>
  <c r="P78" i="1"/>
  <c r="P82" i="1"/>
  <c r="J3" i="18"/>
  <c r="P79" i="1"/>
  <c r="M72" i="1"/>
  <c r="J73" i="1"/>
  <c r="P71" i="1"/>
  <c r="M81" i="1"/>
  <c r="N3" i="18"/>
  <c r="P72" i="1"/>
  <c r="D87" i="15" l="1"/>
  <c r="CV50" i="1" s="1"/>
  <c r="D86" i="15"/>
  <c r="CV48" i="1" s="1"/>
  <c r="D48" i="15"/>
  <c r="D67" i="15"/>
  <c r="D71" i="15"/>
  <c r="D74" i="15"/>
  <c r="D56" i="15"/>
  <c r="D54" i="15"/>
  <c r="CY39" i="1" s="1"/>
  <c r="D60" i="15"/>
  <c r="CV26" i="1" s="1"/>
  <c r="D66" i="15"/>
  <c r="D75" i="15"/>
  <c r="CP13" i="1" s="1"/>
  <c r="D73" i="15"/>
  <c r="DB24" i="1" s="1"/>
  <c r="D72" i="15"/>
  <c r="CP29" i="1" s="1"/>
  <c r="D76" i="15"/>
  <c r="D70" i="15"/>
  <c r="CP18" i="1" s="1"/>
  <c r="D69" i="15"/>
  <c r="CY43" i="1" s="1"/>
  <c r="D68" i="15"/>
  <c r="D65" i="15"/>
  <c r="DB7" i="1" s="1"/>
  <c r="D55" i="15"/>
  <c r="CP35" i="1" s="1"/>
  <c r="D64" i="15"/>
  <c r="D63" i="15"/>
  <c r="CP2" i="1" s="1"/>
  <c r="D62" i="15"/>
  <c r="DB18" i="1" s="1"/>
  <c r="D61" i="15"/>
  <c r="D59" i="15"/>
  <c r="DB2" i="1" s="1"/>
  <c r="D58" i="15"/>
  <c r="CV15" i="1" s="1"/>
  <c r="D57" i="15"/>
  <c r="CY35" i="1" s="1"/>
  <c r="D52" i="15"/>
  <c r="CV4" i="1" s="1"/>
  <c r="D51" i="15"/>
  <c r="DB13" i="1" s="1"/>
  <c r="D53" i="15"/>
  <c r="CP24" i="1" s="1"/>
  <c r="D50" i="15"/>
  <c r="V69" i="15"/>
  <c r="T69" i="15" s="1"/>
  <c r="V48" i="15"/>
  <c r="T48" i="15" s="1"/>
  <c r="V72" i="15"/>
  <c r="T72" i="15" s="1"/>
  <c r="V73" i="15"/>
  <c r="T73" i="15" s="1"/>
  <c r="V61" i="15"/>
  <c r="T61" i="15" s="1"/>
  <c r="V53" i="15"/>
  <c r="T53" i="15" s="1"/>
  <c r="V62" i="15"/>
  <c r="T62" i="15" s="1"/>
  <c r="V68" i="15"/>
  <c r="T68" i="15" s="1"/>
  <c r="V55" i="15"/>
  <c r="T55" i="15" s="1"/>
  <c r="V56" i="15"/>
  <c r="T56" i="15" s="1"/>
  <c r="V52" i="15"/>
  <c r="T52" i="15" s="1"/>
  <c r="V58" i="15"/>
  <c r="T58" i="15" s="1"/>
  <c r="V60" i="15"/>
  <c r="T60" i="15" s="1"/>
  <c r="V77" i="15"/>
  <c r="T77" i="15" s="1"/>
  <c r="V65" i="15"/>
  <c r="T65" i="15" s="1"/>
  <c r="V71" i="15"/>
  <c r="T71" i="15" s="1"/>
  <c r="V59" i="15"/>
  <c r="T59" i="15" s="1"/>
  <c r="V75" i="15"/>
  <c r="T75" i="15" s="1"/>
  <c r="V54" i="15"/>
  <c r="T54" i="15" s="1"/>
  <c r="V66" i="15"/>
  <c r="T66" i="15" s="1"/>
  <c r="V63" i="15"/>
  <c r="T63" i="15" s="1"/>
  <c r="V51" i="15"/>
  <c r="T51" i="15" s="1"/>
  <c r="V49" i="15"/>
  <c r="T49" i="15" s="1"/>
  <c r="V67" i="15"/>
  <c r="T67" i="15" s="1"/>
  <c r="V76" i="15"/>
  <c r="T76" i="15" s="1"/>
  <c r="V57" i="15"/>
  <c r="T57" i="15" s="1"/>
  <c r="V70" i="15"/>
  <c r="T70" i="15" s="1"/>
  <c r="V74" i="15"/>
  <c r="T74" i="15" s="1"/>
  <c r="V64" i="15"/>
  <c r="T64" i="15" s="1"/>
  <c r="V50" i="15"/>
  <c r="T50"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74" i="13"/>
  <c r="U74" i="13"/>
  <c r="S74" i="13"/>
  <c r="P74" i="13"/>
  <c r="H74" i="13"/>
  <c r="O74" i="13" s="1"/>
  <c r="D74" i="13"/>
  <c r="W58" i="13"/>
  <c r="U58" i="13"/>
  <c r="S58" i="13"/>
  <c r="P58" i="13"/>
  <c r="H58" i="13"/>
  <c r="O58" i="13" s="1"/>
  <c r="D58" i="13"/>
  <c r="W68" i="13"/>
  <c r="U68" i="13"/>
  <c r="S68" i="13"/>
  <c r="P68" i="13"/>
  <c r="H68" i="13"/>
  <c r="O68" i="13" s="1"/>
  <c r="W75" i="13"/>
  <c r="U75" i="13"/>
  <c r="S75" i="13"/>
  <c r="P75" i="13"/>
  <c r="H75" i="13"/>
  <c r="O75" i="13" s="1"/>
  <c r="W50" i="13"/>
  <c r="U50" i="13"/>
  <c r="S50" i="13"/>
  <c r="P50" i="13"/>
  <c r="H50" i="13"/>
  <c r="O50" i="13" s="1"/>
  <c r="W53" i="13"/>
  <c r="U53" i="13"/>
  <c r="S53" i="13"/>
  <c r="P53" i="13"/>
  <c r="H53" i="13"/>
  <c r="O53" i="13" s="1"/>
  <c r="W56" i="13"/>
  <c r="U56" i="13"/>
  <c r="S56" i="13"/>
  <c r="P56" i="13"/>
  <c r="O56" i="13"/>
  <c r="H56" i="13"/>
  <c r="W65" i="13"/>
  <c r="U65" i="13"/>
  <c r="S65" i="13"/>
  <c r="P65" i="13"/>
  <c r="H65" i="13"/>
  <c r="O65" i="13" s="1"/>
  <c r="W61" i="13"/>
  <c r="U61" i="13"/>
  <c r="S61" i="13"/>
  <c r="P61" i="13"/>
  <c r="H61" i="13"/>
  <c r="O61" i="13" s="1"/>
  <c r="W64" i="13"/>
  <c r="U64" i="13"/>
  <c r="S64" i="13"/>
  <c r="P64" i="13"/>
  <c r="H64" i="13"/>
  <c r="O64" i="13" s="1"/>
  <c r="W77" i="13"/>
  <c r="U77" i="13"/>
  <c r="S77" i="13"/>
  <c r="P77" i="13"/>
  <c r="O77" i="13"/>
  <c r="H77" i="13"/>
  <c r="W69" i="13"/>
  <c r="U69" i="13"/>
  <c r="S69" i="13"/>
  <c r="P69" i="13"/>
  <c r="H69" i="13"/>
  <c r="O69" i="13" s="1"/>
  <c r="W76" i="13"/>
  <c r="U76" i="13"/>
  <c r="S76" i="13"/>
  <c r="P76" i="13"/>
  <c r="O76" i="13"/>
  <c r="H76" i="13"/>
  <c r="W52" i="13"/>
  <c r="U52" i="13"/>
  <c r="S52" i="13"/>
  <c r="P52" i="13"/>
  <c r="H52" i="13"/>
  <c r="O52" i="13" s="1"/>
  <c r="D52" i="13"/>
  <c r="W55" i="13"/>
  <c r="U55" i="13"/>
  <c r="S55" i="13"/>
  <c r="P55" i="13"/>
  <c r="H55" i="13"/>
  <c r="O55" i="13" s="1"/>
  <c r="D55" i="13"/>
  <c r="W49" i="13"/>
  <c r="U49" i="13"/>
  <c r="S49" i="13"/>
  <c r="P49" i="13"/>
  <c r="H49" i="13"/>
  <c r="O49" i="13" s="1"/>
  <c r="W73" i="13"/>
  <c r="U73" i="13"/>
  <c r="S73" i="13"/>
  <c r="P73" i="13"/>
  <c r="H73" i="13"/>
  <c r="O73" i="13" s="1"/>
  <c r="W59" i="13"/>
  <c r="U59" i="13"/>
  <c r="S59" i="13"/>
  <c r="P59" i="13"/>
  <c r="H59" i="13"/>
  <c r="O59" i="13" s="1"/>
  <c r="D59" i="13"/>
  <c r="W48" i="13"/>
  <c r="U48" i="13"/>
  <c r="S48" i="13"/>
  <c r="P48" i="13"/>
  <c r="H48" i="13"/>
  <c r="O48" i="13" s="1"/>
  <c r="W54" i="13"/>
  <c r="U54" i="13"/>
  <c r="S54" i="13"/>
  <c r="P54" i="13"/>
  <c r="H54" i="13"/>
  <c r="O54" i="13" s="1"/>
  <c r="W70" i="13"/>
  <c r="U70" i="13"/>
  <c r="S70" i="13"/>
  <c r="P70" i="13"/>
  <c r="H70" i="13"/>
  <c r="O70" i="13" s="1"/>
  <c r="W60" i="13"/>
  <c r="U60" i="13"/>
  <c r="S60" i="13"/>
  <c r="P60" i="13"/>
  <c r="H60" i="13"/>
  <c r="O60" i="13" s="1"/>
  <c r="W71" i="13"/>
  <c r="U71" i="13"/>
  <c r="S71" i="13"/>
  <c r="P71" i="13"/>
  <c r="H71" i="13"/>
  <c r="O71" i="13" s="1"/>
  <c r="W72" i="13"/>
  <c r="U72" i="13"/>
  <c r="S72" i="13"/>
  <c r="P72" i="13"/>
  <c r="H72" i="13"/>
  <c r="O72" i="13" s="1"/>
  <c r="W63" i="13"/>
  <c r="U63" i="13"/>
  <c r="S63" i="13"/>
  <c r="P63" i="13"/>
  <c r="H63" i="13"/>
  <c r="O63" i="13" s="1"/>
  <c r="W62" i="13"/>
  <c r="U62" i="13"/>
  <c r="S62" i="13"/>
  <c r="P62" i="13"/>
  <c r="H62" i="13"/>
  <c r="O62" i="13" s="1"/>
  <c r="W66" i="13"/>
  <c r="U66" i="13"/>
  <c r="S66" i="13"/>
  <c r="P66" i="13"/>
  <c r="H66" i="13"/>
  <c r="O66" i="13" s="1"/>
  <c r="W67" i="13"/>
  <c r="U67" i="13"/>
  <c r="S67" i="13"/>
  <c r="P67" i="13"/>
  <c r="H67" i="13"/>
  <c r="O67" i="13" s="1"/>
  <c r="W51" i="13"/>
  <c r="U51" i="13"/>
  <c r="S51" i="13"/>
  <c r="P51" i="13"/>
  <c r="H51" i="13"/>
  <c r="O51" i="13" s="1"/>
  <c r="A47" i="13"/>
  <c r="D64" i="13" s="1"/>
  <c r="R45" i="13"/>
  <c r="Q45" i="13"/>
  <c r="P45" i="13"/>
  <c r="R44" i="13"/>
  <c r="Q44" i="13"/>
  <c r="P44" i="13"/>
  <c r="R43" i="13"/>
  <c r="Q43" i="13"/>
  <c r="P43" i="13"/>
  <c r="R42" i="13"/>
  <c r="Q42" i="13"/>
  <c r="P42" i="13"/>
  <c r="R41" i="13"/>
  <c r="Q41" i="13"/>
  <c r="P41" i="13"/>
  <c r="R40" i="13"/>
  <c r="Q40" i="13"/>
  <c r="P40" i="13"/>
  <c r="R39" i="13"/>
  <c r="Q39" i="13"/>
  <c r="P39" i="13"/>
  <c r="N86" i="1"/>
  <c r="CP41" i="1" l="1"/>
  <c r="V63" i="13"/>
  <c r="T63" i="13" s="1"/>
  <c r="V74" i="13"/>
  <c r="T74" i="13" s="1"/>
  <c r="V77" i="13"/>
  <c r="T77" i="13" s="1"/>
  <c r="V58" i="13"/>
  <c r="T58" i="13" s="1"/>
  <c r="V48" i="13"/>
  <c r="T48" i="13" s="1"/>
  <c r="V55" i="13"/>
  <c r="T55" i="13" s="1"/>
  <c r="V50" i="13"/>
  <c r="T50" i="13" s="1"/>
  <c r="V62" i="13"/>
  <c r="T62" i="13" s="1"/>
  <c r="V71" i="13"/>
  <c r="T71" i="13" s="1"/>
  <c r="V61" i="13"/>
  <c r="T61" i="13" s="1"/>
  <c r="V66" i="13"/>
  <c r="T66" i="13" s="1"/>
  <c r="V68" i="13"/>
  <c r="T68" i="13" s="1"/>
  <c r="V57" i="13"/>
  <c r="T57" i="13" s="1"/>
  <c r="V73" i="13"/>
  <c r="T73" i="13" s="1"/>
  <c r="V76" i="13"/>
  <c r="T76" i="13" s="1"/>
  <c r="V70" i="13"/>
  <c r="T70" i="13" s="1"/>
  <c r="V56" i="13"/>
  <c r="T56" i="13" s="1"/>
  <c r="D73" i="13"/>
  <c r="D71" i="13"/>
  <c r="D63" i="13"/>
  <c r="D70" i="13"/>
  <c r="D66" i="13"/>
  <c r="D67" i="13"/>
  <c r="D48" i="13"/>
  <c r="D51" i="13"/>
  <c r="V72" i="13"/>
  <c r="T72" i="13" s="1"/>
  <c r="V49" i="13"/>
  <c r="T49" i="13" s="1"/>
  <c r="D61" i="13"/>
  <c r="V65" i="13"/>
  <c r="T65" i="13" s="1"/>
  <c r="D85" i="13"/>
  <c r="D72" i="13"/>
  <c r="D49" i="13"/>
  <c r="D65" i="13"/>
  <c r="D86" i="13"/>
  <c r="V60" i="13"/>
  <c r="T60" i="13" s="1"/>
  <c r="V52" i="13"/>
  <c r="T52" i="13" s="1"/>
  <c r="D56" i="13"/>
  <c r="V53" i="13"/>
  <c r="T53" i="13" s="1"/>
  <c r="D87" i="13"/>
  <c r="V51" i="13"/>
  <c r="T51" i="13" s="1"/>
  <c r="D60" i="13"/>
  <c r="D53" i="13"/>
  <c r="D88" i="13"/>
  <c r="V67" i="13"/>
  <c r="T67" i="13" s="1"/>
  <c r="V54" i="13"/>
  <c r="T54" i="13" s="1"/>
  <c r="D76" i="13"/>
  <c r="V69" i="13"/>
  <c r="T69" i="13" s="1"/>
  <c r="D50" i="13"/>
  <c r="V75" i="13"/>
  <c r="T75" i="13" s="1"/>
  <c r="D54" i="13"/>
  <c r="D69" i="13"/>
  <c r="D75" i="13"/>
  <c r="V59" i="13"/>
  <c r="T59" i="13" s="1"/>
  <c r="D77" i="13"/>
  <c r="V64" i="13"/>
  <c r="T64" i="13" s="1"/>
  <c r="D68" i="13"/>
  <c r="D62"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G62" i="1"/>
  <c r="J65" i="1"/>
  <c r="J63" i="1"/>
  <c r="J64" i="1"/>
  <c r="L64" i="1"/>
  <c r="G66" i="1"/>
  <c r="G64" i="1"/>
  <c r="L66" i="1"/>
  <c r="P64" i="1"/>
  <c r="E63" i="1"/>
  <c r="E62" i="1"/>
  <c r="G65" i="1"/>
  <c r="A62" i="1"/>
  <c r="P66" i="1"/>
  <c r="A64" i="1"/>
  <c r="N65" i="1"/>
  <c r="A66" i="1"/>
  <c r="L63" i="1"/>
  <c r="J66" i="1"/>
  <c r="L65" i="1"/>
  <c r="E65" i="1"/>
  <c r="A63" i="1"/>
  <c r="N63" i="1"/>
  <c r="E66" i="1"/>
  <c r="L62" i="1"/>
  <c r="N66" i="1"/>
  <c r="G63" i="1"/>
  <c r="A65" i="1"/>
  <c r="P62" i="1"/>
  <c r="N62" i="1"/>
  <c r="P65" i="1"/>
  <c r="N64" i="1"/>
  <c r="P63" i="1"/>
  <c r="E64" i="1"/>
  <c r="J62" i="1"/>
  <c r="F17" i="8" l="1"/>
  <c r="F18" i="8"/>
  <c r="F19" i="8"/>
  <c r="F20" i="8"/>
  <c r="F16" i="8"/>
  <c r="I78" i="1"/>
  <c r="I75" i="1"/>
  <c r="I72" i="1"/>
  <c r="I79" i="1"/>
  <c r="F74" i="1"/>
  <c r="C78" i="1"/>
  <c r="I81" i="1"/>
  <c r="C82" i="1"/>
  <c r="F72" i="1"/>
  <c r="C80" i="1"/>
  <c r="C74" i="1"/>
  <c r="C73" i="1"/>
  <c r="I74" i="1"/>
  <c r="C71" i="1"/>
  <c r="C79" i="1"/>
  <c r="I80" i="1"/>
  <c r="F71" i="1"/>
  <c r="F73" i="1"/>
  <c r="F75" i="1"/>
  <c r="I71" i="1"/>
  <c r="C72" i="1"/>
  <c r="I73" i="1"/>
  <c r="C75" i="1"/>
  <c r="I82" i="1"/>
  <c r="C81"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G71" i="1"/>
  <c r="O71" i="1"/>
  <c r="A75" i="1"/>
  <c r="G81" i="1"/>
  <c r="C64" i="1"/>
  <c r="A81" i="1"/>
  <c r="L78" i="1"/>
  <c r="L80" i="1"/>
  <c r="F82" i="1"/>
  <c r="R81" i="1"/>
  <c r="R78" i="1"/>
  <c r="O78" i="1"/>
  <c r="G78" i="1"/>
  <c r="D78" i="1"/>
  <c r="D79" i="1"/>
  <c r="O74" i="1"/>
  <c r="F80" i="1"/>
  <c r="C62" i="1"/>
  <c r="O75" i="1"/>
  <c r="D71" i="1"/>
  <c r="F81" i="1"/>
  <c r="O82" i="1"/>
  <c r="D80" i="1"/>
  <c r="R74" i="1"/>
  <c r="G72" i="1"/>
  <c r="G73" i="1"/>
  <c r="R71" i="1"/>
  <c r="R75" i="1"/>
  <c r="A72" i="1"/>
  <c r="L81" i="1"/>
  <c r="R79" i="1"/>
  <c r="O72" i="1"/>
  <c r="A79" i="1"/>
  <c r="A73" i="1"/>
  <c r="O73" i="1"/>
  <c r="A82" i="1"/>
  <c r="D75" i="1"/>
  <c r="R82" i="1"/>
  <c r="A78" i="1"/>
  <c r="L82" i="1"/>
  <c r="A74" i="1"/>
  <c r="O81" i="1"/>
  <c r="R72" i="1"/>
  <c r="D72" i="1"/>
  <c r="A80" i="1"/>
  <c r="C63" i="1"/>
  <c r="C65" i="1"/>
  <c r="G80" i="1"/>
  <c r="F78" i="1"/>
  <c r="G75" i="1"/>
  <c r="O80" i="1"/>
  <c r="G79" i="1"/>
  <c r="D82" i="1"/>
  <c r="D81" i="1"/>
  <c r="C66" i="1"/>
  <c r="A71" i="1"/>
  <c r="C59" i="1"/>
  <c r="D73" i="1"/>
  <c r="L59" i="1"/>
  <c r="G82" i="1"/>
  <c r="D74" i="1"/>
  <c r="F79" i="1"/>
  <c r="G74" i="1"/>
  <c r="R80" i="1"/>
  <c r="R73" i="1"/>
  <c r="O79" i="1"/>
  <c r="L79" i="1"/>
  <c r="O75" i="6" l="1"/>
  <c r="O76" i="6"/>
  <c r="O77" i="6"/>
  <c r="O78" i="6"/>
  <c r="O79" i="6"/>
  <c r="O80" i="6"/>
  <c r="O81" i="6"/>
  <c r="O82" i="6"/>
  <c r="O72" i="7"/>
  <c r="O73" i="7"/>
  <c r="O74" i="7"/>
  <c r="O75" i="7"/>
  <c r="O76" i="7"/>
  <c r="O77" i="7"/>
  <c r="O78" i="7"/>
  <c r="O79" i="7"/>
  <c r="O80" i="7"/>
  <c r="O81" i="7"/>
  <c r="O82" i="7"/>
  <c r="O76" i="11"/>
  <c r="O77" i="11"/>
  <c r="O78" i="11"/>
  <c r="O79" i="11"/>
  <c r="O80" i="11"/>
  <c r="O81" i="11"/>
  <c r="O82" i="11"/>
  <c r="O76" i="2"/>
  <c r="O77" i="2"/>
  <c r="O78" i="2"/>
  <c r="O79" i="2"/>
  <c r="O80" i="2"/>
  <c r="O81" i="2"/>
  <c r="O82" i="2"/>
  <c r="D25" i="9"/>
  <c r="D21" i="9"/>
  <c r="D22" i="9"/>
  <c r="D23" i="9"/>
  <c r="D24" i="9"/>
  <c r="D90" i="11" l="1"/>
  <c r="D91" i="11"/>
  <c r="D92" i="11"/>
  <c r="BG1" i="1"/>
  <c r="BA1" i="1"/>
  <c r="BM50" i="1"/>
  <c r="BL50" i="1"/>
  <c r="BP49" i="1"/>
  <c r="BM48" i="1"/>
  <c r="BL48" i="1"/>
  <c r="BD48" i="1"/>
  <c r="BC48" i="1"/>
  <c r="BP47" i="1"/>
  <c r="BG47" i="1"/>
  <c r="BS44" i="1"/>
  <c r="BP44" i="1"/>
  <c r="BM44" i="1"/>
  <c r="BL44" i="1"/>
  <c r="BH44" i="1"/>
  <c r="BF44" i="1"/>
  <c r="BC44" i="1"/>
  <c r="BR43" i="1"/>
  <c r="BP43" i="1"/>
  <c r="BO43" i="1"/>
  <c r="BM43" i="1"/>
  <c r="BL43" i="1"/>
  <c r="BG43" i="1"/>
  <c r="BE43" i="1"/>
  <c r="BC43" i="1"/>
  <c r="BT42" i="1"/>
  <c r="BS42" i="1"/>
  <c r="BH42" i="1"/>
  <c r="BF42" i="1"/>
  <c r="BD42" i="1"/>
  <c r="BC42" i="1"/>
  <c r="BG41" i="1"/>
  <c r="BF41" i="1"/>
  <c r="BD41" i="1"/>
  <c r="BC41" i="1"/>
  <c r="BS40" i="1"/>
  <c r="BP40" i="1"/>
  <c r="BM40" i="1"/>
  <c r="BL40" i="1"/>
  <c r="BH40" i="1"/>
  <c r="BG40" i="1"/>
  <c r="BR39" i="1"/>
  <c r="BP39" i="1"/>
  <c r="BO39" i="1"/>
  <c r="BM39" i="1"/>
  <c r="BL39" i="1"/>
  <c r="BT38" i="1"/>
  <c r="BS38" i="1"/>
  <c r="BH38" i="1"/>
  <c r="BF38" i="1"/>
  <c r="BC38" i="1"/>
  <c r="BG37" i="1"/>
  <c r="BE37" i="1"/>
  <c r="BC37" i="1"/>
  <c r="BS36" i="1"/>
  <c r="BP36" i="1"/>
  <c r="BM36" i="1"/>
  <c r="BL36" i="1"/>
  <c r="BH36" i="1"/>
  <c r="BF36" i="1"/>
  <c r="BD36" i="1"/>
  <c r="BC36" i="1"/>
  <c r="BR35" i="1"/>
  <c r="BP35" i="1"/>
  <c r="BO35" i="1"/>
  <c r="BM35" i="1"/>
  <c r="BL35" i="1"/>
  <c r="BG35" i="1"/>
  <c r="BF35" i="1"/>
  <c r="BD35" i="1"/>
  <c r="BC35" i="1"/>
  <c r="BT34" i="1"/>
  <c r="BS34" i="1"/>
  <c r="BH34" i="1"/>
  <c r="BG34" i="1"/>
  <c r="BT31" i="1"/>
  <c r="BR31" i="1"/>
  <c r="BO31" i="1"/>
  <c r="BH31" i="1"/>
  <c r="BF31" i="1"/>
  <c r="BC31" i="1"/>
  <c r="BR30" i="1"/>
  <c r="BO30" i="1"/>
  <c r="BF30" i="1"/>
  <c r="BC30" i="1"/>
  <c r="BS29" i="1"/>
  <c r="BR29" i="1"/>
  <c r="BP29" i="1"/>
  <c r="BO29" i="1"/>
  <c r="BG29" i="1"/>
  <c r="BF29" i="1"/>
  <c r="BD29" i="1"/>
  <c r="BC29" i="1"/>
  <c r="BT28" i="1"/>
  <c r="BS28" i="1"/>
  <c r="BN28" i="1"/>
  <c r="BL28" i="1"/>
  <c r="BI28" i="1"/>
  <c r="BH28" i="1"/>
  <c r="BG28" i="1"/>
  <c r="BL27" i="1"/>
  <c r="BI27" i="1"/>
  <c r="BT26" i="1"/>
  <c r="BR26" i="1"/>
  <c r="BO26" i="1"/>
  <c r="BM26" i="1"/>
  <c r="BL26" i="1"/>
  <c r="BJ26" i="1"/>
  <c r="BI26" i="1"/>
  <c r="BH26" i="1"/>
  <c r="BF26" i="1"/>
  <c r="BC26" i="1"/>
  <c r="BR25" i="1"/>
  <c r="BO25" i="1"/>
  <c r="BN25" i="1"/>
  <c r="BM25" i="1"/>
  <c r="BF25" i="1"/>
  <c r="BC25" i="1"/>
  <c r="BS24" i="1"/>
  <c r="BR24" i="1"/>
  <c r="BP24" i="1"/>
  <c r="BO24" i="1"/>
  <c r="BG24" i="1"/>
  <c r="BF24" i="1"/>
  <c r="BD24" i="1"/>
  <c r="BC24" i="1"/>
  <c r="BT23" i="1"/>
  <c r="BS23" i="1"/>
  <c r="BH23" i="1"/>
  <c r="BG23" i="1"/>
  <c r="BT20" i="1"/>
  <c r="BR20" i="1"/>
  <c r="BO20" i="1"/>
  <c r="BH20" i="1"/>
  <c r="BF20" i="1"/>
  <c r="BC20" i="1"/>
  <c r="BR19" i="1"/>
  <c r="BO19" i="1"/>
  <c r="BF19" i="1"/>
  <c r="BC19" i="1"/>
  <c r="BS18" i="1"/>
  <c r="BR18" i="1"/>
  <c r="BP18" i="1"/>
  <c r="BO18" i="1"/>
  <c r="BG18" i="1"/>
  <c r="BF18" i="1"/>
  <c r="BD18" i="1"/>
  <c r="BC18" i="1"/>
  <c r="BT17" i="1"/>
  <c r="BS17" i="1"/>
  <c r="BN17" i="1"/>
  <c r="BL17" i="1"/>
  <c r="BI17" i="1"/>
  <c r="BH17" i="1"/>
  <c r="BG17" i="1"/>
  <c r="BL16" i="1"/>
  <c r="BI16" i="1"/>
  <c r="BT15" i="1"/>
  <c r="BR15" i="1"/>
  <c r="BO15" i="1"/>
  <c r="BM15" i="1"/>
  <c r="BL15" i="1"/>
  <c r="BJ15" i="1"/>
  <c r="BI15" i="1"/>
  <c r="BH15" i="1"/>
  <c r="BF15" i="1"/>
  <c r="BC15" i="1"/>
  <c r="BR14" i="1"/>
  <c r="BO14" i="1"/>
  <c r="BN14" i="1"/>
  <c r="BM14" i="1"/>
  <c r="BF14" i="1"/>
  <c r="BC14" i="1"/>
  <c r="BS13" i="1"/>
  <c r="BR13" i="1"/>
  <c r="BP13" i="1"/>
  <c r="BO13" i="1"/>
  <c r="BG13" i="1"/>
  <c r="BF13" i="1"/>
  <c r="BD13" i="1"/>
  <c r="BC13" i="1"/>
  <c r="BT12" i="1"/>
  <c r="BS12" i="1"/>
  <c r="BH12" i="1"/>
  <c r="BG12" i="1"/>
  <c r="BT9" i="1"/>
  <c r="BR9" i="1"/>
  <c r="BO9" i="1"/>
  <c r="BH9" i="1"/>
  <c r="BF9" i="1"/>
  <c r="BC9" i="1"/>
  <c r="BR8" i="1"/>
  <c r="BO8" i="1"/>
  <c r="BF8" i="1"/>
  <c r="BC8" i="1"/>
  <c r="BS7" i="1"/>
  <c r="BR7" i="1"/>
  <c r="BP7" i="1"/>
  <c r="BO7" i="1"/>
  <c r="BG7" i="1"/>
  <c r="BF7" i="1"/>
  <c r="BD7" i="1"/>
  <c r="BC7" i="1"/>
  <c r="BT6" i="1"/>
  <c r="BS6" i="1"/>
  <c r="BN6" i="1"/>
  <c r="BL6" i="1"/>
  <c r="BI6" i="1"/>
  <c r="BH6" i="1"/>
  <c r="BG6" i="1"/>
  <c r="BL5" i="1"/>
  <c r="BI5" i="1"/>
  <c r="BT4" i="1"/>
  <c r="BR4" i="1"/>
  <c r="BO4" i="1"/>
  <c r="BM4" i="1"/>
  <c r="BL4" i="1"/>
  <c r="BJ4" i="1"/>
  <c r="BI4" i="1"/>
  <c r="BH4" i="1"/>
  <c r="BF4" i="1"/>
  <c r="BC4" i="1"/>
  <c r="BR3" i="1"/>
  <c r="BO3" i="1"/>
  <c r="BN3" i="1"/>
  <c r="BM3" i="1"/>
  <c r="BF3" i="1"/>
  <c r="BC3" i="1"/>
  <c r="BS2" i="1"/>
  <c r="BR2" i="1"/>
  <c r="BP2" i="1"/>
  <c r="BO2" i="1"/>
  <c r="BG2" i="1"/>
  <c r="BF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W63" i="11"/>
  <c r="U63" i="11"/>
  <c r="S63" i="11"/>
  <c r="P63" i="11"/>
  <c r="H63" i="11"/>
  <c r="O63" i="11" s="1"/>
  <c r="D63" i="11"/>
  <c r="W61" i="11"/>
  <c r="U61" i="11"/>
  <c r="S61" i="11"/>
  <c r="P61" i="11"/>
  <c r="H61" i="11"/>
  <c r="O61" i="11" s="1"/>
  <c r="W71" i="11"/>
  <c r="U71" i="11"/>
  <c r="S71" i="11"/>
  <c r="P71" i="11"/>
  <c r="H71" i="11"/>
  <c r="O71" i="11" s="1"/>
  <c r="W55" i="11"/>
  <c r="U55" i="11"/>
  <c r="S55" i="11"/>
  <c r="P55" i="11"/>
  <c r="H55" i="11"/>
  <c r="O55" i="11" s="1"/>
  <c r="W68" i="11"/>
  <c r="U68" i="11"/>
  <c r="S68" i="11"/>
  <c r="P68" i="11"/>
  <c r="H68" i="11"/>
  <c r="O68" i="11" s="1"/>
  <c r="W75" i="11"/>
  <c r="U75" i="11"/>
  <c r="S75" i="11"/>
  <c r="P75" i="11"/>
  <c r="H75" i="11"/>
  <c r="O75" i="11" s="1"/>
  <c r="W51" i="11"/>
  <c r="U51" i="11"/>
  <c r="S51" i="11"/>
  <c r="P51" i="11"/>
  <c r="H51" i="11"/>
  <c r="O51" i="11" s="1"/>
  <c r="W72" i="11"/>
  <c r="U72" i="11"/>
  <c r="S72" i="11"/>
  <c r="P72" i="11"/>
  <c r="H72" i="11"/>
  <c r="O72" i="11" s="1"/>
  <c r="W49" i="11"/>
  <c r="U49" i="11"/>
  <c r="S49" i="11"/>
  <c r="P49" i="11"/>
  <c r="H49" i="11"/>
  <c r="O49" i="11" s="1"/>
  <c r="W56" i="11"/>
  <c r="U56" i="11"/>
  <c r="S56" i="11"/>
  <c r="P56" i="11"/>
  <c r="H56" i="11"/>
  <c r="O56" i="11" s="1"/>
  <c r="W54" i="11"/>
  <c r="U54" i="11"/>
  <c r="S54" i="11"/>
  <c r="P54" i="11"/>
  <c r="H54" i="11"/>
  <c r="O54" i="11" s="1"/>
  <c r="W52" i="11"/>
  <c r="U52" i="11"/>
  <c r="S52" i="11"/>
  <c r="P52" i="11"/>
  <c r="H52" i="11"/>
  <c r="O52" i="11" s="1"/>
  <c r="W48" i="11"/>
  <c r="U48" i="11"/>
  <c r="S48" i="11"/>
  <c r="P48" i="11"/>
  <c r="H48" i="11"/>
  <c r="O48" i="11" s="1"/>
  <c r="W66" i="11"/>
  <c r="U66" i="11"/>
  <c r="S66" i="11"/>
  <c r="P66" i="11"/>
  <c r="H66" i="11"/>
  <c r="O66" i="11" s="1"/>
  <c r="W69" i="11"/>
  <c r="U69" i="11"/>
  <c r="S69" i="11"/>
  <c r="P69" i="11"/>
  <c r="H69" i="11"/>
  <c r="O69" i="11" s="1"/>
  <c r="W59" i="11"/>
  <c r="U59" i="11"/>
  <c r="S59" i="11"/>
  <c r="P59" i="11"/>
  <c r="H59" i="11"/>
  <c r="O59" i="11" s="1"/>
  <c r="W67" i="11"/>
  <c r="U67" i="11"/>
  <c r="S67" i="11"/>
  <c r="P67" i="11"/>
  <c r="H67" i="11"/>
  <c r="O67" i="11" s="1"/>
  <c r="W62" i="11"/>
  <c r="U62" i="11"/>
  <c r="S62" i="11"/>
  <c r="P62" i="11"/>
  <c r="H62" i="11"/>
  <c r="O62" i="11" s="1"/>
  <c r="W58" i="11"/>
  <c r="U58" i="11"/>
  <c r="S58" i="11"/>
  <c r="P58" i="11"/>
  <c r="H58" i="11"/>
  <c r="O58" i="11" s="1"/>
  <c r="W73" i="11"/>
  <c r="U73" i="11"/>
  <c r="S73" i="11"/>
  <c r="P73" i="11"/>
  <c r="H73" i="11"/>
  <c r="O73" i="11" s="1"/>
  <c r="W65" i="11"/>
  <c r="U65" i="11"/>
  <c r="S65" i="11"/>
  <c r="P65" i="11"/>
  <c r="H65" i="11"/>
  <c r="O65" i="11" s="1"/>
  <c r="W70" i="11"/>
  <c r="U70" i="11"/>
  <c r="S70" i="11"/>
  <c r="P70" i="11"/>
  <c r="H70" i="11"/>
  <c r="O70" i="11" s="1"/>
  <c r="W74" i="11"/>
  <c r="U74" i="11"/>
  <c r="S74" i="11"/>
  <c r="P74" i="11"/>
  <c r="H74" i="11"/>
  <c r="O74" i="11" s="1"/>
  <c r="W64" i="11"/>
  <c r="U64" i="11"/>
  <c r="S64" i="11"/>
  <c r="P64" i="11"/>
  <c r="H64" i="11"/>
  <c r="O64" i="11" s="1"/>
  <c r="W50" i="11"/>
  <c r="U50" i="11"/>
  <c r="S50" i="11"/>
  <c r="P50" i="11"/>
  <c r="H50" i="11"/>
  <c r="O50" i="11" s="1"/>
  <c r="W53" i="11"/>
  <c r="U53" i="11"/>
  <c r="S53" i="11"/>
  <c r="P53" i="11"/>
  <c r="H53" i="11"/>
  <c r="O53" i="11" s="1"/>
  <c r="W57" i="11"/>
  <c r="U57" i="11"/>
  <c r="S57" i="11"/>
  <c r="P57" i="11"/>
  <c r="H57" i="11"/>
  <c r="O57" i="11" s="1"/>
  <c r="W60" i="11"/>
  <c r="U60" i="11"/>
  <c r="S60" i="11"/>
  <c r="P60" i="11"/>
  <c r="H60" i="11"/>
  <c r="O60" i="11" s="1"/>
  <c r="A47" i="11"/>
  <c r="D49" i="11" s="1"/>
  <c r="R45" i="11"/>
  <c r="Q45" i="11"/>
  <c r="P45" i="11"/>
  <c r="R44" i="11"/>
  <c r="Q44" i="11"/>
  <c r="P44" i="11"/>
  <c r="R43" i="11"/>
  <c r="Q43" i="11"/>
  <c r="P43" i="11"/>
  <c r="R42" i="11"/>
  <c r="Q42" i="11"/>
  <c r="P42" i="11"/>
  <c r="R41" i="11"/>
  <c r="Q41" i="11"/>
  <c r="P41" i="11"/>
  <c r="R40" i="11"/>
  <c r="Q40" i="11"/>
  <c r="P40" i="11"/>
  <c r="R39" i="11"/>
  <c r="Q39" i="11"/>
  <c r="P39" i="11"/>
  <c r="BJ30" i="1"/>
  <c r="BJ19" i="1"/>
  <c r="D90" i="7"/>
  <c r="D91" i="7"/>
  <c r="D92" i="7"/>
  <c r="D90" i="6"/>
  <c r="D91" i="6"/>
  <c r="D92" i="6"/>
  <c r="D90" i="2"/>
  <c r="D91" i="2"/>
  <c r="D92" i="2"/>
  <c r="D56" i="7"/>
  <c r="D66" i="7"/>
  <c r="D72" i="7"/>
  <c r="D73" i="7"/>
  <c r="D74" i="7"/>
  <c r="D75" i="7"/>
  <c r="D76" i="7"/>
  <c r="D77" i="7"/>
  <c r="D78" i="7"/>
  <c r="D79" i="7"/>
  <c r="D80" i="7"/>
  <c r="D81" i="7"/>
  <c r="D82" i="7"/>
  <c r="D53" i="6"/>
  <c r="D58" i="6"/>
  <c r="D69" i="6"/>
  <c r="D75" i="6"/>
  <c r="D76" i="6"/>
  <c r="D77" i="6"/>
  <c r="D78" i="6"/>
  <c r="D79" i="6"/>
  <c r="D80" i="6"/>
  <c r="D81" i="6"/>
  <c r="D82" i="6"/>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48" i="7"/>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48" i="6"/>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H49" i="7"/>
  <c r="O49" i="7" s="1"/>
  <c r="H50" i="7"/>
  <c r="O50" i="7" s="1"/>
  <c r="H51" i="7"/>
  <c r="O51" i="7" s="1"/>
  <c r="H52" i="7"/>
  <c r="O52" i="7" s="1"/>
  <c r="H53" i="7"/>
  <c r="O53" i="7" s="1"/>
  <c r="H54" i="7"/>
  <c r="O54" i="7" s="1"/>
  <c r="H55" i="7"/>
  <c r="O55" i="7" s="1"/>
  <c r="H56" i="7"/>
  <c r="O56" i="7" s="1"/>
  <c r="H57" i="7"/>
  <c r="O57" i="7" s="1"/>
  <c r="H58" i="7"/>
  <c r="O58" i="7" s="1"/>
  <c r="H59" i="7"/>
  <c r="O59" i="7" s="1"/>
  <c r="H60" i="7"/>
  <c r="O60" i="7" s="1"/>
  <c r="H61" i="7"/>
  <c r="O61" i="7" s="1"/>
  <c r="H62" i="7"/>
  <c r="O62" i="7" s="1"/>
  <c r="H63" i="7"/>
  <c r="O63" i="7" s="1"/>
  <c r="H64" i="7"/>
  <c r="O64" i="7" s="1"/>
  <c r="H65" i="7"/>
  <c r="O65" i="7" s="1"/>
  <c r="H66" i="7"/>
  <c r="O66" i="7" s="1"/>
  <c r="H67" i="7"/>
  <c r="O67" i="7" s="1"/>
  <c r="H68" i="7"/>
  <c r="O68" i="7" s="1"/>
  <c r="H69" i="7"/>
  <c r="O69" i="7" s="1"/>
  <c r="H70" i="7"/>
  <c r="O70" i="7" s="1"/>
  <c r="H71" i="7"/>
  <c r="O71" i="7" s="1"/>
  <c r="H72" i="7"/>
  <c r="H73" i="7"/>
  <c r="H74" i="7"/>
  <c r="H75" i="7"/>
  <c r="H76" i="7"/>
  <c r="H77" i="7"/>
  <c r="H78" i="7"/>
  <c r="H79" i="7"/>
  <c r="H80" i="7"/>
  <c r="H81" i="7"/>
  <c r="H82" i="7"/>
  <c r="H49" i="6"/>
  <c r="O49" i="6" s="1"/>
  <c r="AH25" i="1" s="1"/>
  <c r="H50" i="6"/>
  <c r="O50" i="6" s="1"/>
  <c r="V30" i="1" s="1"/>
  <c r="H51" i="6"/>
  <c r="O51" i="6" s="1"/>
  <c r="AH19" i="1" s="1"/>
  <c r="H52" i="6"/>
  <c r="O52" i="6" s="1"/>
  <c r="H53" i="6"/>
  <c r="O53" i="6" s="1"/>
  <c r="AC36" i="1" s="1"/>
  <c r="H54" i="6"/>
  <c r="O54" i="6" s="1"/>
  <c r="V19" i="1" s="1"/>
  <c r="H55" i="6"/>
  <c r="O55" i="6" s="1"/>
  <c r="AB16" i="1" s="1"/>
  <c r="H56" i="6"/>
  <c r="O56" i="6" s="1"/>
  <c r="H57" i="6"/>
  <c r="O57" i="6" s="1"/>
  <c r="H58" i="6"/>
  <c r="O58" i="6" s="1"/>
  <c r="H59" i="6"/>
  <c r="O59" i="6" s="1"/>
  <c r="AH3" i="1" s="1"/>
  <c r="H60" i="6"/>
  <c r="O60" i="6" s="1"/>
  <c r="AH14" i="1" s="1"/>
  <c r="H61" i="6"/>
  <c r="O61" i="6" s="1"/>
  <c r="V25" i="1" s="1"/>
  <c r="H62" i="6"/>
  <c r="O62" i="6" s="1"/>
  <c r="V8" i="1" s="1"/>
  <c r="H63" i="6"/>
  <c r="O63" i="6" s="1"/>
  <c r="H64" i="6"/>
  <c r="O64" i="6" s="1"/>
  <c r="AC44" i="1" s="1"/>
  <c r="H65" i="6"/>
  <c r="O65" i="6" s="1"/>
  <c r="AB5" i="1" s="1"/>
  <c r="H66" i="6"/>
  <c r="O66" i="6" s="1"/>
  <c r="AC40" i="1" s="1"/>
  <c r="H67" i="6"/>
  <c r="O67" i="6" s="1"/>
  <c r="AB27" i="1" s="1"/>
  <c r="H68" i="6"/>
  <c r="O68" i="6" s="1"/>
  <c r="V14" i="1" s="1"/>
  <c r="H69" i="6"/>
  <c r="O69" i="6" s="1"/>
  <c r="H70" i="6"/>
  <c r="O70" i="6" s="1"/>
  <c r="H71" i="6"/>
  <c r="O71" i="6" s="1"/>
  <c r="V3" i="1" s="1"/>
  <c r="H72" i="6"/>
  <c r="O72" i="6" s="1"/>
  <c r="AH8" i="1" s="1"/>
  <c r="H73" i="6"/>
  <c r="O73" i="6" s="1"/>
  <c r="AH30" i="1" s="1"/>
  <c r="H74" i="6"/>
  <c r="O74" i="6" s="1"/>
  <c r="H75" i="6"/>
  <c r="H76" i="6"/>
  <c r="H77" i="6"/>
  <c r="H78" i="6"/>
  <c r="H79" i="6"/>
  <c r="H80" i="6"/>
  <c r="H81" i="6"/>
  <c r="H82" i="6"/>
  <c r="P49" i="6"/>
  <c r="P50" i="6"/>
  <c r="P51" i="6"/>
  <c r="P52" i="6"/>
  <c r="P53" i="6"/>
  <c r="AF35" i="1" s="1"/>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48" i="7"/>
  <c r="P48" i="6"/>
  <c r="H48" i="7"/>
  <c r="O48" i="7" s="1"/>
  <c r="H48" i="6"/>
  <c r="O48"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49" i="7"/>
  <c r="W49" i="7"/>
  <c r="U50" i="7"/>
  <c r="W50" i="7"/>
  <c r="U51" i="7"/>
  <c r="W51" i="7"/>
  <c r="U52" i="7"/>
  <c r="W52" i="7"/>
  <c r="U53" i="7"/>
  <c r="W53" i="7"/>
  <c r="U54" i="7"/>
  <c r="W54" i="7"/>
  <c r="U55" i="7"/>
  <c r="W55" i="7"/>
  <c r="U56" i="7"/>
  <c r="W56" i="7"/>
  <c r="U57" i="7"/>
  <c r="W57" i="7"/>
  <c r="U58" i="7"/>
  <c r="W58" i="7"/>
  <c r="U59" i="7"/>
  <c r="W59" i="7"/>
  <c r="U60" i="7"/>
  <c r="W60" i="7"/>
  <c r="U61" i="7"/>
  <c r="W61" i="7"/>
  <c r="U62" i="7"/>
  <c r="W62" i="7"/>
  <c r="U63" i="7"/>
  <c r="W63" i="7"/>
  <c r="U64" i="7"/>
  <c r="W64" i="7"/>
  <c r="U65" i="7"/>
  <c r="W65" i="7"/>
  <c r="U66" i="7"/>
  <c r="W66" i="7"/>
  <c r="U67" i="7"/>
  <c r="W67" i="7"/>
  <c r="U68" i="7"/>
  <c r="W68" i="7"/>
  <c r="U69" i="7"/>
  <c r="W69" i="7"/>
  <c r="U70" i="7"/>
  <c r="W70" i="7"/>
  <c r="U71" i="7"/>
  <c r="W71"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48" i="7"/>
  <c r="U48" i="7"/>
  <c r="V48" i="7" s="1"/>
  <c r="T48" i="7" s="1"/>
  <c r="U49" i="6"/>
  <c r="W49" i="6"/>
  <c r="U50" i="6"/>
  <c r="W50" i="6"/>
  <c r="U51" i="6"/>
  <c r="W51" i="6"/>
  <c r="U52" i="6"/>
  <c r="W52" i="6"/>
  <c r="U53" i="6"/>
  <c r="W53" i="6"/>
  <c r="U54" i="6"/>
  <c r="W54" i="6"/>
  <c r="U55" i="6"/>
  <c r="W55" i="6"/>
  <c r="U56" i="6"/>
  <c r="W56" i="6"/>
  <c r="U57" i="6"/>
  <c r="W57" i="6"/>
  <c r="U58" i="6"/>
  <c r="W58" i="6"/>
  <c r="U59" i="6"/>
  <c r="W59" i="6"/>
  <c r="U60" i="6"/>
  <c r="W60" i="6"/>
  <c r="U61" i="6"/>
  <c r="W61" i="6"/>
  <c r="U62" i="6"/>
  <c r="W62" i="6"/>
  <c r="U63" i="6"/>
  <c r="W63" i="6"/>
  <c r="U64" i="6"/>
  <c r="W64" i="6"/>
  <c r="U65" i="6"/>
  <c r="W65" i="6"/>
  <c r="U66" i="6"/>
  <c r="W66" i="6"/>
  <c r="U67" i="6"/>
  <c r="V67" i="6" s="1"/>
  <c r="T67" i="6" s="1"/>
  <c r="W67" i="6"/>
  <c r="U68" i="6"/>
  <c r="W68" i="6"/>
  <c r="U69" i="6"/>
  <c r="W69" i="6"/>
  <c r="U70" i="6"/>
  <c r="V70" i="6" s="1"/>
  <c r="T70" i="6" s="1"/>
  <c r="W70" i="6"/>
  <c r="U71" i="6"/>
  <c r="W71" i="6"/>
  <c r="U72" i="6"/>
  <c r="W72" i="6"/>
  <c r="U73" i="6"/>
  <c r="W73" i="6"/>
  <c r="U74" i="6"/>
  <c r="W74"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48" i="6"/>
  <c r="U48" i="6"/>
  <c r="V54" i="6" s="1"/>
  <c r="T54" i="6" s="1"/>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48" i="2"/>
  <c r="V76" i="2"/>
  <c r="V77" i="2"/>
  <c r="V78" i="2"/>
  <c r="V79" i="2"/>
  <c r="V80" i="2"/>
  <c r="V81" i="2"/>
  <c r="V82"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48" i="2"/>
  <c r="S49" i="2"/>
  <c r="S50" i="2"/>
  <c r="S51" i="2"/>
  <c r="S52" i="2"/>
  <c r="S53" i="2"/>
  <c r="S54" i="2"/>
  <c r="S55" i="2"/>
  <c r="E37" i="1" s="1"/>
  <c r="S56" i="2"/>
  <c r="E43" i="1" s="1"/>
  <c r="S57" i="2"/>
  <c r="S58" i="2"/>
  <c r="S59" i="2"/>
  <c r="S60" i="2"/>
  <c r="S61" i="2"/>
  <c r="S62" i="2"/>
  <c r="S63" i="2"/>
  <c r="S64" i="2"/>
  <c r="S65" i="2"/>
  <c r="S66" i="2"/>
  <c r="S67" i="2"/>
  <c r="S68" i="2"/>
  <c r="S69" i="2"/>
  <c r="S70" i="2"/>
  <c r="S71" i="2"/>
  <c r="S72" i="2"/>
  <c r="S73" i="2"/>
  <c r="S74" i="2"/>
  <c r="S75" i="2"/>
  <c r="S48" i="2"/>
  <c r="T76" i="2"/>
  <c r="T77" i="2"/>
  <c r="T78" i="2"/>
  <c r="T79" i="2"/>
  <c r="T80" i="2"/>
  <c r="T81" i="2"/>
  <c r="T82" i="2"/>
  <c r="H49" i="2"/>
  <c r="O49" i="2" s="1"/>
  <c r="H50" i="2"/>
  <c r="O50" i="2" s="1"/>
  <c r="D3" i="1" s="1"/>
  <c r="H51" i="2"/>
  <c r="O51" i="2" s="1"/>
  <c r="H52" i="2"/>
  <c r="O52" i="2" s="1"/>
  <c r="K36" i="1" s="1"/>
  <c r="H53" i="2"/>
  <c r="H54" i="2"/>
  <c r="H55" i="2"/>
  <c r="O55" i="2" s="1"/>
  <c r="H56" i="2"/>
  <c r="O56" i="2" s="1"/>
  <c r="H57" i="2"/>
  <c r="H58" i="2"/>
  <c r="O58" i="2" s="1"/>
  <c r="D8" i="1" s="1"/>
  <c r="H59" i="2"/>
  <c r="O59" i="2" s="1"/>
  <c r="P30" i="1" s="1"/>
  <c r="H60" i="2"/>
  <c r="H61" i="2"/>
  <c r="O61" i="2" s="1"/>
  <c r="H62" i="2"/>
  <c r="O62" i="2" s="1"/>
  <c r="H63" i="2"/>
  <c r="H64" i="2"/>
  <c r="O64" i="2" s="1"/>
  <c r="H65" i="2"/>
  <c r="H66" i="2"/>
  <c r="O66" i="2" s="1"/>
  <c r="H67" i="2"/>
  <c r="O67" i="2" s="1"/>
  <c r="J27" i="1" s="1"/>
  <c r="H68" i="2"/>
  <c r="H69" i="2"/>
  <c r="H70" i="2"/>
  <c r="H71" i="2"/>
  <c r="H72" i="2"/>
  <c r="O72" i="2" s="1"/>
  <c r="H73" i="2"/>
  <c r="H75" i="2"/>
  <c r="O75" i="2" s="1"/>
  <c r="J5" i="1" s="1"/>
  <c r="H74" i="2"/>
  <c r="O74" i="2" s="1"/>
  <c r="K44" i="1" s="1"/>
  <c r="H76" i="2"/>
  <c r="H77" i="2"/>
  <c r="H78" i="2"/>
  <c r="H79" i="2"/>
  <c r="H80" i="2"/>
  <c r="H81" i="2"/>
  <c r="H82" i="2"/>
  <c r="H48" i="2"/>
  <c r="O48" i="2" s="1"/>
  <c r="D25" i="1" s="1"/>
  <c r="P49" i="2"/>
  <c r="P50" i="2"/>
  <c r="P51" i="2"/>
  <c r="P52" i="2"/>
  <c r="P53" i="2"/>
  <c r="P54" i="2"/>
  <c r="P55" i="2"/>
  <c r="P56" i="2"/>
  <c r="P57" i="2"/>
  <c r="P58" i="2"/>
  <c r="P59" i="2"/>
  <c r="P60" i="2"/>
  <c r="P61" i="2"/>
  <c r="P62" i="2"/>
  <c r="P63" i="2"/>
  <c r="P64" i="2"/>
  <c r="P65" i="2"/>
  <c r="P66" i="2"/>
  <c r="P67" i="2"/>
  <c r="P68" i="2"/>
  <c r="P69" i="2"/>
  <c r="P70" i="2"/>
  <c r="P71" i="2"/>
  <c r="P72" i="2"/>
  <c r="P73" i="2"/>
  <c r="P75" i="2"/>
  <c r="P74" i="2"/>
  <c r="P76" i="2"/>
  <c r="P77" i="2"/>
  <c r="P78" i="2"/>
  <c r="P79" i="2"/>
  <c r="P80" i="2"/>
  <c r="P81" i="2"/>
  <c r="P82" i="2"/>
  <c r="P48" i="2"/>
  <c r="D62" i="2"/>
  <c r="D76"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3" i="1"/>
  <c r="L74" i="1"/>
  <c r="L72" i="1"/>
  <c r="L71" i="1"/>
  <c r="L75" i="1"/>
  <c r="V51" i="6" l="1"/>
  <c r="T51" i="6" s="1"/>
  <c r="V64" i="6"/>
  <c r="T64" i="6" s="1"/>
  <c r="V62" i="6"/>
  <c r="T62" i="6" s="1"/>
  <c r="V60" i="6"/>
  <c r="T60" i="6" s="1"/>
  <c r="V70" i="7"/>
  <c r="T70" i="7" s="1"/>
  <c r="V66" i="7"/>
  <c r="T66" i="7" s="1"/>
  <c r="V62" i="7"/>
  <c r="T62" i="7" s="1"/>
  <c r="V58" i="7"/>
  <c r="T58" i="7" s="1"/>
  <c r="V54" i="7"/>
  <c r="T54" i="7" s="1"/>
  <c r="V50" i="7"/>
  <c r="T50" i="7" s="1"/>
  <c r="O68" i="2"/>
  <c r="D19" i="1" s="1"/>
  <c r="O60" i="2"/>
  <c r="D30" i="1" s="1"/>
  <c r="V74" i="2"/>
  <c r="T74" i="2" s="1"/>
  <c r="V66" i="2"/>
  <c r="T66" i="2" s="1"/>
  <c r="V58" i="2"/>
  <c r="T58" i="2" s="1"/>
  <c r="V50" i="2"/>
  <c r="T50" i="2" s="1"/>
  <c r="V61" i="6"/>
  <c r="T61" i="6" s="1"/>
  <c r="V73" i="6"/>
  <c r="T73" i="6" s="1"/>
  <c r="V57" i="6"/>
  <c r="T57" i="6" s="1"/>
  <c r="O73" i="2"/>
  <c r="K40" i="1" s="1"/>
  <c r="O65" i="2"/>
  <c r="J16" i="1" s="1"/>
  <c r="O57" i="2"/>
  <c r="P14" i="1" s="1"/>
  <c r="V71" i="2"/>
  <c r="T71" i="2" s="1"/>
  <c r="V63" i="2"/>
  <c r="T63" i="2" s="1"/>
  <c r="V55" i="2"/>
  <c r="V66" i="6"/>
  <c r="T66" i="6" s="1"/>
  <c r="V63" i="6"/>
  <c r="T63" i="6" s="1"/>
  <c r="V50" i="6"/>
  <c r="T50" i="6" s="1"/>
  <c r="V69" i="7"/>
  <c r="T69" i="7" s="1"/>
  <c r="V65" i="7"/>
  <c r="T65" i="7" s="1"/>
  <c r="V61" i="7"/>
  <c r="T61" i="7" s="1"/>
  <c r="V57" i="7"/>
  <c r="T57" i="7" s="1"/>
  <c r="V53" i="7"/>
  <c r="T53" i="7" s="1"/>
  <c r="V49" i="7"/>
  <c r="T49" i="7" s="1"/>
  <c r="V70" i="2"/>
  <c r="V62" i="2"/>
  <c r="T62" i="2" s="1"/>
  <c r="V72" i="2"/>
  <c r="T72" i="2" s="1"/>
  <c r="V48" i="6"/>
  <c r="T48" i="6" s="1"/>
  <c r="V72" i="6"/>
  <c r="T72" i="6" s="1"/>
  <c r="V69" i="6"/>
  <c r="T69" i="6" s="1"/>
  <c r="V56" i="6"/>
  <c r="T56" i="6" s="1"/>
  <c r="V53" i="6"/>
  <c r="T53" i="6" s="1"/>
  <c r="V63" i="11"/>
  <c r="T63" i="11" s="1"/>
  <c r="O71" i="2"/>
  <c r="P8" i="1" s="1"/>
  <c r="O63" i="2"/>
  <c r="V69" i="2"/>
  <c r="V61" i="2"/>
  <c r="T61" i="2" s="1"/>
  <c r="V53" i="2"/>
  <c r="T53" i="2" s="1"/>
  <c r="V59" i="6"/>
  <c r="T59" i="6" s="1"/>
  <c r="V68" i="7"/>
  <c r="T68" i="7" s="1"/>
  <c r="V64" i="7"/>
  <c r="T64" i="7" s="1"/>
  <c r="V60" i="7"/>
  <c r="T60" i="7" s="1"/>
  <c r="V56" i="7"/>
  <c r="T56" i="7" s="1"/>
  <c r="V52" i="7"/>
  <c r="T52" i="7" s="1"/>
  <c r="O70" i="2"/>
  <c r="D14" i="1" s="1"/>
  <c r="O54" i="2"/>
  <c r="P19" i="1" s="1"/>
  <c r="V68" i="2"/>
  <c r="V60" i="2"/>
  <c r="T60" i="2" s="1"/>
  <c r="V52" i="2"/>
  <c r="V68" i="6"/>
  <c r="T68" i="6" s="1"/>
  <c r="V65" i="6"/>
  <c r="T65" i="6" s="1"/>
  <c r="V52" i="6"/>
  <c r="T52" i="6" s="1"/>
  <c r="V49" i="6"/>
  <c r="T49" i="6" s="1"/>
  <c r="O69" i="2"/>
  <c r="P25" i="1" s="1"/>
  <c r="O53" i="2"/>
  <c r="P3" i="1" s="1"/>
  <c r="V48" i="2"/>
  <c r="V75" i="2"/>
  <c r="T75" i="2" s="1"/>
  <c r="V67" i="2"/>
  <c r="T67" i="2" s="1"/>
  <c r="V59" i="2"/>
  <c r="T59" i="2" s="1"/>
  <c r="V51" i="2"/>
  <c r="T51" i="2" s="1"/>
  <c r="V74" i="6"/>
  <c r="T74" i="6" s="1"/>
  <c r="V71" i="6"/>
  <c r="T71" i="6" s="1"/>
  <c r="V58" i="6"/>
  <c r="T58" i="6" s="1"/>
  <c r="V55" i="6"/>
  <c r="T55" i="6" s="1"/>
  <c r="V71" i="7"/>
  <c r="T71" i="7" s="1"/>
  <c r="V67" i="7"/>
  <c r="T67" i="7" s="1"/>
  <c r="V63" i="7"/>
  <c r="T63" i="7" s="1"/>
  <c r="V59" i="7"/>
  <c r="T59" i="7" s="1"/>
  <c r="V55" i="7"/>
  <c r="T55" i="7" s="1"/>
  <c r="V51" i="7"/>
  <c r="T51" i="7" s="1"/>
  <c r="D73" i="11"/>
  <c r="D56" i="11"/>
  <c r="D55" i="11"/>
  <c r="V69" i="11"/>
  <c r="T69" i="11" s="1"/>
  <c r="V61" i="11"/>
  <c r="T61" i="11" s="1"/>
  <c r="V51" i="11"/>
  <c r="T51" i="11" s="1"/>
  <c r="V71" i="11"/>
  <c r="T71" i="11" s="1"/>
  <c r="D61" i="11"/>
  <c r="D71" i="11"/>
  <c r="D88" i="11"/>
  <c r="D89" i="11"/>
  <c r="D86" i="11"/>
  <c r="D87" i="11"/>
  <c r="D85" i="11"/>
  <c r="V73" i="2"/>
  <c r="T73" i="2" s="1"/>
  <c r="V49" i="2"/>
  <c r="T49" i="2" s="1"/>
  <c r="V56" i="2"/>
  <c r="T56" i="2" s="1"/>
  <c r="V57" i="2"/>
  <c r="T57" i="2" s="1"/>
  <c r="V54" i="2"/>
  <c r="T54" i="2" s="1"/>
  <c r="V64" i="2"/>
  <c r="T64" i="2" s="1"/>
  <c r="V65" i="2"/>
  <c r="T65" i="2" s="1"/>
  <c r="V52" i="11"/>
  <c r="T52" i="11" s="1"/>
  <c r="V64" i="11"/>
  <c r="T64" i="11" s="1"/>
  <c r="V73" i="11"/>
  <c r="T73" i="11" s="1"/>
  <c r="V75" i="11"/>
  <c r="T75" i="11" s="1"/>
  <c r="V74" i="11"/>
  <c r="T74" i="11" s="1"/>
  <c r="V72" i="11"/>
  <c r="T72" i="11" s="1"/>
  <c r="V55" i="11"/>
  <c r="T55" i="11" s="1"/>
  <c r="V66" i="11"/>
  <c r="T66" i="11" s="1"/>
  <c r="V56" i="11"/>
  <c r="T56" i="11" s="1"/>
  <c r="V54" i="11"/>
  <c r="T54" i="11" s="1"/>
  <c r="V62" i="11"/>
  <c r="T62" i="11" s="1"/>
  <c r="V53" i="11"/>
  <c r="T53" i="11" s="1"/>
  <c r="D60" i="11"/>
  <c r="D59" i="11"/>
  <c r="D72" i="11"/>
  <c r="D50" i="11"/>
  <c r="D70" i="11"/>
  <c r="D64" i="11"/>
  <c r="D53" i="11"/>
  <c r="D74" i="11"/>
  <c r="V70" i="11"/>
  <c r="T70" i="11" s="1"/>
  <c r="D69" i="11"/>
  <c r="D51" i="11"/>
  <c r="V65" i="11"/>
  <c r="T65" i="11" s="1"/>
  <c r="D66" i="11"/>
  <c r="V48" i="11"/>
  <c r="T48" i="11" s="1"/>
  <c r="D75" i="11"/>
  <c r="V68" i="11"/>
  <c r="T68" i="11" s="1"/>
  <c r="V60" i="11"/>
  <c r="T60" i="11" s="1"/>
  <c r="D65" i="11"/>
  <c r="D48" i="11"/>
  <c r="D68" i="11"/>
  <c r="V57" i="11"/>
  <c r="T57" i="11" s="1"/>
  <c r="V58" i="11"/>
  <c r="T58" i="11" s="1"/>
  <c r="D52" i="11"/>
  <c r="D57" i="11"/>
  <c r="D58" i="11"/>
  <c r="D54" i="11"/>
  <c r="V50" i="11"/>
  <c r="T50" i="11" s="1"/>
  <c r="D62" i="11"/>
  <c r="V67" i="11"/>
  <c r="T67" i="11" s="1"/>
  <c r="V49" i="11"/>
  <c r="T49" i="11" s="1"/>
  <c r="D67" i="11"/>
  <c r="V59" i="11"/>
  <c r="T59" i="11" s="1"/>
  <c r="T55" i="2"/>
  <c r="T70" i="2"/>
  <c r="T69" i="2"/>
  <c r="T48" i="2"/>
  <c r="T68" i="2"/>
  <c r="T52" i="2"/>
  <c r="AP44" i="1"/>
  <c r="AM43" i="1"/>
  <c r="AK43" i="1"/>
  <c r="AP42" i="1"/>
  <c r="AN42" i="1"/>
  <c r="AK42" i="1"/>
  <c r="AP38" i="1"/>
  <c r="AM37" i="1"/>
  <c r="AK37" i="1"/>
  <c r="AP36" i="1"/>
  <c r="AN36" i="1"/>
  <c r="AK36" i="1"/>
  <c r="AR19" i="1"/>
  <c r="AR30" i="1"/>
  <c r="H30" i="1"/>
  <c r="H19" i="1"/>
  <c r="A84" i="7" l="1"/>
  <c r="A47" i="7"/>
  <c r="D86" i="7" l="1"/>
  <c r="D87" i="7"/>
  <c r="D88" i="7"/>
  <c r="D89" i="7"/>
  <c r="D85" i="7"/>
  <c r="D49" i="7"/>
  <c r="D57" i="7"/>
  <c r="D65" i="7"/>
  <c r="D50" i="7"/>
  <c r="D58" i="7"/>
  <c r="D71" i="7"/>
  <c r="D51" i="7"/>
  <c r="D59" i="7"/>
  <c r="D67" i="7"/>
  <c r="D52" i="7"/>
  <c r="D60" i="7"/>
  <c r="D68" i="7"/>
  <c r="D55" i="7"/>
  <c r="D53" i="7"/>
  <c r="D61" i="7"/>
  <c r="D69" i="7"/>
  <c r="D63" i="7"/>
  <c r="D54" i="7"/>
  <c r="D62" i="7"/>
  <c r="D70" i="7"/>
  <c r="D64" i="7"/>
  <c r="D48" i="7"/>
  <c r="A86" i="1"/>
  <c r="J87" i="1"/>
  <c r="J86" i="1"/>
  <c r="A87" i="1"/>
  <c r="N87" i="1"/>
  <c r="E86" i="1"/>
  <c r="E87"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5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48" i="6"/>
  <c r="D49" i="6"/>
  <c r="AH24" i="1" s="1"/>
  <c r="D57" i="6"/>
  <c r="V41" i="1" s="1"/>
  <c r="D65" i="6"/>
  <c r="AB4" i="1" s="1"/>
  <c r="D73" i="6"/>
  <c r="AH29" i="1" s="1"/>
  <c r="D50" i="6"/>
  <c r="V29" i="1" s="1"/>
  <c r="D66" i="6"/>
  <c r="AE39" i="1" s="1"/>
  <c r="D74" i="6"/>
  <c r="V35" i="1" s="1"/>
  <c r="D61" i="6"/>
  <c r="V24" i="1" s="1"/>
  <c r="D51" i="6"/>
  <c r="AH18" i="1" s="1"/>
  <c r="D59" i="6"/>
  <c r="AH2" i="1" s="1"/>
  <c r="D67" i="6"/>
  <c r="AB26" i="1" s="1"/>
  <c r="D60" i="6"/>
  <c r="AH13" i="1" s="1"/>
  <c r="D68" i="6"/>
  <c r="V13" i="1" s="1"/>
  <c r="D54" i="6"/>
  <c r="V18" i="1" s="1"/>
  <c r="D62" i="6"/>
  <c r="V7" i="1" s="1"/>
  <c r="D70" i="6"/>
  <c r="D64" i="6"/>
  <c r="AE43" i="1" s="1"/>
  <c r="D72" i="6"/>
  <c r="AH7" i="1" s="1"/>
  <c r="D55" i="6"/>
  <c r="AB15" i="1" s="1"/>
  <c r="D63" i="6"/>
  <c r="D71" i="6"/>
  <c r="V2" i="1" s="1"/>
  <c r="D56"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74" i="2" s="1"/>
  <c r="M43" i="1" s="1"/>
  <c r="D86" i="2" l="1"/>
  <c r="J48" i="1" s="1"/>
  <c r="D87" i="2"/>
  <c r="D88" i="2"/>
  <c r="J50" i="1" s="1"/>
  <c r="D85" i="2"/>
  <c r="A48" i="1" s="1"/>
  <c r="C43" i="1"/>
  <c r="B36" i="1"/>
  <c r="F42" i="1"/>
  <c r="D48" i="2"/>
  <c r="D24" i="1" s="1"/>
  <c r="D49" i="2"/>
  <c r="D57" i="2"/>
  <c r="P13" i="1" s="1"/>
  <c r="D65" i="2"/>
  <c r="J15" i="1" s="1"/>
  <c r="D73" i="2"/>
  <c r="M39" i="1" s="1"/>
  <c r="D71" i="2"/>
  <c r="P7" i="1" s="1"/>
  <c r="D50" i="2"/>
  <c r="D2" i="1" s="1"/>
  <c r="D58" i="2"/>
  <c r="D7" i="1" s="1"/>
  <c r="D66" i="2"/>
  <c r="D75" i="2"/>
  <c r="J4" i="1" s="1"/>
  <c r="D51" i="2"/>
  <c r="D59" i="2"/>
  <c r="P29" i="1" s="1"/>
  <c r="D67" i="2"/>
  <c r="J26" i="1" s="1"/>
  <c r="D52" i="2"/>
  <c r="M35" i="1" s="1"/>
  <c r="D60" i="2"/>
  <c r="D29" i="1" s="1"/>
  <c r="D68" i="2"/>
  <c r="D18" i="1" s="1"/>
  <c r="D63" i="2"/>
  <c r="D53" i="2"/>
  <c r="P2" i="1" s="1"/>
  <c r="D61" i="2"/>
  <c r="D69" i="2"/>
  <c r="P24" i="1" s="1"/>
  <c r="D54" i="2"/>
  <c r="P18" i="1" s="1"/>
  <c r="D70" i="2"/>
  <c r="D13" i="1" s="1"/>
  <c r="D55" i="2"/>
  <c r="D35" i="1" s="1"/>
  <c r="D56" i="2"/>
  <c r="D41" i="1" s="1"/>
  <c r="D64" i="2"/>
  <c r="D72" i="2"/>
  <c r="I56" i="1"/>
  <c r="Q56" i="1"/>
  <c r="P43" i="1"/>
  <c r="P39" i="1"/>
  <c r="P56" i="1"/>
  <c r="H56" i="1"/>
  <c r="G56" i="1"/>
  <c r="R56"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6"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7"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8" name="CHO_zapasy" type="6" refreshedVersion="5" background="1" saveData="1">
    <textPr prompt="0" codePage="65001" sourceFile="D:\klima\Documents\SKV\pripravy\csv_2021\CHO_zapasy.csv" thousands=" " comma="1" qualifier="none">
      <textFields count="3">
        <textField/>
        <textField/>
        <textField/>
      </textFields>
    </textPr>
  </connection>
  <connection id="9"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0"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1"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12" name="MB_zapasy" type="6" refreshedVersion="5" background="1" saveData="1">
    <textPr prompt="0" codePage="65001" sourceFile="D:\klima\Documents\SKV\pripravy\csv_2021\MB_zapasy.csv" thousands=" " tab="0" comma="1" qualifier="none">
      <textFields count="3">
        <textField/>
        <textField/>
        <textField/>
      </textFields>
    </textPr>
  </connection>
  <connection id="13"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14"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15"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16" name="OTR_zapasy" type="6" refreshedVersion="5" background="1" saveData="1">
    <textPr prompt="0" codePage="65001" sourceFile="D:\klima\Documents\SKV\pripravy\csv_2021\OTR_zapasy.csv" thousands=" " tab="0" comma="1" qualifier="none">
      <textFields count="3">
        <textField/>
        <textField/>
        <textField/>
      </textFields>
    </textPr>
  </connection>
  <connection id="17"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18"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19"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0" name="SKV_zapasy" type="6" refreshedVersion="5" background="1" saveData="1">
    <textPr prompt="0" codePage="65001" sourceFile="D:\klima\Documents\SKV\pripravy\csv_2021\SKV_zapasy.csv" thousands=" " tab="0" comma="1" qualifier="none">
      <textFields count="3">
        <textField/>
        <textField/>
        <textField/>
      </textFields>
    </textPr>
  </connection>
  <connection id="21"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22"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23"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24" name="SPA_zapasy" type="6" refreshedVersion="5" background="1" saveData="1">
    <textPr prompt="0" codePage="65001" sourceFile="D:\klima\Documents\SKV\pripravy\csv_2021\SPA_zapasy.csv" thousands=" " tab="0" comma="1" qualifier="none">
      <textFields count="3">
        <textField/>
        <textField/>
        <textField/>
      </textFields>
    </textPr>
  </connection>
  <connection id="25"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27"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28"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29" name="TAT_zapasy" type="6" refreshedVersion="5" background="1" saveData="1">
    <textPr prompt="0" codePage="65001" sourceFile="D:\klima\Documents\SKV\pripravy\csv_2021\TAT_zapasy.csv" thousands=" " tab="0" comma="1" qualifier="none">
      <textFields count="3">
        <textField/>
        <textField/>
        <textField/>
      </textFields>
    </textPr>
  </connection>
  <connection id="30"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1"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32"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33"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<sst xmlns="http://schemas.openxmlformats.org/spreadsheetml/2006/main" count="2382" uniqueCount="777">
  <si>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</si>
  <si>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</si>
  <si>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</si>
  <si>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</si>
  <si>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</si>
  <si>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</si>
  <si>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</si>
  <si>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</si>
  <si>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</si>
  <si>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</si>
  <si>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</si>
  <si>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</si>
  <si>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</si>
  <si>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</si>
  <si>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</si>
  <si>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</si>
  <si>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</si>
  <si>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</si>
  <si>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</si>
  <si>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</si>
  <si>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</si>
  <si>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</si>
  <si>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</si>
  <si>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</si>
  <si>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</si>
  <si>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</si>
  <si>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</si>
  <si>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</si>
  <si>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</si>
  <si>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</si>
  <si>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</si>
  <si>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</si>
  <si>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</si>
  <si>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</si>
  <si>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</si>
  <si>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</si>
  <si>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</si>
  <si>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</si>
  <si>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</si>
  <si>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</si>
  <si>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</si>
  <si>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</si>
  <si>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</si>
  <si>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</si>
  <si>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</si>
  <si>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Vzájemné zápasy</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</si>
  <si>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</si>
  <si>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</si>
  <si>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</si>
  <si>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</si>
  <si>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</si>
  <si>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</si>
  <si>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</si>
  <si>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</si>
  <si>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</si>
  <si>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</si>
  <si>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</si>
  <si>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</si>
  <si>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</si>
  <si>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</si>
  <si>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</si>
  <si>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</si>
  <si>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</si>
  <si>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</si>
  <si>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</si>
  <si>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</si>
  <si>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</si>
  <si>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</si>
  <si>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</si>
  <si>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</si>
  <si>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</si>
  <si>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</si>
  <si>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</si>
  <si>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</si>
  <si>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</si>
  <si>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</si>
  <si>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</si>
  <si>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</si>
  <si>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</si>
  <si>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</si>
  <si>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</si>
  <si>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</si>
  <si>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</si>
  <si>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</si>
  <si>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</si>
  <si>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</si>
  <si>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</si>
  <si>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</si>
  <si>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</si>
  <si>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</si>
  <si>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</si>
  <si>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</si>
  <si>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</si>
  <si>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</si>
  <si>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</si>
  <si>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</si>
  <si>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</si>
  <si>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</si>
  <si>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</si>
  <si>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</si>
  <si>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</si>
  <si>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</si>
  <si>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</si>
  <si>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</si>
  <si>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</si>
  <si>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</si>
  <si>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</si>
  <si>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</si>
  <si>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</si>
  <si>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</si>
  <si>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</si>
  <si>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</si>
  <si>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</si>
  <si>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</si>
  <si>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</si>
  <si>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</si>
  <si>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</si>
  <si>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</si>
  <si>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</si>
  <si>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</si>
  <si>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</si>
  <si>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</si>
  <si>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</si>
  <si>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</si>
  <si>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</si>
  <si>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</si>
  <si>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</si>
  <si>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</si>
  <si>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</si>
  <si>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</si>
  <si>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</si>
  <si>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</si>
  <si>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</si>
  <si>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</si>
  <si>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</si>
  <si>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</si>
  <si>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</si>
  <si>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</si>
  <si>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</si>
  <si>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</si>
  <si>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</si>
  <si>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</si>
  <si>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</si>
  <si>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</si>
  <si>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</si>
  <si>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</si>
  <si>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</si>
  <si>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</si>
  <si>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</si>
  <si>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</si>
  <si>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</si>
  <si>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</si>
  <si>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</si>
  <si>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</si>
  <si>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</si>
  <si>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</si>
  <si>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</si>
  <si>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</si>
  <si>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</si>
  <si>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</si>
  <si>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</si>
  <si>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</si>
  <si>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</si>
  <si>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</si>
  <si>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</si>
  <si>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</si>
  <si>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</si>
  <si>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</si>
  <si>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</si>
  <si>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</si>
  <si>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</si>
  <si>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</si>
  <si>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</si>
  <si>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</si>
  <si>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</si>
  <si>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</si>
  <si>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</si>
  <si>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</si>
  <si>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</si>
  <si>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</si>
  <si>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</si>
  <si>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</si>
  <si>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</si>
  <si>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</si>
  <si>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</si>
  <si>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</si>
  <si>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</si>
  <si>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</si>
  <si>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</si>
  <si>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</si>
  <si>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</si>
  <si>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</si>
  <si>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</si>
  <si>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</si>
  <si>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</si>
  <si>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</si>
  <si>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</si>
  <si>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</si>
  <si>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</si>
  <si>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</si>
  <si>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</si>
  <si>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</si>
  <si>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</si>
  <si>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</si>
  <si>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</si>
  <si>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</si>
  <si>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</si>
  <si>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</si>
  <si>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</si>
  <si>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</si>
  <si>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</si>
  <si>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</si>
  <si>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</si>
  <si>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</si>
  <si>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</si>
  <si>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</si>
  <si>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</si>
  <si>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</si>
  <si>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</si>
  <si>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</si>
  <si>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</si>
  <si>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</si>
  <si>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</si>
  <si>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</si>
  <si>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</si>
  <si>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</si>
  <si>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</si>
  <si>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</si>
  <si>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</si>
  <si>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</si>
  <si>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</si>
  <si>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</si>
  <si>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</si>
  <si>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</si>
  <si>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</si>
  <si>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</si>
  <si>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</si>
  <si>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</si>
  <si>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</si>
  <si>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</si>
  <si>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</si>
  <si>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</si>
  <si>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4. Martin Skřivánek</t>
  </si>
  <si>
    <t>5. Petr Hartman</t>
  </si>
  <si>
    <t>G/Z</t>
  </si>
  <si>
    <t>1. Lukáš Gregor</t>
  </si>
  <si>
    <t>2. Michal Strachota</t>
  </si>
  <si>
    <t>4. Ondřej Stuchlík</t>
  </si>
  <si>
    <t>1. Karel Šantora</t>
  </si>
  <si>
    <t>2. Matyáš Lorenc</t>
  </si>
  <si>
    <t>3. Rastislav Mazák</t>
  </si>
  <si>
    <t>4. Jiří Buchta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</si>
  <si>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</si>
  <si>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</si>
  <si>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</si>
  <si>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</si>
  <si>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</si>
  <si>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</si>
  <si>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</si>
  <si>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</si>
  <si>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</si>
  <si>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</si>
  <si>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</si>
  <si>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</si>
  <si>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</si>
  <si>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</si>
  <si>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</si>
  <si>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</si>
  <si>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</si>
  <si>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</si>
  <si>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</si>
  <si>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</si>
  <si>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</si>
  <si>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</si>
  <si>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</si>
  <si>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</si>
  <si>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</si>
  <si>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</si>
  <si>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</si>
  <si>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</si>
  <si>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</si>
  <si>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</si>
  <si>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</si>
  <si>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</si>
  <si>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</si>
  <si>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</si>
  <si>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</si>
  <si>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</si>
  <si>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</si>
  <si>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</si>
  <si>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</si>
  <si>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</si>
  <si>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</si>
  <si>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</si>
  <si>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</si>
  <si>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</si>
  <si>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</si>
  <si>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</si>
  <si>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</si>
  <si>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</si>
  <si>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</si>
  <si>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</si>
  <si>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</si>
  <si>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</si>
  <si>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</si>
  <si>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</si>
  <si>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</si>
  <si>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</si>
  <si>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</si>
  <si>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</si>
  <si>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</si>
  <si>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</si>
  <si>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</si>
  <si>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</si>
  <si>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</si>
  <si>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</si>
  <si>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</si>
  <si>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</si>
  <si>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</si>
  <si>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</si>
  <si>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</si>
  <si>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</si>
  <si>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</si>
  <si>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</si>
  <si>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</si>
  <si>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</si>
  <si>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</si>
  <si>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</si>
  <si>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</si>
  <si>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</si>
  <si>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</si>
  <si>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</si>
  <si>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</si>
  <si>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</si>
  <si>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</si>
  <si>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</si>
  <si>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</si>
  <si>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</si>
  <si>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9,13</t>
  </si>
  <si>
    <t>Posl. 5</t>
  </si>
  <si>
    <t>Násl. 5</t>
  </si>
  <si>
    <t>Série</t>
  </si>
  <si>
    <t>12:3</t>
  </si>
  <si>
    <t>10. 1.</t>
  </si>
  <si>
    <t>9. 1.</t>
  </si>
  <si>
    <t>3. 1.</t>
  </si>
  <si>
    <t>2. 1.</t>
  </si>
  <si>
    <t>20. 1.</t>
  </si>
  <si>
    <t>22. 1.</t>
  </si>
  <si>
    <t>5. Jan Procházka</t>
  </si>
  <si>
    <t>2. Jan Procházka</t>
  </si>
  <si>
    <t>"5:6sn"</t>
  </si>
  <si>
    <t>"3:12"</t>
  </si>
  <si>
    <t>"-:-"</t>
  </si>
  <si>
    <t>1. Marek Vávra</t>
  </si>
  <si>
    <t>2. Tom Ondrušek</t>
  </si>
  <si>
    <t>3. Petr Majer</t>
  </si>
  <si>
    <t>4. Ondřej Mikeš</t>
  </si>
  <si>
    <t>5. Jiří Koutný</t>
  </si>
  <si>
    <t>1. Michal Rebro</t>
  </si>
  <si>
    <t>4,32</t>
  </si>
  <si>
    <t>5,64</t>
  </si>
  <si>
    <t>5. Daniel Eremiáš</t>
  </si>
  <si>
    <t>1. Vojtěch Šimůnek</t>
  </si>
  <si>
    <t>4. Karel Pergler</t>
  </si>
  <si>
    <t>1. Tom Ondrušek</t>
  </si>
  <si>
    <t>2. Marek Vávra</t>
  </si>
  <si>
    <t>3. Tomáš Sýkora</t>
  </si>
  <si>
    <t>1. Jiří Bauer</t>
  </si>
  <si>
    <t>"12:3"</t>
  </si>
  <si>
    <t>"8:6"</t>
  </si>
  <si>
    <t>23. 1.</t>
  </si>
  <si>
    <t>24. 1.</t>
  </si>
  <si>
    <t>1. Adam Delong</t>
  </si>
  <si>
    <t>2. Rostislav Gattnar</t>
  </si>
  <si>
    <t>3. Matyáš Šindler</t>
  </si>
  <si>
    <t>4. Lukáš Hájek</t>
  </si>
  <si>
    <t>5. Marek Matejčík</t>
  </si>
  <si>
    <t>1. Lukáš Souček</t>
  </si>
  <si>
    <t>3,87</t>
  </si>
  <si>
    <t>2. Denis Jasiok</t>
  </si>
  <si>
    <t>5,75</t>
  </si>
  <si>
    <t>3. Lukáš Hájek</t>
  </si>
  <si>
    <t>4. Marek Bräuer</t>
  </si>
  <si>
    <t>5. Jan Šebesta</t>
  </si>
  <si>
    <t>1. Matyáš Šindler</t>
  </si>
  <si>
    <t>2. Lukáš Hájek</t>
  </si>
  <si>
    <t>3. Adam Delong</t>
  </si>
  <si>
    <t>4. Marek Matejčík</t>
  </si>
  <si>
    <t>5. Rostislav Gattnar</t>
  </si>
  <si>
    <t>1. Tomáš Sladký</t>
  </si>
  <si>
    <t>2. Daniels Janis Anis</t>
  </si>
  <si>
    <t>3. Jan Šebesta</t>
  </si>
  <si>
    <t>5. Martin Nehera</t>
  </si>
  <si>
    <t>11. 1.</t>
  </si>
  <si>
    <t>"8:3"</t>
  </si>
  <si>
    <t>"14:7"</t>
  </si>
  <si>
    <t>"12:4"</t>
  </si>
  <si>
    <t>"6:7p"</t>
  </si>
  <si>
    <t>13. 12.</t>
  </si>
  <si>
    <t>"10:5"</t>
  </si>
  <si>
    <t>30. 1.</t>
  </si>
  <si>
    <t>V - V - V - P - V - V - PP - V - V - V</t>
  </si>
  <si>
    <t>1. Jiří Curney</t>
  </si>
  <si>
    <t>2. Jan Natov</t>
  </si>
  <si>
    <t>3. Jakub Bína</t>
  </si>
  <si>
    <t>4. Martin Tokoš</t>
  </si>
  <si>
    <t>5. Mikuláš Komárek</t>
  </si>
  <si>
    <t>1. Lukáš Bauer</t>
  </si>
  <si>
    <t>2. Petr Musil</t>
  </si>
  <si>
    <t>4,74</t>
  </si>
  <si>
    <t>3. Marek Macík</t>
  </si>
  <si>
    <t>4. Ondřej Tomšík</t>
  </si>
  <si>
    <t>15,00</t>
  </si>
  <si>
    <t>1. Jakub Bína</t>
  </si>
  <si>
    <t>3. Jiří Curney</t>
  </si>
  <si>
    <t>3. Ondřej Tomšík</t>
  </si>
  <si>
    <t>4. Marek Macík</t>
  </si>
  <si>
    <t>4. Daniel Šebek</t>
  </si>
  <si>
    <t>"13:2"</t>
  </si>
  <si>
    <t>"6:5p"</t>
  </si>
  <si>
    <t>"7:2"</t>
  </si>
  <si>
    <t>"6:3"</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</si>
  <si>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</si>
  <si>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</si>
  <si>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</si>
  <si>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</si>
  <si>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</si>
  <si>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</si>
  <si>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</si>
  <si>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</si>
  <si>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</si>
  <si>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</si>
  <si>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</si>
  <si>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</si>
  <si>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</si>
  <si>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</si>
  <si>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</si>
  <si>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</si>
  <si>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</si>
  <si>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</si>
  <si>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</si>
  <si>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</si>
  <si>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</si>
  <si>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</si>
  <si>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</si>
  <si>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</si>
  <si>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</si>
  <si>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</si>
  <si>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</si>
  <si>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</si>
  <si>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</si>
  <si>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</si>
  <si>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</si>
  <si>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</si>
  <si>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</si>
  <si>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</si>
  <si>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1. Lukáš Kříž</t>
  </si>
  <si>
    <t>2. Tomáš Jurco</t>
  </si>
  <si>
    <t>5,88</t>
  </si>
  <si>
    <t>3. Martin Frühbauer</t>
  </si>
  <si>
    <t>2. Matěj Havlas</t>
  </si>
  <si>
    <t>1. Ondřej Němeček</t>
  </si>
  <si>
    <t>2. Filip Langer</t>
  </si>
  <si>
    <t>3. Martin Šindelář</t>
  </si>
  <si>
    <t>4. Milan Meliš</t>
  </si>
  <si>
    <t>1. Petr Novotný</t>
  </si>
  <si>
    <t>4. Pavel Sládeček</t>
  </si>
  <si>
    <t>5. Petr Brautferger</t>
  </si>
  <si>
    <t>"3:8"</t>
  </si>
  <si>
    <t>"6:9"</t>
  </si>
  <si>
    <t>"6:8"</t>
  </si>
  <si>
    <t>"6:4"</t>
  </si>
  <si>
    <t>28. 1.</t>
  </si>
  <si>
    <t>Gregor - 5 GP</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</si>
  <si>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</si>
  <si>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</si>
  <si>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</si>
  <si>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</si>
  <si>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</si>
  <si>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</si>
  <si>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</si>
  <si>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</si>
  <si>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</si>
  <si>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</si>
  <si>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</si>
  <si>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</si>
  <si>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</si>
  <si>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</si>
  <si>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</si>
  <si>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</si>
  <si>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</si>
  <si>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</si>
  <si>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</si>
  <si>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</si>
  <si>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</si>
  <si>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</si>
  <si>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</si>
  <si>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</si>
  <si>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</si>
  <si>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</si>
  <si>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</si>
  <si>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</si>
  <si>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</si>
  <si>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</si>
  <si>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</si>
  <si>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</si>
  <si>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</si>
  <si>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</si>
  <si>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3. Filip Hrabal</t>
  </si>
  <si>
    <t>4. Ladislav Gál</t>
  </si>
  <si>
    <t>1. Kevin Majrich</t>
  </si>
  <si>
    <t>2. Zdeněk Raška</t>
  </si>
  <si>
    <t>9,75</t>
  </si>
  <si>
    <t>3. Matěj Kubíček</t>
  </si>
  <si>
    <t>11,00</t>
  </si>
  <si>
    <t>5. Peter Nehila</t>
  </si>
  <si>
    <t>2. Matěj Kubíček</t>
  </si>
  <si>
    <t>3. Zdeněk Raška</t>
  </si>
  <si>
    <t>1. Matěj Hronek</t>
  </si>
  <si>
    <t>2. František Vykopal</t>
  </si>
  <si>
    <t>5. Petr Koláčný</t>
  </si>
  <si>
    <t>1. Petr Koláčný</t>
  </si>
  <si>
    <t>2. Martin Szweda</t>
  </si>
  <si>
    <t>3. František Vykopal</t>
  </si>
  <si>
    <t>4. Michal Nagy</t>
  </si>
  <si>
    <t>5. David Medek</t>
  </si>
  <si>
    <t>"2:13"</t>
  </si>
  <si>
    <t>"3:7"</t>
  </si>
  <si>
    <t>4. 1.</t>
  </si>
  <si>
    <t>"1:9"</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</si>
  <si>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</si>
  <si>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</si>
  <si>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</si>
  <si>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</si>
  <si>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</si>
  <si>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</si>
  <si>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</si>
  <si>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</si>
  <si>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</si>
  <si>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</si>
  <si>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</si>
  <si>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</si>
  <si>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</si>
  <si>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</si>
  <si>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</si>
  <si>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</si>
  <si>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</si>
  <si>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</si>
  <si>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</si>
  <si>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</si>
  <si>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</si>
  <si>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</si>
  <si>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</si>
  <si>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</si>
  <si>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</si>
  <si>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</si>
  <si>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</si>
  <si>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</si>
  <si>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</si>
  <si>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</si>
  <si>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</si>
  <si>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</si>
  <si>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13. 1.</t>
  </si>
  <si>
    <t>"5:8"</t>
  </si>
  <si>
    <t>4. Radovan Vnuk</t>
  </si>
  <si>
    <t>5. Jan Fiala</t>
  </si>
  <si>
    <t>"8:5"</t>
  </si>
  <si>
    <t>5. Jiří Bauer</t>
  </si>
  <si>
    <t>2. Jiří Koutný</t>
  </si>
  <si>
    <t>3. Tomáš Vávra</t>
  </si>
  <si>
    <t>4. Michal Strnad</t>
  </si>
  <si>
    <t>5. David Horký</t>
  </si>
  <si>
    <t>14. 2.</t>
  </si>
  <si>
    <t>4,33</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</si>
  <si>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</si>
  <si>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</si>
  <si>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</si>
  <si>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</si>
  <si>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</si>
  <si>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</si>
  <si>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</si>
  <si>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</si>
  <si>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</si>
  <si>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</si>
  <si>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</si>
  <si>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</si>
  <si>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</si>
  <si>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</si>
  <si>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</si>
  <si>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</si>
  <si>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</si>
  <si>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</si>
  <si>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</si>
  <si>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</si>
  <si>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</si>
  <si>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</si>
  <si>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</si>
  <si>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</si>
  <si>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</si>
  <si>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</si>
  <si>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</si>
  <si>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</si>
  <si>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2. Jan Malič</t>
  </si>
  <si>
    <t>3. Matyáš Krebner</t>
  </si>
  <si>
    <t>4. Matěj Pěnička</t>
  </si>
  <si>
    <t>5. Jakub Šárka</t>
  </si>
  <si>
    <t>1. Radovan Michajlovič</t>
  </si>
  <si>
    <t>2. Jakub Zavřel</t>
  </si>
  <si>
    <t>5,56</t>
  </si>
  <si>
    <t>3. Tomáš Hyršl</t>
  </si>
  <si>
    <t>13,73</t>
  </si>
  <si>
    <t>1. Matěj Pěnička</t>
  </si>
  <si>
    <t>2. Jakub Šárka</t>
  </si>
  <si>
    <t>5. Jan Malič</t>
  </si>
  <si>
    <t>2. Tomáš Hyršl</t>
  </si>
  <si>
    <t>3. Jakub Zavřel</t>
  </si>
  <si>
    <t>1. Jan Malič</t>
  </si>
  <si>
    <t>2. Filip Forman</t>
  </si>
  <si>
    <t>3. Jakub Buršík</t>
  </si>
  <si>
    <t>4. Lukáš Kuncman</t>
  </si>
  <si>
    <t>5. Matyáš Krebner</t>
  </si>
  <si>
    <t>"11:10p"</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</si>
  <si>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</si>
  <si>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</si>
  <si>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</si>
  <si>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</si>
  <si>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</si>
  <si>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</si>
  <si>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</si>
  <si>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</si>
  <si>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</si>
  <si>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</si>
  <si>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</si>
  <si>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</si>
  <si>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</si>
  <si>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</si>
  <si>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</si>
  <si>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</si>
  <si>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</si>
  <si>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</si>
  <si>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</si>
  <si>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</si>
  <si>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</si>
  <si>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</si>
  <si>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</si>
  <si>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</si>
  <si>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</si>
  <si>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</si>
  <si>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</si>
  <si>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</si>
  <si>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</si>
  <si>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</si>
  <si>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3. Matěj Čermák</t>
  </si>
  <si>
    <t>4. Jakub Kolstrunk</t>
  </si>
  <si>
    <t>5. Josef Juha</t>
  </si>
  <si>
    <t>1. Martin Beneš</t>
  </si>
  <si>
    <t>5,37</t>
  </si>
  <si>
    <t>2. Ondřej Pelech</t>
  </si>
  <si>
    <t>3. Patrik Zítka</t>
  </si>
  <si>
    <t>1. Lukáš Ujhelyi</t>
  </si>
  <si>
    <t>2. Mikuláš Krbec</t>
  </si>
  <si>
    <t>3. Jakub Kolstrunk</t>
  </si>
  <si>
    <t>4. Matěj Čermák</t>
  </si>
  <si>
    <t>5. Dominik Beneš</t>
  </si>
  <si>
    <t>2. Patrik Zítka</t>
  </si>
  <si>
    <t>3. Ondřej Pelech</t>
  </si>
  <si>
    <t>2. Marek Zouzal</t>
  </si>
  <si>
    <t>4. Josef Juha</t>
  </si>
  <si>
    <t>5. Lukáš Ujhelyi</t>
  </si>
  <si>
    <t>1. Matěj Pruner</t>
  </si>
  <si>
    <t>2. Kristián Kozák</t>
  </si>
  <si>
    <t>3. Michal Pažák</t>
  </si>
  <si>
    <t>4. Michal Zeman</t>
  </si>
  <si>
    <t>5. Dominik Bartoš</t>
  </si>
  <si>
    <t>"9:6"</t>
  </si>
  <si>
    <t>12. 12.</t>
  </si>
  <si>
    <t>"18:7"</t>
  </si>
  <si>
    <t>13. 2.</t>
  </si>
  <si>
    <t>P - V - P - V - V - V - P - V - V - V</t>
  </si>
  <si>
    <t>2. Lukáš Gregor</t>
  </si>
  <si>
    <t>"3:4"</t>
  </si>
  <si>
    <t>31. 1.</t>
  </si>
  <si>
    <t>21. 2.</t>
  </si>
  <si>
    <t>15. 1.</t>
  </si>
  <si>
    <t>5. Martin Tokoš</t>
  </si>
  <si>
    <t>5. Milan Tomašík</t>
  </si>
  <si>
    <t>3. Daniel Šebek</t>
  </si>
  <si>
    <t>4. Jan Řehoř</t>
  </si>
  <si>
    <t>10. 2.</t>
  </si>
  <si>
    <t>3. Matěj Havlas</t>
  </si>
  <si>
    <t>5. Martin Šindelář</t>
  </si>
  <si>
    <t>6,72</t>
  </si>
  <si>
    <t>3. Petr Brautferger</t>
  </si>
  <si>
    <t>2. Martin Frühbauer</t>
  </si>
  <si>
    <t>3. Tomáš Jurco</t>
  </si>
  <si>
    <t>4. Matěj Havlas</t>
  </si>
  <si>
    <t>5. Milan Meliš</t>
  </si>
  <si>
    <t>1. Filip Hrabal</t>
  </si>
  <si>
    <t>"3:6"</t>
  </si>
  <si>
    <t>"4:3"</t>
  </si>
  <si>
    <t>4. Filip Forman</t>
  </si>
  <si>
    <t>5. Patrik Šebek</t>
  </si>
  <si>
    <t>OTR - SKV</t>
  </si>
  <si>
    <t>0:3</t>
  </si>
  <si>
    <t>10:6</t>
  </si>
  <si>
    <t>SKV - OTR</t>
  </si>
  <si>
    <t>5:7</t>
  </si>
  <si>
    <t>7:2</t>
  </si>
  <si>
    <t>4:1</t>
  </si>
  <si>
    <t>4:6</t>
  </si>
  <si>
    <t>4:3p</t>
  </si>
  <si>
    <t>6:3</t>
  </si>
  <si>
    <t>16. 1.</t>
  </si>
  <si>
    <t>"2:5"</t>
  </si>
  <si>
    <t>"10:4"</t>
  </si>
  <si>
    <t>VP - P - V - V - V - V - P - P - P - V</t>
  </si>
  <si>
    <t>"4:10"</t>
  </si>
  <si>
    <t>Stuchlík O. -    -18 ±</t>
  </si>
  <si>
    <t>minulý zápas vs. OTR 3:0</t>
  </si>
  <si>
    <t>vs. OST 7:6</t>
  </si>
  <si>
    <t>vs. VIT 10:12</t>
  </si>
  <si>
    <t>Zapletal, Sovják - B-tým</t>
  </si>
  <si>
    <t>Kladivo, Koláčný - Bulldogs</t>
  </si>
  <si>
    <t>2x mistr české ligy (Chodov)</t>
  </si>
  <si>
    <t>17. 1.</t>
  </si>
  <si>
    <t>"9:4"</t>
  </si>
  <si>
    <t>3. 2.</t>
  </si>
  <si>
    <t>P - P - V - PP - P - P - PP - P - P - V</t>
  </si>
  <si>
    <t>5,73</t>
  </si>
  <si>
    <t>4. Pavel Hájek</t>
  </si>
  <si>
    <t>5. Jan Svoboda</t>
  </si>
  <si>
    <t>2. Zbyněk Stuchlík</t>
  </si>
  <si>
    <t>3. Jan Svoboda</t>
  </si>
  <si>
    <t>"3:5"</t>
  </si>
  <si>
    <t>V - PP - P - V - V - V - V - P - V - P</t>
  </si>
  <si>
    <t>2. Karel Hodík</t>
  </si>
  <si>
    <t>4,86</t>
  </si>
  <si>
    <t>3. Vojtěch Šimůnek</t>
  </si>
  <si>
    <t>3. Michal Rebro</t>
  </si>
  <si>
    <t>"7:1"</t>
  </si>
  <si>
    <t>12. 2.</t>
  </si>
  <si>
    <t>V - V - V - V - V - V - VP - V - V - V</t>
  </si>
  <si>
    <t>3,39</t>
  </si>
  <si>
    <t>2. Petr Krzyžanek</t>
  </si>
  <si>
    <t>4. Jan Natov</t>
  </si>
  <si>
    <t>1. Jan Natov</t>
  </si>
  <si>
    <t>2. Martin Tokoš</t>
  </si>
  <si>
    <t>5. Patrik Suchánek</t>
  </si>
  <si>
    <t>6,71</t>
  </si>
  <si>
    <t>3. Peter Nehila</t>
  </si>
  <si>
    <t>5. Matěj Hronek</t>
  </si>
  <si>
    <t>3. Martin Szweda</t>
  </si>
  <si>
    <t>"4:9"</t>
  </si>
  <si>
    <t>PP - P - P - P - V - P - P - P - P - P</t>
  </si>
  <si>
    <t>"1:7"</t>
  </si>
  <si>
    <t>V - V - V - PP - VP - V - VP - V - P - P</t>
  </si>
  <si>
    <t>5,23</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</si>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</sst>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s>
  <cellStyleXfs count="1">
    <xf numFmtId="0" fontId="0" fillId="0" borderId="0"/>
  </cellStyleXfs>
  <cellXfs count="348">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0" fillId="0" borderId="0" xfId="0" applyAlignment="1">
      <alignment horizontal="left"/>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5" fillId="0" borderId="43" xfId="0" applyFont="1" applyBorder="1" applyAlignment="1">
      <alignment horizontal="center" vertical="center"/>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0" fontId="9" fillId="0" borderId="0" xfId="0" applyFont="1" applyFill="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5" xfId="0" applyFont="1" applyBorder="1" applyAlignment="1">
      <alignment horizontal="left"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3" fillId="3" borderId="0" xfId="0" applyFont="1" applyFill="1" applyAlignment="1">
      <alignment horizontal="center" vertical="center" textRotation="90"/>
    </xf>
    <xf numFmtId="166" fontId="5" fillId="0" borderId="1" xfId="0" applyNumberFormat="1" applyFont="1" applyBorder="1" applyAlignment="1">
      <alignment horizontal="center" vertical="center"/>
    </xf>
    <xf numFmtId="0" fontId="3" fillId="3" borderId="0" xfId="0" applyFont="1" applyFill="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3" borderId="22" xfId="0" applyFont="1" applyFill="1" applyBorder="1" applyAlignment="1">
      <alignment horizontal="center" vertical="center"/>
    </xf>
    <xf numFmtId="0" fontId="5" fillId="3" borderId="61" xfId="0" applyFont="1" applyFill="1" applyBorder="1" applyAlignment="1">
      <alignment horizontal="left" vertical="center"/>
    </xf>
    <xf numFmtId="0" fontId="5" fillId="3" borderId="15" xfId="0" applyFont="1" applyFill="1" applyBorder="1" applyAlignment="1">
      <alignment horizontal="left"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22" xfId="0" applyFont="1" applyFill="1" applyBorder="1" applyAlignment="1">
      <alignment horizontal="left" vertical="center"/>
    </xf>
    <xf numFmtId="0" fontId="5" fillId="3" borderId="14" xfId="0" applyFont="1" applyFill="1" applyBorder="1" applyAlignment="1">
      <alignment horizontal="left" vertical="center"/>
    </xf>
    <xf numFmtId="0" fontId="5" fillId="3" borderId="31"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5" fillId="0" borderId="22" xfId="0" applyFont="1" applyFill="1" applyBorder="1" applyAlignment="1">
      <alignment horizontal="left"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5" fillId="3" borderId="10" xfId="0" applyFont="1" applyFill="1" applyBorder="1" applyAlignment="1">
      <alignment horizontal="left" vertical="center"/>
    </xf>
    <xf numFmtId="0" fontId="5" fillId="3" borderId="6" xfId="0" applyFont="1" applyFill="1" applyBorder="1" applyAlignment="1">
      <alignment horizontal="left" vertical="center"/>
    </xf>
    <xf numFmtId="0" fontId="5" fillId="0" borderId="61" xfId="0" applyFont="1" applyFill="1" applyBorder="1" applyAlignment="1">
      <alignment horizontal="left" vertical="center"/>
    </xf>
    <xf numFmtId="0" fontId="5" fillId="0" borderId="15" xfId="0" applyFont="1" applyFill="1" applyBorder="1" applyAlignment="1">
      <alignment horizontal="left" vertical="center"/>
    </xf>
    <xf numFmtId="0" fontId="5" fillId="0" borderId="31" xfId="0" applyFont="1" applyFill="1" applyBorder="1" applyAlignment="1">
      <alignment horizontal="left"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0" borderId="14" xfId="0" applyFont="1" applyFill="1" applyBorder="1" applyAlignment="1">
      <alignment horizontal="center" vertical="center"/>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14" xfId="0" applyFont="1" applyFill="1" applyBorder="1" applyAlignment="1">
      <alignment horizontal="left" vertical="center"/>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5"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3" fillId="0" borderId="18"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12"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3" fillId="3" borderId="18" xfId="0" applyFont="1" applyFill="1" applyBorder="1" applyAlignment="1">
      <alignment horizontal="center" vertical="center"/>
    </xf>
    <xf numFmtId="0" fontId="3" fillId="0" borderId="0" xfId="0" applyFont="1" applyFill="1" applyBorder="1" applyAlignment="1">
      <alignment horizontal="center" vertical="center"/>
    </xf>
    <xf numFmtId="0" fontId="5" fillId="0" borderId="10"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cellXfs>
  <cellStyles count="1">
    <cellStyle name="Normální" xfId="0" builtinId="0"/>
  </cellStyles>
  <dxfs count="372">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queryTables/queryTable1.xml><?xml version="1.0" encoding="utf-8"?>
<queryTable xmlns="http://schemas.openxmlformats.org/spreadsheetml/2006/main" name="tabulka" growShrinkType="overwriteClear" adjustColumnWidth="0" connectionId="2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18"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19"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0"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1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8"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5"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31"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32"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33"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0"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1"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0"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12"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9"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27"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28"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29"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26"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14"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15"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13"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16"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22"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23"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24"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1"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70" bestFit="1" customWidth="1"/>
    <col min="2" max="16384" width="9.140625" style="122"/>
  </cols>
  <sheetData>
    <row r="1" spans="1:15" s="170" customFormat="1" x14ac:dyDescent="0.25">
      <c r="B1" s="163" t="s">
        <v>150</v>
      </c>
      <c r="C1" s="163" t="s">
        <v>144</v>
      </c>
      <c r="D1" s="163" t="s">
        <v>153</v>
      </c>
      <c r="E1" s="163" t="s">
        <v>152</v>
      </c>
      <c r="F1" s="163" t="s">
        <v>146</v>
      </c>
      <c r="G1" s="163" t="s">
        <v>145</v>
      </c>
      <c r="H1" s="163" t="s">
        <v>151</v>
      </c>
      <c r="I1" s="163" t="s">
        <v>147</v>
      </c>
      <c r="J1" s="163" t="s">
        <v>154</v>
      </c>
      <c r="K1" s="163" t="s">
        <v>148</v>
      </c>
      <c r="L1" s="163" t="s">
        <v>29</v>
      </c>
      <c r="M1" s="163" t="s">
        <v>149</v>
      </c>
      <c r="N1" s="163" t="s">
        <v>143</v>
      </c>
      <c r="O1" s="163" t="s">
        <v>142</v>
      </c>
    </row>
    <row r="2" spans="1:15" x14ac:dyDescent="0.25">
      <c r="A2" s="170" t="s">
        <v>555</v>
      </c>
      <c r="B2" s="122" t="str">
        <f ca="1">IFERROR(COUNTIF(INDIRECT(B$1 &amp; "!B2:B36"),"?*"),"")</f>
        <v/>
      </c>
      <c r="C2" s="122">
        <f t="shared" ref="C2:O2" ca="1" si="0">IFERROR(COUNTIF(INDIRECT(C$1 &amp; "!B2:B36"),"?*"),"")</f>
        <v>28</v>
      </c>
      <c r="D2" s="122" t="str">
        <f t="shared" ca="1" si="0"/>
        <v/>
      </c>
      <c r="E2" s="122" t="str">
        <f t="shared" ca="1" si="0"/>
        <v/>
      </c>
      <c r="F2" s="122">
        <f t="shared" ca="1" si="0"/>
        <v>27</v>
      </c>
      <c r="G2" s="122" t="str">
        <f t="shared" ca="1" si="0"/>
        <v/>
      </c>
      <c r="H2" s="122">
        <f t="shared" ca="1" si="0"/>
        <v>28</v>
      </c>
      <c r="I2" s="122" t="str">
        <f t="shared" ca="1" si="0"/>
        <v/>
      </c>
      <c r="J2" s="122">
        <f t="shared" ca="1" si="0"/>
        <v>29</v>
      </c>
      <c r="K2" s="122" t="str">
        <f t="shared" ca="1" si="0"/>
        <v/>
      </c>
      <c r="L2" s="122">
        <f t="shared" ca="1" si="0"/>
        <v>28</v>
      </c>
      <c r="M2" s="122">
        <f t="shared" ca="1" si="0"/>
        <v>27</v>
      </c>
      <c r="N2" s="122">
        <f t="shared" ca="1" si="0"/>
        <v>30</v>
      </c>
      <c r="O2" s="122">
        <f t="shared" ca="1" si="0"/>
        <v>24</v>
      </c>
    </row>
    <row r="3" spans="1:15" x14ac:dyDescent="0.25">
      <c r="A3" s="170" t="s">
        <v>556</v>
      </c>
      <c r="B3" s="122" t="str">
        <f ca="1">IFERROR(COUNTIF(INDIRECT(B$1 &amp; "!P2:P36"),"NE"),"")</f>
        <v/>
      </c>
      <c r="C3" s="122">
        <f t="shared" ref="C3:O3" ca="1" si="1">IFERROR(COUNTIF(INDIRECT(C$1 &amp; "!P2:P36"),"NE"),"")</f>
        <v>0</v>
      </c>
      <c r="D3" s="122" t="str">
        <f t="shared" ca="1" si="1"/>
        <v/>
      </c>
      <c r="E3" s="122" t="str">
        <f t="shared" ca="1" si="1"/>
        <v/>
      </c>
      <c r="F3" s="122">
        <f t="shared" ca="1" si="1"/>
        <v>0</v>
      </c>
      <c r="G3" s="122" t="str">
        <f t="shared" ca="1" si="1"/>
        <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70" t="s">
        <v>557</v>
      </c>
      <c r="B4" s="122" t="str">
        <f ca="1">IFERROR(COUNTBLANK(OFFSET(INDIRECT(B$1 &amp; "!C48"),,,COUNTIF(INDIRECT(B$1 &amp; "!B48:B82"),"?*"))),"")</f>
        <v/>
      </c>
      <c r="C4" s="122">
        <f t="shared" ref="C4:O4" ca="1" si="2">IFERROR(COUNTBLANK(OFFSET(INDIRECT(C$1 &amp; "!C48"),,,COUNTIF(INDIRECT(C$1 &amp; "!B48:B82"),"?*"))),"")</f>
        <v>0</v>
      </c>
      <c r="D4" s="122" t="str">
        <f t="shared" ca="1" si="2"/>
        <v/>
      </c>
      <c r="E4" s="122" t="str">
        <f t="shared" ca="1" si="2"/>
        <v/>
      </c>
      <c r="F4" s="122">
        <f t="shared" ca="1" si="2"/>
        <v>4</v>
      </c>
      <c r="G4" s="122" t="str">
        <f t="shared" ca="1" si="2"/>
        <v/>
      </c>
      <c r="H4" s="122">
        <f t="shared" ca="1" si="2"/>
        <v>4</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70" t="s">
        <v>558</v>
      </c>
      <c r="B5" s="122" t="str">
        <f ca="1">IFERROR(COUNTBLANK(OFFSET(INDIRECT(B$1 &amp; "!E48"),,,COUNTIF(INDIRECT(B$1 &amp; "!B48:B82"),"?*"))),"")</f>
        <v/>
      </c>
      <c r="C5" s="122">
        <f t="shared" ref="C5:O5" ca="1" si="3">IFERROR(COUNTBLANK(OFFSET(INDIRECT(C$1 &amp; "!E48"),,,COUNTIF(INDIRECT(C$1 &amp; "!B48:B82"),"?*"))),"")</f>
        <v>0</v>
      </c>
      <c r="D5" s="122" t="str">
        <f t="shared" ca="1" si="3"/>
        <v/>
      </c>
      <c r="E5" s="122" t="str">
        <f t="shared" ca="1" si="3"/>
        <v/>
      </c>
      <c r="F5" s="122">
        <f t="shared" ca="1" si="3"/>
        <v>2</v>
      </c>
      <c r="G5" s="122" t="str">
        <f t="shared" ca="1" si="3"/>
        <v/>
      </c>
      <c r="H5" s="122">
        <f t="shared" ca="1" si="3"/>
        <v>28</v>
      </c>
      <c r="I5" s="122" t="str">
        <f t="shared" ca="1" si="3"/>
        <v/>
      </c>
      <c r="J5" s="122">
        <f t="shared" ca="1" si="3"/>
        <v>0</v>
      </c>
      <c r="K5" s="122" t="str">
        <f t="shared" ca="1" si="3"/>
        <v/>
      </c>
      <c r="L5" s="122">
        <f t="shared" ca="1" si="3"/>
        <v>1</v>
      </c>
      <c r="M5" s="122">
        <f t="shared" ca="1" si="3"/>
        <v>27</v>
      </c>
      <c r="N5" s="122">
        <f t="shared" ca="1" si="3"/>
        <v>30</v>
      </c>
      <c r="O5" s="122">
        <f t="shared" ca="1" si="3"/>
        <v>24</v>
      </c>
    </row>
    <row r="6" spans="1:15" x14ac:dyDescent="0.25">
      <c r="A6" s="170" t="s">
        <v>559</v>
      </c>
      <c r="B6" s="122" t="str">
        <f ca="1">IFERROR(COUNTBLANK(OFFSET(INDIRECT(B$1 &amp; "!Q48"),,,COUNTIF(INDIRECT(B$1 &amp; "!B48:B82"),"?*"))),"")</f>
        <v/>
      </c>
      <c r="C6" s="122">
        <f t="shared" ref="C6:O6" ca="1" si="4">IFERROR(COUNTBLANK(OFFSET(INDIRECT(C$1 &amp; "!Q48"),,,COUNTIF(INDIRECT(C$1 &amp; "!B48:B82"),"?*"))),"")</f>
        <v>0</v>
      </c>
      <c r="D6" s="122" t="str">
        <f t="shared" ca="1" si="4"/>
        <v/>
      </c>
      <c r="E6" s="122" t="str">
        <f t="shared" ca="1" si="4"/>
        <v/>
      </c>
      <c r="F6" s="122">
        <f t="shared" ca="1" si="4"/>
        <v>4</v>
      </c>
      <c r="G6" s="122" t="str">
        <f t="shared" ca="1" si="4"/>
        <v/>
      </c>
      <c r="H6" s="122">
        <f t="shared" ca="1" si="4"/>
        <v>28</v>
      </c>
      <c r="I6" s="122" t="str">
        <f t="shared" ca="1" si="4"/>
        <v/>
      </c>
      <c r="J6" s="122">
        <f t="shared" ca="1" si="4"/>
        <v>0</v>
      </c>
      <c r="K6" s="122" t="str">
        <f t="shared" ca="1" si="4"/>
        <v/>
      </c>
      <c r="L6" s="122">
        <f t="shared" ca="1" si="4"/>
        <v>2</v>
      </c>
      <c r="M6" s="122">
        <f t="shared" ca="1" si="4"/>
        <v>27</v>
      </c>
      <c r="N6" s="122">
        <f t="shared" ca="1" si="4"/>
        <v>30</v>
      </c>
      <c r="O6" s="122">
        <f t="shared" ca="1" si="4"/>
        <v>24</v>
      </c>
    </row>
    <row r="7" spans="1:15" x14ac:dyDescent="0.25">
      <c r="A7" s="170" t="s">
        <v>560</v>
      </c>
      <c r="B7" s="122" t="str">
        <f ca="1">IFERROR(COUNTIF(OFFSET(INDIRECT(B$1 &amp; "!V48"),,,COUNTIF(INDIRECT(B$1 &amp; "!B48:B82"),"?*")),"=2")/2,"")</f>
        <v/>
      </c>
      <c r="C7" s="122">
        <f t="shared" ref="C7:O7" ca="1" si="5">IFERROR(COUNTIF(OFFSET(INDIRECT(C$1 &amp; "!V48"),,,COUNTIF(INDIRECT(C$1 &amp; "!B48:B82"),"?*")),"=2")/2,"")</f>
        <v>1</v>
      </c>
      <c r="D7" s="122" t="str">
        <f t="shared" ca="1" si="5"/>
        <v/>
      </c>
      <c r="E7" s="122" t="str">
        <f t="shared" ca="1" si="5"/>
        <v/>
      </c>
      <c r="F7" s="122">
        <f t="shared" ca="1" si="5"/>
        <v>3</v>
      </c>
      <c r="G7" s="122" t="str">
        <f t="shared" ca="1" si="5"/>
        <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70" t="s">
        <v>561</v>
      </c>
      <c r="B8" s="122" t="str">
        <f ca="1">IFERROR(COUNTIF(OFFSET(INDIRECT(B$1 &amp; "!V48"),,,COUNTIF(INDIRECT(B$1 &amp; "!B48:B82"),"?*")),"=3")/3,"")</f>
        <v/>
      </c>
      <c r="C8" s="122">
        <f t="shared" ref="C8:O8" ca="1" si="6">IFERROR(COUNTIF(OFFSET(INDIRECT(C$1 &amp; "!V48"),,,COUNTIF(INDIRECT(C$1 &amp; "!B48:B82"),"?*")),"=3")/3,"")</f>
        <v>0</v>
      </c>
      <c r="D8" s="122" t="str">
        <f t="shared" ca="1" si="6"/>
        <v/>
      </c>
      <c r="E8" s="122" t="str">
        <f t="shared" ca="1" si="6"/>
        <v/>
      </c>
      <c r="F8" s="122">
        <f t="shared" ca="1" si="6"/>
        <v>0</v>
      </c>
      <c r="G8" s="122" t="str">
        <f t="shared" ca="1" si="6"/>
        <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70" t="s">
        <v>562</v>
      </c>
      <c r="B9" s="122" t="str">
        <f ca="1">IFERROR(COUNTIF(INDIRECT(B$1 &amp; "!B85:B92"),"?*"),"")</f>
        <v/>
      </c>
      <c r="C9" s="122">
        <f t="shared" ref="C9:O9" ca="1" si="7">IFERROR(COUNTIF(INDIRECT(C$1 &amp; "!B85:B92"),"?*"),"")</f>
        <v>5</v>
      </c>
      <c r="D9" s="122" t="str">
        <f t="shared" ca="1" si="7"/>
        <v/>
      </c>
      <c r="E9" s="122" t="str">
        <f t="shared" ca="1" si="7"/>
        <v/>
      </c>
      <c r="F9" s="122">
        <f t="shared" ca="1" si="7"/>
        <v>5</v>
      </c>
      <c r="G9" s="122" t="str">
        <f t="shared" ca="1" si="7"/>
        <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jDJNG2H1TjFMK5h2/b7AU7TQqIqkOt8vH+dYxHVJcnwMI3LiEQZKWpHmc+WEaIRhrj2BniM3nP74FXrBFwu3EQ==" saltValue="qATTC+tCR389dTeJzsp7EA=="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371" priority="12" operator="equal">
      <formula>0</formula>
    </cfRule>
    <cfRule type="cellIs" dxfId="370"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369" priority="8" operator="equal">
      <formula>0</formula>
    </cfRule>
    <cfRule type="cellIs" dxfId="368" priority="9" operator="greaterThan">
      <formula>0</formula>
    </cfRule>
  </conditionalFormatting>
  <conditionalFormatting sqref="B9:O9">
    <cfRule type="containsBlanks" priority="1" stopIfTrue="1">
      <formula>LEN(TRIM(B9))=0</formula>
    </cfRule>
    <cfRule type="cellIs" dxfId="367" priority="2" operator="greaterThan">
      <formula>0</formula>
    </cfRule>
    <cfRule type="cellIs" dxfId="366"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EN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44" ht="15.6" customHeight="1" thickTop="1" thickBot="1" x14ac:dyDescent="0.3">
      <c r="A1" s="193" t="s">
        <v>4</v>
      </c>
      <c r="B1" s="194"/>
      <c r="C1" s="194"/>
      <c r="D1" s="194"/>
      <c r="E1" s="32" t="str">
        <f>IFERROR(IF(VLOOKUP(A1,SKV!$B$48:$AA$82,10,FALSE)=0,"",VLOOKUP(A1,SKV!$B$48:$AA$82,10,FALSE)),"")</f>
        <v/>
      </c>
      <c r="F1" s="52">
        <f>IFERROR(VLOOKUP(A1,SKV!$B$48:$AA$82,9,FALSE),"")</f>
        <v>28</v>
      </c>
      <c r="G1" s="33"/>
      <c r="H1" s="250" t="s">
        <v>155</v>
      </c>
      <c r="I1" s="250"/>
      <c r="J1" s="250"/>
      <c r="K1" s="250"/>
      <c r="L1" s="33"/>
      <c r="M1" s="193" t="s">
        <v>19</v>
      </c>
      <c r="N1" s="194"/>
      <c r="O1" s="194"/>
      <c r="P1" s="194"/>
      <c r="Q1" s="32" t="str">
        <f>IFERROR(IF(VLOOKUP(M1,SKV!$B$48:$AA$82,10,FALSE)=0,"",VLOOKUP(M1,SKV!$B$48:$AA$82,10,FALSE)),"")</f>
        <v/>
      </c>
      <c r="R1" s="52">
        <f>IFERROR(VLOOKUP(M1,SKV!$B$48:$AA$82,9,FALSE),"")</f>
        <v>99</v>
      </c>
      <c r="S1" s="193" t="s">
        <v>162</v>
      </c>
      <c r="T1" s="194"/>
      <c r="U1" s="194"/>
      <c r="V1" s="194"/>
      <c r="W1" s="32" t="str">
        <f>IFERROR(IF(VLOOKUP(S1,CHO!$B$48:$AA$82,10,FALSE)=0,"",VLOOKUP(S1,CHO!$B$48:$AA$82,10,FALSE)),"")</f>
        <v/>
      </c>
      <c r="X1" s="52">
        <f>IFERROR(VLOOKUP(S1,CHO!$B$48:$AA$82,9,FALSE),"")</f>
        <v>25</v>
      </c>
      <c r="Y1" s="33"/>
      <c r="Z1" s="250" t="s">
        <v>155</v>
      </c>
      <c r="AA1" s="250"/>
      <c r="AB1" s="250"/>
      <c r="AC1" s="250"/>
      <c r="AD1" s="33"/>
      <c r="AE1" s="193" t="s">
        <v>161</v>
      </c>
      <c r="AF1" s="194"/>
      <c r="AG1" s="194"/>
      <c r="AH1" s="194"/>
      <c r="AI1" s="32" t="str">
        <f>IFERROR(IF(VLOOKUP(AE1,CHO!$B$48:$AA$82,10,FALSE)=0,"",VLOOKUP(AE1,CHO!$B$48:$AA$82,10,FALSE)),"")</f>
        <v/>
      </c>
      <c r="AJ1" s="52">
        <f>IFERROR(VLOOKUP(AE1,CHO!$B$48:$AA$82,9,FALSE),"")</f>
        <v>21</v>
      </c>
      <c r="AK1" s="193"/>
      <c r="AL1" s="194"/>
      <c r="AM1" s="194"/>
      <c r="AN1" s="194"/>
      <c r="AO1" s="32" t="str">
        <f>IFERROR(IF(VLOOKUP(AK1,VIT!$B$48:$R$82,10,FALSE)=0,"",VLOOKUP(AK1,VIT!$B$48:$R$82,10,FALSE)),"")</f>
        <v/>
      </c>
      <c r="AP1" s="52" t="str">
        <f>IFERROR(VLOOKUP(AK1,VIT!$B$48:$R$82,9,FALSE),"")</f>
        <v/>
      </c>
      <c r="AQ1" s="33"/>
      <c r="AR1" s="250" t="s">
        <v>155</v>
      </c>
      <c r="AS1" s="250"/>
      <c r="AT1" s="250"/>
      <c r="AU1" s="250"/>
      <c r="AV1" s="33"/>
      <c r="AW1" s="193"/>
      <c r="AX1" s="194"/>
      <c r="AY1" s="194"/>
      <c r="AZ1" s="194"/>
      <c r="BA1" s="32" t="str">
        <f>IFERROR(IF(VLOOKUP(AW1,VIT!$B$48:$R$82,10,FALSE)=0,"",VLOOKUP(AW1,VIT!$B$48:$R$82,10,FALSE)),"")</f>
        <v/>
      </c>
      <c r="BB1" s="52" t="str">
        <f>IFERROR(VLOOKUP(AW1,VIT!$B$48:$R$82,9,FALSE),"")</f>
        <v/>
      </c>
      <c r="BC1" s="193"/>
      <c r="BD1" s="194"/>
      <c r="BE1" s="194"/>
      <c r="BF1" s="194"/>
      <c r="BG1" s="32" t="str">
        <f>IFERROR(IF(VLOOKUP(AW1,MB!$B$48:$R$82,10,FALSE)=0,"",VLOOKUP(AW1,MB!$B$48:$R$82,10,FALSE)),"")</f>
        <v/>
      </c>
      <c r="BH1" s="52" t="str">
        <f>IFERROR(VLOOKUP(BC1,MB!$B$48:$R$82,9,FALSE),"")</f>
        <v/>
      </c>
      <c r="BI1" s="33"/>
      <c r="BJ1" s="250" t="s">
        <v>155</v>
      </c>
      <c r="BK1" s="250"/>
      <c r="BL1" s="250"/>
      <c r="BM1" s="250"/>
      <c r="BN1" s="33"/>
      <c r="BO1" s="193"/>
      <c r="BP1" s="194"/>
      <c r="BQ1" s="194"/>
      <c r="BR1" s="194"/>
      <c r="BS1" s="32" t="str">
        <f>IFERROR(IF(VLOOKUP(BO1,MB!$B$48:$R$82,10,FALSE)=0,"",VLOOKUP(BO1,MB!$B$48:$R$82,10,FALSE)),"")</f>
        <v/>
      </c>
      <c r="BT1" s="52" t="str">
        <f>IFERROR(VLOOKUP(BO1,MB!$B$48:$R$82,9,FALSE),"")</f>
        <v/>
      </c>
      <c r="BU1" s="193"/>
      <c r="BV1" s="194"/>
      <c r="BW1" s="194"/>
      <c r="BX1" s="194"/>
      <c r="BY1" s="32" t="str">
        <f>IFERROR(IF(VLOOKUP(BO1,TAT!$B$48:$R$82,10,FALSE)=0,"",VLOOKUP(BO1,TAT!$B$48:$R$82,10,FALSE)),"")</f>
        <v/>
      </c>
      <c r="BZ1" s="52" t="str">
        <f>IFERROR(VLOOKUP(BU1,TAT!$B$48:$R$82,9,FALSE),"")</f>
        <v/>
      </c>
      <c r="CA1" s="33"/>
      <c r="CB1" s="250" t="s">
        <v>155</v>
      </c>
      <c r="CC1" s="250"/>
      <c r="CD1" s="250"/>
      <c r="CE1" s="250"/>
      <c r="CF1" s="33"/>
      <c r="CG1" s="193"/>
      <c r="CH1" s="194"/>
      <c r="CI1" s="194"/>
      <c r="CJ1" s="194"/>
      <c r="CK1" s="32" t="str">
        <f>IFERROR(IF(VLOOKUP(CG1,TAT!$B$48:$R$82,10,FALSE)=0,"",VLOOKUP(CG1,TAT!$B$48:$R$82,10,FALSE)),"")</f>
        <v/>
      </c>
      <c r="CL1" s="52" t="str">
        <f>IFERROR(VLOOKUP(CG1,TAT!$B$48:$R$82,9,FALSE),"")</f>
        <v/>
      </c>
      <c r="CM1" s="193" t="s">
        <v>479</v>
      </c>
      <c r="CN1" s="194"/>
      <c r="CO1" s="194"/>
      <c r="CP1" s="194"/>
      <c r="CQ1" s="32" t="str">
        <f>IFERROR(IF(VLOOKUP(CG1,OTR!$B$48:$R$82,10,FALSE)=0,"",VLOOKUP(CG1,OTR!$B$48:$R$82,10,FALSE)),"")</f>
        <v/>
      </c>
      <c r="CR1" s="52">
        <f>IFERROR(VLOOKUP(CM1,OTR!$B$48:$R$82,9,FALSE),"")</f>
        <v>70</v>
      </c>
      <c r="CS1" s="33"/>
      <c r="CT1" s="250" t="s">
        <v>155</v>
      </c>
      <c r="CU1" s="250"/>
      <c r="CV1" s="250"/>
      <c r="CW1" s="250"/>
      <c r="CX1" s="33"/>
      <c r="CY1" s="193" t="s">
        <v>485</v>
      </c>
      <c r="CZ1" s="194"/>
      <c r="DA1" s="194"/>
      <c r="DB1" s="194"/>
      <c r="DC1" s="32" t="str">
        <f>IFERROR(IF(VLOOKUP(CY1,OTR!$B$48:$R$82,10,FALSE)=0,"",VLOOKUP(CY1,OTR!$B$48:$R$82,10,FALSE)),"")</f>
        <v/>
      </c>
      <c r="DD1" s="52">
        <f>IFERROR(VLOOKUP(CY1,OTR!$B$48:$R$82,9,FALSE),"")</f>
        <v>91</v>
      </c>
      <c r="DE1" s="193"/>
      <c r="DF1" s="194"/>
      <c r="DG1" s="194"/>
      <c r="DH1" s="194"/>
      <c r="DI1" s="32" t="str">
        <f>IFERROR(IF(VLOOKUP(CY1,BOH!$B$48:$R$82,10,FALSE)=0,"",VLOOKUP(CY1,BOH!$B$48:$R$82,10,FALSE)),"")</f>
        <v/>
      </c>
      <c r="DJ1" s="52" t="str">
        <f>IFERROR(VLOOKUP(DE1,BOH!$B$48:$R$82,9,FALSE),"")</f>
        <v/>
      </c>
      <c r="DK1" s="33"/>
      <c r="DL1" s="250" t="s">
        <v>155</v>
      </c>
      <c r="DM1" s="250"/>
      <c r="DN1" s="250"/>
      <c r="DO1" s="250"/>
      <c r="DP1" s="33"/>
      <c r="DQ1" s="193"/>
      <c r="DR1" s="194"/>
      <c r="DS1" s="194"/>
      <c r="DT1" s="194"/>
      <c r="DU1" s="32" t="str">
        <f>IFERROR(IF(VLOOKUP(DQ1,BOH!$B$48:$R$82,10,FALSE)=0,"",VLOOKUP(DQ1,BOH!$B$48:$R$82,10,FALSE)),"")</f>
        <v/>
      </c>
      <c r="DV1" s="52" t="str">
        <f>IFERROR(VLOOKUP(DQ1,BOH!$B$48:$R$82,9,FALSE),"")</f>
        <v/>
      </c>
      <c r="DW1" s="193"/>
      <c r="DX1" s="194"/>
      <c r="DY1" s="194"/>
      <c r="DZ1" s="194"/>
      <c r="EA1" s="32" t="str">
        <f>IFERROR(IF(VLOOKUP(DQ1,SPA!$B$48:$R$82,10,FALSE)=0,"",VLOOKUP(DQ1,SPA!$B$48:$R$82,10,FALSE)),"")</f>
        <v/>
      </c>
      <c r="EB1" s="52" t="str">
        <f>IFERROR(VLOOKUP(DW1,SPA!$B$48:$R$82,9,FALSE),"")</f>
        <v/>
      </c>
      <c r="EC1" s="33"/>
      <c r="ED1" s="250" t="s">
        <v>155</v>
      </c>
      <c r="EE1" s="250"/>
      <c r="EF1" s="250"/>
      <c r="EG1" s="250"/>
      <c r="EH1" s="33"/>
      <c r="EI1" s="193"/>
      <c r="EJ1" s="194"/>
      <c r="EK1" s="194"/>
      <c r="EL1" s="194"/>
      <c r="EM1" s="32" t="str">
        <f>IFERROR(IF(VLOOKUP(EI1,SPA!$B$48:$R$82,10,FALSE)=0,"",VLOOKUP(EI1,SPA!$B$48:$R$82,10,FALSE)),"")</f>
        <v/>
      </c>
      <c r="EN1" s="52" t="str">
        <f>IFERROR(VLOOKUP(EI1,SPA!$B$48:$R$82,9,FALSE),"")</f>
        <v/>
      </c>
    </row>
    <row r="2" spans="1:144" ht="15.6" customHeight="1" thickBot="1" x14ac:dyDescent="0.3">
      <c r="A2" s="34" t="str">
        <f>IFERROR(VLOOKUP(A1,SKV!$B$48:$AA$82,11,FALSE),"")</f>
        <v>P</v>
      </c>
      <c r="B2" s="233">
        <f>IFERROR(YEAR(VLOOKUP(A1,SKV!$B$48:$AA$82,2,FALSE)),"")</f>
        <v>1995</v>
      </c>
      <c r="C2" s="189"/>
      <c r="D2" s="35">
        <f ca="1">IFERROR(VLOOKUP(A1,SKV!$B$48:$AA$82,3,FALSE),"")</f>
        <v>25</v>
      </c>
      <c r="E2" s="234" t="str">
        <f>IFERROR(VLOOKUP(A1,SKV!$B$48:$AA$82,15,FALSE),"")</f>
        <v>183/76</v>
      </c>
      <c r="F2" s="235"/>
      <c r="G2" s="33"/>
      <c r="H2" s="33"/>
      <c r="I2" s="33"/>
      <c r="J2" s="33"/>
      <c r="K2" s="33"/>
      <c r="L2" s="33"/>
      <c r="M2" s="34" t="str">
        <f>IFERROR(VLOOKUP(M1,SKV!$B$48:$AA$82,11,FALSE),"")</f>
        <v>L</v>
      </c>
      <c r="N2" s="233">
        <f>IFERROR(YEAR(VLOOKUP(M1,SKV!$B$48:$AA$82,2,FALSE)),"")</f>
        <v>2000</v>
      </c>
      <c r="O2" s="189"/>
      <c r="P2" s="35">
        <f ca="1">IFERROR(VLOOKUP(M1,SKV!$B$48:$AA$82,3,FALSE),"")</f>
        <v>20</v>
      </c>
      <c r="Q2" s="234" t="str">
        <f>IFERROR(VLOOKUP(M1,SKV!$B$48:$AA$82,15,FALSE),"")</f>
        <v>186/80</v>
      </c>
      <c r="R2" s="235"/>
      <c r="S2" s="34" t="str">
        <f>IFERROR(VLOOKUP(S1,CHO!$B$48:$AA$82,11,FALSE),"")</f>
        <v>P</v>
      </c>
      <c r="T2" s="233">
        <f>IFERROR(YEAR(VLOOKUP(S1,CHO!$B$48:$AA$82,2,FALSE)),"")</f>
        <v>1992</v>
      </c>
      <c r="U2" s="189"/>
      <c r="V2" s="35">
        <f ca="1">IFERROR(VLOOKUP(S1,CHO!$B$48:$AA$82,3,FALSE),"")</f>
        <v>28</v>
      </c>
      <c r="W2" s="234" t="str">
        <f>IFERROR(VLOOKUP(S1,CHO!$B$48:$AA$82,15,FALSE),"")</f>
        <v>186/82</v>
      </c>
      <c r="X2" s="235"/>
      <c r="Y2" s="33"/>
      <c r="Z2" s="33"/>
      <c r="AA2" s="33"/>
      <c r="AB2" s="33"/>
      <c r="AC2" s="33"/>
      <c r="AD2" s="33"/>
      <c r="AE2" s="34" t="str">
        <f>IFERROR(VLOOKUP(AE1,CHO!$B$48:$AA$82,11,FALSE),"")</f>
        <v>L</v>
      </c>
      <c r="AF2" s="233">
        <f>IFERROR(YEAR(VLOOKUP(AE1,CHO!$B$48:$AA$82,2,FALSE)),"")</f>
        <v>1993</v>
      </c>
      <c r="AG2" s="189"/>
      <c r="AH2" s="35">
        <f ca="1">IFERROR(VLOOKUP(AE1,CHO!$B$48:$AA$82,3,FALSE),"")</f>
        <v>27</v>
      </c>
      <c r="AI2" s="234" t="str">
        <f>IFERROR(VLOOKUP(AE1,CHO!$B$48:$AA$82,15,FALSE),"")</f>
        <v>178/72</v>
      </c>
      <c r="AJ2" s="235"/>
      <c r="AK2" s="34" t="str">
        <f>IFERROR(VLOOKUP(AK1,VIT!$B$48:$R$82,11,FALSE),"")</f>
        <v/>
      </c>
      <c r="AL2" s="233" t="str">
        <f>IFERROR(YEAR(VLOOKUP(AK1,VIT!$B$48:$R$82,2,FALSE)),"")</f>
        <v/>
      </c>
      <c r="AM2" s="189"/>
      <c r="AN2" s="106" t="str">
        <f>IFERROR(VLOOKUP(AK1,VIT!$B$48:$R$82,3,FALSE),"")</f>
        <v/>
      </c>
      <c r="AO2" s="234" t="str">
        <f>IFERROR(VLOOKUP(AK1,VIT!$B$48:$R$82,15,FALSE),"")</f>
        <v/>
      </c>
      <c r="AP2" s="235"/>
      <c r="AQ2" s="33"/>
      <c r="AR2" s="33"/>
      <c r="AS2" s="33"/>
      <c r="AT2" s="33"/>
      <c r="AU2" s="33"/>
      <c r="AV2" s="33"/>
      <c r="AW2" s="34" t="str">
        <f>IFERROR(VLOOKUP(AW1,VIT!$B$48:$R$82,11,FALSE),"")</f>
        <v/>
      </c>
      <c r="AX2" s="233" t="str">
        <f>IFERROR(YEAR(VLOOKUP(AW1,VIT!$B$48:$R$82,2,FALSE)),"")</f>
        <v/>
      </c>
      <c r="AY2" s="189"/>
      <c r="AZ2" s="106" t="str">
        <f>IFERROR(VLOOKUP(AW1,VIT!$B$48:$R$82,3,FALSE),"")</f>
        <v/>
      </c>
      <c r="BA2" s="234" t="str">
        <f>IFERROR(VLOOKUP(AW1,VIT!$B$48:$R$82,15,FALSE),"")</f>
        <v/>
      </c>
      <c r="BB2" s="235"/>
      <c r="BC2" s="34" t="str">
        <f>IFERROR(VLOOKUP(BC1,MB!$B$48:$R$82,11,FALSE),"")</f>
        <v/>
      </c>
      <c r="BD2" s="233" t="str">
        <f>IFERROR(YEAR(VLOOKUP(BC1,MB!$B$48:$R$82,2,FALSE)),"")</f>
        <v/>
      </c>
      <c r="BE2" s="189"/>
      <c r="BF2" s="108" t="str">
        <f>IFERROR(VLOOKUP(BC1,MB!$B$48:$R$82,3,FALSE),"")</f>
        <v/>
      </c>
      <c r="BG2" s="234" t="str">
        <f>IFERROR(VLOOKUP(BC1,MB!$B$48:$R$82,15,FALSE),"")</f>
        <v/>
      </c>
      <c r="BH2" s="235"/>
      <c r="BI2" s="33"/>
      <c r="BJ2" s="33"/>
      <c r="BK2" s="33"/>
      <c r="BL2" s="33"/>
      <c r="BM2" s="33"/>
      <c r="BN2" s="33"/>
      <c r="BO2" s="34" t="str">
        <f>IFERROR(VLOOKUP(BO1,MB!$B$48:$R$82,11,FALSE),"")</f>
        <v/>
      </c>
      <c r="BP2" s="233" t="str">
        <f>IFERROR(YEAR(VLOOKUP(BO1,MB!$B$48:$R$82,2,FALSE)),"")</f>
        <v/>
      </c>
      <c r="BQ2" s="189"/>
      <c r="BR2" s="108" t="str">
        <f>IFERROR(VLOOKUP(BO1,MB!$B$48:$R$82,3,FALSE),"")</f>
        <v/>
      </c>
      <c r="BS2" s="234" t="str">
        <f>IFERROR(VLOOKUP(BO1,MB!$B$48:$R$82,15,FALSE),"")</f>
        <v/>
      </c>
      <c r="BT2" s="235"/>
      <c r="BU2" s="34" t="str">
        <f>IFERROR(VLOOKUP(BU1,TAT!$B$48:$R$82,11,FALSE),"")</f>
        <v/>
      </c>
      <c r="BV2" s="233" t="str">
        <f>IFERROR(YEAR(VLOOKUP(BU1,TAT!$B$48:$R$82,2,FALSE)),"")</f>
        <v/>
      </c>
      <c r="BW2" s="189"/>
      <c r="BX2" s="151" t="str">
        <f>IFERROR(VLOOKUP(BU1,TAT!$B$48:$R$82,3,FALSE),"")</f>
        <v/>
      </c>
      <c r="BY2" s="234" t="str">
        <f>IFERROR(VLOOKUP(BU1,TAT!$B$48:$R$82,15,FALSE),"")</f>
        <v/>
      </c>
      <c r="BZ2" s="235"/>
      <c r="CA2" s="33"/>
      <c r="CB2" s="33"/>
      <c r="CC2" s="33"/>
      <c r="CD2" s="33"/>
      <c r="CE2" s="33"/>
      <c r="CF2" s="33"/>
      <c r="CG2" s="34" t="str">
        <f>IFERROR(VLOOKUP(CG1,TAT!$B$48:$R$82,11,FALSE),"")</f>
        <v/>
      </c>
      <c r="CH2" s="233" t="str">
        <f>IFERROR(YEAR(VLOOKUP(CG1,TAT!$B$48:$R$82,2,FALSE)),"")</f>
        <v/>
      </c>
      <c r="CI2" s="189"/>
      <c r="CJ2" s="151" t="str">
        <f>IFERROR(VLOOKUP(CG1,TAT!$B$48:$R$82,3,FALSE),"")</f>
        <v/>
      </c>
      <c r="CK2" s="234" t="str">
        <f>IFERROR(VLOOKUP(CG1,TAT!$B$48:$R$82,15,FALSE),"")</f>
        <v/>
      </c>
      <c r="CL2" s="235"/>
      <c r="CM2" s="34" t="str">
        <f>IFERROR(VLOOKUP(CM1,OTR!$B$48:$R$82,11,FALSE),"")</f>
        <v>L</v>
      </c>
      <c r="CN2" s="233">
        <f>IFERROR(YEAR(VLOOKUP(CM1,OTR!$B$48:$R$82,2,FALSE)),"")</f>
        <v>1998</v>
      </c>
      <c r="CO2" s="189"/>
      <c r="CP2" s="151">
        <f ca="1">IFERROR(VLOOKUP(CM1,OTR!$B$48:$R$82,3,FALSE),"")</f>
        <v>22</v>
      </c>
      <c r="CQ2" s="234" t="str">
        <f>IFERROR(VLOOKUP(CM1,OTR!$B$48:$R$82,15,FALSE),"")</f>
        <v>185/75</v>
      </c>
      <c r="CR2" s="235"/>
      <c r="CS2" s="33"/>
      <c r="CT2" s="33"/>
      <c r="CU2" s="33"/>
      <c r="CV2" s="33"/>
      <c r="CW2" s="33"/>
      <c r="CX2" s="33"/>
      <c r="CY2" s="34" t="str">
        <f>IFERROR(VLOOKUP(CY1,OTR!$B$48:$R$82,11,FALSE),"")</f>
        <v>L</v>
      </c>
      <c r="CZ2" s="233">
        <f>IFERROR(YEAR(VLOOKUP(CY1,OTR!$B$48:$R$82,2,FALSE)),"")</f>
        <v>1984</v>
      </c>
      <c r="DA2" s="189"/>
      <c r="DB2" s="151">
        <f ca="1">IFERROR(VLOOKUP(CY1,OTR!$B$48:$R$82,3,FALSE),"")</f>
        <v>36</v>
      </c>
      <c r="DC2" s="234" t="str">
        <f>IFERROR(VLOOKUP(CY1,OTR!$B$48:$R$82,15,FALSE),"")</f>
        <v>192/81</v>
      </c>
      <c r="DD2" s="235"/>
      <c r="DE2" s="34" t="str">
        <f>IFERROR(VLOOKUP(DE1,BOH!$B$48:$R$82,11,FALSE),"")</f>
        <v/>
      </c>
      <c r="DF2" s="233" t="str">
        <f>IFERROR(YEAR(VLOOKUP(DE1,BOH!$B$48:$R$82,2,FALSE)),"")</f>
        <v/>
      </c>
      <c r="DG2" s="189"/>
      <c r="DH2" s="166" t="str">
        <f>IFERROR(VLOOKUP(DE1,BOH!$B$48:$R$82,3,FALSE),"")</f>
        <v/>
      </c>
      <c r="DI2" s="234" t="str">
        <f>IFERROR(VLOOKUP(DE1,BOH!$B$48:$R$82,15,FALSE),"")</f>
        <v/>
      </c>
      <c r="DJ2" s="235"/>
      <c r="DK2" s="33"/>
      <c r="DL2" s="33"/>
      <c r="DM2" s="33"/>
      <c r="DN2" s="33"/>
      <c r="DO2" s="33"/>
      <c r="DP2" s="33"/>
      <c r="DQ2" s="34" t="str">
        <f>IFERROR(VLOOKUP(DQ1,BOH!$B$48:$R$82,11,FALSE),"")</f>
        <v/>
      </c>
      <c r="DR2" s="233" t="str">
        <f>IFERROR(YEAR(VLOOKUP(DQ1,BOH!$B$48:$R$82,2,FALSE)),"")</f>
        <v/>
      </c>
      <c r="DS2" s="189"/>
      <c r="DT2" s="166" t="str">
        <f>IFERROR(VLOOKUP(DQ1,BOH!$B$48:$R$82,3,FALSE),"")</f>
        <v/>
      </c>
      <c r="DU2" s="234" t="str">
        <f>IFERROR(VLOOKUP(DQ1,BOH!$B$48:$R$82,15,FALSE),"")</f>
        <v/>
      </c>
      <c r="DV2" s="235"/>
      <c r="DW2" s="34" t="str">
        <f>IFERROR(VLOOKUP(DW1,SPA!$B$48:$R$82,11,FALSE),"")</f>
        <v/>
      </c>
      <c r="DX2" s="233" t="str">
        <f>IFERROR(YEAR(VLOOKUP(DW1,SPA!$B$48:$R$82,2,FALSE)),"")</f>
        <v/>
      </c>
      <c r="DY2" s="189"/>
      <c r="DZ2" s="166" t="str">
        <f>IFERROR(VLOOKUP(DW1,SPA!$B$48:$R$82,3,FALSE),"")</f>
        <v/>
      </c>
      <c r="EA2" s="234" t="str">
        <f>IFERROR(VLOOKUP(DW1,SPA!$B$48:$R$82,15,FALSE),"")</f>
        <v/>
      </c>
      <c r="EB2" s="235"/>
      <c r="EC2" s="33"/>
      <c r="ED2" s="33"/>
      <c r="EE2" s="33"/>
      <c r="EF2" s="33"/>
      <c r="EG2" s="33"/>
      <c r="EH2" s="33"/>
      <c r="EI2" s="34" t="str">
        <f>IFERROR(VLOOKUP(EI1,SPA!$B$48:$R$82,11,FALSE),"")</f>
        <v/>
      </c>
      <c r="EJ2" s="233" t="str">
        <f>IFERROR(YEAR(VLOOKUP(EI1,SPA!$B$48:$R$82,2,FALSE)),"")</f>
        <v/>
      </c>
      <c r="EK2" s="189"/>
      <c r="EL2" s="166" t="str">
        <f>IFERROR(VLOOKUP(EI1,SPA!$B$48:$R$82,3,FALSE),"")</f>
        <v/>
      </c>
      <c r="EM2" s="234" t="str">
        <f>IFERROR(VLOOKUP(EI1,SPA!$B$48:$R$82,15,FALSE),"")</f>
        <v/>
      </c>
      <c r="EN2" s="235"/>
    </row>
    <row r="3" spans="1:144" ht="15.6" customHeight="1" thickTop="1" thickBot="1" x14ac:dyDescent="0.3">
      <c r="A3" s="237" t="str">
        <f>IFERROR(VLOOKUP(A1,SKV!$B$2:$O$36,14,FALSE),"")</f>
        <v>17 OZ , 3 (1+2), -9 ±</v>
      </c>
      <c r="B3" s="238"/>
      <c r="C3" s="238"/>
      <c r="D3" s="226" t="str">
        <f>IFERROR(VLOOKUP(A1,SKV!$B$48:$AA$82,14,FALSE),"")</f>
        <v>94 OZ, 31 (19+12)</v>
      </c>
      <c r="E3" s="226"/>
      <c r="F3" s="227"/>
      <c r="G3" s="193" t="s">
        <v>20</v>
      </c>
      <c r="H3" s="194"/>
      <c r="I3" s="194"/>
      <c r="J3" s="194"/>
      <c r="K3" s="32" t="str">
        <f>IFERROR(IF(VLOOKUP(G3,SKV!$B$48:$AA$82,10,FALSE)=0,"",VLOOKUP(G3,SKV!$B$48:$AA$82,10,FALSE)),"")</f>
        <v/>
      </c>
      <c r="L3" s="52">
        <f>IFERROR(VLOOKUP(G3,SKV!$B$48:$AA$82,9,FALSE),"")</f>
        <v>64</v>
      </c>
      <c r="M3" s="237" t="str">
        <f>IFERROR(VLOOKUP(M1,SKV!$B$2:$O$36,14,FALSE),"")</f>
        <v>16 OZ , 10 (3+7), -6 ±</v>
      </c>
      <c r="N3" s="238"/>
      <c r="O3" s="238"/>
      <c r="P3" s="226" t="str">
        <f>IFERROR(VLOOKUP(M1,SKV!$B$48:$AA$82,14,FALSE),"")</f>
        <v>16 OZ, 10 (3+7)</v>
      </c>
      <c r="Q3" s="226"/>
      <c r="R3" s="227"/>
      <c r="S3" s="237" t="str">
        <f>IFERROR(VLOOKUP(S1,CHO!$B$2:$O$36,14,FALSE),"")</f>
        <v>16 OZ , 31 (18+13), +19 ±</v>
      </c>
      <c r="T3" s="238"/>
      <c r="U3" s="238"/>
      <c r="V3" s="226" t="str">
        <f>IFERROR(VLOOKUP(S1,CHO!$B$48:$AA$82,14,FALSE),"")</f>
        <v>230 OZ, 509 (313+196)</v>
      </c>
      <c r="W3" s="226"/>
      <c r="X3" s="227"/>
      <c r="Y3" s="193" t="s">
        <v>163</v>
      </c>
      <c r="Z3" s="194"/>
      <c r="AA3" s="194"/>
      <c r="AB3" s="194"/>
      <c r="AC3" s="32" t="str">
        <f>IFERROR(IF(VLOOKUP(Y3,CHO!$B$48:$AA$82,10,FALSE)=0,"",VLOOKUP(Y3,CHO!$B$48:$AA$82,10,FALSE)),"")</f>
        <v/>
      </c>
      <c r="AD3" s="52">
        <f>IFERROR(VLOOKUP(Y3,CHO!$B$48:$AA$82,9,FALSE),"")</f>
        <v>9</v>
      </c>
      <c r="AE3" s="237" t="str">
        <f>IFERROR(VLOOKUP(AE1,CHO!$B$2:$O$36,14,FALSE),"")</f>
        <v>16 OZ , 32 (20+12), +16 ±</v>
      </c>
      <c r="AF3" s="238"/>
      <c r="AG3" s="238"/>
      <c r="AH3" s="226" t="str">
        <f>IFERROR(VLOOKUP(AE1,CHO!$B$48:$AA$82,14,FALSE),"")</f>
        <v>220 OZ, 431 (255+176)</v>
      </c>
      <c r="AI3" s="226"/>
      <c r="AJ3" s="227"/>
      <c r="AK3" s="237" t="str">
        <f>IFERROR(VLOOKUP(AK1,VIT!$B$2:$O$36,14,FALSE),"")</f>
        <v/>
      </c>
      <c r="AL3" s="238"/>
      <c r="AM3" s="238"/>
      <c r="AN3" s="226" t="str">
        <f>IFERROR(VLOOKUP(AK1,VIT!$B$48:$R$82,14,FALSE),"")</f>
        <v/>
      </c>
      <c r="AO3" s="226"/>
      <c r="AP3" s="227"/>
      <c r="AQ3" s="193"/>
      <c r="AR3" s="194"/>
      <c r="AS3" s="194"/>
      <c r="AT3" s="194"/>
      <c r="AU3" s="32" t="str">
        <f>IFERROR(IF(VLOOKUP(AQ3,VIT!$B$48:$R$82,10,FALSE)=0,"",VLOOKUP(AQ3,VIT!$B$48:$R$82,10,FALSE)),"")</f>
        <v/>
      </c>
      <c r="AV3" s="52" t="str">
        <f>IFERROR(VLOOKUP(AQ3,VIT!$B$48:$R$82,9,FALSE),"")</f>
        <v/>
      </c>
      <c r="AW3" s="237" t="str">
        <f>IFERROR(VLOOKUP(AW1,VIT!$B$2:$O$36,14,FALSE),"")</f>
        <v/>
      </c>
      <c r="AX3" s="238"/>
      <c r="AY3" s="238"/>
      <c r="AZ3" s="226" t="str">
        <f>IFERROR(VLOOKUP(AW1,VIT!$B$48:$R$82,14,FALSE),"")</f>
        <v/>
      </c>
      <c r="BA3" s="226"/>
      <c r="BB3" s="227"/>
      <c r="BC3" s="237" t="str">
        <f>IFERROR(VLOOKUP(BC1,MB!$B$2:$O$36,14,FALSE),"")</f>
        <v/>
      </c>
      <c r="BD3" s="238"/>
      <c r="BE3" s="238"/>
      <c r="BF3" s="226" t="str">
        <f>IFERROR(VLOOKUP(BC1,MB!$B$48:$R$82,14,FALSE),"")</f>
        <v/>
      </c>
      <c r="BG3" s="226"/>
      <c r="BH3" s="227"/>
      <c r="BI3" s="193"/>
      <c r="BJ3" s="194"/>
      <c r="BK3" s="194"/>
      <c r="BL3" s="194"/>
      <c r="BM3" s="32" t="str">
        <f>IFERROR(IF(VLOOKUP(BI3,MB!$B$48:$R$82,10,FALSE)=0,"",VLOOKUP(BI3,MB!$B$48:$R$82,10,FALSE)),"")</f>
        <v/>
      </c>
      <c r="BN3" s="52" t="str">
        <f>IFERROR(VLOOKUP(BI3,MB!$B$48:$R$82,9,FALSE),"")</f>
        <v/>
      </c>
      <c r="BO3" s="237" t="str">
        <f>IFERROR(VLOOKUP(BO1,MB!$B$2:$O$36,14,FALSE),"")</f>
        <v/>
      </c>
      <c r="BP3" s="238"/>
      <c r="BQ3" s="238"/>
      <c r="BR3" s="226" t="str">
        <f>IFERROR(VLOOKUP(BO1,MB!$B$48:$R$82,14,FALSE),"")</f>
        <v/>
      </c>
      <c r="BS3" s="226"/>
      <c r="BT3" s="227"/>
      <c r="BU3" s="237" t="str">
        <f>IFERROR(VLOOKUP(BU1,TAT!$B$2:$O$36,14,FALSE),"")</f>
        <v/>
      </c>
      <c r="BV3" s="238"/>
      <c r="BW3" s="238"/>
      <c r="BX3" s="226" t="str">
        <f>IFERROR(VLOOKUP(BU1,TAT!$B$48:$R$82,14,FALSE),"")</f>
        <v/>
      </c>
      <c r="BY3" s="226"/>
      <c r="BZ3" s="227"/>
      <c r="CA3" s="193"/>
      <c r="CB3" s="194"/>
      <c r="CC3" s="194"/>
      <c r="CD3" s="194"/>
      <c r="CE3" s="32" t="str">
        <f>IFERROR(IF(VLOOKUP(CA3,TAT!$B$48:$R$82,10,FALSE)=0,"",VLOOKUP(CA3,TAT!$B$48:$R$82,10,FALSE)),"")</f>
        <v/>
      </c>
      <c r="CF3" s="52" t="str">
        <f>IFERROR(VLOOKUP(CA3,TAT!$B$48:$R$82,9,FALSE),"")</f>
        <v/>
      </c>
      <c r="CG3" s="237" t="str">
        <f>IFERROR(VLOOKUP(CG1,TAT!$B$2:$O$36,14,FALSE),"")</f>
        <v/>
      </c>
      <c r="CH3" s="238"/>
      <c r="CI3" s="238"/>
      <c r="CJ3" s="226" t="str">
        <f>IFERROR(VLOOKUP(CG1,TAT!$B$48:$R$82,14,FALSE),"")</f>
        <v/>
      </c>
      <c r="CK3" s="226"/>
      <c r="CL3" s="227"/>
      <c r="CM3" s="237" t="str">
        <f>IFERROR(VLOOKUP(CM1,OTR!$B$2:$O$36,14,FALSE),"")</f>
        <v>17 OZ , 15 (6+9), -15 ±</v>
      </c>
      <c r="CN3" s="238"/>
      <c r="CO3" s="238"/>
      <c r="CP3" s="226" t="str">
        <f>IFERROR(VLOOKUP(CM1,OTR!$B$48:$R$82,14,FALSE),"")</f>
        <v>43 OZ, 29 (12+17)</v>
      </c>
      <c r="CQ3" s="226"/>
      <c r="CR3" s="227"/>
      <c r="CS3" s="193" t="s">
        <v>478</v>
      </c>
      <c r="CT3" s="194"/>
      <c r="CU3" s="194"/>
      <c r="CV3" s="194"/>
      <c r="CW3" s="32" t="str">
        <f>IFERROR(IF(VLOOKUP(CS3,OTR!$B$48:$R$82,10,FALSE)=0,"",VLOOKUP(CS3,OTR!$B$48:$R$82,10,FALSE)),"")</f>
        <v/>
      </c>
      <c r="CX3" s="52">
        <f>IFERROR(VLOOKUP(CS3,OTR!$B$48:$R$82,9,FALSE),"")</f>
        <v>88</v>
      </c>
      <c r="CY3" s="237" t="str">
        <f>IFERROR(VLOOKUP(CY1,OTR!$B$2:$O$36,14,FALSE),"")</f>
        <v>17 OZ , 8 (5+3), -25 ±</v>
      </c>
      <c r="CZ3" s="238"/>
      <c r="DA3" s="238"/>
      <c r="DB3" s="226" t="str">
        <f>IFERROR(VLOOKUP(CY1,OTR!$B$48:$R$82,14,FALSE),"")</f>
        <v>298 OZ, 259 (121+138)</v>
      </c>
      <c r="DC3" s="226"/>
      <c r="DD3" s="227"/>
      <c r="DE3" s="237" t="str">
        <f>IFERROR(VLOOKUP(DE1,BOH!$B$2:$O$36,14,FALSE),"")</f>
        <v/>
      </c>
      <c r="DF3" s="238"/>
      <c r="DG3" s="238"/>
      <c r="DH3" s="226" t="str">
        <f>IFERROR(VLOOKUP(DE1,BOH!$B$48:$R$82,14,FALSE),"")</f>
        <v/>
      </c>
      <c r="DI3" s="226"/>
      <c r="DJ3" s="227"/>
      <c r="DK3" s="193"/>
      <c r="DL3" s="194"/>
      <c r="DM3" s="194"/>
      <c r="DN3" s="194"/>
      <c r="DO3" s="32" t="str">
        <f>IFERROR(IF(VLOOKUP(DK3,BOH!$B$48:$R$82,10,FALSE)=0,"",VLOOKUP(DK3,BOH!$B$48:$R$82,10,FALSE)),"")</f>
        <v/>
      </c>
      <c r="DP3" s="52" t="str">
        <f>IFERROR(VLOOKUP(DK3,BOH!$B$48:$R$82,9,FALSE),"")</f>
        <v/>
      </c>
      <c r="DQ3" s="237" t="str">
        <f>IFERROR(VLOOKUP(DQ1,BOH!$B$2:$O$36,14,FALSE),"")</f>
        <v/>
      </c>
      <c r="DR3" s="238"/>
      <c r="DS3" s="238"/>
      <c r="DT3" s="226" t="str">
        <f>IFERROR(VLOOKUP(DQ1,BOH!$B$48:$R$82,14,FALSE),"")</f>
        <v/>
      </c>
      <c r="DU3" s="226"/>
      <c r="DV3" s="227"/>
      <c r="DW3" s="237" t="str">
        <f>IFERROR(VLOOKUP(DW1,SPA!$B$2:$O$36,14,FALSE),"")</f>
        <v/>
      </c>
      <c r="DX3" s="238"/>
      <c r="DY3" s="238"/>
      <c r="DZ3" s="226" t="str">
        <f>IFERROR(VLOOKUP(DW1,SPA!$B$48:$R$82,14,FALSE),"")</f>
        <v/>
      </c>
      <c r="EA3" s="226"/>
      <c r="EB3" s="227"/>
      <c r="EC3" s="193"/>
      <c r="ED3" s="194"/>
      <c r="EE3" s="194"/>
      <c r="EF3" s="194"/>
      <c r="EG3" s="32" t="str">
        <f>IFERROR(IF(VLOOKUP(EC3,SPA!$B$48:$R$82,10,FALSE)=0,"",VLOOKUP(EC3,SPA!$B$48:$R$82,10,FALSE)),"")</f>
        <v/>
      </c>
      <c r="EH3" s="52" t="str">
        <f>IFERROR(VLOOKUP(EC3,SPA!$B$48:$R$82,9,FALSE),"")</f>
        <v/>
      </c>
      <c r="EI3" s="237" t="str">
        <f>IFERROR(VLOOKUP(EI1,SPA!$B$2:$O$36,14,FALSE),"")</f>
        <v/>
      </c>
      <c r="EJ3" s="238"/>
      <c r="EK3" s="238"/>
      <c r="EL3" s="226" t="str">
        <f>IFERROR(VLOOKUP(EI1,SPA!$B$48:$R$82,14,FALSE),"")</f>
        <v/>
      </c>
      <c r="EM3" s="226"/>
      <c r="EN3" s="227"/>
    </row>
    <row r="4" spans="1:144" ht="15.6" customHeight="1" thickBot="1" x14ac:dyDescent="0.3">
      <c r="A4" s="228" t="str">
        <f>IFERROR(VLOOKUP(A1,SKV!$B$48:$AA$82,16,FALSE),"")</f>
        <v>Chodov</v>
      </c>
      <c r="B4" s="229"/>
      <c r="C4" s="230"/>
      <c r="D4" s="231">
        <f>IFERROR(VLOOKUP(A1,SKV!$B$48:$AA$82,17,FALSE),"")</f>
        <v>2006</v>
      </c>
      <c r="E4" s="232"/>
      <c r="F4" s="124">
        <f>IFERROR(VLOOKUP(A1,SKV!$B$48:$AA$82,8,FALSE),"")</f>
        <v>5</v>
      </c>
      <c r="G4" s="34" t="str">
        <f>IFERROR(VLOOKUP(G3,SKV!$B$48:$AA$82,11,FALSE),"")</f>
        <v>L</v>
      </c>
      <c r="H4" s="233">
        <f>IFERROR(YEAR(VLOOKUP(G3,SKV!$B$48:$AA$82,2,FALSE)),"")</f>
        <v>1993</v>
      </c>
      <c r="I4" s="189"/>
      <c r="J4" s="35">
        <f ca="1">IFERROR(VLOOKUP(G3,SKV!$B$48:$AA$82,3,FALSE),"")</f>
        <v>27</v>
      </c>
      <c r="K4" s="234" t="str">
        <f>IFERROR(VLOOKUP(G3,SKV!$B$48:$AA$82,15,FALSE),"")</f>
        <v>173/68</v>
      </c>
      <c r="L4" s="235"/>
      <c r="M4" s="228" t="str">
        <f>IFERROR(VLOOKUP(M1,SKV!$B$48:$AA$82,16,FALSE),"")</f>
        <v>Slovan J. Hradec</v>
      </c>
      <c r="N4" s="229"/>
      <c r="O4" s="230"/>
      <c r="P4" s="231">
        <f>IFERROR(VLOOKUP(M1,SKV!$B$48:$AA$82,17,FALSE),"")</f>
        <v>2014</v>
      </c>
      <c r="Q4" s="232"/>
      <c r="R4" s="124">
        <f>IFERROR(VLOOKUP(M1,SKV!$B$48:$AA$82,8,FALSE),"")</f>
        <v>1</v>
      </c>
      <c r="S4" s="228" t="str">
        <f>IFERROR(VLOOKUP(S1,CHO!$B$48:$AA$82,16,FALSE),"")</f>
        <v>SPA Sokol Brno I.</v>
      </c>
      <c r="T4" s="229"/>
      <c r="U4" s="230"/>
      <c r="V4" s="231">
        <f>IFERROR(VLOOKUP(S1,CHO!$B$48:$AA$82,17,FALSE),"")</f>
        <v>1999</v>
      </c>
      <c r="W4" s="232"/>
      <c r="X4" s="124">
        <f>IFERROR(VLOOKUP(S1,CHO!$B$48:$AA$82,8,FALSE),"")</f>
        <v>12</v>
      </c>
      <c r="Y4" s="34" t="str">
        <f>IFERROR(VLOOKUP(Y3,CHO!$B$48:$AA$82,11,FALSE),"")</f>
        <v>L</v>
      </c>
      <c r="Z4" s="233">
        <f>IFERROR(YEAR(VLOOKUP(Y3,CHO!$B$48:$AA$82,2,FALSE)),"")</f>
        <v>1989</v>
      </c>
      <c r="AA4" s="189"/>
      <c r="AB4" s="35">
        <f ca="1">IFERROR(VLOOKUP(Y3,CHO!$B$48:$AA$82,3,FALSE),"")</f>
        <v>31</v>
      </c>
      <c r="AC4" s="234" t="str">
        <f>IFERROR(VLOOKUP(Y3,CHO!$B$48:$AA$82,15,FALSE),"")</f>
        <v>182/82</v>
      </c>
      <c r="AD4" s="235"/>
      <c r="AE4" s="228" t="str">
        <f>IFERROR(VLOOKUP(AE1,CHO!$B$48:$AA$82,16,FALSE),"")</f>
        <v>Tatran Střešovice</v>
      </c>
      <c r="AF4" s="229"/>
      <c r="AG4" s="230"/>
      <c r="AH4" s="231">
        <f>IFERROR(VLOOKUP(AE1,CHO!$B$48:$AA$82,17,FALSE),"")</f>
        <v>2000</v>
      </c>
      <c r="AI4" s="232"/>
      <c r="AJ4" s="124">
        <f>IFERROR(VLOOKUP(AE1,CHO!$B$48:$AA$82,8,FALSE),"")</f>
        <v>11</v>
      </c>
      <c r="AK4" s="228" t="str">
        <f>IFERROR(VLOOKUP(AK1,VIT!$B$48:$R$82,16,FALSE),"")</f>
        <v/>
      </c>
      <c r="AL4" s="229"/>
      <c r="AM4" s="230"/>
      <c r="AN4" s="231" t="str">
        <f>IFERROR(VLOOKUP(AK1,VIT!$B$48:$R$82,17,FALSE),"")</f>
        <v/>
      </c>
      <c r="AO4" s="232"/>
      <c r="AP4" s="124" t="str">
        <f>IFERROR(VLOOKUP(AK1,VIT!$B$48:$R$82,8,FALSE),"")</f>
        <v/>
      </c>
      <c r="AQ4" s="34" t="str">
        <f>IFERROR(VLOOKUP(AQ3,VIT!$B$48:$R$82,11,FALSE),"")</f>
        <v/>
      </c>
      <c r="AR4" s="233" t="str">
        <f>IFERROR(YEAR(VLOOKUP(AQ3,VIT!$B$48:$R$82,2,FALSE)),"")</f>
        <v/>
      </c>
      <c r="AS4" s="189"/>
      <c r="AT4" s="106" t="str">
        <f>IFERROR(VLOOKUP(AQ3,VIT!$B$48:$R$82,3,FALSE),"")</f>
        <v/>
      </c>
      <c r="AU4" s="234" t="str">
        <f>IFERROR(VLOOKUP(AQ3,VIT!$B$48:$R$82,15,FALSE),"")</f>
        <v/>
      </c>
      <c r="AV4" s="235"/>
      <c r="AW4" s="228" t="str">
        <f>IFERROR(VLOOKUP(AW1,VIT!$B$48:$R$82,16,FALSE),"")</f>
        <v/>
      </c>
      <c r="AX4" s="229"/>
      <c r="AY4" s="230"/>
      <c r="AZ4" s="231" t="str">
        <f>IFERROR(VLOOKUP(AW1,VIT!$B$48:$R$82,17,FALSE),"")</f>
        <v/>
      </c>
      <c r="BA4" s="232"/>
      <c r="BB4" s="124" t="str">
        <f>IFERROR(VLOOKUP(AW1,VIT!$B$48:$R$82,8,FALSE),"")</f>
        <v/>
      </c>
      <c r="BC4" s="228" t="str">
        <f>IFERROR(VLOOKUP(BC1,MB!$B$48:$R$82,16,FALSE),"")</f>
        <v/>
      </c>
      <c r="BD4" s="229"/>
      <c r="BE4" s="230"/>
      <c r="BF4" s="231" t="str">
        <f>IFERROR(VLOOKUP(BC1,MB!$B$48:$R$82,17,FALSE),"")</f>
        <v/>
      </c>
      <c r="BG4" s="232"/>
      <c r="BH4" s="124" t="str">
        <f>IFERROR(VLOOKUP(BC1,MB!$B$48:$R$82,8,FALSE),"")</f>
        <v/>
      </c>
      <c r="BI4" s="34" t="str">
        <f>IFERROR(VLOOKUP(BI3,MB!$B$48:$R$82,11,FALSE),"")</f>
        <v/>
      </c>
      <c r="BJ4" s="233" t="str">
        <f>IFERROR(YEAR(VLOOKUP(BI3,MB!$B$48:$R$82,2,FALSE)),"")</f>
        <v/>
      </c>
      <c r="BK4" s="189"/>
      <c r="BL4" s="108" t="str">
        <f>IFERROR(VLOOKUP(BI3,MB!$B$48:$R$82,3,FALSE),"")</f>
        <v/>
      </c>
      <c r="BM4" s="234" t="str">
        <f>IFERROR(VLOOKUP(BI3,MB!$B$48:$R$82,15,FALSE),"")</f>
        <v/>
      </c>
      <c r="BN4" s="235"/>
      <c r="BO4" s="228" t="str">
        <f>IFERROR(VLOOKUP(BO1,MB!$B$48:$R$82,16,FALSE),"")</f>
        <v/>
      </c>
      <c r="BP4" s="229"/>
      <c r="BQ4" s="230"/>
      <c r="BR4" s="231" t="str">
        <f>IFERROR(VLOOKUP(BO1,MB!$B$48:$R$82,17,FALSE),"")</f>
        <v/>
      </c>
      <c r="BS4" s="232"/>
      <c r="BT4" s="124" t="str">
        <f>IFERROR(VLOOKUP(BO1,MB!$B$48:$R$82,8,FALSE),"")</f>
        <v/>
      </c>
      <c r="BU4" s="228" t="str">
        <f>IFERROR(VLOOKUP(BU1,TAT!$B$48:$R$82,16,FALSE),"")</f>
        <v/>
      </c>
      <c r="BV4" s="229"/>
      <c r="BW4" s="230"/>
      <c r="BX4" s="231" t="str">
        <f>IFERROR(VLOOKUP(BU1,TAT!$B$48:$R$82,17,FALSE),"")</f>
        <v/>
      </c>
      <c r="BY4" s="232"/>
      <c r="BZ4" s="124" t="str">
        <f>IFERROR(VLOOKUP(BU1,TAT!$B$48:$R$82,8,FALSE),"")</f>
        <v/>
      </c>
      <c r="CA4" s="34" t="str">
        <f>IFERROR(VLOOKUP(CA3,TAT!$B$48:$R$82,11,FALSE),"")</f>
        <v/>
      </c>
      <c r="CB4" s="233" t="str">
        <f>IFERROR(YEAR(VLOOKUP(CA3,TAT!$B$48:$R$82,2,FALSE)),"")</f>
        <v/>
      </c>
      <c r="CC4" s="189"/>
      <c r="CD4" s="151" t="str">
        <f>IFERROR(VLOOKUP(CA3,TAT!$B$48:$R$82,3,FALSE),"")</f>
        <v/>
      </c>
      <c r="CE4" s="234" t="str">
        <f>IFERROR(VLOOKUP(CA3,TAT!$B$48:$R$82,15,FALSE),"")</f>
        <v/>
      </c>
      <c r="CF4" s="235"/>
      <c r="CG4" s="228" t="str">
        <f>IFERROR(VLOOKUP(CG1,TAT!$B$48:$R$82,16,FALSE),"")</f>
        <v/>
      </c>
      <c r="CH4" s="229"/>
      <c r="CI4" s="230"/>
      <c r="CJ4" s="231" t="str">
        <f>IFERROR(VLOOKUP(CG1,TAT!$B$48:$R$82,17,FALSE),"")</f>
        <v/>
      </c>
      <c r="CK4" s="232"/>
      <c r="CL4" s="124" t="str">
        <f>IFERROR(VLOOKUP(CG1,TAT!$B$48:$R$82,8,FALSE),"")</f>
        <v/>
      </c>
      <c r="CM4" s="228" t="str">
        <f>IFERROR(VLOOKUP(CM1,OTR!$B$48:$R$82,16,FALSE),"")</f>
        <v>Hattrick Brno</v>
      </c>
      <c r="CN4" s="229"/>
      <c r="CO4" s="230"/>
      <c r="CP4" s="231">
        <f>IFERROR(VLOOKUP(CM1,OTR!$B$48:$R$82,17,FALSE),"")</f>
        <v>2008</v>
      </c>
      <c r="CQ4" s="232"/>
      <c r="CR4" s="124">
        <f>IFERROR(VLOOKUP(CM1,OTR!$B$48:$R$82,8,FALSE),"")</f>
        <v>5</v>
      </c>
      <c r="CS4" s="34" t="str">
        <f>IFERROR(VLOOKUP(CS3,OTR!$B$48:$R$82,11,FALSE),"")</f>
        <v>P</v>
      </c>
      <c r="CT4" s="233">
        <f>IFERROR(YEAR(VLOOKUP(CS3,OTR!$B$48:$R$82,2,FALSE)),"")</f>
        <v>1998</v>
      </c>
      <c r="CU4" s="189"/>
      <c r="CV4" s="151">
        <f ca="1">IFERROR(VLOOKUP(CS3,OTR!$B$48:$R$82,3,FALSE),"")</f>
        <v>22</v>
      </c>
      <c r="CW4" s="234" t="str">
        <f>IFERROR(VLOOKUP(CS3,OTR!$B$48:$R$82,15,FALSE),"")</f>
        <v>180/73</v>
      </c>
      <c r="CX4" s="235"/>
      <c r="CY4" s="228" t="str">
        <f>IFERROR(VLOOKUP(CY1,OTR!$B$48:$R$82,16,FALSE),"")</f>
        <v>Čeladná Rams</v>
      </c>
      <c r="CZ4" s="229"/>
      <c r="DA4" s="230"/>
      <c r="DB4" s="231">
        <f>IFERROR(VLOOKUP(CY1,OTR!$B$48:$R$82,17,FALSE),"")</f>
        <v>1999</v>
      </c>
      <c r="DC4" s="232"/>
      <c r="DD4" s="124">
        <f>IFERROR(VLOOKUP(CY1,OTR!$B$48:$R$82,8,FALSE),"")</f>
        <v>14</v>
      </c>
      <c r="DE4" s="228" t="str">
        <f>IFERROR(VLOOKUP(DE1,BOH!$B$48:$R$82,16,FALSE),"")</f>
        <v/>
      </c>
      <c r="DF4" s="229"/>
      <c r="DG4" s="230"/>
      <c r="DH4" s="231" t="str">
        <f>IFERROR(VLOOKUP(DE1,BOH!$B$48:$R$82,17,FALSE),"")</f>
        <v/>
      </c>
      <c r="DI4" s="232"/>
      <c r="DJ4" s="124" t="str">
        <f>IFERROR(VLOOKUP(DE1,BOH!$B$48:$R$82,8,FALSE),"")</f>
        <v/>
      </c>
      <c r="DK4" s="34" t="str">
        <f>IFERROR(VLOOKUP(DK3,BOH!$B$48:$R$82,11,FALSE),"")</f>
        <v/>
      </c>
      <c r="DL4" s="233" t="str">
        <f>IFERROR(YEAR(VLOOKUP(DK3,BOH!$B$48:$R$82,2,FALSE)),"")</f>
        <v/>
      </c>
      <c r="DM4" s="189"/>
      <c r="DN4" s="166" t="str">
        <f>IFERROR(VLOOKUP(DK3,BOH!$B$48:$R$82,3,FALSE),"")</f>
        <v/>
      </c>
      <c r="DO4" s="234" t="str">
        <f>IFERROR(VLOOKUP(DK3,BOH!$B$48:$R$82,15,FALSE),"")</f>
        <v/>
      </c>
      <c r="DP4" s="235"/>
      <c r="DQ4" s="228" t="str">
        <f>IFERROR(VLOOKUP(DQ1,BOH!$B$48:$R$82,16,FALSE),"")</f>
        <v/>
      </c>
      <c r="DR4" s="229"/>
      <c r="DS4" s="230"/>
      <c r="DT4" s="231" t="str">
        <f>IFERROR(VLOOKUP(DQ1,BOH!$B$48:$R$82,17,FALSE),"")</f>
        <v/>
      </c>
      <c r="DU4" s="232"/>
      <c r="DV4" s="124" t="str">
        <f>IFERROR(VLOOKUP(DQ1,BOH!$B$48:$R$82,8,FALSE),"")</f>
        <v/>
      </c>
      <c r="DW4" s="228" t="str">
        <f>IFERROR(VLOOKUP(DW1,SPA!$B$48:$R$82,16,FALSE),"")</f>
        <v/>
      </c>
      <c r="DX4" s="229"/>
      <c r="DY4" s="230"/>
      <c r="DZ4" s="231" t="str">
        <f>IFERROR(VLOOKUP(DW1,SPA!$B$48:$R$82,17,FALSE),"")</f>
        <v/>
      </c>
      <c r="EA4" s="232"/>
      <c r="EB4" s="124" t="str">
        <f>IFERROR(VLOOKUP(DW1,SPA!$B$48:$R$82,8,FALSE),"")</f>
        <v/>
      </c>
      <c r="EC4" s="34" t="str">
        <f>IFERROR(VLOOKUP(EC3,SPA!$B$48:$R$82,11,FALSE),"")</f>
        <v/>
      </c>
      <c r="ED4" s="233" t="str">
        <f>IFERROR(YEAR(VLOOKUP(EC3,SPA!$B$48:$R$82,2,FALSE)),"")</f>
        <v/>
      </c>
      <c r="EE4" s="189"/>
      <c r="EF4" s="166" t="str">
        <f>IFERROR(VLOOKUP(EC3,SPA!$B$48:$R$82,3,FALSE),"")</f>
        <v/>
      </c>
      <c r="EG4" s="234" t="str">
        <f>IFERROR(VLOOKUP(EC3,SPA!$B$48:$R$82,15,FALSE),"")</f>
        <v/>
      </c>
      <c r="EH4" s="235"/>
      <c r="EI4" s="228" t="str">
        <f>IFERROR(VLOOKUP(EI1,SPA!$B$48:$R$82,16,FALSE),"")</f>
        <v/>
      </c>
      <c r="EJ4" s="229"/>
      <c r="EK4" s="230"/>
      <c r="EL4" s="231" t="str">
        <f>IFERROR(VLOOKUP(EI1,SPA!$B$48:$R$82,17,FALSE),"")</f>
        <v/>
      </c>
      <c r="EM4" s="232"/>
      <c r="EN4" s="124" t="str">
        <f>IFERROR(VLOOKUP(EI1,SPA!$B$48:$R$82,8,FALSE),"")</f>
        <v/>
      </c>
    </row>
    <row r="5" spans="1:144" ht="15.6" customHeight="1" thickTop="1" thickBot="1" x14ac:dyDescent="0.3">
      <c r="A5" s="16"/>
      <c r="B5" s="16"/>
      <c r="C5" s="16"/>
      <c r="D5" s="16"/>
      <c r="E5" s="33"/>
      <c r="F5" s="33"/>
      <c r="G5" s="237" t="str">
        <f>IFERROR(VLOOKUP(G3,SKV!$B$2:$O$36,14,FALSE),"")</f>
        <v>17 OZ , 7 (3+4), -7 ±</v>
      </c>
      <c r="H5" s="238"/>
      <c r="I5" s="238"/>
      <c r="J5" s="226" t="str">
        <f>IFERROR(VLOOKUP(G3,SKV!$B$48:$AA$82,14,FALSE),"")</f>
        <v>88 OZ, 72 (21+51)</v>
      </c>
      <c r="K5" s="226"/>
      <c r="L5" s="227"/>
      <c r="M5" s="33"/>
      <c r="N5" s="33"/>
      <c r="O5" s="33"/>
      <c r="P5" s="33"/>
      <c r="Q5" s="33"/>
      <c r="R5" s="33"/>
      <c r="S5" s="16"/>
      <c r="T5" s="16"/>
      <c r="U5" s="16"/>
      <c r="V5" s="16"/>
      <c r="W5" s="33"/>
      <c r="X5" s="33"/>
      <c r="Y5" s="237" t="str">
        <f>IFERROR(VLOOKUP(Y3,CHO!$B$2:$O$36,14,FALSE),"")</f>
        <v>15 OZ , 21 (13+8), +16 ±</v>
      </c>
      <c r="Z5" s="238"/>
      <c r="AA5" s="238"/>
      <c r="AB5" s="226" t="str">
        <f>IFERROR(VLOOKUP(Y3,CHO!$B$48:$AA$82,14,FALSE),"")</f>
        <v>223 OZ, 273 (138+135)</v>
      </c>
      <c r="AC5" s="226"/>
      <c r="AD5" s="227"/>
      <c r="AE5" s="33"/>
      <c r="AF5" s="33"/>
      <c r="AG5" s="33"/>
      <c r="AH5" s="33"/>
      <c r="AI5" s="33"/>
      <c r="AJ5" s="33"/>
      <c r="AK5" s="16"/>
      <c r="AL5" s="16"/>
      <c r="AM5" s="16"/>
      <c r="AN5" s="16"/>
      <c r="AO5" s="33"/>
      <c r="AP5" s="33"/>
      <c r="AQ5" s="237" t="str">
        <f>IFERROR(VLOOKUP(AQ3,VIT!$B$2:$O$36,14,FALSE),"")</f>
        <v/>
      </c>
      <c r="AR5" s="238"/>
      <c r="AS5" s="238"/>
      <c r="AT5" s="226" t="str">
        <f>IFERROR(VLOOKUP(AQ3,VIT!$B$48:$R$82,14,FALSE),"")</f>
        <v/>
      </c>
      <c r="AU5" s="226"/>
      <c r="AV5" s="227"/>
      <c r="AW5" s="33"/>
      <c r="AX5" s="33"/>
      <c r="AY5" s="33"/>
      <c r="AZ5" s="33"/>
      <c r="BA5" s="33"/>
      <c r="BB5" s="33"/>
      <c r="BC5" s="16"/>
      <c r="BD5" s="16"/>
      <c r="BE5" s="16"/>
      <c r="BF5" s="16"/>
      <c r="BG5" s="33"/>
      <c r="BH5" s="33"/>
      <c r="BI5" s="237" t="str">
        <f>IFERROR(VLOOKUP(BI3,MB!$B$2:$O$36,14,FALSE),"")</f>
        <v/>
      </c>
      <c r="BJ5" s="238"/>
      <c r="BK5" s="238"/>
      <c r="BL5" s="226" t="str">
        <f>IFERROR(VLOOKUP(BI3,MB!$B$48:$R$82,14,FALSE),"")</f>
        <v/>
      </c>
      <c r="BM5" s="226"/>
      <c r="BN5" s="227"/>
      <c r="BO5" s="33"/>
      <c r="BP5" s="33"/>
      <c r="BQ5" s="33"/>
      <c r="BR5" s="33"/>
      <c r="BS5" s="33"/>
      <c r="BT5" s="33"/>
      <c r="BU5" s="16"/>
      <c r="BV5" s="16"/>
      <c r="BW5" s="16"/>
      <c r="BX5" s="16"/>
      <c r="BY5" s="33"/>
      <c r="BZ5" s="33"/>
      <c r="CA5" s="237" t="str">
        <f>IFERROR(VLOOKUP(CA3,TAT!$B$2:$O$36,14,FALSE),"")</f>
        <v/>
      </c>
      <c r="CB5" s="238"/>
      <c r="CC5" s="238"/>
      <c r="CD5" s="226" t="str">
        <f>IFERROR(VLOOKUP(CA3,TAT!$B$48:$R$82,14,FALSE),"")</f>
        <v/>
      </c>
      <c r="CE5" s="226"/>
      <c r="CF5" s="227"/>
      <c r="CG5" s="33"/>
      <c r="CH5" s="33"/>
      <c r="CI5" s="33"/>
      <c r="CJ5" s="33"/>
      <c r="CK5" s="33"/>
      <c r="CL5" s="33"/>
      <c r="CM5" s="16"/>
      <c r="CN5" s="16"/>
      <c r="CO5" s="16"/>
      <c r="CP5" s="16"/>
      <c r="CQ5" s="33"/>
      <c r="CR5" s="33"/>
      <c r="CS5" s="237" t="str">
        <f>IFERROR(VLOOKUP(CS3,OTR!$B$2:$O$36,14,FALSE),"")</f>
        <v>17 OZ , 16 (9+7), -19 ±</v>
      </c>
      <c r="CT5" s="238"/>
      <c r="CU5" s="238"/>
      <c r="CV5" s="226" t="str">
        <f>IFERROR(VLOOKUP(CS3,OTR!$B$48:$R$82,14,FALSE),"")</f>
        <v>90 OZ, 62 (35+27)</v>
      </c>
      <c r="CW5" s="226"/>
      <c r="CX5" s="227"/>
      <c r="CY5" s="33"/>
      <c r="CZ5" s="33"/>
      <c r="DA5" s="33"/>
      <c r="DB5" s="33"/>
      <c r="DC5" s="33"/>
      <c r="DD5" s="33"/>
      <c r="DE5" s="16"/>
      <c r="DF5" s="16"/>
      <c r="DG5" s="16"/>
      <c r="DH5" s="16"/>
      <c r="DI5" s="33"/>
      <c r="DJ5" s="33"/>
      <c r="DK5" s="237" t="str">
        <f>IFERROR(VLOOKUP(DK3,BOH!$B$2:$O$36,14,FALSE),"")</f>
        <v/>
      </c>
      <c r="DL5" s="238"/>
      <c r="DM5" s="238"/>
      <c r="DN5" s="226" t="str">
        <f>IFERROR(VLOOKUP(DK3,BOH!$B$48:$R$82,14,FALSE),"")</f>
        <v/>
      </c>
      <c r="DO5" s="226"/>
      <c r="DP5" s="227"/>
      <c r="DQ5" s="33"/>
      <c r="DR5" s="33"/>
      <c r="DS5" s="33"/>
      <c r="DT5" s="33"/>
      <c r="DU5" s="33"/>
      <c r="DV5" s="33"/>
      <c r="DW5" s="16"/>
      <c r="DX5" s="16"/>
      <c r="DY5" s="16"/>
      <c r="DZ5" s="16"/>
      <c r="EA5" s="33"/>
      <c r="EB5" s="33"/>
      <c r="EC5" s="237" t="str">
        <f>IFERROR(VLOOKUP(EC3,SPA!$B$2:$O$36,14,FALSE),"")</f>
        <v/>
      </c>
      <c r="ED5" s="238"/>
      <c r="EE5" s="238"/>
      <c r="EF5" s="226" t="str">
        <f>IFERROR(VLOOKUP(EC3,SPA!$B$48:$R$82,14,FALSE),"")</f>
        <v/>
      </c>
      <c r="EG5" s="226"/>
      <c r="EH5" s="227"/>
      <c r="EI5" s="33"/>
      <c r="EJ5" s="33"/>
      <c r="EK5" s="33"/>
      <c r="EL5" s="33"/>
      <c r="EM5" s="33"/>
      <c r="EN5" s="33"/>
    </row>
    <row r="6" spans="1:144" ht="15.6" customHeight="1" thickTop="1" thickBot="1" x14ac:dyDescent="0.3">
      <c r="A6" s="193" t="s">
        <v>5</v>
      </c>
      <c r="B6" s="194"/>
      <c r="C6" s="194"/>
      <c r="D6" s="194"/>
      <c r="E6" s="32" t="str">
        <f>IFERROR(IF(VLOOKUP(A6,SKV!$B$48:$AA$82,10,FALSE)=0,"",VLOOKUP(A6,SKV!$B$48:$AA$82,10,FALSE)),"")</f>
        <v/>
      </c>
      <c r="F6" s="52">
        <f>IFERROR(VLOOKUP(A6,SKV!$B$48:$AA$82,9,FALSE),"")</f>
        <v>19</v>
      </c>
      <c r="G6" s="228" t="str">
        <f>IFERROR(VLOOKUP(G3,SKV!$B$48:$AA$82,16,FALSE),"")</f>
        <v>Future</v>
      </c>
      <c r="H6" s="229"/>
      <c r="I6" s="230"/>
      <c r="J6" s="231">
        <f>IFERROR(VLOOKUP(G3,SKV!$B$48:$AA$82,17,FALSE),"")</f>
        <v>2003</v>
      </c>
      <c r="K6" s="232"/>
      <c r="L6" s="124">
        <f>IFERROR(VLOOKUP(G3,SKV!$B$48:$AA$82,8,FALSE),"")</f>
        <v>5</v>
      </c>
      <c r="M6" s="193" t="s">
        <v>17</v>
      </c>
      <c r="N6" s="194"/>
      <c r="O6" s="194"/>
      <c r="P6" s="194"/>
      <c r="Q6" s="32" t="str">
        <f>IFERROR(IF(VLOOKUP(M6,SKV!$B$48:$AA$82,10,FALSE)=0,"",VLOOKUP(M6,SKV!$B$48:$AA$82,10,FALSE)),"")</f>
        <v/>
      </c>
      <c r="R6" s="52">
        <f>IFERROR(VLOOKUP(M6,SKV!$B$48:$AA$82,9,FALSE),"")</f>
        <v>4</v>
      </c>
      <c r="S6" s="193" t="s">
        <v>166</v>
      </c>
      <c r="T6" s="194"/>
      <c r="U6" s="194"/>
      <c r="V6" s="194"/>
      <c r="W6" s="32" t="str">
        <f>IFERROR(IF(VLOOKUP(S6,CHO!$B$48:$AA$82,10,FALSE)=0,"",VLOOKUP(S6,CHO!$B$48:$AA$82,10,FALSE)),"")</f>
        <v/>
      </c>
      <c r="X6" s="52">
        <f>IFERROR(VLOOKUP(S6,CHO!$B$48:$AA$82,9,FALSE),"")</f>
        <v>95</v>
      </c>
      <c r="Y6" s="228" t="str">
        <f>IFERROR(VLOOKUP(Y3,CHO!$B$48:$AA$82,16,FALSE),"")</f>
        <v>TJ Znojmo</v>
      </c>
      <c r="Z6" s="229"/>
      <c r="AA6" s="230"/>
      <c r="AB6" s="231">
        <f>IFERROR(VLOOKUP(Y3,CHO!$B$48:$AA$82,17,FALSE),"")</f>
        <v>2004</v>
      </c>
      <c r="AC6" s="232"/>
      <c r="AD6" s="124">
        <f>IFERROR(VLOOKUP(Y3,CHO!$B$48:$AA$82,8,FALSE),"")</f>
        <v>12</v>
      </c>
      <c r="AE6" s="193" t="s">
        <v>165</v>
      </c>
      <c r="AF6" s="194"/>
      <c r="AG6" s="194"/>
      <c r="AH6" s="194"/>
      <c r="AI6" s="32" t="str">
        <f>IFERROR(IF(VLOOKUP(AE6,CHO!$B$48:$AA$82,10,FALSE)=0,"",VLOOKUP(AE6,CHO!$B$48:$AA$82,10,FALSE)),"")</f>
        <v/>
      </c>
      <c r="AJ6" s="52">
        <f>IFERROR(VLOOKUP(AE6,CHO!$B$48:$AA$82,9,FALSE),"")</f>
        <v>26</v>
      </c>
      <c r="AK6" s="193"/>
      <c r="AL6" s="194"/>
      <c r="AM6" s="194"/>
      <c r="AN6" s="194"/>
      <c r="AO6" s="32" t="str">
        <f>IFERROR(IF(VLOOKUP(AK6,VIT!$B$48:$R$82,10,FALSE)=0,"",VLOOKUP(AK6,VIT!$B$48:$R$82,10,FALSE)),"")</f>
        <v/>
      </c>
      <c r="AP6" s="52" t="str">
        <f>IFERROR(VLOOKUP(AK6,VIT!$B$48:$R$82,9,FALSE),"")</f>
        <v/>
      </c>
      <c r="AQ6" s="228" t="str">
        <f>IFERROR(VLOOKUP(AQ3,VIT!$B$48:$R$82,16,FALSE),"")</f>
        <v/>
      </c>
      <c r="AR6" s="229"/>
      <c r="AS6" s="230"/>
      <c r="AT6" s="231" t="str">
        <f>IFERROR(VLOOKUP(AQ3,VIT!$B$48:$R$82,17,FALSE),"")</f>
        <v/>
      </c>
      <c r="AU6" s="232"/>
      <c r="AV6" s="124" t="str">
        <f>IFERROR(VLOOKUP(AQ3,VIT!$B$48:$R$82,8,FALSE),"")</f>
        <v/>
      </c>
      <c r="AW6" s="193"/>
      <c r="AX6" s="194"/>
      <c r="AY6" s="194"/>
      <c r="AZ6" s="194"/>
      <c r="BA6" s="32" t="str">
        <f>IFERROR(IF(VLOOKUP(AW6,VIT!$B$48:$R$82,10,FALSE)=0,"",VLOOKUP(AW6,VIT!$B$48:$R$82,10,FALSE)),"")</f>
        <v/>
      </c>
      <c r="BB6" s="52" t="str">
        <f>IFERROR(VLOOKUP(AW6,VIT!$B$48:$R$82,9,FALSE),"")</f>
        <v/>
      </c>
      <c r="BC6" s="193"/>
      <c r="BD6" s="194"/>
      <c r="BE6" s="194"/>
      <c r="BF6" s="194"/>
      <c r="BG6" s="32" t="str">
        <f>IFERROR(IF(VLOOKUP(BC6,MB!$B$48:$R$82,10,FALSE)=0,"",VLOOKUP(BC6,MB!$B$48:$R$82,10,FALSE)),"")</f>
        <v/>
      </c>
      <c r="BH6" s="52" t="str">
        <f>IFERROR(VLOOKUP(BC6,MB!$B$48:$R$82,9,FALSE),"")</f>
        <v/>
      </c>
      <c r="BI6" s="228" t="str">
        <f>IFERROR(VLOOKUP(BI3,MB!$B$48:$R$82,16,FALSE),"")</f>
        <v/>
      </c>
      <c r="BJ6" s="229"/>
      <c r="BK6" s="230"/>
      <c r="BL6" s="231" t="str">
        <f>IFERROR(VLOOKUP(BI3,MB!$B$48:$R$82,17,FALSE),"")</f>
        <v/>
      </c>
      <c r="BM6" s="232"/>
      <c r="BN6" s="124" t="str">
        <f>IFERROR(VLOOKUP(BI3,MB!$B$48:$R$82,8,FALSE),"")</f>
        <v/>
      </c>
      <c r="BO6" s="193"/>
      <c r="BP6" s="194"/>
      <c r="BQ6" s="194"/>
      <c r="BR6" s="194"/>
      <c r="BS6" s="32" t="str">
        <f>IFERROR(IF(VLOOKUP(BO6,MB!$B$48:$R$82,10,FALSE)=0,"",VLOOKUP(BO6,MB!$B$48:$R$82,10,FALSE)),"")</f>
        <v/>
      </c>
      <c r="BT6" s="52" t="str">
        <f>IFERROR(VLOOKUP(BO6,MB!$B$48:$R$82,9,FALSE),"")</f>
        <v/>
      </c>
      <c r="BU6" s="193"/>
      <c r="BV6" s="194"/>
      <c r="BW6" s="194"/>
      <c r="BX6" s="194"/>
      <c r="BY6" s="32" t="str">
        <f>IFERROR(IF(VLOOKUP(BU6,TAT!$B$48:$R$82,10,FALSE)=0,"",VLOOKUP(BU6,TAT!$B$48:$R$82,10,FALSE)),"")</f>
        <v/>
      </c>
      <c r="BZ6" s="52" t="str">
        <f>IFERROR(VLOOKUP(BU6,TAT!$B$48:$R$82,9,FALSE),"")</f>
        <v/>
      </c>
      <c r="CA6" s="228" t="str">
        <f>IFERROR(VLOOKUP(CA3,TAT!$B$48:$R$82,16,FALSE),"")</f>
        <v/>
      </c>
      <c r="CB6" s="229"/>
      <c r="CC6" s="230"/>
      <c r="CD6" s="231" t="str">
        <f>IFERROR(VLOOKUP(CA3,TAT!$B$48:$R$82,17,FALSE),"")</f>
        <v/>
      </c>
      <c r="CE6" s="232"/>
      <c r="CF6" s="124" t="str">
        <f>IFERROR(VLOOKUP(CA3,TAT!$B$48:$R$82,8,FALSE),"")</f>
        <v/>
      </c>
      <c r="CG6" s="193"/>
      <c r="CH6" s="194"/>
      <c r="CI6" s="194"/>
      <c r="CJ6" s="194"/>
      <c r="CK6" s="32" t="str">
        <f>IFERROR(IF(VLOOKUP(CG6,TAT!$B$48:$R$82,10,FALSE)=0,"",VLOOKUP(CG6,TAT!$B$48:$R$82,10,FALSE)),"")</f>
        <v/>
      </c>
      <c r="CL6" s="52" t="str">
        <f>IFERROR(VLOOKUP(CG6,TAT!$B$48:$R$82,9,FALSE),"")</f>
        <v/>
      </c>
      <c r="CM6" s="193" t="s">
        <v>488</v>
      </c>
      <c r="CN6" s="194"/>
      <c r="CO6" s="194"/>
      <c r="CP6" s="194"/>
      <c r="CQ6" s="32" t="str">
        <f>IFERROR(IF(VLOOKUP(CM6,OTR!$B$48:$R$82,10,FALSE)=0,"",VLOOKUP(CM6,OTR!$B$48:$R$82,10,FALSE)),"")</f>
        <v/>
      </c>
      <c r="CR6" s="52">
        <f>IFERROR(VLOOKUP(CM6,OTR!$B$48:$R$82,9,FALSE),"")</f>
        <v>13</v>
      </c>
      <c r="CS6" s="228" t="str">
        <f>IFERROR(VLOOKUP(CS3,OTR!$B$48:$R$82,16,FALSE),"")</f>
        <v>FBC Orel Uherský Brod</v>
      </c>
      <c r="CT6" s="229"/>
      <c r="CU6" s="230"/>
      <c r="CV6" s="231">
        <f>IFERROR(VLOOKUP(CS3,OTR!$B$48:$R$82,17,FALSE),"")</f>
        <v>2005</v>
      </c>
      <c r="CW6" s="232"/>
      <c r="CX6" s="124">
        <f>IFERROR(VLOOKUP(CS3,OTR!$B$48:$R$82,8,FALSE),"")</f>
        <v>4</v>
      </c>
      <c r="CY6" s="193" t="s">
        <v>484</v>
      </c>
      <c r="CZ6" s="194"/>
      <c r="DA6" s="194"/>
      <c r="DB6" s="194"/>
      <c r="DC6" s="32" t="str">
        <f>IFERROR(IF(VLOOKUP(CY6,OTR!$B$48:$R$82,10,FALSE)=0,"",VLOOKUP(CY6,OTR!$B$48:$R$82,10,FALSE)),"")</f>
        <v/>
      </c>
      <c r="DD6" s="52">
        <f>IFERROR(VLOOKUP(CY6,OTR!$B$48:$R$82,9,FALSE),"")</f>
        <v>56</v>
      </c>
      <c r="DE6" s="193"/>
      <c r="DF6" s="194"/>
      <c r="DG6" s="194"/>
      <c r="DH6" s="194"/>
      <c r="DI6" s="32" t="str">
        <f>IFERROR(IF(VLOOKUP(DE6,BOH!$B$48:$R$82,10,FALSE)=0,"",VLOOKUP(DE6,BOH!$B$48:$R$82,10,FALSE)),"")</f>
        <v/>
      </c>
      <c r="DJ6" s="52" t="str">
        <f>IFERROR(VLOOKUP(DE6,BOH!$B$48:$R$82,9,FALSE),"")</f>
        <v/>
      </c>
      <c r="DK6" s="228" t="str">
        <f>IFERROR(VLOOKUP(DK3,BOH!$B$48:$R$82,16,FALSE),"")</f>
        <v/>
      </c>
      <c r="DL6" s="229"/>
      <c r="DM6" s="230"/>
      <c r="DN6" s="231" t="str">
        <f>IFERROR(VLOOKUP(DK3,BOH!$B$48:$R$82,17,FALSE),"")</f>
        <v/>
      </c>
      <c r="DO6" s="232"/>
      <c r="DP6" s="124" t="str">
        <f>IFERROR(VLOOKUP(DK3,BOH!$B$48:$R$82,8,FALSE),"")</f>
        <v/>
      </c>
      <c r="DQ6" s="193"/>
      <c r="DR6" s="194"/>
      <c r="DS6" s="194"/>
      <c r="DT6" s="194"/>
      <c r="DU6" s="32" t="str">
        <f>IFERROR(IF(VLOOKUP(DQ6,BOH!$B$48:$R$82,10,FALSE)=0,"",VLOOKUP(DQ6,BOH!$B$48:$R$82,10,FALSE)),"")</f>
        <v/>
      </c>
      <c r="DV6" s="52" t="str">
        <f>IFERROR(VLOOKUP(DQ6,BOH!$B$48:$R$82,9,FALSE),"")</f>
        <v/>
      </c>
      <c r="DW6" s="193"/>
      <c r="DX6" s="194"/>
      <c r="DY6" s="194"/>
      <c r="DZ6" s="194"/>
      <c r="EA6" s="32" t="str">
        <f>IFERROR(IF(VLOOKUP(DW6,SPA!$B$48:$R$82,10,FALSE)=0,"",VLOOKUP(DW6,SPA!$B$48:$R$82,10,FALSE)),"")</f>
        <v/>
      </c>
      <c r="EB6" s="52" t="str">
        <f>IFERROR(VLOOKUP(DW6,SPA!$B$48:$R$82,9,FALSE),"")</f>
        <v/>
      </c>
      <c r="EC6" s="228" t="str">
        <f>IFERROR(VLOOKUP(EC3,SPA!$B$48:$R$82,16,FALSE),"")</f>
        <v/>
      </c>
      <c r="ED6" s="229"/>
      <c r="EE6" s="230"/>
      <c r="EF6" s="231" t="str">
        <f>IFERROR(VLOOKUP(EC3,SPA!$B$48:$R$82,17,FALSE),"")</f>
        <v/>
      </c>
      <c r="EG6" s="232"/>
      <c r="EH6" s="124" t="str">
        <f>IFERROR(VLOOKUP(EC3,SPA!$B$48:$R$82,8,FALSE),"")</f>
        <v/>
      </c>
      <c r="EI6" s="193"/>
      <c r="EJ6" s="194"/>
      <c r="EK6" s="194"/>
      <c r="EL6" s="194"/>
      <c r="EM6" s="32" t="str">
        <f>IFERROR(IF(VLOOKUP(EI6,SPA!$B$48:$R$82,10,FALSE)=0,"",VLOOKUP(EI6,SPA!$B$48:$R$82,10,FALSE)),"")</f>
        <v/>
      </c>
      <c r="EN6" s="52" t="str">
        <f>IFERROR(VLOOKUP(EI6,SPA!$B$48:$R$82,9,FALSE),"")</f>
        <v/>
      </c>
    </row>
    <row r="7" spans="1:144" ht="15.6" customHeight="1" thickBot="1" x14ac:dyDescent="0.3">
      <c r="A7" s="34" t="str">
        <f>IFERROR(VLOOKUP(A6,SKV!$B$48:$AA$82,11,FALSE),"")</f>
        <v>P</v>
      </c>
      <c r="B7" s="233">
        <f>IFERROR(YEAR(VLOOKUP(A6,SKV!$B$48:$AA$82,2,FALSE)),"")</f>
        <v>1988</v>
      </c>
      <c r="C7" s="189"/>
      <c r="D7" s="35">
        <f ca="1">IFERROR(VLOOKUP(A6,SKV!$B$48:$AA$82,3,FALSE),"")</f>
        <v>32</v>
      </c>
      <c r="E7" s="234" t="str">
        <f>IFERROR(VLOOKUP(A6,SKV!$B$48:$AA$82,15,FALSE),"")</f>
        <v>187/92</v>
      </c>
      <c r="F7" s="235"/>
      <c r="G7" s="33"/>
      <c r="H7" s="33"/>
      <c r="I7" s="33"/>
      <c r="J7" s="33"/>
      <c r="K7" s="33"/>
      <c r="L7" s="33"/>
      <c r="M7" s="34" t="str">
        <f>IFERROR(VLOOKUP(M6,SKV!$B$48:$AA$82,11,FALSE),"")</f>
        <v>L</v>
      </c>
      <c r="N7" s="233">
        <f>IFERROR(YEAR(VLOOKUP(M6,SKV!$B$48:$AA$82,2,FALSE)),"")</f>
        <v>1992</v>
      </c>
      <c r="O7" s="189"/>
      <c r="P7" s="35">
        <f ca="1">IFERROR(VLOOKUP(M6,SKV!$B$48:$AA$82,3,FALSE),"")</f>
        <v>29</v>
      </c>
      <c r="Q7" s="234" t="str">
        <f>IFERROR(VLOOKUP(M6,SKV!$B$48:$AA$82,15,FALSE),"")</f>
        <v>197/92</v>
      </c>
      <c r="R7" s="235"/>
      <c r="S7" s="34" t="str">
        <f>IFERROR(VLOOKUP(S6,CHO!$B$48:$AA$82,11,FALSE),"")</f>
        <v>P</v>
      </c>
      <c r="T7" s="233">
        <f>IFERROR(YEAR(VLOOKUP(S6,CHO!$B$48:$AA$82,2,FALSE)),"")</f>
        <v>1990</v>
      </c>
      <c r="U7" s="189"/>
      <c r="V7" s="35">
        <f ca="1">IFERROR(VLOOKUP(S6,CHO!$B$48:$AA$82,3,FALSE),"")</f>
        <v>30</v>
      </c>
      <c r="W7" s="234" t="str">
        <f>IFERROR(VLOOKUP(S6,CHO!$B$48:$AA$82,15,FALSE),"")</f>
        <v>173/82</v>
      </c>
      <c r="X7" s="235"/>
      <c r="Y7" s="33"/>
      <c r="Z7" s="33"/>
      <c r="AA7" s="33"/>
      <c r="AB7" s="33"/>
      <c r="AC7" s="33"/>
      <c r="AD7" s="33"/>
      <c r="AE7" s="34" t="str">
        <f>IFERROR(VLOOKUP(AE6,CHO!$B$48:$AA$82,11,FALSE),"")</f>
        <v>P</v>
      </c>
      <c r="AF7" s="233">
        <f>IFERROR(YEAR(VLOOKUP(AE6,CHO!$B$48:$AA$82,2,FALSE)),"")</f>
        <v>1988</v>
      </c>
      <c r="AG7" s="189"/>
      <c r="AH7" s="35">
        <f ca="1">IFERROR(VLOOKUP(AE6,CHO!$B$48:$AA$82,3,FALSE),"")</f>
        <v>32</v>
      </c>
      <c r="AI7" s="234" t="str">
        <f>IFERROR(VLOOKUP(AE6,CHO!$B$48:$AA$82,15,FALSE),"")</f>
        <v>180/74</v>
      </c>
      <c r="AJ7" s="235"/>
      <c r="AK7" s="34" t="str">
        <f>IFERROR(VLOOKUP(AK6,VIT!$B$48:$R$82,11,FALSE),"")</f>
        <v/>
      </c>
      <c r="AL7" s="233" t="str">
        <f>IFERROR(YEAR(VLOOKUP(AK6,VIT!$B$48:$R$82,2,FALSE)),"")</f>
        <v/>
      </c>
      <c r="AM7" s="189"/>
      <c r="AN7" s="106" t="str">
        <f>IFERROR(VLOOKUP(AK6,VIT!$B$48:$R$82,3,FALSE),"")</f>
        <v/>
      </c>
      <c r="AO7" s="234" t="str">
        <f>IFERROR(VLOOKUP(AK6,VIT!$B$48:$R$82,15,FALSE),"")</f>
        <v/>
      </c>
      <c r="AP7" s="235"/>
      <c r="AQ7" s="33"/>
      <c r="AR7" s="33"/>
      <c r="AS7" s="33"/>
      <c r="AT7" s="33"/>
      <c r="AU7" s="33"/>
      <c r="AV7" s="33"/>
      <c r="AW7" s="34" t="str">
        <f>IFERROR(VLOOKUP(AW6,VIT!$B$48:$R$82,11,FALSE),"")</f>
        <v/>
      </c>
      <c r="AX7" s="233" t="str">
        <f>IFERROR(YEAR(VLOOKUP(AW6,VIT!$B$48:$R$82,2,FALSE)),"")</f>
        <v/>
      </c>
      <c r="AY7" s="189"/>
      <c r="AZ7" s="106" t="str">
        <f>IFERROR(VLOOKUP(AW6,VIT!$B$48:$R$82,3,FALSE),"")</f>
        <v/>
      </c>
      <c r="BA7" s="234" t="str">
        <f>IFERROR(VLOOKUP(AW6,VIT!$B$48:$R$82,15,FALSE),"")</f>
        <v/>
      </c>
      <c r="BB7" s="235"/>
      <c r="BC7" s="34" t="str">
        <f>IFERROR(VLOOKUP(BC6,MB!$B$48:$R$82,11,FALSE),"")</f>
        <v/>
      </c>
      <c r="BD7" s="233" t="str">
        <f>IFERROR(YEAR(VLOOKUP(BC6,MB!$B$48:$R$82,2,FALSE)),"")</f>
        <v/>
      </c>
      <c r="BE7" s="189"/>
      <c r="BF7" s="108" t="str">
        <f>IFERROR(VLOOKUP(BC6,MB!$B$48:$R$82,3,FALSE),"")</f>
        <v/>
      </c>
      <c r="BG7" s="234" t="str">
        <f>IFERROR(VLOOKUP(BC6,MB!$B$48:$R$82,15,FALSE),"")</f>
        <v/>
      </c>
      <c r="BH7" s="235"/>
      <c r="BI7" s="33"/>
      <c r="BJ7" s="33"/>
      <c r="BK7" s="33"/>
      <c r="BL7" s="33"/>
      <c r="BM7" s="33"/>
      <c r="BN7" s="33"/>
      <c r="BO7" s="34" t="str">
        <f>IFERROR(VLOOKUP(BO6,MB!$B$48:$R$82,11,FALSE),"")</f>
        <v/>
      </c>
      <c r="BP7" s="233" t="str">
        <f>IFERROR(YEAR(VLOOKUP(BO6,MB!$B$48:$R$82,2,FALSE)),"")</f>
        <v/>
      </c>
      <c r="BQ7" s="189"/>
      <c r="BR7" s="108" t="str">
        <f>IFERROR(VLOOKUP(BO6,MB!$B$48:$R$82,3,FALSE),"")</f>
        <v/>
      </c>
      <c r="BS7" s="234" t="str">
        <f>IFERROR(VLOOKUP(BO6,MB!$B$48:$R$82,15,FALSE),"")</f>
        <v/>
      </c>
      <c r="BT7" s="235"/>
      <c r="BU7" s="34" t="str">
        <f>IFERROR(VLOOKUP(BU6,TAT!$B$48:$R$82,11,FALSE),"")</f>
        <v/>
      </c>
      <c r="BV7" s="233" t="str">
        <f>IFERROR(YEAR(VLOOKUP(BU6,TAT!$B$48:$R$82,2,FALSE)),"")</f>
        <v/>
      </c>
      <c r="BW7" s="189"/>
      <c r="BX7" s="151" t="str">
        <f>IFERROR(VLOOKUP(BU6,TAT!$B$48:$R$82,3,FALSE),"")</f>
        <v/>
      </c>
      <c r="BY7" s="234" t="str">
        <f>IFERROR(VLOOKUP(BU6,TAT!$B$48:$R$82,15,FALSE),"")</f>
        <v/>
      </c>
      <c r="BZ7" s="235"/>
      <c r="CA7" s="33"/>
      <c r="CB7" s="33"/>
      <c r="CC7" s="33"/>
      <c r="CD7" s="33"/>
      <c r="CE7" s="33"/>
      <c r="CF7" s="33"/>
      <c r="CG7" s="34" t="str">
        <f>IFERROR(VLOOKUP(CG6,TAT!$B$48:$R$82,11,FALSE),"")</f>
        <v/>
      </c>
      <c r="CH7" s="233" t="str">
        <f>IFERROR(YEAR(VLOOKUP(CG6,TAT!$B$48:$R$82,2,FALSE)),"")</f>
        <v/>
      </c>
      <c r="CI7" s="189"/>
      <c r="CJ7" s="151" t="str">
        <f>IFERROR(VLOOKUP(CG6,TAT!$B$48:$R$82,3,FALSE),"")</f>
        <v/>
      </c>
      <c r="CK7" s="234" t="str">
        <f>IFERROR(VLOOKUP(CG6,TAT!$B$48:$R$82,15,FALSE),"")</f>
        <v/>
      </c>
      <c r="CL7" s="235"/>
      <c r="CM7" s="34" t="str">
        <f>IFERROR(VLOOKUP(CM6,OTR!$B$48:$R$82,11,FALSE),"")</f>
        <v>L</v>
      </c>
      <c r="CN7" s="233">
        <f>IFERROR(YEAR(VLOOKUP(CM6,OTR!$B$48:$R$82,2,FALSE)),"")</f>
        <v>1997</v>
      </c>
      <c r="CO7" s="189"/>
      <c r="CP7" s="151">
        <f ca="1">IFERROR(VLOOKUP(CM6,OTR!$B$48:$R$82,3,FALSE),"")</f>
        <v>23</v>
      </c>
      <c r="CQ7" s="234" t="str">
        <f>IFERROR(VLOOKUP(CM6,OTR!$B$48:$R$82,15,FALSE),"")</f>
        <v>182/74</v>
      </c>
      <c r="CR7" s="235"/>
      <c r="CS7" s="33"/>
      <c r="CT7" s="33"/>
      <c r="CU7" s="33"/>
      <c r="CV7" s="33"/>
      <c r="CW7" s="33"/>
      <c r="CX7" s="33"/>
      <c r="CY7" s="34" t="str">
        <f>IFERROR(VLOOKUP(CY6,OTR!$B$48:$R$82,11,FALSE),"")</f>
        <v>L</v>
      </c>
      <c r="CZ7" s="233">
        <f>IFERROR(YEAR(VLOOKUP(CY6,OTR!$B$48:$R$82,2,FALSE)),"")</f>
        <v>1989</v>
      </c>
      <c r="DA7" s="189"/>
      <c r="DB7" s="151">
        <f ca="1">IFERROR(VLOOKUP(CY6,OTR!$B$48:$R$82,3,FALSE),"")</f>
        <v>32</v>
      </c>
      <c r="DC7" s="234" t="str">
        <f>IFERROR(VLOOKUP(CY6,OTR!$B$48:$R$82,15,FALSE),"")</f>
        <v>182/79</v>
      </c>
      <c r="DD7" s="235"/>
      <c r="DE7" s="34" t="str">
        <f>IFERROR(VLOOKUP(DE6,BOH!$B$48:$R$82,11,FALSE),"")</f>
        <v/>
      </c>
      <c r="DF7" s="233" t="str">
        <f>IFERROR(YEAR(VLOOKUP(DE6,BOH!$B$48:$R$82,2,FALSE)),"")</f>
        <v/>
      </c>
      <c r="DG7" s="189"/>
      <c r="DH7" s="166" t="str">
        <f>IFERROR(VLOOKUP(DE6,BOH!$B$48:$R$82,3,FALSE),"")</f>
        <v/>
      </c>
      <c r="DI7" s="234" t="str">
        <f>IFERROR(VLOOKUP(DE6,BOH!$B$48:$R$82,15,FALSE),"")</f>
        <v/>
      </c>
      <c r="DJ7" s="235"/>
      <c r="DK7" s="33"/>
      <c r="DL7" s="33"/>
      <c r="DM7" s="33"/>
      <c r="DN7" s="33"/>
      <c r="DO7" s="33"/>
      <c r="DP7" s="33"/>
      <c r="DQ7" s="34" t="str">
        <f>IFERROR(VLOOKUP(DQ6,BOH!$B$48:$R$82,11,FALSE),"")</f>
        <v/>
      </c>
      <c r="DR7" s="233" t="str">
        <f>IFERROR(YEAR(VLOOKUP(DQ6,BOH!$B$48:$R$82,2,FALSE)),"")</f>
        <v/>
      </c>
      <c r="DS7" s="189"/>
      <c r="DT7" s="166" t="str">
        <f>IFERROR(VLOOKUP(DQ6,BOH!$B$48:$R$82,3,FALSE),"")</f>
        <v/>
      </c>
      <c r="DU7" s="234" t="str">
        <f>IFERROR(VLOOKUP(DQ6,BOH!$B$48:$R$82,15,FALSE),"")</f>
        <v/>
      </c>
      <c r="DV7" s="235"/>
      <c r="DW7" s="34" t="str">
        <f>IFERROR(VLOOKUP(DW6,SPA!$B$48:$R$82,11,FALSE),"")</f>
        <v/>
      </c>
      <c r="DX7" s="233" t="str">
        <f>IFERROR(YEAR(VLOOKUP(DW6,SPA!$B$48:$R$82,2,FALSE)),"")</f>
        <v/>
      </c>
      <c r="DY7" s="189"/>
      <c r="DZ7" s="166" t="str">
        <f>IFERROR(VLOOKUP(DW6,SPA!$B$48:$R$82,3,FALSE),"")</f>
        <v/>
      </c>
      <c r="EA7" s="234" t="str">
        <f>IFERROR(VLOOKUP(DW6,SPA!$B$48:$R$82,15,FALSE),"")</f>
        <v/>
      </c>
      <c r="EB7" s="235"/>
      <c r="EC7" s="33"/>
      <c r="ED7" s="33"/>
      <c r="EE7" s="33"/>
      <c r="EF7" s="33"/>
      <c r="EG7" s="33"/>
      <c r="EH7" s="33"/>
      <c r="EI7" s="34" t="str">
        <f>IFERROR(VLOOKUP(EI6,SPA!$B$48:$R$82,11,FALSE),"")</f>
        <v/>
      </c>
      <c r="EJ7" s="233" t="str">
        <f>IFERROR(YEAR(VLOOKUP(EI6,SPA!$B$48:$R$82,2,FALSE)),"")</f>
        <v/>
      </c>
      <c r="EK7" s="189"/>
      <c r="EL7" s="166" t="str">
        <f>IFERROR(VLOOKUP(EI6,SPA!$B$48:$R$82,3,FALSE),"")</f>
        <v/>
      </c>
      <c r="EM7" s="234" t="str">
        <f>IFERROR(VLOOKUP(EI6,SPA!$B$48:$R$82,15,FALSE),"")</f>
        <v/>
      </c>
      <c r="EN7" s="235"/>
    </row>
    <row r="8" spans="1:144" ht="15.6" customHeight="1" x14ac:dyDescent="0.25">
      <c r="A8" s="237" t="str">
        <f>IFERROR(VLOOKUP(A6,SKV!$B$2:$O$36,14,FALSE),"")</f>
        <v>17 OZ , 4 (3+1), -13 ±</v>
      </c>
      <c r="B8" s="238"/>
      <c r="C8" s="238"/>
      <c r="D8" s="226" t="str">
        <f>IFERROR(VLOOKUP(A6,SKV!$B$48:$AA$82,14,FALSE),"")</f>
        <v>88 OZ, 16 (9+7)</v>
      </c>
      <c r="E8" s="226"/>
      <c r="F8" s="227"/>
      <c r="G8" s="33"/>
      <c r="H8" s="236" t="s">
        <v>29</v>
      </c>
      <c r="I8" s="236"/>
      <c r="J8" s="236"/>
      <c r="K8" s="236"/>
      <c r="L8" s="33"/>
      <c r="M8" s="237" t="str">
        <f>IFERROR(VLOOKUP(M6,SKV!$B$2:$O$36,14,FALSE),"")</f>
        <v>16 OZ , 6 (4+2), -10 ±</v>
      </c>
      <c r="N8" s="238"/>
      <c r="O8" s="238"/>
      <c r="P8" s="226" t="str">
        <f>IFERROR(VLOOKUP(M6,SKV!$B$48:$AA$82,14,FALSE),"")</f>
        <v>95 OZ, 25 (8+17)</v>
      </c>
      <c r="Q8" s="226"/>
      <c r="R8" s="227"/>
      <c r="S8" s="237" t="str">
        <f>IFERROR(VLOOKUP(S6,CHO!$B$2:$O$36,14,FALSE),"")</f>
        <v>16 OZ , 11 (4+7), +7 ±</v>
      </c>
      <c r="T8" s="238"/>
      <c r="U8" s="238"/>
      <c r="V8" s="226" t="str">
        <f>IFERROR(VLOOKUP(S6,CHO!$B$48:$AA$82,14,FALSE),"")</f>
        <v>214 OZ, 150 (44+106)</v>
      </c>
      <c r="W8" s="226"/>
      <c r="X8" s="227"/>
      <c r="Y8" s="33"/>
      <c r="Z8" s="236" t="s">
        <v>146</v>
      </c>
      <c r="AA8" s="236"/>
      <c r="AB8" s="236"/>
      <c r="AC8" s="236"/>
      <c r="AD8" s="33"/>
      <c r="AE8" s="237" t="str">
        <f>IFERROR(VLOOKUP(AE6,CHO!$B$2:$O$36,14,FALSE),"")</f>
        <v>15 OZ , 12 (2+10), +20 ±</v>
      </c>
      <c r="AF8" s="238"/>
      <c r="AG8" s="238"/>
      <c r="AH8" s="226" t="str">
        <f>IFERROR(VLOOKUP(AE6,CHO!$B$48:$AA$82,14,FALSE),"")</f>
        <v>219 OZ, 204 (56+148)</v>
      </c>
      <c r="AI8" s="226"/>
      <c r="AJ8" s="227"/>
      <c r="AK8" s="237" t="str">
        <f>IFERROR(VLOOKUP(AK6,VIT!$B$2:$O$36,14,FALSE),"")</f>
        <v/>
      </c>
      <c r="AL8" s="238"/>
      <c r="AM8" s="238"/>
      <c r="AN8" s="226" t="str">
        <f>IFERROR(VLOOKUP(AK6,VIT!$B$48:$R$82,14,FALSE),"")</f>
        <v/>
      </c>
      <c r="AO8" s="226"/>
      <c r="AP8" s="227"/>
      <c r="AQ8" s="33"/>
      <c r="AR8" s="236" t="s">
        <v>142</v>
      </c>
      <c r="AS8" s="236"/>
      <c r="AT8" s="236"/>
      <c r="AU8" s="236"/>
      <c r="AV8" s="33"/>
      <c r="AW8" s="237" t="str">
        <f>IFERROR(VLOOKUP(AW6,VIT!$B$2:$O$36,14,FALSE),"")</f>
        <v/>
      </c>
      <c r="AX8" s="238"/>
      <c r="AY8" s="238"/>
      <c r="AZ8" s="226" t="str">
        <f>IFERROR(VLOOKUP(AW6,VIT!$B$48:$R$82,14,FALSE),"")</f>
        <v/>
      </c>
      <c r="BA8" s="226"/>
      <c r="BB8" s="227"/>
      <c r="BC8" s="237" t="str">
        <f>IFERROR(VLOOKUP(BC6,MB!$B$2:$O$36,14,FALSE),"")</f>
        <v/>
      </c>
      <c r="BD8" s="238"/>
      <c r="BE8" s="238"/>
      <c r="BF8" s="226" t="str">
        <f>IFERROR(VLOOKUP(BC6,MB!$B$48:$R$82,14,FALSE),"")</f>
        <v/>
      </c>
      <c r="BG8" s="226"/>
      <c r="BH8" s="227"/>
      <c r="BI8" s="33"/>
      <c r="BJ8" s="236" t="s">
        <v>151</v>
      </c>
      <c r="BK8" s="236"/>
      <c r="BL8" s="236"/>
      <c r="BM8" s="236"/>
      <c r="BN8" s="33"/>
      <c r="BO8" s="237" t="str">
        <f>IFERROR(VLOOKUP(BO6,MB!$B$2:$O$36,14,FALSE),"")</f>
        <v/>
      </c>
      <c r="BP8" s="238"/>
      <c r="BQ8" s="238"/>
      <c r="BR8" s="226" t="str">
        <f>IFERROR(VLOOKUP(BO6,MB!$B$48:$R$82,14,FALSE),"")</f>
        <v/>
      </c>
      <c r="BS8" s="226"/>
      <c r="BT8" s="227"/>
      <c r="BU8" s="237" t="str">
        <f>IFERROR(VLOOKUP(BU6,TAT!$B$2:$O$36,14,FALSE),"")</f>
        <v/>
      </c>
      <c r="BV8" s="238"/>
      <c r="BW8" s="238"/>
      <c r="BX8" s="226" t="str">
        <f>IFERROR(VLOOKUP(BU6,TAT!$B$48:$R$82,14,FALSE),"")</f>
        <v/>
      </c>
      <c r="BY8" s="226"/>
      <c r="BZ8" s="227"/>
      <c r="CA8" s="33"/>
      <c r="CB8" s="236" t="s">
        <v>143</v>
      </c>
      <c r="CC8" s="236"/>
      <c r="CD8" s="236"/>
      <c r="CE8" s="236"/>
      <c r="CF8" s="33"/>
      <c r="CG8" s="237" t="str">
        <f>IFERROR(VLOOKUP(CG6,TAT!$B$2:$O$36,14,FALSE),"")</f>
        <v/>
      </c>
      <c r="CH8" s="238"/>
      <c r="CI8" s="238"/>
      <c r="CJ8" s="226" t="str">
        <f>IFERROR(VLOOKUP(CG6,TAT!$B$48:$R$82,14,FALSE),"")</f>
        <v/>
      </c>
      <c r="CK8" s="226"/>
      <c r="CL8" s="227"/>
      <c r="CM8" s="237" t="str">
        <f>IFERROR(VLOOKUP(CM6,OTR!$B$2:$O$36,14,FALSE),"")</f>
        <v>14 OZ , 5 (2+3), -5 ±</v>
      </c>
      <c r="CN8" s="238"/>
      <c r="CO8" s="238"/>
      <c r="CP8" s="226" t="str">
        <f>IFERROR(VLOOKUP(CM6,OTR!$B$48:$R$82,14,FALSE),"")</f>
        <v>38 OZ, 11 (2+9)</v>
      </c>
      <c r="CQ8" s="226"/>
      <c r="CR8" s="227"/>
      <c r="CS8" s="33"/>
      <c r="CT8" s="236" t="s">
        <v>154</v>
      </c>
      <c r="CU8" s="236"/>
      <c r="CV8" s="236"/>
      <c r="CW8" s="236"/>
      <c r="CX8" s="33"/>
      <c r="CY8" s="237" t="str">
        <f>IFERROR(VLOOKUP(CY6,OTR!$B$2:$O$36,14,FALSE),"")</f>
        <v>12 OZ , 6 (4+2), -13 ±</v>
      </c>
      <c r="CZ8" s="238"/>
      <c r="DA8" s="238"/>
      <c r="DB8" s="226" t="str">
        <f>IFERROR(VLOOKUP(CY6,OTR!$B$48:$R$82,14,FALSE),"")</f>
        <v>217 OZ, 111 (45+66)</v>
      </c>
      <c r="DC8" s="226"/>
      <c r="DD8" s="227"/>
      <c r="DE8" s="237" t="str">
        <f>IFERROR(VLOOKUP(DE6,BOH!$B$2:$O$36,14,FALSE),"")</f>
        <v/>
      </c>
      <c r="DF8" s="238"/>
      <c r="DG8" s="238"/>
      <c r="DH8" s="226" t="str">
        <f>IFERROR(VLOOKUP(DE6,BOH!$B$48:$R$82,14,FALSE),"")</f>
        <v/>
      </c>
      <c r="DI8" s="226"/>
      <c r="DJ8" s="227"/>
      <c r="DK8" s="33"/>
      <c r="DL8" s="236" t="s">
        <v>144</v>
      </c>
      <c r="DM8" s="236"/>
      <c r="DN8" s="236"/>
      <c r="DO8" s="236"/>
      <c r="DP8" s="33"/>
      <c r="DQ8" s="237" t="str">
        <f>IFERROR(VLOOKUP(DQ6,BOH!$B$2:$O$36,14,FALSE),"")</f>
        <v/>
      </c>
      <c r="DR8" s="238"/>
      <c r="DS8" s="238"/>
      <c r="DT8" s="226" t="str">
        <f>IFERROR(VLOOKUP(DQ6,BOH!$B$48:$R$82,14,FALSE),"")</f>
        <v/>
      </c>
      <c r="DU8" s="226"/>
      <c r="DV8" s="227"/>
      <c r="DW8" s="237" t="str">
        <f>IFERROR(VLOOKUP(DW6,SPA!$B$2:$O$36,14,FALSE),"")</f>
        <v/>
      </c>
      <c r="DX8" s="238"/>
      <c r="DY8" s="238"/>
      <c r="DZ8" s="226" t="str">
        <f>IFERROR(VLOOKUP(DW6,SPA!$B$48:$R$82,14,FALSE),"")</f>
        <v/>
      </c>
      <c r="EA8" s="226"/>
      <c r="EB8" s="227"/>
      <c r="EC8" s="33"/>
      <c r="ED8" s="236" t="s">
        <v>149</v>
      </c>
      <c r="EE8" s="236"/>
      <c r="EF8" s="236"/>
      <c r="EG8" s="236"/>
      <c r="EH8" s="33"/>
      <c r="EI8" s="237" t="str">
        <f>IFERROR(VLOOKUP(EI6,SPA!$B$2:$O$36,14,FALSE),"")</f>
        <v/>
      </c>
      <c r="EJ8" s="238"/>
      <c r="EK8" s="238"/>
      <c r="EL8" s="226" t="str">
        <f>IFERROR(VLOOKUP(EI6,SPA!$B$48:$R$82,14,FALSE),"")</f>
        <v/>
      </c>
      <c r="EM8" s="226"/>
      <c r="EN8" s="227"/>
    </row>
    <row r="9" spans="1:144" ht="15.6" customHeight="1" thickBot="1" x14ac:dyDescent="0.3">
      <c r="A9" s="228" t="str">
        <f>IFERROR(VLOOKUP(A6,SKV!$B$48:$AA$82,16,FALSE),"")</f>
        <v>SC Sportcentrum</v>
      </c>
      <c r="B9" s="229"/>
      <c r="C9" s="230"/>
      <c r="D9" s="231">
        <f>IFERROR(VLOOKUP(A6,SKV!$B$48:$AA$82,17,FALSE),"")</f>
        <v>2000</v>
      </c>
      <c r="E9" s="232"/>
      <c r="F9" s="124">
        <f>IFERROR(VLOOKUP(A6,SKV!$B$48:$AA$82,8,FALSE),"")</f>
        <v>6</v>
      </c>
      <c r="G9" s="33"/>
      <c r="H9" s="236"/>
      <c r="I9" s="236"/>
      <c r="J9" s="236"/>
      <c r="K9" s="236"/>
      <c r="L9" s="33"/>
      <c r="M9" s="228" t="str">
        <f>IFERROR(VLOOKUP(M6,SKV!$B$48:$AA$82,16,FALSE),"")</f>
        <v>Česká Lípa</v>
      </c>
      <c r="N9" s="229"/>
      <c r="O9" s="230"/>
      <c r="P9" s="231">
        <f>IFERROR(VLOOKUP(M6,SKV!$B$48:$AA$82,17,FALSE),"")</f>
        <v>2007</v>
      </c>
      <c r="Q9" s="232"/>
      <c r="R9" s="124">
        <f>IFERROR(VLOOKUP(M6,SKV!$B$48:$AA$82,8,FALSE),"")</f>
        <v>5</v>
      </c>
      <c r="S9" s="228" t="str">
        <f>IFERROR(VLOOKUP(S6,CHO!$B$48:$AA$82,16,FALSE),"")</f>
        <v>Faraos Praha</v>
      </c>
      <c r="T9" s="229"/>
      <c r="U9" s="230"/>
      <c r="V9" s="231">
        <f>IFERROR(VLOOKUP(S6,CHO!$B$48:$AA$82,17,FALSE),"")</f>
        <v>1998</v>
      </c>
      <c r="W9" s="232"/>
      <c r="X9" s="124">
        <f>IFERROR(VLOOKUP(S6,CHO!$B$48:$AA$82,8,FALSE),"")</f>
        <v>11</v>
      </c>
      <c r="Y9" s="33"/>
      <c r="Z9" s="236"/>
      <c r="AA9" s="236"/>
      <c r="AB9" s="236"/>
      <c r="AC9" s="236"/>
      <c r="AD9" s="33"/>
      <c r="AE9" s="228" t="str">
        <f>IFERROR(VLOOKUP(AE6,CHO!$B$48:$AA$82,16,FALSE),"")</f>
        <v>SK Juvenis Přibyslav</v>
      </c>
      <c r="AF9" s="229"/>
      <c r="AG9" s="230"/>
      <c r="AH9" s="231">
        <f>IFERROR(VLOOKUP(AE6,CHO!$B$48:$AA$82,17,FALSE),"")</f>
        <v>2004</v>
      </c>
      <c r="AI9" s="232"/>
      <c r="AJ9" s="124">
        <f>IFERROR(VLOOKUP(AE6,CHO!$B$48:$AA$82,8,FALSE),"")</f>
        <v>11</v>
      </c>
      <c r="AK9" s="228" t="str">
        <f>IFERROR(VLOOKUP(AK6,VIT!$B$48:$R$82,16,FALSE),"")</f>
        <v/>
      </c>
      <c r="AL9" s="229"/>
      <c r="AM9" s="230"/>
      <c r="AN9" s="231" t="str">
        <f>IFERROR(VLOOKUP(AK6,VIT!$B$48:$R$82,17,FALSE),"")</f>
        <v/>
      </c>
      <c r="AO9" s="232"/>
      <c r="AP9" s="124" t="str">
        <f>IFERROR(VLOOKUP(AK6,VIT!$B$48:$R$82,8,FALSE),"")</f>
        <v/>
      </c>
      <c r="AQ9" s="33"/>
      <c r="AR9" s="236"/>
      <c r="AS9" s="236"/>
      <c r="AT9" s="236"/>
      <c r="AU9" s="236"/>
      <c r="AV9" s="33"/>
      <c r="AW9" s="228" t="str">
        <f>IFERROR(VLOOKUP(AW6,VIT!$B$48:$R$82,16,FALSE),"")</f>
        <v/>
      </c>
      <c r="AX9" s="229"/>
      <c r="AY9" s="230"/>
      <c r="AZ9" s="231" t="str">
        <f>IFERROR(VLOOKUP(AW6,VIT!$B$48:$R$82,17,FALSE),"")</f>
        <v/>
      </c>
      <c r="BA9" s="232"/>
      <c r="BB9" s="124" t="str">
        <f>IFERROR(VLOOKUP(AW6,VIT!$B$48:$R$82,8,FALSE),"")</f>
        <v/>
      </c>
      <c r="BC9" s="228" t="str">
        <f>IFERROR(VLOOKUP(BC6,MB!$B$48:$R$82,16,FALSE),"")</f>
        <v/>
      </c>
      <c r="BD9" s="229"/>
      <c r="BE9" s="230"/>
      <c r="BF9" s="231" t="str">
        <f>IFERROR(VLOOKUP(BC6,MB!$B$48:$R$82,17,FALSE),"")</f>
        <v/>
      </c>
      <c r="BG9" s="232"/>
      <c r="BH9" s="124" t="str">
        <f>IFERROR(VLOOKUP(BC6,MB!$B$48:$R$82,8,FALSE),"")</f>
        <v/>
      </c>
      <c r="BI9" s="33"/>
      <c r="BJ9" s="236"/>
      <c r="BK9" s="236"/>
      <c r="BL9" s="236"/>
      <c r="BM9" s="236"/>
      <c r="BN9" s="33"/>
      <c r="BO9" s="228" t="str">
        <f>IFERROR(VLOOKUP(BO6,MB!$B$48:$R$82,16,FALSE),"")</f>
        <v/>
      </c>
      <c r="BP9" s="229"/>
      <c r="BQ9" s="230"/>
      <c r="BR9" s="231" t="str">
        <f>IFERROR(VLOOKUP(BO6,MB!$B$48:$R$82,17,FALSE),"")</f>
        <v/>
      </c>
      <c r="BS9" s="232"/>
      <c r="BT9" s="124" t="str">
        <f>IFERROR(VLOOKUP(BO6,MB!$B$48:$R$82,8,FALSE),"")</f>
        <v/>
      </c>
      <c r="BU9" s="228" t="str">
        <f>IFERROR(VLOOKUP(BU6,TAT!$B$48:$R$82,16,FALSE),"")</f>
        <v/>
      </c>
      <c r="BV9" s="229"/>
      <c r="BW9" s="230"/>
      <c r="BX9" s="231" t="str">
        <f>IFERROR(VLOOKUP(BU6,TAT!$B$48:$R$82,17,FALSE),"")</f>
        <v/>
      </c>
      <c r="BY9" s="232"/>
      <c r="BZ9" s="124" t="str">
        <f>IFERROR(VLOOKUP(BU6,TAT!$B$48:$R$82,8,FALSE),"")</f>
        <v/>
      </c>
      <c r="CA9" s="33"/>
      <c r="CB9" s="236"/>
      <c r="CC9" s="236"/>
      <c r="CD9" s="236"/>
      <c r="CE9" s="236"/>
      <c r="CF9" s="33"/>
      <c r="CG9" s="228" t="str">
        <f>IFERROR(VLOOKUP(CG6,TAT!$B$48:$R$82,16,FALSE),"")</f>
        <v/>
      </c>
      <c r="CH9" s="229"/>
      <c r="CI9" s="230"/>
      <c r="CJ9" s="231" t="str">
        <f>IFERROR(VLOOKUP(CG6,TAT!$B$48:$R$82,17,FALSE),"")</f>
        <v/>
      </c>
      <c r="CK9" s="232"/>
      <c r="CL9" s="124" t="str">
        <f>IFERROR(VLOOKUP(CG6,TAT!$B$48:$R$82,8,FALSE),"")</f>
        <v/>
      </c>
      <c r="CM9" s="228" t="str">
        <f>IFERROR(VLOOKUP(CM6,OTR!$B$48:$R$82,16,FALSE),"")</f>
        <v>Gullivers</v>
      </c>
      <c r="CN9" s="229"/>
      <c r="CO9" s="230"/>
      <c r="CP9" s="231">
        <f>IFERROR(VLOOKUP(CM6,OTR!$B$48:$R$82,17,FALSE),"")</f>
        <v>2008</v>
      </c>
      <c r="CQ9" s="232"/>
      <c r="CR9" s="124">
        <f>IFERROR(VLOOKUP(CM6,OTR!$B$48:$R$82,8,FALSE),"")</f>
        <v>4</v>
      </c>
      <c r="CS9" s="33"/>
      <c r="CT9" s="236"/>
      <c r="CU9" s="236"/>
      <c r="CV9" s="236"/>
      <c r="CW9" s="236"/>
      <c r="CX9" s="33"/>
      <c r="CY9" s="228" t="str">
        <f>IFERROR(VLOOKUP(CY6,OTR!$B$48:$R$82,16,FALSE),"")</f>
        <v>Panthers Otrokovice</v>
      </c>
      <c r="CZ9" s="229"/>
      <c r="DA9" s="230"/>
      <c r="DB9" s="231">
        <f>IFERROR(VLOOKUP(CY6,OTR!$B$48:$R$82,17,FALSE),"")</f>
        <v>1998</v>
      </c>
      <c r="DC9" s="232"/>
      <c r="DD9" s="124">
        <f>IFERROR(VLOOKUP(CY6,OTR!$B$48:$R$82,8,FALSE),"")</f>
        <v>11</v>
      </c>
      <c r="DE9" s="228" t="str">
        <f>IFERROR(VLOOKUP(DE6,BOH!$B$48:$R$82,16,FALSE),"")</f>
        <v/>
      </c>
      <c r="DF9" s="229"/>
      <c r="DG9" s="230"/>
      <c r="DH9" s="231" t="str">
        <f>IFERROR(VLOOKUP(DE6,BOH!$B$48:$R$82,17,FALSE),"")</f>
        <v/>
      </c>
      <c r="DI9" s="232"/>
      <c r="DJ9" s="124" t="str">
        <f>IFERROR(VLOOKUP(DE6,BOH!$B$48:$R$82,8,FALSE),"")</f>
        <v/>
      </c>
      <c r="DK9" s="33"/>
      <c r="DL9" s="236"/>
      <c r="DM9" s="236"/>
      <c r="DN9" s="236"/>
      <c r="DO9" s="236"/>
      <c r="DP9" s="33"/>
      <c r="DQ9" s="228" t="str">
        <f>IFERROR(VLOOKUP(DQ6,BOH!$B$48:$R$82,16,FALSE),"")</f>
        <v/>
      </c>
      <c r="DR9" s="229"/>
      <c r="DS9" s="230"/>
      <c r="DT9" s="231" t="str">
        <f>IFERROR(VLOOKUP(DQ6,BOH!$B$48:$R$82,17,FALSE),"")</f>
        <v/>
      </c>
      <c r="DU9" s="232"/>
      <c r="DV9" s="124" t="str">
        <f>IFERROR(VLOOKUP(DQ6,BOH!$B$48:$R$82,8,FALSE),"")</f>
        <v/>
      </c>
      <c r="DW9" s="228" t="str">
        <f>IFERROR(VLOOKUP(DW6,SPA!$B$48:$R$82,16,FALSE),"")</f>
        <v/>
      </c>
      <c r="DX9" s="229"/>
      <c r="DY9" s="230"/>
      <c r="DZ9" s="231" t="str">
        <f>IFERROR(VLOOKUP(DW6,SPA!$B$48:$R$82,17,FALSE),"")</f>
        <v/>
      </c>
      <c r="EA9" s="232"/>
      <c r="EB9" s="124" t="str">
        <f>IFERROR(VLOOKUP(DW6,SPA!$B$48:$R$82,8,FALSE),"")</f>
        <v/>
      </c>
      <c r="EC9" s="33"/>
      <c r="ED9" s="236"/>
      <c r="EE9" s="236"/>
      <c r="EF9" s="236"/>
      <c r="EG9" s="236"/>
      <c r="EH9" s="33"/>
      <c r="EI9" s="228" t="str">
        <f>IFERROR(VLOOKUP(EI6,SPA!$B$48:$R$82,16,FALSE),"")</f>
        <v/>
      </c>
      <c r="EJ9" s="229"/>
      <c r="EK9" s="230"/>
      <c r="EL9" s="231" t="str">
        <f>IFERROR(VLOOKUP(EI6,SPA!$B$48:$R$82,17,FALSE),"")</f>
        <v/>
      </c>
      <c r="EM9" s="232"/>
      <c r="EN9" s="124" t="str">
        <f>IFERROR(VLOOKUP(EI6,SPA!$B$48:$R$82,8,FALSE),"")</f>
        <v/>
      </c>
    </row>
    <row r="10" spans="1:144"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row>
    <row r="11" spans="1:144"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row>
    <row r="12" spans="1:144" ht="15.6" customHeight="1" thickTop="1" thickBot="1" x14ac:dyDescent="0.3">
      <c r="A12" s="193" t="s">
        <v>3</v>
      </c>
      <c r="B12" s="194"/>
      <c r="C12" s="194"/>
      <c r="D12" s="194"/>
      <c r="E12" s="32" t="str">
        <f>IFERROR(IF(VLOOKUP(A12,SKV!$B$48:$AA$82,10,FALSE)=0,"",VLOOKUP(A12,SKV!$B$48:$AA$82,10,FALSE)),"")</f>
        <v/>
      </c>
      <c r="F12" s="52">
        <f>IFERROR(VLOOKUP(A12,SKV!$B$48:$AA$82,9,FALSE),"")</f>
        <v>24</v>
      </c>
      <c r="G12" s="33"/>
      <c r="H12" s="250" t="s">
        <v>156</v>
      </c>
      <c r="I12" s="250"/>
      <c r="J12" s="250"/>
      <c r="K12" s="250"/>
      <c r="L12" s="33"/>
      <c r="M12" s="193" t="s">
        <v>21</v>
      </c>
      <c r="N12" s="194"/>
      <c r="O12" s="194"/>
      <c r="P12" s="194"/>
      <c r="Q12" s="32" t="str">
        <f>IFERROR(IF(VLOOKUP(M12,SKV!$B$48:$AA$82,10,FALSE)=0,"",VLOOKUP(M12,SKV!$B$48:$AA$82,10,FALSE)),"")</f>
        <v/>
      </c>
      <c r="R12" s="52">
        <f>IFERROR(VLOOKUP(M12,SKV!$B$48:$AA$82,9,FALSE),"")</f>
        <v>27</v>
      </c>
      <c r="S12" s="193" t="s">
        <v>164</v>
      </c>
      <c r="T12" s="194"/>
      <c r="U12" s="194"/>
      <c r="V12" s="194"/>
      <c r="W12" s="32" t="str">
        <f>IFERROR(IF(VLOOKUP(S12,CHO!$B$48:$AA$82,10,FALSE)=0,"",VLOOKUP(S12,CHO!$B$48:$AA$82,10,FALSE)),"")</f>
        <v/>
      </c>
      <c r="X12" s="52">
        <f>IFERROR(VLOOKUP(S12,CHO!$B$48:$AA$82,9,FALSE),"")</f>
        <v>84</v>
      </c>
      <c r="Y12" s="33"/>
      <c r="Z12" s="250" t="s">
        <v>156</v>
      </c>
      <c r="AA12" s="250"/>
      <c r="AB12" s="250"/>
      <c r="AC12" s="250"/>
      <c r="AD12" s="33"/>
      <c r="AE12" s="193" t="s">
        <v>175</v>
      </c>
      <c r="AF12" s="194"/>
      <c r="AG12" s="194"/>
      <c r="AH12" s="194"/>
      <c r="AI12" s="32" t="str">
        <f>IFERROR(IF(VLOOKUP(AE12,CHO!$B$48:$AA$82,10,FALSE)=0,"",VLOOKUP(AE12,CHO!$B$48:$AA$82,10,FALSE)),"")</f>
        <v>C</v>
      </c>
      <c r="AJ12" s="52">
        <f>IFERROR(VLOOKUP(AE12,CHO!$B$48:$AA$82,9,FALSE),"")</f>
        <v>32</v>
      </c>
      <c r="AK12" s="193"/>
      <c r="AL12" s="194"/>
      <c r="AM12" s="194"/>
      <c r="AN12" s="194"/>
      <c r="AO12" s="32" t="str">
        <f>IFERROR(IF(VLOOKUP(AK12,VIT!$B$48:$R$82,10,FALSE)=0,"",VLOOKUP(AK12,VIT!$B$48:$R$82,10,FALSE)),"")</f>
        <v/>
      </c>
      <c r="AP12" s="52" t="str">
        <f>IFERROR(VLOOKUP(AK12,VIT!$B$48:$R$82,9,FALSE),"")</f>
        <v/>
      </c>
      <c r="AQ12" s="33"/>
      <c r="AR12" s="250" t="s">
        <v>156</v>
      </c>
      <c r="AS12" s="250"/>
      <c r="AT12" s="250"/>
      <c r="AU12" s="250"/>
      <c r="AV12" s="33"/>
      <c r="AW12" s="193"/>
      <c r="AX12" s="194"/>
      <c r="AY12" s="194"/>
      <c r="AZ12" s="194"/>
      <c r="BA12" s="32" t="str">
        <f>IFERROR(IF(VLOOKUP(AW12,VIT!$B$48:$R$82,10,FALSE)=0,"",VLOOKUP(AW12,VIT!$B$48:$R$82,10,FALSE)),"")</f>
        <v/>
      </c>
      <c r="BB12" s="52" t="str">
        <f>IFERROR(VLOOKUP(AW12,VIT!$B$48:$R$82,9,FALSE),"")</f>
        <v/>
      </c>
      <c r="BC12" s="193"/>
      <c r="BD12" s="194"/>
      <c r="BE12" s="194"/>
      <c r="BF12" s="194"/>
      <c r="BG12" s="32" t="str">
        <f>IFERROR(IF(VLOOKUP(BC12,MB!$B$48:$R$82,10,FALSE)=0,"",VLOOKUP(BC12,MB!$B$48:$R$82,10,FALSE)),"")</f>
        <v/>
      </c>
      <c r="BH12" s="52" t="str">
        <f>IFERROR(VLOOKUP(BC12,MB!$B$48:$R$82,9,FALSE),"")</f>
        <v/>
      </c>
      <c r="BI12" s="33"/>
      <c r="BJ12" s="250" t="s">
        <v>156</v>
      </c>
      <c r="BK12" s="250"/>
      <c r="BL12" s="250"/>
      <c r="BM12" s="250"/>
      <c r="BN12" s="33"/>
      <c r="BO12" s="193"/>
      <c r="BP12" s="194"/>
      <c r="BQ12" s="194"/>
      <c r="BR12" s="194"/>
      <c r="BS12" s="32" t="str">
        <f>IFERROR(IF(VLOOKUP(BO12,MB!$B$48:$R$82,10,FALSE)=0,"",VLOOKUP(BO12,MB!$B$48:$R$82,10,FALSE)),"")</f>
        <v/>
      </c>
      <c r="BT12" s="52" t="str">
        <f>IFERROR(VLOOKUP(BO12,MB!$B$48:$R$82,9,FALSE),"")</f>
        <v/>
      </c>
      <c r="BU12" s="193"/>
      <c r="BV12" s="194"/>
      <c r="BW12" s="194"/>
      <c r="BX12" s="194"/>
      <c r="BY12" s="32" t="str">
        <f>IFERROR(IF(VLOOKUP(BU12,TAT!$B$48:$R$82,10,FALSE)=0,"",VLOOKUP(BU12,TAT!$B$48:$R$82,10,FALSE)),"")</f>
        <v/>
      </c>
      <c r="BZ12" s="52" t="str">
        <f>IFERROR(VLOOKUP(BU12,TAT!$B$48:$R$82,9,FALSE),"")</f>
        <v/>
      </c>
      <c r="CA12" s="33"/>
      <c r="CB12" s="250" t="s">
        <v>156</v>
      </c>
      <c r="CC12" s="250"/>
      <c r="CD12" s="250"/>
      <c r="CE12" s="250"/>
      <c r="CF12" s="33"/>
      <c r="CG12" s="193"/>
      <c r="CH12" s="194"/>
      <c r="CI12" s="194"/>
      <c r="CJ12" s="194"/>
      <c r="CK12" s="32" t="str">
        <f>IFERROR(IF(VLOOKUP(CG12,TAT!$B$48:$R$82,10,FALSE)=0,"",VLOOKUP(CG12,TAT!$B$48:$R$82,10,FALSE)),"")</f>
        <v/>
      </c>
      <c r="CL12" s="52" t="str">
        <f>IFERROR(VLOOKUP(CG12,TAT!$B$48:$R$82,9,FALSE),"")</f>
        <v/>
      </c>
      <c r="CM12" s="193" t="s">
        <v>486</v>
      </c>
      <c r="CN12" s="194"/>
      <c r="CO12" s="194"/>
      <c r="CP12" s="194"/>
      <c r="CQ12" s="32" t="str">
        <f>IFERROR(IF(VLOOKUP(CM12,OTR!$B$48:$R$82,10,FALSE)=0,"",VLOOKUP(CM12,OTR!$B$48:$R$82,10,FALSE)),"")</f>
        <v/>
      </c>
      <c r="CR12" s="52">
        <f>IFERROR(VLOOKUP(CM12,OTR!$B$48:$R$82,9,FALSE),"")</f>
        <v>6</v>
      </c>
      <c r="CS12" s="33"/>
      <c r="CT12" s="250" t="s">
        <v>156</v>
      </c>
      <c r="CU12" s="250"/>
      <c r="CV12" s="250"/>
      <c r="CW12" s="250"/>
      <c r="CX12" s="33"/>
      <c r="CY12" s="193" t="s">
        <v>480</v>
      </c>
      <c r="CZ12" s="194"/>
      <c r="DA12" s="194"/>
      <c r="DB12" s="194"/>
      <c r="DC12" s="32" t="str">
        <f>IFERROR(IF(VLOOKUP(CY12,OTR!$B$48:$R$82,10,FALSE)=0,"",VLOOKUP(CY12,OTR!$B$48:$R$82,10,FALSE)),"")</f>
        <v/>
      </c>
      <c r="DD12" s="52">
        <f>IFERROR(VLOOKUP(CY12,OTR!$B$48:$R$82,9,FALSE),"")</f>
        <v>97</v>
      </c>
      <c r="DE12" s="193"/>
      <c r="DF12" s="194"/>
      <c r="DG12" s="194"/>
      <c r="DH12" s="194"/>
      <c r="DI12" s="32" t="str">
        <f>IFERROR(IF(VLOOKUP(DE12,BOH!$B$48:$R$82,10,FALSE)=0,"",VLOOKUP(DE12,BOH!$B$48:$R$82,10,FALSE)),"")</f>
        <v/>
      </c>
      <c r="DJ12" s="52" t="str">
        <f>IFERROR(VLOOKUP(DE12,BOH!$B$48:$R$82,9,FALSE),"")</f>
        <v/>
      </c>
      <c r="DK12" s="33"/>
      <c r="DL12" s="250" t="s">
        <v>156</v>
      </c>
      <c r="DM12" s="250"/>
      <c r="DN12" s="250"/>
      <c r="DO12" s="250"/>
      <c r="DP12" s="33"/>
      <c r="DQ12" s="193"/>
      <c r="DR12" s="194"/>
      <c r="DS12" s="194"/>
      <c r="DT12" s="194"/>
      <c r="DU12" s="32" t="str">
        <f>IFERROR(IF(VLOOKUP(DQ12,BOH!$B$48:$R$82,10,FALSE)=0,"",VLOOKUP(DQ12,BOH!$B$48:$R$82,10,FALSE)),"")</f>
        <v/>
      </c>
      <c r="DV12" s="52" t="str">
        <f>IFERROR(VLOOKUP(DQ12,BOH!$B$48:$R$82,9,FALSE),"")</f>
        <v/>
      </c>
      <c r="DW12" s="193"/>
      <c r="DX12" s="194"/>
      <c r="DY12" s="194"/>
      <c r="DZ12" s="194"/>
      <c r="EA12" s="32" t="str">
        <f>IFERROR(IF(VLOOKUP(DW12,SPA!$B$48:$R$82,10,FALSE)=0,"",VLOOKUP(DW12,SPA!$B$48:$R$82,10,FALSE)),"")</f>
        <v/>
      </c>
      <c r="EB12" s="52" t="str">
        <f>IFERROR(VLOOKUP(DW12,SPA!$B$48:$R$82,9,FALSE),"")</f>
        <v/>
      </c>
      <c r="EC12" s="33"/>
      <c r="ED12" s="250" t="s">
        <v>156</v>
      </c>
      <c r="EE12" s="250"/>
      <c r="EF12" s="250"/>
      <c r="EG12" s="250"/>
      <c r="EH12" s="33"/>
      <c r="EI12" s="193"/>
      <c r="EJ12" s="194"/>
      <c r="EK12" s="194"/>
      <c r="EL12" s="194"/>
      <c r="EM12" s="32" t="str">
        <f>IFERROR(IF(VLOOKUP(EI12,SPA!$B$48:$R$82,10,FALSE)=0,"",VLOOKUP(EI12,SPA!$B$48:$R$82,10,FALSE)),"")</f>
        <v/>
      </c>
      <c r="EN12" s="52" t="str">
        <f>IFERROR(VLOOKUP(EI12,SPA!$B$48:$R$82,9,FALSE),"")</f>
        <v/>
      </c>
    </row>
    <row r="13" spans="1:144" ht="15.6" customHeight="1" thickBot="1" x14ac:dyDescent="0.3">
      <c r="A13" s="34" t="str">
        <f>IFERROR(VLOOKUP(A12,SKV!$B$48:$AA$82,11,FALSE),"")</f>
        <v>L</v>
      </c>
      <c r="B13" s="233">
        <f>IFERROR(YEAR(VLOOKUP(A12,SKV!$B$48:$AA$82,2,FALSE)),"")</f>
        <v>1991</v>
      </c>
      <c r="C13" s="189"/>
      <c r="D13" s="35">
        <f ca="1">IFERROR(VLOOKUP(A12,SKV!$B$48:$AA$82,3,FALSE),"")</f>
        <v>29</v>
      </c>
      <c r="E13" s="234" t="str">
        <f>IFERROR(VLOOKUP(A12,SKV!$B$48:$AA$82,15,FALSE),"")</f>
        <v>180/78</v>
      </c>
      <c r="F13" s="235"/>
      <c r="G13" s="33"/>
      <c r="H13" s="33"/>
      <c r="I13" s="33"/>
      <c r="J13" s="33"/>
      <c r="K13" s="33"/>
      <c r="L13" s="33"/>
      <c r="M13" s="34" t="str">
        <f>IFERROR(VLOOKUP(M12,SKV!$B$48:$AA$82,11,FALSE),"")</f>
        <v>L</v>
      </c>
      <c r="N13" s="233">
        <f>IFERROR(YEAR(VLOOKUP(M12,SKV!$B$48:$AA$82,2,FALSE)),"")</f>
        <v>1993</v>
      </c>
      <c r="O13" s="189"/>
      <c r="P13" s="35">
        <f ca="1">IFERROR(VLOOKUP(M12,SKV!$B$48:$AA$82,3,FALSE),"")</f>
        <v>27</v>
      </c>
      <c r="Q13" s="234" t="str">
        <f>IFERROR(VLOOKUP(M12,SKV!$B$48:$AA$82,15,FALSE),"")</f>
        <v>180/78</v>
      </c>
      <c r="R13" s="235"/>
      <c r="S13" s="34" t="str">
        <f>IFERROR(VLOOKUP(S12,CHO!$B$48:$AA$82,11,FALSE),"")</f>
        <v>P</v>
      </c>
      <c r="T13" s="233">
        <f>IFERROR(YEAR(VLOOKUP(S12,CHO!$B$48:$AA$82,2,FALSE)),"")</f>
        <v>2002</v>
      </c>
      <c r="U13" s="189"/>
      <c r="V13" s="35">
        <f ca="1">IFERROR(VLOOKUP(S12,CHO!$B$48:$AA$82,3,FALSE),"")</f>
        <v>18</v>
      </c>
      <c r="W13" s="234" t="str">
        <f>IFERROR(VLOOKUP(S12,CHO!$B$48:$AA$82,15,FALSE),"")</f>
        <v>183/72</v>
      </c>
      <c r="X13" s="235"/>
      <c r="Y13" s="33"/>
      <c r="Z13" s="33"/>
      <c r="AA13" s="33"/>
      <c r="AB13" s="33"/>
      <c r="AC13" s="33"/>
      <c r="AD13" s="33"/>
      <c r="AE13" s="34" t="str">
        <f>IFERROR(VLOOKUP(AE12,CHO!$B$48:$AA$82,11,FALSE),"")</f>
        <v>L</v>
      </c>
      <c r="AF13" s="233">
        <f>IFERROR(YEAR(VLOOKUP(AE12,CHO!$B$48:$AA$82,2,FALSE)),"")</f>
        <v>1986</v>
      </c>
      <c r="AG13" s="189"/>
      <c r="AH13" s="35">
        <f ca="1">IFERROR(VLOOKUP(AE12,CHO!$B$48:$AA$82,3,FALSE),"")</f>
        <v>34</v>
      </c>
      <c r="AI13" s="234" t="str">
        <f>IFERROR(VLOOKUP(AE12,CHO!$B$48:$AA$82,15,FALSE),"")</f>
        <v>186/84</v>
      </c>
      <c r="AJ13" s="235"/>
      <c r="AK13" s="34" t="str">
        <f>IFERROR(VLOOKUP(AK12,VIT!$B$48:$R$82,11,FALSE),"")</f>
        <v/>
      </c>
      <c r="AL13" s="233" t="str">
        <f>IFERROR(YEAR(VLOOKUP(AK12,VIT!$B$48:$R$82,2,FALSE)),"")</f>
        <v/>
      </c>
      <c r="AM13" s="189"/>
      <c r="AN13" s="106" t="str">
        <f>IFERROR(VLOOKUP(AK12,VIT!$B$48:$R$82,3,FALSE),"")</f>
        <v/>
      </c>
      <c r="AO13" s="234" t="str">
        <f>IFERROR(VLOOKUP(AK12,VIT!$B$48:$R$82,15,FALSE),"")</f>
        <v/>
      </c>
      <c r="AP13" s="235"/>
      <c r="AQ13" s="33"/>
      <c r="AR13" s="33"/>
      <c r="AS13" s="33"/>
      <c r="AT13" s="33"/>
      <c r="AU13" s="33"/>
      <c r="AV13" s="33"/>
      <c r="AW13" s="34" t="str">
        <f>IFERROR(VLOOKUP(AW12,VIT!$B$48:$R$82,11,FALSE),"")</f>
        <v/>
      </c>
      <c r="AX13" s="233" t="str">
        <f>IFERROR(YEAR(VLOOKUP(AW12,VIT!$B$48:$R$82,2,FALSE)),"")</f>
        <v/>
      </c>
      <c r="AY13" s="189"/>
      <c r="AZ13" s="106" t="str">
        <f>IFERROR(VLOOKUP(AW12,VIT!$B$48:$R$82,3,FALSE),"")</f>
        <v/>
      </c>
      <c r="BA13" s="234" t="str">
        <f>IFERROR(VLOOKUP(AW12,VIT!$B$48:$R$82,15,FALSE),"")</f>
        <v/>
      </c>
      <c r="BB13" s="235"/>
      <c r="BC13" s="34" t="str">
        <f>IFERROR(VLOOKUP(BC12,MB!$B$48:$R$82,11,FALSE),"")</f>
        <v/>
      </c>
      <c r="BD13" s="233" t="str">
        <f>IFERROR(YEAR(VLOOKUP(BC12,MB!$B$48:$R$82,2,FALSE)),"")</f>
        <v/>
      </c>
      <c r="BE13" s="189"/>
      <c r="BF13" s="108" t="str">
        <f>IFERROR(VLOOKUP(BC12,MB!$B$48:$R$82,3,FALSE),"")</f>
        <v/>
      </c>
      <c r="BG13" s="234" t="str">
        <f>IFERROR(VLOOKUP(BC12,MB!$B$48:$R$82,15,FALSE),"")</f>
        <v/>
      </c>
      <c r="BH13" s="235"/>
      <c r="BI13" s="33"/>
      <c r="BJ13" s="33"/>
      <c r="BK13" s="33"/>
      <c r="BL13" s="33"/>
      <c r="BM13" s="33"/>
      <c r="BN13" s="33"/>
      <c r="BO13" s="34" t="str">
        <f>IFERROR(VLOOKUP(BO12,MB!$B$48:$R$82,11,FALSE),"")</f>
        <v/>
      </c>
      <c r="BP13" s="233" t="str">
        <f>IFERROR(YEAR(VLOOKUP(BO12,MB!$B$48:$R$82,2,FALSE)),"")</f>
        <v/>
      </c>
      <c r="BQ13" s="189"/>
      <c r="BR13" s="108" t="str">
        <f>IFERROR(VLOOKUP(BO12,MB!$B$48:$R$82,3,FALSE),"")</f>
        <v/>
      </c>
      <c r="BS13" s="234" t="str">
        <f>IFERROR(VLOOKUP(BO12,MB!$B$48:$R$82,15,FALSE),"")</f>
        <v/>
      </c>
      <c r="BT13" s="235"/>
      <c r="BU13" s="34" t="str">
        <f>IFERROR(VLOOKUP(BU12,TAT!$B$48:$R$82,11,FALSE),"")</f>
        <v/>
      </c>
      <c r="BV13" s="233" t="str">
        <f>IFERROR(YEAR(VLOOKUP(BU12,TAT!$B$48:$R$82,2,FALSE)),"")</f>
        <v/>
      </c>
      <c r="BW13" s="189"/>
      <c r="BX13" s="151" t="str">
        <f>IFERROR(VLOOKUP(BU12,TAT!$B$48:$R$82,3,FALSE),"")</f>
        <v/>
      </c>
      <c r="BY13" s="234" t="str">
        <f>IFERROR(VLOOKUP(BU12,TAT!$B$48:$R$82,15,FALSE),"")</f>
        <v/>
      </c>
      <c r="BZ13" s="235"/>
      <c r="CA13" s="33"/>
      <c r="CB13" s="33"/>
      <c r="CC13" s="33"/>
      <c r="CD13" s="33"/>
      <c r="CE13" s="33"/>
      <c r="CF13" s="33"/>
      <c r="CG13" s="34" t="str">
        <f>IFERROR(VLOOKUP(CG12,TAT!$B$48:$R$82,11,FALSE),"")</f>
        <v/>
      </c>
      <c r="CH13" s="233" t="str">
        <f>IFERROR(YEAR(VLOOKUP(CG12,TAT!$B$48:$R$82,2,FALSE)),"")</f>
        <v/>
      </c>
      <c r="CI13" s="189"/>
      <c r="CJ13" s="151" t="str">
        <f>IFERROR(VLOOKUP(CG12,TAT!$B$48:$R$82,3,FALSE),"")</f>
        <v/>
      </c>
      <c r="CK13" s="234" t="str">
        <f>IFERROR(VLOOKUP(CG12,TAT!$B$48:$R$82,15,FALSE),"")</f>
        <v/>
      </c>
      <c r="CL13" s="235"/>
      <c r="CM13" s="34" t="str">
        <f>IFERROR(VLOOKUP(CM12,OTR!$B$48:$R$82,11,FALSE),"")</f>
        <v>L</v>
      </c>
      <c r="CN13" s="233">
        <f>IFERROR(YEAR(VLOOKUP(CM12,OTR!$B$48:$R$82,2,FALSE)),"")</f>
        <v>1999</v>
      </c>
      <c r="CO13" s="189"/>
      <c r="CP13" s="151">
        <f ca="1">IFERROR(VLOOKUP(CM12,OTR!$B$48:$R$82,3,FALSE),"")</f>
        <v>21</v>
      </c>
      <c r="CQ13" s="234" t="str">
        <f>IFERROR(VLOOKUP(CM12,OTR!$B$48:$R$82,15,FALSE),"")</f>
        <v>177/70</v>
      </c>
      <c r="CR13" s="235"/>
      <c r="CS13" s="33"/>
      <c r="CT13" s="33"/>
      <c r="CU13" s="33"/>
      <c r="CV13" s="33"/>
      <c r="CW13" s="33"/>
      <c r="CX13" s="33"/>
      <c r="CY13" s="34" t="str">
        <f>IFERROR(VLOOKUP(CY12,OTR!$B$48:$R$82,11,FALSE),"")</f>
        <v>L</v>
      </c>
      <c r="CZ13" s="233">
        <f>IFERROR(YEAR(VLOOKUP(CY12,OTR!$B$48:$R$82,2,FALSE)),"")</f>
        <v>1994</v>
      </c>
      <c r="DA13" s="189"/>
      <c r="DB13" s="151">
        <f ca="1">IFERROR(VLOOKUP(CY12,OTR!$B$48:$R$82,3,FALSE),"")</f>
        <v>26</v>
      </c>
      <c r="DC13" s="234" t="str">
        <f>IFERROR(VLOOKUP(CY12,OTR!$B$48:$R$82,15,FALSE),"")</f>
        <v>174/73</v>
      </c>
      <c r="DD13" s="235"/>
      <c r="DE13" s="34" t="str">
        <f>IFERROR(VLOOKUP(DE12,BOH!$B$48:$R$82,11,FALSE),"")</f>
        <v/>
      </c>
      <c r="DF13" s="233" t="str">
        <f>IFERROR(YEAR(VLOOKUP(DE12,BOH!$B$48:$R$82,2,FALSE)),"")</f>
        <v/>
      </c>
      <c r="DG13" s="189"/>
      <c r="DH13" s="166" t="str">
        <f>IFERROR(VLOOKUP(DE12,BOH!$B$48:$R$82,3,FALSE),"")</f>
        <v/>
      </c>
      <c r="DI13" s="234" t="str">
        <f>IFERROR(VLOOKUP(DE12,BOH!$B$48:$R$82,15,FALSE),"")</f>
        <v/>
      </c>
      <c r="DJ13" s="235"/>
      <c r="DK13" s="33"/>
      <c r="DL13" s="33"/>
      <c r="DM13" s="33"/>
      <c r="DN13" s="33"/>
      <c r="DO13" s="33"/>
      <c r="DP13" s="33"/>
      <c r="DQ13" s="34" t="str">
        <f>IFERROR(VLOOKUP(DQ12,BOH!$B$48:$R$82,11,FALSE),"")</f>
        <v/>
      </c>
      <c r="DR13" s="233" t="str">
        <f>IFERROR(YEAR(VLOOKUP(DQ12,BOH!$B$48:$R$82,2,FALSE)),"")</f>
        <v/>
      </c>
      <c r="DS13" s="189"/>
      <c r="DT13" s="166" t="str">
        <f>IFERROR(VLOOKUP(DQ12,BOH!$B$48:$R$82,3,FALSE),"")</f>
        <v/>
      </c>
      <c r="DU13" s="234" t="str">
        <f>IFERROR(VLOOKUP(DQ12,BOH!$B$48:$R$82,15,FALSE),"")</f>
        <v/>
      </c>
      <c r="DV13" s="235"/>
      <c r="DW13" s="34" t="str">
        <f>IFERROR(VLOOKUP(DW12,SPA!$B$48:$R$82,11,FALSE),"")</f>
        <v/>
      </c>
      <c r="DX13" s="233" t="str">
        <f>IFERROR(YEAR(VLOOKUP(DW12,SPA!$B$48:$R$82,2,FALSE)),"")</f>
        <v/>
      </c>
      <c r="DY13" s="189"/>
      <c r="DZ13" s="166" t="str">
        <f>IFERROR(VLOOKUP(DW12,SPA!$B$48:$R$82,3,FALSE),"")</f>
        <v/>
      </c>
      <c r="EA13" s="234" t="str">
        <f>IFERROR(VLOOKUP(DW12,SPA!$B$48:$R$82,15,FALSE),"")</f>
        <v/>
      </c>
      <c r="EB13" s="235"/>
      <c r="EC13" s="33"/>
      <c r="ED13" s="33"/>
      <c r="EE13" s="33"/>
      <c r="EF13" s="33"/>
      <c r="EG13" s="33"/>
      <c r="EH13" s="33"/>
      <c r="EI13" s="34" t="str">
        <f>IFERROR(VLOOKUP(EI12,SPA!$B$48:$R$82,11,FALSE),"")</f>
        <v/>
      </c>
      <c r="EJ13" s="233" t="str">
        <f>IFERROR(YEAR(VLOOKUP(EI12,SPA!$B$48:$R$82,2,FALSE)),"")</f>
        <v/>
      </c>
      <c r="EK13" s="189"/>
      <c r="EL13" s="166" t="str">
        <f>IFERROR(VLOOKUP(EI12,SPA!$B$48:$R$82,3,FALSE),"")</f>
        <v/>
      </c>
      <c r="EM13" s="234" t="str">
        <f>IFERROR(VLOOKUP(EI12,SPA!$B$48:$R$82,15,FALSE),"")</f>
        <v/>
      </c>
      <c r="EN13" s="235"/>
    </row>
    <row r="14" spans="1:144" ht="15.6" customHeight="1" thickTop="1" thickBot="1" x14ac:dyDescent="0.3">
      <c r="A14" s="237" t="str">
        <f>IFERROR(VLOOKUP(A12,SKV!$B$2:$O$36,14,FALSE),"")</f>
        <v>17 OZ , 9 (6+3), -1 ±</v>
      </c>
      <c r="B14" s="238"/>
      <c r="C14" s="238"/>
      <c r="D14" s="226" t="str">
        <f>IFERROR(VLOOKUP(A12,SKV!$B$48:$AA$82,14,FALSE),"")</f>
        <v>73 OZ, 61 (41+20)</v>
      </c>
      <c r="E14" s="226"/>
      <c r="F14" s="227"/>
      <c r="G14" s="193" t="s">
        <v>14</v>
      </c>
      <c r="H14" s="194"/>
      <c r="I14" s="194"/>
      <c r="J14" s="194"/>
      <c r="K14" s="32" t="str">
        <f>IFERROR(IF(VLOOKUP(G14,SKV!$B$48:$AA$82,10,FALSE)=0,"",VLOOKUP(G14,SKV!$B$48:$AA$82,10,FALSE)),"")</f>
        <v/>
      </c>
      <c r="L14" s="52">
        <f>IFERROR(VLOOKUP(G14,SKV!$B$48:$AA$82,9,FALSE),"")</f>
        <v>78</v>
      </c>
      <c r="M14" s="237" t="str">
        <f>IFERROR(VLOOKUP(M12,SKV!$B$2:$O$36,14,FALSE),"")</f>
        <v>17 OZ , 19 (15+4), -15 ±</v>
      </c>
      <c r="N14" s="238"/>
      <c r="O14" s="238"/>
      <c r="P14" s="226" t="str">
        <f>IFERROR(VLOOKUP(M12,SKV!$B$48:$AA$82,14,FALSE),"")</f>
        <v>152 OZ, 132 (88+44)</v>
      </c>
      <c r="Q14" s="226"/>
      <c r="R14" s="227"/>
      <c r="S14" s="237" t="str">
        <f>IFERROR(VLOOKUP(S12,CHO!$B$2:$O$36,14,FALSE),"")</f>
        <v>15 OZ , 21 (15+6), +3 ±</v>
      </c>
      <c r="T14" s="238"/>
      <c r="U14" s="238"/>
      <c r="V14" s="226" t="str">
        <f>IFERROR(VLOOKUP(S12,CHO!$B$48:$AA$82,14,FALSE),"")</f>
        <v>30 OZ, 36 (22+14)</v>
      </c>
      <c r="W14" s="226"/>
      <c r="X14" s="227"/>
      <c r="Y14" s="193" t="s">
        <v>167</v>
      </c>
      <c r="Z14" s="194"/>
      <c r="AA14" s="194"/>
      <c r="AB14" s="194"/>
      <c r="AC14" s="32" t="str">
        <f>IFERROR(IF(VLOOKUP(Y14,CHO!$B$48:$AA$82,10,FALSE)=0,"",VLOOKUP(Y14,CHO!$B$48:$AA$82,10,FALSE)),"")</f>
        <v/>
      </c>
      <c r="AD14" s="52">
        <f>IFERROR(VLOOKUP(Y14,CHO!$B$48:$AA$82,9,FALSE),"")</f>
        <v>87</v>
      </c>
      <c r="AE14" s="237" t="str">
        <f>IFERROR(VLOOKUP(AE12,CHO!$B$2:$O$36,14,FALSE),"")</f>
        <v>14 OZ , 3 (1+2), -1 ±</v>
      </c>
      <c r="AF14" s="238"/>
      <c r="AG14" s="238"/>
      <c r="AH14" s="226" t="str">
        <f>IFERROR(VLOOKUP(AE12,CHO!$B$48:$AA$82,14,FALSE),"")</f>
        <v>267 OZ, 312 (178+134)</v>
      </c>
      <c r="AI14" s="226"/>
      <c r="AJ14" s="227"/>
      <c r="AK14" s="237" t="str">
        <f>IFERROR(VLOOKUP(AK12,VIT!$B$2:$O$36,14,FALSE),"")</f>
        <v/>
      </c>
      <c r="AL14" s="238"/>
      <c r="AM14" s="238"/>
      <c r="AN14" s="226" t="str">
        <f>IFERROR(VLOOKUP(AK12,VIT!$B$48:$R$82,14,FALSE),"")</f>
        <v/>
      </c>
      <c r="AO14" s="226"/>
      <c r="AP14" s="227"/>
      <c r="AQ14" s="193"/>
      <c r="AR14" s="194"/>
      <c r="AS14" s="194"/>
      <c r="AT14" s="194"/>
      <c r="AU14" s="32" t="str">
        <f>IFERROR(IF(VLOOKUP(AQ14,VIT!$B$48:$R$82,10,FALSE)=0,"",VLOOKUP(AQ14,VIT!$B$48:$R$82,10,FALSE)),"")</f>
        <v/>
      </c>
      <c r="AV14" s="52" t="str">
        <f>IFERROR(VLOOKUP(AQ14,VIT!$B$48:$R$82,9,FALSE),"")</f>
        <v/>
      </c>
      <c r="AW14" s="237" t="str">
        <f>IFERROR(VLOOKUP(AW12,VIT!$B$2:$O$36,14,FALSE),"")</f>
        <v/>
      </c>
      <c r="AX14" s="238"/>
      <c r="AY14" s="238"/>
      <c r="AZ14" s="226" t="str">
        <f>IFERROR(VLOOKUP(AW12,VIT!$B$48:$R$82,14,FALSE),"")</f>
        <v/>
      </c>
      <c r="BA14" s="226"/>
      <c r="BB14" s="227"/>
      <c r="BC14" s="237" t="str">
        <f>IFERROR(VLOOKUP(BC12,MB!$B$2:$O$36,14,FALSE),"")</f>
        <v/>
      </c>
      <c r="BD14" s="238"/>
      <c r="BE14" s="238"/>
      <c r="BF14" s="226" t="str">
        <f>IFERROR(VLOOKUP(BC12,MB!$B$48:$R$82,14,FALSE),"")</f>
        <v/>
      </c>
      <c r="BG14" s="226"/>
      <c r="BH14" s="227"/>
      <c r="BI14" s="193"/>
      <c r="BJ14" s="194"/>
      <c r="BK14" s="194"/>
      <c r="BL14" s="194"/>
      <c r="BM14" s="32" t="str">
        <f>IFERROR(IF(VLOOKUP(BI14,MB!$B$48:$R$82,10,FALSE)=0,"",VLOOKUP(BI14,MB!$B$48:$R$82,10,FALSE)),"")</f>
        <v/>
      </c>
      <c r="BN14" s="52" t="str">
        <f>IFERROR(VLOOKUP(BI14,MB!$B$48:$R$82,9,FALSE),"")</f>
        <v/>
      </c>
      <c r="BO14" s="237" t="str">
        <f>IFERROR(VLOOKUP(BO12,MB!$B$2:$O$36,14,FALSE),"")</f>
        <v/>
      </c>
      <c r="BP14" s="238"/>
      <c r="BQ14" s="238"/>
      <c r="BR14" s="226" t="str">
        <f>IFERROR(VLOOKUP(BO12,MB!$B$48:$R$82,14,FALSE),"")</f>
        <v/>
      </c>
      <c r="BS14" s="226"/>
      <c r="BT14" s="227"/>
      <c r="BU14" s="237" t="str">
        <f>IFERROR(VLOOKUP(BU12,TAT!$B$2:$O$36,14,FALSE),"")</f>
        <v/>
      </c>
      <c r="BV14" s="238"/>
      <c r="BW14" s="238"/>
      <c r="BX14" s="226" t="str">
        <f>IFERROR(VLOOKUP(BU12,TAT!$B$48:$R$82,14,FALSE),"")</f>
        <v/>
      </c>
      <c r="BY14" s="226"/>
      <c r="BZ14" s="227"/>
      <c r="CA14" s="193"/>
      <c r="CB14" s="194"/>
      <c r="CC14" s="194"/>
      <c r="CD14" s="194"/>
      <c r="CE14" s="32" t="str">
        <f>IFERROR(IF(VLOOKUP(CA14,TAT!$B$48:$R$82,10,FALSE)=0,"",VLOOKUP(CA14,TAT!$B$48:$R$82,10,FALSE)),"")</f>
        <v/>
      </c>
      <c r="CF14" s="52" t="str">
        <f>IFERROR(VLOOKUP(CA14,TAT!$B$48:$R$82,9,FALSE),"")</f>
        <v/>
      </c>
      <c r="CG14" s="237" t="str">
        <f>IFERROR(VLOOKUP(CG12,TAT!$B$2:$O$36,14,FALSE),"")</f>
        <v/>
      </c>
      <c r="CH14" s="238"/>
      <c r="CI14" s="238"/>
      <c r="CJ14" s="226" t="str">
        <f>IFERROR(VLOOKUP(CG12,TAT!$B$48:$R$82,14,FALSE),"")</f>
        <v/>
      </c>
      <c r="CK14" s="226"/>
      <c r="CL14" s="227"/>
      <c r="CM14" s="237" t="str">
        <f>IFERROR(VLOOKUP(CM12,OTR!$B$2:$O$36,14,FALSE),"")</f>
        <v>13 OZ , 8 (4+4), -8 ±</v>
      </c>
      <c r="CN14" s="238"/>
      <c r="CO14" s="238"/>
      <c r="CP14" s="226" t="str">
        <f>IFERROR(VLOOKUP(CM12,OTR!$B$48:$R$82,14,FALSE),"")</f>
        <v>39 OZ, 16 (8+8)</v>
      </c>
      <c r="CQ14" s="226"/>
      <c r="CR14" s="227"/>
      <c r="CS14" s="193" t="s">
        <v>490</v>
      </c>
      <c r="CT14" s="194"/>
      <c r="CU14" s="194"/>
      <c r="CV14" s="194"/>
      <c r="CW14" s="32" t="str">
        <f>IFERROR(IF(VLOOKUP(CS14,OTR!$B$48:$R$82,10,FALSE)=0,"",VLOOKUP(CS14,OTR!$B$48:$R$82,10,FALSE)),"")</f>
        <v>C</v>
      </c>
      <c r="CX14" s="52">
        <f>IFERROR(VLOOKUP(CS14,OTR!$B$48:$R$82,9,FALSE),"")</f>
        <v>74</v>
      </c>
      <c r="CY14" s="237" t="str">
        <f>IFERROR(VLOOKUP(CY12,OTR!$B$2:$O$36,14,FALSE),"")</f>
        <v>15 OZ , 12 (9+3), -12 ±</v>
      </c>
      <c r="CZ14" s="238"/>
      <c r="DA14" s="238"/>
      <c r="DB14" s="226" t="str">
        <f>IFERROR(VLOOKUP(CY12,OTR!$B$48:$R$82,14,FALSE),"")</f>
        <v>162 OZ, 157 (96+61)</v>
      </c>
      <c r="DC14" s="226"/>
      <c r="DD14" s="227"/>
      <c r="DE14" s="237" t="str">
        <f>IFERROR(VLOOKUP(DE12,BOH!$B$2:$O$36,14,FALSE),"")</f>
        <v/>
      </c>
      <c r="DF14" s="238"/>
      <c r="DG14" s="238"/>
      <c r="DH14" s="226" t="str">
        <f>IFERROR(VLOOKUP(DE12,BOH!$B$48:$R$82,14,FALSE),"")</f>
        <v/>
      </c>
      <c r="DI14" s="226"/>
      <c r="DJ14" s="227"/>
      <c r="DK14" s="193"/>
      <c r="DL14" s="194"/>
      <c r="DM14" s="194"/>
      <c r="DN14" s="194"/>
      <c r="DO14" s="32" t="str">
        <f>IFERROR(IF(VLOOKUP(DK14,BOH!$B$48:$R$82,10,FALSE)=0,"",VLOOKUP(DK14,BOH!$B$48:$R$82,10,FALSE)),"")</f>
        <v/>
      </c>
      <c r="DP14" s="52" t="str">
        <f>IFERROR(VLOOKUP(DK14,BOH!$B$48:$R$82,9,FALSE),"")</f>
        <v/>
      </c>
      <c r="DQ14" s="237" t="str">
        <f>IFERROR(VLOOKUP(DQ12,BOH!$B$2:$O$36,14,FALSE),"")</f>
        <v/>
      </c>
      <c r="DR14" s="238"/>
      <c r="DS14" s="238"/>
      <c r="DT14" s="226" t="str">
        <f>IFERROR(VLOOKUP(DQ12,BOH!$B$48:$R$82,14,FALSE),"")</f>
        <v/>
      </c>
      <c r="DU14" s="226"/>
      <c r="DV14" s="227"/>
      <c r="DW14" s="237" t="str">
        <f>IFERROR(VLOOKUP(DW12,SPA!$B$2:$O$36,14,FALSE),"")</f>
        <v/>
      </c>
      <c r="DX14" s="238"/>
      <c r="DY14" s="238"/>
      <c r="DZ14" s="226" t="str">
        <f>IFERROR(VLOOKUP(DW12,SPA!$B$48:$R$82,14,FALSE),"")</f>
        <v/>
      </c>
      <c r="EA14" s="226"/>
      <c r="EB14" s="227"/>
      <c r="EC14" s="193"/>
      <c r="ED14" s="194"/>
      <c r="EE14" s="194"/>
      <c r="EF14" s="194"/>
      <c r="EG14" s="32" t="str">
        <f>IFERROR(IF(VLOOKUP(EC14,SPA!$B$48:$R$82,10,FALSE)=0,"",VLOOKUP(EC14,SPA!$B$48:$R$82,10,FALSE)),"")</f>
        <v/>
      </c>
      <c r="EH14" s="52" t="str">
        <f>IFERROR(VLOOKUP(EC14,SPA!$B$48:$R$82,9,FALSE),"")</f>
        <v/>
      </c>
      <c r="EI14" s="237" t="str">
        <f>IFERROR(VLOOKUP(EI12,SPA!$B$2:$O$36,14,FALSE),"")</f>
        <v/>
      </c>
      <c r="EJ14" s="238"/>
      <c r="EK14" s="238"/>
      <c r="EL14" s="226" t="str">
        <f>IFERROR(VLOOKUP(EI12,SPA!$B$48:$R$82,14,FALSE),"")</f>
        <v/>
      </c>
      <c r="EM14" s="226"/>
      <c r="EN14" s="227"/>
    </row>
    <row r="15" spans="1:144" ht="15.6" customHeight="1" thickBot="1" x14ac:dyDescent="0.3">
      <c r="A15" s="228" t="str">
        <f>IFERROR(VLOOKUP(A12,SKV!$B$48:$AA$82,16,FALSE),"")</f>
        <v>FBK Kunovští Orli</v>
      </c>
      <c r="B15" s="229"/>
      <c r="C15" s="230"/>
      <c r="D15" s="231">
        <f>IFERROR(VLOOKUP(A12,SKV!$B$48:$AA$82,17,FALSE),"")</f>
        <v>2008</v>
      </c>
      <c r="E15" s="232"/>
      <c r="F15" s="124">
        <f>IFERROR(VLOOKUP(A12,SKV!$B$48:$AA$82,8,FALSE),"")</f>
        <v>4</v>
      </c>
      <c r="G15" s="34" t="str">
        <f>IFERROR(VLOOKUP(G14,SKV!$B$48:$AA$82,11,FALSE),"")</f>
        <v>L</v>
      </c>
      <c r="H15" s="233">
        <f>IFERROR(YEAR(VLOOKUP(G14,SKV!$B$48:$AA$82,2,FALSE)),"")</f>
        <v>1992</v>
      </c>
      <c r="I15" s="189"/>
      <c r="J15" s="35">
        <f ca="1">IFERROR(VLOOKUP(G14,SKV!$B$48:$AA$82,3,FALSE),"")</f>
        <v>28</v>
      </c>
      <c r="K15" s="234" t="str">
        <f>IFERROR(VLOOKUP(G14,SKV!$B$48:$AA$82,15,FALSE),"")</f>
        <v>172/73</v>
      </c>
      <c r="L15" s="235"/>
      <c r="M15" s="228" t="str">
        <f>IFERROR(VLOOKUP(M12,SKV!$B$48:$AA$82,16,FALSE),"")</f>
        <v>ASP Hr. Králové</v>
      </c>
      <c r="N15" s="229"/>
      <c r="O15" s="230"/>
      <c r="P15" s="231">
        <f>IFERROR(VLOOKUP(M12,SKV!$B$48:$AA$82,17,FALSE),"")</f>
        <v>2007</v>
      </c>
      <c r="Q15" s="232"/>
      <c r="R15" s="124">
        <f>IFERROR(VLOOKUP(M12,SKV!$B$48:$AA$82,8,FALSE),"")</f>
        <v>7</v>
      </c>
      <c r="S15" s="228" t="str">
        <f>IFERROR(VLOOKUP(S12,CHO!$B$48:$AA$82,16,FALSE),"")</f>
        <v>FBC Plzeň</v>
      </c>
      <c r="T15" s="229"/>
      <c r="U15" s="230"/>
      <c r="V15" s="231">
        <f>IFERROR(VLOOKUP(S12,CHO!$B$48:$AA$82,17,FALSE),"")</f>
        <v>2009</v>
      </c>
      <c r="W15" s="232"/>
      <c r="X15" s="124">
        <f>IFERROR(VLOOKUP(S12,CHO!$B$48:$AA$82,8,FALSE),"")</f>
        <v>2</v>
      </c>
      <c r="Y15" s="34" t="str">
        <f>IFERROR(VLOOKUP(Y14,CHO!$B$48:$AA$82,11,FALSE),"")</f>
        <v>L</v>
      </c>
      <c r="Z15" s="233">
        <f>IFERROR(YEAR(VLOOKUP(Y14,CHO!$B$48:$AA$82,2,FALSE)),"")</f>
        <v>1992</v>
      </c>
      <c r="AA15" s="189"/>
      <c r="AB15" s="35">
        <f ca="1">IFERROR(VLOOKUP(Y14,CHO!$B$48:$AA$82,3,FALSE),"")</f>
        <v>28</v>
      </c>
      <c r="AC15" s="234" t="str">
        <f>IFERROR(VLOOKUP(Y14,CHO!$B$48:$AA$82,15,FALSE),"")</f>
        <v>176/73</v>
      </c>
      <c r="AD15" s="235"/>
      <c r="AE15" s="228" t="str">
        <f>IFERROR(VLOOKUP(AE12,CHO!$B$48:$AA$82,16,FALSE),"")</f>
        <v>Sokol Brno III</v>
      </c>
      <c r="AF15" s="229"/>
      <c r="AG15" s="230"/>
      <c r="AH15" s="231">
        <f>IFERROR(VLOOKUP(AE12,CHO!$B$48:$AA$82,17,FALSE),"")</f>
        <v>2000</v>
      </c>
      <c r="AI15" s="232"/>
      <c r="AJ15" s="124">
        <f>IFERROR(VLOOKUP(AE12,CHO!$B$48:$AA$82,8,FALSE),"")</f>
        <v>15</v>
      </c>
      <c r="AK15" s="228" t="str">
        <f>IFERROR(VLOOKUP(AK12,VIT!$B$48:$R$82,16,FALSE),"")</f>
        <v/>
      </c>
      <c r="AL15" s="229"/>
      <c r="AM15" s="230"/>
      <c r="AN15" s="231" t="str">
        <f>IFERROR(VLOOKUP(AK12,VIT!$B$48:$R$82,17,FALSE),"")</f>
        <v/>
      </c>
      <c r="AO15" s="232"/>
      <c r="AP15" s="124" t="str">
        <f>IFERROR(VLOOKUP(AK12,VIT!$B$48:$R$82,8,FALSE),"")</f>
        <v/>
      </c>
      <c r="AQ15" s="34" t="str">
        <f>IFERROR(VLOOKUP(AQ14,VIT!$B$48:$R$82,11,FALSE),"")</f>
        <v/>
      </c>
      <c r="AR15" s="233" t="str">
        <f>IFERROR(YEAR(VLOOKUP(AQ14,VIT!$B$48:$R$82,2,FALSE)),"")</f>
        <v/>
      </c>
      <c r="AS15" s="189"/>
      <c r="AT15" s="106" t="str">
        <f>IFERROR(VLOOKUP(AQ14,VIT!$B$48:$R$82,3,FALSE),"")</f>
        <v/>
      </c>
      <c r="AU15" s="234" t="str">
        <f>IFERROR(VLOOKUP(AQ14,VIT!$B$48:$R$82,15,FALSE),"")</f>
        <v/>
      </c>
      <c r="AV15" s="235"/>
      <c r="AW15" s="228" t="str">
        <f>IFERROR(VLOOKUP(AW12,VIT!$B$48:$R$82,16,FALSE),"")</f>
        <v/>
      </c>
      <c r="AX15" s="229"/>
      <c r="AY15" s="230"/>
      <c r="AZ15" s="231" t="str">
        <f>IFERROR(VLOOKUP(AW12,VIT!$B$48:$R$82,17,FALSE),"")</f>
        <v/>
      </c>
      <c r="BA15" s="232"/>
      <c r="BB15" s="124" t="str">
        <f>IFERROR(VLOOKUP(AW12,VIT!$B$48:$R$82,8,FALSE),"")</f>
        <v/>
      </c>
      <c r="BC15" s="228" t="str">
        <f>IFERROR(VLOOKUP(BC12,MB!$B$48:$R$82,16,FALSE),"")</f>
        <v/>
      </c>
      <c r="BD15" s="229"/>
      <c r="BE15" s="230"/>
      <c r="BF15" s="231" t="str">
        <f>IFERROR(VLOOKUP(BC12,MB!$B$48:$R$82,17,FALSE),"")</f>
        <v/>
      </c>
      <c r="BG15" s="232"/>
      <c r="BH15" s="124" t="str">
        <f>IFERROR(VLOOKUP(BC12,MB!$B$48:$R$82,8,FALSE),"")</f>
        <v/>
      </c>
      <c r="BI15" s="34" t="str">
        <f>IFERROR(VLOOKUP(BI14,MB!$B$48:$R$82,11,FALSE),"")</f>
        <v/>
      </c>
      <c r="BJ15" s="233" t="str">
        <f>IFERROR(YEAR(VLOOKUP(BI14,MB!$B$48:$R$82,2,FALSE)),"")</f>
        <v/>
      </c>
      <c r="BK15" s="189"/>
      <c r="BL15" s="108" t="str">
        <f>IFERROR(VLOOKUP(BI14,MB!$B$48:$R$82,3,FALSE),"")</f>
        <v/>
      </c>
      <c r="BM15" s="234" t="str">
        <f>IFERROR(VLOOKUP(BI14,MB!$B$48:$R$82,15,FALSE),"")</f>
        <v/>
      </c>
      <c r="BN15" s="235"/>
      <c r="BO15" s="228" t="str">
        <f>IFERROR(VLOOKUP(BO12,MB!$B$48:$R$82,16,FALSE),"")</f>
        <v/>
      </c>
      <c r="BP15" s="229"/>
      <c r="BQ15" s="230"/>
      <c r="BR15" s="231" t="str">
        <f>IFERROR(VLOOKUP(BO12,MB!$B$48:$R$82,17,FALSE),"")</f>
        <v/>
      </c>
      <c r="BS15" s="232"/>
      <c r="BT15" s="124" t="str">
        <f>IFERROR(VLOOKUP(BO12,MB!$B$48:$R$82,8,FALSE),"")</f>
        <v/>
      </c>
      <c r="BU15" s="228" t="str">
        <f>IFERROR(VLOOKUP(BU12,TAT!$B$48:$R$82,16,FALSE),"")</f>
        <v/>
      </c>
      <c r="BV15" s="229"/>
      <c r="BW15" s="230"/>
      <c r="BX15" s="231" t="str">
        <f>IFERROR(VLOOKUP(BU12,TAT!$B$48:$R$82,17,FALSE),"")</f>
        <v/>
      </c>
      <c r="BY15" s="232"/>
      <c r="BZ15" s="124" t="str">
        <f>IFERROR(VLOOKUP(BU12,TAT!$B$48:$R$82,8,FALSE),"")</f>
        <v/>
      </c>
      <c r="CA15" s="34" t="str">
        <f>IFERROR(VLOOKUP(CA14,TAT!$B$48:$R$82,11,FALSE),"")</f>
        <v/>
      </c>
      <c r="CB15" s="233" t="str">
        <f>IFERROR(YEAR(VLOOKUP(CA14,TAT!$B$48:$R$82,2,FALSE)),"")</f>
        <v/>
      </c>
      <c r="CC15" s="189"/>
      <c r="CD15" s="151" t="str">
        <f>IFERROR(VLOOKUP(CA14,TAT!$B$48:$R$82,3,FALSE),"")</f>
        <v/>
      </c>
      <c r="CE15" s="234" t="str">
        <f>IFERROR(VLOOKUP(CA14,TAT!$B$48:$R$82,15,FALSE),"")</f>
        <v/>
      </c>
      <c r="CF15" s="235"/>
      <c r="CG15" s="228" t="str">
        <f>IFERROR(VLOOKUP(CG12,TAT!$B$48:$R$82,16,FALSE),"")</f>
        <v/>
      </c>
      <c r="CH15" s="229"/>
      <c r="CI15" s="230"/>
      <c r="CJ15" s="231" t="str">
        <f>IFERROR(VLOOKUP(CG12,TAT!$B$48:$R$82,17,FALSE),"")</f>
        <v/>
      </c>
      <c r="CK15" s="232"/>
      <c r="CL15" s="124" t="str">
        <f>IFERROR(VLOOKUP(CG12,TAT!$B$48:$R$82,8,FALSE),"")</f>
        <v/>
      </c>
      <c r="CM15" s="228" t="str">
        <f>IFERROR(VLOOKUP(CM12,OTR!$B$48:$R$82,16,FALSE),"")</f>
        <v>Zlín Lions</v>
      </c>
      <c r="CN15" s="229"/>
      <c r="CO15" s="230"/>
      <c r="CP15" s="231">
        <f>IFERROR(VLOOKUP(CM12,OTR!$B$48:$R$82,17,FALSE),"")</f>
        <v>2015</v>
      </c>
      <c r="CQ15" s="232"/>
      <c r="CR15" s="124">
        <f>IFERROR(VLOOKUP(CM12,OTR!$B$48:$R$82,8,FALSE),"")</f>
        <v>2</v>
      </c>
      <c r="CS15" s="34" t="str">
        <f>IFERROR(VLOOKUP(CS14,OTR!$B$48:$R$82,11,FALSE),"")</f>
        <v>P</v>
      </c>
      <c r="CT15" s="233">
        <f>IFERROR(YEAR(VLOOKUP(CS14,OTR!$B$48:$R$82,2,FALSE)),"")</f>
        <v>1999</v>
      </c>
      <c r="CU15" s="189"/>
      <c r="CV15" s="151">
        <f ca="1">IFERROR(VLOOKUP(CS14,OTR!$B$48:$R$82,3,FALSE),"")</f>
        <v>21</v>
      </c>
      <c r="CW15" s="234" t="str">
        <f>IFERROR(VLOOKUP(CS14,OTR!$B$48:$R$82,15,FALSE),"")</f>
        <v>181/72</v>
      </c>
      <c r="CX15" s="235"/>
      <c r="CY15" s="228" t="str">
        <f>IFERROR(VLOOKUP(CY12,OTR!$B$48:$R$82,16,FALSE),"")</f>
        <v>FBC Sparta Přerov</v>
      </c>
      <c r="CZ15" s="229"/>
      <c r="DA15" s="230"/>
      <c r="DB15" s="231">
        <f>IFERROR(VLOOKUP(CY12,OTR!$B$48:$R$82,17,FALSE),"")</f>
        <v>2003</v>
      </c>
      <c r="DC15" s="232"/>
      <c r="DD15" s="124">
        <f>IFERROR(VLOOKUP(CY12,OTR!$B$48:$R$82,8,FALSE),"")</f>
        <v>10</v>
      </c>
      <c r="DE15" s="228" t="str">
        <f>IFERROR(VLOOKUP(DE12,BOH!$B$48:$R$82,16,FALSE),"")</f>
        <v/>
      </c>
      <c r="DF15" s="229"/>
      <c r="DG15" s="230"/>
      <c r="DH15" s="231" t="str">
        <f>IFERROR(VLOOKUP(DE12,BOH!$B$48:$R$82,17,FALSE),"")</f>
        <v/>
      </c>
      <c r="DI15" s="232"/>
      <c r="DJ15" s="124" t="str">
        <f>IFERROR(VLOOKUP(DE12,BOH!$B$48:$R$82,8,FALSE),"")</f>
        <v/>
      </c>
      <c r="DK15" s="34" t="str">
        <f>IFERROR(VLOOKUP(DK14,BOH!$B$48:$R$82,11,FALSE),"")</f>
        <v/>
      </c>
      <c r="DL15" s="233" t="str">
        <f>IFERROR(YEAR(VLOOKUP(DK14,BOH!$B$48:$R$82,2,FALSE)),"")</f>
        <v/>
      </c>
      <c r="DM15" s="189"/>
      <c r="DN15" s="166" t="str">
        <f>IFERROR(VLOOKUP(DK14,BOH!$B$48:$R$82,3,FALSE),"")</f>
        <v/>
      </c>
      <c r="DO15" s="234" t="str">
        <f>IFERROR(VLOOKUP(DK14,BOH!$B$48:$R$82,15,FALSE),"")</f>
        <v/>
      </c>
      <c r="DP15" s="235"/>
      <c r="DQ15" s="228" t="str">
        <f>IFERROR(VLOOKUP(DQ12,BOH!$B$48:$R$82,16,FALSE),"")</f>
        <v/>
      </c>
      <c r="DR15" s="229"/>
      <c r="DS15" s="230"/>
      <c r="DT15" s="231" t="str">
        <f>IFERROR(VLOOKUP(DQ12,BOH!$B$48:$R$82,17,FALSE),"")</f>
        <v/>
      </c>
      <c r="DU15" s="232"/>
      <c r="DV15" s="124" t="str">
        <f>IFERROR(VLOOKUP(DQ12,BOH!$B$48:$R$82,8,FALSE),"")</f>
        <v/>
      </c>
      <c r="DW15" s="228" t="str">
        <f>IFERROR(VLOOKUP(DW12,SPA!$B$48:$R$82,16,FALSE),"")</f>
        <v/>
      </c>
      <c r="DX15" s="229"/>
      <c r="DY15" s="230"/>
      <c r="DZ15" s="231" t="str">
        <f>IFERROR(VLOOKUP(DW12,SPA!$B$48:$R$82,17,FALSE),"")</f>
        <v/>
      </c>
      <c r="EA15" s="232"/>
      <c r="EB15" s="124" t="str">
        <f>IFERROR(VLOOKUP(DW12,SPA!$B$48:$R$82,8,FALSE),"")</f>
        <v/>
      </c>
      <c r="EC15" s="34" t="str">
        <f>IFERROR(VLOOKUP(EC14,SPA!$B$48:$R$82,11,FALSE),"")</f>
        <v/>
      </c>
      <c r="ED15" s="233" t="str">
        <f>IFERROR(YEAR(VLOOKUP(EC14,SPA!$B$48:$R$82,2,FALSE)),"")</f>
        <v/>
      </c>
      <c r="EE15" s="189"/>
      <c r="EF15" s="166" t="str">
        <f>IFERROR(VLOOKUP(EC14,SPA!$B$48:$R$82,3,FALSE),"")</f>
        <v/>
      </c>
      <c r="EG15" s="234" t="str">
        <f>IFERROR(VLOOKUP(EC14,SPA!$B$48:$R$82,15,FALSE),"")</f>
        <v/>
      </c>
      <c r="EH15" s="235"/>
      <c r="EI15" s="228" t="str">
        <f>IFERROR(VLOOKUP(EI12,SPA!$B$48:$R$82,16,FALSE),"")</f>
        <v/>
      </c>
      <c r="EJ15" s="229"/>
      <c r="EK15" s="230"/>
      <c r="EL15" s="231" t="str">
        <f>IFERROR(VLOOKUP(EI12,SPA!$B$48:$R$82,17,FALSE),"")</f>
        <v/>
      </c>
      <c r="EM15" s="232"/>
      <c r="EN15" s="124" t="str">
        <f>IFERROR(VLOOKUP(EI12,SPA!$B$48:$R$82,8,FALSE),"")</f>
        <v/>
      </c>
    </row>
    <row r="16" spans="1:144" ht="15.6" customHeight="1" thickTop="1" thickBot="1" x14ac:dyDescent="0.3">
      <c r="A16" s="16"/>
      <c r="B16" s="16"/>
      <c r="C16" s="16"/>
      <c r="D16" s="16"/>
      <c r="E16" s="33"/>
      <c r="F16" s="33"/>
      <c r="G16" s="237" t="str">
        <f>IFERROR(VLOOKUP(G14,SKV!$B$2:$O$36,14,FALSE),"")</f>
        <v>17 OZ , 23 (14+9), -11 ±</v>
      </c>
      <c r="H16" s="238"/>
      <c r="I16" s="238"/>
      <c r="J16" s="226" t="str">
        <f>IFERROR(VLOOKUP(G14,SKV!$B$48:$AA$82,14,FALSE),"")</f>
        <v>195 OZ, 187 (104+83)</v>
      </c>
      <c r="K16" s="226"/>
      <c r="L16" s="227"/>
      <c r="M16" s="33"/>
      <c r="N16" s="33"/>
      <c r="O16" s="33"/>
      <c r="P16" s="33"/>
      <c r="Q16" s="33"/>
      <c r="R16" s="33"/>
      <c r="S16" s="16"/>
      <c r="T16" s="16"/>
      <c r="U16" s="16"/>
      <c r="V16" s="16"/>
      <c r="W16" s="33"/>
      <c r="X16" s="33"/>
      <c r="Y16" s="237" t="str">
        <f>IFERROR(VLOOKUP(Y14,CHO!$B$2:$O$36,14,FALSE),"")</f>
        <v>16 OZ , 12 (5+7), 0 ±</v>
      </c>
      <c r="Z16" s="238"/>
      <c r="AA16" s="238"/>
      <c r="AB16" s="226" t="str">
        <f>IFERROR(VLOOKUP(Y14,CHO!$B$48:$AA$82,14,FALSE),"")</f>
        <v>200 OZ, 210 (121+89)</v>
      </c>
      <c r="AC16" s="226"/>
      <c r="AD16" s="227"/>
      <c r="AE16" s="33"/>
      <c r="AF16" s="33"/>
      <c r="AG16" s="33"/>
      <c r="AH16" s="33"/>
      <c r="AI16" s="33"/>
      <c r="AJ16" s="33"/>
      <c r="AK16" s="16"/>
      <c r="AL16" s="16"/>
      <c r="AM16" s="16"/>
      <c r="AN16" s="16"/>
      <c r="AO16" s="33"/>
      <c r="AP16" s="33"/>
      <c r="AQ16" s="237" t="str">
        <f>IFERROR(VLOOKUP(AQ14,VIT!$B$2:$O$36,14,FALSE),"")</f>
        <v/>
      </c>
      <c r="AR16" s="238"/>
      <c r="AS16" s="238"/>
      <c r="AT16" s="226" t="str">
        <f>IFERROR(VLOOKUP(AQ14,VIT!$B$48:$R$82,14,FALSE),"")</f>
        <v/>
      </c>
      <c r="AU16" s="226"/>
      <c r="AV16" s="227"/>
      <c r="AW16" s="33"/>
      <c r="AX16" s="33"/>
      <c r="AY16" s="33"/>
      <c r="AZ16" s="33"/>
      <c r="BA16" s="33"/>
      <c r="BB16" s="33"/>
      <c r="BC16" s="16"/>
      <c r="BD16" s="16"/>
      <c r="BE16" s="16"/>
      <c r="BF16" s="16"/>
      <c r="BG16" s="33"/>
      <c r="BH16" s="33"/>
      <c r="BI16" s="237" t="str">
        <f>IFERROR(VLOOKUP(BI14,MB!$B$2:$O$36,14,FALSE),"")</f>
        <v/>
      </c>
      <c r="BJ16" s="238"/>
      <c r="BK16" s="238"/>
      <c r="BL16" s="226" t="str">
        <f>IFERROR(VLOOKUP(BI14,MB!$B$48:$R$82,14,FALSE),"")</f>
        <v/>
      </c>
      <c r="BM16" s="226"/>
      <c r="BN16" s="227"/>
      <c r="BO16" s="33"/>
      <c r="BP16" s="33"/>
      <c r="BQ16" s="33"/>
      <c r="BR16" s="33"/>
      <c r="BS16" s="33"/>
      <c r="BT16" s="33"/>
      <c r="BU16" s="16"/>
      <c r="BV16" s="16"/>
      <c r="BW16" s="16"/>
      <c r="BX16" s="16"/>
      <c r="BY16" s="33"/>
      <c r="BZ16" s="33"/>
      <c r="CA16" s="237" t="str">
        <f>IFERROR(VLOOKUP(CA14,TAT!$B$2:$O$36,14,FALSE),"")</f>
        <v/>
      </c>
      <c r="CB16" s="238"/>
      <c r="CC16" s="238"/>
      <c r="CD16" s="226" t="str">
        <f>IFERROR(VLOOKUP(CA14,TAT!$B$48:$R$82,14,FALSE),"")</f>
        <v/>
      </c>
      <c r="CE16" s="226"/>
      <c r="CF16" s="227"/>
      <c r="CG16" s="33"/>
      <c r="CH16" s="33"/>
      <c r="CI16" s="33"/>
      <c r="CJ16" s="33"/>
      <c r="CK16" s="33"/>
      <c r="CL16" s="33"/>
      <c r="CM16" s="16"/>
      <c r="CN16" s="16"/>
      <c r="CO16" s="16"/>
      <c r="CP16" s="16"/>
      <c r="CQ16" s="33"/>
      <c r="CR16" s="33"/>
      <c r="CS16" s="237" t="str">
        <f>IFERROR(VLOOKUP(CS14,OTR!$B$2:$O$36,14,FALSE),"")</f>
        <v>17 OZ , 4 (1+3), -22 ±</v>
      </c>
      <c r="CT16" s="238"/>
      <c r="CU16" s="238"/>
      <c r="CV16" s="226" t="str">
        <f>IFERROR(VLOOKUP(CS14,OTR!$B$48:$R$82,14,FALSE),"")</f>
        <v>82 OZ, 25 (14+11)</v>
      </c>
      <c r="CW16" s="226"/>
      <c r="CX16" s="227"/>
      <c r="CY16" s="33"/>
      <c r="CZ16" s="33"/>
      <c r="DA16" s="33"/>
      <c r="DB16" s="33"/>
      <c r="DC16" s="33"/>
      <c r="DD16" s="33"/>
      <c r="DE16" s="16"/>
      <c r="DF16" s="16"/>
      <c r="DG16" s="16"/>
      <c r="DH16" s="16"/>
      <c r="DI16" s="33"/>
      <c r="DJ16" s="33"/>
      <c r="DK16" s="237" t="str">
        <f>IFERROR(VLOOKUP(DK14,BOH!$B$2:$O$36,14,FALSE),"")</f>
        <v/>
      </c>
      <c r="DL16" s="238"/>
      <c r="DM16" s="238"/>
      <c r="DN16" s="226" t="str">
        <f>IFERROR(VLOOKUP(DK14,BOH!$B$48:$R$82,14,FALSE),"")</f>
        <v/>
      </c>
      <c r="DO16" s="226"/>
      <c r="DP16" s="227"/>
      <c r="DQ16" s="33"/>
      <c r="DR16" s="33"/>
      <c r="DS16" s="33"/>
      <c r="DT16" s="33"/>
      <c r="DU16" s="33"/>
      <c r="DV16" s="33"/>
      <c r="DW16" s="16"/>
      <c r="DX16" s="16"/>
      <c r="DY16" s="16"/>
      <c r="DZ16" s="16"/>
      <c r="EA16" s="33"/>
      <c r="EB16" s="33"/>
      <c r="EC16" s="237" t="str">
        <f>IFERROR(VLOOKUP(EC14,SPA!$B$2:$O$36,14,FALSE),"")</f>
        <v/>
      </c>
      <c r="ED16" s="238"/>
      <c r="EE16" s="238"/>
      <c r="EF16" s="226" t="str">
        <f>IFERROR(VLOOKUP(EC14,SPA!$B$48:$R$82,14,FALSE),"")</f>
        <v/>
      </c>
      <c r="EG16" s="226"/>
      <c r="EH16" s="227"/>
      <c r="EI16" s="33"/>
      <c r="EJ16" s="33"/>
      <c r="EK16" s="33"/>
      <c r="EL16" s="33"/>
      <c r="EM16" s="33"/>
      <c r="EN16" s="33"/>
    </row>
    <row r="17" spans="1:144" ht="15.6" customHeight="1" thickTop="1" thickBot="1" x14ac:dyDescent="0.3">
      <c r="A17" s="193" t="s">
        <v>57</v>
      </c>
      <c r="B17" s="194"/>
      <c r="C17" s="194"/>
      <c r="D17" s="194"/>
      <c r="E17" s="32" t="str">
        <f>IFERROR(IF(VLOOKUP(A17,SKV!$B$48:$AA$82,10,FALSE)=0,"",VLOOKUP(A17,SKV!$B$48:$AA$82,10,FALSE)),"")</f>
        <v>C</v>
      </c>
      <c r="F17" s="52">
        <f>IFERROR(VLOOKUP(A17,SKV!$B$48:$AA$82,9,FALSE),"")</f>
        <v>65</v>
      </c>
      <c r="G17" s="228" t="str">
        <f>IFERROR(VLOOKUP(G14,SKV!$B$48:$AA$82,16,FALSE),"")</f>
        <v>FC Vlci</v>
      </c>
      <c r="H17" s="229"/>
      <c r="I17" s="230"/>
      <c r="J17" s="231">
        <f>IFERROR(VLOOKUP(G14,SKV!$B$48:$AA$82,17,FALSE),"")</f>
        <v>2000</v>
      </c>
      <c r="K17" s="232"/>
      <c r="L17" s="124">
        <f>IFERROR(VLOOKUP(G14,SKV!$B$48:$AA$82,8,FALSE),"")</f>
        <v>10</v>
      </c>
      <c r="M17" s="193" t="s">
        <v>10</v>
      </c>
      <c r="N17" s="194"/>
      <c r="O17" s="194"/>
      <c r="P17" s="194"/>
      <c r="Q17" s="32" t="str">
        <f>IFERROR(IF(VLOOKUP(M17,SKV!$B$48:$AA$82,10,FALSE)=0,"",VLOOKUP(M17,SKV!$B$48:$AA$82,10,FALSE)),"")</f>
        <v/>
      </c>
      <c r="R17" s="52">
        <f>IFERROR(VLOOKUP(M17,SKV!$B$48:$AA$82,9,FALSE),"")</f>
        <v>76</v>
      </c>
      <c r="S17" s="193" t="s">
        <v>168</v>
      </c>
      <c r="T17" s="194"/>
      <c r="U17" s="194"/>
      <c r="V17" s="194"/>
      <c r="W17" s="32" t="str">
        <f>IFERROR(IF(VLOOKUP(S17,CHO!$B$48:$AA$82,10,FALSE)=0,"",VLOOKUP(S17,CHO!$B$48:$AA$82,10,FALSE)),"")</f>
        <v/>
      </c>
      <c r="X17" s="52">
        <f>IFERROR(VLOOKUP(S17,CHO!$B$48:$AA$82,9,FALSE),"")</f>
        <v>65</v>
      </c>
      <c r="Y17" s="228" t="str">
        <f>IFERROR(VLOOKUP(Y14,CHO!$B$48:$AA$82,16,FALSE),"")</f>
        <v>Bulldogs Brno</v>
      </c>
      <c r="Z17" s="229"/>
      <c r="AA17" s="230"/>
      <c r="AB17" s="231">
        <f>IFERROR(VLOOKUP(Y14,CHO!$B$48:$AA$82,17,FALSE),"")</f>
        <v>2004</v>
      </c>
      <c r="AC17" s="232"/>
      <c r="AD17" s="124">
        <f>IFERROR(VLOOKUP(Y14,CHO!$B$48:$AA$82,8,FALSE),"")</f>
        <v>11</v>
      </c>
      <c r="AE17" s="193" t="s">
        <v>173</v>
      </c>
      <c r="AF17" s="194"/>
      <c r="AG17" s="194"/>
      <c r="AH17" s="194"/>
      <c r="AI17" s="32" t="str">
        <f>IFERROR(IF(VLOOKUP(AE17,CHO!$B$48:$AA$82,10,FALSE)=0,"",VLOOKUP(AE17,CHO!$B$48:$AA$82,10,FALSE)),"")</f>
        <v/>
      </c>
      <c r="AJ17" s="52">
        <f>IFERROR(VLOOKUP(AE17,CHO!$B$48:$AA$82,9,FALSE),"")</f>
        <v>93</v>
      </c>
      <c r="AK17" s="193"/>
      <c r="AL17" s="194"/>
      <c r="AM17" s="194"/>
      <c r="AN17" s="194"/>
      <c r="AO17" s="32" t="str">
        <f>IFERROR(IF(VLOOKUP(AK17,VIT!$B$48:$R$82,10,FALSE)=0,"",VLOOKUP(AK17,VIT!$B$48:$R$82,10,FALSE)),"")</f>
        <v/>
      </c>
      <c r="AP17" s="52" t="str">
        <f>IFERROR(VLOOKUP(AK17,VIT!$B$48:$R$82,9,FALSE),"")</f>
        <v/>
      </c>
      <c r="AQ17" s="228" t="str">
        <f>IFERROR(VLOOKUP(AQ14,VIT!$B$48:$R$82,16,FALSE),"")</f>
        <v/>
      </c>
      <c r="AR17" s="229"/>
      <c r="AS17" s="230"/>
      <c r="AT17" s="231" t="str">
        <f>IFERROR(VLOOKUP(AQ14,VIT!$B$48:$R$82,17,FALSE),"")</f>
        <v/>
      </c>
      <c r="AU17" s="232"/>
      <c r="AV17" s="36" t="str">
        <f>IFERROR(VLOOKUP(AQ14,VIT!$B$48:$R$82,8,FALSE),"")</f>
        <v/>
      </c>
      <c r="AW17" s="193"/>
      <c r="AX17" s="194"/>
      <c r="AY17" s="194"/>
      <c r="AZ17" s="194"/>
      <c r="BA17" s="32" t="str">
        <f>IFERROR(IF(VLOOKUP(AW17,VIT!$B$48:$R$82,10,FALSE)=0,"",VLOOKUP(AW17,VIT!$B$48:$R$82,10,FALSE)),"")</f>
        <v/>
      </c>
      <c r="BB17" s="52" t="str">
        <f>IFERROR(VLOOKUP(AW17,VIT!$B$48:$R$82,9,FALSE),"")</f>
        <v/>
      </c>
      <c r="BC17" s="193"/>
      <c r="BD17" s="194"/>
      <c r="BE17" s="194"/>
      <c r="BF17" s="194"/>
      <c r="BG17" s="32" t="str">
        <f>IFERROR(IF(VLOOKUP(BC17,MB!$B$48:$R$82,10,FALSE)=0,"",VLOOKUP(BC17,MB!$B$48:$R$82,10,FALSE)),"")</f>
        <v/>
      </c>
      <c r="BH17" s="52" t="str">
        <f>IFERROR(VLOOKUP(BC17,MB!$B$48:$R$82,9,FALSE),"")</f>
        <v/>
      </c>
      <c r="BI17" s="228" t="str">
        <f>IFERROR(VLOOKUP(BI14,MB!$B$48:$R$82,16,FALSE),"")</f>
        <v/>
      </c>
      <c r="BJ17" s="229"/>
      <c r="BK17" s="230"/>
      <c r="BL17" s="231" t="str">
        <f>IFERROR(VLOOKUP(BI14,MB!$B$48:$R$82,17,FALSE),"")</f>
        <v/>
      </c>
      <c r="BM17" s="232"/>
      <c r="BN17" s="124" t="str">
        <f>IFERROR(VLOOKUP(BI14,MB!$B$48:$R$82,8,FALSE),"")</f>
        <v/>
      </c>
      <c r="BO17" s="193"/>
      <c r="BP17" s="194"/>
      <c r="BQ17" s="194"/>
      <c r="BR17" s="194"/>
      <c r="BS17" s="32" t="str">
        <f>IFERROR(IF(VLOOKUP(BO17,MB!$B$48:$R$82,10,FALSE)=0,"",VLOOKUP(BO17,MB!$B$48:$R$82,10,FALSE)),"")</f>
        <v/>
      </c>
      <c r="BT17" s="52" t="str">
        <f>IFERROR(VLOOKUP(BO17,MB!$B$48:$R$82,9,FALSE),"")</f>
        <v/>
      </c>
      <c r="BU17" s="193"/>
      <c r="BV17" s="194"/>
      <c r="BW17" s="194"/>
      <c r="BX17" s="194"/>
      <c r="BY17" s="32" t="str">
        <f>IFERROR(IF(VLOOKUP(BU17,TAT!$B$48:$R$82,10,FALSE)=0,"",VLOOKUP(BU17,TAT!$B$48:$R$82,10,FALSE)),"")</f>
        <v/>
      </c>
      <c r="BZ17" s="52" t="str">
        <f>IFERROR(VLOOKUP(BU17,TAT!$B$48:$R$82,9,FALSE),"")</f>
        <v/>
      </c>
      <c r="CA17" s="228" t="str">
        <f>IFERROR(VLOOKUP(CA14,TAT!$B$48:$R$82,16,FALSE),"")</f>
        <v/>
      </c>
      <c r="CB17" s="229"/>
      <c r="CC17" s="230"/>
      <c r="CD17" s="231" t="str">
        <f>IFERROR(VLOOKUP(CA14,TAT!$B$48:$R$82,17,FALSE),"")</f>
        <v/>
      </c>
      <c r="CE17" s="232"/>
      <c r="CF17" s="124" t="str">
        <f>IFERROR(VLOOKUP(CA14,TAT!$B$48:$R$82,8,FALSE),"")</f>
        <v/>
      </c>
      <c r="CG17" s="193"/>
      <c r="CH17" s="194"/>
      <c r="CI17" s="194"/>
      <c r="CJ17" s="194"/>
      <c r="CK17" s="32" t="str">
        <f>IFERROR(IF(VLOOKUP(CG17,TAT!$B$48:$R$82,10,FALSE)=0,"",VLOOKUP(CG17,TAT!$B$48:$R$82,10,FALSE)),"")</f>
        <v/>
      </c>
      <c r="CL17" s="52" t="str">
        <f>IFERROR(VLOOKUP(CG17,TAT!$B$48:$R$82,9,FALSE),"")</f>
        <v/>
      </c>
      <c r="CM17" s="193" t="s">
        <v>489</v>
      </c>
      <c r="CN17" s="194"/>
      <c r="CO17" s="194"/>
      <c r="CP17" s="194"/>
      <c r="CQ17" s="32" t="str">
        <f>IFERROR(IF(VLOOKUP(CM17,OTR!$B$48:$R$82,10,FALSE)=0,"",VLOOKUP(CM17,OTR!$B$48:$R$82,10,FALSE)),"")</f>
        <v/>
      </c>
      <c r="CR17" s="52">
        <f>IFERROR(VLOOKUP(CM17,OTR!$B$48:$R$82,9,FALSE),"")</f>
        <v>25</v>
      </c>
      <c r="CS17" s="228" t="str">
        <f>IFERROR(VLOOKUP(CS14,OTR!$B$48:$R$82,16,FALSE),"")</f>
        <v>TJ MEZ Vsetín</v>
      </c>
      <c r="CT17" s="229"/>
      <c r="CU17" s="230"/>
      <c r="CV17" s="231">
        <f>IFERROR(VLOOKUP(CS14,OTR!$B$48:$R$82,17,FALSE),"")</f>
        <v>2004</v>
      </c>
      <c r="CW17" s="232"/>
      <c r="CX17" s="124">
        <f>IFERROR(VLOOKUP(CS14,OTR!$B$48:$R$82,8,FALSE),"")</f>
        <v>4</v>
      </c>
      <c r="CY17" s="193" t="s">
        <v>482</v>
      </c>
      <c r="CZ17" s="194"/>
      <c r="DA17" s="194"/>
      <c r="DB17" s="194"/>
      <c r="DC17" s="32" t="str">
        <f>IFERROR(IF(VLOOKUP(CY17,OTR!$B$48:$R$82,10,FALSE)=0,"",VLOOKUP(CY17,OTR!$B$48:$R$82,10,FALSE)),"")</f>
        <v/>
      </c>
      <c r="DD17" s="52">
        <f>IFERROR(VLOOKUP(CY17,OTR!$B$48:$R$82,9,FALSE),"")</f>
        <v>23</v>
      </c>
      <c r="DE17" s="193"/>
      <c r="DF17" s="194"/>
      <c r="DG17" s="194"/>
      <c r="DH17" s="194"/>
      <c r="DI17" s="32" t="str">
        <f>IFERROR(IF(VLOOKUP(DE17,BOH!$B$48:$R$82,10,FALSE)=0,"",VLOOKUP(DE17,BOH!$B$48:$R$82,10,FALSE)),"")</f>
        <v/>
      </c>
      <c r="DJ17" s="52" t="str">
        <f>IFERROR(VLOOKUP(DE17,BOH!$B$48:$R$82,9,FALSE),"")</f>
        <v/>
      </c>
      <c r="DK17" s="228" t="str">
        <f>IFERROR(VLOOKUP(DK14,BOH!$B$48:$R$82,16,FALSE),"")</f>
        <v/>
      </c>
      <c r="DL17" s="229"/>
      <c r="DM17" s="230"/>
      <c r="DN17" s="231" t="str">
        <f>IFERROR(VLOOKUP(DK14,BOH!$B$48:$R$82,17,FALSE),"")</f>
        <v/>
      </c>
      <c r="DO17" s="232"/>
      <c r="DP17" s="124" t="str">
        <f>IFERROR(VLOOKUP(DK14,BOH!$B$48:$R$82,8,FALSE),"")</f>
        <v/>
      </c>
      <c r="DQ17" s="193"/>
      <c r="DR17" s="194"/>
      <c r="DS17" s="194"/>
      <c r="DT17" s="194"/>
      <c r="DU17" s="32" t="str">
        <f>IFERROR(IF(VLOOKUP(DQ17,BOH!$B$48:$R$82,10,FALSE)=0,"",VLOOKUP(DQ17,BOH!$B$48:$R$82,10,FALSE)),"")</f>
        <v/>
      </c>
      <c r="DV17" s="52" t="str">
        <f>IFERROR(VLOOKUP(DQ17,BOH!$B$48:$R$82,9,FALSE),"")</f>
        <v/>
      </c>
      <c r="DW17" s="193"/>
      <c r="DX17" s="194"/>
      <c r="DY17" s="194"/>
      <c r="DZ17" s="194"/>
      <c r="EA17" s="32" t="str">
        <f>IFERROR(IF(VLOOKUP(DW17,SPA!$B$48:$R$82,10,FALSE)=0,"",VLOOKUP(DW17,SPA!$B$48:$R$82,10,FALSE)),"")</f>
        <v/>
      </c>
      <c r="EB17" s="52" t="str">
        <f>IFERROR(VLOOKUP(DW17,SPA!$B$48:$R$82,9,FALSE),"")</f>
        <v/>
      </c>
      <c r="EC17" s="228" t="str">
        <f>IFERROR(VLOOKUP(EC14,SPA!$B$48:$R$82,16,FALSE),"")</f>
        <v/>
      </c>
      <c r="ED17" s="229"/>
      <c r="EE17" s="230"/>
      <c r="EF17" s="231" t="str">
        <f>IFERROR(VLOOKUP(EC14,SPA!$B$48:$R$82,17,FALSE),"")</f>
        <v/>
      </c>
      <c r="EG17" s="232"/>
      <c r="EH17" s="124" t="str">
        <f>IFERROR(VLOOKUP(EC14,SPA!$B$48:$R$82,8,FALSE),"")</f>
        <v/>
      </c>
      <c r="EI17" s="193"/>
      <c r="EJ17" s="194"/>
      <c r="EK17" s="194"/>
      <c r="EL17" s="194"/>
      <c r="EM17" s="32" t="str">
        <f>IFERROR(IF(VLOOKUP(EI17,SPA!$B$48:$R$82,10,FALSE)=0,"",VLOOKUP(EI17,SPA!$B$48:$R$82,10,FALSE)),"")</f>
        <v/>
      </c>
      <c r="EN17" s="52" t="str">
        <f>IFERROR(VLOOKUP(EI17,SPA!$B$48:$R$82,9,FALSE),"")</f>
        <v/>
      </c>
    </row>
    <row r="18" spans="1:144" ht="15.6" customHeight="1" thickBot="1" x14ac:dyDescent="0.3">
      <c r="A18" s="34" t="str">
        <f>IFERROR(VLOOKUP(A17,SKV!$B$48:$AA$82,11,FALSE),"")</f>
        <v>P</v>
      </c>
      <c r="B18" s="233">
        <f>IFERROR(YEAR(VLOOKUP(A17,SKV!$B$48:$AA$82,2,FALSE)),"")</f>
        <v>1993</v>
      </c>
      <c r="C18" s="189"/>
      <c r="D18" s="35">
        <f ca="1">IFERROR(VLOOKUP(A17,SKV!$B$48:$AA$82,3,FALSE),"")</f>
        <v>27</v>
      </c>
      <c r="E18" s="234" t="str">
        <f>IFERROR(VLOOKUP(A17,SKV!$B$48:$AA$82,15,FALSE),"")</f>
        <v>169/65</v>
      </c>
      <c r="F18" s="235"/>
      <c r="G18" s="33"/>
      <c r="H18" s="33"/>
      <c r="I18" s="33"/>
      <c r="J18" s="33"/>
      <c r="K18" s="33"/>
      <c r="L18" s="33"/>
      <c r="M18" s="34" t="str">
        <f>IFERROR(VLOOKUP(M17,SKV!$B$48:$AA$82,11,FALSE),"")</f>
        <v>L</v>
      </c>
      <c r="N18" s="233">
        <f>IFERROR(YEAR(VLOOKUP(M17,SKV!$B$48:$AA$82,2,FALSE)),"")</f>
        <v>1989</v>
      </c>
      <c r="O18" s="189"/>
      <c r="P18" s="35">
        <f ca="1">IFERROR(VLOOKUP(M17,SKV!$B$48:$AA$82,3,FALSE),"")</f>
        <v>31</v>
      </c>
      <c r="Q18" s="234" t="str">
        <f>IFERROR(VLOOKUP(M17,SKV!$B$48:$AA$82,15,FALSE),"")</f>
        <v>192/83</v>
      </c>
      <c r="R18" s="235"/>
      <c r="S18" s="34" t="str">
        <f>IFERROR(VLOOKUP(S17,CHO!$B$48:$AA$82,11,FALSE),"")</f>
        <v>P</v>
      </c>
      <c r="T18" s="233">
        <f>IFERROR(YEAR(VLOOKUP(S17,CHO!$B$48:$AA$82,2,FALSE)),"")</f>
        <v>1992</v>
      </c>
      <c r="U18" s="189"/>
      <c r="V18" s="35">
        <f ca="1">IFERROR(VLOOKUP(S17,CHO!$B$48:$AA$82,3,FALSE),"")</f>
        <v>28</v>
      </c>
      <c r="W18" s="234" t="str">
        <f>IFERROR(VLOOKUP(S17,CHO!$B$48:$AA$82,15,FALSE),"")</f>
        <v>195/86</v>
      </c>
      <c r="X18" s="235"/>
      <c r="Y18" s="33"/>
      <c r="Z18" s="33"/>
      <c r="AA18" s="33"/>
      <c r="AB18" s="33"/>
      <c r="AC18" s="33"/>
      <c r="AD18" s="33"/>
      <c r="AE18" s="34" t="str">
        <f>IFERROR(VLOOKUP(AE17,CHO!$B$48:$AA$82,11,FALSE),"")</f>
        <v>L</v>
      </c>
      <c r="AF18" s="233">
        <f>IFERROR(YEAR(VLOOKUP(AE17,CHO!$B$48:$AA$82,2,FALSE)),"")</f>
        <v>2003</v>
      </c>
      <c r="AG18" s="189"/>
      <c r="AH18" s="35">
        <f ca="1">IFERROR(VLOOKUP(AE17,CHO!$B$48:$AA$82,3,FALSE),"")</f>
        <v>17</v>
      </c>
      <c r="AI18" s="234" t="str">
        <f>IFERROR(VLOOKUP(AE17,CHO!$B$48:$AA$82,15,FALSE),"")</f>
        <v>175/67</v>
      </c>
      <c r="AJ18" s="235"/>
      <c r="AK18" s="34" t="str">
        <f>IFERROR(VLOOKUP(AK17,VIT!$B$48:$R$82,11,FALSE),"")</f>
        <v/>
      </c>
      <c r="AL18" s="233" t="str">
        <f>IFERROR(YEAR(VLOOKUP(AK17,VIT!$B$48:$R$82,2,FALSE)),"")</f>
        <v/>
      </c>
      <c r="AM18" s="189"/>
      <c r="AN18" s="106" t="str">
        <f>IFERROR(VLOOKUP(AK17,VIT!$B$48:$R$82,3,FALSE),"")</f>
        <v/>
      </c>
      <c r="AO18" s="234" t="str">
        <f>IFERROR(VLOOKUP(AK17,VIT!$B$48:$R$82,15,FALSE),"")</f>
        <v/>
      </c>
      <c r="AP18" s="235"/>
      <c r="AQ18" s="33"/>
      <c r="AR18" s="33"/>
      <c r="AS18" s="33"/>
      <c r="AT18" s="33"/>
      <c r="AU18" s="33"/>
      <c r="AV18" s="33"/>
      <c r="AW18" s="34" t="str">
        <f>IFERROR(VLOOKUP(AW17,VIT!$B$48:$R$82,11,FALSE),"")</f>
        <v/>
      </c>
      <c r="AX18" s="233" t="str">
        <f>IFERROR(YEAR(VLOOKUP(AW17,VIT!$B$48:$R$82,2,FALSE)),"")</f>
        <v/>
      </c>
      <c r="AY18" s="189"/>
      <c r="AZ18" s="106" t="str">
        <f>IFERROR(VLOOKUP(AW17,VIT!$B$48:$R$82,3,FALSE),"")</f>
        <v/>
      </c>
      <c r="BA18" s="234" t="str">
        <f>IFERROR(VLOOKUP(AW17,VIT!$B$48:$R$82,15,FALSE),"")</f>
        <v/>
      </c>
      <c r="BB18" s="235"/>
      <c r="BC18" s="34" t="str">
        <f>IFERROR(VLOOKUP(BC17,MB!$B$48:$R$82,11,FALSE),"")</f>
        <v/>
      </c>
      <c r="BD18" s="233" t="str">
        <f>IFERROR(YEAR(VLOOKUP(BC17,MB!$B$48:$R$82,2,FALSE)),"")</f>
        <v/>
      </c>
      <c r="BE18" s="189"/>
      <c r="BF18" s="108" t="str">
        <f>IFERROR(VLOOKUP(BC17,MB!$B$48:$R$82,3,FALSE),"")</f>
        <v/>
      </c>
      <c r="BG18" s="234" t="str">
        <f>IFERROR(VLOOKUP(BC17,MB!$B$48:$R$82,15,FALSE),"")</f>
        <v/>
      </c>
      <c r="BH18" s="235"/>
      <c r="BI18" s="33"/>
      <c r="BJ18" s="33"/>
      <c r="BK18" s="33"/>
      <c r="BL18" s="33"/>
      <c r="BM18" s="33"/>
      <c r="BN18" s="33"/>
      <c r="BO18" s="34" t="str">
        <f>IFERROR(VLOOKUP(BO17,MB!$B$48:$R$82,11,FALSE),"")</f>
        <v/>
      </c>
      <c r="BP18" s="233" t="str">
        <f>IFERROR(YEAR(VLOOKUP(BO17,MB!$B$48:$R$82,2,FALSE)),"")</f>
        <v/>
      </c>
      <c r="BQ18" s="189"/>
      <c r="BR18" s="108" t="str">
        <f>IFERROR(VLOOKUP(BO17,MB!$B$48:$R$82,3,FALSE),"")</f>
        <v/>
      </c>
      <c r="BS18" s="234" t="str">
        <f>IFERROR(VLOOKUP(BO17,MB!$B$48:$R$82,15,FALSE),"")</f>
        <v/>
      </c>
      <c r="BT18" s="235"/>
      <c r="BU18" s="34" t="str">
        <f>IFERROR(VLOOKUP(BU17,TAT!$B$48:$R$82,11,FALSE),"")</f>
        <v/>
      </c>
      <c r="BV18" s="233" t="str">
        <f>IFERROR(YEAR(VLOOKUP(BU17,TAT!$B$48:$R$82,2,FALSE)),"")</f>
        <v/>
      </c>
      <c r="BW18" s="189"/>
      <c r="BX18" s="151" t="str">
        <f>IFERROR(VLOOKUP(BU17,TAT!$B$48:$R$82,3,FALSE),"")</f>
        <v/>
      </c>
      <c r="BY18" s="234" t="str">
        <f>IFERROR(VLOOKUP(BU17,TAT!$B$48:$R$82,15,FALSE),"")</f>
        <v/>
      </c>
      <c r="BZ18" s="235"/>
      <c r="CA18" s="33"/>
      <c r="CB18" s="33"/>
      <c r="CC18" s="33"/>
      <c r="CD18" s="33"/>
      <c r="CE18" s="33"/>
      <c r="CF18" s="33"/>
      <c r="CG18" s="34" t="str">
        <f>IFERROR(VLOOKUP(CG17,TAT!$B$48:$R$82,11,FALSE),"")</f>
        <v/>
      </c>
      <c r="CH18" s="233" t="str">
        <f>IFERROR(YEAR(VLOOKUP(CG17,TAT!$B$48:$R$82,2,FALSE)),"")</f>
        <v/>
      </c>
      <c r="CI18" s="189"/>
      <c r="CJ18" s="151" t="str">
        <f>IFERROR(VLOOKUP(CG17,TAT!$B$48:$R$82,3,FALSE),"")</f>
        <v/>
      </c>
      <c r="CK18" s="234" t="str">
        <f>IFERROR(VLOOKUP(CG17,TAT!$B$48:$R$82,15,FALSE),"")</f>
        <v/>
      </c>
      <c r="CL18" s="235"/>
      <c r="CM18" s="34" t="str">
        <f>IFERROR(VLOOKUP(CM17,OTR!$B$48:$R$82,11,FALSE),"")</f>
        <v>L</v>
      </c>
      <c r="CN18" s="233">
        <f>IFERROR(YEAR(VLOOKUP(CM17,OTR!$B$48:$R$82,2,FALSE)),"")</f>
        <v>2000</v>
      </c>
      <c r="CO18" s="189"/>
      <c r="CP18" s="151">
        <f ca="1">IFERROR(VLOOKUP(CM17,OTR!$B$48:$R$82,3,FALSE),"")</f>
        <v>20</v>
      </c>
      <c r="CQ18" s="234" t="str">
        <f>IFERROR(VLOOKUP(CM17,OTR!$B$48:$R$82,15,FALSE),"")</f>
        <v>185/77</v>
      </c>
      <c r="CR18" s="235"/>
      <c r="CS18" s="33"/>
      <c r="CT18" s="33"/>
      <c r="CU18" s="33"/>
      <c r="CV18" s="33"/>
      <c r="CW18" s="33"/>
      <c r="CX18" s="33"/>
      <c r="CY18" s="34" t="str">
        <f>IFERROR(VLOOKUP(CY17,OTR!$B$48:$R$82,11,FALSE),"")</f>
        <v>L</v>
      </c>
      <c r="CZ18" s="233">
        <f>IFERROR(YEAR(VLOOKUP(CY17,OTR!$B$48:$R$82,2,FALSE)),"")</f>
        <v>1997</v>
      </c>
      <c r="DA18" s="189"/>
      <c r="DB18" s="151">
        <f ca="1">IFERROR(VLOOKUP(CY17,OTR!$B$48:$R$82,3,FALSE),"")</f>
        <v>23</v>
      </c>
      <c r="DC18" s="234" t="str">
        <f>IFERROR(VLOOKUP(CY17,OTR!$B$48:$R$82,15,FALSE),"")</f>
        <v>185/78</v>
      </c>
      <c r="DD18" s="235"/>
      <c r="DE18" s="34" t="str">
        <f>IFERROR(VLOOKUP(DE17,BOH!$B$48:$R$82,11,FALSE),"")</f>
        <v/>
      </c>
      <c r="DF18" s="233" t="str">
        <f>IFERROR(YEAR(VLOOKUP(DE17,BOH!$B$48:$R$82,2,FALSE)),"")</f>
        <v/>
      </c>
      <c r="DG18" s="189"/>
      <c r="DH18" s="166" t="str">
        <f>IFERROR(VLOOKUP(DE17,BOH!$B$48:$R$82,3,FALSE),"")</f>
        <v/>
      </c>
      <c r="DI18" s="234" t="str">
        <f>IFERROR(VLOOKUP(DE17,BOH!$B$48:$R$82,15,FALSE),"")</f>
        <v/>
      </c>
      <c r="DJ18" s="235"/>
      <c r="DK18" s="33"/>
      <c r="DL18" s="33"/>
      <c r="DM18" s="33"/>
      <c r="DN18" s="33"/>
      <c r="DO18" s="33"/>
      <c r="DP18" s="33"/>
      <c r="DQ18" s="34" t="str">
        <f>IFERROR(VLOOKUP(DQ17,BOH!$B$48:$R$82,11,FALSE),"")</f>
        <v/>
      </c>
      <c r="DR18" s="233" t="str">
        <f>IFERROR(YEAR(VLOOKUP(DQ17,BOH!$B$48:$R$82,2,FALSE)),"")</f>
        <v/>
      </c>
      <c r="DS18" s="189"/>
      <c r="DT18" s="166" t="str">
        <f>IFERROR(VLOOKUP(DQ17,BOH!$B$48:$R$82,3,FALSE),"")</f>
        <v/>
      </c>
      <c r="DU18" s="234" t="str">
        <f>IFERROR(VLOOKUP(DQ17,BOH!$B$48:$R$82,15,FALSE),"")</f>
        <v/>
      </c>
      <c r="DV18" s="235"/>
      <c r="DW18" s="34" t="str">
        <f>IFERROR(VLOOKUP(DW17,SPA!$B$48:$R$82,11,FALSE),"")</f>
        <v/>
      </c>
      <c r="DX18" s="233" t="str">
        <f>IFERROR(YEAR(VLOOKUP(DW17,SPA!$B$48:$R$82,2,FALSE)),"")</f>
        <v/>
      </c>
      <c r="DY18" s="189"/>
      <c r="DZ18" s="166" t="str">
        <f>IFERROR(VLOOKUP(DW17,SPA!$B$48:$R$82,3,FALSE),"")</f>
        <v/>
      </c>
      <c r="EA18" s="234" t="str">
        <f>IFERROR(VLOOKUP(DW17,SPA!$B$48:$R$82,15,FALSE),"")</f>
        <v/>
      </c>
      <c r="EB18" s="235"/>
      <c r="EC18" s="33"/>
      <c r="ED18" s="33"/>
      <c r="EE18" s="33"/>
      <c r="EF18" s="33"/>
      <c r="EG18" s="33"/>
      <c r="EH18" s="33"/>
      <c r="EI18" s="34" t="str">
        <f>IFERROR(VLOOKUP(EI17,SPA!$B$48:$R$82,11,FALSE),"")</f>
        <v/>
      </c>
      <c r="EJ18" s="233" t="str">
        <f>IFERROR(YEAR(VLOOKUP(EI17,SPA!$B$48:$R$82,2,FALSE)),"")</f>
        <v/>
      </c>
      <c r="EK18" s="189"/>
      <c r="EL18" s="166" t="str">
        <f>IFERROR(VLOOKUP(EI17,SPA!$B$48:$R$82,3,FALSE),"")</f>
        <v/>
      </c>
      <c r="EM18" s="234" t="str">
        <f>IFERROR(VLOOKUP(EI17,SPA!$B$48:$R$82,15,FALSE),"")</f>
        <v/>
      </c>
      <c r="EN18" s="235"/>
    </row>
    <row r="19" spans="1:144" ht="15.6" customHeight="1" x14ac:dyDescent="0.25">
      <c r="A19" s="237" t="str">
        <f>IFERROR(VLOOKUP(A17,SKV!$B$2:$O$36,14,FALSE),"")</f>
        <v>17 OZ , 9 (6+3), -18 ±</v>
      </c>
      <c r="B19" s="238"/>
      <c r="C19" s="238"/>
      <c r="D19" s="226" t="str">
        <f>IFERROR(VLOOKUP(A17,SKV!$B$48:$AA$82,14,FALSE),"")</f>
        <v>100 OZ, 51 (30+21)</v>
      </c>
      <c r="E19" s="226"/>
      <c r="F19" s="227"/>
      <c r="G19" s="33"/>
      <c r="H19" s="236" t="str">
        <f>H$8</f>
        <v>SKV</v>
      </c>
      <c r="I19" s="236"/>
      <c r="J19" s="236"/>
      <c r="K19" s="236"/>
      <c r="L19" s="33"/>
      <c r="M19" s="237" t="str">
        <f>IFERROR(VLOOKUP(M17,SKV!$B$2:$O$36,14,FALSE),"")</f>
        <v>13 OZ , 7 (1+6), -2 ±</v>
      </c>
      <c r="N19" s="238"/>
      <c r="O19" s="238"/>
      <c r="P19" s="226" t="str">
        <f>IFERROR(VLOOKUP(M17,SKV!$B$48:$AA$82,14,FALSE),"")</f>
        <v>199 OZ, 128 (64+64)</v>
      </c>
      <c r="Q19" s="226"/>
      <c r="R19" s="227"/>
      <c r="S19" s="237" t="str">
        <f>IFERROR(VLOOKUP(S17,CHO!$B$2:$O$36,14,FALSE),"")</f>
        <v>16 OZ , 11 (4+7), +7 ±</v>
      </c>
      <c r="T19" s="238"/>
      <c r="U19" s="238"/>
      <c r="V19" s="226" t="str">
        <f>IFERROR(VLOOKUP(S17,CHO!$B$48:$AA$82,14,FALSE),"")</f>
        <v>198 OZ, 165 (86+79)</v>
      </c>
      <c r="W19" s="226"/>
      <c r="X19" s="227"/>
      <c r="Y19" s="33"/>
      <c r="Z19" s="236" t="str">
        <f>$Z$8</f>
        <v>CHO</v>
      </c>
      <c r="AA19" s="236"/>
      <c r="AB19" s="236"/>
      <c r="AC19" s="236"/>
      <c r="AD19" s="33"/>
      <c r="AE19" s="237" t="str">
        <f>IFERROR(VLOOKUP(AE17,CHO!$B$2:$O$36,14,FALSE),"")</f>
        <v>13 OZ , 4 (2+2), +4 ±</v>
      </c>
      <c r="AF19" s="238"/>
      <c r="AG19" s="238"/>
      <c r="AH19" s="226" t="str">
        <f>IFERROR(VLOOKUP(AE17,CHO!$B$48:$AA$82,14,FALSE),"")</f>
        <v>13 OZ, 4 (2+2)</v>
      </c>
      <c r="AI19" s="226"/>
      <c r="AJ19" s="227"/>
      <c r="AK19" s="237" t="str">
        <f>IFERROR(VLOOKUP(AK17,VIT!$B$2:$O$36,14,FALSE),"")</f>
        <v/>
      </c>
      <c r="AL19" s="238"/>
      <c r="AM19" s="238"/>
      <c r="AN19" s="226" t="str">
        <f>IFERROR(VLOOKUP(AK17,VIT!$B$48:$R$82,14,FALSE),"")</f>
        <v/>
      </c>
      <c r="AO19" s="226"/>
      <c r="AP19" s="227"/>
      <c r="AQ19" s="33"/>
      <c r="AR19" s="236" t="str">
        <f>AR$8</f>
        <v>VIT</v>
      </c>
      <c r="AS19" s="236"/>
      <c r="AT19" s="236"/>
      <c r="AU19" s="236"/>
      <c r="AV19" s="33"/>
      <c r="AW19" s="237" t="str">
        <f>IFERROR(VLOOKUP(AW17,VIT!$B$2:$O$36,14,FALSE),"")</f>
        <v/>
      </c>
      <c r="AX19" s="238"/>
      <c r="AY19" s="238"/>
      <c r="AZ19" s="226" t="str">
        <f>IFERROR(VLOOKUP(AW17,VIT!$B$48:$R$82,14,FALSE),"")</f>
        <v/>
      </c>
      <c r="BA19" s="226"/>
      <c r="BB19" s="227"/>
      <c r="BC19" s="237" t="str">
        <f>IFERROR(VLOOKUP(BC17,MB!$B$2:$O$36,14,FALSE),"")</f>
        <v/>
      </c>
      <c r="BD19" s="238"/>
      <c r="BE19" s="238"/>
      <c r="BF19" s="226" t="str">
        <f>IFERROR(VLOOKUP(BC17,MB!$B$48:$R$82,14,FALSE),"")</f>
        <v/>
      </c>
      <c r="BG19" s="226"/>
      <c r="BH19" s="227"/>
      <c r="BI19" s="33"/>
      <c r="BJ19" s="236" t="str">
        <f>BJ$8</f>
        <v>MB</v>
      </c>
      <c r="BK19" s="236"/>
      <c r="BL19" s="236"/>
      <c r="BM19" s="236"/>
      <c r="BN19" s="33"/>
      <c r="BO19" s="237" t="str">
        <f>IFERROR(VLOOKUP(BO17,MB!$B$2:$O$36,14,FALSE),"")</f>
        <v/>
      </c>
      <c r="BP19" s="238"/>
      <c r="BQ19" s="238"/>
      <c r="BR19" s="226" t="str">
        <f>IFERROR(VLOOKUP(BO17,MB!$B$48:$R$82,14,FALSE),"")</f>
        <v/>
      </c>
      <c r="BS19" s="226"/>
      <c r="BT19" s="227"/>
      <c r="BU19" s="237" t="str">
        <f>IFERROR(VLOOKUP(BU17,TAT!$B$2:$O$36,14,FALSE),"")</f>
        <v/>
      </c>
      <c r="BV19" s="238"/>
      <c r="BW19" s="238"/>
      <c r="BX19" s="226" t="str">
        <f>IFERROR(VLOOKUP(BU17,TAT!$B$48:$R$82,14,FALSE),"")</f>
        <v/>
      </c>
      <c r="BY19" s="226"/>
      <c r="BZ19" s="227"/>
      <c r="CA19" s="33"/>
      <c r="CB19" s="236" t="str">
        <f>CB$8</f>
        <v>TAT</v>
      </c>
      <c r="CC19" s="236"/>
      <c r="CD19" s="236"/>
      <c r="CE19" s="236"/>
      <c r="CF19" s="33"/>
      <c r="CG19" s="237" t="str">
        <f>IFERROR(VLOOKUP(CG17,TAT!$B$2:$O$36,14,FALSE),"")</f>
        <v/>
      </c>
      <c r="CH19" s="238"/>
      <c r="CI19" s="238"/>
      <c r="CJ19" s="226" t="str">
        <f>IFERROR(VLOOKUP(CG17,TAT!$B$48:$R$82,14,FALSE),"")</f>
        <v/>
      </c>
      <c r="CK19" s="226"/>
      <c r="CL19" s="227"/>
      <c r="CM19" s="237" t="str">
        <f>IFERROR(VLOOKUP(CM17,OTR!$B$2:$O$36,14,FALSE),"")</f>
        <v>11 OZ , 5 (1+4), -14 ±</v>
      </c>
      <c r="CN19" s="238"/>
      <c r="CO19" s="238"/>
      <c r="CP19" s="226" t="str">
        <f>IFERROR(VLOOKUP(CM17,OTR!$B$48:$R$82,14,FALSE),"")</f>
        <v>82 OZ, 55 (30+25)</v>
      </c>
      <c r="CQ19" s="226"/>
      <c r="CR19" s="227"/>
      <c r="CS19" s="33"/>
      <c r="CT19" s="236" t="str">
        <f>CT$8</f>
        <v>OTR</v>
      </c>
      <c r="CU19" s="236"/>
      <c r="CV19" s="236"/>
      <c r="CW19" s="236"/>
      <c r="CX19" s="33"/>
      <c r="CY19" s="237" t="str">
        <f>IFERROR(VLOOKUP(CY17,OTR!$B$2:$O$36,14,FALSE),"")</f>
        <v>17 OZ , 9 (4+5), -5 ±</v>
      </c>
      <c r="CZ19" s="238"/>
      <c r="DA19" s="238"/>
      <c r="DB19" s="226" t="str">
        <f>IFERROR(VLOOKUP(CY17,OTR!$B$48:$R$82,14,FALSE),"")</f>
        <v>112 OZ, 43 (24+19)</v>
      </c>
      <c r="DC19" s="226"/>
      <c r="DD19" s="227"/>
      <c r="DE19" s="237" t="str">
        <f>IFERROR(VLOOKUP(DE17,BOH!$B$2:$O$36,14,FALSE),"")</f>
        <v/>
      </c>
      <c r="DF19" s="238"/>
      <c r="DG19" s="238"/>
      <c r="DH19" s="226" t="str">
        <f>IFERROR(VLOOKUP(DE17,BOH!$B$48:$R$82,14,FALSE),"")</f>
        <v/>
      </c>
      <c r="DI19" s="226"/>
      <c r="DJ19" s="227"/>
      <c r="DK19" s="33"/>
      <c r="DL19" s="236" t="str">
        <f>DL$8</f>
        <v>BOH</v>
      </c>
      <c r="DM19" s="236"/>
      <c r="DN19" s="236"/>
      <c r="DO19" s="236"/>
      <c r="DP19" s="33"/>
      <c r="DQ19" s="237" t="str">
        <f>IFERROR(VLOOKUP(DQ17,BOH!$B$2:$O$36,14,FALSE),"")</f>
        <v/>
      </c>
      <c r="DR19" s="238"/>
      <c r="DS19" s="238"/>
      <c r="DT19" s="226" t="str">
        <f>IFERROR(VLOOKUP(DQ17,BOH!$B$48:$R$82,14,FALSE),"")</f>
        <v/>
      </c>
      <c r="DU19" s="226"/>
      <c r="DV19" s="227"/>
      <c r="DW19" s="237" t="str">
        <f>IFERROR(VLOOKUP(DW17,SPA!$B$2:$O$36,14,FALSE),"")</f>
        <v/>
      </c>
      <c r="DX19" s="238"/>
      <c r="DY19" s="238"/>
      <c r="DZ19" s="226" t="str">
        <f>IFERROR(VLOOKUP(DW17,SPA!$B$48:$R$82,14,FALSE),"")</f>
        <v/>
      </c>
      <c r="EA19" s="226"/>
      <c r="EB19" s="227"/>
      <c r="EC19" s="33"/>
      <c r="ED19" s="236" t="str">
        <f>ED$8</f>
        <v>SPA</v>
      </c>
      <c r="EE19" s="236"/>
      <c r="EF19" s="236"/>
      <c r="EG19" s="236"/>
      <c r="EH19" s="33"/>
      <c r="EI19" s="237" t="str">
        <f>IFERROR(VLOOKUP(EI17,SPA!$B$2:$O$36,14,FALSE),"")</f>
        <v/>
      </c>
      <c r="EJ19" s="238"/>
      <c r="EK19" s="238"/>
      <c r="EL19" s="226" t="str">
        <f>IFERROR(VLOOKUP(EI17,SPA!$B$48:$R$82,14,FALSE),"")</f>
        <v/>
      </c>
      <c r="EM19" s="226"/>
      <c r="EN19" s="227"/>
    </row>
    <row r="20" spans="1:144" ht="15.6" customHeight="1" thickBot="1" x14ac:dyDescent="0.3">
      <c r="A20" s="228" t="str">
        <f>IFERROR(VLOOKUP(A17,SKV!$B$48:$AA$82,16,FALSE),"")</f>
        <v>Lhokamo</v>
      </c>
      <c r="B20" s="229"/>
      <c r="C20" s="230"/>
      <c r="D20" s="231">
        <f>IFERROR(VLOOKUP(A17,SKV!$B$48:$AA$82,17,FALSE),"")</f>
        <v>2004</v>
      </c>
      <c r="E20" s="232"/>
      <c r="F20" s="124">
        <f>IFERROR(VLOOKUP(A17,SKV!$B$48:$AA$82,8,FALSE),"")</f>
        <v>6</v>
      </c>
      <c r="G20" s="33"/>
      <c r="H20" s="236"/>
      <c r="I20" s="236"/>
      <c r="J20" s="236"/>
      <c r="K20" s="236"/>
      <c r="L20" s="33"/>
      <c r="M20" s="228" t="str">
        <f>IFERROR(VLOOKUP(M17,SKV!$B$48:$AA$82,16,FALSE),"")</f>
        <v>RKČF</v>
      </c>
      <c r="N20" s="229"/>
      <c r="O20" s="230"/>
      <c r="P20" s="231">
        <f>IFERROR(VLOOKUP(M17,SKV!$B$48:$AA$82,17,FALSE),"")</f>
        <v>2003</v>
      </c>
      <c r="Q20" s="232"/>
      <c r="R20" s="124">
        <f>IFERROR(VLOOKUP(M17,SKV!$B$48:$AA$82,8,FALSE),"")</f>
        <v>11</v>
      </c>
      <c r="S20" s="228" t="str">
        <f>IFERROR(VLOOKUP(S17,CHO!$B$48:$AA$82,16,FALSE),"")</f>
        <v>SK JeMoBu</v>
      </c>
      <c r="T20" s="229"/>
      <c r="U20" s="230"/>
      <c r="V20" s="231">
        <f>IFERROR(VLOOKUP(S17,CHO!$B$48:$AA$82,17,FALSE),"")</f>
        <v>2002</v>
      </c>
      <c r="W20" s="232"/>
      <c r="X20" s="124">
        <f>IFERROR(VLOOKUP(S17,CHO!$B$48:$AA$82,8,FALSE),"")</f>
        <v>10</v>
      </c>
      <c r="Y20" s="33"/>
      <c r="Z20" s="236"/>
      <c r="AA20" s="236"/>
      <c r="AB20" s="236"/>
      <c r="AC20" s="236"/>
      <c r="AD20" s="33"/>
      <c r="AE20" s="228" t="str">
        <f>IFERROR(VLOOKUP(AE17,CHO!$B$48:$AA$82,16,FALSE),"")</f>
        <v>SK Dvojka Praha</v>
      </c>
      <c r="AF20" s="229"/>
      <c r="AG20" s="230"/>
      <c r="AH20" s="231">
        <f>IFERROR(VLOOKUP(AE17,CHO!$B$48:$AA$82,17,FALSE),"")</f>
        <v>2010</v>
      </c>
      <c r="AI20" s="232"/>
      <c r="AJ20" s="124">
        <f>IFERROR(VLOOKUP(AE17,CHO!$B$48:$AA$82,8,FALSE),"")</f>
        <v>1</v>
      </c>
      <c r="AK20" s="228" t="str">
        <f>IFERROR(VLOOKUP(AK17,VIT!$B$48:$R$82,16,FALSE),"")</f>
        <v/>
      </c>
      <c r="AL20" s="229"/>
      <c r="AM20" s="230"/>
      <c r="AN20" s="231" t="str">
        <f>IFERROR(VLOOKUP(AK17,VIT!$B$48:$R$82,17,FALSE),"")</f>
        <v/>
      </c>
      <c r="AO20" s="232"/>
      <c r="AP20" s="124" t="str">
        <f>IFERROR(VLOOKUP(AK17,VIT!$B$48:$R$82,8,FALSE),"")</f>
        <v/>
      </c>
      <c r="AQ20" s="33"/>
      <c r="AR20" s="236"/>
      <c r="AS20" s="236"/>
      <c r="AT20" s="236"/>
      <c r="AU20" s="236"/>
      <c r="AV20" s="33"/>
      <c r="AW20" s="228" t="str">
        <f>IFERROR(VLOOKUP(AW17,VIT!$B$48:$R$82,16,FALSE),"")</f>
        <v/>
      </c>
      <c r="AX20" s="229"/>
      <c r="AY20" s="230"/>
      <c r="AZ20" s="231" t="str">
        <f>IFERROR(VLOOKUP(AW17,VIT!$B$48:$R$82,17,FALSE),"")</f>
        <v/>
      </c>
      <c r="BA20" s="232"/>
      <c r="BB20" s="124" t="str">
        <f>IFERROR(VLOOKUP(AW17,VIT!$B$48:$R$82,8,FALSE),"")</f>
        <v/>
      </c>
      <c r="BC20" s="228" t="str">
        <f>IFERROR(VLOOKUP(BC17,MB!$B$48:$R$82,16,FALSE),"")</f>
        <v/>
      </c>
      <c r="BD20" s="229"/>
      <c r="BE20" s="230"/>
      <c r="BF20" s="231" t="str">
        <f>IFERROR(VLOOKUP(BC17,MB!$B$48:$R$82,17,FALSE),"")</f>
        <v/>
      </c>
      <c r="BG20" s="232"/>
      <c r="BH20" s="124" t="str">
        <f>IFERROR(VLOOKUP(BC17,MB!$B$48:$R$82,8,FALSE),"")</f>
        <v/>
      </c>
      <c r="BI20" s="33"/>
      <c r="BJ20" s="236"/>
      <c r="BK20" s="236"/>
      <c r="BL20" s="236"/>
      <c r="BM20" s="236"/>
      <c r="BN20" s="33"/>
      <c r="BO20" s="228" t="str">
        <f>IFERROR(VLOOKUP(BO17,MB!$B$48:$R$82,16,FALSE),"")</f>
        <v/>
      </c>
      <c r="BP20" s="229"/>
      <c r="BQ20" s="230"/>
      <c r="BR20" s="231" t="str">
        <f>IFERROR(VLOOKUP(BO17,MB!$B$48:$R$82,17,FALSE),"")</f>
        <v/>
      </c>
      <c r="BS20" s="232"/>
      <c r="BT20" s="124" t="str">
        <f>IFERROR(VLOOKUP(BO17,MB!$B$48:$R$82,8,FALSE),"")</f>
        <v/>
      </c>
      <c r="BU20" s="228" t="str">
        <f>IFERROR(VLOOKUP(BU17,TAT!$B$48:$R$82,16,FALSE),"")</f>
        <v/>
      </c>
      <c r="BV20" s="229"/>
      <c r="BW20" s="230"/>
      <c r="BX20" s="231" t="str">
        <f>IFERROR(VLOOKUP(BU17,TAT!$B$48:$R$82,17,FALSE),"")</f>
        <v/>
      </c>
      <c r="BY20" s="232"/>
      <c r="BZ20" s="124" t="str">
        <f>IFERROR(VLOOKUP(BU17,TAT!$B$48:$R$82,8,FALSE),"")</f>
        <v/>
      </c>
      <c r="CA20" s="33"/>
      <c r="CB20" s="236"/>
      <c r="CC20" s="236"/>
      <c r="CD20" s="236"/>
      <c r="CE20" s="236"/>
      <c r="CF20" s="33"/>
      <c r="CG20" s="228" t="str">
        <f>IFERROR(VLOOKUP(CG17,TAT!$B$48:$R$82,16,FALSE),"")</f>
        <v/>
      </c>
      <c r="CH20" s="229"/>
      <c r="CI20" s="230"/>
      <c r="CJ20" s="231" t="str">
        <f>IFERROR(VLOOKUP(CG17,TAT!$B$48:$R$82,17,FALSE),"")</f>
        <v/>
      </c>
      <c r="CK20" s="232"/>
      <c r="CL20" s="124" t="str">
        <f>IFERROR(VLOOKUP(CG17,TAT!$B$48:$R$82,8,FALSE),"")</f>
        <v/>
      </c>
      <c r="CM20" s="228" t="str">
        <f>IFERROR(VLOOKUP(CM17,OTR!$B$48:$R$82,16,FALSE),"")</f>
        <v>Bulldogs Brno</v>
      </c>
      <c r="CN20" s="229"/>
      <c r="CO20" s="230"/>
      <c r="CP20" s="231">
        <f>IFERROR(VLOOKUP(CM17,OTR!$B$48:$R$82,17,FALSE),"")</f>
        <v>2008</v>
      </c>
      <c r="CQ20" s="232"/>
      <c r="CR20" s="124">
        <f>IFERROR(VLOOKUP(CM17,OTR!$B$48:$R$82,8,FALSE),"")</f>
        <v>4</v>
      </c>
      <c r="CS20" s="33"/>
      <c r="CT20" s="236"/>
      <c r="CU20" s="236"/>
      <c r="CV20" s="236"/>
      <c r="CW20" s="236"/>
      <c r="CX20" s="33"/>
      <c r="CY20" s="228" t="str">
        <f>IFERROR(VLOOKUP(CY17,OTR!$B$48:$R$82,16,FALSE),"")</f>
        <v>Z.F.K. Petrovice</v>
      </c>
      <c r="CZ20" s="229"/>
      <c r="DA20" s="230"/>
      <c r="DB20" s="231">
        <f>IFERROR(VLOOKUP(CY17,OTR!$B$48:$R$82,17,FALSE),"")</f>
        <v>2007</v>
      </c>
      <c r="DC20" s="232"/>
      <c r="DD20" s="124">
        <f>IFERROR(VLOOKUP(CY17,OTR!$B$48:$R$82,8,FALSE),"")</f>
        <v>5</v>
      </c>
      <c r="DE20" s="228" t="str">
        <f>IFERROR(VLOOKUP(DE17,BOH!$B$48:$R$82,16,FALSE),"")</f>
        <v/>
      </c>
      <c r="DF20" s="229"/>
      <c r="DG20" s="230"/>
      <c r="DH20" s="231" t="str">
        <f>IFERROR(VLOOKUP(DE17,BOH!$B$48:$R$82,17,FALSE),"")</f>
        <v/>
      </c>
      <c r="DI20" s="232"/>
      <c r="DJ20" s="124" t="str">
        <f>IFERROR(VLOOKUP(DE17,BOH!$B$48:$R$82,8,FALSE),"")</f>
        <v/>
      </c>
      <c r="DK20" s="33"/>
      <c r="DL20" s="236"/>
      <c r="DM20" s="236"/>
      <c r="DN20" s="236"/>
      <c r="DO20" s="236"/>
      <c r="DP20" s="33"/>
      <c r="DQ20" s="228" t="str">
        <f>IFERROR(VLOOKUP(DQ17,BOH!$B$48:$R$82,16,FALSE),"")</f>
        <v/>
      </c>
      <c r="DR20" s="229"/>
      <c r="DS20" s="230"/>
      <c r="DT20" s="231" t="str">
        <f>IFERROR(VLOOKUP(DQ17,BOH!$B$48:$R$82,17,FALSE),"")</f>
        <v/>
      </c>
      <c r="DU20" s="232"/>
      <c r="DV20" s="124" t="str">
        <f>IFERROR(VLOOKUP(DQ17,BOH!$B$48:$R$82,8,FALSE),"")</f>
        <v/>
      </c>
      <c r="DW20" s="228" t="str">
        <f>IFERROR(VLOOKUP(DW17,SPA!$B$48:$R$82,16,FALSE),"")</f>
        <v/>
      </c>
      <c r="DX20" s="229"/>
      <c r="DY20" s="230"/>
      <c r="DZ20" s="231" t="str">
        <f>IFERROR(VLOOKUP(DW17,SPA!$B$48:$R$82,17,FALSE),"")</f>
        <v/>
      </c>
      <c r="EA20" s="232"/>
      <c r="EB20" s="124" t="str">
        <f>IFERROR(VLOOKUP(DW17,SPA!$B$48:$R$82,8,FALSE),"")</f>
        <v/>
      </c>
      <c r="EC20" s="33"/>
      <c r="ED20" s="236"/>
      <c r="EE20" s="236"/>
      <c r="EF20" s="236"/>
      <c r="EG20" s="236"/>
      <c r="EH20" s="33"/>
      <c r="EI20" s="228" t="str">
        <f>IFERROR(VLOOKUP(EI17,SPA!$B$48:$R$82,16,FALSE),"")</f>
        <v/>
      </c>
      <c r="EJ20" s="229"/>
      <c r="EK20" s="230"/>
      <c r="EL20" s="231" t="str">
        <f>IFERROR(VLOOKUP(EI17,SPA!$B$48:$R$82,17,FALSE),"")</f>
        <v/>
      </c>
      <c r="EM20" s="232"/>
      <c r="EN20" s="124" t="str">
        <f>IFERROR(VLOOKUP(EI17,SPA!$B$48:$R$82,8,FALSE),"")</f>
        <v/>
      </c>
    </row>
    <row r="21" spans="1:144"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row>
    <row r="22" spans="1:144"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row>
    <row r="23" spans="1:144" ht="15.6" customHeight="1" thickTop="1" thickBot="1" x14ac:dyDescent="0.3">
      <c r="A23" s="193" t="s">
        <v>0</v>
      </c>
      <c r="B23" s="194"/>
      <c r="C23" s="194"/>
      <c r="D23" s="194"/>
      <c r="E23" s="32" t="str">
        <f>IFERROR(IF(VLOOKUP(A23,SKV!$B$48:$AA$82,10,FALSE)=0,"",VLOOKUP(A23,SKV!$B$48:$AA$82,10,FALSE)),"")</f>
        <v/>
      </c>
      <c r="F23" s="52">
        <f>IFERROR(VLOOKUP(A23,SKV!$B$48:$AA$82,9,FALSE),"")</f>
        <v>77</v>
      </c>
      <c r="G23" s="33"/>
      <c r="H23" s="250" t="s">
        <v>157</v>
      </c>
      <c r="I23" s="250"/>
      <c r="J23" s="250"/>
      <c r="K23" s="250"/>
      <c r="L23" s="33"/>
      <c r="M23" s="193" t="s">
        <v>31</v>
      </c>
      <c r="N23" s="194"/>
      <c r="O23" s="194"/>
      <c r="P23" s="194"/>
      <c r="Q23" s="32" t="str">
        <f>IFERROR(IF(VLOOKUP(M23,SKV!$B$48:$AA$82,10,FALSE)=0,"",VLOOKUP(M23,SKV!$B$48:$AA$82,10,FALSE)),"")</f>
        <v/>
      </c>
      <c r="R23" s="52">
        <f>IFERROR(VLOOKUP(M23,SKV!$B$48:$AA$82,9,FALSE),"")</f>
        <v>32</v>
      </c>
      <c r="S23" s="193" t="s">
        <v>172</v>
      </c>
      <c r="T23" s="194"/>
      <c r="U23" s="194"/>
      <c r="V23" s="194"/>
      <c r="W23" s="32" t="str">
        <f>IFERROR(IF(VLOOKUP(S23,CHO!$B$48:$AA$82,10,FALSE)=0,"",VLOOKUP(S23,CHO!$B$48:$AA$82,10,FALSE)),"")</f>
        <v/>
      </c>
      <c r="X23" s="52">
        <f>IFERROR(VLOOKUP(S23,CHO!$B$48:$AA$82,9,FALSE),"")</f>
        <v>27</v>
      </c>
      <c r="Y23" s="33"/>
      <c r="Z23" s="250" t="s">
        <v>157</v>
      </c>
      <c r="AA23" s="250"/>
      <c r="AB23" s="250"/>
      <c r="AC23" s="250"/>
      <c r="AD23" s="33"/>
      <c r="AE23" s="193" t="s">
        <v>170</v>
      </c>
      <c r="AF23" s="194"/>
      <c r="AG23" s="194"/>
      <c r="AH23" s="194"/>
      <c r="AI23" s="32" t="str">
        <f>IFERROR(IF(VLOOKUP(AE23,CHO!$B$48:$AA$82,10,FALSE)=0,"",VLOOKUP(AE23,CHO!$B$48:$AA$82,10,FALSE)),"")</f>
        <v/>
      </c>
      <c r="AJ23" s="52">
        <f>IFERROR(VLOOKUP(AE23,CHO!$B$48:$AA$82,9,FALSE),"")</f>
        <v>77</v>
      </c>
      <c r="AK23" s="193"/>
      <c r="AL23" s="194"/>
      <c r="AM23" s="194"/>
      <c r="AN23" s="194"/>
      <c r="AO23" s="32" t="str">
        <f>IFERROR(IF(VLOOKUP(AK23,VIT!$B$48:$R$82,10,FALSE)=0,"",VLOOKUP(AK23,VIT!$B$48:$R$82,10,FALSE)),"")</f>
        <v/>
      </c>
      <c r="AP23" s="52" t="str">
        <f>IFERROR(VLOOKUP(AK23,VIT!$B$48:$R$82,9,FALSE),"")</f>
        <v/>
      </c>
      <c r="AQ23" s="33"/>
      <c r="AR23" s="250" t="s">
        <v>157</v>
      </c>
      <c r="AS23" s="250"/>
      <c r="AT23" s="250"/>
      <c r="AU23" s="250"/>
      <c r="AV23" s="33"/>
      <c r="AW23" s="193"/>
      <c r="AX23" s="194"/>
      <c r="AY23" s="194"/>
      <c r="AZ23" s="194"/>
      <c r="BA23" s="32" t="str">
        <f>IFERROR(IF(VLOOKUP(AW23,VIT!$B$48:$R$82,10,FALSE)=0,"",VLOOKUP(AW23,VIT!$B$48:$R$82,10,FALSE)),"")</f>
        <v/>
      </c>
      <c r="BB23" s="52" t="str">
        <f>IFERROR(VLOOKUP(AW23,VIT!$B$48:$R$82,9,FALSE),"")</f>
        <v/>
      </c>
      <c r="BC23" s="193"/>
      <c r="BD23" s="194"/>
      <c r="BE23" s="194"/>
      <c r="BF23" s="194"/>
      <c r="BG23" s="32" t="str">
        <f>IFERROR(IF(VLOOKUP(BC23,MB!$B$48:$R$82,10,FALSE)=0,"",VLOOKUP(BC23,MB!$B$48:$R$82,10,FALSE)),"")</f>
        <v/>
      </c>
      <c r="BH23" s="52" t="str">
        <f>IFERROR(VLOOKUP(BC23,MB!$B$48:$R$82,9,FALSE),"")</f>
        <v/>
      </c>
      <c r="BI23" s="33"/>
      <c r="BJ23" s="250" t="s">
        <v>157</v>
      </c>
      <c r="BK23" s="250"/>
      <c r="BL23" s="250"/>
      <c r="BM23" s="250"/>
      <c r="BN23" s="33"/>
      <c r="BO23" s="193"/>
      <c r="BP23" s="194"/>
      <c r="BQ23" s="194"/>
      <c r="BR23" s="194"/>
      <c r="BS23" s="32" t="str">
        <f>IFERROR(IF(VLOOKUP(BO23,MB!$B$48:$R$82,10,FALSE)=0,"",VLOOKUP(BO23,MB!$B$48:$R$82,10,FALSE)),"")</f>
        <v/>
      </c>
      <c r="BT23" s="52" t="str">
        <f>IFERROR(VLOOKUP(BO23,MB!$B$48:$R$82,9,FALSE),"")</f>
        <v/>
      </c>
      <c r="BU23" s="193"/>
      <c r="BV23" s="194"/>
      <c r="BW23" s="194"/>
      <c r="BX23" s="194"/>
      <c r="BY23" s="32" t="str">
        <f>IFERROR(IF(VLOOKUP(BU23,TAT!$B$48:$R$82,10,FALSE)=0,"",VLOOKUP(BU23,TAT!$B$48:$R$82,10,FALSE)),"")</f>
        <v/>
      </c>
      <c r="BZ23" s="52" t="str">
        <f>IFERROR(VLOOKUP(BU23,TAT!$B$48:$R$82,9,FALSE),"")</f>
        <v/>
      </c>
      <c r="CA23" s="33"/>
      <c r="CB23" s="250" t="s">
        <v>157</v>
      </c>
      <c r="CC23" s="250"/>
      <c r="CD23" s="250"/>
      <c r="CE23" s="250"/>
      <c r="CF23" s="33"/>
      <c r="CG23" s="193"/>
      <c r="CH23" s="194"/>
      <c r="CI23" s="194"/>
      <c r="CJ23" s="194"/>
      <c r="CK23" s="32" t="str">
        <f>IFERROR(IF(VLOOKUP(CG23,TAT!$B$48:$R$82,10,FALSE)=0,"",VLOOKUP(CG23,TAT!$B$48:$R$82,10,FALSE)),"")</f>
        <v/>
      </c>
      <c r="CL23" s="52" t="str">
        <f>IFERROR(VLOOKUP(CG23,TAT!$B$48:$R$82,9,FALSE),"")</f>
        <v/>
      </c>
      <c r="CM23" s="193" t="s">
        <v>493</v>
      </c>
      <c r="CN23" s="194"/>
      <c r="CO23" s="194"/>
      <c r="CP23" s="194"/>
      <c r="CQ23" s="32" t="str">
        <f>IFERROR(IF(VLOOKUP(CM23,OTR!$B$48:$R$82,10,FALSE)=0,"",VLOOKUP(CM23,OTR!$B$48:$R$82,10,FALSE)),"")</f>
        <v/>
      </c>
      <c r="CR23" s="52">
        <f>IFERROR(VLOOKUP(CM23,OTR!$B$48:$R$82,9,FALSE),"")</f>
        <v>55</v>
      </c>
      <c r="CS23" s="33"/>
      <c r="CT23" s="250" t="s">
        <v>157</v>
      </c>
      <c r="CU23" s="250"/>
      <c r="CV23" s="250"/>
      <c r="CW23" s="250"/>
      <c r="CX23" s="33"/>
      <c r="CY23" s="193" t="s">
        <v>500</v>
      </c>
      <c r="CZ23" s="194"/>
      <c r="DA23" s="194"/>
      <c r="DB23" s="194"/>
      <c r="DC23" s="32" t="str">
        <f>IFERROR(IF(VLOOKUP(CY23,OTR!$B$48:$R$82,10,FALSE)=0,"",VLOOKUP(CY23,OTR!$B$48:$R$82,10,FALSE)),"")</f>
        <v/>
      </c>
      <c r="DD23" s="52">
        <f>IFERROR(VLOOKUP(CY23,OTR!$B$48:$R$82,9,FALSE),"")</f>
        <v>7</v>
      </c>
      <c r="DE23" s="193"/>
      <c r="DF23" s="194"/>
      <c r="DG23" s="194"/>
      <c r="DH23" s="194"/>
      <c r="DI23" s="32" t="str">
        <f>IFERROR(IF(VLOOKUP(DE23,BOH!$B$48:$R$82,10,FALSE)=0,"",VLOOKUP(DE23,BOH!$B$48:$R$82,10,FALSE)),"")</f>
        <v/>
      </c>
      <c r="DJ23" s="52" t="str">
        <f>IFERROR(VLOOKUP(DE23,BOH!$B$48:$R$82,9,FALSE),"")</f>
        <v/>
      </c>
      <c r="DK23" s="33"/>
      <c r="DL23" s="250" t="s">
        <v>157</v>
      </c>
      <c r="DM23" s="250"/>
      <c r="DN23" s="250"/>
      <c r="DO23" s="250"/>
      <c r="DP23" s="33"/>
      <c r="DQ23" s="193"/>
      <c r="DR23" s="194"/>
      <c r="DS23" s="194"/>
      <c r="DT23" s="194"/>
      <c r="DU23" s="32" t="str">
        <f>IFERROR(IF(VLOOKUP(DQ23,BOH!$B$48:$R$82,10,FALSE)=0,"",VLOOKUP(DQ23,BOH!$B$48:$R$82,10,FALSE)),"")</f>
        <v/>
      </c>
      <c r="DV23" s="52" t="str">
        <f>IFERROR(VLOOKUP(DQ23,BOH!$B$48:$R$82,9,FALSE),"")</f>
        <v/>
      </c>
      <c r="DW23" s="193"/>
      <c r="DX23" s="194"/>
      <c r="DY23" s="194"/>
      <c r="DZ23" s="194"/>
      <c r="EA23" s="32" t="str">
        <f>IFERROR(IF(VLOOKUP(DW23,SPA!$B$48:$R$82,10,FALSE)=0,"",VLOOKUP(DW23,SPA!$B$48:$R$82,10,FALSE)),"")</f>
        <v/>
      </c>
      <c r="EB23" s="52" t="str">
        <f>IFERROR(VLOOKUP(DW23,SPA!$B$48:$R$82,9,FALSE),"")</f>
        <v/>
      </c>
      <c r="EC23" s="33"/>
      <c r="ED23" s="250" t="s">
        <v>157</v>
      </c>
      <c r="EE23" s="250"/>
      <c r="EF23" s="250"/>
      <c r="EG23" s="250"/>
      <c r="EH23" s="33"/>
      <c r="EI23" s="193"/>
      <c r="EJ23" s="194"/>
      <c r="EK23" s="194"/>
      <c r="EL23" s="194"/>
      <c r="EM23" s="32" t="str">
        <f>IFERROR(IF(VLOOKUP(EI23,SPA!$B$48:$R$82,10,FALSE)=0,"",VLOOKUP(EI23,SPA!$B$48:$R$82,10,FALSE)),"")</f>
        <v/>
      </c>
      <c r="EN23" s="52" t="str">
        <f>IFERROR(VLOOKUP(EI23,SPA!$B$48:$R$82,9,FALSE),"")</f>
        <v/>
      </c>
    </row>
    <row r="24" spans="1:144" ht="15.6" customHeight="1" thickBot="1" x14ac:dyDescent="0.3">
      <c r="A24" s="34" t="str">
        <f>IFERROR(VLOOKUP(A23,SKV!$B$48:$AA$82,11,FALSE),"")</f>
        <v>L</v>
      </c>
      <c r="B24" s="233">
        <f>IFERROR(YEAR(VLOOKUP(A23,SKV!$B$48:$AA$82,2,FALSE)),"")</f>
        <v>1999</v>
      </c>
      <c r="C24" s="189"/>
      <c r="D24" s="35">
        <f ca="1">IFERROR(VLOOKUP(A23,SKV!$B$48:$AA$82,3,FALSE),"")</f>
        <v>21</v>
      </c>
      <c r="E24" s="234" t="str">
        <f>IFERROR(VLOOKUP(A23,SKV!$B$48:$AA$82,15,FALSE),"")</f>
        <v>184/81</v>
      </c>
      <c r="F24" s="235"/>
      <c r="G24" s="33"/>
      <c r="H24" s="33"/>
      <c r="I24" s="33"/>
      <c r="J24" s="33"/>
      <c r="K24" s="33"/>
      <c r="L24" s="33"/>
      <c r="M24" s="34" t="str">
        <f>IFERROR(VLOOKUP(M23,SKV!$B$48:$AA$82,11,FALSE),"")</f>
        <v>L</v>
      </c>
      <c r="N24" s="233">
        <f>IFERROR(YEAR(VLOOKUP(M23,SKV!$B$48:$AA$82,2,FALSE)),"")</f>
        <v>2000</v>
      </c>
      <c r="O24" s="189"/>
      <c r="P24" s="35">
        <f ca="1">IFERROR(VLOOKUP(M23,SKV!$B$48:$AA$82,3,FALSE),"")</f>
        <v>20</v>
      </c>
      <c r="Q24" s="234" t="str">
        <f>IFERROR(VLOOKUP(M23,SKV!$B$48:$AA$82,15,FALSE),"")</f>
        <v>175/70</v>
      </c>
      <c r="R24" s="235"/>
      <c r="S24" s="34" t="str">
        <f>IFERROR(VLOOKUP(S23,CHO!$B$48:$AA$82,11,FALSE),"")</f>
        <v>P</v>
      </c>
      <c r="T24" s="233">
        <f>IFERROR(YEAR(VLOOKUP(S23,CHO!$B$48:$AA$82,2,FALSE)),"")</f>
        <v>2000</v>
      </c>
      <c r="U24" s="189"/>
      <c r="V24" s="35">
        <f ca="1">IFERROR(VLOOKUP(S23,CHO!$B$48:$AA$82,3,FALSE),"")</f>
        <v>21</v>
      </c>
      <c r="W24" s="234" t="str">
        <f>IFERROR(VLOOKUP(S23,CHO!$B$48:$AA$82,15,FALSE),"")</f>
        <v>186/90</v>
      </c>
      <c r="X24" s="235"/>
      <c r="Y24" s="33"/>
      <c r="Z24" s="33"/>
      <c r="AA24" s="33"/>
      <c r="AB24" s="33"/>
      <c r="AC24" s="33"/>
      <c r="AD24" s="33"/>
      <c r="AE24" s="34" t="str">
        <f>IFERROR(VLOOKUP(AE23,CHO!$B$48:$AA$82,11,FALSE),"")</f>
        <v>L</v>
      </c>
      <c r="AF24" s="233">
        <f>IFERROR(YEAR(VLOOKUP(AE23,CHO!$B$48:$AA$82,2,FALSE)),"")</f>
        <v>2000</v>
      </c>
      <c r="AG24" s="189"/>
      <c r="AH24" s="35">
        <f ca="1">IFERROR(VLOOKUP(AE23,CHO!$B$48:$AA$82,3,FALSE),"")</f>
        <v>20</v>
      </c>
      <c r="AI24" s="234" t="str">
        <f>IFERROR(VLOOKUP(AE23,CHO!$B$48:$AA$82,15,FALSE),"")</f>
        <v>183/92</v>
      </c>
      <c r="AJ24" s="235"/>
      <c r="AK24" s="34" t="str">
        <f>IFERROR(VLOOKUP(AK23,VIT!$B$48:$R$82,11,FALSE),"")</f>
        <v/>
      </c>
      <c r="AL24" s="233" t="str">
        <f>IFERROR(YEAR(VLOOKUP(AK23,VIT!$B$48:$R$82,2,FALSE)),"")</f>
        <v/>
      </c>
      <c r="AM24" s="189"/>
      <c r="AN24" s="106" t="str">
        <f>IFERROR(VLOOKUP(AK23,VIT!$B$48:$R$82,3,FALSE),"")</f>
        <v/>
      </c>
      <c r="AO24" s="234" t="str">
        <f>IFERROR(VLOOKUP(AK23,VIT!$B$48:$R$82,15,FALSE),"")</f>
        <v/>
      </c>
      <c r="AP24" s="235"/>
      <c r="AQ24" s="33"/>
      <c r="AR24" s="33"/>
      <c r="AS24" s="33"/>
      <c r="AT24" s="33"/>
      <c r="AU24" s="33"/>
      <c r="AV24" s="33"/>
      <c r="AW24" s="34" t="str">
        <f>IFERROR(VLOOKUP(AW23,VIT!$B$48:$R$82,11,FALSE),"")</f>
        <v/>
      </c>
      <c r="AX24" s="233" t="str">
        <f>IFERROR(YEAR(VLOOKUP(AW23,VIT!$B$48:$R$82,2,FALSE)),"")</f>
        <v/>
      </c>
      <c r="AY24" s="189"/>
      <c r="AZ24" s="106" t="str">
        <f>IFERROR(VLOOKUP(AW23,VIT!$B$48:$R$82,3,FALSE),"")</f>
        <v/>
      </c>
      <c r="BA24" s="234" t="str">
        <f>IFERROR(VLOOKUP(AW23,VIT!$B$48:$R$82,15,FALSE),"")</f>
        <v/>
      </c>
      <c r="BB24" s="235"/>
      <c r="BC24" s="34" t="str">
        <f>IFERROR(VLOOKUP(BC23,MB!$B$48:$R$82,11,FALSE),"")</f>
        <v/>
      </c>
      <c r="BD24" s="233" t="str">
        <f>IFERROR(YEAR(VLOOKUP(BC23,MB!$B$48:$R$82,2,FALSE)),"")</f>
        <v/>
      </c>
      <c r="BE24" s="189"/>
      <c r="BF24" s="108" t="str">
        <f>IFERROR(VLOOKUP(BC23,MB!$B$48:$R$82,3,FALSE),"")</f>
        <v/>
      </c>
      <c r="BG24" s="234" t="str">
        <f>IFERROR(VLOOKUP(BC23,MB!$B$48:$R$82,15,FALSE),"")</f>
        <v/>
      </c>
      <c r="BH24" s="235"/>
      <c r="BI24" s="33"/>
      <c r="BJ24" s="33"/>
      <c r="BK24" s="33"/>
      <c r="BL24" s="33"/>
      <c r="BM24" s="33"/>
      <c r="BN24" s="33"/>
      <c r="BO24" s="34" t="str">
        <f>IFERROR(VLOOKUP(BO23,MB!$B$48:$R$82,11,FALSE),"")</f>
        <v/>
      </c>
      <c r="BP24" s="233" t="str">
        <f>IFERROR(YEAR(VLOOKUP(BO23,MB!$B$48:$R$82,2,FALSE)),"")</f>
        <v/>
      </c>
      <c r="BQ24" s="189"/>
      <c r="BR24" s="108" t="str">
        <f>IFERROR(VLOOKUP(BO23,MB!$B$48:$R$82,3,FALSE),"")</f>
        <v/>
      </c>
      <c r="BS24" s="234" t="str">
        <f>IFERROR(VLOOKUP(BO23,MB!$B$48:$R$82,15,FALSE),"")</f>
        <v/>
      </c>
      <c r="BT24" s="235"/>
      <c r="BU24" s="34" t="str">
        <f>IFERROR(VLOOKUP(BU23,TAT!$B$48:$R$82,11,FALSE),"")</f>
        <v/>
      </c>
      <c r="BV24" s="233" t="str">
        <f>IFERROR(YEAR(VLOOKUP(BU23,TAT!$B$48:$R$82,2,FALSE)),"")</f>
        <v/>
      </c>
      <c r="BW24" s="189"/>
      <c r="BX24" s="151" t="str">
        <f>IFERROR(VLOOKUP(BU23,TAT!$B$48:$R$82,3,FALSE),"")</f>
        <v/>
      </c>
      <c r="BY24" s="234" t="str">
        <f>IFERROR(VLOOKUP(BU23,TAT!$B$48:$R$82,15,FALSE),"")</f>
        <v/>
      </c>
      <c r="BZ24" s="235"/>
      <c r="CA24" s="33"/>
      <c r="CB24" s="33"/>
      <c r="CC24" s="33"/>
      <c r="CD24" s="33"/>
      <c r="CE24" s="33"/>
      <c r="CF24" s="33"/>
      <c r="CG24" s="34" t="str">
        <f>IFERROR(VLOOKUP(CG23,TAT!$B$48:$R$82,11,FALSE),"")</f>
        <v/>
      </c>
      <c r="CH24" s="233" t="str">
        <f>IFERROR(YEAR(VLOOKUP(CG23,TAT!$B$48:$R$82,2,FALSE)),"")</f>
        <v/>
      </c>
      <c r="CI24" s="189"/>
      <c r="CJ24" s="151" t="str">
        <f>IFERROR(VLOOKUP(CG23,TAT!$B$48:$R$82,3,FALSE),"")</f>
        <v/>
      </c>
      <c r="CK24" s="234" t="str">
        <f>IFERROR(VLOOKUP(CG23,TAT!$B$48:$R$82,15,FALSE),"")</f>
        <v/>
      </c>
      <c r="CL24" s="235"/>
      <c r="CM24" s="34" t="str">
        <f>IFERROR(VLOOKUP(CM23,OTR!$B$48:$R$82,11,FALSE),"")</f>
        <v>L</v>
      </c>
      <c r="CN24" s="233">
        <f>IFERROR(YEAR(VLOOKUP(CM23,OTR!$B$48:$R$82,2,FALSE)),"")</f>
        <v>2002</v>
      </c>
      <c r="CO24" s="189"/>
      <c r="CP24" s="151">
        <f ca="1">IFERROR(VLOOKUP(CM23,OTR!$B$48:$R$82,3,FALSE),"")</f>
        <v>18</v>
      </c>
      <c r="CQ24" s="234" t="str">
        <f>IFERROR(VLOOKUP(CM23,OTR!$B$48:$R$82,15,FALSE),"")</f>
        <v>193/90</v>
      </c>
      <c r="CR24" s="235"/>
      <c r="CS24" s="33"/>
      <c r="CT24" s="33"/>
      <c r="CU24" s="33"/>
      <c r="CV24" s="33"/>
      <c r="CW24" s="33"/>
      <c r="CX24" s="33"/>
      <c r="CY24" s="34" t="str">
        <f>IFERROR(VLOOKUP(CY23,OTR!$B$48:$R$82,11,FALSE),"")</f>
        <v>L</v>
      </c>
      <c r="CZ24" s="233">
        <f>IFERROR(YEAR(VLOOKUP(CY23,OTR!$B$48:$R$82,2,FALSE)),"")</f>
        <v>1990</v>
      </c>
      <c r="DA24" s="189"/>
      <c r="DB24" s="151">
        <f ca="1">IFERROR(VLOOKUP(CY23,OTR!$B$48:$R$82,3,FALSE),"")</f>
        <v>30</v>
      </c>
      <c r="DC24" s="234" t="str">
        <f>IFERROR(VLOOKUP(CY23,OTR!$B$48:$R$82,15,FALSE),"")</f>
        <v>190/82</v>
      </c>
      <c r="DD24" s="235"/>
      <c r="DE24" s="34" t="str">
        <f>IFERROR(VLOOKUP(DE23,BOH!$B$48:$R$82,11,FALSE),"")</f>
        <v/>
      </c>
      <c r="DF24" s="233" t="str">
        <f>IFERROR(YEAR(VLOOKUP(DE23,BOH!$B$48:$R$82,2,FALSE)),"")</f>
        <v/>
      </c>
      <c r="DG24" s="189"/>
      <c r="DH24" s="166" t="str">
        <f>IFERROR(VLOOKUP(DE23,BOH!$B$48:$R$82,3,FALSE),"")</f>
        <v/>
      </c>
      <c r="DI24" s="234" t="str">
        <f>IFERROR(VLOOKUP(DE23,BOH!$B$48:$R$82,15,FALSE),"")</f>
        <v/>
      </c>
      <c r="DJ24" s="235"/>
      <c r="DK24" s="33"/>
      <c r="DL24" s="33"/>
      <c r="DM24" s="33"/>
      <c r="DN24" s="33"/>
      <c r="DO24" s="33"/>
      <c r="DP24" s="33"/>
      <c r="DQ24" s="34" t="str">
        <f>IFERROR(VLOOKUP(DQ23,BOH!$B$48:$R$82,11,FALSE),"")</f>
        <v/>
      </c>
      <c r="DR24" s="233" t="str">
        <f>IFERROR(YEAR(VLOOKUP(DQ23,BOH!$B$48:$R$82,2,FALSE)),"")</f>
        <v/>
      </c>
      <c r="DS24" s="189"/>
      <c r="DT24" s="166" t="str">
        <f>IFERROR(VLOOKUP(DQ23,BOH!$B$48:$R$82,3,FALSE),"")</f>
        <v/>
      </c>
      <c r="DU24" s="234" t="str">
        <f>IFERROR(VLOOKUP(DQ23,BOH!$B$48:$R$82,15,FALSE),"")</f>
        <v/>
      </c>
      <c r="DV24" s="235"/>
      <c r="DW24" s="34" t="str">
        <f>IFERROR(VLOOKUP(DW23,SPA!$B$48:$R$82,11,FALSE),"")</f>
        <v/>
      </c>
      <c r="DX24" s="233" t="str">
        <f>IFERROR(YEAR(VLOOKUP(DW23,SPA!$B$48:$R$82,2,FALSE)),"")</f>
        <v/>
      </c>
      <c r="DY24" s="189"/>
      <c r="DZ24" s="166" t="str">
        <f>IFERROR(VLOOKUP(DW23,SPA!$B$48:$R$82,3,FALSE),"")</f>
        <v/>
      </c>
      <c r="EA24" s="234" t="str">
        <f>IFERROR(VLOOKUP(DW23,SPA!$B$48:$R$82,15,FALSE),"")</f>
        <v/>
      </c>
      <c r="EB24" s="235"/>
      <c r="EC24" s="33"/>
      <c r="ED24" s="33"/>
      <c r="EE24" s="33"/>
      <c r="EF24" s="33"/>
      <c r="EG24" s="33"/>
      <c r="EH24" s="33"/>
      <c r="EI24" s="34" t="str">
        <f>IFERROR(VLOOKUP(EI23,SPA!$B$48:$R$82,11,FALSE),"")</f>
        <v/>
      </c>
      <c r="EJ24" s="233" t="str">
        <f>IFERROR(YEAR(VLOOKUP(EI23,SPA!$B$48:$R$82,2,FALSE)),"")</f>
        <v/>
      </c>
      <c r="EK24" s="189"/>
      <c r="EL24" s="166" t="str">
        <f>IFERROR(VLOOKUP(EI23,SPA!$B$48:$R$82,3,FALSE),"")</f>
        <v/>
      </c>
      <c r="EM24" s="234" t="str">
        <f>IFERROR(VLOOKUP(EI23,SPA!$B$48:$R$82,15,FALSE),"")</f>
        <v/>
      </c>
      <c r="EN24" s="235"/>
    </row>
    <row r="25" spans="1:144" ht="15.6" customHeight="1" thickTop="1" thickBot="1" x14ac:dyDescent="0.3">
      <c r="A25" s="237" t="str">
        <f>IFERROR(VLOOKUP(A23,SKV!$B$2:$O$36,14,FALSE),"")</f>
        <v>11 OZ , 3 (0+3), -11 ±</v>
      </c>
      <c r="B25" s="238"/>
      <c r="C25" s="238"/>
      <c r="D25" s="226" t="str">
        <f>IFERROR(VLOOKUP(A23,SKV!$B$48:$AA$82,14,FALSE),"")</f>
        <v>121 OZ, 70 (38+32)</v>
      </c>
      <c r="E25" s="226"/>
      <c r="F25" s="227"/>
      <c r="G25" s="193" t="s">
        <v>26</v>
      </c>
      <c r="H25" s="194"/>
      <c r="I25" s="194"/>
      <c r="J25" s="194"/>
      <c r="K25" s="32" t="str">
        <f>IFERROR(IF(VLOOKUP(G25,SKV!$B$48:$AA$82,10,FALSE)=0,"",VLOOKUP(G25,SKV!$B$48:$AA$82,10,FALSE)),"")</f>
        <v/>
      </c>
      <c r="L25" s="52">
        <f>IFERROR(VLOOKUP(G25,SKV!$B$48:$AA$82,9,FALSE),"")</f>
        <v>11</v>
      </c>
      <c r="M25" s="237" t="str">
        <f>IFERROR(VLOOKUP(M23,SKV!$B$2:$O$36,14,FALSE),"")</f>
        <v>14 OZ , 7 (0+7), -4 ±</v>
      </c>
      <c r="N25" s="238"/>
      <c r="O25" s="238"/>
      <c r="P25" s="226" t="str">
        <f>IFERROR(VLOOKUP(M23,SKV!$B$48:$AA$82,14,FALSE),"")</f>
        <v>47 OZ, 15 (2+13)</v>
      </c>
      <c r="Q25" s="226"/>
      <c r="R25" s="227"/>
      <c r="S25" s="237" t="str">
        <f>IFERROR(VLOOKUP(S23,CHO!$B$2:$O$36,14,FALSE),"")</f>
        <v>15 OZ , 5 (2+3), +1 ±</v>
      </c>
      <c r="T25" s="238"/>
      <c r="U25" s="238"/>
      <c r="V25" s="226" t="str">
        <f>IFERROR(VLOOKUP(S23,CHO!$B$48:$AA$82,14,FALSE),"")</f>
        <v>84 OZ, 48 (25+23)</v>
      </c>
      <c r="W25" s="226"/>
      <c r="X25" s="227"/>
      <c r="Y25" s="193" t="s">
        <v>169</v>
      </c>
      <c r="Z25" s="194"/>
      <c r="AA25" s="194"/>
      <c r="AB25" s="194"/>
      <c r="AC25" s="32" t="str">
        <f>IFERROR(IF(VLOOKUP(Y25,CHO!$B$48:$AA$82,10,FALSE)=0,"",VLOOKUP(Y25,CHO!$B$48:$AA$82,10,FALSE)),"")</f>
        <v/>
      </c>
      <c r="AD25" s="52">
        <f>IFERROR(VLOOKUP(Y25,CHO!$B$48:$AA$82,9,FALSE),"")</f>
        <v>14</v>
      </c>
      <c r="AE25" s="237" t="str">
        <f>IFERROR(VLOOKUP(AE23,CHO!$B$2:$O$36,14,FALSE),"")</f>
        <v>16 OZ , 6 (5+1), +5 ±</v>
      </c>
      <c r="AF25" s="238"/>
      <c r="AG25" s="238"/>
      <c r="AH25" s="226" t="str">
        <f>IFERROR(VLOOKUP(AE23,CHO!$B$48:$AA$82,14,FALSE),"")</f>
        <v>36 OZ, 13 (8+5)</v>
      </c>
      <c r="AI25" s="226"/>
      <c r="AJ25" s="227"/>
      <c r="AK25" s="237" t="str">
        <f>IFERROR(VLOOKUP(AK23,VIT!$B$2:$O$36,14,FALSE),"")</f>
        <v/>
      </c>
      <c r="AL25" s="238"/>
      <c r="AM25" s="238"/>
      <c r="AN25" s="226" t="str">
        <f>IFERROR(VLOOKUP(AK23,VIT!$B$48:$R$82,14,FALSE),"")</f>
        <v/>
      </c>
      <c r="AO25" s="226"/>
      <c r="AP25" s="227"/>
      <c r="AQ25" s="193"/>
      <c r="AR25" s="194"/>
      <c r="AS25" s="194"/>
      <c r="AT25" s="194"/>
      <c r="AU25" s="32" t="str">
        <f>IFERROR(IF(VLOOKUP(AQ25,VIT!$B$48:$R$82,10,FALSE)=0,"",VLOOKUP(AQ25,VIT!$B$48:$R$82,10,FALSE)),"")</f>
        <v/>
      </c>
      <c r="AV25" s="52" t="str">
        <f>IFERROR(VLOOKUP(AQ25,VIT!$B$48:$R$82,9,FALSE),"")</f>
        <v/>
      </c>
      <c r="AW25" s="237" t="str">
        <f>IFERROR(VLOOKUP(AW23,VIT!$B$2:$O$36,14,FALSE),"")</f>
        <v/>
      </c>
      <c r="AX25" s="238"/>
      <c r="AY25" s="238"/>
      <c r="AZ25" s="226" t="str">
        <f>IFERROR(VLOOKUP(AW23,VIT!$B$48:$R$82,14,FALSE),"")</f>
        <v/>
      </c>
      <c r="BA25" s="226"/>
      <c r="BB25" s="227"/>
      <c r="BC25" s="237" t="str">
        <f>IFERROR(VLOOKUP(BC23,MB!$B$2:$O$36,14,FALSE),"")</f>
        <v/>
      </c>
      <c r="BD25" s="238"/>
      <c r="BE25" s="238"/>
      <c r="BF25" s="226" t="str">
        <f>IFERROR(VLOOKUP(BC23,MB!$B$48:$R$82,14,FALSE),"")</f>
        <v/>
      </c>
      <c r="BG25" s="226"/>
      <c r="BH25" s="227"/>
      <c r="BI25" s="193"/>
      <c r="BJ25" s="194"/>
      <c r="BK25" s="194"/>
      <c r="BL25" s="194"/>
      <c r="BM25" s="32" t="str">
        <f>IFERROR(IF(VLOOKUP(BI25,MB!$B$48:$R$82,10,FALSE)=0,"",VLOOKUP(BI25,MB!$B$48:$R$82,10,FALSE)),"")</f>
        <v/>
      </c>
      <c r="BN25" s="52" t="str">
        <f>IFERROR(VLOOKUP(BI25,MB!$B$48:$R$82,9,FALSE),"")</f>
        <v/>
      </c>
      <c r="BO25" s="237" t="str">
        <f>IFERROR(VLOOKUP(BO23,MB!$B$2:$O$36,14,FALSE),"")</f>
        <v/>
      </c>
      <c r="BP25" s="238"/>
      <c r="BQ25" s="238"/>
      <c r="BR25" s="226" t="str">
        <f>IFERROR(VLOOKUP(BO23,MB!$B$48:$R$82,14,FALSE),"")</f>
        <v/>
      </c>
      <c r="BS25" s="226"/>
      <c r="BT25" s="227"/>
      <c r="BU25" s="237" t="str">
        <f>IFERROR(VLOOKUP(BU23,TAT!$B$2:$O$36,14,FALSE),"")</f>
        <v/>
      </c>
      <c r="BV25" s="238"/>
      <c r="BW25" s="238"/>
      <c r="BX25" s="226" t="str">
        <f>IFERROR(VLOOKUP(BU23,TAT!$B$48:$R$82,14,FALSE),"")</f>
        <v/>
      </c>
      <c r="BY25" s="226"/>
      <c r="BZ25" s="227"/>
      <c r="CA25" s="193"/>
      <c r="CB25" s="194"/>
      <c r="CC25" s="194"/>
      <c r="CD25" s="194"/>
      <c r="CE25" s="32" t="str">
        <f>IFERROR(IF(VLOOKUP(CA25,TAT!$B$48:$R$82,10,FALSE)=0,"",VLOOKUP(CA25,TAT!$B$48:$R$82,10,FALSE)),"")</f>
        <v/>
      </c>
      <c r="CF25" s="52" t="str">
        <f>IFERROR(VLOOKUP(CA25,TAT!$B$48:$R$82,9,FALSE),"")</f>
        <v/>
      </c>
      <c r="CG25" s="237" t="str">
        <f>IFERROR(VLOOKUP(CG23,TAT!$B$2:$O$36,14,FALSE),"")</f>
        <v/>
      </c>
      <c r="CH25" s="238"/>
      <c r="CI25" s="238"/>
      <c r="CJ25" s="226" t="str">
        <f>IFERROR(VLOOKUP(CG23,TAT!$B$48:$R$82,14,FALSE),"")</f>
        <v/>
      </c>
      <c r="CK25" s="226"/>
      <c r="CL25" s="227"/>
      <c r="CM25" s="237" t="str">
        <f>IFERROR(VLOOKUP(CM23,OTR!$B$2:$O$36,14,FALSE),"")</f>
        <v>15 OZ , 1 (1+0), -2 ±</v>
      </c>
      <c r="CN25" s="238"/>
      <c r="CO25" s="238"/>
      <c r="CP25" s="226" t="str">
        <f>IFERROR(VLOOKUP(CM23,OTR!$B$48:$R$82,14,FALSE),"")</f>
        <v>16 OZ, 1 (1+0)</v>
      </c>
      <c r="CQ25" s="226"/>
      <c r="CR25" s="227"/>
      <c r="CS25" s="193" t="s">
        <v>491</v>
      </c>
      <c r="CT25" s="194"/>
      <c r="CU25" s="194"/>
      <c r="CV25" s="194"/>
      <c r="CW25" s="32" t="str">
        <f>IFERROR(IF(VLOOKUP(CS25,OTR!$B$48:$R$82,10,FALSE)=0,"",VLOOKUP(CS25,OTR!$B$48:$R$82,10,FALSE)),"")</f>
        <v/>
      </c>
      <c r="CX25" s="52">
        <f>IFERROR(VLOOKUP(CS25,OTR!$B$48:$R$82,9,FALSE),"")</f>
        <v>22</v>
      </c>
      <c r="CY25" s="237" t="str">
        <f>IFERROR(VLOOKUP(CY23,OTR!$B$2:$O$36,14,FALSE),"")</f>
        <v>5 OZ , 1 (0+1), -1 ±</v>
      </c>
      <c r="CZ25" s="238"/>
      <c r="DA25" s="238"/>
      <c r="DB25" s="226" t="str">
        <f>IFERROR(VLOOKUP(CY23,OTR!$B$48:$R$82,14,FALSE),"")</f>
        <v>202 OZ, 168 (106+62)</v>
      </c>
      <c r="DC25" s="226"/>
      <c r="DD25" s="227"/>
      <c r="DE25" s="237" t="str">
        <f>IFERROR(VLOOKUP(DE23,BOH!$B$2:$O$36,14,FALSE),"")</f>
        <v/>
      </c>
      <c r="DF25" s="238"/>
      <c r="DG25" s="238"/>
      <c r="DH25" s="226" t="str">
        <f>IFERROR(VLOOKUP(DE23,BOH!$B$48:$R$82,14,FALSE),"")</f>
        <v/>
      </c>
      <c r="DI25" s="226"/>
      <c r="DJ25" s="227"/>
      <c r="DK25" s="193"/>
      <c r="DL25" s="194"/>
      <c r="DM25" s="194"/>
      <c r="DN25" s="194"/>
      <c r="DO25" s="32" t="str">
        <f>IFERROR(IF(VLOOKUP(DK25,BOH!$B$48:$R$82,10,FALSE)=0,"",VLOOKUP(DK25,BOH!$B$48:$R$82,10,FALSE)),"")</f>
        <v/>
      </c>
      <c r="DP25" s="52" t="str">
        <f>IFERROR(VLOOKUP(DK25,BOH!$B$48:$R$82,9,FALSE),"")</f>
        <v/>
      </c>
      <c r="DQ25" s="237" t="str">
        <f>IFERROR(VLOOKUP(DQ23,BOH!$B$2:$O$36,14,FALSE),"")</f>
        <v/>
      </c>
      <c r="DR25" s="238"/>
      <c r="DS25" s="238"/>
      <c r="DT25" s="226" t="str">
        <f>IFERROR(VLOOKUP(DQ23,BOH!$B$48:$R$82,14,FALSE),"")</f>
        <v/>
      </c>
      <c r="DU25" s="226"/>
      <c r="DV25" s="227"/>
      <c r="DW25" s="237" t="str">
        <f>IFERROR(VLOOKUP(DW23,SPA!$B$2:$O$36,14,FALSE),"")</f>
        <v/>
      </c>
      <c r="DX25" s="238"/>
      <c r="DY25" s="238"/>
      <c r="DZ25" s="226" t="str">
        <f>IFERROR(VLOOKUP(DW23,SPA!$B$48:$R$82,14,FALSE),"")</f>
        <v/>
      </c>
      <c r="EA25" s="226"/>
      <c r="EB25" s="227"/>
      <c r="EC25" s="193"/>
      <c r="ED25" s="194"/>
      <c r="EE25" s="194"/>
      <c r="EF25" s="194"/>
      <c r="EG25" s="32" t="str">
        <f>IFERROR(IF(VLOOKUP(EC25,SPA!$B$48:$R$82,10,FALSE)=0,"",VLOOKUP(EC25,SPA!$B$48:$R$82,10,FALSE)),"")</f>
        <v/>
      </c>
      <c r="EH25" s="52" t="str">
        <f>IFERROR(VLOOKUP(EC25,SPA!$B$48:$R$82,9,FALSE),"")</f>
        <v/>
      </c>
      <c r="EI25" s="237" t="str">
        <f>IFERROR(VLOOKUP(EI23,SPA!$B$2:$O$36,14,FALSE),"")</f>
        <v/>
      </c>
      <c r="EJ25" s="238"/>
      <c r="EK25" s="238"/>
      <c r="EL25" s="226" t="str">
        <f>IFERROR(VLOOKUP(EI23,SPA!$B$48:$R$82,14,FALSE),"")</f>
        <v/>
      </c>
      <c r="EM25" s="226"/>
      <c r="EN25" s="227"/>
    </row>
    <row r="26" spans="1:144" ht="15.6" customHeight="1" thickBot="1" x14ac:dyDescent="0.3">
      <c r="A26" s="228" t="str">
        <f>IFERROR(VLOOKUP(A23,SKV!$B$48:$AA$82,16,FALSE),"")</f>
        <v>Black Angels</v>
      </c>
      <c r="B26" s="229"/>
      <c r="C26" s="230"/>
      <c r="D26" s="231">
        <f>IFERROR(VLOOKUP(A23,SKV!$B$48:$AA$82,17,FALSE),"")</f>
        <v>2008</v>
      </c>
      <c r="E26" s="232"/>
      <c r="F26" s="124">
        <f>IFERROR(VLOOKUP(A23,SKV!$B$48:$AA$82,8,FALSE),"")</f>
        <v>5</v>
      </c>
      <c r="G26" s="34" t="str">
        <f>IFERROR(VLOOKUP(G25,SKV!$B$48:$AA$82,11,FALSE),"")</f>
        <v>L</v>
      </c>
      <c r="H26" s="233">
        <f>IFERROR(YEAR(VLOOKUP(G25,SKV!$B$48:$AA$82,2,FALSE)),"")</f>
        <v>2001</v>
      </c>
      <c r="I26" s="189"/>
      <c r="J26" s="35">
        <f ca="1">IFERROR(VLOOKUP(G25,SKV!$B$48:$AA$82,3,FALSE),"")</f>
        <v>19</v>
      </c>
      <c r="K26" s="234" t="str">
        <f>IFERROR(VLOOKUP(G25,SKV!$B$48:$AA$82,15,FALSE),"")</f>
        <v>181/80</v>
      </c>
      <c r="L26" s="235"/>
      <c r="M26" s="228" t="str">
        <f>IFERROR(VLOOKUP(M23,SKV!$B$48:$AA$82,16,FALSE),"")</f>
        <v>SKV</v>
      </c>
      <c r="N26" s="229"/>
      <c r="O26" s="230"/>
      <c r="P26" s="231">
        <f>IFERROR(VLOOKUP(M23,SKV!$B$48:$AA$82,17,FALSE),"")</f>
        <v>2015</v>
      </c>
      <c r="Q26" s="232"/>
      <c r="R26" s="124">
        <f>IFERROR(VLOOKUP(M23,SKV!$B$48:$AA$82,8,FALSE),"")</f>
        <v>3</v>
      </c>
      <c r="S26" s="228" t="str">
        <f>IFERROR(VLOOKUP(S23,CHO!$B$48:$AA$82,16,FALSE),"")</f>
        <v>FBK Vosy Praha</v>
      </c>
      <c r="T26" s="229"/>
      <c r="U26" s="230"/>
      <c r="V26" s="231">
        <f>IFERROR(VLOOKUP(S23,CHO!$B$48:$AA$82,17,FALSE),"")</f>
        <v>2007</v>
      </c>
      <c r="W26" s="232"/>
      <c r="X26" s="124">
        <f>IFERROR(VLOOKUP(S23,CHO!$B$48:$AA$82,8,FALSE),"")</f>
        <v>4</v>
      </c>
      <c r="Y26" s="34" t="str">
        <f>IFERROR(VLOOKUP(Y25,CHO!$B$48:$AA$82,11,FALSE),"")</f>
        <v>L</v>
      </c>
      <c r="Z26" s="233">
        <f>IFERROR(YEAR(VLOOKUP(Y25,CHO!$B$48:$AA$82,2,FALSE)),"")</f>
        <v>1997</v>
      </c>
      <c r="AA26" s="189"/>
      <c r="AB26" s="35">
        <f ca="1">IFERROR(VLOOKUP(Y25,CHO!$B$48:$AA$82,3,FALSE),"")</f>
        <v>24</v>
      </c>
      <c r="AC26" s="234" t="str">
        <f>IFERROR(VLOOKUP(Y25,CHO!$B$48:$AA$82,15,FALSE),"")</f>
        <v>184/78</v>
      </c>
      <c r="AD26" s="235"/>
      <c r="AE26" s="228" t="str">
        <f>IFERROR(VLOOKUP(AE23,CHO!$B$48:$AA$82,16,FALSE),"")</f>
        <v>FC Bučis Team</v>
      </c>
      <c r="AF26" s="229"/>
      <c r="AG26" s="230"/>
      <c r="AH26" s="231">
        <f>IFERROR(VLOOKUP(AE23,CHO!$B$48:$AA$82,17,FALSE),"")</f>
        <v>2007</v>
      </c>
      <c r="AI26" s="232"/>
      <c r="AJ26" s="124">
        <f>IFERROR(VLOOKUP(AE23,CHO!$B$48:$AA$82,8,FALSE),"")</f>
        <v>3</v>
      </c>
      <c r="AK26" s="228" t="str">
        <f>IFERROR(VLOOKUP(AK23,VIT!$B$48:$R$82,16,FALSE),"")</f>
        <v/>
      </c>
      <c r="AL26" s="229"/>
      <c r="AM26" s="230"/>
      <c r="AN26" s="231" t="str">
        <f>IFERROR(VLOOKUP(AK23,VIT!$B$48:$R$82,17,FALSE),"")</f>
        <v/>
      </c>
      <c r="AO26" s="232"/>
      <c r="AP26" s="124" t="str">
        <f>IFERROR(VLOOKUP(AK23,VIT!$B$48:$R$82,8,FALSE),"")</f>
        <v/>
      </c>
      <c r="AQ26" s="34" t="str">
        <f>IFERROR(VLOOKUP(AQ25,VIT!$B$48:$R$82,11,FALSE),"")</f>
        <v/>
      </c>
      <c r="AR26" s="233" t="str">
        <f>IFERROR(YEAR(VLOOKUP(AQ25,VIT!$B$48:$R$82,2,FALSE)),"")</f>
        <v/>
      </c>
      <c r="AS26" s="189"/>
      <c r="AT26" s="106" t="str">
        <f>IFERROR(VLOOKUP(AQ25,VIT!$B$48:$R$82,3,FALSE),"")</f>
        <v/>
      </c>
      <c r="AU26" s="234" t="str">
        <f>IFERROR(VLOOKUP(AQ25,VIT!$B$48:$R$82,15,FALSE),"")</f>
        <v/>
      </c>
      <c r="AV26" s="235"/>
      <c r="AW26" s="228" t="str">
        <f>IFERROR(VLOOKUP(AW23,VIT!$B$48:$R$82,16,FALSE),"")</f>
        <v/>
      </c>
      <c r="AX26" s="229"/>
      <c r="AY26" s="230"/>
      <c r="AZ26" s="231" t="str">
        <f>IFERROR(VLOOKUP(AW23,VIT!$B$48:$R$82,17,FALSE),"")</f>
        <v/>
      </c>
      <c r="BA26" s="232"/>
      <c r="BB26" s="124" t="str">
        <f>IFERROR(VLOOKUP(AW23,VIT!$B$48:$R$82,8,FALSE),"")</f>
        <v/>
      </c>
      <c r="BC26" s="228" t="str">
        <f>IFERROR(VLOOKUP(BC23,MB!$B$48:$R$82,16,FALSE),"")</f>
        <v/>
      </c>
      <c r="BD26" s="229"/>
      <c r="BE26" s="230"/>
      <c r="BF26" s="231" t="str">
        <f>IFERROR(VLOOKUP(BC23,MB!$B$48:$R$82,17,FALSE),"")</f>
        <v/>
      </c>
      <c r="BG26" s="232"/>
      <c r="BH26" s="124" t="str">
        <f>IFERROR(VLOOKUP(BC23,MB!$B$48:$R$82,8,FALSE),"")</f>
        <v/>
      </c>
      <c r="BI26" s="34" t="str">
        <f>IFERROR(VLOOKUP(BI25,MB!$B$48:$R$82,11,FALSE),"")</f>
        <v/>
      </c>
      <c r="BJ26" s="233" t="str">
        <f>IFERROR(YEAR(VLOOKUP(BI25,MB!$B$48:$R$82,2,FALSE)),"")</f>
        <v/>
      </c>
      <c r="BK26" s="189"/>
      <c r="BL26" s="108" t="str">
        <f>IFERROR(VLOOKUP(BI25,MB!$B$48:$R$82,3,FALSE),"")</f>
        <v/>
      </c>
      <c r="BM26" s="234" t="str">
        <f>IFERROR(VLOOKUP(BI25,MB!$B$48:$R$82,15,FALSE),"")</f>
        <v/>
      </c>
      <c r="BN26" s="235"/>
      <c r="BO26" s="228" t="str">
        <f>IFERROR(VLOOKUP(BO23,MB!$B$48:$R$82,16,FALSE),"")</f>
        <v/>
      </c>
      <c r="BP26" s="229"/>
      <c r="BQ26" s="230"/>
      <c r="BR26" s="231" t="str">
        <f>IFERROR(VLOOKUP(BO23,MB!$B$48:$R$82,17,FALSE),"")</f>
        <v/>
      </c>
      <c r="BS26" s="232"/>
      <c r="BT26" s="124" t="str">
        <f>IFERROR(VLOOKUP(BO23,MB!$B$48:$R$82,8,FALSE),"")</f>
        <v/>
      </c>
      <c r="BU26" s="228" t="str">
        <f>IFERROR(VLOOKUP(BU23,TAT!$B$48:$R$82,16,FALSE),"")</f>
        <v/>
      </c>
      <c r="BV26" s="229"/>
      <c r="BW26" s="230"/>
      <c r="BX26" s="231" t="str">
        <f>IFERROR(VLOOKUP(BU23,TAT!$B$48:$R$82,17,FALSE),"")</f>
        <v/>
      </c>
      <c r="BY26" s="232"/>
      <c r="BZ26" s="124" t="str">
        <f>IFERROR(VLOOKUP(BU23,TAT!$B$48:$R$82,8,FALSE),"")</f>
        <v/>
      </c>
      <c r="CA26" s="34" t="str">
        <f>IFERROR(VLOOKUP(CA25,TAT!$B$48:$R$82,11,FALSE),"")</f>
        <v/>
      </c>
      <c r="CB26" s="233" t="str">
        <f>IFERROR(YEAR(VLOOKUP(CA25,TAT!$B$48:$R$82,2,FALSE)),"")</f>
        <v/>
      </c>
      <c r="CC26" s="189"/>
      <c r="CD26" s="151" t="str">
        <f>IFERROR(VLOOKUP(CA25,TAT!$B$48:$R$82,3,FALSE),"")</f>
        <v/>
      </c>
      <c r="CE26" s="234" t="str">
        <f>IFERROR(VLOOKUP(CA25,TAT!$B$48:$R$82,15,FALSE),"")</f>
        <v/>
      </c>
      <c r="CF26" s="235"/>
      <c r="CG26" s="228" t="str">
        <f>IFERROR(VLOOKUP(CG23,TAT!$B$48:$R$82,16,FALSE),"")</f>
        <v/>
      </c>
      <c r="CH26" s="229"/>
      <c r="CI26" s="230"/>
      <c r="CJ26" s="231" t="str">
        <f>IFERROR(VLOOKUP(CG23,TAT!$B$48:$R$82,17,FALSE),"")</f>
        <v/>
      </c>
      <c r="CK26" s="232"/>
      <c r="CL26" s="124" t="str">
        <f>IFERROR(VLOOKUP(CG23,TAT!$B$48:$R$82,8,FALSE),"")</f>
        <v/>
      </c>
      <c r="CM26" s="228" t="str">
        <f>IFERROR(VLOOKUP(CM23,OTR!$B$48:$R$82,16,FALSE),"")</f>
        <v>Panthers Otrokovice</v>
      </c>
      <c r="CN26" s="229"/>
      <c r="CO26" s="230"/>
      <c r="CP26" s="231">
        <f>IFERROR(VLOOKUP(CM23,OTR!$B$48:$R$82,17,FALSE),"")</f>
        <v>2016</v>
      </c>
      <c r="CQ26" s="232"/>
      <c r="CR26" s="124">
        <f>IFERROR(VLOOKUP(CM23,OTR!$B$48:$R$82,8,FALSE),"")</f>
        <v>2</v>
      </c>
      <c r="CS26" s="34" t="str">
        <f>IFERROR(VLOOKUP(CS25,OTR!$B$48:$R$82,11,FALSE),"")</f>
        <v>P</v>
      </c>
      <c r="CT26" s="233">
        <f>IFERROR(YEAR(VLOOKUP(CS25,OTR!$B$48:$R$82,2,FALSE)),"")</f>
        <v>1983</v>
      </c>
      <c r="CU26" s="189"/>
      <c r="CV26" s="151">
        <f ca="1">IFERROR(VLOOKUP(CS25,OTR!$B$48:$R$82,3,FALSE),"")</f>
        <v>37</v>
      </c>
      <c r="CW26" s="234" t="str">
        <f>IFERROR(VLOOKUP(CS25,OTR!$B$48:$R$82,15,FALSE),"")</f>
        <v>180/80</v>
      </c>
      <c r="CX26" s="235"/>
      <c r="CY26" s="228" t="str">
        <f>IFERROR(VLOOKUP(CY23,OTR!$B$48:$R$82,16,FALSE),"")</f>
        <v>Panthers Otrokovice</v>
      </c>
      <c r="CZ26" s="229"/>
      <c r="DA26" s="230"/>
      <c r="DB26" s="231">
        <f>IFERROR(VLOOKUP(CY23,OTR!$B$48:$R$82,17,FALSE),"")</f>
        <v>2004</v>
      </c>
      <c r="DC26" s="232"/>
      <c r="DD26" s="124">
        <f>IFERROR(VLOOKUP(CY23,OTR!$B$48:$R$82,8,FALSE),"")</f>
        <v>10</v>
      </c>
      <c r="DE26" s="228" t="str">
        <f>IFERROR(VLOOKUP(DE23,BOH!$B$48:$R$82,16,FALSE),"")</f>
        <v/>
      </c>
      <c r="DF26" s="229"/>
      <c r="DG26" s="230"/>
      <c r="DH26" s="231" t="str">
        <f>IFERROR(VLOOKUP(DE23,BOH!$B$48:$R$82,17,FALSE),"")</f>
        <v/>
      </c>
      <c r="DI26" s="232"/>
      <c r="DJ26" s="124" t="str">
        <f>IFERROR(VLOOKUP(DE23,BOH!$B$48:$R$82,8,FALSE),"")</f>
        <v/>
      </c>
      <c r="DK26" s="34" t="str">
        <f>IFERROR(VLOOKUP(DK25,BOH!$B$48:$R$82,11,FALSE),"")</f>
        <v/>
      </c>
      <c r="DL26" s="233" t="str">
        <f>IFERROR(YEAR(VLOOKUP(DK25,BOH!$B$48:$R$82,2,FALSE)),"")</f>
        <v/>
      </c>
      <c r="DM26" s="189"/>
      <c r="DN26" s="166" t="str">
        <f>IFERROR(VLOOKUP(DK25,BOH!$B$48:$R$82,3,FALSE),"")</f>
        <v/>
      </c>
      <c r="DO26" s="234" t="str">
        <f>IFERROR(VLOOKUP(DK25,BOH!$B$48:$R$82,15,FALSE),"")</f>
        <v/>
      </c>
      <c r="DP26" s="235"/>
      <c r="DQ26" s="228" t="str">
        <f>IFERROR(VLOOKUP(DQ23,BOH!$B$48:$R$82,16,FALSE),"")</f>
        <v/>
      </c>
      <c r="DR26" s="229"/>
      <c r="DS26" s="230"/>
      <c r="DT26" s="231" t="str">
        <f>IFERROR(VLOOKUP(DQ23,BOH!$B$48:$R$82,17,FALSE),"")</f>
        <v/>
      </c>
      <c r="DU26" s="232"/>
      <c r="DV26" s="124" t="str">
        <f>IFERROR(VLOOKUP(DQ23,BOH!$B$48:$R$82,8,FALSE),"")</f>
        <v/>
      </c>
      <c r="DW26" s="228" t="str">
        <f>IFERROR(VLOOKUP(DW23,SPA!$B$48:$R$82,16,FALSE),"")</f>
        <v/>
      </c>
      <c r="DX26" s="229"/>
      <c r="DY26" s="230"/>
      <c r="DZ26" s="231" t="str">
        <f>IFERROR(VLOOKUP(DW23,SPA!$B$48:$R$82,17,FALSE),"")</f>
        <v/>
      </c>
      <c r="EA26" s="232"/>
      <c r="EB26" s="124" t="str">
        <f>IFERROR(VLOOKUP(DW23,SPA!$B$48:$R$82,8,FALSE),"")</f>
        <v/>
      </c>
      <c r="EC26" s="34" t="str">
        <f>IFERROR(VLOOKUP(EC25,SPA!$B$48:$R$82,11,FALSE),"")</f>
        <v/>
      </c>
      <c r="ED26" s="233" t="str">
        <f>IFERROR(YEAR(VLOOKUP(EC25,SPA!$B$48:$R$82,2,FALSE)),"")</f>
        <v/>
      </c>
      <c r="EE26" s="189"/>
      <c r="EF26" s="166" t="str">
        <f>IFERROR(VLOOKUP(EC25,SPA!$B$48:$R$82,3,FALSE),"")</f>
        <v/>
      </c>
      <c r="EG26" s="234" t="str">
        <f>IFERROR(VLOOKUP(EC25,SPA!$B$48:$R$82,15,FALSE),"")</f>
        <v/>
      </c>
      <c r="EH26" s="235"/>
      <c r="EI26" s="228" t="str">
        <f>IFERROR(VLOOKUP(EI23,SPA!$B$48:$R$82,16,FALSE),"")</f>
        <v/>
      </c>
      <c r="EJ26" s="229"/>
      <c r="EK26" s="230"/>
      <c r="EL26" s="231" t="str">
        <f>IFERROR(VLOOKUP(EI23,SPA!$B$48:$R$82,17,FALSE),"")</f>
        <v/>
      </c>
      <c r="EM26" s="232"/>
      <c r="EN26" s="124" t="str">
        <f>IFERROR(VLOOKUP(EI23,SPA!$B$48:$R$82,8,FALSE),"")</f>
        <v/>
      </c>
    </row>
    <row r="27" spans="1:144" ht="15.6" customHeight="1" thickTop="1" thickBot="1" x14ac:dyDescent="0.3">
      <c r="A27" s="16"/>
      <c r="B27" s="16"/>
      <c r="C27" s="16"/>
      <c r="D27" s="16"/>
      <c r="E27" s="33"/>
      <c r="F27" s="33"/>
      <c r="G27" s="237" t="str">
        <f>IFERROR(VLOOKUP(G25,SKV!$B$2:$O$36,14,FALSE),"")</f>
        <v>16 OZ , 3 (2+1), -5 ±</v>
      </c>
      <c r="H27" s="238"/>
      <c r="I27" s="238"/>
      <c r="J27" s="226" t="str">
        <f>IFERROR(VLOOKUP(G25,SKV!$B$48:$AA$82,14,FALSE),"")</f>
        <v>49 OZ, 11 (5+6)</v>
      </c>
      <c r="K27" s="226"/>
      <c r="L27" s="227"/>
      <c r="M27" s="33"/>
      <c r="N27" s="33"/>
      <c r="O27" s="33"/>
      <c r="P27" s="33"/>
      <c r="Q27" s="33"/>
      <c r="R27" s="33"/>
      <c r="S27" s="16"/>
      <c r="T27" s="16"/>
      <c r="U27" s="16"/>
      <c r="V27" s="16"/>
      <c r="W27" s="33"/>
      <c r="X27" s="33"/>
      <c r="Y27" s="237" t="str">
        <f>IFERROR(VLOOKUP(Y25,CHO!$B$2:$O$36,14,FALSE),"")</f>
        <v>16 OZ , 8 (5+3), +2 ±</v>
      </c>
      <c r="Z27" s="238"/>
      <c r="AA27" s="238"/>
      <c r="AB27" s="226" t="str">
        <f>IFERROR(VLOOKUP(Y25,CHO!$B$48:$AA$82,14,FALSE),"")</f>
        <v>96 OZ, 55 (31+24)</v>
      </c>
      <c r="AC27" s="226"/>
      <c r="AD27" s="227"/>
      <c r="AE27" s="33"/>
      <c r="AF27" s="33"/>
      <c r="AG27" s="33"/>
      <c r="AH27" s="33"/>
      <c r="AI27" s="33"/>
      <c r="AJ27" s="33"/>
      <c r="AK27" s="16"/>
      <c r="AL27" s="16"/>
      <c r="AM27" s="16"/>
      <c r="AN27" s="16"/>
      <c r="AO27" s="33"/>
      <c r="AP27" s="33"/>
      <c r="AQ27" s="237" t="str">
        <f>IFERROR(VLOOKUP(AQ25,VIT!$B$2:$O$36,14,FALSE),"")</f>
        <v/>
      </c>
      <c r="AR27" s="238"/>
      <c r="AS27" s="238"/>
      <c r="AT27" s="226" t="str">
        <f>IFERROR(VLOOKUP(AQ25,VIT!$B$48:$R$82,14,FALSE),"")</f>
        <v/>
      </c>
      <c r="AU27" s="226"/>
      <c r="AV27" s="227"/>
      <c r="AW27" s="33"/>
      <c r="AX27" s="33"/>
      <c r="AY27" s="33"/>
      <c r="AZ27" s="33"/>
      <c r="BA27" s="33"/>
      <c r="BB27" s="33"/>
      <c r="BC27" s="16"/>
      <c r="BD27" s="16"/>
      <c r="BE27" s="16"/>
      <c r="BF27" s="16"/>
      <c r="BG27" s="33"/>
      <c r="BH27" s="33"/>
      <c r="BI27" s="237" t="str">
        <f>IFERROR(VLOOKUP(BI25,MB!$B$2:$O$36,14,FALSE),"")</f>
        <v/>
      </c>
      <c r="BJ27" s="238"/>
      <c r="BK27" s="238"/>
      <c r="BL27" s="226" t="str">
        <f>IFERROR(VLOOKUP(BI25,MB!$B$48:$R$82,14,FALSE),"")</f>
        <v/>
      </c>
      <c r="BM27" s="226"/>
      <c r="BN27" s="227"/>
      <c r="BO27" s="33"/>
      <c r="BP27" s="33"/>
      <c r="BQ27" s="33"/>
      <c r="BR27" s="33"/>
      <c r="BS27" s="33"/>
      <c r="BT27" s="33"/>
      <c r="BU27" s="16"/>
      <c r="BV27" s="16"/>
      <c r="BW27" s="16"/>
      <c r="BX27" s="16"/>
      <c r="BY27" s="33"/>
      <c r="BZ27" s="33"/>
      <c r="CA27" s="237" t="str">
        <f>IFERROR(VLOOKUP(CA25,TAT!$B$2:$O$36,14,FALSE),"")</f>
        <v/>
      </c>
      <c r="CB27" s="238"/>
      <c r="CC27" s="238"/>
      <c r="CD27" s="226" t="str">
        <f>IFERROR(VLOOKUP(CA25,TAT!$B$48:$R$82,14,FALSE),"")</f>
        <v/>
      </c>
      <c r="CE27" s="226"/>
      <c r="CF27" s="227"/>
      <c r="CG27" s="33"/>
      <c r="CH27" s="33"/>
      <c r="CI27" s="33"/>
      <c r="CJ27" s="33"/>
      <c r="CK27" s="33"/>
      <c r="CL27" s="33"/>
      <c r="CM27" s="16"/>
      <c r="CN27" s="16"/>
      <c r="CO27" s="16"/>
      <c r="CP27" s="16"/>
      <c r="CQ27" s="33"/>
      <c r="CR27" s="33"/>
      <c r="CS27" s="237" t="str">
        <f>IFERROR(VLOOKUP(CS25,OTR!$B$2:$O$36,14,FALSE),"")</f>
        <v>8 OZ , 4 (2+2), -10 ±</v>
      </c>
      <c r="CT27" s="238"/>
      <c r="CU27" s="238"/>
      <c r="CV27" s="226" t="str">
        <f>IFERROR(VLOOKUP(CS25,OTR!$B$48:$R$82,14,FALSE),"")</f>
        <v>192 OZ, 116 (74+42)</v>
      </c>
      <c r="CW27" s="226"/>
      <c r="CX27" s="227"/>
      <c r="CY27" s="33"/>
      <c r="CZ27" s="33"/>
      <c r="DA27" s="33"/>
      <c r="DB27" s="33"/>
      <c r="DC27" s="33"/>
      <c r="DD27" s="33"/>
      <c r="DE27" s="16"/>
      <c r="DF27" s="16"/>
      <c r="DG27" s="16"/>
      <c r="DH27" s="16"/>
      <c r="DI27" s="33"/>
      <c r="DJ27" s="33"/>
      <c r="DK27" s="237" t="str">
        <f>IFERROR(VLOOKUP(DK25,BOH!$B$2:$O$36,14,FALSE),"")</f>
        <v/>
      </c>
      <c r="DL27" s="238"/>
      <c r="DM27" s="238"/>
      <c r="DN27" s="226" t="str">
        <f>IFERROR(VLOOKUP(DK25,BOH!$B$48:$R$82,14,FALSE),"")</f>
        <v/>
      </c>
      <c r="DO27" s="226"/>
      <c r="DP27" s="227"/>
      <c r="DQ27" s="33"/>
      <c r="DR27" s="33"/>
      <c r="DS27" s="33"/>
      <c r="DT27" s="33"/>
      <c r="DU27" s="33"/>
      <c r="DV27" s="33"/>
      <c r="DW27" s="16"/>
      <c r="DX27" s="16"/>
      <c r="DY27" s="16"/>
      <c r="DZ27" s="16"/>
      <c r="EA27" s="33"/>
      <c r="EB27" s="33"/>
      <c r="EC27" s="237" t="str">
        <f>IFERROR(VLOOKUP(EC25,SPA!$B$2:$O$36,14,FALSE),"")</f>
        <v/>
      </c>
      <c r="ED27" s="238"/>
      <c r="EE27" s="238"/>
      <c r="EF27" s="226" t="str">
        <f>IFERROR(VLOOKUP(EC25,SPA!$B$48:$R$82,14,FALSE),"")</f>
        <v/>
      </c>
      <c r="EG27" s="226"/>
      <c r="EH27" s="227"/>
      <c r="EI27" s="33"/>
      <c r="EJ27" s="33"/>
      <c r="EK27" s="33"/>
      <c r="EL27" s="33"/>
      <c r="EM27" s="33"/>
      <c r="EN27" s="33"/>
    </row>
    <row r="28" spans="1:144" ht="15.6" customHeight="1" thickTop="1" thickBot="1" x14ac:dyDescent="0.3">
      <c r="A28" s="193" t="s">
        <v>23</v>
      </c>
      <c r="B28" s="194"/>
      <c r="C28" s="194"/>
      <c r="D28" s="194"/>
      <c r="E28" s="32" t="str">
        <f>IFERROR(IF(VLOOKUP(A28,SKV!$B$48:$AA$82,10,FALSE)=0,"",VLOOKUP(A28,SKV!$B$48:$AA$82,10,FALSE)),"")</f>
        <v/>
      </c>
      <c r="F28" s="52">
        <f>IFERROR(VLOOKUP(A28,SKV!$B$48:$AA$82,9,FALSE),"")</f>
        <v>2</v>
      </c>
      <c r="G28" s="228" t="str">
        <f>IFERROR(VLOOKUP(G25,SKV!$B$48:$AA$82,16,FALSE),"")</f>
        <v>Bulldogs Brno</v>
      </c>
      <c r="H28" s="229"/>
      <c r="I28" s="230"/>
      <c r="J28" s="231">
        <f>IFERROR(VLOOKUP(G25,SKV!$B$48:$AA$82,17,FALSE),"")</f>
        <v>2013</v>
      </c>
      <c r="K28" s="232"/>
      <c r="L28" s="124">
        <f>IFERROR(VLOOKUP(G25,SKV!$B$48:$AA$82,8,FALSE),"")</f>
        <v>3</v>
      </c>
      <c r="M28" s="193" t="s">
        <v>53</v>
      </c>
      <c r="N28" s="194"/>
      <c r="O28" s="194"/>
      <c r="P28" s="194"/>
      <c r="Q28" s="32" t="str">
        <f>IFERROR(IF(VLOOKUP(M28,SKV!$B$48:$AA$82,10,FALSE)=0,"",VLOOKUP(M28,SKV!$B$48:$AA$82,10,FALSE)),"")</f>
        <v/>
      </c>
      <c r="R28" s="52">
        <f>IFERROR(VLOOKUP(M28,SKV!$B$48:$AA$82,9,FALSE),"")</f>
        <v>81</v>
      </c>
      <c r="S28" s="193" t="s">
        <v>171</v>
      </c>
      <c r="T28" s="194"/>
      <c r="U28" s="194"/>
      <c r="V28" s="194"/>
      <c r="W28" s="32" t="str">
        <f>IFERROR(IF(VLOOKUP(S28,CHO!$B$48:$AA$82,10,FALSE)=0,"",VLOOKUP(S28,CHO!$B$48:$AA$82,10,FALSE)),"")</f>
        <v/>
      </c>
      <c r="X28" s="52">
        <f>IFERROR(VLOOKUP(S28,CHO!$B$48:$AA$82,9,FALSE),"")</f>
        <v>4</v>
      </c>
      <c r="Y28" s="228" t="str">
        <f>IFERROR(VLOOKUP(Y25,CHO!$B$48:$AA$82,16,FALSE),"")</f>
        <v>FBC Plzeň</v>
      </c>
      <c r="Z28" s="229"/>
      <c r="AA28" s="230"/>
      <c r="AB28" s="231">
        <f>IFERROR(VLOOKUP(Y25,CHO!$B$48:$AA$82,17,FALSE),"")</f>
        <v>2009</v>
      </c>
      <c r="AC28" s="232"/>
      <c r="AD28" s="124">
        <f>IFERROR(VLOOKUP(Y25,CHO!$B$48:$AA$82,8,FALSE),"")</f>
        <v>6</v>
      </c>
      <c r="AE28" s="193" t="s">
        <v>186</v>
      </c>
      <c r="AF28" s="194"/>
      <c r="AG28" s="194"/>
      <c r="AH28" s="194"/>
      <c r="AI28" s="32" t="str">
        <f>IFERROR(IF(VLOOKUP(AE28,CHO!$B$48:$AA$82,10,FALSE)=0,"",VLOOKUP(AE28,CHO!$B$48:$AA$82,10,FALSE)),"")</f>
        <v/>
      </c>
      <c r="AJ28" s="52">
        <f>IFERROR(VLOOKUP(AE28,CHO!$B$48:$AA$82,9,FALSE),"")</f>
        <v>15</v>
      </c>
      <c r="AK28" s="193"/>
      <c r="AL28" s="194"/>
      <c r="AM28" s="194"/>
      <c r="AN28" s="194"/>
      <c r="AO28" s="32" t="str">
        <f>IFERROR(IF(VLOOKUP(AK28,VIT!$B$48:$R$82,10,FALSE)=0,"",VLOOKUP(AK28,VIT!$B$48:$R$82,10,FALSE)),"")</f>
        <v/>
      </c>
      <c r="AP28" s="52" t="str">
        <f>IFERROR(VLOOKUP(AK28,VIT!$B$48:$R$82,9,FALSE),"")</f>
        <v/>
      </c>
      <c r="AQ28" s="228" t="str">
        <f>IFERROR(VLOOKUP(AQ25,VIT!$B$48:$R$82,16,FALSE),"")</f>
        <v/>
      </c>
      <c r="AR28" s="229"/>
      <c r="AS28" s="230"/>
      <c r="AT28" s="231" t="str">
        <f>IFERROR(VLOOKUP(AQ25,VIT!$B$48:$R$82,17,FALSE),"")</f>
        <v/>
      </c>
      <c r="AU28" s="232"/>
      <c r="AV28" s="36" t="str">
        <f>IFERROR(VLOOKUP(AQ25,VIT!$B$48:$R$82,8,FALSE),"")</f>
        <v/>
      </c>
      <c r="AW28" s="193"/>
      <c r="AX28" s="194"/>
      <c r="AY28" s="194"/>
      <c r="AZ28" s="194"/>
      <c r="BA28" s="32" t="str">
        <f>IFERROR(IF(VLOOKUP(AW28,VIT!$B$48:$R$82,10,FALSE)=0,"",VLOOKUP(AW28,VIT!$B$48:$R$82,10,FALSE)),"")</f>
        <v/>
      </c>
      <c r="BB28" s="52" t="str">
        <f>IFERROR(VLOOKUP(AW28,VIT!$B$48:$R$82,9,FALSE),"")</f>
        <v/>
      </c>
      <c r="BC28" s="193"/>
      <c r="BD28" s="194"/>
      <c r="BE28" s="194"/>
      <c r="BF28" s="194"/>
      <c r="BG28" s="32" t="str">
        <f>IFERROR(IF(VLOOKUP(BC28,MB!$B$48:$R$82,10,FALSE)=0,"",VLOOKUP(BC28,MB!$B$48:$R$82,10,FALSE)),"")</f>
        <v/>
      </c>
      <c r="BH28" s="52" t="str">
        <f>IFERROR(VLOOKUP(BC28,MB!$B$48:$R$82,9,FALSE),"")</f>
        <v/>
      </c>
      <c r="BI28" s="228" t="str">
        <f>IFERROR(VLOOKUP(BI25,MB!$B$48:$R$82,16,FALSE),"")</f>
        <v/>
      </c>
      <c r="BJ28" s="229"/>
      <c r="BK28" s="230"/>
      <c r="BL28" s="231" t="str">
        <f>IFERROR(VLOOKUP(BI25,MB!$B$48:$R$82,17,FALSE),"")</f>
        <v/>
      </c>
      <c r="BM28" s="232"/>
      <c r="BN28" s="124" t="str">
        <f>IFERROR(VLOOKUP(BI25,MB!$B$48:$R$82,8,FALSE),"")</f>
        <v/>
      </c>
      <c r="BO28" s="193"/>
      <c r="BP28" s="194"/>
      <c r="BQ28" s="194"/>
      <c r="BR28" s="194"/>
      <c r="BS28" s="32" t="str">
        <f>IFERROR(IF(VLOOKUP(BO28,MB!$B$48:$R$82,10,FALSE)=0,"",VLOOKUP(BO28,MB!$B$48:$R$82,10,FALSE)),"")</f>
        <v/>
      </c>
      <c r="BT28" s="52" t="str">
        <f>IFERROR(VLOOKUP(BO28,MB!$B$48:$R$82,9,FALSE),"")</f>
        <v/>
      </c>
      <c r="BU28" s="193"/>
      <c r="BV28" s="194"/>
      <c r="BW28" s="194"/>
      <c r="BX28" s="194"/>
      <c r="BY28" s="32" t="str">
        <f>IFERROR(IF(VLOOKUP(BU28,TAT!$B$48:$R$82,10,FALSE)=0,"",VLOOKUP(BU28,TAT!$B$48:$R$82,10,FALSE)),"")</f>
        <v/>
      </c>
      <c r="BZ28" s="52" t="str">
        <f>IFERROR(VLOOKUP(BU28,TAT!$B$48:$R$82,9,FALSE),"")</f>
        <v/>
      </c>
      <c r="CA28" s="228" t="str">
        <f>IFERROR(VLOOKUP(CA25,TAT!$B$48:$R$82,16,FALSE),"")</f>
        <v/>
      </c>
      <c r="CB28" s="229"/>
      <c r="CC28" s="230"/>
      <c r="CD28" s="231" t="str">
        <f>IFERROR(VLOOKUP(CA25,TAT!$B$48:$R$82,17,FALSE),"")</f>
        <v/>
      </c>
      <c r="CE28" s="232"/>
      <c r="CF28" s="124" t="str">
        <f>IFERROR(VLOOKUP(CA25,TAT!$B$48:$R$82,8,FALSE),"")</f>
        <v/>
      </c>
      <c r="CG28" s="193"/>
      <c r="CH28" s="194"/>
      <c r="CI28" s="194"/>
      <c r="CJ28" s="194"/>
      <c r="CK28" s="32" t="str">
        <f>IFERROR(IF(VLOOKUP(CG28,TAT!$B$48:$R$82,10,FALSE)=0,"",VLOOKUP(CG28,TAT!$B$48:$R$82,10,FALSE)),"")</f>
        <v/>
      </c>
      <c r="CL28" s="52" t="str">
        <f>IFERROR(VLOOKUP(CG28,TAT!$B$48:$R$82,9,FALSE),"")</f>
        <v/>
      </c>
      <c r="CM28" s="193" t="s">
        <v>495</v>
      </c>
      <c r="CN28" s="194"/>
      <c r="CO28" s="194"/>
      <c r="CP28" s="194"/>
      <c r="CQ28" s="32" t="str">
        <f>IFERROR(IF(VLOOKUP(CM28,OTR!$B$48:$R$82,10,FALSE)=0,"",VLOOKUP(CM28,OTR!$B$48:$R$82,10,FALSE)),"")</f>
        <v/>
      </c>
      <c r="CR28" s="52">
        <f>IFERROR(VLOOKUP(CM28,OTR!$B$48:$R$82,9,FALSE),"")</f>
        <v>82</v>
      </c>
      <c r="CS28" s="228" t="str">
        <f>IFERROR(VLOOKUP(CS25,OTR!$B$48:$R$82,16,FALSE),"")</f>
        <v>Bedea Kroměříž</v>
      </c>
      <c r="CT28" s="229"/>
      <c r="CU28" s="230"/>
      <c r="CV28" s="231">
        <f>IFERROR(VLOOKUP(CS25,OTR!$B$48:$R$82,17,FALSE),"")</f>
        <v>1998</v>
      </c>
      <c r="CW28" s="232"/>
      <c r="CX28" s="124">
        <f>IFERROR(VLOOKUP(CS25,OTR!$B$48:$R$82,8,FALSE),"")</f>
        <v>10</v>
      </c>
      <c r="CY28" s="193"/>
      <c r="CZ28" s="194"/>
      <c r="DA28" s="194"/>
      <c r="DB28" s="194"/>
      <c r="DC28" s="32" t="str">
        <f>IFERROR(IF(VLOOKUP(CY28,OTR!$B$48:$R$82,10,FALSE)=0,"",VLOOKUP(CY28,OTR!$B$48:$R$82,10,FALSE)),"")</f>
        <v/>
      </c>
      <c r="DD28" s="52" t="str">
        <f>IFERROR(VLOOKUP(CY28,OTR!$B$48:$R$82,9,FALSE),"")</f>
        <v/>
      </c>
      <c r="DE28" s="193"/>
      <c r="DF28" s="194"/>
      <c r="DG28" s="194"/>
      <c r="DH28" s="194"/>
      <c r="DI28" s="32" t="str">
        <f>IFERROR(IF(VLOOKUP(DE28,BOH!$B$48:$R$82,10,FALSE)=0,"",VLOOKUP(DE28,BOH!$B$48:$R$82,10,FALSE)),"")</f>
        <v/>
      </c>
      <c r="DJ28" s="52" t="str">
        <f>IFERROR(VLOOKUP(DE28,BOH!$B$48:$R$82,9,FALSE),"")</f>
        <v/>
      </c>
      <c r="DK28" s="228" t="str">
        <f>IFERROR(VLOOKUP(DK25,BOH!$B$48:$R$82,16,FALSE),"")</f>
        <v/>
      </c>
      <c r="DL28" s="229"/>
      <c r="DM28" s="230"/>
      <c r="DN28" s="231" t="str">
        <f>IFERROR(VLOOKUP(DK25,BOH!$B$48:$R$82,17,FALSE),"")</f>
        <v/>
      </c>
      <c r="DO28" s="232"/>
      <c r="DP28" s="124" t="str">
        <f>IFERROR(VLOOKUP(DK25,BOH!$B$48:$R$82,8,FALSE),"")</f>
        <v/>
      </c>
      <c r="DQ28" s="193"/>
      <c r="DR28" s="194"/>
      <c r="DS28" s="194"/>
      <c r="DT28" s="194"/>
      <c r="DU28" s="32" t="str">
        <f>IFERROR(IF(VLOOKUP(DQ28,BOH!$B$48:$R$82,10,FALSE)=0,"",VLOOKUP(DQ28,BOH!$B$48:$R$82,10,FALSE)),"")</f>
        <v/>
      </c>
      <c r="DV28" s="52" t="str">
        <f>IFERROR(VLOOKUP(DQ28,BOH!$B$48:$R$82,9,FALSE),"")</f>
        <v/>
      </c>
      <c r="DW28" s="193"/>
      <c r="DX28" s="194"/>
      <c r="DY28" s="194"/>
      <c r="DZ28" s="194"/>
      <c r="EA28" s="32" t="str">
        <f>IFERROR(IF(VLOOKUP(DW28,SPA!$B$48:$R$82,10,FALSE)=0,"",VLOOKUP(DW28,SPA!$B$48:$R$82,10,FALSE)),"")</f>
        <v/>
      </c>
      <c r="EB28" s="52" t="str">
        <f>IFERROR(VLOOKUP(DW28,SPA!$B$48:$R$82,9,FALSE),"")</f>
        <v/>
      </c>
      <c r="EC28" s="228" t="str">
        <f>IFERROR(VLOOKUP(EC25,SPA!$B$48:$R$82,16,FALSE),"")</f>
        <v/>
      </c>
      <c r="ED28" s="229"/>
      <c r="EE28" s="230"/>
      <c r="EF28" s="231" t="str">
        <f>IFERROR(VLOOKUP(EC25,SPA!$B$48:$R$82,17,FALSE),"")</f>
        <v/>
      </c>
      <c r="EG28" s="232"/>
      <c r="EH28" s="124" t="str">
        <f>IFERROR(VLOOKUP(EC25,SPA!$B$48:$R$82,8,FALSE),"")</f>
        <v/>
      </c>
      <c r="EI28" s="193"/>
      <c r="EJ28" s="194"/>
      <c r="EK28" s="194"/>
      <c r="EL28" s="194"/>
      <c r="EM28" s="32" t="str">
        <f>IFERROR(IF(VLOOKUP(EI28,SPA!$B$48:$R$82,10,FALSE)=0,"",VLOOKUP(EI28,SPA!$B$48:$R$82,10,FALSE)),"")</f>
        <v/>
      </c>
      <c r="EN28" s="52" t="str">
        <f>IFERROR(VLOOKUP(EI28,SPA!$B$48:$R$82,9,FALSE),"")</f>
        <v/>
      </c>
    </row>
    <row r="29" spans="1:144" ht="15.6" customHeight="1" thickBot="1" x14ac:dyDescent="0.3">
      <c r="A29" s="34" t="str">
        <f>IFERROR(VLOOKUP(A28,SKV!$B$48:$AA$82,11,FALSE),"")</f>
        <v>P</v>
      </c>
      <c r="B29" s="233">
        <f>IFERROR(YEAR(VLOOKUP(A28,SKV!$B$48:$AA$82,2,FALSE)),"")</f>
        <v>1994</v>
      </c>
      <c r="C29" s="189"/>
      <c r="D29" s="35">
        <f ca="1">IFERROR(VLOOKUP(A28,SKV!$B$48:$AA$82,3,FALSE),"")</f>
        <v>26</v>
      </c>
      <c r="E29" s="234" t="str">
        <f>IFERROR(VLOOKUP(A28,SKV!$B$48:$AA$82,15,FALSE),"")</f>
        <v>187/93</v>
      </c>
      <c r="F29" s="235"/>
      <c r="G29" s="33"/>
      <c r="H29" s="33"/>
      <c r="I29" s="33"/>
      <c r="J29" s="33"/>
      <c r="K29" s="33"/>
      <c r="L29" s="33"/>
      <c r="M29" s="34" t="str">
        <f>IFERROR(VLOOKUP(M28,SKV!$B$48:$AA$82,11,FALSE),"")</f>
        <v>L</v>
      </c>
      <c r="N29" s="233">
        <f>IFERROR(YEAR(VLOOKUP(M28,SKV!$B$48:$AA$82,2,FALSE)),"")</f>
        <v>2002</v>
      </c>
      <c r="O29" s="189"/>
      <c r="P29" s="35">
        <f ca="1">IFERROR(VLOOKUP(M28,SKV!$B$48:$AA$82,3,FALSE),"")</f>
        <v>18</v>
      </c>
      <c r="Q29" s="234" t="str">
        <f>IFERROR(VLOOKUP(M28,SKV!$B$48:$AA$82,15,FALSE),"")</f>
        <v>187/61</v>
      </c>
      <c r="R29" s="235"/>
      <c r="S29" s="34" t="str">
        <f>IFERROR(VLOOKUP(S28,CHO!$B$48:$AA$82,11,FALSE),"")</f>
        <v>L</v>
      </c>
      <c r="T29" s="233">
        <f>IFERROR(YEAR(VLOOKUP(S28,CHO!$B$48:$AA$82,2,FALSE)),"")</f>
        <v>1999</v>
      </c>
      <c r="U29" s="189"/>
      <c r="V29" s="35">
        <f ca="1">IFERROR(VLOOKUP(S28,CHO!$B$48:$AA$82,3,FALSE),"")</f>
        <v>21</v>
      </c>
      <c r="W29" s="234" t="str">
        <f>IFERROR(VLOOKUP(S28,CHO!$B$48:$AA$82,15,FALSE),"")</f>
        <v>184/78</v>
      </c>
      <c r="X29" s="235"/>
      <c r="Y29" s="33"/>
      <c r="Z29" s="33"/>
      <c r="AA29" s="33"/>
      <c r="AB29" s="33"/>
      <c r="AC29" s="33"/>
      <c r="AD29" s="33"/>
      <c r="AE29" s="34" t="str">
        <f>IFERROR(VLOOKUP(AE28,CHO!$B$48:$AA$82,11,FALSE),"")</f>
        <v>L</v>
      </c>
      <c r="AF29" s="233">
        <f>IFERROR(YEAR(VLOOKUP(AE28,CHO!$B$48:$AA$82,2,FALSE)),"")</f>
        <v>1987</v>
      </c>
      <c r="AG29" s="189"/>
      <c r="AH29" s="35">
        <f ca="1">IFERROR(VLOOKUP(AE28,CHO!$B$48:$AA$82,3,FALSE),"")</f>
        <v>33</v>
      </c>
      <c r="AI29" s="234" t="str">
        <f>IFERROR(VLOOKUP(AE28,CHO!$B$48:$AA$82,15,FALSE),"")</f>
        <v>178/80</v>
      </c>
      <c r="AJ29" s="235"/>
      <c r="AK29" s="34" t="str">
        <f>IFERROR(VLOOKUP(AK28,VIT!$B$48:$R$82,11,FALSE),"")</f>
        <v/>
      </c>
      <c r="AL29" s="233" t="str">
        <f>IFERROR(YEAR(VLOOKUP(AK28,VIT!$B$48:$R$82,2,FALSE)),"")</f>
        <v/>
      </c>
      <c r="AM29" s="189"/>
      <c r="AN29" s="106" t="str">
        <f>IFERROR(VLOOKUP(AK28,VIT!$B$48:$R$82,3,FALSE),"")</f>
        <v/>
      </c>
      <c r="AO29" s="234" t="str">
        <f>IFERROR(VLOOKUP(AK28,VIT!$B$48:$R$82,15,FALSE),"")</f>
        <v/>
      </c>
      <c r="AP29" s="235"/>
      <c r="AQ29" s="33"/>
      <c r="AR29" s="33"/>
      <c r="AS29" s="33"/>
      <c r="AT29" s="33"/>
      <c r="AU29" s="33"/>
      <c r="AV29" s="33"/>
      <c r="AW29" s="34" t="str">
        <f>IFERROR(VLOOKUP(AW28,VIT!$B$48:$R$82,11,FALSE),"")</f>
        <v/>
      </c>
      <c r="AX29" s="233" t="str">
        <f>IFERROR(YEAR(VLOOKUP(AW28,VIT!$B$48:$R$82,2,FALSE)),"")</f>
        <v/>
      </c>
      <c r="AY29" s="189"/>
      <c r="AZ29" s="106" t="str">
        <f>IFERROR(VLOOKUP(AW28,VIT!$B$48:$R$82,3,FALSE),"")</f>
        <v/>
      </c>
      <c r="BA29" s="234" t="str">
        <f>IFERROR(VLOOKUP(AW28,VIT!$B$48:$R$82,15,FALSE),"")</f>
        <v/>
      </c>
      <c r="BB29" s="235"/>
      <c r="BC29" s="34" t="str">
        <f>IFERROR(VLOOKUP(BC28,MB!$B$48:$R$82,11,FALSE),"")</f>
        <v/>
      </c>
      <c r="BD29" s="233" t="str">
        <f>IFERROR(YEAR(VLOOKUP(BC28,MB!$B$48:$R$82,2,FALSE)),"")</f>
        <v/>
      </c>
      <c r="BE29" s="189"/>
      <c r="BF29" s="108" t="str">
        <f>IFERROR(VLOOKUP(BC28,MB!$B$48:$R$82,3,FALSE),"")</f>
        <v/>
      </c>
      <c r="BG29" s="234" t="str">
        <f>IFERROR(VLOOKUP(BC28,MB!$B$48:$R$82,15,FALSE),"")</f>
        <v/>
      </c>
      <c r="BH29" s="235"/>
      <c r="BI29" s="33"/>
      <c r="BJ29" s="33"/>
      <c r="BK29" s="33"/>
      <c r="BL29" s="33"/>
      <c r="BM29" s="33"/>
      <c r="BN29" s="33"/>
      <c r="BO29" s="34" t="str">
        <f>IFERROR(VLOOKUP(BO28,MB!$B$48:$R$82,11,FALSE),"")</f>
        <v/>
      </c>
      <c r="BP29" s="233" t="str">
        <f>IFERROR(YEAR(VLOOKUP(BO28,MB!$B$48:$R$82,2,FALSE)),"")</f>
        <v/>
      </c>
      <c r="BQ29" s="189"/>
      <c r="BR29" s="108" t="str">
        <f>IFERROR(VLOOKUP(BO28,MB!$B$48:$R$82,3,FALSE),"")</f>
        <v/>
      </c>
      <c r="BS29" s="234" t="str">
        <f>IFERROR(VLOOKUP(BO28,MB!$B$48:$R$82,15,FALSE),"")</f>
        <v/>
      </c>
      <c r="BT29" s="235"/>
      <c r="BU29" s="34" t="str">
        <f>IFERROR(VLOOKUP(BU28,TAT!$B$48:$R$82,11,FALSE),"")</f>
        <v/>
      </c>
      <c r="BV29" s="233" t="str">
        <f>IFERROR(YEAR(VLOOKUP(BU28,TAT!$B$48:$R$82,2,FALSE)),"")</f>
        <v/>
      </c>
      <c r="BW29" s="189"/>
      <c r="BX29" s="151" t="str">
        <f>IFERROR(VLOOKUP(BU28,TAT!$B$48:$R$82,3,FALSE),"")</f>
        <v/>
      </c>
      <c r="BY29" s="234" t="str">
        <f>IFERROR(VLOOKUP(BU28,TAT!$B$48:$R$82,15,FALSE),"")</f>
        <v/>
      </c>
      <c r="BZ29" s="235"/>
      <c r="CA29" s="33"/>
      <c r="CB29" s="33"/>
      <c r="CC29" s="33"/>
      <c r="CD29" s="33"/>
      <c r="CE29" s="33"/>
      <c r="CF29" s="33"/>
      <c r="CG29" s="34" t="str">
        <f>IFERROR(VLOOKUP(CG28,TAT!$B$48:$R$82,11,FALSE),"")</f>
        <v/>
      </c>
      <c r="CH29" s="233" t="str">
        <f>IFERROR(YEAR(VLOOKUP(CG28,TAT!$B$48:$R$82,2,FALSE)),"")</f>
        <v/>
      </c>
      <c r="CI29" s="189"/>
      <c r="CJ29" s="151" t="str">
        <f>IFERROR(VLOOKUP(CG28,TAT!$B$48:$R$82,3,FALSE),"")</f>
        <v/>
      </c>
      <c r="CK29" s="234" t="str">
        <f>IFERROR(VLOOKUP(CG28,TAT!$B$48:$R$82,15,FALSE),"")</f>
        <v/>
      </c>
      <c r="CL29" s="235"/>
      <c r="CM29" s="34" t="str">
        <f>IFERROR(VLOOKUP(CM28,OTR!$B$48:$R$82,11,FALSE),"")</f>
        <v>L</v>
      </c>
      <c r="CN29" s="233">
        <f>IFERROR(YEAR(VLOOKUP(CM28,OTR!$B$48:$R$82,2,FALSE)),"")</f>
        <v>2002</v>
      </c>
      <c r="CO29" s="189"/>
      <c r="CP29" s="151">
        <f ca="1">IFERROR(VLOOKUP(CM28,OTR!$B$48:$R$82,3,FALSE),"")</f>
        <v>18</v>
      </c>
      <c r="CQ29" s="234" t="str">
        <f>IFERROR(VLOOKUP(CM28,OTR!$B$48:$R$82,15,FALSE),"")</f>
        <v>187/78</v>
      </c>
      <c r="CR29" s="235"/>
      <c r="CS29" s="33"/>
      <c r="CT29" s="33"/>
      <c r="CU29" s="33"/>
      <c r="CV29" s="33"/>
      <c r="CW29" s="33"/>
      <c r="CX29" s="33"/>
      <c r="CY29" s="34" t="str">
        <f>IFERROR(VLOOKUP(CY28,OTR!$B$48:$R$82,11,FALSE),"")</f>
        <v/>
      </c>
      <c r="CZ29" s="233" t="str">
        <f>IFERROR(YEAR(VLOOKUP(CY28,OTR!$B$48:$R$82,2,FALSE)),"")</f>
        <v/>
      </c>
      <c r="DA29" s="189"/>
      <c r="DB29" s="151" t="str">
        <f>IFERROR(VLOOKUP(CY28,OTR!$B$48:$R$82,3,FALSE),"")</f>
        <v/>
      </c>
      <c r="DC29" s="234" t="str">
        <f>IFERROR(VLOOKUP(CY28,OTR!$B$48:$R$82,15,FALSE),"")</f>
        <v/>
      </c>
      <c r="DD29" s="235"/>
      <c r="DE29" s="34" t="str">
        <f>IFERROR(VLOOKUP(DE28,BOH!$B$48:$R$82,11,FALSE),"")</f>
        <v/>
      </c>
      <c r="DF29" s="233" t="str">
        <f>IFERROR(YEAR(VLOOKUP(DE28,BOH!$B$48:$R$82,2,FALSE)),"")</f>
        <v/>
      </c>
      <c r="DG29" s="189"/>
      <c r="DH29" s="166" t="str">
        <f>IFERROR(VLOOKUP(DE28,BOH!$B$48:$R$82,3,FALSE),"")</f>
        <v/>
      </c>
      <c r="DI29" s="234" t="str">
        <f>IFERROR(VLOOKUP(DE28,BOH!$B$48:$R$82,15,FALSE),"")</f>
        <v/>
      </c>
      <c r="DJ29" s="235"/>
      <c r="DK29" s="33"/>
      <c r="DL29" s="33"/>
      <c r="DM29" s="33"/>
      <c r="DN29" s="33"/>
      <c r="DO29" s="33"/>
      <c r="DP29" s="33"/>
      <c r="DQ29" s="34" t="str">
        <f>IFERROR(VLOOKUP(DQ28,BOH!$B$48:$R$82,11,FALSE),"")</f>
        <v/>
      </c>
      <c r="DR29" s="233" t="str">
        <f>IFERROR(YEAR(VLOOKUP(DQ28,BOH!$B$48:$R$82,2,FALSE)),"")</f>
        <v/>
      </c>
      <c r="DS29" s="189"/>
      <c r="DT29" s="166" t="str">
        <f>IFERROR(VLOOKUP(DQ28,BOH!$B$48:$R$82,3,FALSE),"")</f>
        <v/>
      </c>
      <c r="DU29" s="234" t="str">
        <f>IFERROR(VLOOKUP(DQ28,BOH!$B$48:$R$82,15,FALSE),"")</f>
        <v/>
      </c>
      <c r="DV29" s="235"/>
      <c r="DW29" s="34" t="str">
        <f>IFERROR(VLOOKUP(DW28,SPA!$B$48:$R$82,11,FALSE),"")</f>
        <v/>
      </c>
      <c r="DX29" s="233" t="str">
        <f>IFERROR(YEAR(VLOOKUP(DW28,SPA!$B$48:$R$82,2,FALSE)),"")</f>
        <v/>
      </c>
      <c r="DY29" s="189"/>
      <c r="DZ29" s="166" t="str">
        <f>IFERROR(VLOOKUP(DW28,SPA!$B$48:$R$82,3,FALSE),"")</f>
        <v/>
      </c>
      <c r="EA29" s="234" t="str">
        <f>IFERROR(VLOOKUP(DW28,SPA!$B$48:$R$82,15,FALSE),"")</f>
        <v/>
      </c>
      <c r="EB29" s="235"/>
      <c r="EC29" s="33"/>
      <c r="ED29" s="33"/>
      <c r="EE29" s="33"/>
      <c r="EF29" s="33"/>
      <c r="EG29" s="33"/>
      <c r="EH29" s="33"/>
      <c r="EI29" s="34" t="str">
        <f>IFERROR(VLOOKUP(EI28,SPA!$B$48:$R$82,11,FALSE),"")</f>
        <v/>
      </c>
      <c r="EJ29" s="233" t="str">
        <f>IFERROR(YEAR(VLOOKUP(EI28,SPA!$B$48:$R$82,2,FALSE)),"")</f>
        <v/>
      </c>
      <c r="EK29" s="189"/>
      <c r="EL29" s="166" t="str">
        <f>IFERROR(VLOOKUP(EI28,SPA!$B$48:$R$82,3,FALSE),"")</f>
        <v/>
      </c>
      <c r="EM29" s="234" t="str">
        <f>IFERROR(VLOOKUP(EI28,SPA!$B$48:$R$82,15,FALSE),"")</f>
        <v/>
      </c>
      <c r="EN29" s="235"/>
    </row>
    <row r="30" spans="1:144" ht="15.6" customHeight="1" x14ac:dyDescent="0.25">
      <c r="A30" s="237" t="str">
        <f>IFERROR(VLOOKUP(A28,SKV!$B$2:$O$36,14,FALSE),"")</f>
        <v>14 OZ , 0 (0+0), -2 ±</v>
      </c>
      <c r="B30" s="238"/>
      <c r="C30" s="238"/>
      <c r="D30" s="226" t="str">
        <f>IFERROR(VLOOKUP(A28,SKV!$B$48:$AA$82,14,FALSE),"")</f>
        <v>129 OZ, 27 (13+14)</v>
      </c>
      <c r="E30" s="226"/>
      <c r="F30" s="227"/>
      <c r="G30" s="33"/>
      <c r="H30" s="236" t="str">
        <f>H$8</f>
        <v>SKV</v>
      </c>
      <c r="I30" s="236"/>
      <c r="J30" s="236"/>
      <c r="K30" s="236"/>
      <c r="L30" s="33"/>
      <c r="M30" s="237" t="str">
        <f>IFERROR(VLOOKUP(M28,SKV!$B$2:$O$36,14,FALSE),"")</f>
        <v>9 OZ , 2 (2+0), 0 ±</v>
      </c>
      <c r="N30" s="238"/>
      <c r="O30" s="238"/>
      <c r="P30" s="226" t="str">
        <f>IFERROR(VLOOKUP(M28,SKV!$B$48:$AA$82,14,FALSE),"")</f>
        <v>9 OZ, 2 (2+0)</v>
      </c>
      <c r="Q30" s="226"/>
      <c r="R30" s="227"/>
      <c r="S30" s="237" t="str">
        <f>IFERROR(VLOOKUP(S28,CHO!$B$2:$O$36,14,FALSE),"")</f>
        <v>12 OZ , 8 (4+4), +7 ±</v>
      </c>
      <c r="T30" s="238"/>
      <c r="U30" s="238"/>
      <c r="V30" s="226" t="str">
        <f>IFERROR(VLOOKUP(S28,CHO!$B$48:$AA$82,14,FALSE),"")</f>
        <v>90 OZ, 50 (35+15)</v>
      </c>
      <c r="W30" s="226"/>
      <c r="X30" s="227"/>
      <c r="Y30" s="33"/>
      <c r="Z30" s="236" t="str">
        <f>$Z$8</f>
        <v>CHO</v>
      </c>
      <c r="AA30" s="236"/>
      <c r="AB30" s="236"/>
      <c r="AC30" s="236"/>
      <c r="AD30" s="33"/>
      <c r="AE30" s="237" t="str">
        <f>IFERROR(VLOOKUP(AE28,CHO!$B$2:$O$36,14,FALSE),"")</f>
        <v>15 OZ , 0 (0+0), +5 ±</v>
      </c>
      <c r="AF30" s="238"/>
      <c r="AG30" s="238"/>
      <c r="AH30" s="226" t="str">
        <f>IFERROR(VLOOKUP(AE28,CHO!$B$48:$AA$82,14,FALSE),"")</f>
        <v>308 OZ, 190 (95+95)</v>
      </c>
      <c r="AI30" s="226"/>
      <c r="AJ30" s="227"/>
      <c r="AK30" s="237" t="str">
        <f>IFERROR(VLOOKUP(AK28,VIT!$B$2:$O$36,14,FALSE),"")</f>
        <v/>
      </c>
      <c r="AL30" s="238"/>
      <c r="AM30" s="238"/>
      <c r="AN30" s="226" t="str">
        <f>IFERROR(VLOOKUP(AK28,VIT!$B$48:$R$82,14,FALSE),"")</f>
        <v/>
      </c>
      <c r="AO30" s="226"/>
      <c r="AP30" s="227"/>
      <c r="AQ30" s="33"/>
      <c r="AR30" s="236" t="str">
        <f>AR$8</f>
        <v>VIT</v>
      </c>
      <c r="AS30" s="236"/>
      <c r="AT30" s="236"/>
      <c r="AU30" s="236"/>
      <c r="AV30" s="33"/>
      <c r="AW30" s="237" t="str">
        <f>IFERROR(VLOOKUP(AW28,VIT!$B$2:$O$36,14,FALSE),"")</f>
        <v/>
      </c>
      <c r="AX30" s="238"/>
      <c r="AY30" s="238"/>
      <c r="AZ30" s="226" t="str">
        <f>IFERROR(VLOOKUP(AW28,VIT!$B$48:$R$82,14,FALSE),"")</f>
        <v/>
      </c>
      <c r="BA30" s="226"/>
      <c r="BB30" s="227"/>
      <c r="BC30" s="237" t="str">
        <f>IFERROR(VLOOKUP(BC28,MB!$B$2:$O$36,14,FALSE),"")</f>
        <v/>
      </c>
      <c r="BD30" s="238"/>
      <c r="BE30" s="238"/>
      <c r="BF30" s="226" t="str">
        <f>IFERROR(VLOOKUP(BC28,MB!$B$48:$R$82,14,FALSE),"")</f>
        <v/>
      </c>
      <c r="BG30" s="226"/>
      <c r="BH30" s="227"/>
      <c r="BI30" s="33"/>
      <c r="BJ30" s="236" t="str">
        <f>BJ$8</f>
        <v>MB</v>
      </c>
      <c r="BK30" s="236"/>
      <c r="BL30" s="236"/>
      <c r="BM30" s="236"/>
      <c r="BN30" s="33"/>
      <c r="BO30" s="237" t="str">
        <f>IFERROR(VLOOKUP(BO28,MB!$B$2:$O$36,14,FALSE),"")</f>
        <v/>
      </c>
      <c r="BP30" s="238"/>
      <c r="BQ30" s="238"/>
      <c r="BR30" s="226" t="str">
        <f>IFERROR(VLOOKUP(BO28,MB!$B$48:$R$82,14,FALSE),"")</f>
        <v/>
      </c>
      <c r="BS30" s="226"/>
      <c r="BT30" s="227"/>
      <c r="BU30" s="237" t="str">
        <f>IFERROR(VLOOKUP(BU28,TAT!$B$2:$O$36,14,FALSE),"")</f>
        <v/>
      </c>
      <c r="BV30" s="238"/>
      <c r="BW30" s="238"/>
      <c r="BX30" s="226" t="str">
        <f>IFERROR(VLOOKUP(BU28,TAT!$B$48:$R$82,14,FALSE),"")</f>
        <v/>
      </c>
      <c r="BY30" s="226"/>
      <c r="BZ30" s="227"/>
      <c r="CA30" s="33"/>
      <c r="CB30" s="236" t="str">
        <f>CB$8</f>
        <v>TAT</v>
      </c>
      <c r="CC30" s="236"/>
      <c r="CD30" s="236"/>
      <c r="CE30" s="236"/>
      <c r="CF30" s="33"/>
      <c r="CG30" s="237" t="str">
        <f>IFERROR(VLOOKUP(CG28,TAT!$B$2:$O$36,14,FALSE),"")</f>
        <v/>
      </c>
      <c r="CH30" s="238"/>
      <c r="CI30" s="238"/>
      <c r="CJ30" s="226" t="str">
        <f>IFERROR(VLOOKUP(CG28,TAT!$B$48:$R$82,14,FALSE),"")</f>
        <v/>
      </c>
      <c r="CK30" s="226"/>
      <c r="CL30" s="227"/>
      <c r="CM30" s="237" t="str">
        <f>IFERROR(VLOOKUP(CM28,OTR!$B$2:$O$36,14,FALSE),"")</f>
        <v>16 OZ , 2 (0+2), -18 ±</v>
      </c>
      <c r="CN30" s="238"/>
      <c r="CO30" s="238"/>
      <c r="CP30" s="226" t="str">
        <f>IFERROR(VLOOKUP(CM28,OTR!$B$48:$R$82,14,FALSE),"")</f>
        <v>28 OZ, 3 (0+3)</v>
      </c>
      <c r="CQ30" s="226"/>
      <c r="CR30" s="227"/>
      <c r="CS30" s="33"/>
      <c r="CT30" s="236" t="str">
        <f>CT$8</f>
        <v>OTR</v>
      </c>
      <c r="CU30" s="236"/>
      <c r="CV30" s="236"/>
      <c r="CW30" s="236"/>
      <c r="CX30" s="33"/>
      <c r="CY30" s="237" t="str">
        <f>IFERROR(VLOOKUP(CY28,OTR!$B$2:$O$36,14,FALSE),"")</f>
        <v/>
      </c>
      <c r="CZ30" s="238"/>
      <c r="DA30" s="238"/>
      <c r="DB30" s="226" t="str">
        <f>IFERROR(VLOOKUP(CY28,OTR!$B$48:$R$82,14,FALSE),"")</f>
        <v/>
      </c>
      <c r="DC30" s="226"/>
      <c r="DD30" s="227"/>
      <c r="DE30" s="237" t="str">
        <f>IFERROR(VLOOKUP(DE28,BOH!$B$2:$O$36,14,FALSE),"")</f>
        <v/>
      </c>
      <c r="DF30" s="238"/>
      <c r="DG30" s="238"/>
      <c r="DH30" s="226" t="str">
        <f>IFERROR(VLOOKUP(DE28,BOH!$B$48:$R$82,14,FALSE),"")</f>
        <v/>
      </c>
      <c r="DI30" s="226"/>
      <c r="DJ30" s="227"/>
      <c r="DK30" s="33"/>
      <c r="DL30" s="236" t="str">
        <f>DL$8</f>
        <v>BOH</v>
      </c>
      <c r="DM30" s="236"/>
      <c r="DN30" s="236"/>
      <c r="DO30" s="236"/>
      <c r="DP30" s="33"/>
      <c r="DQ30" s="237" t="str">
        <f>IFERROR(VLOOKUP(DQ28,BOH!$B$2:$O$36,14,FALSE),"")</f>
        <v/>
      </c>
      <c r="DR30" s="238"/>
      <c r="DS30" s="238"/>
      <c r="DT30" s="226" t="str">
        <f>IFERROR(VLOOKUP(DQ28,BOH!$B$48:$R$82,14,FALSE),"")</f>
        <v/>
      </c>
      <c r="DU30" s="226"/>
      <c r="DV30" s="227"/>
      <c r="DW30" s="237" t="str">
        <f>IFERROR(VLOOKUP(DW28,SPA!$B$2:$O$36,14,FALSE),"")</f>
        <v/>
      </c>
      <c r="DX30" s="238"/>
      <c r="DY30" s="238"/>
      <c r="DZ30" s="226" t="str">
        <f>IFERROR(VLOOKUP(DW28,SPA!$B$48:$R$82,14,FALSE),"")</f>
        <v/>
      </c>
      <c r="EA30" s="226"/>
      <c r="EB30" s="227"/>
      <c r="EC30" s="33"/>
      <c r="ED30" s="236" t="str">
        <f>ED$8</f>
        <v>SPA</v>
      </c>
      <c r="EE30" s="236"/>
      <c r="EF30" s="236"/>
      <c r="EG30" s="236"/>
      <c r="EH30" s="33"/>
      <c r="EI30" s="237" t="str">
        <f>IFERROR(VLOOKUP(EI28,SPA!$B$2:$O$36,14,FALSE),"")</f>
        <v/>
      </c>
      <c r="EJ30" s="238"/>
      <c r="EK30" s="238"/>
      <c r="EL30" s="226" t="str">
        <f>IFERROR(VLOOKUP(EI28,SPA!$B$48:$R$82,14,FALSE),"")</f>
        <v/>
      </c>
      <c r="EM30" s="226"/>
      <c r="EN30" s="227"/>
    </row>
    <row r="31" spans="1:144" ht="15.6" customHeight="1" thickBot="1" x14ac:dyDescent="0.3">
      <c r="A31" s="228" t="str">
        <f>IFERROR(VLOOKUP(A28,SKV!$B$48:$AA$82,16,FALSE),"")</f>
        <v>Florbal Chodov</v>
      </c>
      <c r="B31" s="229"/>
      <c r="C31" s="230"/>
      <c r="D31" s="231">
        <f>IFERROR(VLOOKUP(A28,SKV!$B$48:$AA$82,17,FALSE),"")</f>
        <v>2001</v>
      </c>
      <c r="E31" s="232"/>
      <c r="F31" s="124">
        <f>IFERROR(VLOOKUP(A28,SKV!$B$48:$AA$82,8,FALSE),"")</f>
        <v>8</v>
      </c>
      <c r="G31" s="33"/>
      <c r="H31" s="236"/>
      <c r="I31" s="236"/>
      <c r="J31" s="236"/>
      <c r="K31" s="236"/>
      <c r="L31" s="33"/>
      <c r="M31" s="228" t="str">
        <f>IFERROR(VLOOKUP(M28,SKV!$B$48:$AA$82,16,FALSE),"")</f>
        <v>SKV</v>
      </c>
      <c r="N31" s="229"/>
      <c r="O31" s="230"/>
      <c r="P31" s="231">
        <f>IFERROR(VLOOKUP(M28,SKV!$B$48:$AA$82,17,FALSE),"")</f>
        <v>2013</v>
      </c>
      <c r="Q31" s="232"/>
      <c r="R31" s="124">
        <f>IFERROR(VLOOKUP(M28,SKV!$B$48:$AA$82,8,FALSE),"")</f>
        <v>1</v>
      </c>
      <c r="S31" s="228" t="str">
        <f>IFERROR(VLOOKUP(S28,CHO!$B$48:$AA$82,16,FALSE),"")</f>
        <v>Wizards DDM</v>
      </c>
      <c r="T31" s="229"/>
      <c r="U31" s="230"/>
      <c r="V31" s="231">
        <f>IFERROR(VLOOKUP(S28,CHO!$B$48:$AA$82,17,FALSE),"")</f>
        <v>2008</v>
      </c>
      <c r="W31" s="232"/>
      <c r="X31" s="124">
        <f>IFERROR(VLOOKUP(S28,CHO!$B$48:$AA$82,8,FALSE),"")</f>
        <v>5</v>
      </c>
      <c r="Y31" s="33"/>
      <c r="Z31" s="236"/>
      <c r="AA31" s="236"/>
      <c r="AB31" s="236"/>
      <c r="AC31" s="236"/>
      <c r="AD31" s="33"/>
      <c r="AE31" s="228" t="str">
        <f>IFERROR(VLOOKUP(AE28,CHO!$B$48:$AA$82,16,FALSE),"")</f>
        <v>Tatran Střešovice</v>
      </c>
      <c r="AF31" s="229"/>
      <c r="AG31" s="230"/>
      <c r="AH31" s="231">
        <f>IFERROR(VLOOKUP(AE28,CHO!$B$48:$AA$82,17,FALSE),"")</f>
        <v>2002</v>
      </c>
      <c r="AI31" s="232"/>
      <c r="AJ31" s="124">
        <f>IFERROR(VLOOKUP(AE28,CHO!$B$48:$AA$82,8,FALSE),"")</f>
        <v>17</v>
      </c>
      <c r="AK31" s="228" t="str">
        <f>IFERROR(VLOOKUP(AK28,VIT!$B$48:$R$82,16,FALSE),"")</f>
        <v/>
      </c>
      <c r="AL31" s="229"/>
      <c r="AM31" s="230"/>
      <c r="AN31" s="231" t="str">
        <f>IFERROR(VLOOKUP(AK28,VIT!$B$48:$R$82,17,FALSE),"")</f>
        <v/>
      </c>
      <c r="AO31" s="232"/>
      <c r="AP31" s="124" t="str">
        <f>IFERROR(VLOOKUP(AK28,VIT!$B$48:$R$82,8,FALSE),"")</f>
        <v/>
      </c>
      <c r="AQ31" s="33"/>
      <c r="AR31" s="236"/>
      <c r="AS31" s="236"/>
      <c r="AT31" s="236"/>
      <c r="AU31" s="236"/>
      <c r="AV31" s="33"/>
      <c r="AW31" s="228" t="str">
        <f>IFERROR(VLOOKUP(AW28,VIT!$B$48:$R$82,16,FALSE),"")</f>
        <v/>
      </c>
      <c r="AX31" s="229"/>
      <c r="AY31" s="230"/>
      <c r="AZ31" s="231" t="str">
        <f>IFERROR(VLOOKUP(AW28,VIT!$B$48:$R$82,17,FALSE),"")</f>
        <v/>
      </c>
      <c r="BA31" s="232"/>
      <c r="BB31" s="124" t="str">
        <f>IFERROR(VLOOKUP(AW28,VIT!$B$48:$R$82,8,FALSE),"")</f>
        <v/>
      </c>
      <c r="BC31" s="228" t="str">
        <f>IFERROR(VLOOKUP(BC28,MB!$B$48:$R$82,16,FALSE),"")</f>
        <v/>
      </c>
      <c r="BD31" s="229"/>
      <c r="BE31" s="230"/>
      <c r="BF31" s="231" t="str">
        <f>IFERROR(VLOOKUP(BC28,MB!$B$48:$R$82,17,FALSE),"")</f>
        <v/>
      </c>
      <c r="BG31" s="232"/>
      <c r="BH31" s="124" t="str">
        <f>IFERROR(VLOOKUP(BC28,MB!$B$48:$R$82,8,FALSE),"")</f>
        <v/>
      </c>
      <c r="BI31" s="33"/>
      <c r="BJ31" s="236"/>
      <c r="BK31" s="236"/>
      <c r="BL31" s="236"/>
      <c r="BM31" s="236"/>
      <c r="BN31" s="33"/>
      <c r="BO31" s="228" t="str">
        <f>IFERROR(VLOOKUP(BO28,MB!$B$48:$R$82,16,FALSE),"")</f>
        <v/>
      </c>
      <c r="BP31" s="229"/>
      <c r="BQ31" s="230"/>
      <c r="BR31" s="231" t="str">
        <f>IFERROR(VLOOKUP(BO28,MB!$B$48:$R$82,17,FALSE),"")</f>
        <v/>
      </c>
      <c r="BS31" s="232"/>
      <c r="BT31" s="124" t="str">
        <f>IFERROR(VLOOKUP(BO28,MB!$B$48:$R$82,8,FALSE),"")</f>
        <v/>
      </c>
      <c r="BU31" s="228" t="str">
        <f>IFERROR(VLOOKUP(BU28,TAT!$B$48:$R$82,16,FALSE),"")</f>
        <v/>
      </c>
      <c r="BV31" s="229"/>
      <c r="BW31" s="230"/>
      <c r="BX31" s="231" t="str">
        <f>IFERROR(VLOOKUP(BU28,TAT!$B$48:$R$82,17,FALSE),"")</f>
        <v/>
      </c>
      <c r="BY31" s="232"/>
      <c r="BZ31" s="124" t="str">
        <f>IFERROR(VLOOKUP(BU28,TAT!$B$48:$R$82,8,FALSE),"")</f>
        <v/>
      </c>
      <c r="CA31" s="33"/>
      <c r="CB31" s="236"/>
      <c r="CC31" s="236"/>
      <c r="CD31" s="236"/>
      <c r="CE31" s="236"/>
      <c r="CF31" s="33"/>
      <c r="CG31" s="228" t="str">
        <f>IFERROR(VLOOKUP(CG28,TAT!$B$48:$R$82,16,FALSE),"")</f>
        <v/>
      </c>
      <c r="CH31" s="229"/>
      <c r="CI31" s="230"/>
      <c r="CJ31" s="231" t="str">
        <f>IFERROR(VLOOKUP(CG28,TAT!$B$48:$R$82,17,FALSE),"")</f>
        <v/>
      </c>
      <c r="CK31" s="232"/>
      <c r="CL31" s="124" t="str">
        <f>IFERROR(VLOOKUP(CG28,TAT!$B$48:$R$82,8,FALSE),"")</f>
        <v/>
      </c>
      <c r="CM31" s="228" t="str">
        <f>IFERROR(VLOOKUP(CM28,OTR!$B$48:$R$82,16,FALSE),"")</f>
        <v>Panthers Otrokovice</v>
      </c>
      <c r="CN31" s="229"/>
      <c r="CO31" s="230"/>
      <c r="CP31" s="231">
        <f>IFERROR(VLOOKUP(CM28,OTR!$B$48:$R$82,17,FALSE),"")</f>
        <v>2012</v>
      </c>
      <c r="CQ31" s="232"/>
      <c r="CR31" s="124">
        <f>IFERROR(VLOOKUP(CM28,OTR!$B$48:$R$82,8,FALSE),"")</f>
        <v>2</v>
      </c>
      <c r="CS31" s="33"/>
      <c r="CT31" s="236"/>
      <c r="CU31" s="236"/>
      <c r="CV31" s="236"/>
      <c r="CW31" s="236"/>
      <c r="CX31" s="33"/>
      <c r="CY31" s="228" t="str">
        <f>IFERROR(VLOOKUP(CY28,OTR!$B$48:$R$82,16,FALSE),"")</f>
        <v/>
      </c>
      <c r="CZ31" s="229"/>
      <c r="DA31" s="230"/>
      <c r="DB31" s="231" t="str">
        <f>IFERROR(VLOOKUP(CY28,OTR!$B$48:$R$82,17,FALSE),"")</f>
        <v/>
      </c>
      <c r="DC31" s="232"/>
      <c r="DD31" s="124" t="str">
        <f>IFERROR(VLOOKUP(CY28,OTR!$B$48:$R$82,8,FALSE),"")</f>
        <v/>
      </c>
      <c r="DE31" s="228" t="str">
        <f>IFERROR(VLOOKUP(DE28,BOH!$B$48:$R$82,16,FALSE),"")</f>
        <v/>
      </c>
      <c r="DF31" s="229"/>
      <c r="DG31" s="230"/>
      <c r="DH31" s="231" t="str">
        <f>IFERROR(VLOOKUP(DE28,BOH!$B$48:$R$82,17,FALSE),"")</f>
        <v/>
      </c>
      <c r="DI31" s="232"/>
      <c r="DJ31" s="124" t="str">
        <f>IFERROR(VLOOKUP(DE28,BOH!$B$48:$R$82,8,FALSE),"")</f>
        <v/>
      </c>
      <c r="DK31" s="33"/>
      <c r="DL31" s="236"/>
      <c r="DM31" s="236"/>
      <c r="DN31" s="236"/>
      <c r="DO31" s="236"/>
      <c r="DP31" s="33"/>
      <c r="DQ31" s="228" t="str">
        <f>IFERROR(VLOOKUP(DQ28,BOH!$B$48:$R$82,16,FALSE),"")</f>
        <v/>
      </c>
      <c r="DR31" s="229"/>
      <c r="DS31" s="230"/>
      <c r="DT31" s="231" t="str">
        <f>IFERROR(VLOOKUP(DQ28,BOH!$B$48:$R$82,17,FALSE),"")</f>
        <v/>
      </c>
      <c r="DU31" s="232"/>
      <c r="DV31" s="124" t="str">
        <f>IFERROR(VLOOKUP(DQ28,BOH!$B$48:$R$82,8,FALSE),"")</f>
        <v/>
      </c>
      <c r="DW31" s="228" t="str">
        <f>IFERROR(VLOOKUP(DW28,SPA!$B$48:$R$82,16,FALSE),"")</f>
        <v/>
      </c>
      <c r="DX31" s="229"/>
      <c r="DY31" s="230"/>
      <c r="DZ31" s="231" t="str">
        <f>IFERROR(VLOOKUP(DW28,SPA!$B$48:$R$82,17,FALSE),"")</f>
        <v/>
      </c>
      <c r="EA31" s="232"/>
      <c r="EB31" s="124" t="str">
        <f>IFERROR(VLOOKUP(DW28,SPA!$B$48:$R$82,8,FALSE),"")</f>
        <v/>
      </c>
      <c r="EC31" s="33"/>
      <c r="ED31" s="236"/>
      <c r="EE31" s="236"/>
      <c r="EF31" s="236"/>
      <c r="EG31" s="236"/>
      <c r="EH31" s="33"/>
      <c r="EI31" s="228" t="str">
        <f>IFERROR(VLOOKUP(EI28,SPA!$B$48:$R$82,16,FALSE),"")</f>
        <v/>
      </c>
      <c r="EJ31" s="229"/>
      <c r="EK31" s="230"/>
      <c r="EL31" s="231" t="str">
        <f>IFERROR(VLOOKUP(EI28,SPA!$B$48:$R$82,17,FALSE),"")</f>
        <v/>
      </c>
      <c r="EM31" s="232"/>
      <c r="EN31" s="124" t="str">
        <f>IFERROR(VLOOKUP(EI28,SPA!$B$48:$R$82,8,FALSE),"")</f>
        <v/>
      </c>
    </row>
    <row r="32" spans="1:144"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row>
    <row r="33" spans="1:144"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row>
    <row r="34" spans="1:144" ht="15.6" customHeight="1" thickTop="1" thickBot="1" x14ac:dyDescent="0.3">
      <c r="A34" s="193" t="s">
        <v>33</v>
      </c>
      <c r="B34" s="194"/>
      <c r="C34" s="194"/>
      <c r="D34" s="194"/>
      <c r="E34" s="32" t="str">
        <f>IFERROR(IF(VLOOKUP(A34,SKV!$B$48:$AA$82,10,FALSE)=0,"",VLOOKUP(A34,SKV!$B$48:$AA$82,10,FALSE)),"")</f>
        <v/>
      </c>
      <c r="F34" s="52">
        <f>IFERROR(VLOOKUP(A34,SKV!$B$48:$AA$82,9,FALSE),"")</f>
        <v>13</v>
      </c>
      <c r="G34" s="33"/>
      <c r="H34" s="248" t="s">
        <v>158</v>
      </c>
      <c r="I34" s="33"/>
      <c r="J34" s="193" t="s">
        <v>28</v>
      </c>
      <c r="K34" s="194"/>
      <c r="L34" s="194"/>
      <c r="M34" s="194"/>
      <c r="N34" s="194"/>
      <c r="O34" s="194"/>
      <c r="P34" s="194"/>
      <c r="Q34" s="32" t="str">
        <f>IFERROR(IF(VLOOKUP(J34,SKV!$B$48:$AA$82,10,FALSE)=0,"",VLOOKUP(M34,SKV!$B$48:$AA$82,10,FALSE)),"")</f>
        <v/>
      </c>
      <c r="R34" s="52">
        <f>IFERROR(VLOOKUP(J34,SKV!$B$48:$AA$82,9,FALSE),"")</f>
        <v>26</v>
      </c>
      <c r="S34" s="193" t="s">
        <v>187</v>
      </c>
      <c r="T34" s="194"/>
      <c r="U34" s="194"/>
      <c r="V34" s="194"/>
      <c r="W34" s="32" t="str">
        <f>IFERROR(IF(VLOOKUP(S34,CHO!$B$48:$AA$82,10,FALSE)=0,"",VLOOKUP(S34,CHO!$B$48:$AA$82,10,FALSE)),"")</f>
        <v/>
      </c>
      <c r="X34" s="52">
        <f>IFERROR(VLOOKUP(S34,CHO!$B$48:$AA$82,9,FALSE),"")</f>
        <v>31</v>
      </c>
      <c r="Y34" s="33"/>
      <c r="Z34" s="248" t="s">
        <v>158</v>
      </c>
      <c r="AA34" s="33"/>
      <c r="AB34" s="193" t="s">
        <v>183</v>
      </c>
      <c r="AC34" s="194"/>
      <c r="AD34" s="194"/>
      <c r="AE34" s="194"/>
      <c r="AF34" s="194"/>
      <c r="AG34" s="194"/>
      <c r="AH34" s="194"/>
      <c r="AI34" s="32" t="str">
        <f>IFERROR(IF(VLOOKUP(AB34,CHO!$B$48:$AA$82,10,FALSE)=0,"",VLOOKUP(AB34,CHO!$B$48:$AA$82,10,FALSE)),"")</f>
        <v/>
      </c>
      <c r="AJ34" s="52">
        <f>IFERROR(VLOOKUP(AB34,CHO!$B$48:$AA$82,9,FALSE),"")</f>
        <v>91</v>
      </c>
      <c r="AK34" s="193"/>
      <c r="AL34" s="194"/>
      <c r="AM34" s="194"/>
      <c r="AN34" s="194"/>
      <c r="AO34" s="32" t="str">
        <f>IFERROR(IF(VLOOKUP(AK34,VIT!$B$48:$R$82,10,FALSE)=0,"",VLOOKUP(AK34,VIT!$B$48:$R$82,10,FALSE)),"")</f>
        <v/>
      </c>
      <c r="AP34" s="52" t="str">
        <f>IFERROR(VLOOKUP(AK34,VIT!$B$48:$R$82,9,FALSE),"")</f>
        <v/>
      </c>
      <c r="AQ34" s="33"/>
      <c r="AR34" s="248" t="s">
        <v>158</v>
      </c>
      <c r="AS34" s="33"/>
      <c r="AT34" s="193"/>
      <c r="AU34" s="194"/>
      <c r="AV34" s="194"/>
      <c r="AW34" s="194"/>
      <c r="AX34" s="194"/>
      <c r="AY34" s="194"/>
      <c r="AZ34" s="194"/>
      <c r="BA34" s="32" t="str">
        <f>IFERROR(IF(VLOOKUP(AT34,VIT!$B$48:$R$82,10,FALSE)=0,"",VLOOKUP(AT34,VIT!$B$48:$R$82,10,FALSE)),"")</f>
        <v/>
      </c>
      <c r="BB34" s="52" t="str">
        <f>IFERROR(VLOOKUP(AT34,VIT!$B$48:$R$82,9,FALSE),"")</f>
        <v/>
      </c>
      <c r="BC34" s="193"/>
      <c r="BD34" s="194"/>
      <c r="BE34" s="194"/>
      <c r="BF34" s="194"/>
      <c r="BG34" s="32" t="str">
        <f>IFERROR(IF(VLOOKUP(BC34,MB!$B$48:$R$82,10,FALSE)=0,"",VLOOKUP(BC34,MB!$B$48:$R$82,10,FALSE)),"")</f>
        <v/>
      </c>
      <c r="BH34" s="52" t="str">
        <f>IFERROR(VLOOKUP(BC34,MB!$B$48:$R$82,9,FALSE),"")</f>
        <v/>
      </c>
      <c r="BI34" s="33"/>
      <c r="BJ34" s="248" t="s">
        <v>158</v>
      </c>
      <c r="BK34" s="33"/>
      <c r="BL34" s="193"/>
      <c r="BM34" s="194"/>
      <c r="BN34" s="194"/>
      <c r="BO34" s="194"/>
      <c r="BP34" s="194"/>
      <c r="BQ34" s="194"/>
      <c r="BR34" s="194"/>
      <c r="BS34" s="32" t="str">
        <f>IFERROR(IF(VLOOKUP(BL34,MB!$B$48:$R$82,10,FALSE)=0,"",VLOOKUP(BL34,MB!$B$48:$R$82,10,FALSE)),"")</f>
        <v/>
      </c>
      <c r="BT34" s="52" t="str">
        <f>IFERROR(VLOOKUP(BL34,MB!$B$48:$R$82,9,FALSE),"")</f>
        <v/>
      </c>
      <c r="BU34" s="193"/>
      <c r="BV34" s="194"/>
      <c r="BW34" s="194"/>
      <c r="BX34" s="194"/>
      <c r="BY34" s="32" t="str">
        <f>IFERROR(IF(VLOOKUP(BU34,TAT!$B$48:$R$82,10,FALSE)=0,"",VLOOKUP(BU34,TAT!$B$48:$R$82,10,FALSE)),"")</f>
        <v/>
      </c>
      <c r="BZ34" s="52" t="str">
        <f>IFERROR(VLOOKUP(BU34,TAT!$B$48:$R$82,9,FALSE),"")</f>
        <v/>
      </c>
      <c r="CA34" s="33"/>
      <c r="CB34" s="248" t="s">
        <v>158</v>
      </c>
      <c r="CC34" s="33"/>
      <c r="CD34" s="193"/>
      <c r="CE34" s="194"/>
      <c r="CF34" s="194"/>
      <c r="CG34" s="194"/>
      <c r="CH34" s="194"/>
      <c r="CI34" s="194"/>
      <c r="CJ34" s="194"/>
      <c r="CK34" s="32" t="str">
        <f>IFERROR(IF(VLOOKUP(CD34,TAT!$B$48:$R$82,10,FALSE)=0,"",VLOOKUP(CD34,TAT!$B$48:$R$82,10,FALSE)),"")</f>
        <v/>
      </c>
      <c r="CL34" s="52" t="str">
        <f>IFERROR(VLOOKUP(CD34,TAT!$B$48:$R$82,9,FALSE),"")</f>
        <v/>
      </c>
      <c r="CM34" s="193" t="s">
        <v>506</v>
      </c>
      <c r="CN34" s="194"/>
      <c r="CO34" s="194"/>
      <c r="CP34" s="194"/>
      <c r="CQ34" s="32" t="str">
        <f>IFERROR(IF(VLOOKUP(CM34,OTR!$B$48:$R$82,10,FALSE)=0,"",VLOOKUP(CM34,OTR!$B$48:$R$82,10,FALSE)),"")</f>
        <v/>
      </c>
      <c r="CR34" s="52">
        <f>IFERROR(VLOOKUP(CM34,OTR!$B$48:$R$82,9,FALSE),"")</f>
        <v>29</v>
      </c>
      <c r="CS34" s="33"/>
      <c r="CT34" s="248" t="s">
        <v>158</v>
      </c>
      <c r="CU34" s="33"/>
      <c r="CV34" s="193" t="s">
        <v>481</v>
      </c>
      <c r="CW34" s="194"/>
      <c r="CX34" s="194"/>
      <c r="CY34" s="194"/>
      <c r="CZ34" s="194"/>
      <c r="DA34" s="194"/>
      <c r="DB34" s="194"/>
      <c r="DC34" s="32" t="str">
        <f>IFERROR(IF(VLOOKUP(CV34,OTR!$B$48:$R$82,10,FALSE)=0,"",VLOOKUP(CV34,OTR!$B$48:$R$82,10,FALSE)),"")</f>
        <v/>
      </c>
      <c r="DD34" s="52">
        <f>IFERROR(VLOOKUP(CV34,OTR!$B$48:$R$82,9,FALSE),"")</f>
        <v>33</v>
      </c>
      <c r="DE34" s="193"/>
      <c r="DF34" s="194"/>
      <c r="DG34" s="194"/>
      <c r="DH34" s="194"/>
      <c r="DI34" s="32" t="str">
        <f>IFERROR(IF(VLOOKUP(DE34,BOH!$B$48:$R$82,10,FALSE)=0,"",VLOOKUP(DE34,BOH!$B$48:$R$82,10,FALSE)),"")</f>
        <v/>
      </c>
      <c r="DJ34" s="52" t="str">
        <f>IFERROR(VLOOKUP(DE34,BOH!$B$48:$R$82,9,FALSE),"")</f>
        <v/>
      </c>
      <c r="DK34" s="33"/>
      <c r="DL34" s="248" t="s">
        <v>158</v>
      </c>
      <c r="DM34" s="33"/>
      <c r="DN34" s="193"/>
      <c r="DO34" s="194"/>
      <c r="DP34" s="194"/>
      <c r="DQ34" s="194"/>
      <c r="DR34" s="194"/>
      <c r="DS34" s="194"/>
      <c r="DT34" s="194"/>
      <c r="DU34" s="32" t="str">
        <f>IFERROR(IF(VLOOKUP(DN34,BOH!$B$48:$R$82,10,FALSE)=0,"",VLOOKUP(DN34,BOH!$B$48:$R$82,10,FALSE)),"")</f>
        <v/>
      </c>
      <c r="DV34" s="52" t="str">
        <f>IFERROR(VLOOKUP(DN34,BOH!$B$48:$R$82,9,FALSE),"")</f>
        <v/>
      </c>
      <c r="DW34" s="193"/>
      <c r="DX34" s="194"/>
      <c r="DY34" s="194"/>
      <c r="DZ34" s="194"/>
      <c r="EA34" s="32" t="str">
        <f>IFERROR(IF(VLOOKUP(DW34,SPA!$B$48:$R$82,10,FALSE)=0,"",VLOOKUP(DW34,SPA!$B$48:$R$82,10,FALSE)),"")</f>
        <v/>
      </c>
      <c r="EB34" s="52" t="str">
        <f>IFERROR(VLOOKUP(DW34,SPA!$B$48:$R$82,9,FALSE),"")</f>
        <v/>
      </c>
      <c r="EC34" s="33"/>
      <c r="ED34" s="248" t="s">
        <v>158</v>
      </c>
      <c r="EE34" s="33"/>
      <c r="EF34" s="193"/>
      <c r="EG34" s="194"/>
      <c r="EH34" s="194"/>
      <c r="EI34" s="194"/>
      <c r="EJ34" s="194"/>
      <c r="EK34" s="194"/>
      <c r="EL34" s="194"/>
      <c r="EM34" s="32" t="str">
        <f>IFERROR(IF(VLOOKUP(EF34,SPA!$B$48:$R$82,10,FALSE)=0,"",VLOOKUP(EF34,SPA!$B$48:$R$82,10,FALSE)),"")</f>
        <v/>
      </c>
      <c r="EN34" s="52" t="str">
        <f>IFERROR(VLOOKUP(EF34,SPA!$B$48:$R$82,9,FALSE),"")</f>
        <v/>
      </c>
    </row>
    <row r="35" spans="1:144" ht="15.6" customHeight="1" thickBot="1" x14ac:dyDescent="0.3">
      <c r="A35" s="42">
        <f>IFERROR(VLOOKUP(A34,SKV!$B$48:$AA$82,8,FALSE),"")</f>
        <v>4</v>
      </c>
      <c r="B35" s="233">
        <f>IFERROR(YEAR(VLOOKUP(A34,SKV!$B$48:$AA$82,2,FALSE)),"")</f>
        <v>1988</v>
      </c>
      <c r="C35" s="189"/>
      <c r="D35" s="35">
        <f ca="1">IFERROR(VLOOKUP(A34,SKV!$B$48:$AA$82,3,FALSE),"")</f>
        <v>33</v>
      </c>
      <c r="E35" s="234" t="str">
        <f>IFERROR(VLOOKUP(A34,SKV!$B$48:$AA$82,15,FALSE),"")</f>
        <v>177/87</v>
      </c>
      <c r="F35" s="235"/>
      <c r="G35" s="33"/>
      <c r="H35" s="248"/>
      <c r="I35" s="33"/>
      <c r="J35" s="34" t="str">
        <f>IFERROR(VLOOKUP(J34,SKV!$B$48:$AA$82,11,FALSE),"")</f>
        <v>L</v>
      </c>
      <c r="K35" s="189">
        <f>IFERROR(YEAR(VLOOKUP(J34,SKV!$B$48:$AA$82,2,FALSE)),"")</f>
        <v>2002</v>
      </c>
      <c r="L35" s="190"/>
      <c r="M35" s="43">
        <f ca="1">IFERROR(VLOOKUP(J34,SKV!$B$48:$AA$82,3,FALSE),"")</f>
        <v>18</v>
      </c>
      <c r="N35" s="190" t="str">
        <f>IFERROR(VLOOKUP(J34,SKV!$B$48:$AA$82,15,FALSE),"")</f>
        <v>181/66</v>
      </c>
      <c r="O35" s="190"/>
      <c r="P35" s="190" t="str">
        <f>IFERROR(VLOOKUP(J34,SKV!$B$2:$O$36,14,FALSE),"")</f>
        <v>14 OZ , 0 (0+0), -4 ±</v>
      </c>
      <c r="Q35" s="190"/>
      <c r="R35" s="195"/>
      <c r="S35" s="42">
        <f>IFERROR(VLOOKUP(S34,CHO!$B$48:$S$82,8,FALSE),"")</f>
        <v>4</v>
      </c>
      <c r="T35" s="233">
        <f>IFERROR(YEAR(VLOOKUP(S34,CHO!$B$48:$S$82,2,FALSE)),"")</f>
        <v>2000</v>
      </c>
      <c r="U35" s="189"/>
      <c r="V35" s="35">
        <f ca="1">IFERROR(VLOOKUP(S34,CHO!$B$48:$S$82,3,FALSE),"")</f>
        <v>20</v>
      </c>
      <c r="W35" s="234" t="str">
        <f>IFERROR(VLOOKUP(S34,CHO!$B$48:$S$82,15,FALSE),"")</f>
        <v>175/76</v>
      </c>
      <c r="X35" s="235"/>
      <c r="Y35" s="33"/>
      <c r="Z35" s="248"/>
      <c r="AA35" s="33"/>
      <c r="AB35" s="34" t="str">
        <f>IFERROR(VLOOKUP(AB34,CHO!$B$48:$AA$82,11,FALSE),"")</f>
        <v>L</v>
      </c>
      <c r="AC35" s="189">
        <f>IFERROR(YEAR(VLOOKUP(AB34,CHO!$B$48:$AA$82,2,FALSE)),"")</f>
        <v>1900</v>
      </c>
      <c r="AD35" s="190"/>
      <c r="AE35" s="43" t="str">
        <f>IFERROR(VLOOKUP(AB34,CHO!$B$48:$AA$82,3,FALSE),"")</f>
        <v/>
      </c>
      <c r="AF35" s="190" t="str">
        <f>IFERROR(VLOOKUP(AB34,CHO!$B$48:$AA$82,15,FALSE),"")</f>
        <v>183/78</v>
      </c>
      <c r="AG35" s="190"/>
      <c r="AH35" s="190" t="str">
        <f>IFERROR(VLOOKUP(AB34,CHO!$B$2:$O$36,14,FALSE),"")</f>
        <v>6 OZ , 0 (0+0), 0 ±</v>
      </c>
      <c r="AI35" s="190"/>
      <c r="AJ35" s="195"/>
      <c r="AK35" s="42" t="str">
        <f>IFERROR(VLOOKUP(AK34,VIT!$B$48:$S$82,8,FALSE),"")</f>
        <v/>
      </c>
      <c r="AL35" s="233" t="str">
        <f>IFERROR(YEAR(VLOOKUP(AK34,VIT!$B$48:$S$82,2,FALSE)),"")</f>
        <v/>
      </c>
      <c r="AM35" s="189"/>
      <c r="AN35" s="106" t="str">
        <f>IFERROR(VLOOKUP(AK34,VIT!$B$48:$S$82,3,FALSE),"")</f>
        <v/>
      </c>
      <c r="AO35" s="234" t="str">
        <f>IFERROR(VLOOKUP(AK34,VIT!$B$48:$S$82,15,FALSE),"")</f>
        <v/>
      </c>
      <c r="AP35" s="235"/>
      <c r="AQ35" s="33"/>
      <c r="AR35" s="248"/>
      <c r="AS35" s="33"/>
      <c r="AT35" s="34" t="str">
        <f>IFERROR(VLOOKUP(AT34,VIT!$B$48:$R$82,11,FALSE),"")</f>
        <v/>
      </c>
      <c r="AU35" s="189" t="str">
        <f>IFERROR(YEAR(VLOOKUP(AT34,VIT!$B$48:$R$82,2,FALSE)),"")</f>
        <v/>
      </c>
      <c r="AV35" s="190"/>
      <c r="AW35" s="105" t="str">
        <f>IFERROR(VLOOKUP(AT34,VIT!$B$48:$R$82,3,FALSE),"")</f>
        <v/>
      </c>
      <c r="AX35" s="190" t="str">
        <f>IFERROR(VLOOKUP(AT34,VIT!$B$48:$R$82,15,FALSE),"")</f>
        <v/>
      </c>
      <c r="AY35" s="190"/>
      <c r="AZ35" s="190" t="str">
        <f>IFERROR(VLOOKUP(AT34,VIT!$B$2:$O$36,14,FALSE),"")</f>
        <v/>
      </c>
      <c r="BA35" s="190"/>
      <c r="BB35" s="195"/>
      <c r="BC35" s="42" t="str">
        <f>IFERROR(VLOOKUP(BC34,MB!$B$48:$S$82,8,FALSE),"")</f>
        <v/>
      </c>
      <c r="BD35" s="233" t="str">
        <f>IFERROR(YEAR(VLOOKUP(BC34,MB!$B$48:$S$82,2,FALSE)),"")</f>
        <v/>
      </c>
      <c r="BE35" s="189"/>
      <c r="BF35" s="108" t="str">
        <f>IFERROR(VLOOKUP(BC34,MB!$B$48:$S$82,3,FALSE),"")</f>
        <v/>
      </c>
      <c r="BG35" s="234" t="str">
        <f>IFERROR(VLOOKUP(BC34,MB!$B$48:$S$82,15,FALSE),"")</f>
        <v/>
      </c>
      <c r="BH35" s="235"/>
      <c r="BI35" s="33"/>
      <c r="BJ35" s="248"/>
      <c r="BK35" s="33"/>
      <c r="BL35" s="34" t="str">
        <f>IFERROR(VLOOKUP(BL34,MB!$B$48:$R$82,11,FALSE),"")</f>
        <v/>
      </c>
      <c r="BM35" s="189" t="str">
        <f>IFERROR(YEAR(VLOOKUP(BL34,MB!$B$48:$R$82,2,FALSE)),"")</f>
        <v/>
      </c>
      <c r="BN35" s="190"/>
      <c r="BO35" s="107" t="str">
        <f>IFERROR(VLOOKUP(BL34,MB!$B$48:$R$82,3,FALSE),"")</f>
        <v/>
      </c>
      <c r="BP35" s="190" t="str">
        <f>IFERROR(VLOOKUP(BL34,MB!$B$48:$R$82,15,FALSE),"")</f>
        <v/>
      </c>
      <c r="BQ35" s="190"/>
      <c r="BR35" s="190" t="str">
        <f>IFERROR(VLOOKUP(BL34,MB!$B$2:$O$36,14,FALSE),"")</f>
        <v/>
      </c>
      <c r="BS35" s="190"/>
      <c r="BT35" s="195"/>
      <c r="BU35" s="42" t="str">
        <f>IFERROR(VLOOKUP(BU34,TAT!$B$48:$S$82,8,FALSE),"")</f>
        <v/>
      </c>
      <c r="BV35" s="233" t="str">
        <f>IFERROR(YEAR(VLOOKUP(BU34,TAT!$B$48:$S$82,2,FALSE)),"")</f>
        <v/>
      </c>
      <c r="BW35" s="189"/>
      <c r="BX35" s="151" t="str">
        <f>IFERROR(VLOOKUP(BU34,TAT!$B$48:$S$82,3,FALSE),"")</f>
        <v/>
      </c>
      <c r="BY35" s="234" t="str">
        <f>IFERROR(VLOOKUP(BU34,TAT!$B$48:$S$82,15,FALSE),"")</f>
        <v/>
      </c>
      <c r="BZ35" s="235"/>
      <c r="CA35" s="33"/>
      <c r="CB35" s="248"/>
      <c r="CC35" s="33"/>
      <c r="CD35" s="34" t="str">
        <f>IFERROR(VLOOKUP(CD34,TAT!$B$48:$R$82,11,FALSE),"")</f>
        <v/>
      </c>
      <c r="CE35" s="189" t="str">
        <f>IFERROR(YEAR(VLOOKUP(CD34,TAT!$B$48:$R$82,2,FALSE)),"")</f>
        <v/>
      </c>
      <c r="CF35" s="190"/>
      <c r="CG35" s="150" t="str">
        <f>IFERROR(VLOOKUP(CD34,TAT!$B$48:$R$82,3,FALSE),"")</f>
        <v/>
      </c>
      <c r="CH35" s="190" t="str">
        <f>IFERROR(VLOOKUP(CD34,TAT!$B$48:$R$82,15,FALSE),"")</f>
        <v/>
      </c>
      <c r="CI35" s="190"/>
      <c r="CJ35" s="190" t="str">
        <f>IFERROR(VLOOKUP(CD34,TAT!$B$2:$O$36,14,FALSE),"")</f>
        <v/>
      </c>
      <c r="CK35" s="190"/>
      <c r="CL35" s="195"/>
      <c r="CM35" s="42">
        <f>IFERROR(VLOOKUP(CM34,OTR!$B$48:$S$82,8,FALSE),"")</f>
        <v>5</v>
      </c>
      <c r="CN35" s="233">
        <f>IFERROR(YEAR(VLOOKUP(CM34,OTR!$B$48:$S$82,2,FALSE)),"")</f>
        <v>1998</v>
      </c>
      <c r="CO35" s="189"/>
      <c r="CP35" s="151">
        <f ca="1">IFERROR(VLOOKUP(CM34,OTR!$B$48:$S$82,3,FALSE),"")</f>
        <v>22</v>
      </c>
      <c r="CQ35" s="234" t="str">
        <f>IFERROR(VLOOKUP(CM34,OTR!$B$48:$S$82,15,FALSE),"")</f>
        <v>181/76</v>
      </c>
      <c r="CR35" s="235"/>
      <c r="CS35" s="33"/>
      <c r="CT35" s="248"/>
      <c r="CU35" s="33"/>
      <c r="CV35" s="34" t="str">
        <f>IFERROR(VLOOKUP(CV34,OTR!$B$48:$R$82,11,FALSE),"")</f>
        <v>L</v>
      </c>
      <c r="CW35" s="189">
        <f>IFERROR(YEAR(VLOOKUP(CV34,OTR!$B$48:$R$82,2,FALSE)),"")</f>
        <v>1993</v>
      </c>
      <c r="CX35" s="190"/>
      <c r="CY35" s="150">
        <f ca="1">IFERROR(VLOOKUP(CV34,OTR!$B$48:$R$82,3,FALSE),"")</f>
        <v>27</v>
      </c>
      <c r="CZ35" s="190" t="str">
        <f>IFERROR(VLOOKUP(CV34,OTR!$B$48:$R$82,15,FALSE),"")</f>
        <v>177/77</v>
      </c>
      <c r="DA35" s="190"/>
      <c r="DB35" s="190" t="str">
        <f>IFERROR(VLOOKUP(CV34,OTR!$B$2:$O$36,14,FALSE),"")</f>
        <v>14 OZ , 10 (6+4), -11 ±</v>
      </c>
      <c r="DC35" s="190"/>
      <c r="DD35" s="195"/>
      <c r="DE35" s="42" t="str">
        <f>IFERROR(VLOOKUP(DE34,BOH!$B$48:$S$82,8,FALSE),"")</f>
        <v/>
      </c>
      <c r="DF35" s="233" t="str">
        <f>IFERROR(YEAR(VLOOKUP(DE34,BOH!$B$48:$S$82,2,FALSE)),"")</f>
        <v/>
      </c>
      <c r="DG35" s="189"/>
      <c r="DH35" s="166" t="str">
        <f>IFERROR(VLOOKUP(DE34,BOH!$B$48:$S$82,3,FALSE),"")</f>
        <v/>
      </c>
      <c r="DI35" s="234" t="str">
        <f>IFERROR(VLOOKUP(DE34,BOH!$B$48:$S$82,15,FALSE),"")</f>
        <v/>
      </c>
      <c r="DJ35" s="235"/>
      <c r="DK35" s="33"/>
      <c r="DL35" s="248"/>
      <c r="DM35" s="33"/>
      <c r="DN35" s="34" t="str">
        <f>IFERROR(VLOOKUP(DN34,BOH!$B$48:$R$82,11,FALSE),"")</f>
        <v/>
      </c>
      <c r="DO35" s="189" t="str">
        <f>IFERROR(YEAR(VLOOKUP(DN34,BOH!$B$48:$R$82,2,FALSE)),"")</f>
        <v/>
      </c>
      <c r="DP35" s="190"/>
      <c r="DQ35" s="165" t="str">
        <f>IFERROR(VLOOKUP(DN34,BOH!$B$48:$R$82,3,FALSE),"")</f>
        <v/>
      </c>
      <c r="DR35" s="190" t="str">
        <f>IFERROR(VLOOKUP(DN34,BOH!$B$48:$R$82,15,FALSE),"")</f>
        <v/>
      </c>
      <c r="DS35" s="190"/>
      <c r="DT35" s="190" t="str">
        <f>IFERROR(VLOOKUP(DN34,BOH!$B$2:$O$36,14,FALSE),"")</f>
        <v/>
      </c>
      <c r="DU35" s="190"/>
      <c r="DV35" s="195"/>
      <c r="DW35" s="42" t="str">
        <f>IFERROR(VLOOKUP(DW34,SPA!$B$48:$S$82,8,FALSE),"")</f>
        <v/>
      </c>
      <c r="DX35" s="233" t="str">
        <f>IFERROR(YEAR(VLOOKUP(DW34,SPA!$B$48:$S$82,2,FALSE)),"")</f>
        <v/>
      </c>
      <c r="DY35" s="189"/>
      <c r="DZ35" s="166" t="str">
        <f>IFERROR(VLOOKUP(DW34,SPA!$B$48:$S$82,3,FALSE),"")</f>
        <v/>
      </c>
      <c r="EA35" s="234" t="str">
        <f>IFERROR(VLOOKUP(DW34,SPA!$B$48:$S$82,15,FALSE),"")</f>
        <v/>
      </c>
      <c r="EB35" s="235"/>
      <c r="EC35" s="33"/>
      <c r="ED35" s="248"/>
      <c r="EE35" s="33"/>
      <c r="EF35" s="34" t="str">
        <f>IFERROR(VLOOKUP(EF34,SPA!$B$48:$R$82,11,FALSE),"")</f>
        <v/>
      </c>
      <c r="EG35" s="189" t="str">
        <f>IFERROR(YEAR(VLOOKUP(EF34,SPA!$B$48:$R$82,2,FALSE)),"")</f>
        <v/>
      </c>
      <c r="EH35" s="190"/>
      <c r="EI35" s="165" t="str">
        <f>IFERROR(VLOOKUP(EF34,SPA!$B$48:$R$82,3,FALSE),"")</f>
        <v/>
      </c>
      <c r="EJ35" s="190" t="str">
        <f>IFERROR(VLOOKUP(EF34,SPA!$B$48:$R$82,15,FALSE),"")</f>
        <v/>
      </c>
      <c r="EK35" s="190"/>
      <c r="EL35" s="190" t="str">
        <f>IFERROR(VLOOKUP(EF34,SPA!$B$2:$O$36,14,FALSE),"")</f>
        <v/>
      </c>
      <c r="EM35" s="190"/>
      <c r="EN35" s="195"/>
    </row>
    <row r="36" spans="1:144" ht="15.6" customHeight="1" thickBot="1" x14ac:dyDescent="0.3">
      <c r="A36" s="44">
        <f>IFERROR(VLOOKUP(A34,SKV!$B$39:$R$42,4,FALSE),"")</f>
        <v>3</v>
      </c>
      <c r="B36" s="249" t="str">
        <f>IFERROR(VLOOKUP(A34,SKV!$B$39:$S$45,17,FALSE),"")</f>
        <v>0 V, 3 P</v>
      </c>
      <c r="C36" s="249"/>
      <c r="D36" s="240">
        <f>IFERROR(VLOOKUP(A34,SKV!$B$39:$R$42,7,FALSE),"")</f>
        <v>27</v>
      </c>
      <c r="E36" s="241"/>
      <c r="F36" s="45">
        <f>IFERROR(ROUND(VLOOKUP(A34,SKV!$B$39:$R$42,16,FALSE),2),"")</f>
        <v>67.86</v>
      </c>
      <c r="G36" s="33"/>
      <c r="H36" s="248"/>
      <c r="I36" s="33"/>
      <c r="J36" s="125">
        <f>IFERROR(VLOOKUP(J34,SKV!$B$48:$AA$82,8,FALSE),"")</f>
        <v>1</v>
      </c>
      <c r="K36" s="191" t="str">
        <f>IFERROR(VLOOKUP(J34,SKV!$B$48:$AA$82,14,FALSE),"")</f>
        <v>14 OZ, 0 (0+0)</v>
      </c>
      <c r="L36" s="191"/>
      <c r="M36" s="191"/>
      <c r="N36" s="239" t="str">
        <f>IFERROR(VLOOKUP(J34,SKV!$B$48:$AA$82,16,FALSE),"")</f>
        <v>SKV</v>
      </c>
      <c r="O36" s="239"/>
      <c r="P36" s="239"/>
      <c r="Q36" s="191" t="str">
        <f>IFERROR(VLOOKUP(J34,SKV!$B$48:$AA$82,17,FALSE),"")</f>
        <v>-</v>
      </c>
      <c r="R36" s="192"/>
      <c r="S36" s="44">
        <f>IFERROR(VLOOKUP(S34,CHO!$B$39:$R$42,4,FALSE),"")</f>
        <v>5</v>
      </c>
      <c r="T36" s="249" t="str">
        <f>IFERROR(VLOOKUP(S34,CHO!$B$39:$S$45,17,FALSE),"")</f>
        <v>4 V, 1 P</v>
      </c>
      <c r="U36" s="249"/>
      <c r="V36" s="240">
        <f>IFERROR(VLOOKUP(S34,CHO!$B$39:$R$42,7,FALSE),"")</f>
        <v>28</v>
      </c>
      <c r="W36" s="241"/>
      <c r="X36" s="45">
        <f>IFERROR(ROUND(VLOOKUP(S34,CHO!$B$39:$R$42,16,FALSE),2),"")</f>
        <v>70.83</v>
      </c>
      <c r="Y36" s="33"/>
      <c r="Z36" s="248"/>
      <c r="AA36" s="33"/>
      <c r="AB36" s="125">
        <f>IFERROR(VLOOKUP(AB34,CHO!$B$48:$AA$82,8,FALSE),"")</f>
        <v>1</v>
      </c>
      <c r="AC36" s="191" t="str">
        <f>IFERROR(VLOOKUP(AB34,CHO!$B$48:$AA$82,14,FALSE),"")</f>
        <v>6 OZ, 0 (0+0)</v>
      </c>
      <c r="AD36" s="191"/>
      <c r="AE36" s="191"/>
      <c r="AF36" s="239">
        <f>IFERROR(VLOOKUP(AB34,CHO!$B$48:$AA$82,16,FALSE),"")</f>
        <v>0</v>
      </c>
      <c r="AG36" s="239"/>
      <c r="AH36" s="239"/>
      <c r="AI36" s="191">
        <f>IFERROR(VLOOKUP(AB34,CHO!$B$48:$AA$82,17,FALSE),"")</f>
        <v>0</v>
      </c>
      <c r="AJ36" s="192"/>
      <c r="AK36" s="44" t="str">
        <f>IFERROR(VLOOKUP(AK34,VIT!$B$39:$R$44,4,FALSE),"")</f>
        <v/>
      </c>
      <c r="AL36" s="249" t="str">
        <f>IFERROR(VLOOKUP(AK34,VIT!$B$39:$S$45,17,FALSE),"")</f>
        <v/>
      </c>
      <c r="AM36" s="249"/>
      <c r="AN36" s="240" t="str">
        <f>IFERROR(VLOOKUP(AK34,VIT!$B$39:$R$44,7,FALSE),"")</f>
        <v/>
      </c>
      <c r="AO36" s="241"/>
      <c r="AP36" s="45" t="str">
        <f>IFERROR(ROUND(VLOOKUP(AK34,VIT!$B$39:$R$44,16,FALSE),2),"")</f>
        <v/>
      </c>
      <c r="AQ36" s="33"/>
      <c r="AR36" s="248"/>
      <c r="AS36" s="33"/>
      <c r="AT36" s="125" t="str">
        <f>IFERROR(VLOOKUP(AT34,VIT!$B$48:$R$82,8,FALSE),"")</f>
        <v/>
      </c>
      <c r="AU36" s="191" t="str">
        <f>IFERROR(VLOOKUP(AT34,VIT!$B$48:$R$82,14,FALSE),"")</f>
        <v/>
      </c>
      <c r="AV36" s="191"/>
      <c r="AW36" s="191"/>
      <c r="AX36" s="239" t="str">
        <f>IFERROR(VLOOKUP(AT34,VIT!$B$48:$R$82,16,FALSE),"")</f>
        <v/>
      </c>
      <c r="AY36" s="239"/>
      <c r="AZ36" s="239"/>
      <c r="BA36" s="191" t="str">
        <f>IFERROR(VLOOKUP(AT34,VIT!$B$48:$R$82,17,FALSE),"")</f>
        <v/>
      </c>
      <c r="BB36" s="192"/>
      <c r="BC36" s="44" t="str">
        <f>IFERROR(VLOOKUP(BC34,MB!$B$39:$R$44,4,FALSE),"")</f>
        <v/>
      </c>
      <c r="BD36" s="249" t="str">
        <f>IFERROR(VLOOKUP(BC34,MB!$B$39:$S$45,17,FALSE),"")</f>
        <v/>
      </c>
      <c r="BE36" s="249"/>
      <c r="BF36" s="240" t="str">
        <f>IFERROR(VLOOKUP(BC34,MB!$B$39:$R$44,7,FALSE),"")</f>
        <v/>
      </c>
      <c r="BG36" s="241"/>
      <c r="BH36" s="45" t="str">
        <f>IFERROR(ROUND(VLOOKUP(BC34,MB!$B$39:$R$44,16,FALSE),2),"")</f>
        <v/>
      </c>
      <c r="BI36" s="33"/>
      <c r="BJ36" s="248"/>
      <c r="BK36" s="33"/>
      <c r="BL36" s="125" t="str">
        <f>IFERROR(VLOOKUP(BL34,MB!$B$48:$R$82,8,FALSE),"")</f>
        <v/>
      </c>
      <c r="BM36" s="191" t="str">
        <f>IFERROR(VLOOKUP(BL34,MB!$B$48:$R$82,14,FALSE),"")</f>
        <v/>
      </c>
      <c r="BN36" s="191"/>
      <c r="BO36" s="191"/>
      <c r="BP36" s="239" t="str">
        <f>IFERROR(VLOOKUP(BL34,MB!$B$48:$R$82,16,FALSE),"")</f>
        <v/>
      </c>
      <c r="BQ36" s="239"/>
      <c r="BR36" s="239"/>
      <c r="BS36" s="191" t="str">
        <f>IFERROR(VLOOKUP(BL34,MB!$B$48:$R$82,17,FALSE),"")</f>
        <v/>
      </c>
      <c r="BT36" s="192"/>
      <c r="BU36" s="44" t="str">
        <f>IFERROR(VLOOKUP(BU34,TAT!$B$39:$R$44,4,FALSE),"")</f>
        <v/>
      </c>
      <c r="BV36" s="249" t="str">
        <f>IFERROR(VLOOKUP(BU34,TAT!$B$39:$S$45,17,FALSE),"")</f>
        <v/>
      </c>
      <c r="BW36" s="249"/>
      <c r="BX36" s="240" t="str">
        <f>IFERROR(VLOOKUP(BU34,TAT!$B$39:$R$44,7,FALSE),"")</f>
        <v/>
      </c>
      <c r="BY36" s="241"/>
      <c r="BZ36" s="45" t="str">
        <f>IFERROR(ROUND(VLOOKUP(BU34,TAT!$B$39:$R$44,16,FALSE),2),"")</f>
        <v/>
      </c>
      <c r="CA36" s="33"/>
      <c r="CB36" s="248"/>
      <c r="CC36" s="33"/>
      <c r="CD36" s="125" t="str">
        <f>IFERROR(VLOOKUP(CD34,TAT!$B$48:$R$82,8,FALSE),"")</f>
        <v/>
      </c>
      <c r="CE36" s="191" t="str">
        <f>IFERROR(VLOOKUP(CD34,TAT!$B$48:$R$82,14,FALSE),"")</f>
        <v/>
      </c>
      <c r="CF36" s="191"/>
      <c r="CG36" s="191"/>
      <c r="CH36" s="239" t="str">
        <f>IFERROR(VLOOKUP(CD34,TAT!$B$48:$R$82,16,FALSE),"")</f>
        <v/>
      </c>
      <c r="CI36" s="239"/>
      <c r="CJ36" s="239"/>
      <c r="CK36" s="191" t="str">
        <f>IFERROR(VLOOKUP(CD34,TAT!$B$48:$R$82,17,FALSE),"")</f>
        <v/>
      </c>
      <c r="CL36" s="192"/>
      <c r="CM36" s="44">
        <f>IFERROR(VLOOKUP(CM34,OTR!$B$39:$R$44,4,FALSE),"")</f>
        <v>15</v>
      </c>
      <c r="CN36" s="249" t="str">
        <f>IFERROR(VLOOKUP(CM34,OTR!$B$39:$S$45,17,FALSE),"")</f>
        <v>2 V, 13 P</v>
      </c>
      <c r="CO36" s="249"/>
      <c r="CP36" s="240">
        <f>IFERROR(VLOOKUP(CM34,OTR!$B$39:$R$44,7,FALSE),"")</f>
        <v>98</v>
      </c>
      <c r="CQ36" s="241"/>
      <c r="CR36" s="45">
        <f>IFERROR(ROUND(VLOOKUP(CM34,OTR!$B$39:$R$44,16,FALSE),2),"")</f>
        <v>70.39</v>
      </c>
      <c r="CS36" s="33"/>
      <c r="CT36" s="248"/>
      <c r="CU36" s="33"/>
      <c r="CV36" s="125">
        <f>IFERROR(VLOOKUP(CV34,OTR!$B$48:$R$82,8,FALSE),"")</f>
        <v>8</v>
      </c>
      <c r="CW36" s="191" t="str">
        <f>IFERROR(VLOOKUP(CV34,OTR!$B$48:$R$82,14,FALSE),"")</f>
        <v>149 OZ, 98 (56+42)</v>
      </c>
      <c r="CX36" s="191"/>
      <c r="CY36" s="191"/>
      <c r="CZ36" s="239" t="str">
        <f>IFERROR(VLOOKUP(CV34,OTR!$B$48:$R$82,16,FALSE),"")</f>
        <v>ATU Košice (SVK)</v>
      </c>
      <c r="DA36" s="239"/>
      <c r="DB36" s="239"/>
      <c r="DC36" s="191">
        <f>IFERROR(VLOOKUP(CV34,OTR!$B$48:$R$82,17,FALSE),"")</f>
        <v>2005</v>
      </c>
      <c r="DD36" s="192"/>
      <c r="DE36" s="44" t="str">
        <f>IFERROR(VLOOKUP(DE34,BOH!$B$39:$R$44,4,FALSE),"")</f>
        <v/>
      </c>
      <c r="DF36" s="249" t="str">
        <f>IFERROR(VLOOKUP(DE34,BOH!$B$39:$S$45,17,FALSE),"")</f>
        <v/>
      </c>
      <c r="DG36" s="249"/>
      <c r="DH36" s="240" t="str">
        <f>IFERROR(VLOOKUP(DE34,BOH!$B$39:$R$44,7,FALSE),"")</f>
        <v/>
      </c>
      <c r="DI36" s="241"/>
      <c r="DJ36" s="45" t="str">
        <f>IFERROR(ROUND(VLOOKUP(DE34,BOH!$B$39:$R$44,16,FALSE),2),"")</f>
        <v/>
      </c>
      <c r="DK36" s="33"/>
      <c r="DL36" s="248"/>
      <c r="DM36" s="33"/>
      <c r="DN36" s="125" t="str">
        <f>IFERROR(VLOOKUP(DN34,BOH!$B$48:$R$82,8,FALSE),"")</f>
        <v/>
      </c>
      <c r="DO36" s="191" t="str">
        <f>IFERROR(VLOOKUP(DN34,BOH!$B$48:$R$82,14,FALSE),"")</f>
        <v/>
      </c>
      <c r="DP36" s="191"/>
      <c r="DQ36" s="191"/>
      <c r="DR36" s="239" t="str">
        <f>IFERROR(VLOOKUP(DN34,BOH!$B$48:$R$82,16,FALSE),"")</f>
        <v/>
      </c>
      <c r="DS36" s="239"/>
      <c r="DT36" s="239"/>
      <c r="DU36" s="191" t="str">
        <f>IFERROR(VLOOKUP(DN34,BOH!$B$48:$R$82,17,FALSE),"")</f>
        <v/>
      </c>
      <c r="DV36" s="192"/>
      <c r="DW36" s="44" t="str">
        <f>IFERROR(VLOOKUP(DW34,SPA!$B$39:$R$44,4,FALSE),"")</f>
        <v/>
      </c>
      <c r="DX36" s="249" t="str">
        <f>IFERROR(VLOOKUP(DW34,SPA!$B$39:$S$45,17,FALSE),"")</f>
        <v/>
      </c>
      <c r="DY36" s="249"/>
      <c r="DZ36" s="240" t="str">
        <f>IFERROR(VLOOKUP(DW34,SPA!$B$39:$R$44,7,FALSE),"")</f>
        <v/>
      </c>
      <c r="EA36" s="241"/>
      <c r="EB36" s="45" t="str">
        <f>IFERROR(ROUND(VLOOKUP(DW34,SPA!$B$39:$R$44,16,FALSE),2),"")</f>
        <v/>
      </c>
      <c r="EC36" s="33"/>
      <c r="ED36" s="248"/>
      <c r="EE36" s="33"/>
      <c r="EF36" s="125" t="str">
        <f>IFERROR(VLOOKUP(EF34,SPA!$B$48:$R$82,8,FALSE),"")</f>
        <v/>
      </c>
      <c r="EG36" s="191" t="str">
        <f>IFERROR(VLOOKUP(EF34,SPA!$B$48:$R$82,14,FALSE),"")</f>
        <v/>
      </c>
      <c r="EH36" s="191"/>
      <c r="EI36" s="191"/>
      <c r="EJ36" s="239" t="str">
        <f>IFERROR(VLOOKUP(EF34,SPA!$B$48:$R$82,16,FALSE),"")</f>
        <v/>
      </c>
      <c r="EK36" s="239"/>
      <c r="EL36" s="239"/>
      <c r="EM36" s="191" t="str">
        <f>IFERROR(VLOOKUP(EF34,SPA!$B$48:$R$82,17,FALSE),"")</f>
        <v/>
      </c>
      <c r="EN36" s="192"/>
    </row>
    <row r="37" spans="1:144" ht="15.6" customHeight="1" thickTop="1" thickBot="1" x14ac:dyDescent="0.3">
      <c r="A37" s="242">
        <f>IFERROR(ROUND(VLOOKUP(A34,SKV!$B$39:$R$42,5,FALSE),2),"")</f>
        <v>177.5</v>
      </c>
      <c r="B37" s="243"/>
      <c r="C37" s="244">
        <f>IFERROR(VLOOKUP(A34,SKV!$B$39:$R$42,15,FALSE),"")</f>
        <v>9.126760563380282</v>
      </c>
      <c r="D37" s="245"/>
      <c r="E37" s="246" t="str">
        <f>IFERROR(VLOOKUP(A34,SKV!$B$48:$AA$82,18,FALSE),"")</f>
        <v>17 OZ, 0 A</v>
      </c>
      <c r="F37" s="247"/>
      <c r="G37" s="33"/>
      <c r="H37" s="248"/>
      <c r="I37" s="33"/>
      <c r="J37" s="33"/>
      <c r="K37" s="33"/>
      <c r="L37" s="33"/>
      <c r="M37" s="33"/>
      <c r="N37" s="33"/>
      <c r="O37" s="33"/>
      <c r="P37" s="33"/>
      <c r="Q37" s="33"/>
      <c r="R37" s="33"/>
      <c r="S37" s="242">
        <f>IFERROR(ROUND(VLOOKUP(S34,CHO!$B$39:$R$42,5,FALSE),2),"")</f>
        <v>297.77</v>
      </c>
      <c r="T37" s="243"/>
      <c r="U37" s="244">
        <f>IFERROR(VLOOKUP(S34,CHO!$B$39:$R$42,15,FALSE),"")</f>
        <v>5.641938408839037</v>
      </c>
      <c r="V37" s="245"/>
      <c r="W37" s="246" t="str">
        <f>IFERROR(VLOOKUP(S34,CHO!$B$48:$S$82,18,FALSE),"")</f>
        <v>10 OZ, 0 A</v>
      </c>
      <c r="X37" s="247"/>
      <c r="Y37" s="33"/>
      <c r="Z37" s="248"/>
      <c r="AA37" s="33"/>
      <c r="AB37" s="33"/>
      <c r="AC37" s="33"/>
      <c r="AD37" s="33"/>
      <c r="AE37" s="33"/>
      <c r="AF37" s="33"/>
      <c r="AG37" s="33"/>
      <c r="AH37" s="33"/>
      <c r="AI37" s="33"/>
      <c r="AJ37" s="33"/>
      <c r="AK37" s="242" t="str">
        <f>IFERROR(ROUND(VLOOKUP(AK34,VIT!$B$39:$R$44,5,FALSE),2),"")</f>
        <v/>
      </c>
      <c r="AL37" s="243"/>
      <c r="AM37" s="244" t="str">
        <f>IFERROR(VLOOKUP(AK34,VIT!$B$39:$R$44,15,FALSE),"")</f>
        <v/>
      </c>
      <c r="AN37" s="245"/>
      <c r="AO37" s="246" t="str">
        <f>IFERROR(VLOOKUP(AK34,VIT!$B$48:$S$82,18,FALSE),"")</f>
        <v/>
      </c>
      <c r="AP37" s="247"/>
      <c r="AQ37" s="33"/>
      <c r="AR37" s="248"/>
      <c r="AS37" s="33"/>
      <c r="AT37" s="33"/>
      <c r="AU37" s="33"/>
      <c r="AV37" s="33"/>
      <c r="AW37" s="33"/>
      <c r="AX37" s="33"/>
      <c r="AY37" s="33"/>
      <c r="AZ37" s="33"/>
      <c r="BA37" s="33"/>
      <c r="BB37" s="33"/>
      <c r="BC37" s="242" t="str">
        <f>IFERROR(ROUND(VLOOKUP(BC34,MB!$B$39:$R$44,5,FALSE),2),"")</f>
        <v/>
      </c>
      <c r="BD37" s="243"/>
      <c r="BE37" s="244" t="str">
        <f>IFERROR(VLOOKUP(BC34,MB!$B$39:$R$44,15,FALSE),"")</f>
        <v/>
      </c>
      <c r="BF37" s="245"/>
      <c r="BG37" s="246" t="str">
        <f>IFERROR(VLOOKUP(BC34,MB!$B$48:$S$82,18,FALSE),"")</f>
        <v/>
      </c>
      <c r="BH37" s="247"/>
      <c r="BI37" s="33"/>
      <c r="BJ37" s="248"/>
      <c r="BK37" s="33"/>
      <c r="BL37" s="33"/>
      <c r="BM37" s="33"/>
      <c r="BN37" s="33"/>
      <c r="BO37" s="33"/>
      <c r="BP37" s="33"/>
      <c r="BQ37" s="33"/>
      <c r="BR37" s="33"/>
      <c r="BS37" s="33"/>
      <c r="BT37" s="33"/>
      <c r="BU37" s="242" t="str">
        <f>IFERROR(ROUND(VLOOKUP(BU34,TAT!$B$39:$R$44,5,FALSE),2),"")</f>
        <v/>
      </c>
      <c r="BV37" s="243"/>
      <c r="BW37" s="244" t="str">
        <f>IFERROR(VLOOKUP(BU34,TAT!$B$39:$R$44,15,FALSE),"")</f>
        <v/>
      </c>
      <c r="BX37" s="245"/>
      <c r="BY37" s="246" t="str">
        <f>IFERROR(VLOOKUP(BU34,TAT!$B$48:$S$82,18,FALSE),"")</f>
        <v/>
      </c>
      <c r="BZ37" s="247"/>
      <c r="CA37" s="33"/>
      <c r="CB37" s="248"/>
      <c r="CC37" s="33"/>
      <c r="CD37" s="33"/>
      <c r="CE37" s="33"/>
      <c r="CF37" s="33"/>
      <c r="CG37" s="33"/>
      <c r="CH37" s="33"/>
      <c r="CI37" s="33"/>
      <c r="CJ37" s="33"/>
      <c r="CK37" s="33"/>
      <c r="CL37" s="33"/>
      <c r="CM37" s="242">
        <f>IFERROR(ROUND(VLOOKUP(CM34,OTR!$B$39:$R$44,5,FALSE),2),"")</f>
        <v>876.38</v>
      </c>
      <c r="CN37" s="243"/>
      <c r="CO37" s="244">
        <f>IFERROR(VLOOKUP(CM34,OTR!$B$39:$R$44,15,FALSE),"")</f>
        <v>6.7094182888701246</v>
      </c>
      <c r="CP37" s="245"/>
      <c r="CQ37" s="246" t="str">
        <f>IFERROR(VLOOKUP(CM34,OTR!$B$48:$S$82,18,FALSE),"")</f>
        <v>25 OZ, 0 A</v>
      </c>
      <c r="CR37" s="247"/>
      <c r="CS37" s="33"/>
      <c r="CT37" s="248"/>
      <c r="CU37" s="33"/>
      <c r="CV37" s="33"/>
      <c r="CW37" s="33"/>
      <c r="CX37" s="33"/>
      <c r="CY37" s="33"/>
      <c r="CZ37" s="33"/>
      <c r="DA37" s="33"/>
      <c r="DB37" s="33"/>
      <c r="DC37" s="33"/>
      <c r="DD37" s="33"/>
      <c r="DE37" s="242" t="str">
        <f>IFERROR(ROUND(VLOOKUP(DE34,BOH!$B$39:$R$44,5,FALSE),2),"")</f>
        <v/>
      </c>
      <c r="DF37" s="243"/>
      <c r="DG37" s="244" t="str">
        <f>IFERROR(VLOOKUP(DE34,BOH!$B$39:$R$44,15,FALSE),"")</f>
        <v/>
      </c>
      <c r="DH37" s="245"/>
      <c r="DI37" s="246" t="str">
        <f>IFERROR(VLOOKUP(DE34,BOH!$B$48:$S$82,18,FALSE),"")</f>
        <v/>
      </c>
      <c r="DJ37" s="247"/>
      <c r="DK37" s="33"/>
      <c r="DL37" s="248"/>
      <c r="DM37" s="33"/>
      <c r="DN37" s="33"/>
      <c r="DO37" s="33"/>
      <c r="DP37" s="33"/>
      <c r="DQ37" s="33"/>
      <c r="DR37" s="33"/>
      <c r="DS37" s="33"/>
      <c r="DT37" s="33"/>
      <c r="DU37" s="33"/>
      <c r="DV37" s="33"/>
      <c r="DW37" s="242" t="str">
        <f>IFERROR(ROUND(VLOOKUP(DW34,SPA!$B$39:$R$44,5,FALSE),2),"")</f>
        <v/>
      </c>
      <c r="DX37" s="243"/>
      <c r="DY37" s="244" t="str">
        <f>IFERROR(VLOOKUP(DW34,SPA!$B$39:$R$44,15,FALSE),"")</f>
        <v/>
      </c>
      <c r="DZ37" s="245"/>
      <c r="EA37" s="246" t="str">
        <f>IFERROR(VLOOKUP(DW34,SPA!$B$48:$S$82,18,FALSE),"")</f>
        <v/>
      </c>
      <c r="EB37" s="247"/>
      <c r="EC37" s="33"/>
      <c r="ED37" s="248"/>
      <c r="EE37" s="33"/>
      <c r="EF37" s="33"/>
      <c r="EG37" s="33"/>
      <c r="EH37" s="33"/>
      <c r="EI37" s="33"/>
      <c r="EJ37" s="33"/>
      <c r="EK37" s="33"/>
      <c r="EL37" s="33"/>
      <c r="EM37" s="33"/>
      <c r="EN37" s="33"/>
    </row>
    <row r="38" spans="1:144" ht="15.6" customHeight="1" thickTop="1" thickBot="1" x14ac:dyDescent="0.3">
      <c r="A38" s="228" t="str">
        <f>IFERROR(VLOOKUP(A34,SKV!$B$48:$AA$82,16,FALSE),"")</f>
        <v>FBK Atlas Sloup</v>
      </c>
      <c r="B38" s="229"/>
      <c r="C38" s="230"/>
      <c r="D38" s="231">
        <f>IFERROR(VLOOKUP(A34,SKV!$B$48:$AA$82,17,FALSE),"")</f>
        <v>1999</v>
      </c>
      <c r="E38" s="232"/>
      <c r="F38" s="46">
        <f>IFERROR(VLOOKUP(A34,SKV!$B$39:$R$42,8,FALSE),"")</f>
        <v>0</v>
      </c>
      <c r="G38" s="33"/>
      <c r="H38" s="248"/>
      <c r="I38" s="33"/>
      <c r="J38" s="193" t="s">
        <v>24</v>
      </c>
      <c r="K38" s="194"/>
      <c r="L38" s="194"/>
      <c r="M38" s="194"/>
      <c r="N38" s="194"/>
      <c r="O38" s="194"/>
      <c r="P38" s="194"/>
      <c r="Q38" s="32" t="str">
        <f>IFERROR(IF(VLOOKUP(J38,SKV!$B$48:$AA$82,10,FALSE)=0,"",VLOOKUP(M38,SKV!$B$48:$AA$82,10,FALSE)),"")</f>
        <v/>
      </c>
      <c r="R38" s="52">
        <f>IFERROR(VLOOKUP(J38,SKV!$B$48:$AA$82,9,FALSE),"")</f>
        <v>47</v>
      </c>
      <c r="S38" s="228" t="str">
        <f>IFERROR(VLOOKUP(S34,CHO!$B$48:$AA$82,16,FALSE),"")</f>
        <v>TJ Sokol Rokycany</v>
      </c>
      <c r="T38" s="229"/>
      <c r="U38" s="230"/>
      <c r="V38" s="231">
        <f>IFERROR(VLOOKUP(S34,CHO!$B$48:$AA$82,17,FALSE),"")</f>
        <v>2010</v>
      </c>
      <c r="W38" s="232"/>
      <c r="X38" s="46">
        <f>IFERROR(VLOOKUP(S34,CHO!$B$39:$R$42,8,FALSE),"")</f>
        <v>0</v>
      </c>
      <c r="Y38" s="33"/>
      <c r="Z38" s="248"/>
      <c r="AA38" s="33"/>
      <c r="AB38" s="193" t="s">
        <v>177</v>
      </c>
      <c r="AC38" s="194"/>
      <c r="AD38" s="194"/>
      <c r="AE38" s="194"/>
      <c r="AF38" s="194"/>
      <c r="AG38" s="194"/>
      <c r="AH38" s="194"/>
      <c r="AI38" s="32" t="str">
        <f>IFERROR(IF(VLOOKUP(AB38,CHO!$B$48:$AA$82,10,FALSE)=0,"",VLOOKUP(AB38,CHO!$B$48:$AA$82,10,FALSE)),"")</f>
        <v/>
      </c>
      <c r="AJ38" s="52">
        <f>IFERROR(VLOOKUP(AB38,CHO!$B$48:$AA$82,9,FALSE),"")</f>
        <v>10</v>
      </c>
      <c r="AK38" s="228" t="str">
        <f>IFERROR(VLOOKUP(AK34,VIT!$B$48:$R$82,16,FALSE),"")</f>
        <v/>
      </c>
      <c r="AL38" s="229"/>
      <c r="AM38" s="230"/>
      <c r="AN38" s="231" t="str">
        <f>IFERROR(VLOOKUP(AK34,VIT!$B$48:$R$82,17,FALSE),"")</f>
        <v/>
      </c>
      <c r="AO38" s="232"/>
      <c r="AP38" s="46" t="str">
        <f>IFERROR(VLOOKUP(AK34,VIT!$B$39:$R$44,8,FALSE),"")</f>
        <v/>
      </c>
      <c r="AQ38" s="33"/>
      <c r="AR38" s="248"/>
      <c r="AS38" s="33"/>
      <c r="AT38" s="193"/>
      <c r="AU38" s="194"/>
      <c r="AV38" s="194"/>
      <c r="AW38" s="194"/>
      <c r="AX38" s="194"/>
      <c r="AY38" s="194"/>
      <c r="AZ38" s="194"/>
      <c r="BA38" s="32" t="str">
        <f>IFERROR(IF(VLOOKUP(AT38,VIT!$B$48:$R$82,10,FALSE)=0,"",VLOOKUP(AT38,VIT!$B$48:$R$82,10,FALSE)),"")</f>
        <v/>
      </c>
      <c r="BB38" s="52" t="str">
        <f>IFERROR(VLOOKUP(AT38,VIT!$B$48:$R$82,9,FALSE),"")</f>
        <v/>
      </c>
      <c r="BC38" s="228" t="str">
        <f>IFERROR(VLOOKUP(BC34,MB!$B$48:$R$82,16,FALSE),"")</f>
        <v/>
      </c>
      <c r="BD38" s="229"/>
      <c r="BE38" s="230"/>
      <c r="BF38" s="231" t="str">
        <f>IFERROR(VLOOKUP(BC34,MB!$B$48:$R$82,17,FALSE),"")</f>
        <v/>
      </c>
      <c r="BG38" s="232"/>
      <c r="BH38" s="46" t="str">
        <f>IFERROR(VLOOKUP(BC34,MB!$B$39:$R$44,8,FALSE),"")</f>
        <v/>
      </c>
      <c r="BI38" s="33"/>
      <c r="BJ38" s="248"/>
      <c r="BK38" s="33"/>
      <c r="BL38" s="193"/>
      <c r="BM38" s="194"/>
      <c r="BN38" s="194"/>
      <c r="BO38" s="194"/>
      <c r="BP38" s="194"/>
      <c r="BQ38" s="194"/>
      <c r="BR38" s="194"/>
      <c r="BS38" s="32" t="str">
        <f>IFERROR(IF(VLOOKUP(BL38,MB!$B$48:$R$82,10,FALSE)=0,"",VLOOKUP(BL38,MB!$B$48:$R$82,10,FALSE)),"")</f>
        <v/>
      </c>
      <c r="BT38" s="52" t="str">
        <f>IFERROR(VLOOKUP(BL38,MB!$B$48:$R$82,9,FALSE),"")</f>
        <v/>
      </c>
      <c r="BU38" s="228" t="str">
        <f>IFERROR(VLOOKUP(BU34,TAT!$B$48:$R$82,16,FALSE),"")</f>
        <v/>
      </c>
      <c r="BV38" s="229"/>
      <c r="BW38" s="230"/>
      <c r="BX38" s="231" t="str">
        <f>IFERROR(VLOOKUP(BU34,TAT!$B$48:$R$82,17,FALSE),"")</f>
        <v/>
      </c>
      <c r="BY38" s="232"/>
      <c r="BZ38" s="46" t="str">
        <f>IFERROR(VLOOKUP(BU34,TAT!$B$39:$R$44,8,FALSE),"")</f>
        <v/>
      </c>
      <c r="CA38" s="33"/>
      <c r="CB38" s="248"/>
      <c r="CC38" s="33"/>
      <c r="CD38" s="193"/>
      <c r="CE38" s="194"/>
      <c r="CF38" s="194"/>
      <c r="CG38" s="194"/>
      <c r="CH38" s="194"/>
      <c r="CI38" s="194"/>
      <c r="CJ38" s="194"/>
      <c r="CK38" s="32" t="str">
        <f>IFERROR(IF(VLOOKUP(CD38,TAT!$B$48:$R$82,10,FALSE)=0,"",VLOOKUP(CD38,TAT!$B$48:$R$82,10,FALSE)),"")</f>
        <v/>
      </c>
      <c r="CL38" s="52" t="str">
        <f>IFERROR(VLOOKUP(CD38,TAT!$B$48:$R$82,9,FALSE),"")</f>
        <v/>
      </c>
      <c r="CM38" s="228" t="str">
        <f>IFERROR(VLOOKUP(CM34,OTR!$B$48:$R$82,16,FALSE),"")</f>
        <v>Sokol Zlín</v>
      </c>
      <c r="CN38" s="229"/>
      <c r="CO38" s="230"/>
      <c r="CP38" s="231">
        <f>IFERROR(VLOOKUP(CM34,OTR!$B$48:$R$82,17,FALSE),"")</f>
        <v>2012</v>
      </c>
      <c r="CQ38" s="232"/>
      <c r="CR38" s="46">
        <f>IFERROR(VLOOKUP(CM34,OTR!$B$39:$R$44,8,FALSE),"")</f>
        <v>0</v>
      </c>
      <c r="CS38" s="33"/>
      <c r="CT38" s="248"/>
      <c r="CU38" s="33"/>
      <c r="CV38" s="193" t="s">
        <v>494</v>
      </c>
      <c r="CW38" s="194"/>
      <c r="CX38" s="194"/>
      <c r="CY38" s="194"/>
      <c r="CZ38" s="194"/>
      <c r="DA38" s="194"/>
      <c r="DB38" s="194"/>
      <c r="DC38" s="32" t="str">
        <f>IFERROR(IF(VLOOKUP(CV38,OTR!$B$48:$R$82,10,FALSE)=0,"",VLOOKUP(CV38,OTR!$B$48:$R$82,10,FALSE)),"")</f>
        <v/>
      </c>
      <c r="DD38" s="52">
        <f>IFERROR(VLOOKUP(CV38,OTR!$B$48:$R$82,9,FALSE),"")</f>
        <v>61</v>
      </c>
      <c r="DE38" s="228" t="str">
        <f>IFERROR(VLOOKUP(DE34,BOH!$B$48:$R$82,16,FALSE),"")</f>
        <v/>
      </c>
      <c r="DF38" s="229"/>
      <c r="DG38" s="230"/>
      <c r="DH38" s="231" t="str">
        <f>IFERROR(VLOOKUP(DE34,BOH!$B$48:$R$82,17,FALSE),"")</f>
        <v/>
      </c>
      <c r="DI38" s="232"/>
      <c r="DJ38" s="46" t="str">
        <f>IFERROR(VLOOKUP(DE34,BOH!$B$39:$R$44,8,FALSE),"")</f>
        <v/>
      </c>
      <c r="DK38" s="33"/>
      <c r="DL38" s="248"/>
      <c r="DM38" s="33"/>
      <c r="DN38" s="193"/>
      <c r="DO38" s="194"/>
      <c r="DP38" s="194"/>
      <c r="DQ38" s="194"/>
      <c r="DR38" s="194"/>
      <c r="DS38" s="194"/>
      <c r="DT38" s="194"/>
      <c r="DU38" s="32" t="str">
        <f>IFERROR(IF(VLOOKUP(DN38,BOH!$B$48:$R$82,10,FALSE)=0,"",VLOOKUP(DN38,BOH!$B$48:$R$82,10,FALSE)),"")</f>
        <v/>
      </c>
      <c r="DV38" s="52" t="str">
        <f>IFERROR(VLOOKUP(DN38,BOH!$B$48:$R$82,9,FALSE),"")</f>
        <v/>
      </c>
      <c r="DW38" s="228" t="str">
        <f>IFERROR(VLOOKUP(DW34,SPA!$B$48:$R$82,16,FALSE),"")</f>
        <v/>
      </c>
      <c r="DX38" s="229"/>
      <c r="DY38" s="230"/>
      <c r="DZ38" s="231" t="str">
        <f>IFERROR(VLOOKUP(DW34,SPA!$B$48:$R$82,17,FALSE),"")</f>
        <v/>
      </c>
      <c r="EA38" s="232"/>
      <c r="EB38" s="46" t="str">
        <f>IFERROR(VLOOKUP(DW34,SPA!$B$39:$R$44,8,FALSE),"")</f>
        <v/>
      </c>
      <c r="EC38" s="33"/>
      <c r="ED38" s="248"/>
      <c r="EE38" s="33"/>
      <c r="EF38" s="193"/>
      <c r="EG38" s="194"/>
      <c r="EH38" s="194"/>
      <c r="EI38" s="194"/>
      <c r="EJ38" s="194"/>
      <c r="EK38" s="194"/>
      <c r="EL38" s="194"/>
      <c r="EM38" s="32" t="str">
        <f>IFERROR(IF(VLOOKUP(EF38,SPA!$B$48:$R$82,10,FALSE)=0,"",VLOOKUP(EF38,SPA!$B$48:$R$82,10,FALSE)),"")</f>
        <v/>
      </c>
      <c r="EN38" s="52" t="str">
        <f>IFERROR(VLOOKUP(EF38,SPA!$B$48:$R$82,9,FALSE),"")</f>
        <v/>
      </c>
    </row>
    <row r="39" spans="1:144" ht="15.6" customHeight="1" thickTop="1" thickBot="1" x14ac:dyDescent="0.3">
      <c r="A39" s="33"/>
      <c r="B39" s="33"/>
      <c r="C39" s="33"/>
      <c r="D39" s="33"/>
      <c r="E39" s="33"/>
      <c r="F39" s="33"/>
      <c r="G39" s="33"/>
      <c r="H39" s="248"/>
      <c r="I39" s="33"/>
      <c r="J39" s="34" t="str">
        <f>IFERROR(VLOOKUP(J38,SKV!$B$48:$AA$82,11,FALSE),"")</f>
        <v>L</v>
      </c>
      <c r="K39" s="189">
        <f>IFERROR(YEAR(VLOOKUP(J38,SKV!$B$48:$AA$82,2,FALSE)),"")</f>
        <v>1999</v>
      </c>
      <c r="L39" s="190"/>
      <c r="M39" s="43">
        <f ca="1">IFERROR(VLOOKUP(J38,SKV!$B$48:$AA$82,3,FALSE),"")</f>
        <v>21</v>
      </c>
      <c r="N39" s="190" t="str">
        <f>IFERROR(VLOOKUP(J38,SKV!$B$48:$AA$82,15,FALSE),"")</f>
        <v>181/82</v>
      </c>
      <c r="O39" s="190"/>
      <c r="P39" s="190" t="str">
        <f>IFERROR(VLOOKUP(J38,SKV!$B$2:$O$36,14,FALSE),"")</f>
        <v>16 OZ , 0 (0+0), -12 ±</v>
      </c>
      <c r="Q39" s="190"/>
      <c r="R39" s="195"/>
      <c r="S39" s="33"/>
      <c r="T39" s="33"/>
      <c r="U39" s="33"/>
      <c r="V39" s="33"/>
      <c r="W39" s="33"/>
      <c r="X39" s="33"/>
      <c r="Y39" s="33"/>
      <c r="Z39" s="248"/>
      <c r="AA39" s="33"/>
      <c r="AB39" s="34" t="str">
        <f>IFERROR(VLOOKUP(AB38,CHO!$B$48:$AA$82,11,FALSE),"")</f>
        <v>L</v>
      </c>
      <c r="AC39" s="189">
        <f>IFERROR(YEAR(VLOOKUP(AB38,CHO!$B$48:$AA$82,2,FALSE)),"")</f>
        <v>1997</v>
      </c>
      <c r="AD39" s="190"/>
      <c r="AE39" s="43">
        <f ca="1">IFERROR(VLOOKUP(AB38,CHO!$B$48:$AA$82,3,FALSE),"")</f>
        <v>23</v>
      </c>
      <c r="AF39" s="190" t="str">
        <f>IFERROR(VLOOKUP(AB38,CHO!$B$48:$AA$82,15,FALSE),"")</f>
        <v>172/73</v>
      </c>
      <c r="AG39" s="190"/>
      <c r="AH39" s="190" t="str">
        <f>IFERROR(VLOOKUP(AB38,CHO!$B$2:$O$36,14,FALSE),"")</f>
        <v>15 OZ , 2 (1+1), -3 ±</v>
      </c>
      <c r="AI39" s="190"/>
      <c r="AJ39" s="195"/>
      <c r="AK39" s="33"/>
      <c r="AL39" s="33"/>
      <c r="AM39" s="33"/>
      <c r="AN39" s="33"/>
      <c r="AO39" s="33"/>
      <c r="AP39" s="33"/>
      <c r="AQ39" s="33"/>
      <c r="AR39" s="248"/>
      <c r="AS39" s="33"/>
      <c r="AT39" s="34" t="str">
        <f>IFERROR(VLOOKUP(AT38,VIT!$B$48:$R$82,11,FALSE),"")</f>
        <v/>
      </c>
      <c r="AU39" s="189" t="str">
        <f>IFERROR(YEAR(VLOOKUP(AT38,VIT!$B$48:$R$82,2,FALSE)),"")</f>
        <v/>
      </c>
      <c r="AV39" s="190"/>
      <c r="AW39" s="105" t="str">
        <f>IFERROR(VLOOKUP(AT38,VIT!$B$48:$R$82,3,FALSE),"")</f>
        <v/>
      </c>
      <c r="AX39" s="190" t="str">
        <f>IFERROR(VLOOKUP(AT38,VIT!$B$48:$R$82,15,FALSE),"")</f>
        <v/>
      </c>
      <c r="AY39" s="190"/>
      <c r="AZ39" s="190" t="str">
        <f>IFERROR(VLOOKUP(AT38,VIT!$B$2:$O$36,14,FALSE),"")</f>
        <v/>
      </c>
      <c r="BA39" s="190"/>
      <c r="BB39" s="195"/>
      <c r="BC39" s="33"/>
      <c r="BD39" s="33"/>
      <c r="BE39" s="33"/>
      <c r="BF39" s="33"/>
      <c r="BG39" s="33"/>
      <c r="BH39" s="33"/>
      <c r="BI39" s="33"/>
      <c r="BJ39" s="248"/>
      <c r="BK39" s="33"/>
      <c r="BL39" s="34" t="str">
        <f>IFERROR(VLOOKUP(BL38,MB!$B$48:$R$82,11,FALSE),"")</f>
        <v/>
      </c>
      <c r="BM39" s="189" t="str">
        <f>IFERROR(YEAR(VLOOKUP(BL38,MB!$B$48:$R$82,2,FALSE)),"")</f>
        <v/>
      </c>
      <c r="BN39" s="190"/>
      <c r="BO39" s="107" t="str">
        <f>IFERROR(VLOOKUP(BL38,MB!$B$48:$R$82,3,FALSE),"")</f>
        <v/>
      </c>
      <c r="BP39" s="190" t="str">
        <f>IFERROR(VLOOKUP(BL38,MB!$B$48:$R$82,15,FALSE),"")</f>
        <v/>
      </c>
      <c r="BQ39" s="190"/>
      <c r="BR39" s="190" t="str">
        <f>IFERROR(VLOOKUP(BL38,MB!$B$2:$O$36,14,FALSE),"")</f>
        <v/>
      </c>
      <c r="BS39" s="190"/>
      <c r="BT39" s="195"/>
      <c r="BU39" s="33"/>
      <c r="BV39" s="33"/>
      <c r="BW39" s="33"/>
      <c r="BX39" s="33"/>
      <c r="BY39" s="33"/>
      <c r="BZ39" s="33"/>
      <c r="CA39" s="33"/>
      <c r="CB39" s="248"/>
      <c r="CC39" s="33"/>
      <c r="CD39" s="34" t="str">
        <f>IFERROR(VLOOKUP(CD38,TAT!$B$48:$R$82,11,FALSE),"")</f>
        <v/>
      </c>
      <c r="CE39" s="189" t="str">
        <f>IFERROR(YEAR(VLOOKUP(CD38,TAT!$B$48:$R$82,2,FALSE)),"")</f>
        <v/>
      </c>
      <c r="CF39" s="190"/>
      <c r="CG39" s="150" t="str">
        <f>IFERROR(VLOOKUP(CD38,TAT!$B$48:$R$82,3,FALSE),"")</f>
        <v/>
      </c>
      <c r="CH39" s="190" t="str">
        <f>IFERROR(VLOOKUP(CD38,TAT!$B$48:$R$82,15,FALSE),"")</f>
        <v/>
      </c>
      <c r="CI39" s="190"/>
      <c r="CJ39" s="190" t="str">
        <f>IFERROR(VLOOKUP(CD38,TAT!$B$2:$O$36,14,FALSE),"")</f>
        <v/>
      </c>
      <c r="CK39" s="190"/>
      <c r="CL39" s="195"/>
      <c r="CM39" s="33"/>
      <c r="CN39" s="33"/>
      <c r="CO39" s="33"/>
      <c r="CP39" s="33"/>
      <c r="CQ39" s="33"/>
      <c r="CR39" s="33"/>
      <c r="CS39" s="33"/>
      <c r="CT39" s="248"/>
      <c r="CU39" s="33"/>
      <c r="CV39" s="34" t="str">
        <f>IFERROR(VLOOKUP(CV38,OTR!$B$48:$R$82,11,FALSE),"")</f>
        <v>L</v>
      </c>
      <c r="CW39" s="189">
        <f>IFERROR(YEAR(VLOOKUP(CV38,OTR!$B$48:$R$82,2,FALSE)),"")</f>
        <v>2003</v>
      </c>
      <c r="CX39" s="190"/>
      <c r="CY39" s="150">
        <f ca="1">IFERROR(VLOOKUP(CV38,OTR!$B$48:$R$82,3,FALSE),"")</f>
        <v>17</v>
      </c>
      <c r="CZ39" s="190" t="str">
        <f>IFERROR(VLOOKUP(CV38,OTR!$B$48:$R$82,15,FALSE),"")</f>
        <v>184/72</v>
      </c>
      <c r="DA39" s="190"/>
      <c r="DB39" s="190" t="str">
        <f>IFERROR(VLOOKUP(CV38,OTR!$B$2:$O$36,14,FALSE),"")</f>
        <v>13 OZ , 1 (0+1), -12 ±</v>
      </c>
      <c r="DC39" s="190"/>
      <c r="DD39" s="195"/>
      <c r="DE39" s="33"/>
      <c r="DF39" s="33"/>
      <c r="DG39" s="33"/>
      <c r="DH39" s="33"/>
      <c r="DI39" s="33"/>
      <c r="DJ39" s="33"/>
      <c r="DK39" s="33"/>
      <c r="DL39" s="248"/>
      <c r="DM39" s="33"/>
      <c r="DN39" s="34" t="str">
        <f>IFERROR(VLOOKUP(DN38,BOH!$B$48:$R$82,11,FALSE),"")</f>
        <v/>
      </c>
      <c r="DO39" s="189" t="str">
        <f>IFERROR(YEAR(VLOOKUP(DN38,BOH!$B$48:$R$82,2,FALSE)),"")</f>
        <v/>
      </c>
      <c r="DP39" s="190"/>
      <c r="DQ39" s="165" t="str">
        <f>IFERROR(VLOOKUP(DN38,BOH!$B$48:$R$82,3,FALSE),"")</f>
        <v/>
      </c>
      <c r="DR39" s="190" t="str">
        <f>IFERROR(VLOOKUP(DN38,BOH!$B$48:$R$82,15,FALSE),"")</f>
        <v/>
      </c>
      <c r="DS39" s="190"/>
      <c r="DT39" s="190" t="str">
        <f>IFERROR(VLOOKUP(DN38,BOH!$B$2:$O$36,14,FALSE),"")</f>
        <v/>
      </c>
      <c r="DU39" s="190"/>
      <c r="DV39" s="195"/>
      <c r="DW39" s="33"/>
      <c r="DX39" s="33"/>
      <c r="DY39" s="33"/>
      <c r="DZ39" s="33"/>
      <c r="EA39" s="33"/>
      <c r="EB39" s="33"/>
      <c r="EC39" s="33"/>
      <c r="ED39" s="248"/>
      <c r="EE39" s="33"/>
      <c r="EF39" s="34" t="str">
        <f>IFERROR(VLOOKUP(EF38,SPA!$B$48:$R$82,11,FALSE),"")</f>
        <v/>
      </c>
      <c r="EG39" s="189" t="str">
        <f>IFERROR(YEAR(VLOOKUP(EF38,SPA!$B$48:$R$82,2,FALSE)),"")</f>
        <v/>
      </c>
      <c r="EH39" s="190"/>
      <c r="EI39" s="165" t="str">
        <f>IFERROR(VLOOKUP(EF38,SPA!$B$48:$R$82,3,FALSE),"")</f>
        <v/>
      </c>
      <c r="EJ39" s="190" t="str">
        <f>IFERROR(VLOOKUP(EF38,SPA!$B$48:$R$82,15,FALSE),"")</f>
        <v/>
      </c>
      <c r="EK39" s="190"/>
      <c r="EL39" s="190" t="str">
        <f>IFERROR(VLOOKUP(EF38,SPA!$B$2:$O$36,14,FALSE),"")</f>
        <v/>
      </c>
      <c r="EM39" s="190"/>
      <c r="EN39" s="195"/>
    </row>
    <row r="40" spans="1:144" ht="15.6" customHeight="1" thickTop="1" thickBot="1" x14ac:dyDescent="0.3">
      <c r="A40" s="193" t="s">
        <v>32</v>
      </c>
      <c r="B40" s="194"/>
      <c r="C40" s="194"/>
      <c r="D40" s="194"/>
      <c r="E40" s="32" t="str">
        <f>IFERROR(IF(VLOOKUP(A40,SKV!$B$48:$AA$82,10,FALSE)=0,"",VLOOKUP(A40,SKV!$B$48:$AA$82,10,FALSE)),"")</f>
        <v/>
      </c>
      <c r="F40" s="52">
        <f>IFERROR(VLOOKUP(A40,SKV!$B$48:$AA$82,9,FALSE),"")</f>
        <v>42</v>
      </c>
      <c r="G40" s="33"/>
      <c r="H40" s="248"/>
      <c r="I40" s="33"/>
      <c r="J40" s="125">
        <f>IFERROR(VLOOKUP(J38,SKV!$B$48:$AA$82,8,FALSE),"")</f>
        <v>1</v>
      </c>
      <c r="K40" s="191" t="str">
        <f>IFERROR(VLOOKUP(J38,SKV!$B$48:$AA$82,14,FALSE),"")</f>
        <v>16 OZ, 0 (0+0)</v>
      </c>
      <c r="L40" s="191"/>
      <c r="M40" s="191"/>
      <c r="N40" s="239" t="str">
        <f>IFERROR(VLOOKUP(J38,SKV!$B$48:$AA$82,16,FALSE),"")</f>
        <v>Bohemians</v>
      </c>
      <c r="O40" s="239"/>
      <c r="P40" s="239"/>
      <c r="Q40" s="191">
        <f>IFERROR(VLOOKUP(J38,SKV!$B$48:$AA$82,17,FALSE),"")</f>
        <v>2009</v>
      </c>
      <c r="R40" s="192"/>
      <c r="S40" s="193" t="s">
        <v>184</v>
      </c>
      <c r="T40" s="194"/>
      <c r="U40" s="194"/>
      <c r="V40" s="194"/>
      <c r="W40" s="32" t="str">
        <f>IFERROR(IF(VLOOKUP(S40,CHO!$B$48:$AA$82,10,FALSE)=0,"",VLOOKUP(S40,CHO!$B$48:$AA$82,10,FALSE)),"")</f>
        <v/>
      </c>
      <c r="X40" s="52">
        <f>IFERROR(VLOOKUP(S40,CHO!$B$48:$AA$82,9,FALSE),"")</f>
        <v>30</v>
      </c>
      <c r="Y40" s="33"/>
      <c r="Z40" s="248"/>
      <c r="AA40" s="33"/>
      <c r="AB40" s="125">
        <f>IFERROR(VLOOKUP(AB38,CHO!$B$48:$AA$82,8,FALSE),"")</f>
        <v>7</v>
      </c>
      <c r="AC40" s="191" t="str">
        <f>IFERROR(VLOOKUP(AB38,CHO!$B$48:$AA$82,14,FALSE),"")</f>
        <v>107 OZ, 48 (30+18)</v>
      </c>
      <c r="AD40" s="191"/>
      <c r="AE40" s="191"/>
      <c r="AF40" s="239" t="str">
        <f>IFERROR(VLOOKUP(AB38,CHO!$B$48:$AA$82,16,FALSE),"")</f>
        <v>Florbal Chodov</v>
      </c>
      <c r="AG40" s="239"/>
      <c r="AH40" s="239"/>
      <c r="AI40" s="191">
        <f>IFERROR(VLOOKUP(AB38,CHO!$B$48:$AA$82,17,FALSE),"")</f>
        <v>2006</v>
      </c>
      <c r="AJ40" s="192"/>
      <c r="AK40" s="193"/>
      <c r="AL40" s="194"/>
      <c r="AM40" s="194"/>
      <c r="AN40" s="194"/>
      <c r="AO40" s="32" t="str">
        <f>IFERROR(IF(VLOOKUP(AK40,VIT!$B$48:$R$82,10,FALSE)=0,"",VLOOKUP(AK40,VIT!$B$48:$R$82,10,FALSE)),"")</f>
        <v/>
      </c>
      <c r="AP40" s="52" t="str">
        <f>IFERROR(VLOOKUP(AK40,VIT!$B$48:$R$82,9,FALSE),"")</f>
        <v/>
      </c>
      <c r="AQ40" s="33"/>
      <c r="AR40" s="248"/>
      <c r="AS40" s="33"/>
      <c r="AT40" s="125" t="str">
        <f>IFERROR(VLOOKUP(AT38,VIT!$B$48:$R$82,8,FALSE),"")</f>
        <v/>
      </c>
      <c r="AU40" s="191" t="str">
        <f>IFERROR(VLOOKUP(AT38,VIT!$B$48:$R$82,14,FALSE),"")</f>
        <v/>
      </c>
      <c r="AV40" s="191"/>
      <c r="AW40" s="191"/>
      <c r="AX40" s="239" t="str">
        <f>IFERROR(VLOOKUP(AT38,VIT!$B$48:$R$82,16,FALSE),"")</f>
        <v/>
      </c>
      <c r="AY40" s="239"/>
      <c r="AZ40" s="239"/>
      <c r="BA40" s="191" t="str">
        <f>IFERROR(VLOOKUP(AT38,VIT!$B$48:$R$82,17,FALSE),"")</f>
        <v/>
      </c>
      <c r="BB40" s="192"/>
      <c r="BC40" s="193"/>
      <c r="BD40" s="194"/>
      <c r="BE40" s="194"/>
      <c r="BF40" s="194"/>
      <c r="BG40" s="32" t="str">
        <f>IFERROR(IF(VLOOKUP(BC40,MB!$B$48:$R$82,10,FALSE)=0,"",VLOOKUP(BC40,MB!$B$48:$R$82,10,FALSE)),"")</f>
        <v/>
      </c>
      <c r="BH40" s="52" t="str">
        <f>IFERROR(VLOOKUP(BC40,MB!$B$48:$R$82,9,FALSE),"")</f>
        <v/>
      </c>
      <c r="BI40" s="33"/>
      <c r="BJ40" s="248"/>
      <c r="BK40" s="33"/>
      <c r="BL40" s="125" t="str">
        <f>IFERROR(VLOOKUP(BL38,MB!$B$48:$R$82,8,FALSE),"")</f>
        <v/>
      </c>
      <c r="BM40" s="191" t="str">
        <f>IFERROR(VLOOKUP(BL38,MB!$B$48:$R$82,14,FALSE),"")</f>
        <v/>
      </c>
      <c r="BN40" s="191"/>
      <c r="BO40" s="191"/>
      <c r="BP40" s="239" t="str">
        <f>IFERROR(VLOOKUP(BL38,MB!$B$48:$R$82,16,FALSE),"")</f>
        <v/>
      </c>
      <c r="BQ40" s="239"/>
      <c r="BR40" s="239"/>
      <c r="BS40" s="191" t="str">
        <f>IFERROR(VLOOKUP(BL38,MB!$B$48:$R$82,17,FALSE),"")</f>
        <v/>
      </c>
      <c r="BT40" s="192"/>
      <c r="BU40" s="193"/>
      <c r="BV40" s="194"/>
      <c r="BW40" s="194"/>
      <c r="BX40" s="194"/>
      <c r="BY40" s="32" t="str">
        <f>IFERROR(IF(VLOOKUP(BU40,TAT!$B$48:$R$82,10,FALSE)=0,"",VLOOKUP(BU40,TAT!$B$48:$R$82,10,FALSE)),"")</f>
        <v/>
      </c>
      <c r="BZ40" s="52" t="str">
        <f>IFERROR(VLOOKUP(BU40,TAT!$B$48:$R$82,9,FALSE),"")</f>
        <v/>
      </c>
      <c r="CA40" s="33"/>
      <c r="CB40" s="248"/>
      <c r="CC40" s="33"/>
      <c r="CD40" s="125" t="str">
        <f>IFERROR(VLOOKUP(CD38,TAT!$B$48:$R$82,8,FALSE),"")</f>
        <v/>
      </c>
      <c r="CE40" s="191" t="str">
        <f>IFERROR(VLOOKUP(CD38,TAT!$B$48:$R$82,14,FALSE),"")</f>
        <v/>
      </c>
      <c r="CF40" s="191"/>
      <c r="CG40" s="191"/>
      <c r="CH40" s="239" t="str">
        <f>IFERROR(VLOOKUP(CD38,TAT!$B$48:$R$82,16,FALSE),"")</f>
        <v/>
      </c>
      <c r="CI40" s="239"/>
      <c r="CJ40" s="239"/>
      <c r="CK40" s="191" t="str">
        <f>IFERROR(VLOOKUP(CD38,TAT!$B$48:$R$82,17,FALSE),"")</f>
        <v/>
      </c>
      <c r="CL40" s="192"/>
      <c r="CM40" s="193" t="s">
        <v>504</v>
      </c>
      <c r="CN40" s="194"/>
      <c r="CO40" s="194"/>
      <c r="CP40" s="194"/>
      <c r="CQ40" s="32" t="str">
        <f>IFERROR(IF(VLOOKUP(CM40,OTR!$B$48:$R$82,10,FALSE)=0,"",VLOOKUP(CM40,OTR!$B$48:$R$82,10,FALSE)),"")</f>
        <v/>
      </c>
      <c r="CR40" s="52">
        <f>IFERROR(VLOOKUP(CM40,OTR!$B$48:$R$82,9,FALSE),"")</f>
        <v>30</v>
      </c>
      <c r="CS40" s="33"/>
      <c r="CT40" s="248"/>
      <c r="CU40" s="33"/>
      <c r="CV40" s="125">
        <f>IFERROR(VLOOKUP(CV38,OTR!$B$48:$R$82,8,FALSE),"")</f>
        <v>1</v>
      </c>
      <c r="CW40" s="191" t="str">
        <f>IFERROR(VLOOKUP(CV38,OTR!$B$48:$R$82,14,FALSE),"")</f>
        <v>13 OZ, 1 (0+1)</v>
      </c>
      <c r="CX40" s="191"/>
      <c r="CY40" s="191"/>
      <c r="CZ40" s="239" t="str">
        <f>IFERROR(VLOOKUP(CV38,OTR!$B$48:$R$82,16,FALSE),"")</f>
        <v>Panthers Otrokovice</v>
      </c>
      <c r="DA40" s="239"/>
      <c r="DB40" s="239"/>
      <c r="DC40" s="191">
        <f>IFERROR(VLOOKUP(CV38,OTR!$B$48:$R$82,17,FALSE),"")</f>
        <v>2013</v>
      </c>
      <c r="DD40" s="192"/>
      <c r="DE40" s="193"/>
      <c r="DF40" s="194"/>
      <c r="DG40" s="194"/>
      <c r="DH40" s="194"/>
      <c r="DI40" s="32" t="str">
        <f>IFERROR(IF(VLOOKUP(DE40,BOH!$B$48:$R$82,10,FALSE)=0,"",VLOOKUP(DE40,BOH!$B$48:$R$82,10,FALSE)),"")</f>
        <v/>
      </c>
      <c r="DJ40" s="52" t="str">
        <f>IFERROR(VLOOKUP(DE40,BOH!$B$48:$R$82,9,FALSE),"")</f>
        <v/>
      </c>
      <c r="DK40" s="33"/>
      <c r="DL40" s="248"/>
      <c r="DM40" s="33"/>
      <c r="DN40" s="125" t="str">
        <f>IFERROR(VLOOKUP(DN38,BOH!$B$48:$R$82,8,FALSE),"")</f>
        <v/>
      </c>
      <c r="DO40" s="191" t="str">
        <f>IFERROR(VLOOKUP(DN38,BOH!$B$48:$R$82,14,FALSE),"")</f>
        <v/>
      </c>
      <c r="DP40" s="191"/>
      <c r="DQ40" s="191"/>
      <c r="DR40" s="239" t="str">
        <f>IFERROR(VLOOKUP(DN38,BOH!$B$48:$R$82,16,FALSE),"")</f>
        <v/>
      </c>
      <c r="DS40" s="239"/>
      <c r="DT40" s="239"/>
      <c r="DU40" s="191" t="str">
        <f>IFERROR(VLOOKUP(DN38,BOH!$B$48:$R$82,17,FALSE),"")</f>
        <v/>
      </c>
      <c r="DV40" s="192"/>
      <c r="DW40" s="193"/>
      <c r="DX40" s="194"/>
      <c r="DY40" s="194"/>
      <c r="DZ40" s="194"/>
      <c r="EA40" s="32" t="str">
        <f>IFERROR(IF(VLOOKUP(DW40,SPA!$B$48:$R$82,10,FALSE)=0,"",VLOOKUP(DW40,SPA!$B$48:$R$82,10,FALSE)),"")</f>
        <v/>
      </c>
      <c r="EB40" s="52" t="str">
        <f>IFERROR(VLOOKUP(DW40,SPA!$B$48:$R$82,9,FALSE),"")</f>
        <v/>
      </c>
      <c r="EC40" s="33"/>
      <c r="ED40" s="248"/>
      <c r="EE40" s="33"/>
      <c r="EF40" s="125" t="str">
        <f>IFERROR(VLOOKUP(EF38,SPA!$B$48:$R$82,8,FALSE),"")</f>
        <v/>
      </c>
      <c r="EG40" s="191" t="str">
        <f>IFERROR(VLOOKUP(EF38,SPA!$B$48:$R$82,14,FALSE),"")</f>
        <v/>
      </c>
      <c r="EH40" s="191"/>
      <c r="EI40" s="191"/>
      <c r="EJ40" s="239" t="str">
        <f>IFERROR(VLOOKUP(EF38,SPA!$B$48:$R$82,16,FALSE),"")</f>
        <v/>
      </c>
      <c r="EK40" s="239"/>
      <c r="EL40" s="239"/>
      <c r="EM40" s="191" t="str">
        <f>IFERROR(VLOOKUP(EF38,SPA!$B$48:$R$82,17,FALSE),"")</f>
        <v/>
      </c>
      <c r="EN40" s="192"/>
    </row>
    <row r="41" spans="1:144" ht="15.6" customHeight="1" thickBot="1" x14ac:dyDescent="0.3">
      <c r="A41" s="42">
        <f>IFERROR(VLOOKUP(A40,SKV!$B$48:$AA$82,8,FALSE),"")</f>
        <v>6</v>
      </c>
      <c r="B41" s="233">
        <f>IFERROR(YEAR(VLOOKUP(A40,SKV!$B$48:$AA$82,2,FALSE)),"")</f>
        <v>1996</v>
      </c>
      <c r="C41" s="189"/>
      <c r="D41" s="35">
        <f ca="1">IFERROR(VLOOKUP(A40,SKV!$B$48:$AA$82,3,FALSE),"")</f>
        <v>24</v>
      </c>
      <c r="E41" s="234" t="str">
        <f>IFERROR(VLOOKUP(A40,SKV!$B$48:$AA$82,15,FALSE),"")</f>
        <v>187/88</v>
      </c>
      <c r="F41" s="235"/>
      <c r="G41" s="33"/>
      <c r="H41" s="248"/>
      <c r="I41" s="33"/>
      <c r="J41" s="33"/>
      <c r="K41" s="33"/>
      <c r="L41" s="33"/>
      <c r="M41" s="16"/>
      <c r="N41" s="16"/>
      <c r="O41" s="16"/>
      <c r="P41" s="16"/>
      <c r="Q41" s="16"/>
      <c r="R41" s="16"/>
      <c r="S41" s="42">
        <f>IFERROR(VLOOKUP(S40,CHO!$B$48:$S$82,8,FALSE),"")</f>
        <v>1</v>
      </c>
      <c r="T41" s="233">
        <f>IFERROR(YEAR(VLOOKUP(S40,CHO!$B$48:$S$82,2,FALSE)),"")</f>
        <v>2003</v>
      </c>
      <c r="U41" s="189"/>
      <c r="V41" s="35">
        <f ca="1">IFERROR(VLOOKUP(S40,CHO!$B$48:$S$82,3,FALSE),"")</f>
        <v>17</v>
      </c>
      <c r="W41" s="234" t="str">
        <f>IFERROR(VLOOKUP(S40,CHO!$B$48:$S$82,15,FALSE),"")</f>
        <v>198/98</v>
      </c>
      <c r="X41" s="235"/>
      <c r="Y41" s="33"/>
      <c r="Z41" s="248"/>
      <c r="AA41" s="33"/>
      <c r="AB41" s="33"/>
      <c r="AC41" s="33"/>
      <c r="AD41" s="33"/>
      <c r="AE41" s="16"/>
      <c r="AF41" s="16"/>
      <c r="AG41" s="16"/>
      <c r="AH41" s="16"/>
      <c r="AI41" s="16"/>
      <c r="AJ41" s="16"/>
      <c r="AK41" s="42" t="str">
        <f>IFERROR(VLOOKUP(AK40,VIT!$B$48:$S$82,8,FALSE),"")</f>
        <v/>
      </c>
      <c r="AL41" s="233" t="str">
        <f>IFERROR(YEAR(VLOOKUP(AK40,VIT!$B$48:$S$82,2,FALSE)),"")</f>
        <v/>
      </c>
      <c r="AM41" s="189"/>
      <c r="AN41" s="106" t="str">
        <f>IFERROR(VLOOKUP(AK40,VIT!$B$48:$S$82,3,FALSE),"")</f>
        <v/>
      </c>
      <c r="AO41" s="234" t="str">
        <f>IFERROR(VLOOKUP(AK40,VIT!$B$48:$S$82,15,FALSE),"")</f>
        <v/>
      </c>
      <c r="AP41" s="235"/>
      <c r="AQ41" s="33"/>
      <c r="AR41" s="248"/>
      <c r="AS41" s="33"/>
      <c r="AT41" s="33"/>
      <c r="AU41" s="33"/>
      <c r="AV41" s="33"/>
      <c r="AW41" s="16"/>
      <c r="AX41" s="16"/>
      <c r="AY41" s="16"/>
      <c r="AZ41" s="16"/>
      <c r="BA41" s="16"/>
      <c r="BB41" s="16"/>
      <c r="BC41" s="42" t="str">
        <f>IFERROR(VLOOKUP(BC40,MB!$B$48:$S$82,8,FALSE),"")</f>
        <v/>
      </c>
      <c r="BD41" s="233" t="str">
        <f>IFERROR(YEAR(VLOOKUP(BC40,MB!$B$48:$S$82,2,FALSE)),"")</f>
        <v/>
      </c>
      <c r="BE41" s="189"/>
      <c r="BF41" s="108" t="str">
        <f>IFERROR(VLOOKUP(BC40,MB!$B$48:$S$82,3,FALSE),"")</f>
        <v/>
      </c>
      <c r="BG41" s="234" t="str">
        <f>IFERROR(VLOOKUP(BC40,MB!$B$48:$S$82,15,FALSE),"")</f>
        <v/>
      </c>
      <c r="BH41" s="235"/>
      <c r="BI41" s="33"/>
      <c r="BJ41" s="248"/>
      <c r="BK41" s="33"/>
      <c r="BL41" s="33"/>
      <c r="BM41" s="33"/>
      <c r="BN41" s="33"/>
      <c r="BO41" s="16"/>
      <c r="BP41" s="16"/>
      <c r="BQ41" s="16"/>
      <c r="BR41" s="16"/>
      <c r="BS41" s="16"/>
      <c r="BT41" s="16"/>
      <c r="BU41" s="42" t="str">
        <f>IFERROR(VLOOKUP(BU40,TAT!$B$48:$S$82,8,FALSE),"")</f>
        <v/>
      </c>
      <c r="BV41" s="233" t="str">
        <f>IFERROR(YEAR(VLOOKUP(BU40,TAT!$B$48:$S$82,2,FALSE)),"")</f>
        <v/>
      </c>
      <c r="BW41" s="189"/>
      <c r="BX41" s="151" t="str">
        <f>IFERROR(VLOOKUP(BU40,TAT!$B$48:$S$82,3,FALSE),"")</f>
        <v/>
      </c>
      <c r="BY41" s="234" t="str">
        <f>IFERROR(VLOOKUP(BU40,TAT!$B$48:$S$82,15,FALSE),"")</f>
        <v/>
      </c>
      <c r="BZ41" s="235"/>
      <c r="CA41" s="33"/>
      <c r="CB41" s="248"/>
      <c r="CC41" s="33"/>
      <c r="CD41" s="33"/>
      <c r="CE41" s="33"/>
      <c r="CF41" s="33"/>
      <c r="CG41" s="16"/>
      <c r="CH41" s="16"/>
      <c r="CI41" s="16"/>
      <c r="CJ41" s="16"/>
      <c r="CK41" s="16"/>
      <c r="CL41" s="16"/>
      <c r="CM41" s="42">
        <f>IFERROR(VLOOKUP(CM40,OTR!$B$48:$S$82,8,FALSE),"")</f>
        <v>1</v>
      </c>
      <c r="CN41" s="233">
        <f>IFERROR(YEAR(VLOOKUP(CM40,OTR!$B$48:$S$82,2,FALSE)),"")</f>
        <v>1998</v>
      </c>
      <c r="CO41" s="189"/>
      <c r="CP41" s="151">
        <f ca="1">IFERROR(VLOOKUP(CM40,OTR!$B$48:$S$82,3,FALSE),"")</f>
        <v>22</v>
      </c>
      <c r="CQ41" s="234" t="str">
        <f>IFERROR(VLOOKUP(CM40,OTR!$B$48:$S$82,15,FALSE),"")</f>
        <v>183/93</v>
      </c>
      <c r="CR41" s="235"/>
      <c r="CS41" s="33"/>
      <c r="CT41" s="248"/>
      <c r="CU41" s="33"/>
      <c r="CV41" s="33"/>
      <c r="CW41" s="33"/>
      <c r="CX41" s="33"/>
      <c r="CY41" s="16"/>
      <c r="CZ41" s="16"/>
      <c r="DA41" s="16"/>
      <c r="DB41" s="16"/>
      <c r="DC41" s="16"/>
      <c r="DD41" s="16"/>
      <c r="DE41" s="42" t="str">
        <f>IFERROR(VLOOKUP(DE40,BOH!$B$48:$S$82,8,FALSE),"")</f>
        <v/>
      </c>
      <c r="DF41" s="233" t="str">
        <f>IFERROR(YEAR(VLOOKUP(DE40,BOH!$B$48:$S$82,2,FALSE)),"")</f>
        <v/>
      </c>
      <c r="DG41" s="189"/>
      <c r="DH41" s="166" t="str">
        <f>IFERROR(VLOOKUP(DE40,BOH!$B$48:$S$82,3,FALSE),"")</f>
        <v/>
      </c>
      <c r="DI41" s="234" t="str">
        <f>IFERROR(VLOOKUP(DE40,BOH!$B$48:$S$82,15,FALSE),"")</f>
        <v/>
      </c>
      <c r="DJ41" s="235"/>
      <c r="DK41" s="33"/>
      <c r="DL41" s="248"/>
      <c r="DM41" s="33"/>
      <c r="DN41" s="33"/>
      <c r="DO41" s="33"/>
      <c r="DP41" s="33"/>
      <c r="DQ41" s="16"/>
      <c r="DR41" s="16"/>
      <c r="DS41" s="16"/>
      <c r="DT41" s="16"/>
      <c r="DU41" s="16"/>
      <c r="DV41" s="16"/>
      <c r="DW41" s="42" t="str">
        <f>IFERROR(VLOOKUP(DW40,SPA!$B$48:$S$82,8,FALSE),"")</f>
        <v/>
      </c>
      <c r="DX41" s="233" t="str">
        <f>IFERROR(YEAR(VLOOKUP(DW40,SPA!$B$48:$S$82,2,FALSE)),"")</f>
        <v/>
      </c>
      <c r="DY41" s="189"/>
      <c r="DZ41" s="166" t="str">
        <f>IFERROR(VLOOKUP(DW40,SPA!$B$48:$S$82,3,FALSE),"")</f>
        <v/>
      </c>
      <c r="EA41" s="234" t="str">
        <f>IFERROR(VLOOKUP(DW40,SPA!$B$48:$S$82,15,FALSE),"")</f>
        <v/>
      </c>
      <c r="EB41" s="235"/>
      <c r="EC41" s="33"/>
      <c r="ED41" s="248"/>
      <c r="EE41" s="33"/>
      <c r="EF41" s="33"/>
      <c r="EG41" s="33"/>
      <c r="EH41" s="33"/>
      <c r="EI41" s="16"/>
      <c r="EJ41" s="16"/>
      <c r="EK41" s="16"/>
      <c r="EL41" s="16"/>
      <c r="EM41" s="16"/>
      <c r="EN41" s="16"/>
    </row>
    <row r="42" spans="1:144" ht="15.6" customHeight="1" thickTop="1" thickBot="1" x14ac:dyDescent="0.3">
      <c r="A42" s="44">
        <f>IFERROR(VLOOKUP(A40,SKV!$B$39:$R$42,4,FALSE),"")</f>
        <v>13</v>
      </c>
      <c r="B42" s="249" t="str">
        <f>IFERROR(VLOOKUP(A40,SKV!$B$39:$S$45,17,FALSE),"")</f>
        <v>3 V, 10 P</v>
      </c>
      <c r="C42" s="249"/>
      <c r="D42" s="240">
        <f>IFERROR(VLOOKUP(A40,SKV!$B$39:$R$42,7,FALSE),"")</f>
        <v>74</v>
      </c>
      <c r="E42" s="241"/>
      <c r="F42" s="45">
        <f>IFERROR(ROUND(VLOOKUP(A40,SKV!$B$39:$R$42,16,FALSE),2),"")</f>
        <v>76.73</v>
      </c>
      <c r="G42" s="33"/>
      <c r="H42" s="248"/>
      <c r="I42" s="33"/>
      <c r="J42" s="193" t="s">
        <v>286</v>
      </c>
      <c r="K42" s="194"/>
      <c r="L42" s="194"/>
      <c r="M42" s="194"/>
      <c r="N42" s="194"/>
      <c r="O42" s="194"/>
      <c r="P42" s="194"/>
      <c r="Q42" s="32" t="str">
        <f>IFERROR(IF(VLOOKUP(J42,SKV!$B$48:$AA$82,10,FALSE)=0,"",VLOOKUP(M42,SKV!$B$48:$AA$82,10,FALSE)),"")</f>
        <v/>
      </c>
      <c r="R42" s="52">
        <f>IFERROR(VLOOKUP(J42,SKV!$B$48:$AA$82,9,FALSE),"")</f>
        <v>89</v>
      </c>
      <c r="S42" s="44">
        <f>IFERROR(VLOOKUP(S40,CHO!$B$39:$R$42,4,FALSE),"")</f>
        <v>5</v>
      </c>
      <c r="T42" s="249" t="str">
        <f>IFERROR(VLOOKUP(S40,CHO!$B$39:$S$45,17,FALSE),"")</f>
        <v>3 V, 2 P</v>
      </c>
      <c r="U42" s="249"/>
      <c r="V42" s="240">
        <f>IFERROR(VLOOKUP(S40,CHO!$B$39:$R$42,7,FALSE),"")</f>
        <v>24</v>
      </c>
      <c r="W42" s="241"/>
      <c r="X42" s="45">
        <f>IFERROR(ROUND(VLOOKUP(S40,CHO!$B$39:$R$42,16,FALSE),2),"")</f>
        <v>82.35</v>
      </c>
      <c r="Y42" s="33"/>
      <c r="Z42" s="248"/>
      <c r="AA42" s="33"/>
      <c r="AB42" s="193" t="s">
        <v>174</v>
      </c>
      <c r="AC42" s="194"/>
      <c r="AD42" s="194"/>
      <c r="AE42" s="194"/>
      <c r="AF42" s="194"/>
      <c r="AG42" s="194"/>
      <c r="AH42" s="194"/>
      <c r="AI42" s="32" t="str">
        <f>IFERROR(IF(VLOOKUP(AB42,CHO!$B$48:$AA$82,10,FALSE)=0,"",VLOOKUP(AB42,CHO!$B$48:$AA$82,10,FALSE)),"")</f>
        <v/>
      </c>
      <c r="AJ42" s="52">
        <f>IFERROR(VLOOKUP(AB42,CHO!$B$48:$AA$82,9,FALSE),"")</f>
        <v>99</v>
      </c>
      <c r="AK42" s="44" t="str">
        <f>IFERROR(VLOOKUP(AK40,VIT!$B$39:$R$44,4,FALSE),"")</f>
        <v/>
      </c>
      <c r="AL42" s="249" t="str">
        <f>IFERROR(VLOOKUP(AK40,VIT!$B$39:$S$45,17,FALSE),"")</f>
        <v/>
      </c>
      <c r="AM42" s="249"/>
      <c r="AN42" s="240" t="str">
        <f>IFERROR(VLOOKUP(AK40,VIT!$B$39:$R$44,7,FALSE),"")</f>
        <v/>
      </c>
      <c r="AO42" s="241"/>
      <c r="AP42" s="45" t="str">
        <f>IFERROR(ROUND(VLOOKUP(AK40,VIT!$B$39:$R$44,16,FALSE),2),"")</f>
        <v/>
      </c>
      <c r="AQ42" s="33"/>
      <c r="AR42" s="248"/>
      <c r="AS42" s="33"/>
      <c r="AT42" s="193"/>
      <c r="AU42" s="194"/>
      <c r="AV42" s="194"/>
      <c r="AW42" s="194"/>
      <c r="AX42" s="194"/>
      <c r="AY42" s="194"/>
      <c r="AZ42" s="194"/>
      <c r="BA42" s="32" t="str">
        <f>IFERROR(IF(VLOOKUP(AT42,VIT!$B$48:$R$82,10,FALSE)=0,"",VLOOKUP(AT42,VIT!$B$48:$R$82,10,FALSE)),"")</f>
        <v/>
      </c>
      <c r="BB42" s="52" t="str">
        <f>IFERROR(VLOOKUP(AT42,VIT!$B$48:$R$82,9,FALSE),"")</f>
        <v/>
      </c>
      <c r="BC42" s="44" t="str">
        <f>IFERROR(VLOOKUP(BC40,MB!$B$39:$R$44,4,FALSE),"")</f>
        <v/>
      </c>
      <c r="BD42" s="249" t="str">
        <f>IFERROR(VLOOKUP(BC40,MB!$B$39:$S$45,17,FALSE),"")</f>
        <v/>
      </c>
      <c r="BE42" s="249"/>
      <c r="BF42" s="240" t="str">
        <f>IFERROR(VLOOKUP(BC40,MB!$B$39:$R$44,7,FALSE),"")</f>
        <v/>
      </c>
      <c r="BG42" s="241"/>
      <c r="BH42" s="45" t="str">
        <f>IFERROR(ROUND(VLOOKUP(BC40,MB!$B$39:$R$44,16,FALSE),2),"")</f>
        <v/>
      </c>
      <c r="BI42" s="33"/>
      <c r="BJ42" s="248"/>
      <c r="BK42" s="33"/>
      <c r="BL42" s="193"/>
      <c r="BM42" s="194"/>
      <c r="BN42" s="194"/>
      <c r="BO42" s="194"/>
      <c r="BP42" s="194"/>
      <c r="BQ42" s="194"/>
      <c r="BR42" s="194"/>
      <c r="BS42" s="32" t="str">
        <f>IFERROR(IF(VLOOKUP(BL42,MB!$B$48:$R$82,10,FALSE)=0,"",VLOOKUP(BL42,MB!$B$48:$R$82,10,FALSE)),"")</f>
        <v/>
      </c>
      <c r="BT42" s="52" t="str">
        <f>IFERROR(VLOOKUP(BL42,MB!$B$48:$R$82,9,FALSE),"")</f>
        <v/>
      </c>
      <c r="BU42" s="44" t="str">
        <f>IFERROR(VLOOKUP(BU40,TAT!$B$39:$R$44,4,FALSE),"")</f>
        <v/>
      </c>
      <c r="BV42" s="249" t="str">
        <f>IFERROR(VLOOKUP(BU40,TAT!$B$39:$S$45,17,FALSE),"")</f>
        <v/>
      </c>
      <c r="BW42" s="249"/>
      <c r="BX42" s="240" t="str">
        <f>IFERROR(VLOOKUP(BU40,TAT!$B$39:$R$44,7,FALSE),"")</f>
        <v/>
      </c>
      <c r="BY42" s="241"/>
      <c r="BZ42" s="45" t="str">
        <f>IFERROR(ROUND(VLOOKUP(BU40,TAT!$B$39:$R$44,16,FALSE),2),"")</f>
        <v/>
      </c>
      <c r="CA42" s="33"/>
      <c r="CB42" s="248"/>
      <c r="CC42" s="33"/>
      <c r="CD42" s="193"/>
      <c r="CE42" s="194"/>
      <c r="CF42" s="194"/>
      <c r="CG42" s="194"/>
      <c r="CH42" s="194"/>
      <c r="CI42" s="194"/>
      <c r="CJ42" s="194"/>
      <c r="CK42" s="32" t="str">
        <f>IFERROR(IF(VLOOKUP(CD42,TAT!$B$48:$R$82,10,FALSE)=0,"",VLOOKUP(CD42,TAT!$B$48:$R$82,10,FALSE)),"")</f>
        <v/>
      </c>
      <c r="CL42" s="52" t="str">
        <f>IFERROR(VLOOKUP(CD42,TAT!$B$48:$R$82,9,FALSE),"")</f>
        <v/>
      </c>
      <c r="CM42" s="44">
        <f>IFERROR(VLOOKUP(CM40,OTR!$B$39:$R$44,4,FALSE),"")</f>
        <v>2</v>
      </c>
      <c r="CN42" s="249" t="str">
        <f>IFERROR(VLOOKUP(CM40,OTR!$B$39:$S$45,17,FALSE),"")</f>
        <v>0 V, 2 P</v>
      </c>
      <c r="CO42" s="249"/>
      <c r="CP42" s="240">
        <f>IFERROR(VLOOKUP(CM40,OTR!$B$39:$R$44,7,FALSE),"")</f>
        <v>13</v>
      </c>
      <c r="CQ42" s="241"/>
      <c r="CR42" s="45">
        <f>IFERROR(ROUND(VLOOKUP(CM40,OTR!$B$39:$R$44,16,FALSE),2),"")</f>
        <v>63.89</v>
      </c>
      <c r="CS42" s="33"/>
      <c r="CT42" s="248"/>
      <c r="CU42" s="33"/>
      <c r="CV42" s="193" t="s">
        <v>483</v>
      </c>
      <c r="CW42" s="194"/>
      <c r="CX42" s="194"/>
      <c r="CY42" s="194"/>
      <c r="CZ42" s="194"/>
      <c r="DA42" s="194"/>
      <c r="DB42" s="194"/>
      <c r="DC42" s="32" t="str">
        <f>IFERROR(IF(VLOOKUP(CV42,OTR!$B$48:$R$82,10,FALSE)=0,"",VLOOKUP(CV42,OTR!$B$48:$R$82,10,FALSE)),"")</f>
        <v/>
      </c>
      <c r="DD42" s="52">
        <f>IFERROR(VLOOKUP(CV42,OTR!$B$48:$R$82,9,FALSE),"")</f>
        <v>99</v>
      </c>
      <c r="DE42" s="44" t="str">
        <f>IFERROR(VLOOKUP(DE40,BOH!$B$39:$R$44,4,FALSE),"")</f>
        <v/>
      </c>
      <c r="DF42" s="249" t="str">
        <f>IFERROR(VLOOKUP(DE40,BOH!$B$39:$S$45,17,FALSE),"")</f>
        <v/>
      </c>
      <c r="DG42" s="249"/>
      <c r="DH42" s="240" t="str">
        <f>IFERROR(VLOOKUP(DE40,BOH!$B$39:$R$44,7,FALSE),"")</f>
        <v/>
      </c>
      <c r="DI42" s="241"/>
      <c r="DJ42" s="45" t="str">
        <f>IFERROR(ROUND(VLOOKUP(DE40,BOH!$B$39:$R$44,16,FALSE),2),"")</f>
        <v/>
      </c>
      <c r="DK42" s="33"/>
      <c r="DL42" s="248"/>
      <c r="DM42" s="33"/>
      <c r="DN42" s="193"/>
      <c r="DO42" s="194"/>
      <c r="DP42" s="194"/>
      <c r="DQ42" s="194"/>
      <c r="DR42" s="194"/>
      <c r="DS42" s="194"/>
      <c r="DT42" s="194"/>
      <c r="DU42" s="32" t="str">
        <f>IFERROR(IF(VLOOKUP(DN42,BOH!$B$48:$R$82,10,FALSE)=0,"",VLOOKUP(DN42,BOH!$B$48:$R$82,10,FALSE)),"")</f>
        <v/>
      </c>
      <c r="DV42" s="52" t="str">
        <f>IFERROR(VLOOKUP(DN42,BOH!$B$48:$R$82,9,FALSE),"")</f>
        <v/>
      </c>
      <c r="DW42" s="44" t="str">
        <f>IFERROR(VLOOKUP(DW40,SPA!$B$39:$R$44,4,FALSE),"")</f>
        <v/>
      </c>
      <c r="DX42" s="249" t="str">
        <f>IFERROR(VLOOKUP(DW40,SPA!$B$39:$S$45,17,FALSE),"")</f>
        <v/>
      </c>
      <c r="DY42" s="249"/>
      <c r="DZ42" s="240" t="str">
        <f>IFERROR(VLOOKUP(DW40,SPA!$B$39:$R$44,7,FALSE),"")</f>
        <v/>
      </c>
      <c r="EA42" s="241"/>
      <c r="EB42" s="45" t="str">
        <f>IFERROR(ROUND(VLOOKUP(DW40,SPA!$B$39:$R$44,16,FALSE),2),"")</f>
        <v/>
      </c>
      <c r="EC42" s="33"/>
      <c r="ED42" s="248"/>
      <c r="EE42" s="33"/>
      <c r="EF42" s="193"/>
      <c r="EG42" s="194"/>
      <c r="EH42" s="194"/>
      <c r="EI42" s="194"/>
      <c r="EJ42" s="194"/>
      <c r="EK42" s="194"/>
      <c r="EL42" s="194"/>
      <c r="EM42" s="32" t="str">
        <f>IFERROR(IF(VLOOKUP(EF42,SPA!$B$48:$R$82,10,FALSE)=0,"",VLOOKUP(EF42,SPA!$B$48:$R$82,10,FALSE)),"")</f>
        <v/>
      </c>
      <c r="EN42" s="52" t="str">
        <f>IFERROR(VLOOKUP(EF42,SPA!$B$48:$R$82,9,FALSE),"")</f>
        <v/>
      </c>
    </row>
    <row r="43" spans="1:144" ht="15.6" customHeight="1" thickBot="1" x14ac:dyDescent="0.3">
      <c r="A43" s="242">
        <f>IFERROR(ROUND(VLOOKUP(A40,SKV!$B$39:$R$42,5,FALSE),2),"")</f>
        <v>775.13</v>
      </c>
      <c r="B43" s="243"/>
      <c r="C43" s="244">
        <f>IFERROR(VLOOKUP(A40,SKV!$B$39:$R$42,15,FALSE),"")</f>
        <v>5.7280714202778888</v>
      </c>
      <c r="D43" s="245"/>
      <c r="E43" s="246" t="str">
        <f>IFERROR(VLOOKUP(A40,SKV!$B$48:$AA$82,18,FALSE),"")</f>
        <v>33 OZ, 2 A</v>
      </c>
      <c r="F43" s="247"/>
      <c r="G43" s="33"/>
      <c r="H43" s="248"/>
      <c r="I43" s="33"/>
      <c r="J43" s="34" t="str">
        <f>IFERROR(VLOOKUP(J42,SKV!$B$48:$AA$82,11,FALSE),"")</f>
        <v>L</v>
      </c>
      <c r="K43" s="189">
        <f>IFERROR(YEAR(VLOOKUP(J42,SKV!$B$48:$AA$82,2,FALSE)),"")</f>
        <v>2003</v>
      </c>
      <c r="L43" s="190"/>
      <c r="M43" s="43">
        <f ca="1">IFERROR(VLOOKUP(J42,SKV!$B$48:$AA$82,3,FALSE),"")</f>
        <v>17</v>
      </c>
      <c r="N43" s="190" t="str">
        <f>IFERROR(VLOOKUP(J42,SKV!$B$48:$AA$82,15,FALSE),"")</f>
        <v>185/71</v>
      </c>
      <c r="O43" s="190"/>
      <c r="P43" s="190" t="str">
        <f>IFERROR(VLOOKUP(J42,SKV!$B$2:$O$36,14,FALSE),"")</f>
        <v>12 OZ , 3 (2+1), -1 ±</v>
      </c>
      <c r="Q43" s="190"/>
      <c r="R43" s="195"/>
      <c r="S43" s="242">
        <f>IFERROR(ROUND(VLOOKUP(S40,CHO!$B$39:$R$42,5,FALSE),2),"")</f>
        <v>296.58</v>
      </c>
      <c r="T43" s="243"/>
      <c r="U43" s="244">
        <f>IFERROR(VLOOKUP(S40,CHO!$B$39:$R$42,15,FALSE),"")</f>
        <v>4.8553510014161443</v>
      </c>
      <c r="V43" s="245"/>
      <c r="W43" s="246" t="str">
        <f>IFERROR(VLOOKUP(S40,CHO!$B$48:$S$82,18,FALSE),"")</f>
        <v>5 OZ, 0 A</v>
      </c>
      <c r="X43" s="247"/>
      <c r="Y43" s="33"/>
      <c r="Z43" s="248"/>
      <c r="AA43" s="33"/>
      <c r="AB43" s="34" t="str">
        <f>IFERROR(VLOOKUP(AB42,CHO!$B$48:$AA$82,11,FALSE),"")</f>
        <v>L</v>
      </c>
      <c r="AC43" s="189">
        <f>IFERROR(YEAR(VLOOKUP(AB42,CHO!$B$48:$AA$82,2,FALSE)),"")</f>
        <v>2000</v>
      </c>
      <c r="AD43" s="190"/>
      <c r="AE43" s="43">
        <f ca="1">IFERROR(VLOOKUP(AB42,CHO!$B$48:$AA$82,3,FALSE),"")</f>
        <v>20</v>
      </c>
      <c r="AF43" s="190" t="str">
        <f>IFERROR(VLOOKUP(AB42,CHO!$B$48:$AA$82,15,FALSE),"")</f>
        <v>182/75</v>
      </c>
      <c r="AG43" s="190"/>
      <c r="AH43" s="190" t="str">
        <f>IFERROR(VLOOKUP(AB42,CHO!$B$2:$O$36,14,FALSE),"")</f>
        <v>16 OZ , 4 (2+2), -2 ±</v>
      </c>
      <c r="AI43" s="190"/>
      <c r="AJ43" s="195"/>
      <c r="AK43" s="242" t="str">
        <f>IFERROR(ROUND(VLOOKUP(AK40,VIT!$B$39:$R$44,5,FALSE),2),"")</f>
        <v/>
      </c>
      <c r="AL43" s="243"/>
      <c r="AM43" s="244" t="str">
        <f>IFERROR(VLOOKUP(AK40,VIT!$B$39:$R$44,15,FALSE),"")</f>
        <v/>
      </c>
      <c r="AN43" s="245"/>
      <c r="AO43" s="246" t="str">
        <f>IFERROR(VLOOKUP(AK40,VIT!$B$48:$S$82,18,FALSE),"")</f>
        <v/>
      </c>
      <c r="AP43" s="247"/>
      <c r="AQ43" s="33"/>
      <c r="AR43" s="248"/>
      <c r="AS43" s="33"/>
      <c r="AT43" s="34" t="str">
        <f>IFERROR(VLOOKUP(AT42,VIT!$B$48:$R$82,11,FALSE),"")</f>
        <v/>
      </c>
      <c r="AU43" s="189" t="str">
        <f>IFERROR(YEAR(VLOOKUP(AT42,VIT!$B$48:$R$82,2,FALSE)),"")</f>
        <v/>
      </c>
      <c r="AV43" s="190"/>
      <c r="AW43" s="105" t="str">
        <f>IFERROR(VLOOKUP(AT42,VIT!$B$48:$R$82,3,FALSE),"")</f>
        <v/>
      </c>
      <c r="AX43" s="190" t="str">
        <f>IFERROR(VLOOKUP(AT42,VIT!$B$48:$R$82,15,FALSE),"")</f>
        <v/>
      </c>
      <c r="AY43" s="190"/>
      <c r="AZ43" s="190" t="str">
        <f>IFERROR(VLOOKUP(AT42,VIT!$B$2:$O$36,14,FALSE),"")</f>
        <v/>
      </c>
      <c r="BA43" s="190"/>
      <c r="BB43" s="195"/>
      <c r="BC43" s="242" t="str">
        <f>IFERROR(ROUND(VLOOKUP(BC40,MB!$B$39:$R$44,5,FALSE),2),"")</f>
        <v/>
      </c>
      <c r="BD43" s="243"/>
      <c r="BE43" s="244" t="str">
        <f>IFERROR(VLOOKUP(BC40,MB!$B$39:$R$44,15,FALSE),"")</f>
        <v/>
      </c>
      <c r="BF43" s="245"/>
      <c r="BG43" s="246" t="str">
        <f>IFERROR(VLOOKUP(BC40,MB!$B$48:$S$82,18,FALSE),"")</f>
        <v/>
      </c>
      <c r="BH43" s="247"/>
      <c r="BI43" s="33"/>
      <c r="BJ43" s="248"/>
      <c r="BK43" s="33"/>
      <c r="BL43" s="34" t="str">
        <f>IFERROR(VLOOKUP(BL42,MB!$B$48:$R$82,11,FALSE),"")</f>
        <v/>
      </c>
      <c r="BM43" s="189" t="str">
        <f>IFERROR(YEAR(VLOOKUP(BL42,MB!$B$48:$R$82,2,FALSE)),"")</f>
        <v/>
      </c>
      <c r="BN43" s="190"/>
      <c r="BO43" s="107" t="str">
        <f>IFERROR(VLOOKUP(BL42,MB!$B$48:$R$82,3,FALSE),"")</f>
        <v/>
      </c>
      <c r="BP43" s="190" t="str">
        <f>IFERROR(VLOOKUP(BL42,MB!$B$48:$R$82,15,FALSE),"")</f>
        <v/>
      </c>
      <c r="BQ43" s="190"/>
      <c r="BR43" s="190" t="str">
        <f>IFERROR(VLOOKUP(BL42,MB!$B$2:$O$36,14,FALSE),"")</f>
        <v/>
      </c>
      <c r="BS43" s="190"/>
      <c r="BT43" s="195"/>
      <c r="BU43" s="242" t="str">
        <f>IFERROR(ROUND(VLOOKUP(BU40,TAT!$B$39:$R$44,5,FALSE),2),"")</f>
        <v/>
      </c>
      <c r="BV43" s="243"/>
      <c r="BW43" s="244" t="str">
        <f>IFERROR(VLOOKUP(BU40,TAT!$B$39:$R$44,15,FALSE),"")</f>
        <v/>
      </c>
      <c r="BX43" s="245"/>
      <c r="BY43" s="246" t="str">
        <f>IFERROR(VLOOKUP(BU40,TAT!$B$48:$S$82,18,FALSE),"")</f>
        <v/>
      </c>
      <c r="BZ43" s="247"/>
      <c r="CA43" s="33"/>
      <c r="CB43" s="248"/>
      <c r="CC43" s="33"/>
      <c r="CD43" s="34" t="str">
        <f>IFERROR(VLOOKUP(CD42,TAT!$B$48:$R$82,11,FALSE),"")</f>
        <v/>
      </c>
      <c r="CE43" s="189" t="str">
        <f>IFERROR(YEAR(VLOOKUP(CD42,TAT!$B$48:$R$82,2,FALSE)),"")</f>
        <v/>
      </c>
      <c r="CF43" s="190"/>
      <c r="CG43" s="150" t="str">
        <f>IFERROR(VLOOKUP(CD42,TAT!$B$48:$R$82,3,FALSE),"")</f>
        <v/>
      </c>
      <c r="CH43" s="190" t="str">
        <f>IFERROR(VLOOKUP(CD42,TAT!$B$48:$R$82,15,FALSE),"")</f>
        <v/>
      </c>
      <c r="CI43" s="190"/>
      <c r="CJ43" s="190" t="str">
        <f>IFERROR(VLOOKUP(CD42,TAT!$B$2:$O$36,14,FALSE),"")</f>
        <v/>
      </c>
      <c r="CK43" s="190"/>
      <c r="CL43" s="195"/>
      <c r="CM43" s="242">
        <f>IFERROR(ROUND(VLOOKUP(CM40,OTR!$B$39:$R$44,5,FALSE),2),"")</f>
        <v>80</v>
      </c>
      <c r="CN43" s="243"/>
      <c r="CO43" s="244">
        <f>IFERROR(VLOOKUP(CM40,OTR!$B$39:$R$44,15,FALSE),"")</f>
        <v>9.75</v>
      </c>
      <c r="CP43" s="245"/>
      <c r="CQ43" s="246" t="str">
        <f>IFERROR(VLOOKUP(CM40,OTR!$B$48:$S$82,18,FALSE),"")</f>
        <v>2 OZ, 0 A</v>
      </c>
      <c r="CR43" s="247"/>
      <c r="CS43" s="33"/>
      <c r="CT43" s="248"/>
      <c r="CU43" s="33"/>
      <c r="CV43" s="34" t="str">
        <f>IFERROR(VLOOKUP(CV42,OTR!$B$48:$R$82,11,FALSE),"")</f>
        <v>L</v>
      </c>
      <c r="CW43" s="189">
        <f>IFERROR(YEAR(VLOOKUP(CV42,OTR!$B$48:$R$82,2,FALSE)),"")</f>
        <v>1995</v>
      </c>
      <c r="CX43" s="190"/>
      <c r="CY43" s="150">
        <f ca="1">IFERROR(VLOOKUP(CV42,OTR!$B$48:$R$82,3,FALSE),"")</f>
        <v>25</v>
      </c>
      <c r="CZ43" s="190" t="str">
        <f>IFERROR(VLOOKUP(CV42,OTR!$B$48:$R$82,15,FALSE),"")</f>
        <v>179/77</v>
      </c>
      <c r="DA43" s="190"/>
      <c r="DB43" s="190" t="str">
        <f>IFERROR(VLOOKUP(CV42,OTR!$B$2:$O$36,14,FALSE),"")</f>
        <v>14 OZ , 9 (8+1), -9 ±</v>
      </c>
      <c r="DC43" s="190"/>
      <c r="DD43" s="195"/>
      <c r="DE43" s="242" t="str">
        <f>IFERROR(ROUND(VLOOKUP(DE40,BOH!$B$39:$R$44,5,FALSE),2),"")</f>
        <v/>
      </c>
      <c r="DF43" s="243"/>
      <c r="DG43" s="244" t="str">
        <f>IFERROR(VLOOKUP(DE40,BOH!$B$39:$R$44,15,FALSE),"")</f>
        <v/>
      </c>
      <c r="DH43" s="245"/>
      <c r="DI43" s="246" t="str">
        <f>IFERROR(VLOOKUP(DE40,BOH!$B$48:$S$82,18,FALSE),"")</f>
        <v/>
      </c>
      <c r="DJ43" s="247"/>
      <c r="DK43" s="33"/>
      <c r="DL43" s="248"/>
      <c r="DM43" s="33"/>
      <c r="DN43" s="34" t="str">
        <f>IFERROR(VLOOKUP(DN42,BOH!$B$48:$R$82,11,FALSE),"")</f>
        <v/>
      </c>
      <c r="DO43" s="189" t="str">
        <f>IFERROR(YEAR(VLOOKUP(DN42,BOH!$B$48:$R$82,2,FALSE)),"")</f>
        <v/>
      </c>
      <c r="DP43" s="190"/>
      <c r="DQ43" s="165" t="str">
        <f>IFERROR(VLOOKUP(DN42,BOH!$B$48:$R$82,3,FALSE),"")</f>
        <v/>
      </c>
      <c r="DR43" s="190" t="str">
        <f>IFERROR(VLOOKUP(DN42,BOH!$B$48:$R$82,15,FALSE),"")</f>
        <v/>
      </c>
      <c r="DS43" s="190"/>
      <c r="DT43" s="190" t="str">
        <f>IFERROR(VLOOKUP(DN42,BOH!$B$2:$O$36,14,FALSE),"")</f>
        <v/>
      </c>
      <c r="DU43" s="190"/>
      <c r="DV43" s="195"/>
      <c r="DW43" s="242" t="str">
        <f>IFERROR(ROUND(VLOOKUP(DW40,SPA!$B$39:$R$44,5,FALSE),2),"")</f>
        <v/>
      </c>
      <c r="DX43" s="243"/>
      <c r="DY43" s="244" t="str">
        <f>IFERROR(VLOOKUP(DW40,SPA!$B$39:$R$44,15,FALSE),"")</f>
        <v/>
      </c>
      <c r="DZ43" s="245"/>
      <c r="EA43" s="246" t="str">
        <f>IFERROR(VLOOKUP(DW40,SPA!$B$48:$S$82,18,FALSE),"")</f>
        <v/>
      </c>
      <c r="EB43" s="247"/>
      <c r="EC43" s="33"/>
      <c r="ED43" s="248"/>
      <c r="EE43" s="33"/>
      <c r="EF43" s="34" t="str">
        <f>IFERROR(VLOOKUP(EF42,SPA!$B$48:$R$82,11,FALSE),"")</f>
        <v/>
      </c>
      <c r="EG43" s="189" t="str">
        <f>IFERROR(YEAR(VLOOKUP(EF42,SPA!$B$48:$R$82,2,FALSE)),"")</f>
        <v/>
      </c>
      <c r="EH43" s="190"/>
      <c r="EI43" s="165" t="str">
        <f>IFERROR(VLOOKUP(EF42,SPA!$B$48:$R$82,3,FALSE),"")</f>
        <v/>
      </c>
      <c r="EJ43" s="190" t="str">
        <f>IFERROR(VLOOKUP(EF42,SPA!$B$48:$R$82,15,FALSE),"")</f>
        <v/>
      </c>
      <c r="EK43" s="190"/>
      <c r="EL43" s="190" t="str">
        <f>IFERROR(VLOOKUP(EF42,SPA!$B$2:$O$36,14,FALSE),"")</f>
        <v/>
      </c>
      <c r="EM43" s="190"/>
      <c r="EN43" s="195"/>
    </row>
    <row r="44" spans="1:144" ht="15.6" customHeight="1" thickBot="1" x14ac:dyDescent="0.3">
      <c r="A44" s="228" t="str">
        <f>IFERROR(VLOOKUP(A40,SKV!$B$48:$AA$82,16,FALSE),"")</f>
        <v>Chodov</v>
      </c>
      <c r="B44" s="229"/>
      <c r="C44" s="230"/>
      <c r="D44" s="231">
        <f>IFERROR(VLOOKUP(A40,SKV!$B$48:$AA$82,17,FALSE),"")</f>
        <v>2008</v>
      </c>
      <c r="E44" s="232"/>
      <c r="F44" s="46">
        <f>IFERROR(VLOOKUP(A40,SKV!$B$39:$R$42,8,FALSE),"")</f>
        <v>1</v>
      </c>
      <c r="G44" s="33"/>
      <c r="H44" s="248"/>
      <c r="I44" s="33"/>
      <c r="J44" s="125">
        <f>IFERROR(VLOOKUP(J42,SKV!$B$48:$AA$82,8,FALSE),"")</f>
        <v>1</v>
      </c>
      <c r="K44" s="191" t="str">
        <f>IFERROR(VLOOKUP(J42,SKV!$B$48:$AA$82,14,FALSE),"")</f>
        <v>12 OZ, 3 (2+1)</v>
      </c>
      <c r="L44" s="191"/>
      <c r="M44" s="191"/>
      <c r="N44" s="239" t="str">
        <f>IFERROR(VLOOKUP(J42,SKV!$B$48:$AA$82,16,FALSE),"")</f>
        <v>SK Florbal Benešov</v>
      </c>
      <c r="O44" s="239"/>
      <c r="P44" s="239"/>
      <c r="Q44" s="191">
        <f>IFERROR(VLOOKUP(J42,SKV!$B$48:$AA$82,17,FALSE),"")</f>
        <v>2009</v>
      </c>
      <c r="R44" s="192"/>
      <c r="S44" s="228" t="str">
        <f>IFERROR(VLOOKUP(S40,CHO!$B$48:$AA$82,16,FALSE),"")</f>
        <v>Florbal Benešov</v>
      </c>
      <c r="T44" s="229"/>
      <c r="U44" s="230"/>
      <c r="V44" s="231">
        <f>IFERROR(VLOOKUP(S40,CHO!$B$48:$AA$82,17,FALSE),"")</f>
        <v>2009</v>
      </c>
      <c r="W44" s="232"/>
      <c r="X44" s="46">
        <f>IFERROR(VLOOKUP(S40,CHO!$B$39:$R$42,8,FALSE),"")</f>
        <v>0</v>
      </c>
      <c r="Y44" s="33"/>
      <c r="Z44" s="248"/>
      <c r="AA44" s="33"/>
      <c r="AB44" s="125">
        <f>IFERROR(VLOOKUP(AB42,CHO!$B$48:$AA$82,8,FALSE),"")</f>
        <v>4</v>
      </c>
      <c r="AC44" s="191" t="str">
        <f>IFERROR(VLOOKUP(AB42,CHO!$B$48:$AA$82,14,FALSE),"")</f>
        <v>82 OZ, 6 (4+2)</v>
      </c>
      <c r="AD44" s="191"/>
      <c r="AE44" s="191"/>
      <c r="AF44" s="239" t="str">
        <f>IFERROR(VLOOKUP(AB42,CHO!$B$48:$AA$82,16,FALSE),"")</f>
        <v>FBK Vosy Praha</v>
      </c>
      <c r="AG44" s="239"/>
      <c r="AH44" s="239"/>
      <c r="AI44" s="191">
        <f>IFERROR(VLOOKUP(AB42,CHO!$B$48:$AA$82,17,FALSE),"")</f>
        <v>2007</v>
      </c>
      <c r="AJ44" s="192"/>
      <c r="AK44" s="228" t="str">
        <f>IFERROR(VLOOKUP(AK40,VIT!$B$48:$R$82,16,FALSE),"")</f>
        <v/>
      </c>
      <c r="AL44" s="229"/>
      <c r="AM44" s="230"/>
      <c r="AN44" s="231" t="str">
        <f>IFERROR(VLOOKUP(AK40,VIT!$B$48:$R$82,17,FALSE),"")</f>
        <v/>
      </c>
      <c r="AO44" s="232"/>
      <c r="AP44" s="46" t="str">
        <f>IFERROR(VLOOKUP(AK40,VIT!$B$39:$R$44,8,FALSE),"")</f>
        <v/>
      </c>
      <c r="AQ44" s="33"/>
      <c r="AR44" s="248"/>
      <c r="AS44" s="33"/>
      <c r="AT44" s="125" t="str">
        <f>IFERROR(VLOOKUP(AT42,VIT!$B$48:$R$82,8,FALSE),"")</f>
        <v/>
      </c>
      <c r="AU44" s="191" t="str">
        <f>IFERROR(VLOOKUP(AT42,VIT!$B$48:$R$82,14,FALSE),"")</f>
        <v/>
      </c>
      <c r="AV44" s="191"/>
      <c r="AW44" s="191"/>
      <c r="AX44" s="239" t="str">
        <f>IFERROR(VLOOKUP(AT42,VIT!$B$48:$R$82,16,FALSE),"")</f>
        <v/>
      </c>
      <c r="AY44" s="239"/>
      <c r="AZ44" s="239"/>
      <c r="BA44" s="191" t="str">
        <f>IFERROR(VLOOKUP(AT42,VIT!$B$48:$R$82,17,FALSE),"")</f>
        <v/>
      </c>
      <c r="BB44" s="192"/>
      <c r="BC44" s="228" t="str">
        <f>IFERROR(VLOOKUP(BC40,MB!$B$48:$R$82,16,FALSE),"")</f>
        <v/>
      </c>
      <c r="BD44" s="229"/>
      <c r="BE44" s="230"/>
      <c r="BF44" s="231" t="str">
        <f>IFERROR(VLOOKUP(BC40,MB!$B$48:$R$82,17,FALSE),"")</f>
        <v/>
      </c>
      <c r="BG44" s="232"/>
      <c r="BH44" s="46" t="str">
        <f>IFERROR(VLOOKUP(BC40,MB!$B$39:$R$44,8,FALSE),"")</f>
        <v/>
      </c>
      <c r="BI44" s="33"/>
      <c r="BJ44" s="248"/>
      <c r="BK44" s="33"/>
      <c r="BL44" s="125" t="str">
        <f>IFERROR(VLOOKUP(BL42,MB!$B$48:$R$82,8,FALSE),"")</f>
        <v/>
      </c>
      <c r="BM44" s="191" t="str">
        <f>IFERROR(VLOOKUP(BL42,MB!$B$48:$R$82,14,FALSE),"")</f>
        <v/>
      </c>
      <c r="BN44" s="191"/>
      <c r="BO44" s="191"/>
      <c r="BP44" s="239" t="str">
        <f>IFERROR(VLOOKUP(BL42,MB!$B$48:$R$82,16,FALSE),"")</f>
        <v/>
      </c>
      <c r="BQ44" s="239"/>
      <c r="BR44" s="239"/>
      <c r="BS44" s="191" t="str">
        <f>IFERROR(VLOOKUP(BL42,MB!$B$48:$R$82,17,FALSE),"")</f>
        <v/>
      </c>
      <c r="BT44" s="192"/>
      <c r="BU44" s="228" t="str">
        <f>IFERROR(VLOOKUP(BU40,TAT!$B$48:$R$82,16,FALSE),"")</f>
        <v/>
      </c>
      <c r="BV44" s="229"/>
      <c r="BW44" s="230"/>
      <c r="BX44" s="231" t="str">
        <f>IFERROR(VLOOKUP(BU40,TAT!$B$48:$R$82,17,FALSE),"")</f>
        <v/>
      </c>
      <c r="BY44" s="232"/>
      <c r="BZ44" s="46" t="str">
        <f>IFERROR(VLOOKUP(BU40,TAT!$B$39:$R$44,8,FALSE),"")</f>
        <v/>
      </c>
      <c r="CA44" s="33"/>
      <c r="CB44" s="248"/>
      <c r="CC44" s="33"/>
      <c r="CD44" s="125" t="str">
        <f>IFERROR(VLOOKUP(CD42,TAT!$B$48:$R$82,8,FALSE),"")</f>
        <v/>
      </c>
      <c r="CE44" s="191" t="str">
        <f>IFERROR(VLOOKUP(CD42,TAT!$B$48:$R$82,14,FALSE),"")</f>
        <v/>
      </c>
      <c r="CF44" s="191"/>
      <c r="CG44" s="191"/>
      <c r="CH44" s="239" t="str">
        <f>IFERROR(VLOOKUP(CD42,TAT!$B$48:$R$82,16,FALSE),"")</f>
        <v/>
      </c>
      <c r="CI44" s="239"/>
      <c r="CJ44" s="239"/>
      <c r="CK44" s="191" t="str">
        <f>IFERROR(VLOOKUP(CD42,TAT!$B$48:$R$82,17,FALSE),"")</f>
        <v/>
      </c>
      <c r="CL44" s="192"/>
      <c r="CM44" s="228" t="str">
        <f>IFERROR(VLOOKUP(CM40,OTR!$B$48:$R$82,16,FALSE),"")</f>
        <v>Přerov</v>
      </c>
      <c r="CN44" s="229"/>
      <c r="CO44" s="230"/>
      <c r="CP44" s="231">
        <f>IFERROR(VLOOKUP(CM40,OTR!$B$48:$R$82,17,FALSE),"")</f>
        <v>2002</v>
      </c>
      <c r="CQ44" s="232"/>
      <c r="CR44" s="46">
        <f>IFERROR(VLOOKUP(CM40,OTR!$B$39:$R$44,8,FALSE),"")</f>
        <v>0</v>
      </c>
      <c r="CS44" s="33"/>
      <c r="CT44" s="248"/>
      <c r="CU44" s="33"/>
      <c r="CV44" s="125">
        <f>IFERROR(VLOOKUP(CV42,OTR!$B$48:$R$82,8,FALSE),"")</f>
        <v>4</v>
      </c>
      <c r="CW44" s="191" t="str">
        <f>IFERROR(VLOOKUP(CV42,OTR!$B$48:$R$82,14,FALSE),"")</f>
        <v>53 OZ, 28 (17+11)</v>
      </c>
      <c r="CX44" s="191"/>
      <c r="CY44" s="191"/>
      <c r="CZ44" s="239" t="str">
        <f>IFERROR(VLOOKUP(CV42,OTR!$B$48:$R$82,16,FALSE),"")</f>
        <v>FBC Predátor Sabinov</v>
      </c>
      <c r="DA44" s="239"/>
      <c r="DB44" s="239"/>
      <c r="DC44" s="191">
        <f>IFERROR(VLOOKUP(CV42,OTR!$B$48:$R$82,17,FALSE),"")</f>
        <v>2007</v>
      </c>
      <c r="DD44" s="192"/>
      <c r="DE44" s="228" t="str">
        <f>IFERROR(VLOOKUP(DE40,BOH!$B$48:$R$82,16,FALSE),"")</f>
        <v/>
      </c>
      <c r="DF44" s="229"/>
      <c r="DG44" s="230"/>
      <c r="DH44" s="231" t="str">
        <f>IFERROR(VLOOKUP(DE40,BOH!$B$48:$R$82,17,FALSE),"")</f>
        <v/>
      </c>
      <c r="DI44" s="232"/>
      <c r="DJ44" s="46" t="str">
        <f>IFERROR(VLOOKUP(DE40,BOH!$B$39:$R$44,8,FALSE),"")</f>
        <v/>
      </c>
      <c r="DK44" s="33"/>
      <c r="DL44" s="248"/>
      <c r="DM44" s="33"/>
      <c r="DN44" s="125" t="str">
        <f>IFERROR(VLOOKUP(DN42,BOH!$B$48:$R$82,8,FALSE),"")</f>
        <v/>
      </c>
      <c r="DO44" s="191" t="str">
        <f>IFERROR(VLOOKUP(DN42,BOH!$B$48:$R$82,14,FALSE),"")</f>
        <v/>
      </c>
      <c r="DP44" s="191"/>
      <c r="DQ44" s="191"/>
      <c r="DR44" s="239" t="str">
        <f>IFERROR(VLOOKUP(DN42,BOH!$B$48:$R$82,16,FALSE),"")</f>
        <v/>
      </c>
      <c r="DS44" s="239"/>
      <c r="DT44" s="239"/>
      <c r="DU44" s="191" t="str">
        <f>IFERROR(VLOOKUP(DN42,BOH!$B$48:$R$82,17,FALSE),"")</f>
        <v/>
      </c>
      <c r="DV44" s="192"/>
      <c r="DW44" s="228" t="str">
        <f>IFERROR(VLOOKUP(DW40,SPA!$B$48:$R$82,16,FALSE),"")</f>
        <v/>
      </c>
      <c r="DX44" s="229"/>
      <c r="DY44" s="230"/>
      <c r="DZ44" s="231" t="str">
        <f>IFERROR(VLOOKUP(DW40,SPA!$B$48:$R$82,17,FALSE),"")</f>
        <v/>
      </c>
      <c r="EA44" s="232"/>
      <c r="EB44" s="46" t="str">
        <f>IFERROR(VLOOKUP(DW40,SPA!$B$39:$R$44,8,FALSE),"")</f>
        <v/>
      </c>
      <c r="EC44" s="33"/>
      <c r="ED44" s="248"/>
      <c r="EE44" s="33"/>
      <c r="EF44" s="125" t="str">
        <f>IFERROR(VLOOKUP(EF42,SPA!$B$48:$R$82,8,FALSE),"")</f>
        <v/>
      </c>
      <c r="EG44" s="191" t="str">
        <f>IFERROR(VLOOKUP(EF42,SPA!$B$48:$R$82,14,FALSE),"")</f>
        <v/>
      </c>
      <c r="EH44" s="191"/>
      <c r="EI44" s="191"/>
      <c r="EJ44" s="239" t="str">
        <f>IFERROR(VLOOKUP(EF42,SPA!$B$48:$R$82,16,FALSE),"")</f>
        <v/>
      </c>
      <c r="EK44" s="239"/>
      <c r="EL44" s="239"/>
      <c r="EM44" s="191" t="str">
        <f>IFERROR(VLOOKUP(EF42,SPA!$B$48:$R$82,17,FALSE),"")</f>
        <v/>
      </c>
      <c r="EN44" s="192"/>
    </row>
    <row r="45" spans="1:144"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row>
    <row r="46" spans="1:144"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row>
    <row r="47" spans="1:144" ht="15.6" customHeight="1" thickTop="1" x14ac:dyDescent="0.25">
      <c r="A47" s="201" t="s">
        <v>96</v>
      </c>
      <c r="B47" s="202"/>
      <c r="C47" s="202"/>
      <c r="D47" s="202"/>
      <c r="E47" s="203" t="str">
        <f>IFERROR(VLOOKUP(A47,SKV!$B$85:$K$92,4,FALSE),"")</f>
        <v>trenér</v>
      </c>
      <c r="F47" s="203"/>
      <c r="G47" s="203"/>
      <c r="H47" s="203"/>
      <c r="I47" s="204"/>
      <c r="J47" s="205" t="s">
        <v>97</v>
      </c>
      <c r="K47" s="202"/>
      <c r="L47" s="202"/>
      <c r="M47" s="202"/>
      <c r="N47" s="203" t="str">
        <f>IFERROR(VLOOKUP(J47,SKV!$B$85:$K$92,4,FALSE),"")</f>
        <v>trenér</v>
      </c>
      <c r="O47" s="203"/>
      <c r="P47" s="203"/>
      <c r="Q47" s="203"/>
      <c r="R47" s="204"/>
      <c r="S47" s="201" t="s">
        <v>188</v>
      </c>
      <c r="T47" s="202"/>
      <c r="U47" s="202"/>
      <c r="V47" s="202"/>
      <c r="W47" s="203" t="str">
        <f>IFERROR(VLOOKUP(S47,CHO!$B$85:$K$92,4,FALSE),"")</f>
        <v>hlavní trenér</v>
      </c>
      <c r="X47" s="203"/>
      <c r="Y47" s="203"/>
      <c r="Z47" s="203"/>
      <c r="AA47" s="204"/>
      <c r="AB47" s="205" t="s">
        <v>194</v>
      </c>
      <c r="AC47" s="202"/>
      <c r="AD47" s="202"/>
      <c r="AE47" s="202"/>
      <c r="AF47" s="203" t="str">
        <f>IFERROR(VLOOKUP(AB47,CHO!$B$85:$K$92,4,FALSE),"")</f>
        <v>asistent trenéra</v>
      </c>
      <c r="AG47" s="203"/>
      <c r="AH47" s="203"/>
      <c r="AI47" s="203"/>
      <c r="AJ47" s="204"/>
      <c r="AK47" s="201" t="s">
        <v>279</v>
      </c>
      <c r="AL47" s="202"/>
      <c r="AM47" s="202"/>
      <c r="AN47" s="202"/>
      <c r="AO47" s="203" t="str">
        <f>IFERROR(VLOOKUP(AK47,VIT!$B$85:$K$92,4,FALSE),"")</f>
        <v>hlavní trenér</v>
      </c>
      <c r="AP47" s="203"/>
      <c r="AQ47" s="203"/>
      <c r="AR47" s="203"/>
      <c r="AS47" s="204"/>
      <c r="AT47" s="205" t="s">
        <v>281</v>
      </c>
      <c r="AU47" s="202"/>
      <c r="AV47" s="202"/>
      <c r="AW47" s="202"/>
      <c r="AX47" s="203" t="str">
        <f>IFERROR(VLOOKUP(AT47,VIT!$B$85:$K$92,4,FALSE),"")</f>
        <v>asistent trenéra</v>
      </c>
      <c r="AY47" s="203"/>
      <c r="AZ47" s="203"/>
      <c r="BA47" s="203"/>
      <c r="BB47" s="204"/>
      <c r="BC47" s="201"/>
      <c r="BD47" s="202"/>
      <c r="BE47" s="202"/>
      <c r="BF47" s="202"/>
      <c r="BG47" s="203" t="str">
        <f>IFERROR(VLOOKUP(BC47,MB!$B$85:$K$92,4,FALSE),"")</f>
        <v/>
      </c>
      <c r="BH47" s="203"/>
      <c r="BI47" s="203"/>
      <c r="BJ47" s="203"/>
      <c r="BK47" s="204"/>
      <c r="BL47" s="205"/>
      <c r="BM47" s="202"/>
      <c r="BN47" s="202"/>
      <c r="BO47" s="202"/>
      <c r="BP47" s="203" t="str">
        <f>IFERROR(VLOOKUP(BL47,MB!$B$85:$K$92,4,FALSE),"")</f>
        <v/>
      </c>
      <c r="BQ47" s="203"/>
      <c r="BR47" s="203"/>
      <c r="BS47" s="203"/>
      <c r="BT47" s="204"/>
      <c r="BU47" s="201"/>
      <c r="BV47" s="202"/>
      <c r="BW47" s="202"/>
      <c r="BX47" s="202"/>
      <c r="BY47" s="203" t="str">
        <f>IFERROR(VLOOKUP(BU47,TAT!$B$85:$K$92,4,FALSE),"")</f>
        <v/>
      </c>
      <c r="BZ47" s="203"/>
      <c r="CA47" s="203"/>
      <c r="CB47" s="203"/>
      <c r="CC47" s="204"/>
      <c r="CD47" s="205"/>
      <c r="CE47" s="202"/>
      <c r="CF47" s="202"/>
      <c r="CG47" s="202"/>
      <c r="CH47" s="203" t="str">
        <f>IFERROR(VLOOKUP(CD47,TAT!$B$85:$K$92,4,FALSE),"")</f>
        <v/>
      </c>
      <c r="CI47" s="203"/>
      <c r="CJ47" s="203"/>
      <c r="CK47" s="203"/>
      <c r="CL47" s="204"/>
      <c r="CM47" s="201" t="s">
        <v>551</v>
      </c>
      <c r="CN47" s="202"/>
      <c r="CO47" s="202"/>
      <c r="CP47" s="202"/>
      <c r="CQ47" s="203" t="str">
        <f>IFERROR(VLOOKUP(CM47,OTR!$B$85:$K$92,4,FALSE),"")</f>
        <v>hlavní trenér</v>
      </c>
      <c r="CR47" s="203"/>
      <c r="CS47" s="203"/>
      <c r="CT47" s="203"/>
      <c r="CU47" s="204"/>
      <c r="CV47" s="205" t="s">
        <v>552</v>
      </c>
      <c r="CW47" s="202"/>
      <c r="CX47" s="202"/>
      <c r="CY47" s="202"/>
      <c r="CZ47" s="203" t="str">
        <f>IFERROR(VLOOKUP(CV47,OTR!$B$85:$K$92,4,FALSE),"")</f>
        <v>asistent trenéra</v>
      </c>
      <c r="DA47" s="203"/>
      <c r="DB47" s="203"/>
      <c r="DC47" s="203"/>
      <c r="DD47" s="204"/>
      <c r="DE47" s="201"/>
      <c r="DF47" s="202"/>
      <c r="DG47" s="202"/>
      <c r="DH47" s="202"/>
      <c r="DI47" s="203" t="str">
        <f>IFERROR(VLOOKUP(DE47,BOH!$B$85:$K$92,4,FALSE),"")</f>
        <v/>
      </c>
      <c r="DJ47" s="203"/>
      <c r="DK47" s="203"/>
      <c r="DL47" s="203"/>
      <c r="DM47" s="204"/>
      <c r="DN47" s="205"/>
      <c r="DO47" s="202"/>
      <c r="DP47" s="202"/>
      <c r="DQ47" s="202"/>
      <c r="DR47" s="203" t="str">
        <f>IFERROR(VLOOKUP(DN47,BOH!$B$85:$K$92,4,FALSE),"")</f>
        <v/>
      </c>
      <c r="DS47" s="203"/>
      <c r="DT47" s="203"/>
      <c r="DU47" s="203"/>
      <c r="DV47" s="204"/>
      <c r="DW47" s="201"/>
      <c r="DX47" s="202"/>
      <c r="DY47" s="202"/>
      <c r="DZ47" s="202"/>
      <c r="EA47" s="203" t="str">
        <f>IFERROR(VLOOKUP(DW47,SPA!$B$85:$K$92,4,FALSE),"")</f>
        <v/>
      </c>
      <c r="EB47" s="203"/>
      <c r="EC47" s="203"/>
      <c r="ED47" s="203"/>
      <c r="EE47" s="204"/>
      <c r="EF47" s="205"/>
      <c r="EG47" s="202"/>
      <c r="EH47" s="202"/>
      <c r="EI47" s="202"/>
      <c r="EJ47" s="203" t="str">
        <f>IFERROR(VLOOKUP(EF47,SPA!$B$85:$K$92,4,FALSE),"")</f>
        <v/>
      </c>
      <c r="EK47" s="203"/>
      <c r="EL47" s="203"/>
      <c r="EM47" s="203"/>
      <c r="EN47" s="204"/>
    </row>
    <row r="48" spans="1:144" ht="15.6" customHeight="1" thickBot="1" x14ac:dyDescent="0.3">
      <c r="A48" s="187">
        <f ca="1">IFERROR(VLOOKUP(A47,SKV!$B$85:$K$92,3,FALSE),"")</f>
        <v>37</v>
      </c>
      <c r="B48" s="210" t="str">
        <f>IFERROR(VLOOKUP(A47,SKV!$B$85:$K$92,6,FALSE),"")</f>
        <v>vicemistr světa (2004), all-star tým juniorského MS, 2x mistr české ligy (Chodov)</v>
      </c>
      <c r="C48" s="210"/>
      <c r="D48" s="210"/>
      <c r="E48" s="210"/>
      <c r="F48" s="210"/>
      <c r="G48" s="210"/>
      <c r="H48" s="210"/>
      <c r="I48" s="211"/>
      <c r="J48" s="51">
        <f ca="1">IFERROR(VLOOKUP(J47,SKV!$B$85:$K$92,3,FALSE),"")</f>
        <v>35</v>
      </c>
      <c r="K48" s="206" t="str">
        <f>IFERROR(VLOOKUP(J47,SKV!$B$85:$K$92,6,FALSE),"")</f>
        <v>2x mistr české ligy (Chodov)</v>
      </c>
      <c r="L48" s="206"/>
      <c r="M48" s="206"/>
      <c r="N48" s="206"/>
      <c r="O48" s="206"/>
      <c r="P48" s="206"/>
      <c r="Q48" s="206"/>
      <c r="R48" s="207"/>
      <c r="S48" s="187">
        <f ca="1">IFERROR(VLOOKUP(S47,CHO!$B$85:$K$92,3,FALSE),"")</f>
        <v>34</v>
      </c>
      <c r="T48" s="210" t="str">
        <f>IFERROR(VLOOKUP(S47,CHO!$B$85:$K$92,6,FALSE),"")</f>
        <v>mistr české ligy (Tatran), 2x vítěz Poháru (Tatran, Chodov), 2x mistr ligy (trenér)</v>
      </c>
      <c r="U48" s="210"/>
      <c r="V48" s="210"/>
      <c r="W48" s="210"/>
      <c r="X48" s="210"/>
      <c r="Y48" s="210"/>
      <c r="Z48" s="210"/>
      <c r="AA48" s="211"/>
      <c r="AB48" s="134">
        <f ca="1">IFERROR(VLOOKUP(AB47,CHO!$B$85:$K$92,3,FALSE),"")</f>
        <v>41</v>
      </c>
      <c r="AC48" s="206" t="str">
        <f>IFERROR(VLOOKUP(AB47,CHO!$B$85:$K$92,6,FALSE),"")</f>
        <v>mistr české ligy, stříbro z MS juniorů</v>
      </c>
      <c r="AD48" s="206"/>
      <c r="AE48" s="206"/>
      <c r="AF48" s="206"/>
      <c r="AG48" s="206"/>
      <c r="AH48" s="206"/>
      <c r="AI48" s="206"/>
      <c r="AJ48" s="207"/>
      <c r="AK48" s="187">
        <f ca="1">IFERROR(VLOOKUP(AK47,VIT!$B$85:$K$92,3,FALSE),"")</f>
        <v>33</v>
      </c>
      <c r="AL48" s="210" t="str">
        <f>IFERROR(VLOOKUP(AK47,VIT!$B$85:$K$92,6,FALSE),"")</f>
        <v>3x mistr české ligy, 2x vítěz Poháru ČP</v>
      </c>
      <c r="AM48" s="210"/>
      <c r="AN48" s="210"/>
      <c r="AO48" s="210"/>
      <c r="AP48" s="210"/>
      <c r="AQ48" s="210"/>
      <c r="AR48" s="210"/>
      <c r="AS48" s="211"/>
      <c r="AT48" s="104">
        <f ca="1">IFERROR(VLOOKUP(AT47,VIT!$B$85:$K$92,3,FALSE),"")</f>
        <v>27</v>
      </c>
      <c r="AU48" s="206" t="str">
        <f>IFERROR(VLOOKUP(AT47,VIT!$B$85:$K$92,6,FALSE),"")</f>
        <v>-</v>
      </c>
      <c r="AV48" s="206"/>
      <c r="AW48" s="206"/>
      <c r="AX48" s="206"/>
      <c r="AY48" s="206"/>
      <c r="AZ48" s="206"/>
      <c r="BA48" s="206"/>
      <c r="BB48" s="207"/>
      <c r="BC48" s="187" t="str">
        <f>IFERROR(VLOOKUP(BC47,MB!$B$85:$K$92,3,FALSE),"")</f>
        <v/>
      </c>
      <c r="BD48" s="210" t="str">
        <f>IFERROR(VLOOKUP(BC47,MB!$B$85:$K$92,6,FALSE),"")</f>
        <v/>
      </c>
      <c r="BE48" s="210"/>
      <c r="BF48" s="210"/>
      <c r="BG48" s="210"/>
      <c r="BH48" s="210"/>
      <c r="BI48" s="210"/>
      <c r="BJ48" s="210"/>
      <c r="BK48" s="211"/>
      <c r="BL48" s="109" t="str">
        <f>IFERROR(VLOOKUP(BL47,MB!$B$85:$K$92,3,FALSE),"")</f>
        <v/>
      </c>
      <c r="BM48" s="206" t="str">
        <f>IFERROR(VLOOKUP(BL47,MB!$B$85:$K$92,6,FALSE),"")</f>
        <v/>
      </c>
      <c r="BN48" s="206"/>
      <c r="BO48" s="206"/>
      <c r="BP48" s="206"/>
      <c r="BQ48" s="206"/>
      <c r="BR48" s="206"/>
      <c r="BS48" s="206"/>
      <c r="BT48" s="207"/>
      <c r="BU48" s="187" t="str">
        <f>IFERROR(VLOOKUP(BU47,TAT!$B$85:$K$92,3,FALSE),"")</f>
        <v/>
      </c>
      <c r="BV48" s="210" t="str">
        <f>IFERROR(VLOOKUP(BU47,TAT!$B$85:$K$92,6,FALSE),"")</f>
        <v/>
      </c>
      <c r="BW48" s="210"/>
      <c r="BX48" s="210"/>
      <c r="BY48" s="210"/>
      <c r="BZ48" s="210"/>
      <c r="CA48" s="210"/>
      <c r="CB48" s="210"/>
      <c r="CC48" s="211"/>
      <c r="CD48" s="149" t="str">
        <f>IFERROR(VLOOKUP(CD47,TAT!$B$85:$K$92,3,FALSE),"")</f>
        <v/>
      </c>
      <c r="CE48" s="206" t="str">
        <f>IFERROR(VLOOKUP(CD47,TAT!$B$85:$K$92,6,FALSE),"")</f>
        <v/>
      </c>
      <c r="CF48" s="206"/>
      <c r="CG48" s="206"/>
      <c r="CH48" s="206"/>
      <c r="CI48" s="206"/>
      <c r="CJ48" s="206"/>
      <c r="CK48" s="206"/>
      <c r="CL48" s="207"/>
      <c r="CM48" s="187">
        <f ca="1">IFERROR(VLOOKUP(CM47,OTR!$B$85:$K$92,3,FALSE),"")</f>
        <v>46</v>
      </c>
      <c r="CN48" s="210" t="str">
        <f>IFERROR(VLOOKUP(CM47,OTR!$B$85:$K$92,6,FALSE),"")</f>
        <v>-</v>
      </c>
      <c r="CO48" s="210"/>
      <c r="CP48" s="210"/>
      <c r="CQ48" s="210"/>
      <c r="CR48" s="210"/>
      <c r="CS48" s="210"/>
      <c r="CT48" s="210"/>
      <c r="CU48" s="211"/>
      <c r="CV48" s="149">
        <f ca="1">IFERROR(VLOOKUP(CV47,OTR!$B$85:$K$92,3,FALSE),"")</f>
        <v>28</v>
      </c>
      <c r="CW48" s="206" t="str">
        <f>IFERROR(VLOOKUP(CV47,OTR!$B$85:$K$92,6,FALSE),"")</f>
        <v>-</v>
      </c>
      <c r="CX48" s="206"/>
      <c r="CY48" s="206"/>
      <c r="CZ48" s="206"/>
      <c r="DA48" s="206"/>
      <c r="DB48" s="206"/>
      <c r="DC48" s="206"/>
      <c r="DD48" s="207"/>
      <c r="DE48" s="187" t="str">
        <f>IFERROR(VLOOKUP(DE47,BOH!$B$85:$K$92,3,FALSE),"")</f>
        <v/>
      </c>
      <c r="DF48" s="210" t="str">
        <f>IFERROR(VLOOKUP(DE47,BOH!$B$85:$K$92,6,FALSE),"")</f>
        <v/>
      </c>
      <c r="DG48" s="210"/>
      <c r="DH48" s="210"/>
      <c r="DI48" s="210"/>
      <c r="DJ48" s="210"/>
      <c r="DK48" s="210"/>
      <c r="DL48" s="210"/>
      <c r="DM48" s="211"/>
      <c r="DN48" s="164" t="str">
        <f>IFERROR(VLOOKUP(DN47,BOH!$B$85:$K$92,3,FALSE),"")</f>
        <v/>
      </c>
      <c r="DO48" s="206" t="str">
        <f>IFERROR(VLOOKUP(DN47,BOH!$B$85:$K$92,6,FALSE),"")</f>
        <v/>
      </c>
      <c r="DP48" s="206"/>
      <c r="DQ48" s="206"/>
      <c r="DR48" s="206"/>
      <c r="DS48" s="206"/>
      <c r="DT48" s="206"/>
      <c r="DU48" s="206"/>
      <c r="DV48" s="207"/>
      <c r="DW48" s="187" t="str">
        <f>IFERROR(VLOOKUP(DW47,SPA!$B$85:$K$92,3,FALSE),"")</f>
        <v/>
      </c>
      <c r="DX48" s="210" t="str">
        <f>IFERROR(VLOOKUP(DW47,SPA!$B$85:$K$92,6,FALSE),"")</f>
        <v/>
      </c>
      <c r="DY48" s="210"/>
      <c r="DZ48" s="210"/>
      <c r="EA48" s="210"/>
      <c r="EB48" s="210"/>
      <c r="EC48" s="210"/>
      <c r="ED48" s="210"/>
      <c r="EE48" s="211"/>
      <c r="EF48" s="164" t="str">
        <f>IFERROR(VLOOKUP(EF47,SPA!$B$85:$K$92,3,FALSE),"")</f>
        <v/>
      </c>
      <c r="EG48" s="206" t="str">
        <f>IFERROR(VLOOKUP(EF47,SPA!$B$85:$K$92,6,FALSE),"")</f>
        <v/>
      </c>
      <c r="EH48" s="206"/>
      <c r="EI48" s="206"/>
      <c r="EJ48" s="206"/>
      <c r="EK48" s="206"/>
      <c r="EL48" s="206"/>
      <c r="EM48" s="206"/>
      <c r="EN48" s="207"/>
    </row>
    <row r="49" spans="1:144" ht="15.6" customHeight="1" thickTop="1" x14ac:dyDescent="0.25">
      <c r="A49" s="187"/>
      <c r="B49" s="210"/>
      <c r="C49" s="210"/>
      <c r="D49" s="210"/>
      <c r="E49" s="210"/>
      <c r="F49" s="210"/>
      <c r="G49" s="210"/>
      <c r="H49" s="210"/>
      <c r="I49" s="211"/>
      <c r="J49" s="208"/>
      <c r="K49" s="209"/>
      <c r="L49" s="209"/>
      <c r="M49" s="209"/>
      <c r="N49" s="203" t="str">
        <f>IFERROR(VLOOKUP(J49,SKV!$B$85:$K$92,4,FALSE),"")</f>
        <v/>
      </c>
      <c r="O49" s="203"/>
      <c r="P49" s="203"/>
      <c r="Q49" s="203"/>
      <c r="R49" s="204"/>
      <c r="S49" s="187"/>
      <c r="T49" s="210"/>
      <c r="U49" s="210"/>
      <c r="V49" s="210"/>
      <c r="W49" s="210"/>
      <c r="X49" s="210"/>
      <c r="Y49" s="210"/>
      <c r="Z49" s="210"/>
      <c r="AA49" s="211"/>
      <c r="AB49" s="208" t="s">
        <v>197</v>
      </c>
      <c r="AC49" s="209"/>
      <c r="AD49" s="209"/>
      <c r="AE49" s="209"/>
      <c r="AF49" s="203" t="str">
        <f>IFERROR(VLOOKUP(AB49,CHO!$B$85:$K$92,4,FALSE),"")</f>
        <v>vedoucí týmu</v>
      </c>
      <c r="AG49" s="203"/>
      <c r="AH49" s="203"/>
      <c r="AI49" s="203"/>
      <c r="AJ49" s="204"/>
      <c r="AK49" s="187"/>
      <c r="AL49" s="210"/>
      <c r="AM49" s="210"/>
      <c r="AN49" s="210"/>
      <c r="AO49" s="210"/>
      <c r="AP49" s="210"/>
      <c r="AQ49" s="210"/>
      <c r="AR49" s="210"/>
      <c r="AS49" s="211"/>
      <c r="AT49" s="208" t="s">
        <v>284</v>
      </c>
      <c r="AU49" s="209"/>
      <c r="AV49" s="209"/>
      <c r="AW49" s="209"/>
      <c r="AX49" s="203" t="str">
        <f>IFERROR(VLOOKUP(AT49,VIT!$B$85:$K$92,4,FALSE),"")</f>
        <v>vedoucí družstva</v>
      </c>
      <c r="AY49" s="203"/>
      <c r="AZ49" s="203"/>
      <c r="BA49" s="203"/>
      <c r="BB49" s="204"/>
      <c r="BC49" s="187"/>
      <c r="BD49" s="210"/>
      <c r="BE49" s="210"/>
      <c r="BF49" s="210"/>
      <c r="BG49" s="210"/>
      <c r="BH49" s="210"/>
      <c r="BI49" s="210"/>
      <c r="BJ49" s="210"/>
      <c r="BK49" s="211"/>
      <c r="BL49" s="208"/>
      <c r="BM49" s="209"/>
      <c r="BN49" s="209"/>
      <c r="BO49" s="209"/>
      <c r="BP49" s="203" t="str">
        <f>IFERROR(VLOOKUP(BL49,MB!$B$85:$K$92,4,FALSE),"")</f>
        <v/>
      </c>
      <c r="BQ49" s="203"/>
      <c r="BR49" s="203"/>
      <c r="BS49" s="203"/>
      <c r="BT49" s="204"/>
      <c r="BU49" s="187"/>
      <c r="BV49" s="210"/>
      <c r="BW49" s="210"/>
      <c r="BX49" s="210"/>
      <c r="BY49" s="210"/>
      <c r="BZ49" s="210"/>
      <c r="CA49" s="210"/>
      <c r="CB49" s="210"/>
      <c r="CC49" s="211"/>
      <c r="CD49" s="208"/>
      <c r="CE49" s="209"/>
      <c r="CF49" s="209"/>
      <c r="CG49" s="209"/>
      <c r="CH49" s="203" t="str">
        <f>IFERROR(VLOOKUP(CD49,TAT!$B$85:$K$92,4,FALSE),"")</f>
        <v/>
      </c>
      <c r="CI49" s="203"/>
      <c r="CJ49" s="203"/>
      <c r="CK49" s="203"/>
      <c r="CL49" s="204"/>
      <c r="CM49" s="187"/>
      <c r="CN49" s="210"/>
      <c r="CO49" s="210"/>
      <c r="CP49" s="210"/>
      <c r="CQ49" s="210"/>
      <c r="CR49" s="210"/>
      <c r="CS49" s="210"/>
      <c r="CT49" s="210"/>
      <c r="CU49" s="211"/>
      <c r="CV49" s="208" t="s">
        <v>553</v>
      </c>
      <c r="CW49" s="209"/>
      <c r="CX49" s="209"/>
      <c r="CY49" s="209"/>
      <c r="CZ49" s="203" t="str">
        <f>IFERROR(VLOOKUP(CV49,OTR!$B$85:$K$92,4,FALSE),"")</f>
        <v>kondiční trenér</v>
      </c>
      <c r="DA49" s="203"/>
      <c r="DB49" s="203"/>
      <c r="DC49" s="203"/>
      <c r="DD49" s="204"/>
      <c r="DE49" s="187"/>
      <c r="DF49" s="210"/>
      <c r="DG49" s="210"/>
      <c r="DH49" s="210"/>
      <c r="DI49" s="210"/>
      <c r="DJ49" s="210"/>
      <c r="DK49" s="210"/>
      <c r="DL49" s="210"/>
      <c r="DM49" s="211"/>
      <c r="DN49" s="208"/>
      <c r="DO49" s="209"/>
      <c r="DP49" s="209"/>
      <c r="DQ49" s="209"/>
      <c r="DR49" s="203" t="str">
        <f>IFERROR(VLOOKUP(DN49,BOH!$B$85:$K$92,4,FALSE),"")</f>
        <v/>
      </c>
      <c r="DS49" s="203"/>
      <c r="DT49" s="203"/>
      <c r="DU49" s="203"/>
      <c r="DV49" s="204"/>
      <c r="DW49" s="187"/>
      <c r="DX49" s="210"/>
      <c r="DY49" s="210"/>
      <c r="DZ49" s="210"/>
      <c r="EA49" s="210"/>
      <c r="EB49" s="210"/>
      <c r="EC49" s="210"/>
      <c r="ED49" s="210"/>
      <c r="EE49" s="211"/>
      <c r="EF49" s="208"/>
      <c r="EG49" s="209"/>
      <c r="EH49" s="209"/>
      <c r="EI49" s="209"/>
      <c r="EJ49" s="203" t="str">
        <f>IFERROR(VLOOKUP(EF49,SPA!$B$85:$K$92,4,FALSE),"")</f>
        <v/>
      </c>
      <c r="EK49" s="203"/>
      <c r="EL49" s="203"/>
      <c r="EM49" s="203"/>
      <c r="EN49" s="204"/>
    </row>
    <row r="50" spans="1:144" ht="15.6" customHeight="1" thickBot="1" x14ac:dyDescent="0.3">
      <c r="A50" s="188"/>
      <c r="B50" s="212"/>
      <c r="C50" s="212"/>
      <c r="D50" s="212"/>
      <c r="E50" s="212"/>
      <c r="F50" s="212"/>
      <c r="G50" s="212"/>
      <c r="H50" s="212"/>
      <c r="I50" s="213"/>
      <c r="J50" s="51" t="str">
        <f>IFERROR(VLOOKUP(J49,SKV!$B$85:$K$92,3,FALSE),"")</f>
        <v/>
      </c>
      <c r="K50" s="206" t="str">
        <f>IFERROR(VLOOKUP(J49,SKV!$B$85:$K$92,6,FALSE),"")</f>
        <v/>
      </c>
      <c r="L50" s="206"/>
      <c r="M50" s="206"/>
      <c r="N50" s="206"/>
      <c r="O50" s="206"/>
      <c r="P50" s="206"/>
      <c r="Q50" s="206"/>
      <c r="R50" s="207"/>
      <c r="S50" s="188"/>
      <c r="T50" s="212"/>
      <c r="U50" s="212"/>
      <c r="V50" s="212"/>
      <c r="W50" s="212"/>
      <c r="X50" s="212"/>
      <c r="Y50" s="212"/>
      <c r="Z50" s="212"/>
      <c r="AA50" s="213"/>
      <c r="AB50" s="134">
        <f ca="1">IFERROR(VLOOKUP(AB49,CHO!$B$85:$K$92,3,FALSE),"")</f>
        <v>35</v>
      </c>
      <c r="AC50" s="206" t="str">
        <f>IFERROR(VLOOKUP(AB49,CHO!$B$85:$K$92,6,FALSE),"")</f>
        <v>2x mistr české ligy</v>
      </c>
      <c r="AD50" s="206"/>
      <c r="AE50" s="206"/>
      <c r="AF50" s="206"/>
      <c r="AG50" s="206"/>
      <c r="AH50" s="206"/>
      <c r="AI50" s="206"/>
      <c r="AJ50" s="207"/>
      <c r="AK50" s="188"/>
      <c r="AL50" s="212"/>
      <c r="AM50" s="212"/>
      <c r="AN50" s="212"/>
      <c r="AO50" s="212"/>
      <c r="AP50" s="212"/>
      <c r="AQ50" s="212"/>
      <c r="AR50" s="212"/>
      <c r="AS50" s="213"/>
      <c r="AT50" s="104">
        <f ca="1">IFERROR(VLOOKUP(AT49,VIT!$B$85:$K$92,3,FALSE),"")</f>
        <v>54</v>
      </c>
      <c r="AU50" s="206" t="str">
        <f>IFERROR(VLOOKUP(AT49,VIT!$B$85:$K$92,6,FALSE),"")</f>
        <v>-</v>
      </c>
      <c r="AV50" s="206"/>
      <c r="AW50" s="206"/>
      <c r="AX50" s="206"/>
      <c r="AY50" s="206"/>
      <c r="AZ50" s="206"/>
      <c r="BA50" s="206"/>
      <c r="BB50" s="207"/>
      <c r="BC50" s="188"/>
      <c r="BD50" s="212"/>
      <c r="BE50" s="212"/>
      <c r="BF50" s="212"/>
      <c r="BG50" s="212"/>
      <c r="BH50" s="212"/>
      <c r="BI50" s="212"/>
      <c r="BJ50" s="212"/>
      <c r="BK50" s="213"/>
      <c r="BL50" s="109" t="str">
        <f>IFERROR(VLOOKUP(BL49,MB!$B$85:$K$92,3,FALSE),"")</f>
        <v/>
      </c>
      <c r="BM50" s="206" t="str">
        <f>IFERROR(VLOOKUP(BL49,MB!$B$85:$K$92,6,FALSE),"")</f>
        <v/>
      </c>
      <c r="BN50" s="206"/>
      <c r="BO50" s="206"/>
      <c r="BP50" s="206"/>
      <c r="BQ50" s="206"/>
      <c r="BR50" s="206"/>
      <c r="BS50" s="206"/>
      <c r="BT50" s="207"/>
      <c r="BU50" s="188"/>
      <c r="BV50" s="212"/>
      <c r="BW50" s="212"/>
      <c r="BX50" s="212"/>
      <c r="BY50" s="212"/>
      <c r="BZ50" s="212"/>
      <c r="CA50" s="212"/>
      <c r="CB50" s="212"/>
      <c r="CC50" s="213"/>
      <c r="CD50" s="149" t="str">
        <f>IFERROR(VLOOKUP(CD49,TAT!$B$85:$K$92,3,FALSE),"")</f>
        <v/>
      </c>
      <c r="CE50" s="206" t="str">
        <f>IFERROR(VLOOKUP(CD49,TAT!$B$85:$K$92,6,FALSE),"")</f>
        <v/>
      </c>
      <c r="CF50" s="206"/>
      <c r="CG50" s="206"/>
      <c r="CH50" s="206"/>
      <c r="CI50" s="206"/>
      <c r="CJ50" s="206"/>
      <c r="CK50" s="206"/>
      <c r="CL50" s="207"/>
      <c r="CM50" s="188"/>
      <c r="CN50" s="212"/>
      <c r="CO50" s="212"/>
      <c r="CP50" s="212"/>
      <c r="CQ50" s="212"/>
      <c r="CR50" s="212"/>
      <c r="CS50" s="212"/>
      <c r="CT50" s="212"/>
      <c r="CU50" s="213"/>
      <c r="CV50" s="149">
        <f ca="1">IFERROR(VLOOKUP(CV49,OTR!$B$85:$K$92,3,FALSE),"")</f>
        <v>49</v>
      </c>
      <c r="CW50" s="206" t="str">
        <f>IFERROR(VLOOKUP(CV49,OTR!$B$85:$K$92,6,FALSE),"")</f>
        <v>-</v>
      </c>
      <c r="CX50" s="206"/>
      <c r="CY50" s="206"/>
      <c r="CZ50" s="206"/>
      <c r="DA50" s="206"/>
      <c r="DB50" s="206"/>
      <c r="DC50" s="206"/>
      <c r="DD50" s="207"/>
      <c r="DE50" s="188"/>
      <c r="DF50" s="212"/>
      <c r="DG50" s="212"/>
      <c r="DH50" s="212"/>
      <c r="DI50" s="212"/>
      <c r="DJ50" s="212"/>
      <c r="DK50" s="212"/>
      <c r="DL50" s="212"/>
      <c r="DM50" s="213"/>
      <c r="DN50" s="164" t="str">
        <f>IFERROR(VLOOKUP(DN49,BOH!$B$85:$K$92,3,FALSE),"")</f>
        <v/>
      </c>
      <c r="DO50" s="206" t="str">
        <f>IFERROR(VLOOKUP(DN49,BOH!$B$85:$K$92,6,FALSE),"")</f>
        <v/>
      </c>
      <c r="DP50" s="206"/>
      <c r="DQ50" s="206"/>
      <c r="DR50" s="206"/>
      <c r="DS50" s="206"/>
      <c r="DT50" s="206"/>
      <c r="DU50" s="206"/>
      <c r="DV50" s="207"/>
      <c r="DW50" s="188"/>
      <c r="DX50" s="212"/>
      <c r="DY50" s="212"/>
      <c r="DZ50" s="212"/>
      <c r="EA50" s="212"/>
      <c r="EB50" s="212"/>
      <c r="EC50" s="212"/>
      <c r="ED50" s="212"/>
      <c r="EE50" s="213"/>
      <c r="EF50" s="164" t="str">
        <f>IFERROR(VLOOKUP(EF49,SPA!$B$85:$K$92,3,FALSE),"")</f>
        <v/>
      </c>
      <c r="EG50" s="206" t="str">
        <f>IFERROR(VLOOKUP(EF49,SPA!$B$85:$K$92,6,FALSE),"")</f>
        <v/>
      </c>
      <c r="EH50" s="206"/>
      <c r="EI50" s="206"/>
      <c r="EJ50" s="206"/>
      <c r="EK50" s="206"/>
      <c r="EL50" s="206"/>
      <c r="EM50" s="206"/>
      <c r="EN50" s="207"/>
    </row>
    <row r="51" spans="1:144" ht="15.6" customHeight="1" thickTop="1" x14ac:dyDescent="0.25">
      <c r="A51" s="337" t="s">
        <v>29</v>
      </c>
      <c r="B51" s="337"/>
      <c r="C51" s="337"/>
      <c r="D51" s="337"/>
      <c r="E51" s="337"/>
      <c r="F51" s="337"/>
      <c r="G51" s="337"/>
      <c r="H51" s="337"/>
      <c r="I51" s="337"/>
      <c r="J51" s="337" t="s">
        <v>154</v>
      </c>
      <c r="K51" s="337"/>
      <c r="L51" s="337"/>
      <c r="M51" s="337"/>
      <c r="N51" s="337"/>
      <c r="O51" s="337"/>
      <c r="P51" s="337"/>
      <c r="Q51" s="337"/>
      <c r="R51" s="337"/>
    </row>
    <row r="52" spans="1:144" ht="15.6" customHeight="1" thickBot="1" x14ac:dyDescent="0.3">
      <c r="A52" s="338"/>
      <c r="B52" s="338"/>
      <c r="C52" s="338"/>
      <c r="D52" s="338"/>
      <c r="E52" s="338"/>
      <c r="F52" s="338"/>
      <c r="G52" s="338"/>
      <c r="H52" s="338"/>
      <c r="I52" s="338"/>
      <c r="J52" s="338"/>
      <c r="K52" s="338"/>
      <c r="L52" s="338"/>
      <c r="M52" s="338"/>
      <c r="N52" s="338"/>
      <c r="O52" s="338"/>
      <c r="P52" s="338"/>
      <c r="Q52" s="338"/>
      <c r="R52" s="338"/>
    </row>
    <row r="53" spans="1:144" ht="15" customHeight="1" thickTop="1" thickBot="1" x14ac:dyDescent="0.3">
      <c r="A53" s="60"/>
      <c r="B53" s="60"/>
      <c r="C53" s="60"/>
      <c r="D53" s="60"/>
      <c r="E53" s="60"/>
      <c r="F53" s="60"/>
      <c r="G53" s="57"/>
      <c r="H53" s="57"/>
      <c r="I53" s="57"/>
      <c r="J53" s="57"/>
      <c r="K53" s="58"/>
      <c r="L53" s="59"/>
      <c r="M53" s="60"/>
      <c r="N53" s="60"/>
      <c r="O53" s="60"/>
      <c r="P53" s="60"/>
      <c r="Q53" s="60"/>
      <c r="R53" s="60"/>
      <c r="S53" s="220" t="s">
        <v>425</v>
      </c>
      <c r="T53" s="220"/>
      <c r="U53" s="220"/>
      <c r="V53" s="220"/>
      <c r="W53" s="220"/>
      <c r="X53" s="220"/>
      <c r="Y53" s="220"/>
      <c r="Z53" s="220"/>
      <c r="AA53" s="220"/>
      <c r="AB53" s="220"/>
      <c r="AC53" s="220"/>
      <c r="AD53" s="220"/>
      <c r="AE53" s="220"/>
      <c r="AF53" s="220"/>
      <c r="AG53" s="220"/>
      <c r="AH53" s="220"/>
      <c r="AI53" s="220"/>
      <c r="AJ53" s="220"/>
    </row>
    <row r="54" spans="1:144" ht="15" customHeight="1" thickTop="1" thickBot="1" x14ac:dyDescent="0.3">
      <c r="A54" s="214" t="s">
        <v>222</v>
      </c>
      <c r="B54" s="215"/>
      <c r="C54" s="74" t="s">
        <v>40</v>
      </c>
      <c r="D54" s="74" t="s">
        <v>41</v>
      </c>
      <c r="E54" s="215" t="s">
        <v>42</v>
      </c>
      <c r="F54" s="215"/>
      <c r="G54" s="74" t="s">
        <v>43</v>
      </c>
      <c r="H54" s="74" t="s">
        <v>44</v>
      </c>
      <c r="I54" s="75" t="s">
        <v>38</v>
      </c>
      <c r="J54" s="279" t="s">
        <v>222</v>
      </c>
      <c r="K54" s="280"/>
      <c r="L54" s="89" t="s">
        <v>40</v>
      </c>
      <c r="M54" s="89" t="s">
        <v>41</v>
      </c>
      <c r="N54" s="280" t="s">
        <v>42</v>
      </c>
      <c r="O54" s="280"/>
      <c r="P54" s="89" t="s">
        <v>43</v>
      </c>
      <c r="Q54" s="89" t="s">
        <v>44</v>
      </c>
      <c r="R54" s="90" t="s">
        <v>38</v>
      </c>
      <c r="S54" s="217" t="s">
        <v>233</v>
      </c>
      <c r="T54" s="218"/>
      <c r="U54" s="218"/>
      <c r="V54" s="218"/>
      <c r="W54" s="218"/>
      <c r="X54" s="218"/>
      <c r="Y54" s="218"/>
      <c r="Z54" s="219"/>
      <c r="AA54" s="145"/>
      <c r="AB54" s="145"/>
      <c r="AC54" s="214" t="s">
        <v>706</v>
      </c>
      <c r="AD54" s="215"/>
      <c r="AE54" s="215"/>
      <c r="AF54" s="215"/>
      <c r="AG54" s="215"/>
      <c r="AH54" s="215"/>
      <c r="AI54" s="215"/>
      <c r="AJ54" s="216"/>
    </row>
    <row r="55" spans="1:144" ht="15" customHeight="1" thickBot="1" x14ac:dyDescent="0.3">
      <c r="A55" s="317" t="str">
        <f>CONCATENATE(IFERROR(VLOOKUP(VLOOKUP($A$51,Tabulka!$A$42:$B$55,2,FALSE),Tabulka!$B$26:$AK$39,36,FALSE),""), ". místo")</f>
        <v>12. místo</v>
      </c>
      <c r="B55" s="318"/>
      <c r="C55" s="76">
        <f>IFERROR(VLOOKUP(VLOOKUP($A$51,Tabulka!$A$42:$B$55,2,FALSE),Tabulka!$B$26:$AK$39,3,FALSE),"") +IFERROR(VLOOKUP(VLOOKUP($A$51,Tabulka!$A$42:$B$55,2,FALSE),Tabulka!$B$26:$AK$39,4,FALSE),"")</f>
        <v>3</v>
      </c>
      <c r="D55" s="78">
        <f>IFERROR(VLOOKUP(VLOOKUP($A$51,Tabulka!$A$42:$B$55,2,FALSE),Tabulka!$B$26:$AK$39,5,FALSE),"") +IFERROR(VLOOKUP(VLOOKUP($A$51,Tabulka!$A$42:$B$55,2,FALSE),Tabulka!$B$26:$AK$39,6,FALSE),"")</f>
        <v>14</v>
      </c>
      <c r="E55" s="318" t="str">
        <f>CONCATENATE(IFERROR(VLOOKUP(VLOOKUP($A$51,Tabulka!$A$42:$B$55,2,FALSE),Tabulka!$B$26:$AK$39,8,FALSE),""), ":",IFERROR(VLOOKUP(VLOOKUP($A$51,Tabulka!$A$42:$B$55,2,FALSE),Tabulka!$B$26:$AK$39,9,FALSE),""))</f>
        <v>76:113</v>
      </c>
      <c r="F55" s="318"/>
      <c r="G55" s="78">
        <f>ROUND(IFERROR(VLOOKUP(VLOOKUP($A$51,Tabulka!$A$42:$B$55,2,FALSE),Tabulka!$B$26:$AK$39,14,FALSE),""),1)</f>
        <v>46.2</v>
      </c>
      <c r="H55" s="78">
        <f>ROUND(IFERROR(VLOOKUP(VLOOKUP($A$51,Tabulka!$A$42:$B$55,2,FALSE),Tabulka!$B$26:$AK$39,18,FALSE),""),1)</f>
        <v>43.5</v>
      </c>
      <c r="I55" s="77">
        <f>IFERROR(VLOOKUP(VLOOKUP($A$51,Tabulka!$A$42:$B$55,2,FALSE),Tabulka!$B$26:$AK$39,25,FALSE),"")</f>
        <v>53</v>
      </c>
      <c r="J55" s="319" t="str">
        <f>CONCATENATE(IFERROR(VLOOKUP(VLOOKUP($J$51,Tabulka!$A$42:$B$55,2,FALSE),Tabulka!$B$26:$AK$39,36,FALSE),""), ". místo")</f>
        <v>14. místo</v>
      </c>
      <c r="K55" s="320"/>
      <c r="L55" s="91">
        <f>IFERROR(VLOOKUP(VLOOKUP($J$51,Tabulka!$A$42:$B$55,2,FALSE),Tabulka!$B$26:$AK$39,3,FALSE),"") +IFERROR(VLOOKUP(VLOOKUP($J$51,Tabulka!$A$42:$B$55,2,FALSE),Tabulka!$B$26:$AK$39,4,FALSE),"")</f>
        <v>2</v>
      </c>
      <c r="M55" s="92">
        <f>IFERROR(VLOOKUP(VLOOKUP($J$51,Tabulka!$A$42:$B$55,2,FALSE),Tabulka!$B$26:$AK$39,5,FALSE),"") +IFERROR(VLOOKUP(VLOOKUP($J$51,Tabulka!$A$42:$B$55,2,FALSE),Tabulka!$B$26:$AK$39,6,FALSE),"")</f>
        <v>15</v>
      </c>
      <c r="N55" s="320" t="str">
        <f>CONCATENATE(IFERROR(VLOOKUP(VLOOKUP($J$51,Tabulka!$A$42:$B$55,2,FALSE),Tabulka!$B$26:$AK$39,8,FALSE),""), ":",IFERROR(VLOOKUP(VLOOKUP($J$51,Tabulka!$A$42:$B$55,2,FALSE),Tabulka!$B$26:$AK$39,9,FALSE),""))</f>
        <v>64:124</v>
      </c>
      <c r="O55" s="320"/>
      <c r="P55" s="92">
        <f>ROUND(IFERROR(VLOOKUP(VLOOKUP($J$51,Tabulka!$A$42:$B$55,2,FALSE),Tabulka!$B$26:$AK$39,14,FALSE),""),1)</f>
        <v>25.8</v>
      </c>
      <c r="Q55" s="92">
        <f>ROUND(IFERROR(VLOOKUP(VLOOKUP($J$51,Tabulka!$A$42:$B$55,2,FALSE),Tabulka!$B$26:$AK$39,18,FALSE),""),1)</f>
        <v>63.9</v>
      </c>
      <c r="R55" s="93">
        <f>IFERROR(VLOOKUP(VLOOKUP($J$51,Tabulka!$A$42:$B$55,2,FALSE),Tabulka!$B$26:$AK$39,25,FALSE),"")</f>
        <v>82</v>
      </c>
      <c r="S55" s="221" t="s">
        <v>233</v>
      </c>
      <c r="T55" s="222"/>
      <c r="U55" s="222"/>
      <c r="V55" s="222"/>
      <c r="W55" s="155" t="s">
        <v>477</v>
      </c>
      <c r="X55" s="223">
        <v>44209</v>
      </c>
      <c r="Y55" s="224"/>
      <c r="Z55" s="225"/>
      <c r="AA55" s="145"/>
      <c r="AB55" s="145"/>
      <c r="AC55" s="305" t="s">
        <v>706</v>
      </c>
      <c r="AD55" s="306"/>
      <c r="AE55" s="306"/>
      <c r="AF55" s="306"/>
      <c r="AG55" s="146"/>
      <c r="AH55" s="307">
        <v>44213</v>
      </c>
      <c r="AI55" s="308"/>
      <c r="AJ55" s="309"/>
    </row>
    <row r="56" spans="1:144" ht="15" customHeight="1" thickTop="1" x14ac:dyDescent="0.25">
      <c r="A56" s="57"/>
      <c r="B56" s="57"/>
      <c r="C56" s="57"/>
      <c r="D56" s="57"/>
      <c r="E56" s="58"/>
      <c r="F56" s="59"/>
      <c r="G56" s="79">
        <f>IFERROR(VLOOKUP(VLOOKUP($A$51,Tabulka!$A$42:$B$55,2,FALSE),Tabulka!$B$26:$AK$39,33,FALSE),"")</f>
        <v>4</v>
      </c>
      <c r="H56" s="79">
        <f>IFERROR(VLOOKUP(VLOOKUP($A$51,Tabulka!$A$42:$B$55,2,FALSE),Tabulka!$B$26:$AK$39,34,FALSE),"")</f>
        <v>13</v>
      </c>
      <c r="I56" s="79">
        <f>IFERROR(VLOOKUP(VLOOKUP($A$51,Tabulka!$A$42:$B$55,2,FALSE),Tabulka!$B$26:$AK$39,35,FALSE),"")</f>
        <v>13</v>
      </c>
      <c r="J56" s="57"/>
      <c r="K56" s="57"/>
      <c r="L56" s="57"/>
      <c r="M56" s="57"/>
      <c r="N56" s="58"/>
      <c r="O56" s="59"/>
      <c r="P56" s="79">
        <f>IFERROR(VLOOKUP(VLOOKUP($J$51,Tabulka!$A$42:$B$55,2,FALSE),Tabulka!$B$26:$AK$39,33,FALSE),"")</f>
        <v>12</v>
      </c>
      <c r="Q56" s="79">
        <f>IFERROR(VLOOKUP(VLOOKUP($J$51,Tabulka!$A$42:$B$55,2,FALSE),Tabulka!$B$26:$AK$39,34,FALSE),"")</f>
        <v>7</v>
      </c>
      <c r="R56" s="79">
        <f>IFERROR(VLOOKUP(VLOOKUP($J$51,Tabulka!$A$42:$B$55,2,FALSE),Tabulka!$B$26:$AK$39,35,FALSE),"")</f>
        <v>5</v>
      </c>
      <c r="S56" s="182" t="s">
        <v>47</v>
      </c>
      <c r="T56" s="183"/>
      <c r="U56" s="183"/>
      <c r="V56" s="183"/>
      <c r="W56" s="147" t="s">
        <v>342</v>
      </c>
      <c r="X56" s="184">
        <v>44205</v>
      </c>
      <c r="Y56" s="185"/>
      <c r="Z56" s="186"/>
      <c r="AA56" s="145"/>
      <c r="AB56" s="145"/>
      <c r="AC56" s="339" t="s">
        <v>703</v>
      </c>
      <c r="AD56" s="340"/>
      <c r="AE56" s="340"/>
      <c r="AF56" s="340"/>
      <c r="AG56" s="180" t="s">
        <v>704</v>
      </c>
      <c r="AH56" s="341">
        <v>44184</v>
      </c>
      <c r="AI56" s="342"/>
      <c r="AJ56" s="343"/>
    </row>
    <row r="57" spans="1:144" ht="15" customHeight="1" x14ac:dyDescent="0.25">
      <c r="A57" s="61"/>
      <c r="B57" s="60"/>
      <c r="C57" s="60"/>
      <c r="D57" s="62"/>
      <c r="E57" s="60"/>
      <c r="F57" s="60"/>
      <c r="G57" s="60"/>
      <c r="H57" s="60"/>
      <c r="I57" s="60"/>
      <c r="J57" s="60"/>
      <c r="K57" s="60"/>
      <c r="L57" s="60"/>
      <c r="M57" s="61"/>
      <c r="N57" s="60"/>
      <c r="O57" s="60"/>
      <c r="P57" s="62"/>
      <c r="Q57" s="60"/>
      <c r="R57" s="60"/>
      <c r="S57" s="182" t="s">
        <v>47</v>
      </c>
      <c r="T57" s="183"/>
      <c r="U57" s="183"/>
      <c r="V57" s="183"/>
      <c r="W57" s="147" t="s">
        <v>232</v>
      </c>
      <c r="X57" s="184">
        <v>43877</v>
      </c>
      <c r="Y57" s="185"/>
      <c r="Z57" s="186"/>
      <c r="AA57" s="145"/>
      <c r="AB57" s="145"/>
      <c r="AC57" s="182" t="s">
        <v>703</v>
      </c>
      <c r="AD57" s="183"/>
      <c r="AE57" s="183"/>
      <c r="AF57" s="183"/>
      <c r="AG57" s="147" t="s">
        <v>705</v>
      </c>
      <c r="AH57" s="184">
        <v>43805</v>
      </c>
      <c r="AI57" s="185"/>
      <c r="AJ57" s="186"/>
    </row>
    <row r="58" spans="1:144" ht="15" customHeight="1" thickBot="1" x14ac:dyDescent="0.3">
      <c r="A58" s="61"/>
      <c r="B58" s="60"/>
      <c r="C58" s="60"/>
      <c r="D58" s="62"/>
      <c r="E58" s="60"/>
      <c r="F58" s="60"/>
      <c r="G58" s="60"/>
      <c r="H58" s="60"/>
      <c r="I58" s="60"/>
      <c r="J58" s="60"/>
      <c r="K58" s="60"/>
      <c r="L58" s="60"/>
      <c r="M58" s="61"/>
      <c r="N58" s="60"/>
      <c r="O58" s="60"/>
      <c r="P58" s="62"/>
      <c r="Q58" s="60"/>
      <c r="R58" s="60"/>
      <c r="S58" s="182" t="s">
        <v>233</v>
      </c>
      <c r="T58" s="183"/>
      <c r="U58" s="183"/>
      <c r="V58" s="183"/>
      <c r="W58" s="147" t="s">
        <v>234</v>
      </c>
      <c r="X58" s="184">
        <v>43798</v>
      </c>
      <c r="Y58" s="185"/>
      <c r="Z58" s="186"/>
      <c r="AA58" s="145"/>
      <c r="AB58" s="145"/>
      <c r="AC58" s="182" t="s">
        <v>706</v>
      </c>
      <c r="AD58" s="183"/>
      <c r="AE58" s="183"/>
      <c r="AF58" s="183"/>
      <c r="AG58" s="147" t="s">
        <v>707</v>
      </c>
      <c r="AH58" s="184">
        <v>43729</v>
      </c>
      <c r="AI58" s="185"/>
      <c r="AJ58" s="186"/>
    </row>
    <row r="59" spans="1:144" ht="15" customHeight="1" thickTop="1" thickBot="1" x14ac:dyDescent="0.3">
      <c r="A59" s="331" t="s">
        <v>39</v>
      </c>
      <c r="B59" s="332"/>
      <c r="C59" s="333" t="str">
        <f ca="1">IFERROR(INDIRECT(A$51 &amp; "_nej!B41"),"")</f>
        <v>P - P - V - PP - P - P - PP - P - P - V</v>
      </c>
      <c r="D59" s="333"/>
      <c r="E59" s="333"/>
      <c r="F59" s="333"/>
      <c r="G59" s="333"/>
      <c r="H59" s="334"/>
      <c r="I59" s="60"/>
      <c r="J59" s="335" t="s">
        <v>39</v>
      </c>
      <c r="K59" s="336"/>
      <c r="L59" s="326" t="str">
        <f ca="1">IFERROR(INDIRECT(J$51 &amp; "_nej!B41"),"")</f>
        <v>PP - P - P - P - V - P - P - P - P - P</v>
      </c>
      <c r="M59" s="326"/>
      <c r="N59" s="326"/>
      <c r="O59" s="326"/>
      <c r="P59" s="326"/>
      <c r="Q59" s="327"/>
      <c r="R59" s="60"/>
      <c r="S59" s="182" t="s">
        <v>47</v>
      </c>
      <c r="T59" s="183"/>
      <c r="U59" s="183"/>
      <c r="V59" s="183"/>
      <c r="W59" s="147" t="s">
        <v>235</v>
      </c>
      <c r="X59" s="184">
        <v>43454</v>
      </c>
      <c r="Y59" s="185"/>
      <c r="Z59" s="186"/>
      <c r="AA59" s="145"/>
      <c r="AB59" s="145"/>
      <c r="AC59" s="182" t="s">
        <v>703</v>
      </c>
      <c r="AD59" s="183"/>
      <c r="AE59" s="183"/>
      <c r="AF59" s="183"/>
      <c r="AG59" s="147" t="s">
        <v>708</v>
      </c>
      <c r="AH59" s="184">
        <v>43492</v>
      </c>
      <c r="AI59" s="185"/>
      <c r="AJ59" s="186"/>
    </row>
    <row r="60" spans="1:144" ht="15" customHeight="1" thickTop="1" thickBot="1" x14ac:dyDescent="0.3">
      <c r="A60" s="60"/>
      <c r="B60" s="60"/>
      <c r="C60" s="60"/>
      <c r="D60" s="60"/>
      <c r="E60" s="60"/>
      <c r="F60" s="61"/>
      <c r="G60" s="60"/>
      <c r="H60" s="60"/>
      <c r="I60" s="60"/>
      <c r="J60" s="60"/>
      <c r="K60" s="60"/>
      <c r="L60" s="60"/>
      <c r="M60" s="60"/>
      <c r="N60" s="60"/>
      <c r="O60" s="60"/>
      <c r="P60" s="60"/>
      <c r="Q60" s="60"/>
      <c r="R60" s="61"/>
      <c r="S60" s="182" t="s">
        <v>233</v>
      </c>
      <c r="T60" s="183"/>
      <c r="U60" s="183"/>
      <c r="V60" s="183"/>
      <c r="W60" s="147" t="s">
        <v>236</v>
      </c>
      <c r="X60" s="184">
        <v>43384</v>
      </c>
      <c r="Y60" s="185"/>
      <c r="Z60" s="186"/>
      <c r="AA60" s="145"/>
      <c r="AB60" s="145"/>
      <c r="AC60" s="182" t="s">
        <v>706</v>
      </c>
      <c r="AD60" s="183"/>
      <c r="AE60" s="183"/>
      <c r="AF60" s="183"/>
      <c r="AG60" s="147" t="s">
        <v>709</v>
      </c>
      <c r="AH60" s="184">
        <v>43406</v>
      </c>
      <c r="AI60" s="185"/>
      <c r="AJ60" s="186"/>
    </row>
    <row r="61" spans="1:144" ht="15" customHeight="1" thickTop="1" thickBot="1" x14ac:dyDescent="0.3">
      <c r="A61" s="214" t="s">
        <v>225</v>
      </c>
      <c r="B61" s="215"/>
      <c r="C61" s="215"/>
      <c r="D61" s="216"/>
      <c r="E61" s="316" t="s">
        <v>224</v>
      </c>
      <c r="F61" s="215"/>
      <c r="G61" s="215"/>
      <c r="H61" s="216"/>
      <c r="I61" s="60"/>
      <c r="J61" s="214" t="s">
        <v>225</v>
      </c>
      <c r="K61" s="215"/>
      <c r="L61" s="215"/>
      <c r="M61" s="216"/>
      <c r="N61" s="316" t="s">
        <v>224</v>
      </c>
      <c r="O61" s="215"/>
      <c r="P61" s="215"/>
      <c r="Q61" s="216"/>
      <c r="R61" s="62"/>
      <c r="S61" s="182" t="s">
        <v>233</v>
      </c>
      <c r="T61" s="183"/>
      <c r="U61" s="183"/>
      <c r="V61" s="183"/>
      <c r="W61" s="147" t="s">
        <v>237</v>
      </c>
      <c r="X61" s="184">
        <v>42428</v>
      </c>
      <c r="Y61" s="185"/>
      <c r="Z61" s="186"/>
      <c r="AA61" s="145"/>
      <c r="AB61" s="145"/>
      <c r="AC61" s="182" t="s">
        <v>706</v>
      </c>
      <c r="AD61" s="183"/>
      <c r="AE61" s="183"/>
      <c r="AF61" s="183"/>
      <c r="AG61" s="147" t="s">
        <v>710</v>
      </c>
      <c r="AH61" s="184">
        <v>42351</v>
      </c>
      <c r="AI61" s="185"/>
      <c r="AJ61" s="186"/>
    </row>
    <row r="62" spans="1:144" ht="15" customHeight="1" thickBot="1" x14ac:dyDescent="0.3">
      <c r="A62" s="287" t="str">
        <f ca="1">IFERROR(INDIRECT(A$51 &amp; "_nej!C31"),"")</f>
        <v>OTR</v>
      </c>
      <c r="B62" s="288"/>
      <c r="C62" s="314" t="str">
        <f ca="1">IFERROR(INDIRECT(A$51 &amp; "_nej!E31"),"")</f>
        <v>9:4</v>
      </c>
      <c r="D62" s="315"/>
      <c r="E62" s="313" t="str">
        <f ca="1">IFERROR(INDIRECT(A$51 &amp; "_nej!C36"),"")</f>
        <v>BOH</v>
      </c>
      <c r="F62" s="288"/>
      <c r="G62" s="314" t="str">
        <f ca="1">IFERROR(INDIRECT(A$51 &amp; "_nej!B36"),"")</f>
        <v>20. 1.</v>
      </c>
      <c r="H62" s="315"/>
      <c r="I62" s="60"/>
      <c r="J62" s="287" t="str">
        <f ca="1">IFERROR(INDIRECT(J$51 &amp; "_nej!C31"),"")</f>
        <v>SKV</v>
      </c>
      <c r="K62" s="288"/>
      <c r="L62" s="314" t="str">
        <f ca="1">IFERROR(INDIRECT(J$51 &amp; "_nej!E31"),"")</f>
        <v>4:9</v>
      </c>
      <c r="M62" s="315"/>
      <c r="N62" s="313" t="str">
        <f ca="1">IFERROR(INDIRECT(J$51 &amp; "_nej!C36"),"")</f>
        <v>VIT</v>
      </c>
      <c r="O62" s="288"/>
      <c r="P62" s="314" t="str">
        <f ca="1">IFERROR(INDIRECT(J$51 &amp; "_nej!B36"),"")</f>
        <v>23. 1.</v>
      </c>
      <c r="Q62" s="315"/>
      <c r="R62" s="60"/>
      <c r="S62" s="196" t="s">
        <v>47</v>
      </c>
      <c r="T62" s="197"/>
      <c r="U62" s="197"/>
      <c r="V62" s="197"/>
      <c r="W62" s="156" t="s">
        <v>238</v>
      </c>
      <c r="X62" s="198">
        <v>42295</v>
      </c>
      <c r="Y62" s="199"/>
      <c r="Z62" s="200"/>
      <c r="AA62" s="145"/>
      <c r="AB62" s="145"/>
      <c r="AC62" s="299" t="s">
        <v>703</v>
      </c>
      <c r="AD62" s="300"/>
      <c r="AE62" s="300"/>
      <c r="AF62" s="300"/>
      <c r="AG62" s="148" t="s">
        <v>711</v>
      </c>
      <c r="AH62" s="301">
        <v>42323</v>
      </c>
      <c r="AI62" s="302"/>
      <c r="AJ62" s="303"/>
    </row>
    <row r="63" spans="1:144" ht="15" customHeight="1" thickTop="1" x14ac:dyDescent="0.25">
      <c r="A63" s="251" t="str">
        <f ca="1">IFERROR(INDIRECT(A$51 &amp; "_nej!C32"),"")</f>
        <v>OST</v>
      </c>
      <c r="B63" s="252"/>
      <c r="C63" s="253" t="str">
        <f ca="1">IFERROR(INDIRECT(A$51 &amp; "_nej!E32"),"")</f>
        <v>2:5</v>
      </c>
      <c r="D63" s="254"/>
      <c r="E63" s="255" t="str">
        <f ca="1">IFERROR(INDIRECT(A$51 &amp; "_nej!C37"),"")</f>
        <v>BOH</v>
      </c>
      <c r="F63" s="252"/>
      <c r="G63" s="253" t="str">
        <f ca="1">IFERROR(INDIRECT(A$51 &amp; "_nej!B37"),"")</f>
        <v>22. 1.</v>
      </c>
      <c r="H63" s="254"/>
      <c r="I63" s="57"/>
      <c r="J63" s="251" t="str">
        <f ca="1">IFERROR(INDIRECT(J$51 &amp; "_nej!C32"),"")</f>
        <v>TAT</v>
      </c>
      <c r="K63" s="252"/>
      <c r="L63" s="253" t="str">
        <f ca="1">IFERROR(INDIRECT(J$51 &amp; "_nej!E32"),"")</f>
        <v>4:10</v>
      </c>
      <c r="M63" s="254"/>
      <c r="N63" s="255" t="str">
        <f ca="1">IFERROR(INDIRECT(J$51 &amp; "_nej!C37"),"")</f>
        <v>LIB</v>
      </c>
      <c r="O63" s="252"/>
      <c r="P63" s="253" t="str">
        <f ca="1">IFERROR(INDIRECT(J$51 &amp; "_nej!B37"),"")</f>
        <v>24. 1.</v>
      </c>
      <c r="Q63" s="254"/>
      <c r="R63" s="59"/>
      <c r="S63" s="158"/>
      <c r="T63" s="158"/>
      <c r="U63" s="158"/>
      <c r="V63" s="158"/>
      <c r="W63" s="157"/>
      <c r="X63" s="159"/>
      <c r="Y63" s="160"/>
      <c r="Z63" s="160"/>
      <c r="AA63" s="139"/>
      <c r="AB63" s="139"/>
      <c r="AC63" s="139"/>
      <c r="AD63" s="139"/>
      <c r="AE63" s="139"/>
      <c r="AF63" s="139"/>
      <c r="AG63" s="139"/>
      <c r="AH63" s="139"/>
      <c r="AI63" s="139"/>
      <c r="AJ63" s="139"/>
    </row>
    <row r="64" spans="1:144" ht="15" customHeight="1" x14ac:dyDescent="0.25">
      <c r="A64" s="325" t="str">
        <f ca="1">IFERROR(INDIRECT(A$51 &amp; "_nej!C33"),"")</f>
        <v>CHO</v>
      </c>
      <c r="B64" s="322"/>
      <c r="C64" s="323" t="str">
        <f ca="1">IFERROR(INDIRECT(A$51 &amp; "_nej!E33"),"")</f>
        <v>5:8</v>
      </c>
      <c r="D64" s="324"/>
      <c r="E64" s="321" t="str">
        <f ca="1">IFERROR(INDIRECT(A$51 &amp; "_nej!C38"),"")</f>
        <v>BA</v>
      </c>
      <c r="F64" s="322"/>
      <c r="G64" s="323" t="str">
        <f ca="1">IFERROR(INDIRECT(A$51 &amp; "_nej!B38"),"")</f>
        <v>24. 1.</v>
      </c>
      <c r="H64" s="324"/>
      <c r="I64" s="60"/>
      <c r="J64" s="325" t="str">
        <f ca="1">IFERROR(INDIRECT(J$51 &amp; "_nej!C33"),"")</f>
        <v>MB</v>
      </c>
      <c r="K64" s="322"/>
      <c r="L64" s="323" t="str">
        <f ca="1">IFERROR(INDIRECT(J$51 &amp; "_nej!E33"),"")</f>
        <v>2:13</v>
      </c>
      <c r="M64" s="324"/>
      <c r="N64" s="321" t="str">
        <f ca="1">IFERROR(INDIRECT(J$51 &amp; "_nej!C38"),"")</f>
        <v>PAR</v>
      </c>
      <c r="O64" s="322"/>
      <c r="P64" s="323" t="str">
        <f ca="1">IFERROR(INDIRECT(J$51 &amp; "_nej!B38"),"")</f>
        <v>30. 1.</v>
      </c>
      <c r="Q64" s="324"/>
      <c r="R64" s="60"/>
      <c r="S64" s="139"/>
      <c r="T64" s="139"/>
      <c r="U64" s="139"/>
      <c r="V64" s="139"/>
      <c r="W64" s="139"/>
      <c r="X64" s="139"/>
      <c r="Y64" s="139"/>
      <c r="Z64" s="139"/>
      <c r="AA64" s="139"/>
      <c r="AB64" s="139"/>
      <c r="AC64" s="139"/>
      <c r="AD64" s="139"/>
      <c r="AE64" s="139"/>
      <c r="AF64" s="139"/>
      <c r="AG64" s="139"/>
      <c r="AH64" s="139"/>
      <c r="AI64" s="139"/>
      <c r="AJ64" s="139"/>
    </row>
    <row r="65" spans="1:36" ht="15" customHeight="1" x14ac:dyDescent="0.25">
      <c r="A65" s="251" t="str">
        <f ca="1">IFERROR(INDIRECT(A$51 &amp; "_nej!C34"),"")</f>
        <v>LIB</v>
      </c>
      <c r="B65" s="252"/>
      <c r="C65" s="253" t="str">
        <f ca="1">IFERROR(INDIRECT(A$51 &amp; "_nej!E34"),"")</f>
        <v>5:6sn</v>
      </c>
      <c r="D65" s="254"/>
      <c r="E65" s="255" t="str">
        <f ca="1">IFERROR(INDIRECT(A$51 &amp; "_nej!C39"),"")</f>
        <v>HAT</v>
      </c>
      <c r="F65" s="252"/>
      <c r="G65" s="253" t="str">
        <f ca="1">IFERROR(INDIRECT(A$51 &amp; "_nej!B39"),"")</f>
        <v>30. 1.</v>
      </c>
      <c r="H65" s="254"/>
      <c r="I65" s="57"/>
      <c r="J65" s="251" t="str">
        <f ca="1">IFERROR(INDIRECT(J$51 &amp; "_nej!C34"),"")</f>
        <v>CLP</v>
      </c>
      <c r="K65" s="252"/>
      <c r="L65" s="253" t="str">
        <f ca="1">IFERROR(INDIRECT(J$51 &amp; "_nej!E34"),"")</f>
        <v>3:7</v>
      </c>
      <c r="M65" s="254"/>
      <c r="N65" s="255" t="str">
        <f ca="1">IFERROR(INDIRECT(J$51 &amp; "_nej!C39"),"")</f>
        <v>CHO</v>
      </c>
      <c r="O65" s="252"/>
      <c r="P65" s="253" t="str">
        <f ca="1">IFERROR(INDIRECT(J$51 &amp; "_nej!B39"),"")</f>
        <v>31. 1.</v>
      </c>
      <c r="Q65" s="254"/>
      <c r="R65" s="60"/>
      <c r="S65" s="139"/>
      <c r="T65" s="139"/>
      <c r="U65" s="139"/>
      <c r="V65" s="139"/>
      <c r="W65" s="139"/>
      <c r="X65" s="139"/>
      <c r="Y65" s="139"/>
      <c r="Z65" s="139"/>
      <c r="AA65" s="139"/>
      <c r="AB65" s="139"/>
      <c r="AC65" s="139"/>
      <c r="AD65" s="139"/>
      <c r="AE65" s="139"/>
      <c r="AF65" s="139"/>
      <c r="AG65" s="139"/>
      <c r="AH65" s="139"/>
      <c r="AI65" s="139"/>
      <c r="AJ65" s="139"/>
    </row>
    <row r="66" spans="1:36" ht="15" customHeight="1" thickBot="1" x14ac:dyDescent="0.3">
      <c r="A66" s="298" t="str">
        <f ca="1">IFERROR(INDIRECT(A$51 &amp; "_nej!C35"),"")</f>
        <v>CHO</v>
      </c>
      <c r="B66" s="259"/>
      <c r="C66" s="260" t="str">
        <f ca="1">IFERROR(INDIRECT(A$51 &amp; "_nej!E35"),"")</f>
        <v>3:12</v>
      </c>
      <c r="D66" s="261"/>
      <c r="E66" s="258" t="str">
        <f ca="1">IFERROR(INDIRECT(A$51 &amp; "_nej!C40"),"")</f>
        <v>PAR</v>
      </c>
      <c r="F66" s="259"/>
      <c r="G66" s="260" t="str">
        <f ca="1">IFERROR(INDIRECT(A$51 &amp; "_nej!B40"),"")</f>
        <v>3. 2.</v>
      </c>
      <c r="H66" s="261"/>
      <c r="I66" s="60"/>
      <c r="J66" s="298" t="str">
        <f ca="1">IFERROR(INDIRECT(J$51 &amp; "_nej!C35"),"")</f>
        <v>OST</v>
      </c>
      <c r="K66" s="259"/>
      <c r="L66" s="260" t="str">
        <f ca="1">IFERROR(INDIRECT(J$51 &amp; "_nej!E35"),"")</f>
        <v>1:9</v>
      </c>
      <c r="M66" s="261"/>
      <c r="N66" s="258" t="str">
        <f ca="1">IFERROR(INDIRECT(J$51 &amp; "_nej!C40"),"")</f>
        <v>BOH</v>
      </c>
      <c r="O66" s="259"/>
      <c r="P66" s="260" t="str">
        <f ca="1">IFERROR(INDIRECT(J$51 &amp; "_nej!B40"),"")</f>
        <v>13. 2.</v>
      </c>
      <c r="Q66" s="261"/>
      <c r="R66" s="61"/>
      <c r="S66" s="139"/>
      <c r="T66" s="139"/>
      <c r="U66" s="139"/>
      <c r="V66" s="139"/>
      <c r="W66" s="139"/>
      <c r="X66" s="139"/>
      <c r="Y66" s="139"/>
      <c r="Z66" s="139"/>
      <c r="AA66" s="139"/>
      <c r="AB66" s="139"/>
    </row>
    <row r="67" spans="1:36" ht="15" customHeight="1" thickTop="1" x14ac:dyDescent="0.25">
      <c r="A67" s="60"/>
      <c r="B67" s="60"/>
      <c r="C67" s="60"/>
      <c r="D67" s="60"/>
      <c r="E67" s="60"/>
      <c r="F67" s="60"/>
      <c r="G67" s="60"/>
      <c r="H67" s="60"/>
      <c r="I67" s="60"/>
      <c r="J67" s="60"/>
      <c r="K67" s="60"/>
      <c r="L67" s="60"/>
      <c r="M67" s="60"/>
      <c r="N67" s="60"/>
      <c r="O67" s="60"/>
      <c r="P67" s="60"/>
      <c r="Q67" s="60"/>
      <c r="R67" s="60"/>
      <c r="S67" s="139"/>
      <c r="T67" s="139"/>
      <c r="U67" s="139"/>
      <c r="V67" s="139"/>
      <c r="W67" s="139"/>
      <c r="X67" s="139"/>
      <c r="Y67" s="139"/>
      <c r="Z67" s="139"/>
      <c r="AA67" s="139"/>
      <c r="AB67" s="139"/>
    </row>
    <row r="68" spans="1:36" ht="15" customHeight="1" x14ac:dyDescent="0.25">
      <c r="A68" s="60"/>
      <c r="B68" s="60"/>
      <c r="C68" s="60"/>
      <c r="D68" s="60"/>
      <c r="E68" s="60"/>
      <c r="F68" s="60"/>
      <c r="G68" s="60"/>
      <c r="H68" s="60"/>
      <c r="I68" s="60"/>
      <c r="J68" s="60"/>
      <c r="K68" s="60"/>
      <c r="L68" s="60"/>
      <c r="M68" s="60"/>
      <c r="N68" s="60"/>
      <c r="O68" s="60"/>
      <c r="P68" s="60"/>
      <c r="Q68" s="60"/>
      <c r="R68" s="60"/>
      <c r="S68" s="139"/>
      <c r="T68" s="139"/>
      <c r="U68" s="139"/>
      <c r="V68" s="139"/>
      <c r="W68" s="139"/>
      <c r="X68" s="139"/>
      <c r="Y68" s="139"/>
      <c r="Z68" s="139"/>
      <c r="AA68" s="139"/>
      <c r="AB68" s="139"/>
    </row>
    <row r="69" spans="1:36" ht="15" customHeight="1" thickBot="1" x14ac:dyDescent="0.3">
      <c r="A69" s="329" t="s">
        <v>226</v>
      </c>
      <c r="B69" s="329"/>
      <c r="C69" s="329"/>
      <c r="D69" s="329"/>
      <c r="E69" s="329"/>
      <c r="F69" s="329"/>
      <c r="G69" s="329"/>
      <c r="H69" s="329"/>
      <c r="I69" s="329"/>
      <c r="J69" s="329"/>
      <c r="K69" s="329"/>
      <c r="L69" s="329"/>
      <c r="M69" s="329"/>
      <c r="N69" s="329"/>
      <c r="O69" s="329"/>
      <c r="P69" s="329"/>
      <c r="Q69" s="329"/>
      <c r="R69" s="329"/>
      <c r="S69" s="139"/>
      <c r="T69" s="139"/>
      <c r="U69" s="139"/>
      <c r="V69" s="139"/>
      <c r="W69" s="139"/>
      <c r="X69" s="139"/>
      <c r="Y69" s="139"/>
      <c r="Z69" s="139"/>
      <c r="AA69" s="139"/>
      <c r="AB69" s="139"/>
    </row>
    <row r="70" spans="1:36" ht="15" customHeight="1" thickTop="1" thickBot="1" x14ac:dyDescent="0.3">
      <c r="A70" s="214" t="s">
        <v>227</v>
      </c>
      <c r="B70" s="215"/>
      <c r="C70" s="274"/>
      <c r="D70" s="275" t="s">
        <v>228</v>
      </c>
      <c r="E70" s="215"/>
      <c r="F70" s="276"/>
      <c r="G70" s="316" t="s">
        <v>229</v>
      </c>
      <c r="H70" s="215"/>
      <c r="I70" s="216"/>
      <c r="J70" s="279" t="s">
        <v>227</v>
      </c>
      <c r="K70" s="280"/>
      <c r="L70" s="281"/>
      <c r="M70" s="311" t="s">
        <v>228</v>
      </c>
      <c r="N70" s="280"/>
      <c r="O70" s="312"/>
      <c r="P70" s="328" t="s">
        <v>229</v>
      </c>
      <c r="Q70" s="280"/>
      <c r="R70" s="291"/>
      <c r="S70" s="139"/>
      <c r="T70" s="139"/>
      <c r="U70" s="139"/>
      <c r="V70" s="139"/>
      <c r="W70" s="139"/>
      <c r="X70" s="139"/>
      <c r="Y70" s="139"/>
      <c r="Z70" s="139"/>
      <c r="AA70" s="139"/>
      <c r="AB70" s="139"/>
    </row>
    <row r="71" spans="1:36" ht="15" customHeight="1" x14ac:dyDescent="0.25">
      <c r="A71" s="330" t="str">
        <f ca="1">IFERROR(VLOOKUP(INDIRECT(A$51 &amp; "_nej!D1"), INDIRECT(A$51 &amp; "!B48:AA82"),19,FALSE),"")</f>
        <v>Strachota</v>
      </c>
      <c r="B71" s="273"/>
      <c r="C71" s="101">
        <f ca="1">IFERROR(INDIRECT(A$51 &amp; "_nej!C1"),"")</f>
        <v>23</v>
      </c>
      <c r="D71" s="272" t="str">
        <f ca="1">IFERROR(VLOOKUP(INDIRECT(A$51 &amp; "_nej!D11"), INDIRECT(A$51 &amp; "!B48:AA82"),19,FALSE),"")</f>
        <v>Gregor</v>
      </c>
      <c r="E71" s="273"/>
      <c r="F71" s="101">
        <f ca="1">IFERROR(INDIRECT(A$51 &amp; "_nej!C11"),"")</f>
        <v>15</v>
      </c>
      <c r="G71" s="272" t="str">
        <f ca="1">IFERROR(VLOOKUP(INDIRECT(A$51 &amp; "_nej!D21"), INDIRECT(A$51 &amp; "!B48:AA82"),19,FALSE),"")</f>
        <v>Strachota</v>
      </c>
      <c r="H71" s="273"/>
      <c r="I71" s="101">
        <f ca="1">IFERROR(INDIRECT(A$51 &amp; "_nej!C21"),"")</f>
        <v>9</v>
      </c>
      <c r="J71" s="282" t="str">
        <f ca="1">IFERROR(VLOOKUP(INDIRECT(J$51 &amp; "_nej!D1"), INDIRECT(J$51 &amp; "!B48:AA82"),19,FALSE),"")</f>
        <v>Vykopal</v>
      </c>
      <c r="K71" s="283"/>
      <c r="L71" s="103">
        <f ca="1">IFERROR(INDIRECT(J$51 &amp; "_nej!C1"),"")</f>
        <v>16</v>
      </c>
      <c r="M71" s="310" t="str">
        <f ca="1">IFERROR(VLOOKUP(INDIRECT(J$51 &amp; "_nej!D11"), INDIRECT(J$51 &amp; "!B48:AA82"),19,FALSE),"")</f>
        <v>Hrabal</v>
      </c>
      <c r="N71" s="283"/>
      <c r="O71" s="103">
        <f ca="1">IFERROR(INDIRECT(J$51 &amp; "_nej!C11"),"")</f>
        <v>9</v>
      </c>
      <c r="P71" s="310" t="str">
        <f ca="1">IFERROR(VLOOKUP(INDIRECT(J$51 &amp; "_nej!D21"), INDIRECT(J$51 &amp; "!B48:AA82"),19,FALSE),"")</f>
        <v>Hronek</v>
      </c>
      <c r="Q71" s="283"/>
      <c r="R71" s="161">
        <f ca="1">IFERROR(INDIRECT(J$51 &amp; "_nej!C21"),"")</f>
        <v>9</v>
      </c>
      <c r="S71" s="139"/>
      <c r="T71" s="139"/>
      <c r="U71" s="139"/>
      <c r="V71" s="139"/>
      <c r="W71" s="139"/>
      <c r="X71" s="139"/>
      <c r="Y71" s="139"/>
      <c r="Z71" s="139"/>
      <c r="AA71" s="139"/>
      <c r="AB71" s="139"/>
    </row>
    <row r="72" spans="1:36" ht="15" customHeight="1" x14ac:dyDescent="0.25">
      <c r="A72" s="268" t="str">
        <f ca="1">IFERROR(VLOOKUP(INDIRECT(A$51 &amp; "_nej!D2"), INDIRECT(A$51 &amp; "!B48:AA82"),19,FALSE),"")</f>
        <v>Gregor</v>
      </c>
      <c r="B72" s="269"/>
      <c r="C72" s="80">
        <f ca="1">IFERROR(INDIRECT(A$51 &amp; "_nej!C2"),"")</f>
        <v>19</v>
      </c>
      <c r="D72" s="270" t="str">
        <f ca="1">IFERROR(VLOOKUP(INDIRECT(A$51 &amp; "_nej!D12"), INDIRECT(A$51 &amp; "!B48:AA82"),19,FALSE),"")</f>
        <v>Strachota</v>
      </c>
      <c r="E72" s="269"/>
      <c r="F72" s="82">
        <f ca="1">IFERROR(INDIRECT(A$51 &amp; "_nej!C12"),"")</f>
        <v>14</v>
      </c>
      <c r="G72" s="271" t="str">
        <f ca="1">IFERROR(VLOOKUP(INDIRECT(A$51 &amp; "_nej!D22"), INDIRECT(A$51 &amp; "!B48:AA82"),19,FALSE),"")</f>
        <v>Procházka</v>
      </c>
      <c r="H72" s="269"/>
      <c r="I72" s="130">
        <f ca="1">IFERROR(INDIRECT(A$51 &amp; "_nej!C22"),"")</f>
        <v>7</v>
      </c>
      <c r="J72" s="262" t="str">
        <f ca="1">IFERROR(VLOOKUP(INDIRECT(J$51 &amp; "_nej!D2"), INDIRECT(J$51 &amp; "!B48:AA82"),19,FALSE),"")</f>
        <v>Hronek</v>
      </c>
      <c r="K72" s="263"/>
      <c r="L72" s="84">
        <f ca="1">IFERROR(INDIRECT(J$51 &amp; "_nej!C2"),"")</f>
        <v>15</v>
      </c>
      <c r="M72" s="264" t="str">
        <f ca="1">IFERROR(VLOOKUP(INDIRECT(J$51 &amp; "_nej!D12"), INDIRECT(J$51 &amp; "!B48:AA82"),19,FALSE),"")</f>
        <v>Vykopal</v>
      </c>
      <c r="N72" s="263"/>
      <c r="O72" s="85">
        <f ca="1">IFERROR(INDIRECT(J$51 &amp; "_nej!C12"),"")</f>
        <v>9</v>
      </c>
      <c r="P72" s="265" t="str">
        <f ca="1">IFERROR(VLOOKUP(INDIRECT(J$51 &amp; "_nej!D22"), INDIRECT(J$51 &amp; "!B48:AA82"),19,FALSE),"")</f>
        <v>Vykopal</v>
      </c>
      <c r="Q72" s="263"/>
      <c r="R72" s="86">
        <f ca="1">IFERROR(INDIRECT(J$51 &amp; "_nej!C22"),"")</f>
        <v>7</v>
      </c>
      <c r="AA72" s="139"/>
      <c r="AB72" s="139"/>
    </row>
    <row r="73" spans="1:36" ht="15" customHeight="1" x14ac:dyDescent="0.25">
      <c r="A73" s="268" t="str">
        <f ca="1">IFERROR(VLOOKUP(INDIRECT(A$51 &amp; "_nej!D3"), INDIRECT(A$51 &amp; "!B48:AA82"),19,FALSE),"")</f>
        <v>Bína</v>
      </c>
      <c r="B73" s="269"/>
      <c r="C73" s="80">
        <f ca="1">IFERROR(INDIRECT(A$51 &amp; "_nej!C3"),"")</f>
        <v>16</v>
      </c>
      <c r="D73" s="270" t="str">
        <f ca="1">IFERROR(VLOOKUP(INDIRECT(A$51 &amp; "_nej!D13"), INDIRECT(A$51 &amp; "!B48:AA82"),19,FALSE),"")</f>
        <v>Bína</v>
      </c>
      <c r="E73" s="269"/>
      <c r="F73" s="82">
        <f ca="1">IFERROR(INDIRECT(A$51 &amp; "_nej!C13"),"")</f>
        <v>9</v>
      </c>
      <c r="G73" s="271" t="str">
        <f ca="1">IFERROR(VLOOKUP(INDIRECT(A$51 &amp; "_nej!D23"), INDIRECT(A$51 &amp; "!B48:AA82"),19,FALSE),"")</f>
        <v>Bína</v>
      </c>
      <c r="H73" s="269"/>
      <c r="I73" s="130">
        <f ca="1">IFERROR(INDIRECT(A$51 &amp; "_nej!C23"),"")</f>
        <v>7</v>
      </c>
      <c r="J73" s="262" t="str">
        <f ca="1">IFERROR(VLOOKUP(INDIRECT(J$51 &amp; "_nej!D3"), INDIRECT(J$51 &amp; "!B48:AA82"),19,FALSE),"")</f>
        <v>Hrabal</v>
      </c>
      <c r="K73" s="263"/>
      <c r="L73" s="84">
        <f ca="1">IFERROR(INDIRECT(J$51 &amp; "_nej!C3"),"")</f>
        <v>12</v>
      </c>
      <c r="M73" s="264" t="str">
        <f ca="1">IFERROR(VLOOKUP(INDIRECT(J$51 &amp; "_nej!D13"), INDIRECT(J$51 &amp; "!B48:AA82"),19,FALSE),"")</f>
        <v>Nehila</v>
      </c>
      <c r="N73" s="263"/>
      <c r="O73" s="85">
        <f ca="1">IFERROR(INDIRECT(J$51 &amp; "_nej!C13"),"")</f>
        <v>8</v>
      </c>
      <c r="P73" s="265" t="str">
        <f ca="1">IFERROR(VLOOKUP(INDIRECT(J$51 &amp; "_nej!D23"), INDIRECT(J$51 &amp; "!B48:AA82"),19,FALSE),"")</f>
        <v>Szweda</v>
      </c>
      <c r="Q73" s="263"/>
      <c r="R73" s="86">
        <f ca="1">IFERROR(INDIRECT(J$51 &amp; "_nej!C23"),"")</f>
        <v>5</v>
      </c>
      <c r="AA73" s="139"/>
      <c r="AB73" s="139"/>
      <c r="AC73" s="139"/>
      <c r="AD73" s="139"/>
      <c r="AE73" s="139"/>
      <c r="AF73" s="139"/>
      <c r="AG73" s="139"/>
      <c r="AH73" s="139"/>
      <c r="AI73" s="139"/>
      <c r="AJ73" s="139"/>
    </row>
    <row r="74" spans="1:36" ht="15" customHeight="1" x14ac:dyDescent="0.25">
      <c r="A74" s="268" t="str">
        <f ca="1">IFERROR(VLOOKUP(INDIRECT(A$51 &amp; "_nej!D4"), INDIRECT(A$51 &amp; "!B48:AA82"),19,FALSE),"")</f>
        <v>Skřivánek</v>
      </c>
      <c r="B74" s="269"/>
      <c r="C74" s="80">
        <f ca="1">IFERROR(INDIRECT(A$51 &amp; "_nej!C4"),"")</f>
        <v>10</v>
      </c>
      <c r="D74" s="270" t="str">
        <f ca="1">IFERROR(VLOOKUP(INDIRECT(A$51 &amp; "_nej!D14"), INDIRECT(A$51 &amp; "!B48:AA82"),19,FALSE),"")</f>
        <v>Stuchlík O.</v>
      </c>
      <c r="E74" s="269"/>
      <c r="F74" s="82">
        <f ca="1">IFERROR(INDIRECT(A$51 &amp; "_nej!C14"),"")</f>
        <v>6</v>
      </c>
      <c r="G74" s="271" t="str">
        <f ca="1">IFERROR(VLOOKUP(INDIRECT(A$51 &amp; "_nej!D24"), INDIRECT(A$51 &amp; "!B48:AA82"),19,FALSE),"")</f>
        <v>Hájek</v>
      </c>
      <c r="H74" s="269"/>
      <c r="I74" s="130">
        <f ca="1">IFERROR(INDIRECT(A$51 &amp; "_nej!C24"),"")</f>
        <v>7</v>
      </c>
      <c r="J74" s="262" t="str">
        <f ca="1">IFERROR(VLOOKUP(INDIRECT(J$51 &amp; "_nej!D4"), INDIRECT(J$51 &amp; "!B48:AA82"),19,FALSE),"")</f>
        <v>Gál</v>
      </c>
      <c r="K74" s="263"/>
      <c r="L74" s="84">
        <f ca="1">IFERROR(INDIRECT(J$51 &amp; "_nej!C4"),"")</f>
        <v>10</v>
      </c>
      <c r="M74" s="264" t="str">
        <f ca="1">IFERROR(VLOOKUP(INDIRECT(J$51 &amp; "_nej!D14"), INDIRECT(J$51 &amp; "!B48:AA82"),19,FALSE),"")</f>
        <v>Gál</v>
      </c>
      <c r="N74" s="263"/>
      <c r="O74" s="85">
        <f ca="1">IFERROR(INDIRECT(J$51 &amp; "_nej!C14"),"")</f>
        <v>6</v>
      </c>
      <c r="P74" s="265" t="str">
        <f ca="1">IFERROR(VLOOKUP(INDIRECT(J$51 &amp; "_nej!D24"), INDIRECT(J$51 &amp; "!B48:AA82"),19,FALSE),"")</f>
        <v>Gál</v>
      </c>
      <c r="Q74" s="263"/>
      <c r="R74" s="86">
        <f ca="1">IFERROR(INDIRECT(J$51 &amp; "_nej!C24"),"")</f>
        <v>4</v>
      </c>
      <c r="AA74" s="139"/>
      <c r="AB74" s="139"/>
      <c r="AC74" s="139"/>
      <c r="AD74" s="139"/>
      <c r="AE74" s="139"/>
      <c r="AF74" s="139"/>
      <c r="AG74" s="139"/>
      <c r="AH74" s="139"/>
      <c r="AI74" s="139"/>
      <c r="AJ74" s="139"/>
    </row>
    <row r="75" spans="1:36" ht="15" customHeight="1" thickBot="1" x14ac:dyDescent="0.3">
      <c r="A75" s="304" t="str">
        <f ca="1">IFERROR(VLOOKUP(INDIRECT(A$51 &amp; "_nej!D5"), INDIRECT(A$51 &amp; "!B48:AA82"),19,FALSE),"")</f>
        <v>Procházka</v>
      </c>
      <c r="B75" s="285"/>
      <c r="C75" s="81">
        <f ca="1">IFERROR(INDIRECT(A$51 &amp; "_nej!C5"),"")</f>
        <v>10</v>
      </c>
      <c r="D75" s="284" t="str">
        <f ca="1">IFERROR(VLOOKUP(INDIRECT(A$51 &amp; "_nej!D15"), INDIRECT(A$51 &amp; "!B48:AA82"),19,FALSE),"")</f>
        <v>Hartman</v>
      </c>
      <c r="E75" s="285"/>
      <c r="F75" s="83">
        <f ca="1">IFERROR(INDIRECT(A$51 &amp; "_nej!C15"),"")</f>
        <v>6</v>
      </c>
      <c r="G75" s="286" t="str">
        <f ca="1">IFERROR(VLOOKUP(INDIRECT(A$51 &amp; "_nej!D25"), INDIRECT(A$51 &amp; "!B48:AA82"),19,FALSE),"")</f>
        <v>Svoboda</v>
      </c>
      <c r="H75" s="285"/>
      <c r="I75" s="131">
        <f ca="1">IFERROR(INDIRECT(A$51 &amp; "_nej!C25"),"")</f>
        <v>6</v>
      </c>
      <c r="J75" s="266" t="str">
        <f ca="1">IFERROR(VLOOKUP(INDIRECT(J$51 &amp; "_nej!D5"), INDIRECT(J$51 &amp; "!B48:AA82"),19,FALSE),"")</f>
        <v>Nehila</v>
      </c>
      <c r="K75" s="257"/>
      <c r="L75" s="87">
        <f ca="1">IFERROR(INDIRECT(J$51 &amp; "_nej!C5"),"")</f>
        <v>9</v>
      </c>
      <c r="M75" s="256" t="str">
        <f ca="1">IFERROR(VLOOKUP(INDIRECT(J$51 &amp; "_nej!D15"), INDIRECT(J$51 &amp; "!B48:AA82"),19,FALSE),"")</f>
        <v>Hronek</v>
      </c>
      <c r="N75" s="257"/>
      <c r="O75" s="88">
        <f ca="1">IFERROR(INDIRECT(J$51 &amp; "_nej!C15"),"")</f>
        <v>6</v>
      </c>
      <c r="P75" s="267" t="str">
        <f ca="1">IFERROR(VLOOKUP(INDIRECT(J$51 &amp; "_nej!D25"), INDIRECT(J$51 &amp; "!B48:AA82"),19,FALSE),"")</f>
        <v>Koláčný</v>
      </c>
      <c r="Q75" s="257"/>
      <c r="R75" s="98">
        <f ca="1">IFERROR(INDIRECT(J$51 &amp; "_nej!C25"),"")</f>
        <v>4</v>
      </c>
      <c r="AA75" s="139"/>
      <c r="AB75" s="139"/>
      <c r="AC75" s="139"/>
      <c r="AD75" s="139"/>
      <c r="AE75" s="139"/>
      <c r="AF75" s="139"/>
      <c r="AG75" s="139"/>
      <c r="AH75" s="139"/>
      <c r="AI75" s="139"/>
      <c r="AJ75" s="139"/>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9"/>
      <c r="AB76" s="139"/>
      <c r="AC76" s="139"/>
      <c r="AD76" s="139"/>
      <c r="AE76" s="139"/>
      <c r="AF76" s="139"/>
      <c r="AG76" s="139"/>
      <c r="AH76" s="139"/>
      <c r="AI76" s="139"/>
      <c r="AJ76" s="139"/>
    </row>
    <row r="77" spans="1:36" ht="15" customHeight="1" thickTop="1" thickBot="1" x14ac:dyDescent="0.3">
      <c r="A77" s="214" t="s">
        <v>230</v>
      </c>
      <c r="B77" s="215"/>
      <c r="C77" s="274"/>
      <c r="D77" s="275" t="s">
        <v>91</v>
      </c>
      <c r="E77" s="215"/>
      <c r="F77" s="276"/>
      <c r="G77" s="316" t="s">
        <v>231</v>
      </c>
      <c r="H77" s="215"/>
      <c r="I77" s="216"/>
      <c r="J77" s="279" t="s">
        <v>230</v>
      </c>
      <c r="K77" s="280"/>
      <c r="L77" s="281"/>
      <c r="M77" s="311" t="s">
        <v>91</v>
      </c>
      <c r="N77" s="280"/>
      <c r="O77" s="312"/>
      <c r="P77" s="328" t="s">
        <v>231</v>
      </c>
      <c r="Q77" s="280"/>
      <c r="R77" s="291"/>
      <c r="AA77" s="145"/>
      <c r="AB77" s="145"/>
      <c r="AC77" s="145"/>
      <c r="AD77" s="145"/>
      <c r="AE77" s="145"/>
      <c r="AF77" s="145"/>
      <c r="AG77" s="145"/>
      <c r="AH77" s="145"/>
      <c r="AI77" s="145"/>
      <c r="AJ77" s="145"/>
    </row>
    <row r="78" spans="1:36" ht="15" customHeight="1" x14ac:dyDescent="0.25">
      <c r="A78" s="330" t="str">
        <f ca="1">IFERROR(VLOOKUP(INDIRECT(A$51 &amp; "_nej!D26"), INDIRECT(A$51 &amp; "!B48:AA82"),19,FALSE),"")</f>
        <v>Strachota</v>
      </c>
      <c r="B78" s="273"/>
      <c r="C78" s="101">
        <f ca="1">IFERROR(INDIRECT(A$51 &amp; "_nej!C26"),"")</f>
        <v>10</v>
      </c>
      <c r="D78" s="272" t="str">
        <f ca="1">IFERROR(VLOOKUP(INDIRECT(A$51 &amp; "_nej!D6"), INDIRECT(A$51 &amp; "!B48:AA82"),19,FALSE),"")</f>
        <v>Šantora</v>
      </c>
      <c r="E78" s="273"/>
      <c r="F78" s="116">
        <f ca="1">IFERROR(INDIRECT(A$51 &amp; "_nej!F6"),"")</f>
        <v>5.73</v>
      </c>
      <c r="G78" s="272" t="str">
        <f ca="1">IFERROR(VLOOKUP(INDIRECT(A$51 &amp; "_nej!D16"), INDIRECT(A$51 &amp; "!B48:AA82"),19,FALSE),"")</f>
        <v>Šantora</v>
      </c>
      <c r="H78" s="273"/>
      <c r="I78" s="101">
        <f ca="1">IFERROR(INDIRECT(A$51 &amp; "_nej!F16"),"")</f>
        <v>3</v>
      </c>
      <c r="J78" s="282" t="str">
        <f ca="1">IFERROR(VLOOKUP(INDIRECT(J$51 &amp; "_nej!D26"), INDIRECT(J$51 &amp; "!B48:AA82"),19,FALSE),"")</f>
        <v>Koláčný</v>
      </c>
      <c r="K78" s="283"/>
      <c r="L78" s="103">
        <f ca="1">IFERROR(INDIRECT(J$51 &amp; "_nej!C26"),"")</f>
        <v>12</v>
      </c>
      <c r="M78" s="310" t="str">
        <f ca="1">IFERROR(VLOOKUP(INDIRECT(J$51 &amp; "_nej!D6"), INDIRECT(J$51 &amp; "!B48:AA82"),19,FALSE),"")</f>
        <v>Majrich</v>
      </c>
      <c r="N78" s="283"/>
      <c r="O78" s="114">
        <f ca="1">IFERROR(INDIRECT(J$51 &amp; "_nej!F6"),"")</f>
        <v>6.71</v>
      </c>
      <c r="P78" s="310" t="str">
        <f ca="1">IFERROR(VLOOKUP(INDIRECT(J$51 &amp; "_nej!D16"), INDIRECT(J$51 &amp; "!B48:AA82"),19,FALSE),"")</f>
        <v>Majrich</v>
      </c>
      <c r="Q78" s="283"/>
      <c r="R78" s="161">
        <f ca="1">IFERROR(INDIRECT(J$51 &amp; "_nej!F16"),"")</f>
        <v>2</v>
      </c>
      <c r="AA78" s="145"/>
      <c r="AB78" s="145"/>
      <c r="AC78" s="145"/>
      <c r="AD78" s="145"/>
      <c r="AE78" s="145"/>
      <c r="AF78" s="145"/>
      <c r="AG78" s="145"/>
      <c r="AH78" s="145"/>
      <c r="AI78" s="145"/>
      <c r="AJ78" s="145"/>
    </row>
    <row r="79" spans="1:36" ht="15" customHeight="1" x14ac:dyDescent="0.25">
      <c r="A79" s="268" t="str">
        <f ca="1">IFERROR(VLOOKUP(INDIRECT(A$51 &amp; "_nej!D27"), INDIRECT(A$51 &amp; "!B48:AA82"),19,FALSE),"")</f>
        <v>Stuchlík Z.</v>
      </c>
      <c r="B79" s="269"/>
      <c r="C79" s="80">
        <f ca="1">IFERROR(INDIRECT(A$51 &amp; "_nej!C27"),"")</f>
        <v>9</v>
      </c>
      <c r="D79" s="270" t="str">
        <f ca="1">IFERROR(VLOOKUP(INDIRECT(A$51 &amp; "_nej!D7"), INDIRECT(A$51 &amp; "!B48:AA82"),19,FALSE),"")</f>
        <v>Lorenc</v>
      </c>
      <c r="E79" s="269"/>
      <c r="F79" s="96">
        <f ca="1">IFERROR(INDIRECT(A$51 &amp; "_nej!F7"),"")</f>
        <v>0</v>
      </c>
      <c r="G79" s="271" t="str">
        <f ca="1">IFERROR(VLOOKUP(INDIRECT(A$51 &amp; "_nej!D17"), INDIRECT(A$51 &amp; "!B48:AA82"),19,FALSE),"")</f>
        <v>Buchta</v>
      </c>
      <c r="H79" s="269"/>
      <c r="I79" s="130">
        <f ca="1">IFERROR(INDIRECT(A$51 &amp; "_nej!F17"),"")</f>
        <v>0</v>
      </c>
      <c r="J79" s="262" t="str">
        <f ca="1">IFERROR(VLOOKUP(INDIRECT(J$51 &amp; "_nej!D27"), INDIRECT(J$51 &amp; "!B48:AA82"),19,FALSE),"")</f>
        <v>Szweda</v>
      </c>
      <c r="K79" s="263"/>
      <c r="L79" s="84">
        <f ca="1">IFERROR(INDIRECT(J$51 &amp; "_nej!C27"),"")</f>
        <v>10</v>
      </c>
      <c r="M79" s="264" t="str">
        <f ca="1">IFERROR(VLOOKUP(INDIRECT(J$51 &amp; "_nej!D7"), INDIRECT(J$51 &amp; "!B48:AA82"),19,FALSE),"")</f>
        <v>Raška</v>
      </c>
      <c r="N79" s="263"/>
      <c r="O79" s="94">
        <f ca="1">IFERROR(INDIRECT(J$51 &amp; "_nej!F7"),"")</f>
        <v>9.75</v>
      </c>
      <c r="P79" s="265" t="str">
        <f ca="1">IFERROR(VLOOKUP(INDIRECT(J$51 &amp; "_nej!D17"), INDIRECT(J$51 &amp; "!B48:AA82"),19,FALSE),"")</f>
        <v>Kubíček</v>
      </c>
      <c r="Q79" s="263"/>
      <c r="R79" s="86">
        <f ca="1">IFERROR(INDIRECT(J$51 &amp; "_nej!F17"),"")</f>
        <v>0</v>
      </c>
      <c r="AA79" s="145"/>
      <c r="AB79" s="145"/>
      <c r="AC79" s="145"/>
      <c r="AD79" s="145"/>
      <c r="AE79" s="145"/>
      <c r="AF79" s="145"/>
      <c r="AG79" s="145"/>
      <c r="AH79" s="145"/>
      <c r="AI79" s="145"/>
      <c r="AJ79" s="145"/>
    </row>
    <row r="80" spans="1:36" ht="15" customHeight="1" x14ac:dyDescent="0.25">
      <c r="A80" s="268" t="str">
        <f ca="1">IFERROR(VLOOKUP(INDIRECT(A$51 &amp; "_nej!D28"), INDIRECT(A$51 &amp; "!B48:AA82"),19,FALSE),"")</f>
        <v>Svoboda</v>
      </c>
      <c r="B80" s="269"/>
      <c r="C80" s="80">
        <f ca="1">IFERROR(INDIRECT(A$51 &amp; "_nej!C28"),"")</f>
        <v>8</v>
      </c>
      <c r="D80" s="270" t="str">
        <f ca="1">IFERROR(VLOOKUP(INDIRECT(A$51 &amp; "_nej!D8"), INDIRECT(A$51 &amp; "!B48:AA82"),19,FALSE),"")</f>
        <v>Mazák</v>
      </c>
      <c r="E80" s="269"/>
      <c r="F80" s="96">
        <f ca="1">IFERROR(INDIRECT(A$51 &amp; "_nej!F8"),"")</f>
        <v>7.18</v>
      </c>
      <c r="G80" s="271" t="str">
        <f ca="1">IFERROR(VLOOKUP(INDIRECT(A$51 &amp; "_nej!D18"), INDIRECT(A$51 &amp; "!B48:AA82"),19,FALSE),"")</f>
        <v>Lorenc</v>
      </c>
      <c r="H80" s="269"/>
      <c r="I80" s="130">
        <f ca="1">IFERROR(INDIRECT(A$51 &amp; "_nej!F18"),"")</f>
        <v>0</v>
      </c>
      <c r="J80" s="262" t="str">
        <f ca="1">IFERROR(VLOOKUP(INDIRECT(J$51 &amp; "_nej!D28"), INDIRECT(J$51 &amp; "!B48:AA82"),19,FALSE),"")</f>
        <v>Vykopal</v>
      </c>
      <c r="K80" s="263"/>
      <c r="L80" s="84">
        <f ca="1">IFERROR(INDIRECT(J$51 &amp; "_nej!C28"),"")</f>
        <v>8</v>
      </c>
      <c r="M80" s="264" t="str">
        <f ca="1">IFERROR(VLOOKUP(INDIRECT(J$51 &amp; "_nej!D8"), INDIRECT(J$51 &amp; "!B48:AA82"),19,FALSE),"")</f>
        <v>Kubíček</v>
      </c>
      <c r="N80" s="263"/>
      <c r="O80" s="94">
        <f ca="1">IFERROR(INDIRECT(J$51 &amp; "_nej!F8"),"")</f>
        <v>11</v>
      </c>
      <c r="P80" s="265" t="str">
        <f ca="1">IFERROR(VLOOKUP(INDIRECT(J$51 &amp; "_nej!D18"), INDIRECT(J$51 &amp; "!B48:AA82"),19,FALSE),"")</f>
        <v>Raška</v>
      </c>
      <c r="Q80" s="263"/>
      <c r="R80" s="86">
        <f ca="1">IFERROR(INDIRECT(J$51 &amp; "_nej!F18"),"")</f>
        <v>0</v>
      </c>
      <c r="S80" s="145"/>
      <c r="T80" s="145"/>
      <c r="U80" s="145"/>
      <c r="V80" s="145"/>
      <c r="W80" s="145"/>
      <c r="X80" s="145"/>
      <c r="Y80" s="145"/>
      <c r="Z80" s="145"/>
      <c r="AA80" s="145"/>
      <c r="AB80" s="145"/>
      <c r="AC80" s="145"/>
      <c r="AD80" s="145"/>
      <c r="AE80" s="145"/>
      <c r="AF80" s="145"/>
      <c r="AG80" s="145"/>
      <c r="AH80" s="145"/>
      <c r="AI80" s="145"/>
      <c r="AJ80" s="145"/>
    </row>
    <row r="81" spans="1:36" ht="15" customHeight="1" x14ac:dyDescent="0.25">
      <c r="A81" s="268" t="str">
        <f ca="1">IFERROR(VLOOKUP(INDIRECT(A$51 &amp; "_nej!D29"), INDIRECT(A$51 &amp; "!B48:AA82"),19,FALSE),"")</f>
        <v>Vnuk</v>
      </c>
      <c r="B81" s="269"/>
      <c r="C81" s="80">
        <f ca="1">IFERROR(INDIRECT(A$51 &amp; "_nej!C29"),"")</f>
        <v>6</v>
      </c>
      <c r="D81" s="270" t="str">
        <f ca="1">IFERROR(VLOOKUP(INDIRECT(A$51 &amp; "_nej!D9"), INDIRECT(A$51 &amp; "!B48:AA82"),19,FALSE),"")</f>
        <v>Buchta</v>
      </c>
      <c r="E81" s="269"/>
      <c r="F81" s="96">
        <f ca="1">IFERROR(INDIRECT(A$51 &amp; "_nej!F9"),"")</f>
        <v>9.1300000000000008</v>
      </c>
      <c r="G81" s="271" t="str">
        <f ca="1">IFERROR(VLOOKUP(INDIRECT(A$51 &amp; "_nej!D19"), INDIRECT(A$51 &amp; "!B48:AA82"),19,FALSE),"")</f>
        <v>Mazák</v>
      </c>
      <c r="H81" s="269"/>
      <c r="I81" s="130">
        <f ca="1">IFERROR(INDIRECT(A$51 &amp; "_nej!F19"),"")</f>
        <v>0</v>
      </c>
      <c r="J81" s="262" t="str">
        <f ca="1">IFERROR(VLOOKUP(INDIRECT(J$51 &amp; "_nej!D29"), INDIRECT(J$51 &amp; "!B48:AA82"),19,FALSE),"")</f>
        <v>Nagy</v>
      </c>
      <c r="K81" s="263"/>
      <c r="L81" s="84">
        <f ca="1">IFERROR(INDIRECT(J$51 &amp; "_nej!C29"),"")</f>
        <v>8</v>
      </c>
      <c r="M81" s="264" t="str">
        <f ca="1">IFERROR(VLOOKUP(INDIRECT(J$51 &amp; "_nej!D9"), INDIRECT(J$51 &amp; "!B48:AA82"),19,FALSE),"")</f>
        <v/>
      </c>
      <c r="N81" s="263"/>
      <c r="O81" s="94" t="str">
        <f ca="1">IFERROR(INDIRECT(J$51 &amp; "_nej!F9"),"")</f>
        <v/>
      </c>
      <c r="P81" s="265" t="str">
        <f ca="1">IFERROR(VLOOKUP(INDIRECT(J$51 &amp; "_nej!D19"), INDIRECT(J$51 &amp; "!B48:AA82"),19,FALSE),"")</f>
        <v/>
      </c>
      <c r="Q81" s="263"/>
      <c r="R81" s="86" t="str">
        <f ca="1">IFERROR(INDIRECT(J$51 &amp; "_nej!F19"),"")</f>
        <v/>
      </c>
      <c r="S81" s="145"/>
      <c r="T81" s="145"/>
      <c r="U81" s="145"/>
      <c r="V81" s="145"/>
      <c r="W81" s="145"/>
      <c r="X81" s="145"/>
      <c r="Y81" s="145"/>
      <c r="Z81" s="145"/>
      <c r="AA81" s="145"/>
      <c r="AB81" s="145"/>
      <c r="AC81" s="145"/>
      <c r="AD81" s="145"/>
      <c r="AE81" s="145"/>
      <c r="AF81" s="145"/>
      <c r="AG81" s="145"/>
      <c r="AH81" s="145"/>
      <c r="AI81" s="145"/>
      <c r="AJ81" s="145"/>
    </row>
    <row r="82" spans="1:36" ht="15" customHeight="1" thickBot="1" x14ac:dyDescent="0.3">
      <c r="A82" s="304" t="str">
        <f ca="1">IFERROR(VLOOKUP(INDIRECT(A$51 &amp; "_nej!D30"), INDIRECT(A$51 &amp; "!B48:AA82"),19,FALSE),"")</f>
        <v>Fiala</v>
      </c>
      <c r="B82" s="285"/>
      <c r="C82" s="81">
        <f ca="1">IFERROR(INDIRECT(A$51 &amp; "_nej!C30"),"")</f>
        <v>4</v>
      </c>
      <c r="D82" s="284" t="str">
        <f ca="1">IFERROR(VLOOKUP(INDIRECT(A$51 &amp; "_nej!D10"), INDIRECT(A$51 &amp; "!B48:AA82"),19,FALSE),"")</f>
        <v/>
      </c>
      <c r="E82" s="285"/>
      <c r="F82" s="97" t="str">
        <f ca="1">IFERROR(INDIRECT(A$51 &amp; "_nej!F10"),"")</f>
        <v/>
      </c>
      <c r="G82" s="286" t="str">
        <f ca="1">IFERROR(VLOOKUP(INDIRECT(A$51 &amp; "_nej!D20"), INDIRECT(A$51 &amp; "!B48:AA82"),19,FALSE),"")</f>
        <v/>
      </c>
      <c r="H82" s="285"/>
      <c r="I82" s="131" t="str">
        <f ca="1">IFERROR(INDIRECT(A$51 &amp; "_nej!F20"),"")</f>
        <v/>
      </c>
      <c r="J82" s="266" t="str">
        <f ca="1">IFERROR(VLOOKUP(INDIRECT(J$51 &amp; "_nej!D30"), INDIRECT(J$51 &amp; "!B48:AA82"),19,FALSE),"")</f>
        <v>Medek</v>
      </c>
      <c r="K82" s="257"/>
      <c r="L82" s="87">
        <f ca="1">IFERROR(INDIRECT(J$51 &amp; "_nej!C30"),"")</f>
        <v>4</v>
      </c>
      <c r="M82" s="256" t="str">
        <f ca="1">IFERROR(VLOOKUP(INDIRECT(J$51 &amp; "_nej!D10"), INDIRECT(J$51 &amp; "!B48:AA82"),19,FALSE),"")</f>
        <v/>
      </c>
      <c r="N82" s="257"/>
      <c r="O82" s="95" t="str">
        <f ca="1">IFERROR(INDIRECT(J$51 &amp; "_nej!F10"),"")</f>
        <v/>
      </c>
      <c r="P82" s="267" t="str">
        <f ca="1">IFERROR(VLOOKUP(INDIRECT(J$51 &amp; "_nej!D20"), INDIRECT(J$51 &amp; "!B48:AA82"),19,FALSE),"")</f>
        <v/>
      </c>
      <c r="Q82" s="257"/>
      <c r="R82" s="98" t="str">
        <f ca="1">IFERROR(INDIRECT(J$51 &amp; "_nej!F20"),"")</f>
        <v/>
      </c>
      <c r="S82" s="145"/>
      <c r="T82" s="145"/>
      <c r="U82" s="145"/>
      <c r="V82" s="145"/>
      <c r="W82" s="145"/>
      <c r="X82" s="145"/>
      <c r="Y82" s="145"/>
      <c r="Z82" s="145"/>
      <c r="AA82" s="145"/>
      <c r="AB82" s="145"/>
      <c r="AC82" s="145"/>
      <c r="AD82" s="145"/>
      <c r="AE82" s="145"/>
      <c r="AF82" s="145"/>
      <c r="AG82" s="145"/>
      <c r="AH82" s="145"/>
      <c r="AI82" s="145"/>
      <c r="AJ82" s="145"/>
    </row>
    <row r="83" spans="1:36" ht="15" customHeight="1" thickTop="1" x14ac:dyDescent="0.25">
      <c r="A83" s="60"/>
      <c r="B83" s="60"/>
      <c r="C83" s="60"/>
      <c r="D83" s="60"/>
      <c r="E83" s="60"/>
      <c r="F83" s="61"/>
      <c r="G83" s="60"/>
      <c r="H83" s="60"/>
      <c r="I83" s="60"/>
      <c r="J83" s="60"/>
      <c r="K83" s="60"/>
      <c r="L83" s="60"/>
      <c r="M83" s="60"/>
      <c r="N83" s="60"/>
      <c r="O83" s="60"/>
      <c r="P83" s="60"/>
      <c r="Q83" s="60"/>
      <c r="R83" s="61"/>
      <c r="S83" s="145"/>
      <c r="T83" s="145"/>
      <c r="U83" s="145"/>
      <c r="V83" s="145"/>
      <c r="W83" s="145"/>
      <c r="X83" s="145"/>
      <c r="Y83" s="145"/>
      <c r="Z83" s="145"/>
      <c r="AA83" s="145"/>
      <c r="AB83" s="145"/>
      <c r="AC83" s="145"/>
      <c r="AD83" s="145"/>
      <c r="AE83" s="145"/>
      <c r="AF83" s="145"/>
      <c r="AG83" s="145"/>
      <c r="AH83" s="145"/>
      <c r="AI83" s="145"/>
      <c r="AJ83" s="145"/>
    </row>
    <row r="84" spans="1:36" ht="15" customHeight="1" thickBot="1" x14ac:dyDescent="0.3">
      <c r="A84" s="60"/>
      <c r="B84" s="60"/>
      <c r="C84" s="60"/>
      <c r="D84" s="60"/>
      <c r="E84" s="60"/>
      <c r="F84" s="61"/>
      <c r="G84" s="60"/>
      <c r="H84" s="60"/>
      <c r="I84" s="60"/>
      <c r="J84" s="60"/>
      <c r="K84" s="60"/>
      <c r="L84" s="60"/>
      <c r="M84" s="60"/>
      <c r="N84" s="60"/>
      <c r="O84" s="60"/>
      <c r="P84" s="60"/>
      <c r="Q84" s="60"/>
      <c r="R84" s="61"/>
      <c r="S84" s="145"/>
      <c r="T84" s="145"/>
      <c r="U84" s="145"/>
      <c r="V84" s="145"/>
      <c r="W84" s="145"/>
      <c r="X84" s="145"/>
      <c r="Y84" s="145"/>
      <c r="Z84" s="145"/>
      <c r="AA84" s="145"/>
      <c r="AB84" s="145"/>
      <c r="AC84" s="145"/>
      <c r="AD84" s="145"/>
      <c r="AE84" s="145"/>
      <c r="AF84" s="145"/>
      <c r="AG84" s="145"/>
      <c r="AH84" s="145"/>
      <c r="AI84" s="145"/>
      <c r="AJ84" s="145"/>
    </row>
    <row r="85" spans="1:36" ht="15" customHeight="1" thickTop="1" thickBot="1" x14ac:dyDescent="0.3">
      <c r="A85" s="214" t="s">
        <v>48</v>
      </c>
      <c r="B85" s="215"/>
      <c r="C85" s="215"/>
      <c r="D85" s="215"/>
      <c r="E85" s="215"/>
      <c r="F85" s="215"/>
      <c r="G85" s="215"/>
      <c r="H85" s="216"/>
      <c r="I85" s="60"/>
      <c r="J85" s="279" t="s">
        <v>48</v>
      </c>
      <c r="K85" s="280"/>
      <c r="L85" s="280"/>
      <c r="M85" s="280"/>
      <c r="N85" s="280"/>
      <c r="O85" s="280"/>
      <c r="P85" s="280"/>
      <c r="Q85" s="291"/>
      <c r="R85" s="60"/>
      <c r="S85" s="145"/>
      <c r="T85" s="145"/>
      <c r="U85" s="145"/>
      <c r="V85" s="145"/>
      <c r="W85" s="145"/>
      <c r="X85" s="145"/>
      <c r="Y85" s="145"/>
      <c r="Z85" s="145"/>
      <c r="AA85" s="145"/>
      <c r="AB85" s="145"/>
      <c r="AC85" s="145"/>
      <c r="AD85" s="145"/>
      <c r="AE85" s="145"/>
      <c r="AF85" s="145"/>
      <c r="AG85" s="145"/>
      <c r="AH85" s="145"/>
      <c r="AI85" s="145"/>
      <c r="AJ85" s="145"/>
    </row>
    <row r="86" spans="1:36" ht="15" customHeight="1" x14ac:dyDescent="0.25">
      <c r="A86" s="287" t="str">
        <f ca="1">IFERROR(INDIRECT($A$51 &amp; "!Q2"),"")</f>
        <v>Gregor - 5 GP</v>
      </c>
      <c r="B86" s="288"/>
      <c r="C86" s="288"/>
      <c r="D86" s="288"/>
      <c r="E86" s="288" t="str">
        <f ca="1">IFERROR(INDIRECT($A$51 &amp; "!Q4"),"")</f>
        <v>minulý zápas vs. OTR 3:0</v>
      </c>
      <c r="F86" s="288"/>
      <c r="G86" s="288"/>
      <c r="H86" s="289"/>
      <c r="I86" s="60"/>
      <c r="J86" s="292" t="str">
        <f ca="1">IFERROR(INDIRECT($J$51 &amp; "!Q2"),"")</f>
        <v>vs. OST 7:6</v>
      </c>
      <c r="K86" s="293"/>
      <c r="L86" s="293"/>
      <c r="M86" s="293"/>
      <c r="N86" s="293" t="str">
        <f ca="1">IFERROR(INDIRECT($J$51 &amp; "!Q4"),"")</f>
        <v>Zapletal, Sovják - B-tým</v>
      </c>
      <c r="O86" s="293"/>
      <c r="P86" s="293"/>
      <c r="Q86" s="294"/>
      <c r="R86" s="60"/>
      <c r="S86" s="145"/>
      <c r="T86" s="145"/>
      <c r="U86" s="145"/>
      <c r="V86" s="145"/>
      <c r="W86" s="145"/>
      <c r="X86" s="145"/>
      <c r="Y86" s="145"/>
      <c r="Z86" s="145"/>
      <c r="AA86" s="145"/>
      <c r="AB86" s="145"/>
      <c r="AC86" s="145"/>
      <c r="AD86" s="145"/>
      <c r="AE86" s="145"/>
      <c r="AF86" s="145"/>
      <c r="AG86" s="145"/>
      <c r="AH86" s="145"/>
      <c r="AI86" s="145"/>
      <c r="AJ86" s="145"/>
    </row>
    <row r="87" spans="1:36" ht="15" customHeight="1" thickBot="1" x14ac:dyDescent="0.3">
      <c r="A87" s="298" t="str">
        <f ca="1">IFERROR(INDIRECT($A$51 &amp; "!Q3"),"")</f>
        <v>Stuchlík O. - 4 GP</v>
      </c>
      <c r="B87" s="259"/>
      <c r="C87" s="259"/>
      <c r="D87" s="259"/>
      <c r="E87" s="259" t="str">
        <f ca="1">IFERROR(INDIRECT($A$51 &amp; "!Q5"),"")</f>
        <v>Stuchlík O. -    -18 ±</v>
      </c>
      <c r="F87" s="259"/>
      <c r="G87" s="259"/>
      <c r="H87" s="290"/>
      <c r="I87" s="60"/>
      <c r="J87" s="295" t="str">
        <f ca="1">IFERROR(INDIRECT($J$51 &amp; "!Q3"),"")</f>
        <v>vs. VIT 10:12</v>
      </c>
      <c r="K87" s="296"/>
      <c r="L87" s="296"/>
      <c r="M87" s="296"/>
      <c r="N87" s="296" t="str">
        <f ca="1">IFERROR(INDIRECT($J$51 &amp; "!Q5"),"")</f>
        <v>Kladivo, Koláčný - Bulldogs</v>
      </c>
      <c r="O87" s="296"/>
      <c r="P87" s="296"/>
      <c r="Q87" s="297"/>
      <c r="R87" s="59"/>
      <c r="S87" s="145"/>
      <c r="T87" s="145"/>
      <c r="U87" s="145"/>
      <c r="V87" s="145"/>
      <c r="W87" s="145"/>
      <c r="X87" s="145"/>
      <c r="Y87" s="145"/>
      <c r="Z87" s="145"/>
      <c r="AA87" s="145"/>
      <c r="AB87" s="145"/>
      <c r="AC87" s="145"/>
      <c r="AD87" s="145"/>
      <c r="AE87" s="145"/>
      <c r="AF87" s="145"/>
      <c r="AG87" s="145"/>
      <c r="AH87" s="145"/>
      <c r="AI87" s="145"/>
      <c r="AJ87" s="145"/>
    </row>
    <row r="88" spans="1:36" ht="15" customHeight="1" thickTop="1" x14ac:dyDescent="0.25">
      <c r="A88" s="64"/>
      <c r="B88" s="60"/>
      <c r="C88" s="60"/>
      <c r="D88" s="62"/>
      <c r="E88" s="60"/>
      <c r="F88" s="60"/>
      <c r="G88" s="60"/>
      <c r="H88" s="63"/>
      <c r="I88" s="60"/>
      <c r="J88" s="61"/>
      <c r="K88" s="60"/>
      <c r="L88" s="60"/>
      <c r="M88" s="62"/>
      <c r="N88" s="60"/>
      <c r="O88" s="60"/>
      <c r="P88" s="60"/>
      <c r="Q88" s="60"/>
      <c r="R88" s="60"/>
      <c r="S88" s="145"/>
      <c r="T88" s="145"/>
      <c r="U88" s="145"/>
      <c r="V88" s="145"/>
      <c r="W88" s="145"/>
      <c r="X88" s="145"/>
      <c r="Y88" s="145"/>
      <c r="Z88" s="145"/>
      <c r="AA88" s="145"/>
      <c r="AB88" s="145"/>
      <c r="AC88" s="145"/>
      <c r="AD88" s="145"/>
      <c r="AE88" s="145"/>
      <c r="AF88" s="145"/>
      <c r="AG88" s="145"/>
      <c r="AH88" s="145"/>
      <c r="AI88" s="145"/>
      <c r="AJ88" s="145"/>
    </row>
    <row r="89" spans="1:36" ht="15" customHeight="1" thickBot="1" x14ac:dyDescent="0.3">
      <c r="A89" s="65"/>
      <c r="B89" s="66"/>
      <c r="C89" s="66"/>
      <c r="D89" s="67"/>
      <c r="E89" s="67"/>
      <c r="F89" s="68"/>
      <c r="G89" s="60"/>
      <c r="H89" s="63"/>
      <c r="I89" s="60"/>
      <c r="J89" s="61"/>
      <c r="K89" s="60"/>
      <c r="L89" s="60"/>
      <c r="M89" s="60"/>
      <c r="N89" s="60"/>
      <c r="O89" s="60"/>
      <c r="P89" s="60"/>
      <c r="Q89" s="60"/>
      <c r="R89" s="60"/>
      <c r="S89" s="145"/>
      <c r="T89" s="145"/>
      <c r="U89" s="145"/>
      <c r="V89" s="145"/>
      <c r="W89" s="145"/>
      <c r="X89" s="145"/>
      <c r="Y89" s="145"/>
      <c r="Z89" s="145"/>
      <c r="AA89" s="145"/>
      <c r="AB89" s="145"/>
      <c r="AC89" s="145"/>
      <c r="AD89" s="145"/>
      <c r="AE89" s="145"/>
      <c r="AF89" s="145"/>
      <c r="AG89" s="145"/>
      <c r="AH89" s="145"/>
      <c r="AI89" s="145"/>
      <c r="AJ89" s="145"/>
    </row>
    <row r="90" spans="1:36" ht="15" customHeight="1" thickTop="1" thickBot="1" x14ac:dyDescent="0.3">
      <c r="A90" s="69"/>
      <c r="B90" s="69"/>
      <c r="C90" s="70"/>
      <c r="D90" s="70"/>
      <c r="E90" s="60"/>
      <c r="F90" s="214" t="s">
        <v>45</v>
      </c>
      <c r="G90" s="215"/>
      <c r="H90" s="215"/>
      <c r="I90" s="215"/>
      <c r="J90" s="215"/>
      <c r="K90" s="215"/>
      <c r="L90" s="215"/>
      <c r="M90" s="216"/>
      <c r="N90" s="60"/>
      <c r="O90" s="60"/>
      <c r="P90" s="60"/>
      <c r="Q90" s="60"/>
      <c r="R90" s="60"/>
      <c r="S90" s="145"/>
      <c r="T90" s="145"/>
      <c r="U90" s="145"/>
      <c r="V90" s="145"/>
      <c r="W90" s="145"/>
      <c r="X90" s="145"/>
      <c r="Y90" s="145"/>
      <c r="Z90" s="145"/>
      <c r="AA90" s="145"/>
      <c r="AB90" s="145"/>
      <c r="AC90" s="145"/>
      <c r="AD90" s="145"/>
      <c r="AE90" s="145"/>
      <c r="AF90" s="145"/>
      <c r="AG90" s="145"/>
      <c r="AH90" s="145"/>
      <c r="AI90" s="145"/>
      <c r="AJ90" s="145"/>
    </row>
    <row r="91" spans="1:36" ht="15" customHeight="1" x14ac:dyDescent="0.25">
      <c r="A91" s="60"/>
      <c r="B91" s="60"/>
      <c r="C91" s="60"/>
      <c r="D91" s="60"/>
      <c r="E91" s="60"/>
      <c r="F91" s="305" t="s">
        <v>703</v>
      </c>
      <c r="G91" s="306"/>
      <c r="H91" s="306"/>
      <c r="I91" s="306"/>
      <c r="J91" s="146" t="s">
        <v>704</v>
      </c>
      <c r="K91" s="307">
        <v>44184</v>
      </c>
      <c r="L91" s="308"/>
      <c r="M91" s="309"/>
      <c r="N91" s="57"/>
      <c r="O91" s="57"/>
      <c r="P91" s="57"/>
      <c r="Q91" s="58"/>
      <c r="R91" s="59"/>
      <c r="S91" s="145"/>
      <c r="T91" s="145"/>
      <c r="U91" s="145"/>
      <c r="V91" s="145"/>
      <c r="W91" s="145"/>
      <c r="X91" s="145"/>
      <c r="Y91" s="145"/>
      <c r="Z91" s="145"/>
      <c r="AA91" s="145"/>
      <c r="AB91" s="145"/>
      <c r="AC91" s="145"/>
      <c r="AD91" s="145"/>
      <c r="AE91" s="145"/>
      <c r="AF91" s="145"/>
      <c r="AG91" s="145"/>
      <c r="AH91" s="145"/>
      <c r="AI91" s="145"/>
      <c r="AJ91" s="145"/>
    </row>
    <row r="92" spans="1:36" ht="15" customHeight="1" x14ac:dyDescent="0.25">
      <c r="A92" s="60"/>
      <c r="B92" s="60"/>
      <c r="C92" s="60"/>
      <c r="D92" s="60"/>
      <c r="E92" s="60"/>
      <c r="F92" s="182" t="s">
        <v>703</v>
      </c>
      <c r="G92" s="183"/>
      <c r="H92" s="183"/>
      <c r="I92" s="183"/>
      <c r="J92" s="147" t="s">
        <v>705</v>
      </c>
      <c r="K92" s="184">
        <v>43805</v>
      </c>
      <c r="L92" s="185"/>
      <c r="M92" s="186"/>
      <c r="N92" s="60"/>
      <c r="O92" s="60"/>
      <c r="P92" s="60"/>
      <c r="Q92" s="60"/>
      <c r="R92" s="60"/>
      <c r="S92" s="145"/>
      <c r="T92" s="145"/>
      <c r="U92" s="145"/>
      <c r="V92" s="145"/>
      <c r="W92" s="145"/>
      <c r="X92" s="145"/>
      <c r="Y92" s="145"/>
      <c r="Z92" s="145"/>
      <c r="AA92" s="145"/>
      <c r="AB92" s="145"/>
      <c r="AC92" s="145"/>
      <c r="AD92" s="145"/>
      <c r="AE92" s="145"/>
      <c r="AF92" s="145"/>
      <c r="AG92" s="145"/>
      <c r="AH92" s="145"/>
      <c r="AI92" s="145"/>
      <c r="AJ92" s="145"/>
    </row>
    <row r="93" spans="1:36" ht="15" customHeight="1" x14ac:dyDescent="0.25">
      <c r="A93" s="57"/>
      <c r="B93" s="57"/>
      <c r="C93" s="57"/>
      <c r="D93" s="57"/>
      <c r="E93" s="58"/>
      <c r="F93" s="182" t="s">
        <v>706</v>
      </c>
      <c r="G93" s="183"/>
      <c r="H93" s="183"/>
      <c r="I93" s="183"/>
      <c r="J93" s="147" t="s">
        <v>707</v>
      </c>
      <c r="K93" s="184">
        <v>43729</v>
      </c>
      <c r="L93" s="185"/>
      <c r="M93" s="186"/>
      <c r="N93" s="60"/>
      <c r="O93" s="60"/>
      <c r="P93" s="60"/>
      <c r="Q93" s="60"/>
      <c r="R93" s="60"/>
      <c r="S93" s="145"/>
      <c r="T93" s="145"/>
      <c r="U93" s="145"/>
      <c r="V93" s="145"/>
      <c r="W93" s="145"/>
      <c r="X93" s="145"/>
      <c r="Y93" s="145"/>
      <c r="Z93" s="145"/>
      <c r="AA93" s="145"/>
      <c r="AB93" s="145"/>
      <c r="AC93" s="145"/>
      <c r="AD93" s="145"/>
      <c r="AE93" s="145"/>
      <c r="AF93" s="145"/>
      <c r="AG93" s="145"/>
      <c r="AH93" s="145"/>
      <c r="AI93" s="145"/>
      <c r="AJ93" s="145"/>
    </row>
    <row r="94" spans="1:36" ht="15" customHeight="1" x14ac:dyDescent="0.25">
      <c r="A94" s="64"/>
      <c r="B94" s="60"/>
      <c r="C94" s="60"/>
      <c r="D94" s="62"/>
      <c r="E94" s="60"/>
      <c r="F94" s="182" t="s">
        <v>703</v>
      </c>
      <c r="G94" s="183"/>
      <c r="H94" s="183"/>
      <c r="I94" s="183"/>
      <c r="J94" s="147" t="s">
        <v>708</v>
      </c>
      <c r="K94" s="184">
        <v>43492</v>
      </c>
      <c r="L94" s="185"/>
      <c r="M94" s="186"/>
      <c r="N94" s="60"/>
      <c r="O94" s="60"/>
      <c r="P94" s="60"/>
      <c r="Q94" s="60"/>
      <c r="R94" s="60"/>
      <c r="S94" s="145"/>
      <c r="T94" s="145"/>
      <c r="U94" s="145"/>
      <c r="V94" s="145"/>
      <c r="W94" s="145"/>
      <c r="X94" s="145"/>
      <c r="Y94" s="145"/>
      <c r="Z94" s="145"/>
      <c r="AA94" s="145"/>
      <c r="AB94" s="145"/>
      <c r="AC94" s="145"/>
      <c r="AD94" s="145"/>
      <c r="AE94" s="145"/>
      <c r="AF94" s="145"/>
      <c r="AG94" s="145"/>
      <c r="AH94" s="145"/>
      <c r="AI94" s="145"/>
      <c r="AJ94" s="145"/>
    </row>
    <row r="95" spans="1:36" ht="15" customHeight="1" x14ac:dyDescent="0.25">
      <c r="A95" s="65"/>
      <c r="B95" s="66"/>
      <c r="C95" s="66"/>
      <c r="D95" s="67"/>
      <c r="E95" s="67"/>
      <c r="F95" s="182" t="s">
        <v>706</v>
      </c>
      <c r="G95" s="183"/>
      <c r="H95" s="183"/>
      <c r="I95" s="183"/>
      <c r="J95" s="147" t="s">
        <v>709</v>
      </c>
      <c r="K95" s="184">
        <v>43406</v>
      </c>
      <c r="L95" s="185"/>
      <c r="M95" s="186"/>
      <c r="N95" s="57"/>
      <c r="O95" s="57"/>
      <c r="P95" s="57"/>
      <c r="Q95" s="58"/>
      <c r="R95" s="59"/>
      <c r="S95" s="145"/>
      <c r="T95" s="145"/>
      <c r="U95" s="145"/>
      <c r="V95" s="145"/>
      <c r="W95" s="145"/>
      <c r="X95" s="145"/>
      <c r="Y95" s="145"/>
      <c r="Z95" s="145"/>
      <c r="AA95" s="145"/>
      <c r="AB95" s="145"/>
      <c r="AC95" s="145"/>
      <c r="AD95" s="145"/>
      <c r="AE95" s="145"/>
      <c r="AF95" s="145"/>
      <c r="AG95" s="145"/>
      <c r="AH95" s="145"/>
      <c r="AI95" s="145"/>
      <c r="AJ95" s="145"/>
    </row>
    <row r="96" spans="1:36" ht="15" customHeight="1" x14ac:dyDescent="0.25">
      <c r="A96" s="69"/>
      <c r="B96" s="69"/>
      <c r="C96" s="70"/>
      <c r="D96" s="70"/>
      <c r="E96" s="60"/>
      <c r="F96" s="182" t="s">
        <v>706</v>
      </c>
      <c r="G96" s="183"/>
      <c r="H96" s="183"/>
      <c r="I96" s="183"/>
      <c r="J96" s="147" t="s">
        <v>710</v>
      </c>
      <c r="K96" s="184">
        <v>42351</v>
      </c>
      <c r="L96" s="185"/>
      <c r="M96" s="186"/>
      <c r="N96" s="60"/>
      <c r="O96" s="60"/>
      <c r="P96" s="60"/>
      <c r="Q96" s="60"/>
      <c r="R96" s="60"/>
      <c r="S96" s="145"/>
      <c r="T96" s="145"/>
      <c r="U96" s="145"/>
      <c r="V96" s="145"/>
      <c r="W96" s="145"/>
      <c r="X96" s="145"/>
      <c r="Y96" s="145"/>
      <c r="Z96" s="145"/>
      <c r="AA96" s="145"/>
      <c r="AB96" s="145"/>
      <c r="AC96" s="145"/>
      <c r="AD96" s="145"/>
      <c r="AE96" s="145"/>
      <c r="AF96" s="145"/>
      <c r="AG96" s="145"/>
      <c r="AH96" s="145"/>
      <c r="AI96" s="145"/>
      <c r="AJ96" s="145"/>
    </row>
    <row r="97" spans="1:36" ht="15" customHeight="1" x14ac:dyDescent="0.25">
      <c r="A97" s="60"/>
      <c r="B97" s="60"/>
      <c r="C97" s="60"/>
      <c r="D97" s="60"/>
      <c r="E97" s="60"/>
      <c r="F97" s="182" t="s">
        <v>703</v>
      </c>
      <c r="G97" s="183"/>
      <c r="H97" s="183"/>
      <c r="I97" s="183"/>
      <c r="J97" s="147" t="s">
        <v>711</v>
      </c>
      <c r="K97" s="184">
        <v>42323</v>
      </c>
      <c r="L97" s="185"/>
      <c r="M97" s="186"/>
      <c r="N97" s="60"/>
      <c r="O97" s="60"/>
      <c r="P97" s="60"/>
      <c r="Q97" s="60"/>
      <c r="R97" s="60"/>
      <c r="S97" s="145"/>
      <c r="T97" s="145"/>
      <c r="U97" s="145"/>
      <c r="V97" s="145"/>
      <c r="W97" s="145"/>
      <c r="X97" s="145"/>
      <c r="Y97" s="145"/>
      <c r="Z97" s="145"/>
      <c r="AA97" s="145"/>
      <c r="AB97" s="145"/>
      <c r="AC97" s="145"/>
      <c r="AD97" s="145"/>
      <c r="AE97" s="145"/>
      <c r="AF97" s="145"/>
      <c r="AG97" s="145"/>
      <c r="AH97" s="145"/>
      <c r="AI97" s="145"/>
      <c r="AJ97" s="145"/>
    </row>
    <row r="98" spans="1:36" ht="15" customHeight="1" thickBot="1" x14ac:dyDescent="0.3">
      <c r="A98" s="60"/>
      <c r="B98" s="60"/>
      <c r="C98" s="60"/>
      <c r="D98" s="60"/>
      <c r="E98" s="60"/>
      <c r="F98" s="299" t="s">
        <v>703</v>
      </c>
      <c r="G98" s="300"/>
      <c r="H98" s="300"/>
      <c r="I98" s="300"/>
      <c r="J98" s="148" t="s">
        <v>712</v>
      </c>
      <c r="K98" s="301">
        <v>41692</v>
      </c>
      <c r="L98" s="302"/>
      <c r="M98" s="303"/>
      <c r="N98" s="57"/>
      <c r="O98" s="57"/>
      <c r="P98" s="57"/>
      <c r="Q98" s="57"/>
      <c r="R98" s="71"/>
      <c r="S98" s="145"/>
      <c r="T98" s="145"/>
      <c r="U98" s="145"/>
      <c r="V98" s="145"/>
      <c r="W98" s="145"/>
      <c r="X98" s="145"/>
      <c r="Y98" s="145"/>
      <c r="Z98" s="145"/>
      <c r="AA98" s="145"/>
      <c r="AB98" s="145"/>
      <c r="AC98" s="145"/>
      <c r="AD98" s="145"/>
      <c r="AE98" s="145"/>
      <c r="AF98" s="145"/>
      <c r="AG98" s="145"/>
      <c r="AH98" s="145"/>
      <c r="AI98" s="145"/>
      <c r="AJ98" s="145"/>
    </row>
    <row r="99" spans="1:36" ht="15" customHeight="1" thickTop="1" x14ac:dyDescent="0.25">
      <c r="A99" s="60"/>
      <c r="B99" s="60"/>
      <c r="C99" s="60"/>
      <c r="D99" s="60"/>
      <c r="E99" s="60"/>
      <c r="F99" s="60"/>
      <c r="G99" s="60"/>
      <c r="H99" s="60"/>
      <c r="I99" s="60"/>
      <c r="J99" s="60"/>
      <c r="K99" s="60"/>
      <c r="L99" s="60"/>
      <c r="M99" s="57"/>
      <c r="N99" s="57"/>
      <c r="O99" s="57"/>
      <c r="P99" s="57"/>
      <c r="Q99" s="57"/>
      <c r="R99" s="71"/>
      <c r="S99" s="145"/>
      <c r="T99" s="145"/>
      <c r="U99" s="145"/>
      <c r="V99" s="145"/>
      <c r="W99" s="145"/>
      <c r="X99" s="145"/>
      <c r="Y99" s="145"/>
      <c r="Z99" s="145"/>
      <c r="AA99" s="145"/>
      <c r="AB99" s="145"/>
      <c r="AC99" s="145"/>
      <c r="AD99" s="145"/>
      <c r="AE99" s="145"/>
      <c r="AF99" s="145"/>
      <c r="AG99" s="145"/>
      <c r="AH99" s="145"/>
      <c r="AI99" s="145"/>
      <c r="AJ99" s="145"/>
    </row>
    <row r="100" spans="1:36" ht="15" customHeight="1" x14ac:dyDescent="0.25">
      <c r="A100" s="57"/>
      <c r="B100" s="57"/>
      <c r="C100" s="57"/>
      <c r="D100" s="57"/>
      <c r="E100" s="60"/>
      <c r="F100" s="60"/>
      <c r="G100" s="277">
        <v>44209</v>
      </c>
      <c r="H100" s="278"/>
      <c r="I100" s="278"/>
      <c r="J100" s="278"/>
      <c r="K100" s="278"/>
      <c r="L100" s="278"/>
      <c r="M100" s="57"/>
      <c r="N100" s="60"/>
      <c r="O100" s="60"/>
      <c r="P100" s="60"/>
      <c r="Q100" s="60"/>
      <c r="R100" s="60"/>
      <c r="S100" s="145"/>
      <c r="T100" s="145"/>
      <c r="U100" s="145"/>
      <c r="V100" s="145"/>
      <c r="W100" s="145"/>
      <c r="X100" s="145"/>
      <c r="Y100" s="145"/>
      <c r="Z100" s="145"/>
      <c r="AA100" s="145"/>
      <c r="AB100" s="145"/>
      <c r="AC100" s="145"/>
      <c r="AD100" s="145"/>
      <c r="AE100" s="145"/>
      <c r="AF100" s="145"/>
      <c r="AG100" s="145"/>
      <c r="AH100" s="145"/>
      <c r="AI100" s="145"/>
      <c r="AJ100" s="145"/>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oKFhAv8vn3naUPFWYi1I/o6YGXPzN4gPiy0fDxCYYASMt8BvOw+WLwxpPcJtF2ohtnlo2jg2FxqkfnsFbFA79Q==" saltValue="KmjOC7ABvQ9Bv4nFueLAtQ==" spinCount="100000" sheet="1" objects="1" scenarios="1" selectLockedCells="1"/>
  <mergeCells count="1498">
    <mergeCell ref="AC56:AF56"/>
    <mergeCell ref="AH56:AJ56"/>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F48:DM50"/>
    <mergeCell ref="DO48:DV48"/>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5:BE15"/>
    <mergeCell ref="BF15:BG15"/>
    <mergeCell ref="BJ15:BK15"/>
    <mergeCell ref="BM15:BN15"/>
    <mergeCell ref="BO15:BQ15"/>
    <mergeCell ref="BR15:BS15"/>
    <mergeCell ref="BI16:BK16"/>
    <mergeCell ref="BL16:BN1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S26:U26"/>
    <mergeCell ref="V26:W26"/>
    <mergeCell ref="W18:X18"/>
    <mergeCell ref="S19:U19"/>
    <mergeCell ref="V19:X19"/>
    <mergeCell ref="S20:U20"/>
    <mergeCell ref="V20:W20"/>
    <mergeCell ref="S23:V23"/>
    <mergeCell ref="Z23:AC23"/>
    <mergeCell ref="AE23:AH23"/>
    <mergeCell ref="T24:U24"/>
    <mergeCell ref="W24:X24"/>
    <mergeCell ref="AF24:AG24"/>
    <mergeCell ref="AI24:AJ24"/>
    <mergeCell ref="S25:U25"/>
    <mergeCell ref="V25:X25"/>
    <mergeCell ref="Y25:AB25"/>
    <mergeCell ref="AE25:AG25"/>
    <mergeCell ref="AH25:AJ25"/>
    <mergeCell ref="Z26:AA26"/>
    <mergeCell ref="AC26:AD26"/>
    <mergeCell ref="AE26:AG26"/>
    <mergeCell ref="AH26:AI26"/>
    <mergeCell ref="AH15:AI15"/>
    <mergeCell ref="Q13:R13"/>
    <mergeCell ref="M14:O14"/>
    <mergeCell ref="P14:R14"/>
    <mergeCell ref="M15:O15"/>
    <mergeCell ref="P15:Q15"/>
    <mergeCell ref="G14:J14"/>
    <mergeCell ref="H15:I15"/>
    <mergeCell ref="K15:L15"/>
    <mergeCell ref="A9:C9"/>
    <mergeCell ref="D9:E9"/>
    <mergeCell ref="A12:D12"/>
    <mergeCell ref="B13:C13"/>
    <mergeCell ref="E13:F13"/>
    <mergeCell ref="A14:C14"/>
    <mergeCell ref="D14:F14"/>
    <mergeCell ref="A15:C15"/>
    <mergeCell ref="D15:E15"/>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G16:I16"/>
    <mergeCell ref="M17:P17"/>
    <mergeCell ref="N18:O18"/>
    <mergeCell ref="Q18:R18"/>
    <mergeCell ref="M19:O19"/>
    <mergeCell ref="P19:R19"/>
    <mergeCell ref="M20:O20"/>
    <mergeCell ref="P20:Q20"/>
    <mergeCell ref="H12:K12"/>
    <mergeCell ref="H8:K9"/>
    <mergeCell ref="Q2:R2"/>
    <mergeCell ref="M3:O3"/>
    <mergeCell ref="P3:R3"/>
    <mergeCell ref="M4:O4"/>
    <mergeCell ref="P4:Q4"/>
    <mergeCell ref="M6:P6"/>
    <mergeCell ref="N7:O7"/>
    <mergeCell ref="Q7:R7"/>
    <mergeCell ref="E37:F37"/>
    <mergeCell ref="Q40:R40"/>
    <mergeCell ref="A20:C20"/>
    <mergeCell ref="D20:E20"/>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E47:I47"/>
    <mergeCell ref="A51:I52"/>
    <mergeCell ref="J51:R52"/>
    <mergeCell ref="N44:P44"/>
    <mergeCell ref="Q36:R36"/>
    <mergeCell ref="N39:O39"/>
    <mergeCell ref="K39:L39"/>
    <mergeCell ref="P39:R39"/>
    <mergeCell ref="J42:P42"/>
    <mergeCell ref="K43:L43"/>
    <mergeCell ref="P43:R43"/>
    <mergeCell ref="J49:M49"/>
    <mergeCell ref="N49:R49"/>
    <mergeCell ref="Q24:R24"/>
    <mergeCell ref="G25:J25"/>
    <mergeCell ref="G17:I17"/>
    <mergeCell ref="J17:K17"/>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A54:B54"/>
    <mergeCell ref="E54:F54"/>
    <mergeCell ref="J54:K54"/>
    <mergeCell ref="N54:O54"/>
    <mergeCell ref="C43:D43"/>
    <mergeCell ref="E43:F43"/>
    <mergeCell ref="A44:C44"/>
    <mergeCell ref="D44:E44"/>
    <mergeCell ref="A47:D47"/>
    <mergeCell ref="J38:P38"/>
    <mergeCell ref="A74:B74"/>
    <mergeCell ref="J80:K80"/>
    <mergeCell ref="M77:O77"/>
    <mergeCell ref="A75:B75"/>
    <mergeCell ref="M75:N75"/>
    <mergeCell ref="G72:H72"/>
    <mergeCell ref="D72:E72"/>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G77:I77"/>
    <mergeCell ref="M78:N78"/>
    <mergeCell ref="P71:Q71"/>
    <mergeCell ref="J72:K72"/>
    <mergeCell ref="M72:N72"/>
    <mergeCell ref="P78:Q78"/>
    <mergeCell ref="P75:Q75"/>
    <mergeCell ref="J74:K74"/>
    <mergeCell ref="M74:N74"/>
    <mergeCell ref="J79:K79"/>
    <mergeCell ref="A70:C70"/>
    <mergeCell ref="A64:B64"/>
    <mergeCell ref="C64:D64"/>
    <mergeCell ref="M73:N73"/>
    <mergeCell ref="A79:B79"/>
    <mergeCell ref="D79:E79"/>
    <mergeCell ref="G79:H79"/>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G62:H62"/>
    <mergeCell ref="E63:F63"/>
    <mergeCell ref="G63:H63"/>
    <mergeCell ref="L59:Q59"/>
    <mergeCell ref="N61:Q61"/>
    <mergeCell ref="J62:K62"/>
    <mergeCell ref="L63:M63"/>
    <mergeCell ref="N63:O63"/>
    <mergeCell ref="P63:Q63"/>
    <mergeCell ref="N55:O55"/>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F97:I97"/>
    <mergeCell ref="K97:M97"/>
    <mergeCell ref="J71:K71"/>
    <mergeCell ref="M71:N71"/>
    <mergeCell ref="M70:O70"/>
    <mergeCell ref="F96:I96"/>
    <mergeCell ref="K96:M96"/>
    <mergeCell ref="P73:Q73"/>
    <mergeCell ref="G80:H80"/>
    <mergeCell ref="N62:O62"/>
    <mergeCell ref="P62:Q62"/>
    <mergeCell ref="D70:F70"/>
    <mergeCell ref="G70:I70"/>
    <mergeCell ref="J70:L70"/>
    <mergeCell ref="M25:O25"/>
    <mergeCell ref="P25:R25"/>
    <mergeCell ref="T7:U7"/>
    <mergeCell ref="W7:X7"/>
    <mergeCell ref="T13:U13"/>
    <mergeCell ref="W13:X13"/>
    <mergeCell ref="S14:U14"/>
    <mergeCell ref="V14:X14"/>
    <mergeCell ref="S15:U15"/>
    <mergeCell ref="V15:W15"/>
    <mergeCell ref="S1:V1"/>
    <mergeCell ref="S17:V17"/>
    <mergeCell ref="T18:U18"/>
    <mergeCell ref="S8:U8"/>
    <mergeCell ref="V8:X8"/>
    <mergeCell ref="Z8:AC9"/>
    <mergeCell ref="AE8:AG8"/>
    <mergeCell ref="AH8:AJ8"/>
    <mergeCell ref="S9:U9"/>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E3:AG3"/>
    <mergeCell ref="AH3:AJ3"/>
    <mergeCell ref="A87:D87"/>
    <mergeCell ref="F98:I98"/>
    <mergeCell ref="K98:M98"/>
    <mergeCell ref="A82:B82"/>
    <mergeCell ref="F94:I94"/>
    <mergeCell ref="K94:M94"/>
    <mergeCell ref="F90:M90"/>
    <mergeCell ref="F91:I91"/>
    <mergeCell ref="K91:M91"/>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B34:AH34"/>
    <mergeCell ref="T35:U35"/>
    <mergeCell ref="AK8:AM8"/>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100:L100"/>
    <mergeCell ref="J77:L77"/>
    <mergeCell ref="J78:K78"/>
    <mergeCell ref="K95:M95"/>
    <mergeCell ref="F95:I95"/>
    <mergeCell ref="D82:E82"/>
    <mergeCell ref="G82:H82"/>
    <mergeCell ref="A85:H85"/>
    <mergeCell ref="A86:D86"/>
    <mergeCell ref="E86:H86"/>
    <mergeCell ref="E87:H87"/>
    <mergeCell ref="J85:Q85"/>
    <mergeCell ref="J86:M86"/>
    <mergeCell ref="N86:Q86"/>
    <mergeCell ref="J87:M87"/>
    <mergeCell ref="N87:Q87"/>
    <mergeCell ref="AZ9:BA9"/>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B28:AC28"/>
    <mergeCell ref="AE28:AH28"/>
    <mergeCell ref="AB27:AD27"/>
    <mergeCell ref="W35:X35"/>
    <mergeCell ref="AC35:AD35"/>
    <mergeCell ref="AK9:AM9"/>
    <mergeCell ref="AN9:AO9"/>
    <mergeCell ref="AW9:AY9"/>
    <mergeCell ref="F92:I92"/>
    <mergeCell ref="K92:M92"/>
    <mergeCell ref="F93:I93"/>
    <mergeCell ref="K93:M93"/>
    <mergeCell ref="J65:K65"/>
    <mergeCell ref="L65:M65"/>
    <mergeCell ref="N65:O65"/>
    <mergeCell ref="P65:Q65"/>
    <mergeCell ref="S43:T43"/>
    <mergeCell ref="U43:V43"/>
    <mergeCell ref="W43:X43"/>
    <mergeCell ref="AF43:AG43"/>
    <mergeCell ref="AH43:AJ43"/>
    <mergeCell ref="Z34:Z44"/>
    <mergeCell ref="S44:U44"/>
    <mergeCell ref="V44:W44"/>
    <mergeCell ref="AC44:AE44"/>
    <mergeCell ref="AF44:AH44"/>
    <mergeCell ref="AF35:AG35"/>
    <mergeCell ref="AH35:AJ35"/>
    <mergeCell ref="T36:U36"/>
    <mergeCell ref="V36:W36"/>
    <mergeCell ref="T29:U29"/>
    <mergeCell ref="W29:X29"/>
    <mergeCell ref="M82:N82"/>
    <mergeCell ref="G65:H65"/>
    <mergeCell ref="E66:F66"/>
    <mergeCell ref="G66:H66"/>
    <mergeCell ref="J61:M61"/>
    <mergeCell ref="AR30:AU31"/>
    <mergeCell ref="AW30:AY30"/>
    <mergeCell ref="AZ30:BB30"/>
    <mergeCell ref="AK31:AM31"/>
    <mergeCell ref="AN31:AO31"/>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Q6:AS6"/>
    <mergeCell ref="AT6:AU6"/>
    <mergeCell ref="AW6:AZ6"/>
    <mergeCell ref="AX7:AY7"/>
    <mergeCell ref="BA7:BB7"/>
    <mergeCell ref="AK25:AM25"/>
    <mergeCell ref="AN8:AP8"/>
    <mergeCell ref="AR8:AU9"/>
    <mergeCell ref="AW8:AY8"/>
    <mergeCell ref="AZ8:BB8"/>
    <mergeCell ref="AN25:AP25"/>
    <mergeCell ref="AQ25:AT25"/>
    <mergeCell ref="AW25:AY25"/>
    <mergeCell ref="AZ25:BB25"/>
    <mergeCell ref="AR26:AS26"/>
    <mergeCell ref="AU26:AV26"/>
    <mergeCell ref="AW26:AY26"/>
    <mergeCell ref="AZ26:BA26"/>
    <mergeCell ref="AQ27:AS27"/>
    <mergeCell ref="AK37:AL37"/>
    <mergeCell ref="AM37:AN37"/>
    <mergeCell ref="AO37:AP37"/>
    <mergeCell ref="AK38:AM38"/>
    <mergeCell ref="AN38:AO38"/>
    <mergeCell ref="AT38:AZ38"/>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Q17:AS17"/>
    <mergeCell ref="AT17:AU17"/>
    <mergeCell ref="AW17:AZ17"/>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W28:AZ28"/>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44:AM44"/>
    <mergeCell ref="AN44:AO44"/>
    <mergeCell ref="AU44:AW44"/>
    <mergeCell ref="AX44:AZ44"/>
    <mergeCell ref="BA44:BB44"/>
    <mergeCell ref="AU40:AW40"/>
    <mergeCell ref="AX40:AZ40"/>
    <mergeCell ref="AW31:AY31"/>
    <mergeCell ref="AZ31:BA31"/>
    <mergeCell ref="AX29:AY29"/>
    <mergeCell ref="BA29:BB29"/>
    <mergeCell ref="S47:V47"/>
    <mergeCell ref="W47:AA47"/>
    <mergeCell ref="AB47:AE47"/>
    <mergeCell ref="AF47:AJ47"/>
    <mergeCell ref="S56:V56"/>
    <mergeCell ref="X56:Z56"/>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30:AM30"/>
    <mergeCell ref="AN30:AP30"/>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AC50:AJ50"/>
    <mergeCell ref="AC54:AJ54"/>
  </mergeCells>
  <conditionalFormatting sqref="A51:R52">
    <cfRule type="cellIs" dxfId="365" priority="393" stopIfTrue="1" operator="equal">
      <formula>"OTR"</formula>
    </cfRule>
    <cfRule type="cellIs" dxfId="364" priority="394" stopIfTrue="1" operator="equal">
      <formula>"PAR"</formula>
    </cfRule>
    <cfRule type="cellIs" dxfId="363" priority="395" stopIfTrue="1" operator="equal">
      <formula>"CLP"</formula>
    </cfRule>
    <cfRule type="cellIs" dxfId="362" priority="396" stopIfTrue="1" operator="equal">
      <formula>"HAT"</formula>
    </cfRule>
    <cfRule type="cellIs" dxfId="361" priority="397" stopIfTrue="1" operator="equal">
      <formula>"LIB"</formula>
    </cfRule>
    <cfRule type="cellIs" dxfId="360" priority="398" stopIfTrue="1" operator="equal">
      <formula>"BA"</formula>
    </cfRule>
    <cfRule type="cellIs" dxfId="359" priority="399" stopIfTrue="1" operator="equal">
      <formula>"SPA"</formula>
    </cfRule>
    <cfRule type="cellIs" dxfId="358" priority="400" stopIfTrue="1" operator="equal">
      <formula>"OST"</formula>
    </cfRule>
    <cfRule type="cellIs" dxfId="357" priority="401" stopIfTrue="1" operator="equal">
      <formula>"BOH"</formula>
    </cfRule>
    <cfRule type="cellIs" dxfId="356" priority="402" stopIfTrue="1" operator="equal">
      <formula>"TAT"</formula>
    </cfRule>
    <cfRule type="cellIs" dxfId="355" priority="403" stopIfTrue="1" operator="equal">
      <formula>"MB"</formula>
    </cfRule>
    <cfRule type="cellIs" dxfId="354" priority="404" stopIfTrue="1" operator="equal">
      <formula>"VIT"</formula>
    </cfRule>
    <cfRule type="cellIs" dxfId="353" priority="405" stopIfTrue="1" operator="equal">
      <formula>"CHO"</formula>
    </cfRule>
    <cfRule type="cellIs" dxfId="352" priority="406" stopIfTrue="1" operator="equal">
      <formula>"SKV"</formula>
    </cfRule>
  </conditionalFormatting>
  <conditionalFormatting sqref="H19:K20">
    <cfRule type="cellIs" dxfId="351" priority="379" stopIfTrue="1" operator="equal">
      <formula>"OTR"</formula>
    </cfRule>
    <cfRule type="cellIs" dxfId="350" priority="380" stopIfTrue="1" operator="equal">
      <formula>"PAR"</formula>
    </cfRule>
    <cfRule type="cellIs" dxfId="349" priority="381" stopIfTrue="1" operator="equal">
      <formula>"CLP"</formula>
    </cfRule>
    <cfRule type="cellIs" dxfId="348" priority="382" stopIfTrue="1" operator="equal">
      <formula>"HAT"</formula>
    </cfRule>
    <cfRule type="cellIs" dxfId="347" priority="383" stopIfTrue="1" operator="equal">
      <formula>"LIB"</formula>
    </cfRule>
    <cfRule type="cellIs" dxfId="346" priority="384" stopIfTrue="1" operator="equal">
      <formula>"BA"</formula>
    </cfRule>
    <cfRule type="cellIs" dxfId="345" priority="385" stopIfTrue="1" operator="equal">
      <formula>"SPA"</formula>
    </cfRule>
    <cfRule type="cellIs" dxfId="344" priority="386" stopIfTrue="1" operator="equal">
      <formula>"OST"</formula>
    </cfRule>
    <cfRule type="cellIs" dxfId="343" priority="387" stopIfTrue="1" operator="equal">
      <formula>"BOH"</formula>
    </cfRule>
    <cfRule type="cellIs" dxfId="342" priority="388" stopIfTrue="1" operator="equal">
      <formula>"TAT"</formula>
    </cfRule>
    <cfRule type="cellIs" dxfId="341" priority="389" stopIfTrue="1" operator="equal">
      <formula>"MB"</formula>
    </cfRule>
    <cfRule type="cellIs" dxfId="340" priority="390" stopIfTrue="1" operator="equal">
      <formula>"VIT"</formula>
    </cfRule>
    <cfRule type="cellIs" dxfId="339" priority="391" stopIfTrue="1" operator="equal">
      <formula>"CHO"</formula>
    </cfRule>
    <cfRule type="cellIs" dxfId="338" priority="392" stopIfTrue="1" operator="equal">
      <formula>"SKV"</formula>
    </cfRule>
  </conditionalFormatting>
  <conditionalFormatting sqref="Z8:AC9">
    <cfRule type="cellIs" dxfId="337" priority="337" stopIfTrue="1" operator="equal">
      <formula>"OTR"</formula>
    </cfRule>
    <cfRule type="cellIs" dxfId="336" priority="338" stopIfTrue="1" operator="equal">
      <formula>"PAR"</formula>
    </cfRule>
    <cfRule type="cellIs" dxfId="335" priority="339" stopIfTrue="1" operator="equal">
      <formula>"CLP"</formula>
    </cfRule>
    <cfRule type="cellIs" dxfId="334" priority="340" stopIfTrue="1" operator="equal">
      <formula>"HAT"</formula>
    </cfRule>
    <cfRule type="cellIs" dxfId="333" priority="341" stopIfTrue="1" operator="equal">
      <formula>"LIB"</formula>
    </cfRule>
    <cfRule type="cellIs" dxfId="332" priority="342" stopIfTrue="1" operator="equal">
      <formula>"BA"</formula>
    </cfRule>
    <cfRule type="cellIs" dxfId="331" priority="343" stopIfTrue="1" operator="equal">
      <formula>"SPA"</formula>
    </cfRule>
    <cfRule type="cellIs" dxfId="330" priority="344" stopIfTrue="1" operator="equal">
      <formula>"OST"</formula>
    </cfRule>
    <cfRule type="cellIs" dxfId="329" priority="345" stopIfTrue="1" operator="equal">
      <formula>"BOH"</formula>
    </cfRule>
    <cfRule type="cellIs" dxfId="328" priority="346" stopIfTrue="1" operator="equal">
      <formula>"TAT"</formula>
    </cfRule>
    <cfRule type="cellIs" dxfId="327" priority="347" stopIfTrue="1" operator="equal">
      <formula>"MB"</formula>
    </cfRule>
    <cfRule type="cellIs" dxfId="326" priority="348" stopIfTrue="1" operator="equal">
      <formula>"VIT"</formula>
    </cfRule>
    <cfRule type="cellIs" dxfId="325" priority="349" stopIfTrue="1" operator="equal">
      <formula>"CHO"</formula>
    </cfRule>
    <cfRule type="cellIs" dxfId="324" priority="350" stopIfTrue="1" operator="equal">
      <formula>"SKV"</formula>
    </cfRule>
  </conditionalFormatting>
  <conditionalFormatting sqref="H8:K9">
    <cfRule type="cellIs" dxfId="323" priority="351" stopIfTrue="1" operator="equal">
      <formula>"OTR"</formula>
    </cfRule>
    <cfRule type="cellIs" dxfId="322" priority="352" stopIfTrue="1" operator="equal">
      <formula>"PAR"</formula>
    </cfRule>
    <cfRule type="cellIs" dxfId="321" priority="353" stopIfTrue="1" operator="equal">
      <formula>"CLP"</formula>
    </cfRule>
    <cfRule type="cellIs" dxfId="320" priority="354" stopIfTrue="1" operator="equal">
      <formula>"HAT"</formula>
    </cfRule>
    <cfRule type="cellIs" dxfId="319" priority="355" stopIfTrue="1" operator="equal">
      <formula>"LIB"</formula>
    </cfRule>
    <cfRule type="cellIs" dxfId="318" priority="356" stopIfTrue="1" operator="equal">
      <formula>"BA"</formula>
    </cfRule>
    <cfRule type="cellIs" dxfId="317" priority="357" stopIfTrue="1" operator="equal">
      <formula>"SPA"</formula>
    </cfRule>
    <cfRule type="cellIs" dxfId="316" priority="358" stopIfTrue="1" operator="equal">
      <formula>"OST"</formula>
    </cfRule>
    <cfRule type="cellIs" dxfId="315" priority="359" stopIfTrue="1" operator="equal">
      <formula>"BOH"</formula>
    </cfRule>
    <cfRule type="cellIs" dxfId="314" priority="360" stopIfTrue="1" operator="equal">
      <formula>"TAT"</formula>
    </cfRule>
    <cfRule type="cellIs" dxfId="313" priority="361" stopIfTrue="1" operator="equal">
      <formula>"MB"</formula>
    </cfRule>
    <cfRule type="cellIs" dxfId="312" priority="362" stopIfTrue="1" operator="equal">
      <formula>"VIT"</formula>
    </cfRule>
    <cfRule type="cellIs" dxfId="311" priority="363" stopIfTrue="1" operator="equal">
      <formula>"CHO"</formula>
    </cfRule>
    <cfRule type="cellIs" dxfId="310" priority="364" stopIfTrue="1" operator="equal">
      <formula>"SKV"</formula>
    </cfRule>
  </conditionalFormatting>
  <conditionalFormatting sqref="Z19:AC20">
    <cfRule type="cellIs" dxfId="309" priority="323" stopIfTrue="1" operator="equal">
      <formula>"OTR"</formula>
    </cfRule>
    <cfRule type="cellIs" dxfId="308" priority="324" stopIfTrue="1" operator="equal">
      <formula>"PAR"</formula>
    </cfRule>
    <cfRule type="cellIs" dxfId="307" priority="325" stopIfTrue="1" operator="equal">
      <formula>"CLP"</formula>
    </cfRule>
    <cfRule type="cellIs" dxfId="306" priority="326" stopIfTrue="1" operator="equal">
      <formula>"HAT"</formula>
    </cfRule>
    <cfRule type="cellIs" dxfId="305" priority="327" stopIfTrue="1" operator="equal">
      <formula>"LIB"</formula>
    </cfRule>
    <cfRule type="cellIs" dxfId="304" priority="328" stopIfTrue="1" operator="equal">
      <formula>"BA"</formula>
    </cfRule>
    <cfRule type="cellIs" dxfId="303" priority="329" stopIfTrue="1" operator="equal">
      <formula>"SPA"</formula>
    </cfRule>
    <cfRule type="cellIs" dxfId="302" priority="330" stopIfTrue="1" operator="equal">
      <formula>"OST"</formula>
    </cfRule>
    <cfRule type="cellIs" dxfId="301" priority="331" stopIfTrue="1" operator="equal">
      <formula>"BOH"</formula>
    </cfRule>
    <cfRule type="cellIs" dxfId="300" priority="332" stopIfTrue="1" operator="equal">
      <formula>"TAT"</formula>
    </cfRule>
    <cfRule type="cellIs" dxfId="299" priority="333" stopIfTrue="1" operator="equal">
      <formula>"MB"</formula>
    </cfRule>
    <cfRule type="cellIs" dxfId="298" priority="334" stopIfTrue="1" operator="equal">
      <formula>"VIT"</formula>
    </cfRule>
    <cfRule type="cellIs" dxfId="297" priority="335" stopIfTrue="1" operator="equal">
      <formula>"CHO"</formula>
    </cfRule>
    <cfRule type="cellIs" dxfId="296" priority="336" stopIfTrue="1" operator="equal">
      <formula>"SKV"</formula>
    </cfRule>
  </conditionalFormatting>
  <conditionalFormatting sqref="H30:K31">
    <cfRule type="cellIs" dxfId="295" priority="295" stopIfTrue="1" operator="equal">
      <formula>"OTR"</formula>
    </cfRule>
    <cfRule type="cellIs" dxfId="294" priority="296" stopIfTrue="1" operator="equal">
      <formula>"PAR"</formula>
    </cfRule>
    <cfRule type="cellIs" dxfId="293" priority="297" stopIfTrue="1" operator="equal">
      <formula>"CLP"</formula>
    </cfRule>
    <cfRule type="cellIs" dxfId="292" priority="298" stopIfTrue="1" operator="equal">
      <formula>"HAT"</formula>
    </cfRule>
    <cfRule type="cellIs" dxfId="291" priority="299" stopIfTrue="1" operator="equal">
      <formula>"LIB"</formula>
    </cfRule>
    <cfRule type="cellIs" dxfId="290" priority="300" stopIfTrue="1" operator="equal">
      <formula>"BA"</formula>
    </cfRule>
    <cfRule type="cellIs" dxfId="289" priority="301" stopIfTrue="1" operator="equal">
      <formula>"SPA"</formula>
    </cfRule>
    <cfRule type="cellIs" dxfId="288" priority="302" stopIfTrue="1" operator="equal">
      <formula>"OST"</formula>
    </cfRule>
    <cfRule type="cellIs" dxfId="287" priority="303" stopIfTrue="1" operator="equal">
      <formula>"BOH"</formula>
    </cfRule>
    <cfRule type="cellIs" dxfId="286" priority="304" stopIfTrue="1" operator="equal">
      <formula>"TAT"</formula>
    </cfRule>
    <cfRule type="cellIs" dxfId="285" priority="305" stopIfTrue="1" operator="equal">
      <formula>"MB"</formula>
    </cfRule>
    <cfRule type="cellIs" dxfId="284" priority="306" stopIfTrue="1" operator="equal">
      <formula>"VIT"</formula>
    </cfRule>
    <cfRule type="cellIs" dxfId="283" priority="307" stopIfTrue="1" operator="equal">
      <formula>"CHO"</formula>
    </cfRule>
    <cfRule type="cellIs" dxfId="282" priority="308" stopIfTrue="1" operator="equal">
      <formula>"SKV"</formula>
    </cfRule>
  </conditionalFormatting>
  <conditionalFormatting sqref="Z30:AC31">
    <cfRule type="cellIs" dxfId="281" priority="281" stopIfTrue="1" operator="equal">
      <formula>"OTR"</formula>
    </cfRule>
    <cfRule type="cellIs" dxfId="280" priority="282" stopIfTrue="1" operator="equal">
      <formula>"PAR"</formula>
    </cfRule>
    <cfRule type="cellIs" dxfId="279" priority="283" stopIfTrue="1" operator="equal">
      <formula>"CLP"</formula>
    </cfRule>
    <cfRule type="cellIs" dxfId="278" priority="284" stopIfTrue="1" operator="equal">
      <formula>"HAT"</formula>
    </cfRule>
    <cfRule type="cellIs" dxfId="277" priority="285" stopIfTrue="1" operator="equal">
      <formula>"LIB"</formula>
    </cfRule>
    <cfRule type="cellIs" dxfId="276" priority="286" stopIfTrue="1" operator="equal">
      <formula>"BA"</formula>
    </cfRule>
    <cfRule type="cellIs" dxfId="275" priority="287" stopIfTrue="1" operator="equal">
      <formula>"SPA"</formula>
    </cfRule>
    <cfRule type="cellIs" dxfId="274" priority="288" stopIfTrue="1" operator="equal">
      <formula>"OST"</formula>
    </cfRule>
    <cfRule type="cellIs" dxfId="273" priority="289" stopIfTrue="1" operator="equal">
      <formula>"BOH"</formula>
    </cfRule>
    <cfRule type="cellIs" dxfId="272" priority="290" stopIfTrue="1" operator="equal">
      <formula>"TAT"</formula>
    </cfRule>
    <cfRule type="cellIs" dxfId="271" priority="291" stopIfTrue="1" operator="equal">
      <formula>"MB"</formula>
    </cfRule>
    <cfRule type="cellIs" dxfId="270" priority="292" stopIfTrue="1" operator="equal">
      <formula>"VIT"</formula>
    </cfRule>
    <cfRule type="cellIs" dxfId="269" priority="293" stopIfTrue="1" operator="equal">
      <formula>"CHO"</formula>
    </cfRule>
    <cfRule type="cellIs" dxfId="268" priority="294" stopIfTrue="1" operator="equal">
      <formula>"SKV"</formula>
    </cfRule>
  </conditionalFormatting>
  <conditionalFormatting sqref="AR8:AU9">
    <cfRule type="cellIs" dxfId="267" priority="267" stopIfTrue="1" operator="equal">
      <formula>"OTR"</formula>
    </cfRule>
    <cfRule type="cellIs" dxfId="266" priority="268" stopIfTrue="1" operator="equal">
      <formula>"PAR"</formula>
    </cfRule>
    <cfRule type="cellIs" dxfId="265" priority="269" stopIfTrue="1" operator="equal">
      <formula>"CLP"</formula>
    </cfRule>
    <cfRule type="cellIs" dxfId="264" priority="270" stopIfTrue="1" operator="equal">
      <formula>"HAT"</formula>
    </cfRule>
    <cfRule type="cellIs" dxfId="263" priority="271" stopIfTrue="1" operator="equal">
      <formula>"LIB"</formula>
    </cfRule>
    <cfRule type="cellIs" dxfId="262" priority="272" stopIfTrue="1" operator="equal">
      <formula>"BA"</formula>
    </cfRule>
    <cfRule type="cellIs" dxfId="261" priority="273" stopIfTrue="1" operator="equal">
      <formula>"SPA"</formula>
    </cfRule>
    <cfRule type="cellIs" dxfId="260" priority="274" stopIfTrue="1" operator="equal">
      <formula>"OST"</formula>
    </cfRule>
    <cfRule type="cellIs" dxfId="259" priority="275" stopIfTrue="1" operator="equal">
      <formula>"BOH"</formula>
    </cfRule>
    <cfRule type="cellIs" dxfId="258" priority="276" stopIfTrue="1" operator="equal">
      <formula>"TAT"</formula>
    </cfRule>
    <cfRule type="cellIs" dxfId="257" priority="277" stopIfTrue="1" operator="equal">
      <formula>"MB"</formula>
    </cfRule>
    <cfRule type="cellIs" dxfId="256" priority="278" stopIfTrue="1" operator="equal">
      <formula>"VIT"</formula>
    </cfRule>
    <cfRule type="cellIs" dxfId="255" priority="279" stopIfTrue="1" operator="equal">
      <formula>"CHO"</formula>
    </cfRule>
    <cfRule type="cellIs" dxfId="254" priority="280" stopIfTrue="1" operator="equal">
      <formula>"SKV"</formula>
    </cfRule>
  </conditionalFormatting>
  <conditionalFormatting sqref="AR30:AU31">
    <cfRule type="cellIs" dxfId="253" priority="225" stopIfTrue="1" operator="equal">
      <formula>"OTR"</formula>
    </cfRule>
    <cfRule type="cellIs" dxfId="252" priority="226" stopIfTrue="1" operator="equal">
      <formula>"PAR"</formula>
    </cfRule>
    <cfRule type="cellIs" dxfId="251" priority="227" stopIfTrue="1" operator="equal">
      <formula>"CLP"</formula>
    </cfRule>
    <cfRule type="cellIs" dxfId="250" priority="228" stopIfTrue="1" operator="equal">
      <formula>"HAT"</formula>
    </cfRule>
    <cfRule type="cellIs" dxfId="249" priority="229" stopIfTrue="1" operator="equal">
      <formula>"LIB"</formula>
    </cfRule>
    <cfRule type="cellIs" dxfId="248" priority="230" stopIfTrue="1" operator="equal">
      <formula>"BA"</formula>
    </cfRule>
    <cfRule type="cellIs" dxfId="247" priority="231" stopIfTrue="1" operator="equal">
      <formula>"SPA"</formula>
    </cfRule>
    <cfRule type="cellIs" dxfId="246" priority="232" stopIfTrue="1" operator="equal">
      <formula>"OST"</formula>
    </cfRule>
    <cfRule type="cellIs" dxfId="245" priority="233" stopIfTrue="1" operator="equal">
      <formula>"BOH"</formula>
    </cfRule>
    <cfRule type="cellIs" dxfId="244" priority="234" stopIfTrue="1" operator="equal">
      <formula>"TAT"</formula>
    </cfRule>
    <cfRule type="cellIs" dxfId="243" priority="235" stopIfTrue="1" operator="equal">
      <formula>"MB"</formula>
    </cfRule>
    <cfRule type="cellIs" dxfId="242" priority="236" stopIfTrue="1" operator="equal">
      <formula>"VIT"</formula>
    </cfRule>
    <cfRule type="cellIs" dxfId="241" priority="237" stopIfTrue="1" operator="equal">
      <formula>"CHO"</formula>
    </cfRule>
    <cfRule type="cellIs" dxfId="240" priority="238" stopIfTrue="1" operator="equal">
      <formula>"SKV"</formula>
    </cfRule>
  </conditionalFormatting>
  <conditionalFormatting sqref="AR19:AU20">
    <cfRule type="cellIs" dxfId="239" priority="211" stopIfTrue="1" operator="equal">
      <formula>"OTR"</formula>
    </cfRule>
    <cfRule type="cellIs" dxfId="238" priority="212" stopIfTrue="1" operator="equal">
      <formula>"PAR"</formula>
    </cfRule>
    <cfRule type="cellIs" dxfId="237" priority="213" stopIfTrue="1" operator="equal">
      <formula>"CLP"</formula>
    </cfRule>
    <cfRule type="cellIs" dxfId="236" priority="214" stopIfTrue="1" operator="equal">
      <formula>"HAT"</formula>
    </cfRule>
    <cfRule type="cellIs" dxfId="235" priority="215" stopIfTrue="1" operator="equal">
      <formula>"LIB"</formula>
    </cfRule>
    <cfRule type="cellIs" dxfId="234" priority="216" stopIfTrue="1" operator="equal">
      <formula>"BA"</formula>
    </cfRule>
    <cfRule type="cellIs" dxfId="233" priority="217" stopIfTrue="1" operator="equal">
      <formula>"SPA"</formula>
    </cfRule>
    <cfRule type="cellIs" dxfId="232" priority="218" stopIfTrue="1" operator="equal">
      <formula>"OST"</formula>
    </cfRule>
    <cfRule type="cellIs" dxfId="231" priority="219" stopIfTrue="1" operator="equal">
      <formula>"BOH"</formula>
    </cfRule>
    <cfRule type="cellIs" dxfId="230" priority="220" stopIfTrue="1" operator="equal">
      <formula>"TAT"</formula>
    </cfRule>
    <cfRule type="cellIs" dxfId="229" priority="221" stopIfTrue="1" operator="equal">
      <formula>"MB"</formula>
    </cfRule>
    <cfRule type="cellIs" dxfId="228" priority="222" stopIfTrue="1" operator="equal">
      <formula>"VIT"</formula>
    </cfRule>
    <cfRule type="cellIs" dxfId="227" priority="223" stopIfTrue="1" operator="equal">
      <formula>"CHO"</formula>
    </cfRule>
    <cfRule type="cellIs" dxfId="226" priority="224" stopIfTrue="1" operator="equal">
      <formula>"SKV"</formula>
    </cfRule>
  </conditionalFormatting>
  <conditionalFormatting sqref="BJ8:BM9">
    <cfRule type="cellIs" dxfId="225" priority="197" stopIfTrue="1" operator="equal">
      <formula>"OTR"</formula>
    </cfRule>
    <cfRule type="cellIs" dxfId="224" priority="198" stopIfTrue="1" operator="equal">
      <formula>"PAR"</formula>
    </cfRule>
    <cfRule type="cellIs" dxfId="223" priority="199" stopIfTrue="1" operator="equal">
      <formula>"CLP"</formula>
    </cfRule>
    <cfRule type="cellIs" dxfId="222" priority="200" stopIfTrue="1" operator="equal">
      <formula>"HAT"</formula>
    </cfRule>
    <cfRule type="cellIs" dxfId="221" priority="201" stopIfTrue="1" operator="equal">
      <formula>"LIB"</formula>
    </cfRule>
    <cfRule type="cellIs" dxfId="220" priority="202" stopIfTrue="1" operator="equal">
      <formula>"BA"</formula>
    </cfRule>
    <cfRule type="cellIs" dxfId="219" priority="203" stopIfTrue="1" operator="equal">
      <formula>"SPA"</formula>
    </cfRule>
    <cfRule type="cellIs" dxfId="218" priority="204" stopIfTrue="1" operator="equal">
      <formula>"OST"</formula>
    </cfRule>
    <cfRule type="cellIs" dxfId="217" priority="205" stopIfTrue="1" operator="equal">
      <formula>"BOH"</formula>
    </cfRule>
    <cfRule type="cellIs" dxfId="216" priority="206" stopIfTrue="1" operator="equal">
      <formula>"TAT"</formula>
    </cfRule>
    <cfRule type="cellIs" dxfId="215" priority="207" stopIfTrue="1" operator="equal">
      <formula>"MB"</formula>
    </cfRule>
    <cfRule type="cellIs" dxfId="214" priority="208" stopIfTrue="1" operator="equal">
      <formula>"VIT"</formula>
    </cfRule>
    <cfRule type="cellIs" dxfId="213" priority="209" stopIfTrue="1" operator="equal">
      <formula>"CHO"</formula>
    </cfRule>
    <cfRule type="cellIs" dxfId="212" priority="210" stopIfTrue="1" operator="equal">
      <formula>"SKV"</formula>
    </cfRule>
  </conditionalFormatting>
  <conditionalFormatting sqref="BJ30:BM31">
    <cfRule type="cellIs" dxfId="211" priority="183" stopIfTrue="1" operator="equal">
      <formula>"OTR"</formula>
    </cfRule>
    <cfRule type="cellIs" dxfId="210" priority="184" stopIfTrue="1" operator="equal">
      <formula>"PAR"</formula>
    </cfRule>
    <cfRule type="cellIs" dxfId="209" priority="185" stopIfTrue="1" operator="equal">
      <formula>"CLP"</formula>
    </cfRule>
    <cfRule type="cellIs" dxfId="208" priority="186" stopIfTrue="1" operator="equal">
      <formula>"HAT"</formula>
    </cfRule>
    <cfRule type="cellIs" dxfId="207" priority="187" stopIfTrue="1" operator="equal">
      <formula>"LIB"</formula>
    </cfRule>
    <cfRule type="cellIs" dxfId="206" priority="188" stopIfTrue="1" operator="equal">
      <formula>"BA"</formula>
    </cfRule>
    <cfRule type="cellIs" dxfId="205" priority="189" stopIfTrue="1" operator="equal">
      <formula>"SPA"</formula>
    </cfRule>
    <cfRule type="cellIs" dxfId="204" priority="190" stopIfTrue="1" operator="equal">
      <formula>"OST"</formula>
    </cfRule>
    <cfRule type="cellIs" dxfId="203" priority="191" stopIfTrue="1" operator="equal">
      <formula>"BOH"</formula>
    </cfRule>
    <cfRule type="cellIs" dxfId="202" priority="192" stopIfTrue="1" operator="equal">
      <formula>"TAT"</formula>
    </cfRule>
    <cfRule type="cellIs" dxfId="201" priority="193" stopIfTrue="1" operator="equal">
      <formula>"MB"</formula>
    </cfRule>
    <cfRule type="cellIs" dxfId="200" priority="194" stopIfTrue="1" operator="equal">
      <formula>"VIT"</formula>
    </cfRule>
    <cfRule type="cellIs" dxfId="199" priority="195" stopIfTrue="1" operator="equal">
      <formula>"CHO"</formula>
    </cfRule>
    <cfRule type="cellIs" dxfId="198" priority="196" stopIfTrue="1" operator="equal">
      <formula>"SKV"</formula>
    </cfRule>
  </conditionalFormatting>
  <conditionalFormatting sqref="BJ19:BM20">
    <cfRule type="cellIs" dxfId="197" priority="169" stopIfTrue="1" operator="equal">
      <formula>"OTR"</formula>
    </cfRule>
    <cfRule type="cellIs" dxfId="196" priority="170" stopIfTrue="1" operator="equal">
      <formula>"PAR"</formula>
    </cfRule>
    <cfRule type="cellIs" dxfId="195" priority="171" stopIfTrue="1" operator="equal">
      <formula>"CLP"</formula>
    </cfRule>
    <cfRule type="cellIs" dxfId="194" priority="172" stopIfTrue="1" operator="equal">
      <formula>"HAT"</formula>
    </cfRule>
    <cfRule type="cellIs" dxfId="193" priority="173" stopIfTrue="1" operator="equal">
      <formula>"LIB"</formula>
    </cfRule>
    <cfRule type="cellIs" dxfId="192" priority="174" stopIfTrue="1" operator="equal">
      <formula>"BA"</formula>
    </cfRule>
    <cfRule type="cellIs" dxfId="191" priority="175" stopIfTrue="1" operator="equal">
      <formula>"SPA"</formula>
    </cfRule>
    <cfRule type="cellIs" dxfId="190" priority="176" stopIfTrue="1" operator="equal">
      <formula>"OST"</formula>
    </cfRule>
    <cfRule type="cellIs" dxfId="189" priority="177" stopIfTrue="1" operator="equal">
      <formula>"BOH"</formula>
    </cfRule>
    <cfRule type="cellIs" dxfId="188" priority="178" stopIfTrue="1" operator="equal">
      <formula>"TAT"</formula>
    </cfRule>
    <cfRule type="cellIs" dxfId="187" priority="179" stopIfTrue="1" operator="equal">
      <formula>"MB"</formula>
    </cfRule>
    <cfRule type="cellIs" dxfId="186" priority="180" stopIfTrue="1" operator="equal">
      <formula>"VIT"</formula>
    </cfRule>
    <cfRule type="cellIs" dxfId="185" priority="181" stopIfTrue="1" operator="equal">
      <formula>"CHO"</formula>
    </cfRule>
    <cfRule type="cellIs" dxfId="184" priority="182" stopIfTrue="1" operator="equal">
      <formula>"SKV"</formula>
    </cfRule>
  </conditionalFormatting>
  <conditionalFormatting sqref="CB8:CE9">
    <cfRule type="cellIs" dxfId="183" priority="155" stopIfTrue="1" operator="equal">
      <formula>"OTR"</formula>
    </cfRule>
    <cfRule type="cellIs" dxfId="182" priority="156" stopIfTrue="1" operator="equal">
      <formula>"PAR"</formula>
    </cfRule>
    <cfRule type="cellIs" dxfId="181" priority="157" stopIfTrue="1" operator="equal">
      <formula>"CLP"</formula>
    </cfRule>
    <cfRule type="cellIs" dxfId="180" priority="158" stopIfTrue="1" operator="equal">
      <formula>"HAT"</formula>
    </cfRule>
    <cfRule type="cellIs" dxfId="179" priority="159" stopIfTrue="1" operator="equal">
      <formula>"LIB"</formula>
    </cfRule>
    <cfRule type="cellIs" dxfId="178" priority="160" stopIfTrue="1" operator="equal">
      <formula>"BA"</formula>
    </cfRule>
    <cfRule type="cellIs" dxfId="177" priority="161" stopIfTrue="1" operator="equal">
      <formula>"SPA"</formula>
    </cfRule>
    <cfRule type="cellIs" dxfId="176" priority="162" stopIfTrue="1" operator="equal">
      <formula>"OST"</formula>
    </cfRule>
    <cfRule type="cellIs" dxfId="175" priority="163" stopIfTrue="1" operator="equal">
      <formula>"BOH"</formula>
    </cfRule>
    <cfRule type="cellIs" dxfId="174" priority="164" stopIfTrue="1" operator="equal">
      <formula>"TAT"</formula>
    </cfRule>
    <cfRule type="cellIs" dxfId="173" priority="165" stopIfTrue="1" operator="equal">
      <formula>"MB"</formula>
    </cfRule>
    <cfRule type="cellIs" dxfId="172" priority="166" stopIfTrue="1" operator="equal">
      <formula>"VIT"</formula>
    </cfRule>
    <cfRule type="cellIs" dxfId="171" priority="167" stopIfTrue="1" operator="equal">
      <formula>"CHO"</formula>
    </cfRule>
    <cfRule type="cellIs" dxfId="170" priority="168" stopIfTrue="1" operator="equal">
      <formula>"SKV"</formula>
    </cfRule>
  </conditionalFormatting>
  <conditionalFormatting sqref="CB30:CE31">
    <cfRule type="cellIs" dxfId="169" priority="141" stopIfTrue="1" operator="equal">
      <formula>"OTR"</formula>
    </cfRule>
    <cfRule type="cellIs" dxfId="168" priority="142" stopIfTrue="1" operator="equal">
      <formula>"PAR"</formula>
    </cfRule>
    <cfRule type="cellIs" dxfId="167" priority="143" stopIfTrue="1" operator="equal">
      <formula>"CLP"</formula>
    </cfRule>
    <cfRule type="cellIs" dxfId="166" priority="144" stopIfTrue="1" operator="equal">
      <formula>"HAT"</formula>
    </cfRule>
    <cfRule type="cellIs" dxfId="165" priority="145" stopIfTrue="1" operator="equal">
      <formula>"LIB"</formula>
    </cfRule>
    <cfRule type="cellIs" dxfId="164" priority="146" stopIfTrue="1" operator="equal">
      <formula>"BA"</formula>
    </cfRule>
    <cfRule type="cellIs" dxfId="163" priority="147" stopIfTrue="1" operator="equal">
      <formula>"SPA"</formula>
    </cfRule>
    <cfRule type="cellIs" dxfId="162" priority="148" stopIfTrue="1" operator="equal">
      <formula>"OST"</formula>
    </cfRule>
    <cfRule type="cellIs" dxfId="161" priority="149" stopIfTrue="1" operator="equal">
      <formula>"BOH"</formula>
    </cfRule>
    <cfRule type="cellIs" dxfId="160" priority="150" stopIfTrue="1" operator="equal">
      <formula>"TAT"</formula>
    </cfRule>
    <cfRule type="cellIs" dxfId="159" priority="151" stopIfTrue="1" operator="equal">
      <formula>"MB"</formula>
    </cfRule>
    <cfRule type="cellIs" dxfId="158" priority="152" stopIfTrue="1" operator="equal">
      <formula>"VIT"</formula>
    </cfRule>
    <cfRule type="cellIs" dxfId="157" priority="153" stopIfTrue="1" operator="equal">
      <formula>"CHO"</formula>
    </cfRule>
    <cfRule type="cellIs" dxfId="156" priority="154" stopIfTrue="1" operator="equal">
      <formula>"SKV"</formula>
    </cfRule>
  </conditionalFormatting>
  <conditionalFormatting sqref="CB19:CE20">
    <cfRule type="cellIs" dxfId="155" priority="127" stopIfTrue="1" operator="equal">
      <formula>"OTR"</formula>
    </cfRule>
    <cfRule type="cellIs" dxfId="154" priority="128" stopIfTrue="1" operator="equal">
      <formula>"PAR"</formula>
    </cfRule>
    <cfRule type="cellIs" dxfId="153" priority="129" stopIfTrue="1" operator="equal">
      <formula>"CLP"</formula>
    </cfRule>
    <cfRule type="cellIs" dxfId="152" priority="130" stopIfTrue="1" operator="equal">
      <formula>"HAT"</formula>
    </cfRule>
    <cfRule type="cellIs" dxfId="151" priority="131" stopIfTrue="1" operator="equal">
      <formula>"LIB"</formula>
    </cfRule>
    <cfRule type="cellIs" dxfId="150" priority="132" stopIfTrue="1" operator="equal">
      <formula>"BA"</formula>
    </cfRule>
    <cfRule type="cellIs" dxfId="149" priority="133" stopIfTrue="1" operator="equal">
      <formula>"SPA"</formula>
    </cfRule>
    <cfRule type="cellIs" dxfId="148" priority="134" stopIfTrue="1" operator="equal">
      <formula>"OST"</formula>
    </cfRule>
    <cfRule type="cellIs" dxfId="147" priority="135" stopIfTrue="1" operator="equal">
      <formula>"BOH"</formula>
    </cfRule>
    <cfRule type="cellIs" dxfId="146" priority="136" stopIfTrue="1" operator="equal">
      <formula>"TAT"</formula>
    </cfRule>
    <cfRule type="cellIs" dxfId="145" priority="137" stopIfTrue="1" operator="equal">
      <formula>"MB"</formula>
    </cfRule>
    <cfRule type="cellIs" dxfId="144" priority="138" stopIfTrue="1" operator="equal">
      <formula>"VIT"</formula>
    </cfRule>
    <cfRule type="cellIs" dxfId="143" priority="139" stopIfTrue="1" operator="equal">
      <formula>"CHO"</formula>
    </cfRule>
    <cfRule type="cellIs" dxfId="142" priority="140" stopIfTrue="1" operator="equal">
      <formula>"SKV"</formula>
    </cfRule>
  </conditionalFormatting>
  <conditionalFormatting sqref="CT8:CW9">
    <cfRule type="cellIs" dxfId="141" priority="113" stopIfTrue="1" operator="equal">
      <formula>"OTR"</formula>
    </cfRule>
    <cfRule type="cellIs" dxfId="140" priority="114" stopIfTrue="1" operator="equal">
      <formula>"PAR"</formula>
    </cfRule>
    <cfRule type="cellIs" dxfId="139" priority="115" stopIfTrue="1" operator="equal">
      <formula>"CLP"</formula>
    </cfRule>
    <cfRule type="cellIs" dxfId="138" priority="116" stopIfTrue="1" operator="equal">
      <formula>"HAT"</formula>
    </cfRule>
    <cfRule type="cellIs" dxfId="137" priority="117" stopIfTrue="1" operator="equal">
      <formula>"LIB"</formula>
    </cfRule>
    <cfRule type="cellIs" dxfId="136" priority="118" stopIfTrue="1" operator="equal">
      <formula>"BA"</formula>
    </cfRule>
    <cfRule type="cellIs" dxfId="135" priority="119" stopIfTrue="1" operator="equal">
      <formula>"SPA"</formula>
    </cfRule>
    <cfRule type="cellIs" dxfId="134" priority="120" stopIfTrue="1" operator="equal">
      <formula>"OST"</formula>
    </cfRule>
    <cfRule type="cellIs" dxfId="133" priority="121" stopIfTrue="1" operator="equal">
      <formula>"BOH"</formula>
    </cfRule>
    <cfRule type="cellIs" dxfId="132" priority="122" stopIfTrue="1" operator="equal">
      <formula>"TAT"</formula>
    </cfRule>
    <cfRule type="cellIs" dxfId="131" priority="123" stopIfTrue="1" operator="equal">
      <formula>"MB"</formula>
    </cfRule>
    <cfRule type="cellIs" dxfId="130" priority="124" stopIfTrue="1" operator="equal">
      <formula>"VIT"</formula>
    </cfRule>
    <cfRule type="cellIs" dxfId="129" priority="125" stopIfTrue="1" operator="equal">
      <formula>"CHO"</formula>
    </cfRule>
    <cfRule type="cellIs" dxfId="128" priority="126" stopIfTrue="1" operator="equal">
      <formula>"SKV"</formula>
    </cfRule>
  </conditionalFormatting>
  <conditionalFormatting sqref="CT30:CW31">
    <cfRule type="cellIs" dxfId="127" priority="99" stopIfTrue="1" operator="equal">
      <formula>"OTR"</formula>
    </cfRule>
    <cfRule type="cellIs" dxfId="126" priority="100" stopIfTrue="1" operator="equal">
      <formula>"PAR"</formula>
    </cfRule>
    <cfRule type="cellIs" dxfId="125" priority="101" stopIfTrue="1" operator="equal">
      <formula>"CLP"</formula>
    </cfRule>
    <cfRule type="cellIs" dxfId="124" priority="102" stopIfTrue="1" operator="equal">
      <formula>"HAT"</formula>
    </cfRule>
    <cfRule type="cellIs" dxfId="123" priority="103" stopIfTrue="1" operator="equal">
      <formula>"LIB"</formula>
    </cfRule>
    <cfRule type="cellIs" dxfId="122" priority="104" stopIfTrue="1" operator="equal">
      <formula>"BA"</formula>
    </cfRule>
    <cfRule type="cellIs" dxfId="121" priority="105" stopIfTrue="1" operator="equal">
      <formula>"SPA"</formula>
    </cfRule>
    <cfRule type="cellIs" dxfId="120" priority="106" stopIfTrue="1" operator="equal">
      <formula>"OST"</formula>
    </cfRule>
    <cfRule type="cellIs" dxfId="119" priority="107" stopIfTrue="1" operator="equal">
      <formula>"BOH"</formula>
    </cfRule>
    <cfRule type="cellIs" dxfId="118" priority="108" stopIfTrue="1" operator="equal">
      <formula>"TAT"</formula>
    </cfRule>
    <cfRule type="cellIs" dxfId="117" priority="109" stopIfTrue="1" operator="equal">
      <formula>"MB"</formula>
    </cfRule>
    <cfRule type="cellIs" dxfId="116" priority="110" stopIfTrue="1" operator="equal">
      <formula>"VIT"</formula>
    </cfRule>
    <cfRule type="cellIs" dxfId="115" priority="111" stopIfTrue="1" operator="equal">
      <formula>"CHO"</formula>
    </cfRule>
    <cfRule type="cellIs" dxfId="114" priority="112" stopIfTrue="1" operator="equal">
      <formula>"SKV"</formula>
    </cfRule>
  </conditionalFormatting>
  <conditionalFormatting sqref="CT19:CW20">
    <cfRule type="cellIs" dxfId="113" priority="85" stopIfTrue="1" operator="equal">
      <formula>"OTR"</formula>
    </cfRule>
    <cfRule type="cellIs" dxfId="112" priority="86" stopIfTrue="1" operator="equal">
      <formula>"PAR"</formula>
    </cfRule>
    <cfRule type="cellIs" dxfId="111" priority="87" stopIfTrue="1" operator="equal">
      <formula>"CLP"</formula>
    </cfRule>
    <cfRule type="cellIs" dxfId="110" priority="88" stopIfTrue="1" operator="equal">
      <formula>"HAT"</formula>
    </cfRule>
    <cfRule type="cellIs" dxfId="109" priority="89" stopIfTrue="1" operator="equal">
      <formula>"LIB"</formula>
    </cfRule>
    <cfRule type="cellIs" dxfId="108" priority="90" stopIfTrue="1" operator="equal">
      <formula>"BA"</formula>
    </cfRule>
    <cfRule type="cellIs" dxfId="107" priority="91" stopIfTrue="1" operator="equal">
      <formula>"SPA"</formula>
    </cfRule>
    <cfRule type="cellIs" dxfId="106" priority="92" stopIfTrue="1" operator="equal">
      <formula>"OST"</formula>
    </cfRule>
    <cfRule type="cellIs" dxfId="105" priority="93" stopIfTrue="1" operator="equal">
      <formula>"BOH"</formula>
    </cfRule>
    <cfRule type="cellIs" dxfId="104" priority="94" stopIfTrue="1" operator="equal">
      <formula>"TAT"</formula>
    </cfRule>
    <cfRule type="cellIs" dxfId="103" priority="95" stopIfTrue="1" operator="equal">
      <formula>"MB"</formula>
    </cfRule>
    <cfRule type="cellIs" dxfId="102" priority="96" stopIfTrue="1" operator="equal">
      <formula>"VIT"</formula>
    </cfRule>
    <cfRule type="cellIs" dxfId="101" priority="97" stopIfTrue="1" operator="equal">
      <formula>"CHO"</formula>
    </cfRule>
    <cfRule type="cellIs" dxfId="100" priority="98" stopIfTrue="1" operator="equal">
      <formula>"SKV"</formula>
    </cfRule>
  </conditionalFormatting>
  <conditionalFormatting sqref="DL8:DO9">
    <cfRule type="cellIs" dxfId="99" priority="71" stopIfTrue="1" operator="equal">
      <formula>"OTR"</formula>
    </cfRule>
    <cfRule type="cellIs" dxfId="98" priority="72" stopIfTrue="1" operator="equal">
      <formula>"PAR"</formula>
    </cfRule>
    <cfRule type="cellIs" dxfId="97" priority="73" stopIfTrue="1" operator="equal">
      <formula>"CLP"</formula>
    </cfRule>
    <cfRule type="cellIs" dxfId="96" priority="74" stopIfTrue="1" operator="equal">
      <formula>"HAT"</formula>
    </cfRule>
    <cfRule type="cellIs" dxfId="95" priority="75" stopIfTrue="1" operator="equal">
      <formula>"LIB"</formula>
    </cfRule>
    <cfRule type="cellIs" dxfId="94" priority="76" stopIfTrue="1" operator="equal">
      <formula>"BA"</formula>
    </cfRule>
    <cfRule type="cellIs" dxfId="93" priority="77" stopIfTrue="1" operator="equal">
      <formula>"SPA"</formula>
    </cfRule>
    <cfRule type="cellIs" dxfId="92" priority="78" stopIfTrue="1" operator="equal">
      <formula>"OST"</formula>
    </cfRule>
    <cfRule type="cellIs" dxfId="91" priority="79" stopIfTrue="1" operator="equal">
      <formula>"BOH"</formula>
    </cfRule>
    <cfRule type="cellIs" dxfId="90" priority="80" stopIfTrue="1" operator="equal">
      <formula>"TAT"</formula>
    </cfRule>
    <cfRule type="cellIs" dxfId="89" priority="81" stopIfTrue="1" operator="equal">
      <formula>"MB"</formula>
    </cfRule>
    <cfRule type="cellIs" dxfId="88" priority="82" stopIfTrue="1" operator="equal">
      <formula>"VIT"</formula>
    </cfRule>
    <cfRule type="cellIs" dxfId="87" priority="83" stopIfTrue="1" operator="equal">
      <formula>"CHO"</formula>
    </cfRule>
    <cfRule type="cellIs" dxfId="86" priority="84" stopIfTrue="1" operator="equal">
      <formula>"SKV"</formula>
    </cfRule>
  </conditionalFormatting>
  <conditionalFormatting sqref="DL30:DO31">
    <cfRule type="cellIs" dxfId="85" priority="57" stopIfTrue="1" operator="equal">
      <formula>"OTR"</formula>
    </cfRule>
    <cfRule type="cellIs" dxfId="84" priority="58" stopIfTrue="1" operator="equal">
      <formula>"PAR"</formula>
    </cfRule>
    <cfRule type="cellIs" dxfId="83" priority="59" stopIfTrue="1" operator="equal">
      <formula>"CLP"</formula>
    </cfRule>
    <cfRule type="cellIs" dxfId="82" priority="60" stopIfTrue="1" operator="equal">
      <formula>"HAT"</formula>
    </cfRule>
    <cfRule type="cellIs" dxfId="81" priority="61" stopIfTrue="1" operator="equal">
      <formula>"LIB"</formula>
    </cfRule>
    <cfRule type="cellIs" dxfId="80" priority="62" stopIfTrue="1" operator="equal">
      <formula>"BA"</formula>
    </cfRule>
    <cfRule type="cellIs" dxfId="79" priority="63" stopIfTrue="1" operator="equal">
      <formula>"SPA"</formula>
    </cfRule>
    <cfRule type="cellIs" dxfId="78" priority="64" stopIfTrue="1" operator="equal">
      <formula>"OST"</formula>
    </cfRule>
    <cfRule type="cellIs" dxfId="77" priority="65" stopIfTrue="1" operator="equal">
      <formula>"BOH"</formula>
    </cfRule>
    <cfRule type="cellIs" dxfId="76" priority="66" stopIfTrue="1" operator="equal">
      <formula>"TAT"</formula>
    </cfRule>
    <cfRule type="cellIs" dxfId="75" priority="67" stopIfTrue="1" operator="equal">
      <formula>"MB"</formula>
    </cfRule>
    <cfRule type="cellIs" dxfId="74" priority="68" stopIfTrue="1" operator="equal">
      <formula>"VIT"</formula>
    </cfRule>
    <cfRule type="cellIs" dxfId="73" priority="69" stopIfTrue="1" operator="equal">
      <formula>"CHO"</formula>
    </cfRule>
    <cfRule type="cellIs" dxfId="72" priority="70" stopIfTrue="1" operator="equal">
      <formula>"SKV"</formula>
    </cfRule>
  </conditionalFormatting>
  <conditionalFormatting sqref="DL19:DO20">
    <cfRule type="cellIs" dxfId="71" priority="43" stopIfTrue="1" operator="equal">
      <formula>"OTR"</formula>
    </cfRule>
    <cfRule type="cellIs" dxfId="70" priority="44" stopIfTrue="1" operator="equal">
      <formula>"PAR"</formula>
    </cfRule>
    <cfRule type="cellIs" dxfId="69" priority="45" stopIfTrue="1" operator="equal">
      <formula>"CLP"</formula>
    </cfRule>
    <cfRule type="cellIs" dxfId="68" priority="46" stopIfTrue="1" operator="equal">
      <formula>"HAT"</formula>
    </cfRule>
    <cfRule type="cellIs" dxfId="67" priority="47" stopIfTrue="1" operator="equal">
      <formula>"LIB"</formula>
    </cfRule>
    <cfRule type="cellIs" dxfId="66" priority="48" stopIfTrue="1" operator="equal">
      <formula>"BA"</formula>
    </cfRule>
    <cfRule type="cellIs" dxfId="65" priority="49" stopIfTrue="1" operator="equal">
      <formula>"SPA"</formula>
    </cfRule>
    <cfRule type="cellIs" dxfId="64" priority="50" stopIfTrue="1" operator="equal">
      <formula>"OST"</formula>
    </cfRule>
    <cfRule type="cellIs" dxfId="63" priority="51" stopIfTrue="1" operator="equal">
      <formula>"BOH"</formula>
    </cfRule>
    <cfRule type="cellIs" dxfId="62" priority="52" stopIfTrue="1" operator="equal">
      <formula>"TAT"</formula>
    </cfRule>
    <cfRule type="cellIs" dxfId="61" priority="53" stopIfTrue="1" operator="equal">
      <formula>"MB"</formula>
    </cfRule>
    <cfRule type="cellIs" dxfId="60" priority="54" stopIfTrue="1" operator="equal">
      <formula>"VIT"</formula>
    </cfRule>
    <cfRule type="cellIs" dxfId="59" priority="55" stopIfTrue="1" operator="equal">
      <formula>"CHO"</formula>
    </cfRule>
    <cfRule type="cellIs" dxfId="58" priority="56" stopIfTrue="1" operator="equal">
      <formula>"SKV"</formula>
    </cfRule>
  </conditionalFormatting>
  <conditionalFormatting sqref="ED8:EG9">
    <cfRule type="cellIs" dxfId="57" priority="29" stopIfTrue="1" operator="equal">
      <formula>"OTR"</formula>
    </cfRule>
    <cfRule type="cellIs" dxfId="56" priority="30" stopIfTrue="1" operator="equal">
      <formula>"PAR"</formula>
    </cfRule>
    <cfRule type="cellIs" dxfId="55" priority="31" stopIfTrue="1" operator="equal">
      <formula>"CLP"</formula>
    </cfRule>
    <cfRule type="cellIs" dxfId="54" priority="32" stopIfTrue="1" operator="equal">
      <formula>"HAT"</formula>
    </cfRule>
    <cfRule type="cellIs" dxfId="53" priority="33" stopIfTrue="1" operator="equal">
      <formula>"LIB"</formula>
    </cfRule>
    <cfRule type="cellIs" dxfId="52" priority="34" stopIfTrue="1" operator="equal">
      <formula>"BA"</formula>
    </cfRule>
    <cfRule type="cellIs" dxfId="51" priority="35" stopIfTrue="1" operator="equal">
      <formula>"SPA"</formula>
    </cfRule>
    <cfRule type="cellIs" dxfId="50" priority="36" stopIfTrue="1" operator="equal">
      <formula>"OST"</formula>
    </cfRule>
    <cfRule type="cellIs" dxfId="49" priority="37" stopIfTrue="1" operator="equal">
      <formula>"BOH"</formula>
    </cfRule>
    <cfRule type="cellIs" dxfId="48" priority="38" stopIfTrue="1" operator="equal">
      <formula>"TAT"</formula>
    </cfRule>
    <cfRule type="cellIs" dxfId="47" priority="39" stopIfTrue="1" operator="equal">
      <formula>"MB"</formula>
    </cfRule>
    <cfRule type="cellIs" dxfId="46" priority="40" stopIfTrue="1" operator="equal">
      <formula>"VIT"</formula>
    </cfRule>
    <cfRule type="cellIs" dxfId="45" priority="41" stopIfTrue="1" operator="equal">
      <formula>"CHO"</formula>
    </cfRule>
    <cfRule type="cellIs" dxfId="44" priority="42" stopIfTrue="1" operator="equal">
      <formula>"SKV"</formula>
    </cfRule>
  </conditionalFormatting>
  <conditionalFormatting sqref="ED30:EG31">
    <cfRule type="cellIs" dxfId="43" priority="15" stopIfTrue="1" operator="equal">
      <formula>"OTR"</formula>
    </cfRule>
    <cfRule type="cellIs" dxfId="42" priority="16" stopIfTrue="1" operator="equal">
      <formula>"PAR"</formula>
    </cfRule>
    <cfRule type="cellIs" dxfId="41" priority="17" stopIfTrue="1" operator="equal">
      <formula>"CLP"</formula>
    </cfRule>
    <cfRule type="cellIs" dxfId="40" priority="18" stopIfTrue="1" operator="equal">
      <formula>"HAT"</formula>
    </cfRule>
    <cfRule type="cellIs" dxfId="39" priority="19" stopIfTrue="1" operator="equal">
      <formula>"LIB"</formula>
    </cfRule>
    <cfRule type="cellIs" dxfId="38" priority="20" stopIfTrue="1" operator="equal">
      <formula>"BA"</formula>
    </cfRule>
    <cfRule type="cellIs" dxfId="37" priority="21" stopIfTrue="1" operator="equal">
      <formula>"SPA"</formula>
    </cfRule>
    <cfRule type="cellIs" dxfId="36" priority="22" stopIfTrue="1" operator="equal">
      <formula>"OST"</formula>
    </cfRule>
    <cfRule type="cellIs" dxfId="35" priority="23" stopIfTrue="1" operator="equal">
      <formula>"BOH"</formula>
    </cfRule>
    <cfRule type="cellIs" dxfId="34" priority="24" stopIfTrue="1" operator="equal">
      <formula>"TAT"</formula>
    </cfRule>
    <cfRule type="cellIs" dxfId="33" priority="25" stopIfTrue="1" operator="equal">
      <formula>"MB"</formula>
    </cfRule>
    <cfRule type="cellIs" dxfId="32" priority="26" stopIfTrue="1" operator="equal">
      <formula>"VIT"</formula>
    </cfRule>
    <cfRule type="cellIs" dxfId="31" priority="27" stopIfTrue="1" operator="equal">
      <formula>"CHO"</formula>
    </cfRule>
    <cfRule type="cellIs" dxfId="30" priority="28" stopIfTrue="1" operator="equal">
      <formula>"SKV"</formula>
    </cfRule>
  </conditionalFormatting>
  <conditionalFormatting sqref="ED19:EG20">
    <cfRule type="cellIs" dxfId="29" priority="1" stopIfTrue="1" operator="equal">
      <formula>"OTR"</formula>
    </cfRule>
    <cfRule type="cellIs" dxfId="28" priority="2" stopIfTrue="1" operator="equal">
      <formula>"PAR"</formula>
    </cfRule>
    <cfRule type="cellIs" dxfId="27" priority="3" stopIfTrue="1" operator="equal">
      <formula>"CLP"</formula>
    </cfRule>
    <cfRule type="cellIs" dxfId="26" priority="4" stopIfTrue="1" operator="equal">
      <formula>"HAT"</formula>
    </cfRule>
    <cfRule type="cellIs" dxfId="25" priority="5" stopIfTrue="1" operator="equal">
      <formula>"LIB"</formula>
    </cfRule>
    <cfRule type="cellIs" dxfId="24" priority="6" stopIfTrue="1" operator="equal">
      <formula>"BA"</formula>
    </cfRule>
    <cfRule type="cellIs" dxfId="23" priority="7" stopIfTrue="1" operator="equal">
      <formula>"SPA"</formula>
    </cfRule>
    <cfRule type="cellIs" dxfId="22" priority="8" stopIfTrue="1" operator="equal">
      <formula>"OST"</formula>
    </cfRule>
    <cfRule type="cellIs" dxfId="21" priority="9" stopIfTrue="1" operator="equal">
      <formula>"BOH"</formula>
    </cfRule>
    <cfRule type="cellIs" dxfId="20" priority="10" stopIfTrue="1" operator="equal">
      <formula>"TAT"</formula>
    </cfRule>
    <cfRule type="cellIs" dxfId="19" priority="11" stopIfTrue="1" operator="equal">
      <formula>"MB"</formula>
    </cfRule>
    <cfRule type="cellIs" dxfId="18" priority="12" stopIfTrue="1" operator="equal">
      <formula>"VIT"</formula>
    </cfRule>
    <cfRule type="cellIs" dxfId="17" priority="13" stopIfTrue="1" operator="equal">
      <formula>"CHO"</formula>
    </cfRule>
    <cfRule type="cellIs" dxfId="16"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2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 DE34:DH34 DE40:DH40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1" customFormat="1" ht="24" customHeight="1" thickTop="1" thickBot="1" x14ac:dyDescent="0.3">
      <c r="A1" s="12" t="s">
        <v>59</v>
      </c>
      <c r="B1" s="13" t="s">
        <v>119</v>
      </c>
      <c r="C1" s="13" t="s">
        <v>84</v>
      </c>
      <c r="D1" s="13" t="s">
        <v>40</v>
      </c>
      <c r="E1" s="13" t="s">
        <v>120</v>
      </c>
      <c r="F1" s="13" t="s">
        <v>121</v>
      </c>
      <c r="G1" s="13" t="s">
        <v>41</v>
      </c>
      <c r="H1" s="14" t="s">
        <v>36</v>
      </c>
      <c r="I1" s="13" t="s">
        <v>122</v>
      </c>
      <c r="J1" s="13" t="s">
        <v>64</v>
      </c>
      <c r="K1" s="13" t="s">
        <v>123</v>
      </c>
      <c r="L1" s="13" t="s">
        <v>121</v>
      </c>
      <c r="M1" s="13" t="s">
        <v>126</v>
      </c>
      <c r="N1" s="13" t="s">
        <v>127</v>
      </c>
      <c r="O1" s="13" t="s">
        <v>124</v>
      </c>
      <c r="P1" s="13" t="s">
        <v>49</v>
      </c>
      <c r="Q1" s="13" t="s">
        <v>125</v>
      </c>
      <c r="R1" s="13" t="s">
        <v>128</v>
      </c>
      <c r="S1" s="13" t="s">
        <v>129</v>
      </c>
      <c r="T1" s="13" t="s">
        <v>38</v>
      </c>
      <c r="U1" s="13" t="s">
        <v>89</v>
      </c>
      <c r="V1" s="15" t="s">
        <v>133</v>
      </c>
      <c r="AE1" s="172"/>
      <c r="AF1" s="172"/>
      <c r="AG1" s="172"/>
    </row>
    <row r="2" spans="1:33" s="176" customFormat="1" ht="24" customHeight="1" x14ac:dyDescent="0.25">
      <c r="A2" s="173">
        <v>1</v>
      </c>
      <c r="B2" s="60" t="str">
        <f>B26</f>
        <v>1. SC TEMPISH Vítkovice</v>
      </c>
      <c r="C2" s="62">
        <f t="shared" ref="C2:K2" si="0">C26</f>
        <v>18</v>
      </c>
      <c r="D2" s="62">
        <f t="shared" si="0"/>
        <v>16</v>
      </c>
      <c r="E2" s="62">
        <f t="shared" si="0"/>
        <v>0</v>
      </c>
      <c r="F2" s="62">
        <f t="shared" si="0"/>
        <v>1</v>
      </c>
      <c r="G2" s="62">
        <f t="shared" si="0"/>
        <v>1</v>
      </c>
      <c r="H2" s="18">
        <f t="shared" si="0"/>
        <v>49</v>
      </c>
      <c r="I2" s="62">
        <f>I26</f>
        <v>164</v>
      </c>
      <c r="J2" s="62">
        <f t="shared" si="0"/>
        <v>78</v>
      </c>
      <c r="K2" s="62">
        <f t="shared" si="0"/>
        <v>86</v>
      </c>
      <c r="L2" s="62">
        <f>L26</f>
        <v>29</v>
      </c>
      <c r="M2" s="62">
        <f t="shared" ref="M2:R2" si="1">M26</f>
        <v>13</v>
      </c>
      <c r="N2" s="62">
        <f t="shared" si="1"/>
        <v>2</v>
      </c>
      <c r="O2" s="174">
        <f t="shared" si="1"/>
        <v>44.83</v>
      </c>
      <c r="P2" s="62">
        <f t="shared" si="1"/>
        <v>21</v>
      </c>
      <c r="Q2" s="62">
        <f t="shared" si="1"/>
        <v>7</v>
      </c>
      <c r="R2" s="62">
        <f t="shared" si="1"/>
        <v>0</v>
      </c>
      <c r="S2" s="174">
        <f>S26</f>
        <v>66.67</v>
      </c>
      <c r="T2" s="62">
        <f>Z26</f>
        <v>44</v>
      </c>
      <c r="U2" s="62">
        <f>AA26</f>
        <v>561</v>
      </c>
      <c r="V2" s="175">
        <f>AB26</f>
        <v>29.23</v>
      </c>
    </row>
    <row r="3" spans="1:33" s="176" customFormat="1" ht="24" customHeight="1" x14ac:dyDescent="0.25">
      <c r="A3" s="19">
        <v>2</v>
      </c>
      <c r="B3" s="20" t="str">
        <f t="shared" ref="B3:K3" si="2">B27</f>
        <v>Předvýběr.CZ Florbal MB</v>
      </c>
      <c r="C3" s="21">
        <f t="shared" si="2"/>
        <v>16</v>
      </c>
      <c r="D3" s="21">
        <f t="shared" si="2"/>
        <v>13</v>
      </c>
      <c r="E3" s="21">
        <f t="shared" si="2"/>
        <v>2</v>
      </c>
      <c r="F3" s="21">
        <f t="shared" si="2"/>
        <v>0</v>
      </c>
      <c r="G3" s="21">
        <f t="shared" si="2"/>
        <v>1</v>
      </c>
      <c r="H3" s="18">
        <f t="shared" si="2"/>
        <v>43</v>
      </c>
      <c r="I3" s="21">
        <f t="shared" si="2"/>
        <v>136</v>
      </c>
      <c r="J3" s="21">
        <f t="shared" si="2"/>
        <v>62</v>
      </c>
      <c r="K3" s="21">
        <f t="shared" si="2"/>
        <v>74</v>
      </c>
      <c r="L3" s="21">
        <f t="shared" ref="L3:S3" si="3">L27</f>
        <v>25</v>
      </c>
      <c r="M3" s="21">
        <f t="shared" si="3"/>
        <v>8</v>
      </c>
      <c r="N3" s="21">
        <f t="shared" si="3"/>
        <v>0</v>
      </c>
      <c r="O3" s="22">
        <f t="shared" si="3"/>
        <v>32</v>
      </c>
      <c r="P3" s="21">
        <f t="shared" si="3"/>
        <v>32</v>
      </c>
      <c r="Q3" s="21">
        <f t="shared" si="3"/>
        <v>6</v>
      </c>
      <c r="R3" s="21">
        <f t="shared" si="3"/>
        <v>5</v>
      </c>
      <c r="S3" s="22">
        <f t="shared" si="3"/>
        <v>81.25</v>
      </c>
      <c r="T3" s="21">
        <f t="shared" ref="T3:T15" si="4">Z27</f>
        <v>82</v>
      </c>
      <c r="U3" s="21">
        <f t="shared" ref="U3:U15" si="5">AA27</f>
        <v>466</v>
      </c>
      <c r="V3" s="23">
        <f t="shared" ref="V3:V15" si="6">AB27</f>
        <v>29.18</v>
      </c>
    </row>
    <row r="4" spans="1:33" s="176" customFormat="1" ht="24" customHeight="1" x14ac:dyDescent="0.25">
      <c r="A4" s="173">
        <v>3</v>
      </c>
      <c r="B4" s="60" t="str">
        <f t="shared" ref="B4:K4" si="7">B28</f>
        <v>Tatran Teka Střešovice</v>
      </c>
      <c r="C4" s="62">
        <f t="shared" si="7"/>
        <v>17</v>
      </c>
      <c r="D4" s="62">
        <f t="shared" si="7"/>
        <v>11</v>
      </c>
      <c r="E4" s="62">
        <f t="shared" si="7"/>
        <v>1</v>
      </c>
      <c r="F4" s="62">
        <f t="shared" si="7"/>
        <v>0</v>
      </c>
      <c r="G4" s="62">
        <f t="shared" si="7"/>
        <v>5</v>
      </c>
      <c r="H4" s="18">
        <f t="shared" si="7"/>
        <v>35</v>
      </c>
      <c r="I4" s="62">
        <f t="shared" si="7"/>
        <v>129</v>
      </c>
      <c r="J4" s="62">
        <f t="shared" si="7"/>
        <v>83</v>
      </c>
      <c r="K4" s="62">
        <f t="shared" si="7"/>
        <v>46</v>
      </c>
      <c r="L4" s="62">
        <f t="shared" ref="L4:S4" si="8">L28</f>
        <v>45</v>
      </c>
      <c r="M4" s="62">
        <f t="shared" si="8"/>
        <v>20</v>
      </c>
      <c r="N4" s="62">
        <f t="shared" si="8"/>
        <v>1</v>
      </c>
      <c r="O4" s="174">
        <f t="shared" si="8"/>
        <v>44.44</v>
      </c>
      <c r="P4" s="62">
        <f t="shared" si="8"/>
        <v>30</v>
      </c>
      <c r="Q4" s="62">
        <f t="shared" si="8"/>
        <v>7</v>
      </c>
      <c r="R4" s="62">
        <f t="shared" si="8"/>
        <v>1</v>
      </c>
      <c r="S4" s="174">
        <f t="shared" si="8"/>
        <v>76.67</v>
      </c>
      <c r="T4" s="62">
        <f t="shared" si="4"/>
        <v>72</v>
      </c>
      <c r="U4" s="62">
        <f t="shared" si="5"/>
        <v>509</v>
      </c>
      <c r="V4" s="175">
        <f t="shared" si="6"/>
        <v>25.34</v>
      </c>
    </row>
    <row r="5" spans="1:33" s="176" customFormat="1" ht="24" customHeight="1" x14ac:dyDescent="0.25">
      <c r="A5" s="19">
        <v>4</v>
      </c>
      <c r="B5" s="20" t="str">
        <f t="shared" ref="B5:K5" si="9">B29</f>
        <v>FbŠ Bohemians</v>
      </c>
      <c r="C5" s="21">
        <f t="shared" si="9"/>
        <v>17</v>
      </c>
      <c r="D5" s="21">
        <f t="shared" si="9"/>
        <v>9</v>
      </c>
      <c r="E5" s="21">
        <f t="shared" si="9"/>
        <v>2</v>
      </c>
      <c r="F5" s="21">
        <f t="shared" si="9"/>
        <v>1</v>
      </c>
      <c r="G5" s="21">
        <f t="shared" si="9"/>
        <v>5</v>
      </c>
      <c r="H5" s="18">
        <f t="shared" si="9"/>
        <v>32</v>
      </c>
      <c r="I5" s="21">
        <f t="shared" si="9"/>
        <v>124</v>
      </c>
      <c r="J5" s="21">
        <f t="shared" si="9"/>
        <v>98</v>
      </c>
      <c r="K5" s="21">
        <f t="shared" si="9"/>
        <v>26</v>
      </c>
      <c r="L5" s="21">
        <f t="shared" ref="L5:S5" si="10">L29</f>
        <v>52</v>
      </c>
      <c r="M5" s="21">
        <f t="shared" si="10"/>
        <v>25</v>
      </c>
      <c r="N5" s="21">
        <f t="shared" si="10"/>
        <v>4</v>
      </c>
      <c r="O5" s="22">
        <f t="shared" si="10"/>
        <v>48.08</v>
      </c>
      <c r="P5" s="21">
        <f t="shared" si="10"/>
        <v>24</v>
      </c>
      <c r="Q5" s="21">
        <f t="shared" si="10"/>
        <v>4</v>
      </c>
      <c r="R5" s="21">
        <f t="shared" si="10"/>
        <v>2</v>
      </c>
      <c r="S5" s="22">
        <f t="shared" si="10"/>
        <v>83.33</v>
      </c>
      <c r="T5" s="21">
        <f t="shared" si="4"/>
        <v>60</v>
      </c>
      <c r="U5" s="21">
        <f t="shared" si="5"/>
        <v>519</v>
      </c>
      <c r="V5" s="23">
        <f t="shared" si="6"/>
        <v>23.89</v>
      </c>
    </row>
    <row r="6" spans="1:33" s="176" customFormat="1" ht="24" customHeight="1" x14ac:dyDescent="0.25">
      <c r="A6" s="173">
        <v>5</v>
      </c>
      <c r="B6" s="60" t="str">
        <f t="shared" ref="B6:K6" si="11">B30</f>
        <v>FBC ČPP OSTRAVA</v>
      </c>
      <c r="C6" s="62">
        <f t="shared" si="11"/>
        <v>18</v>
      </c>
      <c r="D6" s="62">
        <f t="shared" si="11"/>
        <v>9</v>
      </c>
      <c r="E6" s="62">
        <f t="shared" si="11"/>
        <v>2</v>
      </c>
      <c r="F6" s="62">
        <f t="shared" si="11"/>
        <v>1</v>
      </c>
      <c r="G6" s="62">
        <f t="shared" si="11"/>
        <v>6</v>
      </c>
      <c r="H6" s="18">
        <f t="shared" si="11"/>
        <v>32</v>
      </c>
      <c r="I6" s="62">
        <f t="shared" si="11"/>
        <v>106</v>
      </c>
      <c r="J6" s="62">
        <f t="shared" si="11"/>
        <v>98</v>
      </c>
      <c r="K6" s="62">
        <f t="shared" si="11"/>
        <v>8</v>
      </c>
      <c r="L6" s="62">
        <f t="shared" ref="L6:S6" si="12">L30</f>
        <v>32</v>
      </c>
      <c r="M6" s="62">
        <f t="shared" si="12"/>
        <v>9</v>
      </c>
      <c r="N6" s="62">
        <f t="shared" si="12"/>
        <v>1</v>
      </c>
      <c r="O6" s="174">
        <f t="shared" si="12"/>
        <v>28.12</v>
      </c>
      <c r="P6" s="62">
        <f t="shared" si="12"/>
        <v>37</v>
      </c>
      <c r="Q6" s="62">
        <f t="shared" si="12"/>
        <v>12</v>
      </c>
      <c r="R6" s="62">
        <f t="shared" si="12"/>
        <v>2</v>
      </c>
      <c r="S6" s="174">
        <f t="shared" si="12"/>
        <v>67.569999999999993</v>
      </c>
      <c r="T6" s="62">
        <f t="shared" si="4"/>
        <v>76</v>
      </c>
      <c r="U6" s="62">
        <f t="shared" si="5"/>
        <v>456</v>
      </c>
      <c r="V6" s="175">
        <f t="shared" si="6"/>
        <v>23.25</v>
      </c>
    </row>
    <row r="7" spans="1:33" s="176" customFormat="1" ht="24" customHeight="1" x14ac:dyDescent="0.25">
      <c r="A7" s="19">
        <v>6</v>
      </c>
      <c r="B7" s="20" t="str">
        <f t="shared" ref="B7:K7" si="13">B31</f>
        <v>FAT PIPE FLORBAL CHODOV</v>
      </c>
      <c r="C7" s="21">
        <f t="shared" si="13"/>
        <v>16</v>
      </c>
      <c r="D7" s="21">
        <f t="shared" si="13"/>
        <v>10</v>
      </c>
      <c r="E7" s="21">
        <f t="shared" si="13"/>
        <v>0</v>
      </c>
      <c r="F7" s="21">
        <f t="shared" si="13"/>
        <v>1</v>
      </c>
      <c r="G7" s="21">
        <f t="shared" si="13"/>
        <v>5</v>
      </c>
      <c r="H7" s="18">
        <f t="shared" si="13"/>
        <v>31</v>
      </c>
      <c r="I7" s="21">
        <f t="shared" si="13"/>
        <v>104</v>
      </c>
      <c r="J7" s="21">
        <f t="shared" si="13"/>
        <v>89</v>
      </c>
      <c r="K7" s="21">
        <f t="shared" si="13"/>
        <v>15</v>
      </c>
      <c r="L7" s="21">
        <f t="shared" ref="L7:S7" si="14">L31</f>
        <v>26</v>
      </c>
      <c r="M7" s="21">
        <f t="shared" si="14"/>
        <v>9</v>
      </c>
      <c r="N7" s="21">
        <f t="shared" si="14"/>
        <v>0</v>
      </c>
      <c r="O7" s="22">
        <f t="shared" si="14"/>
        <v>34.619999999999997</v>
      </c>
      <c r="P7" s="21">
        <f t="shared" si="14"/>
        <v>26</v>
      </c>
      <c r="Q7" s="21">
        <f t="shared" si="14"/>
        <v>12</v>
      </c>
      <c r="R7" s="21">
        <f t="shared" si="14"/>
        <v>0</v>
      </c>
      <c r="S7" s="22">
        <f t="shared" si="14"/>
        <v>53.85</v>
      </c>
      <c r="T7" s="21">
        <f t="shared" si="4"/>
        <v>74</v>
      </c>
      <c r="U7" s="21">
        <f t="shared" si="5"/>
        <v>481</v>
      </c>
      <c r="V7" s="23">
        <f t="shared" si="6"/>
        <v>21.62</v>
      </c>
    </row>
    <row r="8" spans="1:33" s="176" customFormat="1" ht="24" customHeight="1" x14ac:dyDescent="0.25">
      <c r="A8" s="173">
        <v>7</v>
      </c>
      <c r="B8" s="60" t="str">
        <f t="shared" ref="B8:K8" si="15">B32</f>
        <v>ACEMA Sparta Praha</v>
      </c>
      <c r="C8" s="62">
        <f t="shared" si="15"/>
        <v>14</v>
      </c>
      <c r="D8" s="62">
        <f t="shared" si="15"/>
        <v>9</v>
      </c>
      <c r="E8" s="62">
        <f t="shared" si="15"/>
        <v>0</v>
      </c>
      <c r="F8" s="62">
        <f t="shared" si="15"/>
        <v>0</v>
      </c>
      <c r="G8" s="62">
        <f t="shared" si="15"/>
        <v>5</v>
      </c>
      <c r="H8" s="18">
        <f t="shared" si="15"/>
        <v>27</v>
      </c>
      <c r="I8" s="62">
        <f t="shared" si="15"/>
        <v>96</v>
      </c>
      <c r="J8" s="62">
        <f t="shared" si="15"/>
        <v>75</v>
      </c>
      <c r="K8" s="62">
        <f t="shared" si="15"/>
        <v>21</v>
      </c>
      <c r="L8" s="62">
        <f t="shared" ref="L8:S8" si="16">L32</f>
        <v>22</v>
      </c>
      <c r="M8" s="62">
        <f t="shared" si="16"/>
        <v>11</v>
      </c>
      <c r="N8" s="62">
        <f t="shared" si="16"/>
        <v>0</v>
      </c>
      <c r="O8" s="174">
        <f t="shared" si="16"/>
        <v>50</v>
      </c>
      <c r="P8" s="62">
        <f t="shared" si="16"/>
        <v>34</v>
      </c>
      <c r="Q8" s="62">
        <f t="shared" si="16"/>
        <v>13</v>
      </c>
      <c r="R8" s="62">
        <f t="shared" si="16"/>
        <v>2</v>
      </c>
      <c r="S8" s="174">
        <f t="shared" si="16"/>
        <v>61.76</v>
      </c>
      <c r="T8" s="62">
        <f t="shared" si="4"/>
        <v>84</v>
      </c>
      <c r="U8" s="62">
        <f t="shared" si="5"/>
        <v>391</v>
      </c>
      <c r="V8" s="175">
        <f t="shared" si="6"/>
        <v>24.55</v>
      </c>
    </row>
    <row r="9" spans="1:33" s="176" customFormat="1" ht="24" customHeight="1" x14ac:dyDescent="0.25">
      <c r="A9" s="19">
        <v>8</v>
      </c>
      <c r="B9" s="20" t="str">
        <f t="shared" ref="B9:K9" si="17">B33</f>
        <v>BLACK ANGELS</v>
      </c>
      <c r="C9" s="21">
        <f t="shared" si="17"/>
        <v>18</v>
      </c>
      <c r="D9" s="21">
        <f t="shared" si="17"/>
        <v>6</v>
      </c>
      <c r="E9" s="21">
        <f t="shared" si="17"/>
        <v>2</v>
      </c>
      <c r="F9" s="21">
        <f t="shared" si="17"/>
        <v>1</v>
      </c>
      <c r="G9" s="21">
        <f t="shared" si="17"/>
        <v>9</v>
      </c>
      <c r="H9" s="18">
        <f t="shared" si="17"/>
        <v>23</v>
      </c>
      <c r="I9" s="21">
        <f t="shared" si="17"/>
        <v>106</v>
      </c>
      <c r="J9" s="21">
        <f t="shared" si="17"/>
        <v>134</v>
      </c>
      <c r="K9" s="21">
        <f t="shared" si="17"/>
        <v>-28</v>
      </c>
      <c r="L9" s="21">
        <f t="shared" ref="L9:S9" si="18">L33</f>
        <v>38</v>
      </c>
      <c r="M9" s="21">
        <f t="shared" si="18"/>
        <v>9</v>
      </c>
      <c r="N9" s="21">
        <f t="shared" si="18"/>
        <v>2</v>
      </c>
      <c r="O9" s="22">
        <f t="shared" si="18"/>
        <v>23.68</v>
      </c>
      <c r="P9" s="21">
        <f t="shared" si="18"/>
        <v>40</v>
      </c>
      <c r="Q9" s="21">
        <f t="shared" si="18"/>
        <v>18</v>
      </c>
      <c r="R9" s="21">
        <f t="shared" si="18"/>
        <v>1</v>
      </c>
      <c r="S9" s="22">
        <f t="shared" si="18"/>
        <v>55</v>
      </c>
      <c r="T9" s="21">
        <f t="shared" si="4"/>
        <v>86</v>
      </c>
      <c r="U9" s="21">
        <f t="shared" si="5"/>
        <v>448</v>
      </c>
      <c r="V9" s="23">
        <f t="shared" si="6"/>
        <v>23.66</v>
      </c>
    </row>
    <row r="10" spans="1:33" s="176" customFormat="1" ht="24" customHeight="1" x14ac:dyDescent="0.25">
      <c r="A10" s="177">
        <v>9</v>
      </c>
      <c r="B10" s="60" t="str">
        <f t="shared" ref="B10:K10" si="19">B34</f>
        <v>FBC Liberec</v>
      </c>
      <c r="C10" s="62">
        <f t="shared" si="19"/>
        <v>17</v>
      </c>
      <c r="D10" s="62">
        <f t="shared" si="19"/>
        <v>5</v>
      </c>
      <c r="E10" s="62">
        <f t="shared" si="19"/>
        <v>2</v>
      </c>
      <c r="F10" s="62">
        <f t="shared" si="19"/>
        <v>0</v>
      </c>
      <c r="G10" s="62">
        <f t="shared" si="19"/>
        <v>10</v>
      </c>
      <c r="H10" s="18">
        <f t="shared" si="19"/>
        <v>19</v>
      </c>
      <c r="I10" s="62">
        <f t="shared" si="19"/>
        <v>93</v>
      </c>
      <c r="J10" s="62">
        <f t="shared" si="19"/>
        <v>110</v>
      </c>
      <c r="K10" s="62">
        <f t="shared" si="19"/>
        <v>-17</v>
      </c>
      <c r="L10" s="62">
        <f t="shared" ref="L10:S10" si="20">L34</f>
        <v>27</v>
      </c>
      <c r="M10" s="62">
        <f t="shared" si="20"/>
        <v>11</v>
      </c>
      <c r="N10" s="62">
        <f t="shared" si="20"/>
        <v>4</v>
      </c>
      <c r="O10" s="174">
        <f t="shared" si="20"/>
        <v>40.74</v>
      </c>
      <c r="P10" s="62">
        <f t="shared" si="20"/>
        <v>25</v>
      </c>
      <c r="Q10" s="62">
        <f t="shared" si="20"/>
        <v>7</v>
      </c>
      <c r="R10" s="62">
        <f t="shared" si="20"/>
        <v>1</v>
      </c>
      <c r="S10" s="174">
        <f t="shared" si="20"/>
        <v>72</v>
      </c>
      <c r="T10" s="62">
        <f t="shared" si="4"/>
        <v>60</v>
      </c>
      <c r="U10" s="62">
        <f t="shared" si="5"/>
        <v>417</v>
      </c>
      <c r="V10" s="175">
        <f t="shared" si="6"/>
        <v>22.3</v>
      </c>
    </row>
    <row r="11" spans="1:33" s="176" customFormat="1" ht="24" customHeight="1" x14ac:dyDescent="0.25">
      <c r="A11" s="24">
        <v>10</v>
      </c>
      <c r="B11" s="20" t="str">
        <f t="shared" ref="B11:K11" si="21">B35</f>
        <v>FBC 4CLEAN Česká Lípa</v>
      </c>
      <c r="C11" s="21">
        <f t="shared" si="21"/>
        <v>19</v>
      </c>
      <c r="D11" s="21">
        <f t="shared" si="21"/>
        <v>4</v>
      </c>
      <c r="E11" s="21">
        <f t="shared" si="21"/>
        <v>3</v>
      </c>
      <c r="F11" s="21">
        <f t="shared" si="21"/>
        <v>0</v>
      </c>
      <c r="G11" s="21">
        <f t="shared" si="21"/>
        <v>12</v>
      </c>
      <c r="H11" s="18">
        <f t="shared" si="21"/>
        <v>18</v>
      </c>
      <c r="I11" s="21">
        <f t="shared" si="21"/>
        <v>111</v>
      </c>
      <c r="J11" s="21">
        <f t="shared" si="21"/>
        <v>161</v>
      </c>
      <c r="K11" s="21">
        <f t="shared" si="21"/>
        <v>-50</v>
      </c>
      <c r="L11" s="21">
        <f t="shared" ref="L11:S11" si="22">L35</f>
        <v>21</v>
      </c>
      <c r="M11" s="21">
        <f t="shared" si="22"/>
        <v>8</v>
      </c>
      <c r="N11" s="21">
        <f t="shared" si="22"/>
        <v>0</v>
      </c>
      <c r="O11" s="22">
        <f t="shared" si="22"/>
        <v>38.1</v>
      </c>
      <c r="P11" s="21">
        <f t="shared" si="22"/>
        <v>34</v>
      </c>
      <c r="Q11" s="21">
        <f t="shared" si="22"/>
        <v>21</v>
      </c>
      <c r="R11" s="21">
        <f t="shared" si="22"/>
        <v>1</v>
      </c>
      <c r="S11" s="22">
        <f t="shared" si="22"/>
        <v>38.24</v>
      </c>
      <c r="T11" s="21">
        <f t="shared" si="4"/>
        <v>92</v>
      </c>
      <c r="U11" s="21">
        <f t="shared" si="5"/>
        <v>401</v>
      </c>
      <c r="V11" s="23">
        <f t="shared" si="6"/>
        <v>27.68</v>
      </c>
    </row>
    <row r="12" spans="1:33" s="176" customFormat="1" ht="24" customHeight="1" x14ac:dyDescent="0.25">
      <c r="A12" s="178">
        <v>11</v>
      </c>
      <c r="B12" s="60" t="str">
        <f t="shared" ref="B12:K12" si="23">B36</f>
        <v>FBŠ Hummel Hattrick Brno</v>
      </c>
      <c r="C12" s="62">
        <f t="shared" si="23"/>
        <v>19</v>
      </c>
      <c r="D12" s="62">
        <f t="shared" si="23"/>
        <v>4</v>
      </c>
      <c r="E12" s="62">
        <f t="shared" si="23"/>
        <v>0</v>
      </c>
      <c r="F12" s="62">
        <f t="shared" si="23"/>
        <v>3</v>
      </c>
      <c r="G12" s="62">
        <f t="shared" si="23"/>
        <v>12</v>
      </c>
      <c r="H12" s="18">
        <f t="shared" si="23"/>
        <v>15</v>
      </c>
      <c r="I12" s="62">
        <f t="shared" si="23"/>
        <v>72</v>
      </c>
      <c r="J12" s="62">
        <f t="shared" si="23"/>
        <v>111</v>
      </c>
      <c r="K12" s="62">
        <f t="shared" si="23"/>
        <v>-39</v>
      </c>
      <c r="L12" s="62">
        <f t="shared" ref="L12:S12" si="24">L36</f>
        <v>30</v>
      </c>
      <c r="M12" s="62">
        <f t="shared" si="24"/>
        <v>15</v>
      </c>
      <c r="N12" s="62">
        <f t="shared" si="24"/>
        <v>2</v>
      </c>
      <c r="O12" s="174">
        <f t="shared" si="24"/>
        <v>50</v>
      </c>
      <c r="P12" s="62">
        <f t="shared" si="24"/>
        <v>32</v>
      </c>
      <c r="Q12" s="62">
        <f t="shared" si="24"/>
        <v>14</v>
      </c>
      <c r="R12" s="62">
        <f t="shared" si="24"/>
        <v>3</v>
      </c>
      <c r="S12" s="174">
        <f t="shared" si="24"/>
        <v>56.25</v>
      </c>
      <c r="T12" s="62">
        <f t="shared" si="4"/>
        <v>102</v>
      </c>
      <c r="U12" s="62">
        <f t="shared" si="5"/>
        <v>379</v>
      </c>
      <c r="V12" s="175">
        <f t="shared" si="6"/>
        <v>19</v>
      </c>
    </row>
    <row r="13" spans="1:33" s="176" customFormat="1" ht="24" customHeight="1" x14ac:dyDescent="0.25">
      <c r="A13" s="25">
        <v>12</v>
      </c>
      <c r="B13" s="20" t="str">
        <f t="shared" ref="B13:K13" si="25">B37</f>
        <v>TJ Sokol Královské Vinohrady</v>
      </c>
      <c r="C13" s="21">
        <f t="shared" si="25"/>
        <v>17</v>
      </c>
      <c r="D13" s="21">
        <f t="shared" si="25"/>
        <v>3</v>
      </c>
      <c r="E13" s="21">
        <f t="shared" si="25"/>
        <v>0</v>
      </c>
      <c r="F13" s="21">
        <f t="shared" si="25"/>
        <v>2</v>
      </c>
      <c r="G13" s="21">
        <f t="shared" si="25"/>
        <v>12</v>
      </c>
      <c r="H13" s="18">
        <f t="shared" si="25"/>
        <v>11</v>
      </c>
      <c r="I13" s="21">
        <f t="shared" si="25"/>
        <v>76</v>
      </c>
      <c r="J13" s="21">
        <f t="shared" si="25"/>
        <v>113</v>
      </c>
      <c r="K13" s="21">
        <f t="shared" si="25"/>
        <v>-37</v>
      </c>
      <c r="L13" s="21">
        <f t="shared" ref="L13:S13" si="26">L37</f>
        <v>26</v>
      </c>
      <c r="M13" s="21">
        <f t="shared" si="26"/>
        <v>12</v>
      </c>
      <c r="N13" s="21">
        <f t="shared" si="26"/>
        <v>2</v>
      </c>
      <c r="O13" s="22">
        <f t="shared" si="26"/>
        <v>46.15</v>
      </c>
      <c r="P13" s="21">
        <f t="shared" si="26"/>
        <v>23</v>
      </c>
      <c r="Q13" s="21">
        <f t="shared" si="26"/>
        <v>13</v>
      </c>
      <c r="R13" s="21">
        <f t="shared" si="26"/>
        <v>2</v>
      </c>
      <c r="S13" s="22">
        <f t="shared" si="26"/>
        <v>43.48</v>
      </c>
      <c r="T13" s="21">
        <f t="shared" si="4"/>
        <v>53</v>
      </c>
      <c r="U13" s="21">
        <f t="shared" si="5"/>
        <v>338</v>
      </c>
      <c r="V13" s="23">
        <f t="shared" si="6"/>
        <v>22.49</v>
      </c>
    </row>
    <row r="14" spans="1:33" s="176" customFormat="1" ht="24" customHeight="1" x14ac:dyDescent="0.25">
      <c r="A14" s="178">
        <v>13</v>
      </c>
      <c r="B14" s="60" t="str">
        <f t="shared" ref="B14:K14" si="27">B38</f>
        <v>SOKOLI Pardubice</v>
      </c>
      <c r="C14" s="62">
        <f t="shared" si="27"/>
        <v>13</v>
      </c>
      <c r="D14" s="62">
        <f t="shared" si="27"/>
        <v>3</v>
      </c>
      <c r="E14" s="62">
        <f t="shared" si="27"/>
        <v>0</v>
      </c>
      <c r="F14" s="62">
        <f t="shared" si="27"/>
        <v>2</v>
      </c>
      <c r="G14" s="62">
        <f t="shared" si="27"/>
        <v>8</v>
      </c>
      <c r="H14" s="18">
        <f t="shared" si="27"/>
        <v>11</v>
      </c>
      <c r="I14" s="62">
        <f t="shared" si="27"/>
        <v>71</v>
      </c>
      <c r="J14" s="62">
        <f t="shared" si="27"/>
        <v>116</v>
      </c>
      <c r="K14" s="62">
        <f t="shared" si="27"/>
        <v>-45</v>
      </c>
      <c r="L14" s="62">
        <f t="shared" ref="L14:S14" si="28">L38</f>
        <v>21</v>
      </c>
      <c r="M14" s="62">
        <f t="shared" si="28"/>
        <v>4</v>
      </c>
      <c r="N14" s="62">
        <f t="shared" si="28"/>
        <v>1</v>
      </c>
      <c r="O14" s="174">
        <f t="shared" si="28"/>
        <v>19.05</v>
      </c>
      <c r="P14" s="62">
        <f t="shared" si="28"/>
        <v>31</v>
      </c>
      <c r="Q14" s="62">
        <f t="shared" si="28"/>
        <v>15</v>
      </c>
      <c r="R14" s="62">
        <f t="shared" si="28"/>
        <v>1</v>
      </c>
      <c r="S14" s="174">
        <f t="shared" si="28"/>
        <v>51.61</v>
      </c>
      <c r="T14" s="62">
        <f t="shared" si="4"/>
        <v>70</v>
      </c>
      <c r="U14" s="62">
        <f t="shared" si="5"/>
        <v>285</v>
      </c>
      <c r="V14" s="175">
        <f t="shared" si="6"/>
        <v>24.91</v>
      </c>
    </row>
    <row r="15" spans="1:33" s="176" customFormat="1" ht="24" customHeight="1" thickBot="1" x14ac:dyDescent="0.3">
      <c r="A15" s="26">
        <v>14</v>
      </c>
      <c r="B15" s="27" t="str">
        <f t="shared" ref="B15:K15" si="29">B39</f>
        <v>Hu-Fa PANTHERS OTROKOVICE</v>
      </c>
      <c r="C15" s="28">
        <f t="shared" si="29"/>
        <v>17</v>
      </c>
      <c r="D15" s="28">
        <f t="shared" si="29"/>
        <v>2</v>
      </c>
      <c r="E15" s="28">
        <f t="shared" si="29"/>
        <v>0</v>
      </c>
      <c r="F15" s="28">
        <f t="shared" si="29"/>
        <v>2</v>
      </c>
      <c r="G15" s="28">
        <f t="shared" si="29"/>
        <v>13</v>
      </c>
      <c r="H15" s="29">
        <f t="shared" si="29"/>
        <v>8</v>
      </c>
      <c r="I15" s="28">
        <f t="shared" si="29"/>
        <v>64</v>
      </c>
      <c r="J15" s="28">
        <f t="shared" si="29"/>
        <v>124</v>
      </c>
      <c r="K15" s="28">
        <f t="shared" si="29"/>
        <v>-60</v>
      </c>
      <c r="L15" s="28">
        <f t="shared" ref="L15:S15" si="30">L39</f>
        <v>31</v>
      </c>
      <c r="M15" s="28">
        <f t="shared" si="30"/>
        <v>8</v>
      </c>
      <c r="N15" s="28">
        <f t="shared" si="30"/>
        <v>3</v>
      </c>
      <c r="O15" s="30">
        <f t="shared" si="30"/>
        <v>25.81</v>
      </c>
      <c r="P15" s="28">
        <f t="shared" si="30"/>
        <v>36</v>
      </c>
      <c r="Q15" s="28">
        <f t="shared" si="30"/>
        <v>13</v>
      </c>
      <c r="R15" s="28">
        <f t="shared" si="30"/>
        <v>1</v>
      </c>
      <c r="S15" s="30">
        <f t="shared" si="30"/>
        <v>63.89</v>
      </c>
      <c r="T15" s="28">
        <f t="shared" si="4"/>
        <v>82</v>
      </c>
      <c r="U15" s="28">
        <f t="shared" si="5"/>
        <v>357</v>
      </c>
      <c r="V15" s="31">
        <f t="shared" si="6"/>
        <v>17.93</v>
      </c>
    </row>
    <row r="16" spans="1:33" ht="15.75" thickTop="1" x14ac:dyDescent="0.25"/>
    <row r="25" spans="1:37" s="2" customFormat="1" hidden="1" x14ac:dyDescent="0.25">
      <c r="B25" s="2" t="s">
        <v>119</v>
      </c>
      <c r="C25" s="2" t="s">
        <v>84</v>
      </c>
      <c r="D25" s="2" t="s">
        <v>40</v>
      </c>
      <c r="E25" s="2" t="s">
        <v>120</v>
      </c>
      <c r="F25" s="2" t="s">
        <v>121</v>
      </c>
      <c r="G25" s="2" t="s">
        <v>41</v>
      </c>
      <c r="H25" s="2" t="s">
        <v>36</v>
      </c>
      <c r="I25" s="2" t="s">
        <v>122</v>
      </c>
      <c r="J25" s="2" t="s">
        <v>64</v>
      </c>
      <c r="K25" s="2" t="s">
        <v>123</v>
      </c>
      <c r="L25" s="2" t="s">
        <v>121</v>
      </c>
      <c r="M25" s="2" t="s">
        <v>126</v>
      </c>
      <c r="N25" s="2" t="s">
        <v>127</v>
      </c>
      <c r="O25" s="2" t="s">
        <v>124</v>
      </c>
      <c r="P25" s="2" t="s">
        <v>49</v>
      </c>
      <c r="Q25" s="2" t="s">
        <v>125</v>
      </c>
      <c r="R25" s="2" t="s">
        <v>128</v>
      </c>
      <c r="S25" s="2" t="s">
        <v>129</v>
      </c>
      <c r="T25" s="2">
        <v>2</v>
      </c>
      <c r="U25" s="2">
        <v>5</v>
      </c>
      <c r="V25" s="2">
        <v>10</v>
      </c>
      <c r="W25" s="2" t="s">
        <v>130</v>
      </c>
      <c r="X25" s="2" t="s">
        <v>131</v>
      </c>
      <c r="Y25" s="2" t="s">
        <v>132</v>
      </c>
      <c r="Z25" s="2" t="s">
        <v>38</v>
      </c>
      <c r="AA25" s="2" t="s">
        <v>89</v>
      </c>
      <c r="AB25" s="2" t="s">
        <v>133</v>
      </c>
      <c r="AC25" s="2" t="s">
        <v>134</v>
      </c>
      <c r="AD25" s="2" t="s">
        <v>135</v>
      </c>
      <c r="AE25" s="3" t="s">
        <v>136</v>
      </c>
      <c r="AF25" s="3" t="s">
        <v>137</v>
      </c>
      <c r="AG25" s="3" t="s">
        <v>138</v>
      </c>
      <c r="AH25" s="2" t="s">
        <v>139</v>
      </c>
      <c r="AI25" s="2" t="s">
        <v>140</v>
      </c>
      <c r="AJ25" s="2" t="s">
        <v>141</v>
      </c>
      <c r="AK25" s="2" t="s">
        <v>221</v>
      </c>
    </row>
    <row r="26" spans="1:37" hidden="1" x14ac:dyDescent="0.25">
      <c r="A26" s="118">
        <v>1</v>
      </c>
      <c r="B26" s="1" t="s">
        <v>105</v>
      </c>
      <c r="C26" s="6">
        <v>18</v>
      </c>
      <c r="D26" s="6">
        <v>16</v>
      </c>
      <c r="E26" s="6">
        <v>0</v>
      </c>
      <c r="F26" s="6">
        <v>1</v>
      </c>
      <c r="G26" s="6">
        <v>1</v>
      </c>
      <c r="H26" s="6">
        <v>49</v>
      </c>
      <c r="I26" s="6">
        <v>164</v>
      </c>
      <c r="J26" s="6">
        <v>78</v>
      </c>
      <c r="K26" s="6">
        <v>86</v>
      </c>
      <c r="L26" s="6">
        <v>29</v>
      </c>
      <c r="M26" s="6">
        <v>13</v>
      </c>
      <c r="N26" s="6">
        <v>2</v>
      </c>
      <c r="O26" s="6">
        <v>44.83</v>
      </c>
      <c r="P26" s="6">
        <v>21</v>
      </c>
      <c r="Q26" s="6">
        <v>7</v>
      </c>
      <c r="R26" s="6">
        <v>0</v>
      </c>
      <c r="S26" s="6">
        <v>66.67</v>
      </c>
      <c r="T26" s="6">
        <v>22</v>
      </c>
      <c r="U26" s="6">
        <v>0</v>
      </c>
      <c r="V26" s="6">
        <v>0</v>
      </c>
      <c r="W26" s="6">
        <v>0</v>
      </c>
      <c r="X26" s="6">
        <v>0</v>
      </c>
      <c r="Y26" s="6">
        <v>0</v>
      </c>
      <c r="Z26" s="6">
        <v>44</v>
      </c>
      <c r="AA26" s="6">
        <v>561</v>
      </c>
      <c r="AB26" s="6">
        <v>29.23</v>
      </c>
      <c r="AC26" s="6">
        <v>387</v>
      </c>
      <c r="AD26" s="6">
        <v>357</v>
      </c>
      <c r="AE26" s="6">
        <v>43</v>
      </c>
      <c r="AF26" s="6">
        <v>40</v>
      </c>
      <c r="AG26" s="6">
        <v>29</v>
      </c>
      <c r="AH26" s="6">
        <f>_xlfn.RANK.EQ(O26,$O$26:$O$39,0)</f>
        <v>5</v>
      </c>
      <c r="AI26" s="6">
        <f>_xlfn.RANK.EQ(S26,$S$26:$S$39,0)</f>
        <v>6</v>
      </c>
      <c r="AJ26" s="6">
        <f>_xlfn.RANK.EQ(Z26,$Z$26:$Z$39,0)</f>
        <v>14</v>
      </c>
      <c r="AK26" s="6">
        <f>A26</f>
        <v>1</v>
      </c>
    </row>
    <row r="27" spans="1:37" hidden="1" x14ac:dyDescent="0.25">
      <c r="A27" s="118">
        <v>2</v>
      </c>
      <c r="B27" s="1" t="s">
        <v>106</v>
      </c>
      <c r="C27" s="6">
        <v>16</v>
      </c>
      <c r="D27" s="6">
        <v>13</v>
      </c>
      <c r="E27" s="6">
        <v>2</v>
      </c>
      <c r="F27" s="6">
        <v>0</v>
      </c>
      <c r="G27" s="6">
        <v>1</v>
      </c>
      <c r="H27" s="6">
        <v>43</v>
      </c>
      <c r="I27" s="6">
        <v>136</v>
      </c>
      <c r="J27" s="6">
        <v>62</v>
      </c>
      <c r="K27" s="6">
        <v>74</v>
      </c>
      <c r="L27" s="6">
        <v>25</v>
      </c>
      <c r="M27" s="6">
        <v>8</v>
      </c>
      <c r="N27" s="6">
        <v>0</v>
      </c>
      <c r="O27" s="6">
        <v>32</v>
      </c>
      <c r="P27" s="6">
        <v>32</v>
      </c>
      <c r="Q27" s="6">
        <v>6</v>
      </c>
      <c r="R27" s="6">
        <v>5</v>
      </c>
      <c r="S27" s="6">
        <v>81.25</v>
      </c>
      <c r="T27" s="6">
        <v>36</v>
      </c>
      <c r="U27" s="6">
        <v>0</v>
      </c>
      <c r="V27" s="6">
        <v>1</v>
      </c>
      <c r="W27" s="6">
        <v>0</v>
      </c>
      <c r="X27" s="6">
        <v>0</v>
      </c>
      <c r="Y27" s="6">
        <v>0</v>
      </c>
      <c r="Z27" s="6">
        <v>82</v>
      </c>
      <c r="AA27" s="6">
        <v>466</v>
      </c>
      <c r="AB27" s="6">
        <v>29.18</v>
      </c>
      <c r="AC27" s="6">
        <v>370</v>
      </c>
      <c r="AD27" s="6">
        <v>0</v>
      </c>
      <c r="AE27" s="6">
        <v>37</v>
      </c>
      <c r="AF27" s="6">
        <v>0</v>
      </c>
      <c r="AG27" s="6">
        <v>14</v>
      </c>
      <c r="AH27" s="6">
        <f t="shared" ref="AH27:AH39" si="31">_xlfn.RANK.EQ(O27,$O$26:$O$39,0)</f>
        <v>10</v>
      </c>
      <c r="AI27" s="6">
        <f t="shared" ref="AI27:AI39" si="32">_xlfn.RANK.EQ(S27,$S$26:$S$39,0)</f>
        <v>2</v>
      </c>
      <c r="AJ27" s="6">
        <f t="shared" ref="AJ27:AJ39" si="33">_xlfn.RANK.EQ(Z27,$Z$26:$Z$39,0)</f>
        <v>5</v>
      </c>
      <c r="AK27" s="6">
        <f t="shared" ref="AK27:AK39" si="34">A27</f>
        <v>2</v>
      </c>
    </row>
    <row r="28" spans="1:37" hidden="1" x14ac:dyDescent="0.25">
      <c r="A28" s="118">
        <v>3</v>
      </c>
      <c r="B28" s="1" t="s">
        <v>107</v>
      </c>
      <c r="C28" s="6">
        <v>17</v>
      </c>
      <c r="D28" s="6">
        <v>11</v>
      </c>
      <c r="E28" s="6">
        <v>1</v>
      </c>
      <c r="F28" s="6">
        <v>0</v>
      </c>
      <c r="G28" s="6">
        <v>5</v>
      </c>
      <c r="H28" s="6">
        <v>35</v>
      </c>
      <c r="I28" s="6">
        <v>129</v>
      </c>
      <c r="J28" s="6">
        <v>83</v>
      </c>
      <c r="K28" s="6">
        <v>46</v>
      </c>
      <c r="L28" s="6">
        <v>45</v>
      </c>
      <c r="M28" s="6">
        <v>20</v>
      </c>
      <c r="N28" s="6">
        <v>1</v>
      </c>
      <c r="O28" s="6">
        <v>44.44</v>
      </c>
      <c r="P28" s="6">
        <v>30</v>
      </c>
      <c r="Q28" s="6">
        <v>7</v>
      </c>
      <c r="R28" s="6">
        <v>1</v>
      </c>
      <c r="S28" s="6">
        <v>76.67</v>
      </c>
      <c r="T28" s="6">
        <v>31</v>
      </c>
      <c r="U28" s="6">
        <v>0</v>
      </c>
      <c r="V28" s="6">
        <v>1</v>
      </c>
      <c r="W28" s="6">
        <v>0</v>
      </c>
      <c r="X28" s="6">
        <v>0</v>
      </c>
      <c r="Y28" s="6">
        <v>0</v>
      </c>
      <c r="Z28" s="6">
        <v>72</v>
      </c>
      <c r="AA28" s="6">
        <v>509</v>
      </c>
      <c r="AB28" s="6">
        <v>25.34</v>
      </c>
      <c r="AC28" s="6">
        <v>301</v>
      </c>
      <c r="AD28" s="6">
        <v>211</v>
      </c>
      <c r="AE28" s="6">
        <v>43</v>
      </c>
      <c r="AF28" s="6">
        <v>21</v>
      </c>
      <c r="AG28" s="6">
        <v>20</v>
      </c>
      <c r="AH28" s="6">
        <f t="shared" si="31"/>
        <v>6</v>
      </c>
      <c r="AI28" s="6">
        <f t="shared" si="32"/>
        <v>3</v>
      </c>
      <c r="AJ28" s="6">
        <f t="shared" si="33"/>
        <v>9</v>
      </c>
      <c r="AK28" s="6">
        <f t="shared" si="34"/>
        <v>3</v>
      </c>
    </row>
    <row r="29" spans="1:37" hidden="1" x14ac:dyDescent="0.25">
      <c r="A29" s="118">
        <v>4</v>
      </c>
      <c r="B29" s="1" t="s">
        <v>108</v>
      </c>
      <c r="C29" s="6">
        <v>17</v>
      </c>
      <c r="D29" s="6">
        <v>9</v>
      </c>
      <c r="E29" s="6">
        <v>2</v>
      </c>
      <c r="F29" s="6">
        <v>1</v>
      </c>
      <c r="G29" s="6">
        <v>5</v>
      </c>
      <c r="H29" s="6">
        <v>32</v>
      </c>
      <c r="I29" s="6">
        <v>124</v>
      </c>
      <c r="J29" s="6">
        <v>98</v>
      </c>
      <c r="K29" s="6">
        <v>26</v>
      </c>
      <c r="L29" s="6">
        <v>52</v>
      </c>
      <c r="M29" s="6">
        <v>25</v>
      </c>
      <c r="N29" s="6">
        <v>4</v>
      </c>
      <c r="O29" s="6">
        <v>48.08</v>
      </c>
      <c r="P29" s="6">
        <v>24</v>
      </c>
      <c r="Q29" s="6">
        <v>4</v>
      </c>
      <c r="R29" s="6">
        <v>2</v>
      </c>
      <c r="S29" s="6">
        <v>83.33</v>
      </c>
      <c r="T29" s="6">
        <v>25</v>
      </c>
      <c r="U29" s="6">
        <v>0</v>
      </c>
      <c r="V29" s="6">
        <v>1</v>
      </c>
      <c r="W29" s="6">
        <v>0</v>
      </c>
      <c r="X29" s="6">
        <v>0</v>
      </c>
      <c r="Y29" s="6">
        <v>0</v>
      </c>
      <c r="Z29" s="6">
        <v>60</v>
      </c>
      <c r="AA29" s="6">
        <v>519</v>
      </c>
      <c r="AB29" s="6">
        <v>23.89</v>
      </c>
      <c r="AC29" s="6">
        <v>320</v>
      </c>
      <c r="AD29" s="6">
        <v>830</v>
      </c>
      <c r="AE29" s="6">
        <v>36</v>
      </c>
      <c r="AF29" s="6">
        <v>104</v>
      </c>
      <c r="AG29" s="6">
        <v>44</v>
      </c>
      <c r="AH29" s="6">
        <f t="shared" si="31"/>
        <v>3</v>
      </c>
      <c r="AI29" s="6">
        <f t="shared" si="32"/>
        <v>1</v>
      </c>
      <c r="AJ29" s="6">
        <f t="shared" si="33"/>
        <v>11</v>
      </c>
      <c r="AK29" s="6">
        <f t="shared" si="34"/>
        <v>4</v>
      </c>
    </row>
    <row r="30" spans="1:37" hidden="1" x14ac:dyDescent="0.25">
      <c r="A30" s="118">
        <v>5</v>
      </c>
      <c r="B30" s="1" t="s">
        <v>110</v>
      </c>
      <c r="C30" s="6">
        <v>18</v>
      </c>
      <c r="D30" s="6">
        <v>9</v>
      </c>
      <c r="E30" s="6">
        <v>2</v>
      </c>
      <c r="F30" s="6">
        <v>1</v>
      </c>
      <c r="G30" s="6">
        <v>6</v>
      </c>
      <c r="H30" s="6">
        <v>32</v>
      </c>
      <c r="I30" s="6">
        <v>106</v>
      </c>
      <c r="J30" s="6">
        <v>98</v>
      </c>
      <c r="K30" s="6">
        <v>8</v>
      </c>
      <c r="L30" s="6">
        <v>32</v>
      </c>
      <c r="M30" s="6">
        <v>9</v>
      </c>
      <c r="N30" s="6">
        <v>1</v>
      </c>
      <c r="O30" s="6">
        <v>28.12</v>
      </c>
      <c r="P30" s="6">
        <v>37</v>
      </c>
      <c r="Q30" s="6">
        <v>12</v>
      </c>
      <c r="R30" s="6">
        <v>2</v>
      </c>
      <c r="S30" s="6">
        <v>67.569999999999993</v>
      </c>
      <c r="T30" s="6">
        <v>38</v>
      </c>
      <c r="U30" s="6">
        <v>0</v>
      </c>
      <c r="V30" s="6">
        <v>0</v>
      </c>
      <c r="W30" s="6">
        <v>0</v>
      </c>
      <c r="X30" s="6">
        <v>0</v>
      </c>
      <c r="Y30" s="6">
        <v>0</v>
      </c>
      <c r="Z30" s="6">
        <v>76</v>
      </c>
      <c r="AA30" s="6">
        <v>456</v>
      </c>
      <c r="AB30" s="6">
        <v>23.25</v>
      </c>
      <c r="AC30" s="6">
        <v>296</v>
      </c>
      <c r="AD30" s="6">
        <v>487</v>
      </c>
      <c r="AE30" s="6">
        <v>33</v>
      </c>
      <c r="AF30" s="6">
        <v>54</v>
      </c>
      <c r="AG30" s="6">
        <v>30</v>
      </c>
      <c r="AH30" s="6">
        <f t="shared" si="31"/>
        <v>11</v>
      </c>
      <c r="AI30" s="6">
        <f t="shared" si="32"/>
        <v>5</v>
      </c>
      <c r="AJ30" s="6">
        <f t="shared" si="33"/>
        <v>7</v>
      </c>
      <c r="AK30" s="6">
        <f t="shared" si="34"/>
        <v>5</v>
      </c>
    </row>
    <row r="31" spans="1:37" hidden="1" x14ac:dyDescent="0.25">
      <c r="A31" s="118">
        <v>6</v>
      </c>
      <c r="B31" s="1" t="s">
        <v>109</v>
      </c>
      <c r="C31" s="6">
        <v>16</v>
      </c>
      <c r="D31" s="6">
        <v>10</v>
      </c>
      <c r="E31" s="6">
        <v>0</v>
      </c>
      <c r="F31" s="6">
        <v>1</v>
      </c>
      <c r="G31" s="6">
        <v>5</v>
      </c>
      <c r="H31" s="6">
        <v>31</v>
      </c>
      <c r="I31" s="6">
        <v>104</v>
      </c>
      <c r="J31" s="6">
        <v>89</v>
      </c>
      <c r="K31" s="6">
        <v>15</v>
      </c>
      <c r="L31" s="6">
        <v>26</v>
      </c>
      <c r="M31" s="6">
        <v>9</v>
      </c>
      <c r="N31" s="6">
        <v>0</v>
      </c>
      <c r="O31" s="6">
        <v>34.619999999999997</v>
      </c>
      <c r="P31" s="6">
        <v>26</v>
      </c>
      <c r="Q31" s="6">
        <v>12</v>
      </c>
      <c r="R31" s="6">
        <v>0</v>
      </c>
      <c r="S31" s="6">
        <v>53.85</v>
      </c>
      <c r="T31" s="6">
        <v>27</v>
      </c>
      <c r="U31" s="6">
        <v>0</v>
      </c>
      <c r="V31" s="6">
        <v>2</v>
      </c>
      <c r="W31" s="6">
        <v>0</v>
      </c>
      <c r="X31" s="6">
        <v>0</v>
      </c>
      <c r="Y31" s="6">
        <v>0</v>
      </c>
      <c r="Z31" s="6">
        <v>74</v>
      </c>
      <c r="AA31" s="6">
        <v>481</v>
      </c>
      <c r="AB31" s="6">
        <v>21.62</v>
      </c>
      <c r="AC31" s="6">
        <v>162</v>
      </c>
      <c r="AD31" s="6">
        <v>410</v>
      </c>
      <c r="AE31" s="6">
        <v>20</v>
      </c>
      <c r="AF31" s="6">
        <v>51</v>
      </c>
      <c r="AG31" s="6">
        <v>22</v>
      </c>
      <c r="AH31" s="6">
        <f t="shared" si="31"/>
        <v>9</v>
      </c>
      <c r="AI31" s="6">
        <f t="shared" si="32"/>
        <v>11</v>
      </c>
      <c r="AJ31" s="6">
        <f t="shared" si="33"/>
        <v>8</v>
      </c>
      <c r="AK31" s="6">
        <f t="shared" si="34"/>
        <v>6</v>
      </c>
    </row>
    <row r="32" spans="1:37" hidden="1" x14ac:dyDescent="0.25">
      <c r="A32" s="118">
        <v>7</v>
      </c>
      <c r="B32" s="1" t="s">
        <v>111</v>
      </c>
      <c r="C32" s="6">
        <v>14</v>
      </c>
      <c r="D32" s="6">
        <v>9</v>
      </c>
      <c r="E32" s="6">
        <v>0</v>
      </c>
      <c r="F32" s="6">
        <v>0</v>
      </c>
      <c r="G32" s="6">
        <v>5</v>
      </c>
      <c r="H32" s="6">
        <v>27</v>
      </c>
      <c r="I32" s="6">
        <v>96</v>
      </c>
      <c r="J32" s="6">
        <v>75</v>
      </c>
      <c r="K32" s="6">
        <v>21</v>
      </c>
      <c r="L32" s="6">
        <v>22</v>
      </c>
      <c r="M32" s="6">
        <v>11</v>
      </c>
      <c r="N32" s="6">
        <v>0</v>
      </c>
      <c r="O32" s="6">
        <v>50</v>
      </c>
      <c r="P32" s="6">
        <v>34</v>
      </c>
      <c r="Q32" s="6">
        <v>13</v>
      </c>
      <c r="R32" s="6">
        <v>2</v>
      </c>
      <c r="S32" s="6">
        <v>61.76</v>
      </c>
      <c r="T32" s="6">
        <v>37</v>
      </c>
      <c r="U32" s="6">
        <v>0</v>
      </c>
      <c r="V32" s="6">
        <v>1</v>
      </c>
      <c r="W32" s="6">
        <v>0</v>
      </c>
      <c r="X32" s="6">
        <v>0</v>
      </c>
      <c r="Y32" s="6">
        <v>0</v>
      </c>
      <c r="Z32" s="6">
        <v>84</v>
      </c>
      <c r="AA32" s="6">
        <v>391</v>
      </c>
      <c r="AB32" s="6">
        <v>24.55</v>
      </c>
      <c r="AC32" s="6">
        <v>872</v>
      </c>
      <c r="AD32" s="6">
        <v>245</v>
      </c>
      <c r="AE32" s="6">
        <v>97</v>
      </c>
      <c r="AF32" s="6">
        <v>49</v>
      </c>
      <c r="AG32" s="6">
        <v>43</v>
      </c>
      <c r="AH32" s="6">
        <f t="shared" si="31"/>
        <v>1</v>
      </c>
      <c r="AI32" s="6">
        <f t="shared" si="32"/>
        <v>8</v>
      </c>
      <c r="AJ32" s="6">
        <f t="shared" si="33"/>
        <v>4</v>
      </c>
      <c r="AK32" s="6">
        <f t="shared" si="34"/>
        <v>7</v>
      </c>
    </row>
    <row r="33" spans="1:37" hidden="1" x14ac:dyDescent="0.25">
      <c r="A33" s="118">
        <v>8</v>
      </c>
      <c r="B33" s="1" t="s">
        <v>112</v>
      </c>
      <c r="C33" s="6">
        <v>18</v>
      </c>
      <c r="D33" s="6">
        <v>6</v>
      </c>
      <c r="E33" s="6">
        <v>2</v>
      </c>
      <c r="F33" s="6">
        <v>1</v>
      </c>
      <c r="G33" s="6">
        <v>9</v>
      </c>
      <c r="H33" s="6">
        <v>23</v>
      </c>
      <c r="I33" s="6">
        <v>106</v>
      </c>
      <c r="J33" s="6">
        <v>134</v>
      </c>
      <c r="K33" s="6">
        <v>-28</v>
      </c>
      <c r="L33" s="6">
        <v>38</v>
      </c>
      <c r="M33" s="6">
        <v>9</v>
      </c>
      <c r="N33" s="6">
        <v>2</v>
      </c>
      <c r="O33" s="6">
        <v>23.68</v>
      </c>
      <c r="P33" s="6">
        <v>40</v>
      </c>
      <c r="Q33" s="6">
        <v>18</v>
      </c>
      <c r="R33" s="6">
        <v>1</v>
      </c>
      <c r="S33" s="6">
        <v>55</v>
      </c>
      <c r="T33" s="6">
        <v>43</v>
      </c>
      <c r="U33" s="6">
        <v>0</v>
      </c>
      <c r="V33" s="6">
        <v>0</v>
      </c>
      <c r="W33" s="6">
        <v>0</v>
      </c>
      <c r="X33" s="6">
        <v>0</v>
      </c>
      <c r="Y33" s="6">
        <v>0</v>
      </c>
      <c r="Z33" s="6">
        <v>86</v>
      </c>
      <c r="AA33" s="6">
        <v>448</v>
      </c>
      <c r="AB33" s="6">
        <v>23.66</v>
      </c>
      <c r="AC33" s="6">
        <v>280</v>
      </c>
      <c r="AD33" s="6">
        <v>540</v>
      </c>
      <c r="AE33" s="6">
        <v>40</v>
      </c>
      <c r="AF33" s="6">
        <v>49</v>
      </c>
      <c r="AG33" s="6">
        <v>32</v>
      </c>
      <c r="AH33" s="6">
        <f t="shared" si="31"/>
        <v>13</v>
      </c>
      <c r="AI33" s="6">
        <f t="shared" si="32"/>
        <v>10</v>
      </c>
      <c r="AJ33" s="6">
        <f t="shared" si="33"/>
        <v>3</v>
      </c>
      <c r="AK33" s="6">
        <f t="shared" si="34"/>
        <v>8</v>
      </c>
    </row>
    <row r="34" spans="1:37" hidden="1" x14ac:dyDescent="0.25">
      <c r="A34" s="118">
        <v>9</v>
      </c>
      <c r="B34" s="1" t="s">
        <v>113</v>
      </c>
      <c r="C34" s="6">
        <v>17</v>
      </c>
      <c r="D34" s="6">
        <v>5</v>
      </c>
      <c r="E34" s="6">
        <v>2</v>
      </c>
      <c r="F34" s="6">
        <v>0</v>
      </c>
      <c r="G34" s="6">
        <v>10</v>
      </c>
      <c r="H34" s="6">
        <v>19</v>
      </c>
      <c r="I34" s="6">
        <v>93</v>
      </c>
      <c r="J34" s="6">
        <v>110</v>
      </c>
      <c r="K34" s="6">
        <v>-17</v>
      </c>
      <c r="L34" s="6">
        <v>27</v>
      </c>
      <c r="M34" s="6">
        <v>11</v>
      </c>
      <c r="N34" s="6">
        <v>4</v>
      </c>
      <c r="O34" s="6">
        <v>40.74</v>
      </c>
      <c r="P34" s="6">
        <v>25</v>
      </c>
      <c r="Q34" s="6">
        <v>7</v>
      </c>
      <c r="R34" s="6">
        <v>1</v>
      </c>
      <c r="S34" s="6">
        <v>72</v>
      </c>
      <c r="T34" s="6">
        <v>30</v>
      </c>
      <c r="U34" s="6">
        <v>0</v>
      </c>
      <c r="V34" s="6">
        <v>0</v>
      </c>
      <c r="W34" s="6">
        <v>0</v>
      </c>
      <c r="X34" s="6">
        <v>0</v>
      </c>
      <c r="Y34" s="6">
        <v>0</v>
      </c>
      <c r="Z34" s="6">
        <v>60</v>
      </c>
      <c r="AA34" s="6">
        <v>417</v>
      </c>
      <c r="AB34" s="6">
        <v>22.3</v>
      </c>
      <c r="AC34" s="6">
        <v>227</v>
      </c>
      <c r="AD34" s="6">
        <v>107</v>
      </c>
      <c r="AE34" s="6">
        <v>25</v>
      </c>
      <c r="AF34" s="6">
        <v>13</v>
      </c>
      <c r="AG34" s="6">
        <v>13</v>
      </c>
      <c r="AH34" s="6">
        <f t="shared" si="31"/>
        <v>7</v>
      </c>
      <c r="AI34" s="6">
        <f t="shared" si="32"/>
        <v>4</v>
      </c>
      <c r="AJ34" s="6">
        <f t="shared" si="33"/>
        <v>11</v>
      </c>
      <c r="AK34" s="6">
        <f t="shared" si="34"/>
        <v>9</v>
      </c>
    </row>
    <row r="35" spans="1:37" hidden="1" x14ac:dyDescent="0.25">
      <c r="A35" s="118">
        <v>10</v>
      </c>
      <c r="B35" s="1" t="s">
        <v>115</v>
      </c>
      <c r="C35" s="6">
        <v>19</v>
      </c>
      <c r="D35" s="6">
        <v>4</v>
      </c>
      <c r="E35" s="6">
        <v>3</v>
      </c>
      <c r="F35" s="6">
        <v>0</v>
      </c>
      <c r="G35" s="6">
        <v>12</v>
      </c>
      <c r="H35" s="6">
        <v>18</v>
      </c>
      <c r="I35" s="6">
        <v>111</v>
      </c>
      <c r="J35" s="6">
        <v>161</v>
      </c>
      <c r="K35" s="6">
        <v>-50</v>
      </c>
      <c r="L35" s="6">
        <v>21</v>
      </c>
      <c r="M35" s="6">
        <v>8</v>
      </c>
      <c r="N35" s="6">
        <v>0</v>
      </c>
      <c r="O35" s="6">
        <v>38.1</v>
      </c>
      <c r="P35" s="6">
        <v>34</v>
      </c>
      <c r="Q35" s="6">
        <v>21</v>
      </c>
      <c r="R35" s="6">
        <v>1</v>
      </c>
      <c r="S35" s="6">
        <v>38.24</v>
      </c>
      <c r="T35" s="6">
        <v>36</v>
      </c>
      <c r="U35" s="6">
        <v>0</v>
      </c>
      <c r="V35" s="6">
        <v>2</v>
      </c>
      <c r="W35" s="6">
        <v>0</v>
      </c>
      <c r="X35" s="6">
        <v>0</v>
      </c>
      <c r="Y35" s="6">
        <v>0</v>
      </c>
      <c r="Z35" s="6">
        <v>92</v>
      </c>
      <c r="AA35" s="6">
        <v>401</v>
      </c>
      <c r="AB35" s="6">
        <v>27.68</v>
      </c>
      <c r="AC35" s="6">
        <v>290</v>
      </c>
      <c r="AD35" s="6">
        <v>532</v>
      </c>
      <c r="AE35" s="6">
        <v>32</v>
      </c>
      <c r="AF35" s="6">
        <v>53</v>
      </c>
      <c r="AG35" s="6">
        <v>32</v>
      </c>
      <c r="AH35" s="6">
        <f t="shared" si="31"/>
        <v>8</v>
      </c>
      <c r="AI35" s="6">
        <f t="shared" si="32"/>
        <v>14</v>
      </c>
      <c r="AJ35" s="6">
        <f t="shared" si="33"/>
        <v>2</v>
      </c>
      <c r="AK35" s="6">
        <f t="shared" si="34"/>
        <v>10</v>
      </c>
    </row>
    <row r="36" spans="1:37" hidden="1" x14ac:dyDescent="0.25">
      <c r="A36" s="118">
        <v>11</v>
      </c>
      <c r="B36" s="1" t="s">
        <v>114</v>
      </c>
      <c r="C36" s="6">
        <v>19</v>
      </c>
      <c r="D36" s="6">
        <v>4</v>
      </c>
      <c r="E36" s="6">
        <v>0</v>
      </c>
      <c r="F36" s="6">
        <v>3</v>
      </c>
      <c r="G36" s="6">
        <v>12</v>
      </c>
      <c r="H36" s="6">
        <v>15</v>
      </c>
      <c r="I36" s="6">
        <v>72</v>
      </c>
      <c r="J36" s="6">
        <v>111</v>
      </c>
      <c r="K36" s="6">
        <v>-39</v>
      </c>
      <c r="L36" s="6">
        <v>30</v>
      </c>
      <c r="M36" s="6">
        <v>15</v>
      </c>
      <c r="N36" s="6">
        <v>2</v>
      </c>
      <c r="O36" s="6">
        <v>50</v>
      </c>
      <c r="P36" s="6">
        <v>32</v>
      </c>
      <c r="Q36" s="6">
        <v>14</v>
      </c>
      <c r="R36" s="6">
        <v>3</v>
      </c>
      <c r="S36" s="6">
        <v>56.25</v>
      </c>
      <c r="T36" s="6">
        <v>36</v>
      </c>
      <c r="U36" s="6">
        <v>2</v>
      </c>
      <c r="V36" s="6">
        <v>0</v>
      </c>
      <c r="W36" s="6">
        <v>0</v>
      </c>
      <c r="X36" s="6">
        <v>1</v>
      </c>
      <c r="Y36" s="6">
        <v>0</v>
      </c>
      <c r="Z36" s="6">
        <v>102</v>
      </c>
      <c r="AA36" s="6">
        <v>379</v>
      </c>
      <c r="AB36" s="6">
        <v>19</v>
      </c>
      <c r="AC36" s="6">
        <v>407</v>
      </c>
      <c r="AD36" s="6">
        <v>324</v>
      </c>
      <c r="AE36" s="6">
        <v>41</v>
      </c>
      <c r="AF36" s="6">
        <v>36</v>
      </c>
      <c r="AG36" s="6">
        <v>28</v>
      </c>
      <c r="AH36" s="6">
        <f t="shared" si="31"/>
        <v>1</v>
      </c>
      <c r="AI36" s="6">
        <f t="shared" si="32"/>
        <v>9</v>
      </c>
      <c r="AJ36" s="6">
        <f t="shared" si="33"/>
        <v>1</v>
      </c>
      <c r="AK36" s="6">
        <f t="shared" si="34"/>
        <v>11</v>
      </c>
    </row>
    <row r="37" spans="1:37" hidden="1" x14ac:dyDescent="0.25">
      <c r="A37" s="118">
        <v>12</v>
      </c>
      <c r="B37" s="1" t="s">
        <v>118</v>
      </c>
      <c r="C37" s="6">
        <v>17</v>
      </c>
      <c r="D37" s="6">
        <v>3</v>
      </c>
      <c r="E37" s="6">
        <v>0</v>
      </c>
      <c r="F37" s="6">
        <v>2</v>
      </c>
      <c r="G37" s="6">
        <v>12</v>
      </c>
      <c r="H37" s="6">
        <v>11</v>
      </c>
      <c r="I37" s="6">
        <v>76</v>
      </c>
      <c r="J37" s="6">
        <v>113</v>
      </c>
      <c r="K37" s="6">
        <v>-37</v>
      </c>
      <c r="L37" s="6">
        <v>26</v>
      </c>
      <c r="M37" s="6">
        <v>12</v>
      </c>
      <c r="N37" s="6">
        <v>2</v>
      </c>
      <c r="O37" s="6">
        <v>46.15</v>
      </c>
      <c r="P37" s="6">
        <v>23</v>
      </c>
      <c r="Q37" s="6">
        <v>13</v>
      </c>
      <c r="R37" s="6">
        <v>2</v>
      </c>
      <c r="S37" s="6">
        <v>43.48</v>
      </c>
      <c r="T37" s="6">
        <v>24</v>
      </c>
      <c r="U37" s="6">
        <v>1</v>
      </c>
      <c r="V37" s="6">
        <v>0</v>
      </c>
      <c r="W37" s="6">
        <v>0</v>
      </c>
      <c r="X37" s="6">
        <v>0</v>
      </c>
      <c r="Y37" s="6">
        <v>0</v>
      </c>
      <c r="Z37" s="6">
        <v>53</v>
      </c>
      <c r="AA37" s="6">
        <v>338</v>
      </c>
      <c r="AB37" s="6">
        <v>22.49</v>
      </c>
      <c r="AC37" s="6">
        <v>311</v>
      </c>
      <c r="AD37" s="6">
        <v>150</v>
      </c>
      <c r="AE37" s="6">
        <v>39</v>
      </c>
      <c r="AF37" s="6">
        <v>17</v>
      </c>
      <c r="AG37" s="6">
        <v>18</v>
      </c>
      <c r="AH37" s="6">
        <f t="shared" si="31"/>
        <v>4</v>
      </c>
      <c r="AI37" s="6">
        <f t="shared" si="32"/>
        <v>13</v>
      </c>
      <c r="AJ37" s="6">
        <f t="shared" si="33"/>
        <v>13</v>
      </c>
      <c r="AK37" s="6">
        <f t="shared" si="34"/>
        <v>12</v>
      </c>
    </row>
    <row r="38" spans="1:37" hidden="1" x14ac:dyDescent="0.25">
      <c r="A38" s="118">
        <v>13</v>
      </c>
      <c r="B38" s="1" t="s">
        <v>116</v>
      </c>
      <c r="C38" s="6">
        <v>13</v>
      </c>
      <c r="D38" s="6">
        <v>3</v>
      </c>
      <c r="E38" s="6">
        <v>0</v>
      </c>
      <c r="F38" s="6">
        <v>2</v>
      </c>
      <c r="G38" s="6">
        <v>8</v>
      </c>
      <c r="H38" s="6">
        <v>11</v>
      </c>
      <c r="I38" s="6">
        <v>71</v>
      </c>
      <c r="J38" s="6">
        <v>116</v>
      </c>
      <c r="K38" s="6">
        <v>-45</v>
      </c>
      <c r="L38" s="6">
        <v>21</v>
      </c>
      <c r="M38" s="6">
        <v>4</v>
      </c>
      <c r="N38" s="6">
        <v>1</v>
      </c>
      <c r="O38" s="6">
        <v>19.05</v>
      </c>
      <c r="P38" s="6">
        <v>31</v>
      </c>
      <c r="Q38" s="6">
        <v>15</v>
      </c>
      <c r="R38" s="6">
        <v>1</v>
      </c>
      <c r="S38" s="6">
        <v>51.61</v>
      </c>
      <c r="T38" s="6">
        <v>35</v>
      </c>
      <c r="U38" s="6">
        <v>0</v>
      </c>
      <c r="V38" s="6">
        <v>0</v>
      </c>
      <c r="W38" s="6">
        <v>0</v>
      </c>
      <c r="X38" s="6">
        <v>0</v>
      </c>
      <c r="Y38" s="6">
        <v>0</v>
      </c>
      <c r="Z38" s="6">
        <v>70</v>
      </c>
      <c r="AA38" s="6">
        <v>285</v>
      </c>
      <c r="AB38" s="6">
        <v>24.91</v>
      </c>
      <c r="AC38" s="6">
        <v>268</v>
      </c>
      <c r="AD38" s="6">
        <v>460</v>
      </c>
      <c r="AE38" s="6">
        <v>54</v>
      </c>
      <c r="AF38" s="6">
        <v>58</v>
      </c>
      <c r="AG38" s="6">
        <v>28</v>
      </c>
      <c r="AH38" s="6">
        <f t="shared" si="31"/>
        <v>14</v>
      </c>
      <c r="AI38" s="6">
        <f t="shared" si="32"/>
        <v>12</v>
      </c>
      <c r="AJ38" s="6">
        <f t="shared" si="33"/>
        <v>10</v>
      </c>
      <c r="AK38" s="6">
        <f t="shared" si="34"/>
        <v>13</v>
      </c>
    </row>
    <row r="39" spans="1:37" hidden="1" x14ac:dyDescent="0.25">
      <c r="A39" s="118">
        <v>14</v>
      </c>
      <c r="B39" s="1" t="s">
        <v>117</v>
      </c>
      <c r="C39" s="6">
        <v>17</v>
      </c>
      <c r="D39" s="6">
        <v>2</v>
      </c>
      <c r="E39" s="6">
        <v>0</v>
      </c>
      <c r="F39" s="6">
        <v>2</v>
      </c>
      <c r="G39" s="6">
        <v>13</v>
      </c>
      <c r="H39" s="6">
        <v>8</v>
      </c>
      <c r="I39" s="6">
        <v>64</v>
      </c>
      <c r="J39" s="6">
        <v>124</v>
      </c>
      <c r="K39" s="6">
        <v>-60</v>
      </c>
      <c r="L39" s="6">
        <v>31</v>
      </c>
      <c r="M39" s="6">
        <v>8</v>
      </c>
      <c r="N39" s="6">
        <v>3</v>
      </c>
      <c r="O39" s="6">
        <v>25.81</v>
      </c>
      <c r="P39" s="6">
        <v>36</v>
      </c>
      <c r="Q39" s="6">
        <v>13</v>
      </c>
      <c r="R39" s="6">
        <v>1</v>
      </c>
      <c r="S39" s="6">
        <v>63.89</v>
      </c>
      <c r="T39" s="6">
        <v>41</v>
      </c>
      <c r="U39" s="6">
        <v>0</v>
      </c>
      <c r="V39" s="6">
        <v>0</v>
      </c>
      <c r="W39" s="6">
        <v>0</v>
      </c>
      <c r="X39" s="6">
        <v>0</v>
      </c>
      <c r="Y39" s="6">
        <v>0</v>
      </c>
      <c r="Z39" s="6">
        <v>82</v>
      </c>
      <c r="AA39" s="6">
        <v>357</v>
      </c>
      <c r="AB39" s="6">
        <v>17.93</v>
      </c>
      <c r="AC39" s="6">
        <v>275</v>
      </c>
      <c r="AD39" s="6">
        <v>113</v>
      </c>
      <c r="AE39" s="6">
        <v>31</v>
      </c>
      <c r="AF39" s="6">
        <v>14</v>
      </c>
      <c r="AG39" s="6">
        <v>15</v>
      </c>
      <c r="AH39" s="6">
        <f t="shared" si="31"/>
        <v>12</v>
      </c>
      <c r="AI39" s="6">
        <f t="shared" si="32"/>
        <v>7</v>
      </c>
      <c r="AJ39" s="6">
        <f t="shared" si="33"/>
        <v>5</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4" t="s">
        <v>150</v>
      </c>
      <c r="B42" s="1" t="s">
        <v>112</v>
      </c>
    </row>
    <row r="43" spans="1:37" hidden="1" x14ac:dyDescent="0.25">
      <c r="A43" s="144" t="s">
        <v>144</v>
      </c>
      <c r="B43" s="1" t="s">
        <v>108</v>
      </c>
    </row>
    <row r="44" spans="1:37" hidden="1" x14ac:dyDescent="0.25">
      <c r="A44" s="144" t="s">
        <v>153</v>
      </c>
      <c r="B44" s="1" t="s">
        <v>115</v>
      </c>
    </row>
    <row r="45" spans="1:37" hidden="1" x14ac:dyDescent="0.25">
      <c r="A45" s="144" t="s">
        <v>152</v>
      </c>
      <c r="B45" s="1" t="s">
        <v>114</v>
      </c>
    </row>
    <row r="46" spans="1:37" hidden="1" x14ac:dyDescent="0.25">
      <c r="A46" s="144" t="s">
        <v>146</v>
      </c>
      <c r="B46" s="1" t="s">
        <v>109</v>
      </c>
    </row>
    <row r="47" spans="1:37" hidden="1" x14ac:dyDescent="0.25">
      <c r="A47" s="144" t="s">
        <v>145</v>
      </c>
      <c r="B47" s="1" t="s">
        <v>113</v>
      </c>
    </row>
    <row r="48" spans="1:37" hidden="1" x14ac:dyDescent="0.25">
      <c r="A48" s="144" t="s">
        <v>151</v>
      </c>
      <c r="B48" s="1" t="s">
        <v>106</v>
      </c>
    </row>
    <row r="49" spans="1:2" hidden="1" x14ac:dyDescent="0.25">
      <c r="A49" s="144" t="s">
        <v>147</v>
      </c>
      <c r="B49" s="1" t="s">
        <v>110</v>
      </c>
    </row>
    <row r="50" spans="1:2" hidden="1" x14ac:dyDescent="0.25">
      <c r="A50" s="144" t="s">
        <v>154</v>
      </c>
      <c r="B50" s="1" t="s">
        <v>117</v>
      </c>
    </row>
    <row r="51" spans="1:2" hidden="1" x14ac:dyDescent="0.25">
      <c r="A51" s="144" t="s">
        <v>148</v>
      </c>
      <c r="B51" s="1" t="s">
        <v>116</v>
      </c>
    </row>
    <row r="52" spans="1:2" hidden="1" x14ac:dyDescent="0.25">
      <c r="A52" s="144" t="s">
        <v>29</v>
      </c>
      <c r="B52" s="1" t="s">
        <v>118</v>
      </c>
    </row>
    <row r="53" spans="1:2" hidden="1" x14ac:dyDescent="0.25">
      <c r="A53" s="144" t="s">
        <v>149</v>
      </c>
      <c r="B53" s="1" t="s">
        <v>111</v>
      </c>
    </row>
    <row r="54" spans="1:2" hidden="1" x14ac:dyDescent="0.25">
      <c r="A54" s="144" t="s">
        <v>143</v>
      </c>
      <c r="B54" s="1" t="s">
        <v>107</v>
      </c>
    </row>
    <row r="55" spans="1:2" hidden="1" x14ac:dyDescent="0.25">
      <c r="A55" s="144" t="s">
        <v>142</v>
      </c>
      <c r="B55" s="1" t="s">
        <v>105</v>
      </c>
    </row>
  </sheetData>
  <sheetProtection algorithmName="SHA-512" hashValue="9gL1Fyh4w+0sYOOON4+Sg46sg1ZwIS1tiGMwuOBkUPhpp11baG8b8vzj3w+U3jCE4txEOmCG+sETtmzU/0jajw==" saltValue="ynNUfZWOYjiPaxmP7uDKWg=="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topLeftCell="A73" zoomScaleNormal="100" workbookViewId="0">
      <selection activeCell="B90" sqref="B90"/>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531</v>
      </c>
      <c r="Q1" s="115" t="s">
        <v>48</v>
      </c>
    </row>
    <row r="2" spans="1:19" s="4" customFormat="1" ht="15" customHeight="1" x14ac:dyDescent="0.25">
      <c r="A2" s="53">
        <v>1</v>
      </c>
      <c r="B2" s="4" t="s">
        <v>14</v>
      </c>
      <c r="D2" s="5" t="s">
        <v>52</v>
      </c>
      <c r="E2" s="5">
        <v>17</v>
      </c>
      <c r="F2" s="5">
        <v>14</v>
      </c>
      <c r="G2" s="5">
        <v>2</v>
      </c>
      <c r="H2" s="5">
        <v>1</v>
      </c>
      <c r="I2" s="5">
        <v>9</v>
      </c>
      <c r="J2" s="5">
        <v>23</v>
      </c>
      <c r="K2" s="5">
        <v>10</v>
      </c>
      <c r="L2" s="5">
        <v>27</v>
      </c>
      <c r="M2" s="5">
        <v>38</v>
      </c>
      <c r="N2" s="5">
        <v>-11</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23 (14+9), -11 ±</v>
      </c>
      <c r="P2" s="5" t="str">
        <f>IF(B2&lt;&gt;0,IF(VLOOKUP(B2,$B$48:$B$82,1,FALSE)=B2,"ANO","NE"),"")</f>
        <v>ANO</v>
      </c>
      <c r="Q2" s="143" t="s">
        <v>474</v>
      </c>
      <c r="S2" s="5"/>
    </row>
    <row r="3" spans="1:19" s="4" customFormat="1" ht="15" customHeight="1" x14ac:dyDescent="0.25">
      <c r="A3" s="53">
        <v>2</v>
      </c>
      <c r="B3" s="4" t="s">
        <v>21</v>
      </c>
      <c r="D3" s="5" t="s">
        <v>52</v>
      </c>
      <c r="E3" s="5">
        <v>17</v>
      </c>
      <c r="F3" s="5">
        <v>15</v>
      </c>
      <c r="G3" s="5">
        <v>5</v>
      </c>
      <c r="H3" s="5">
        <v>0</v>
      </c>
      <c r="I3" s="5">
        <v>4</v>
      </c>
      <c r="J3" s="5">
        <v>19</v>
      </c>
      <c r="K3" s="5">
        <v>2</v>
      </c>
      <c r="L3" s="5">
        <v>15</v>
      </c>
      <c r="M3" s="5">
        <v>30</v>
      </c>
      <c r="N3" s="5">
        <v>-15</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19 (15+4), -15 ±</v>
      </c>
      <c r="P3" s="5" t="str">
        <f t="shared" ref="P3:P35" si="1">IF(B3&lt;&gt;0,IF(VLOOKUP(B3,$B$48:$B$82,1,FALSE)=B3,"ANO","NE"),"")</f>
        <v>ANO</v>
      </c>
      <c r="Q3" s="143" t="s">
        <v>475</v>
      </c>
      <c r="S3" s="5"/>
    </row>
    <row r="4" spans="1:19" s="4" customFormat="1" ht="15" customHeight="1" x14ac:dyDescent="0.25">
      <c r="A4" s="53">
        <v>3</v>
      </c>
      <c r="B4" s="4" t="s">
        <v>12</v>
      </c>
      <c r="D4" s="5" t="s">
        <v>52</v>
      </c>
      <c r="E4" s="5">
        <v>16</v>
      </c>
      <c r="F4" s="5">
        <v>9</v>
      </c>
      <c r="G4" s="5">
        <v>1</v>
      </c>
      <c r="H4" s="5">
        <v>0</v>
      </c>
      <c r="I4" s="5">
        <v>7</v>
      </c>
      <c r="J4" s="5">
        <v>16</v>
      </c>
      <c r="K4" s="5">
        <v>0</v>
      </c>
      <c r="L4" s="5">
        <v>23</v>
      </c>
      <c r="M4" s="5">
        <v>26</v>
      </c>
      <c r="N4" s="5">
        <v>-3</v>
      </c>
      <c r="O4" s="162" t="str">
        <f t="shared" si="0"/>
        <v>16 OZ , 16 (9+7), -3 ±</v>
      </c>
      <c r="P4" s="5" t="str">
        <f t="shared" si="1"/>
        <v>ANO</v>
      </c>
      <c r="Q4" s="143" t="s">
        <v>719</v>
      </c>
      <c r="S4" s="5"/>
    </row>
    <row r="5" spans="1:19" s="4" customFormat="1" ht="15" customHeight="1" x14ac:dyDescent="0.25">
      <c r="A5" s="53">
        <v>4</v>
      </c>
      <c r="B5" s="4" t="s">
        <v>2</v>
      </c>
      <c r="D5" s="5"/>
      <c r="E5" s="5">
        <v>9</v>
      </c>
      <c r="F5" s="5">
        <v>4</v>
      </c>
      <c r="G5" s="5">
        <v>0</v>
      </c>
      <c r="H5" s="5">
        <v>0</v>
      </c>
      <c r="I5" s="5">
        <v>6</v>
      </c>
      <c r="J5" s="5">
        <v>10</v>
      </c>
      <c r="K5" s="5">
        <v>0</v>
      </c>
      <c r="L5" s="5">
        <v>16</v>
      </c>
      <c r="M5" s="5">
        <v>30</v>
      </c>
      <c r="N5" s="5">
        <v>-14</v>
      </c>
      <c r="O5" s="162" t="str">
        <f t="shared" si="0"/>
        <v>9 OZ , 10 (4+6), -14 ±</v>
      </c>
      <c r="P5" s="5" t="str">
        <f t="shared" si="1"/>
        <v>ANO</v>
      </c>
      <c r="Q5" s="143" t="s">
        <v>718</v>
      </c>
      <c r="S5" s="5"/>
    </row>
    <row r="6" spans="1:19" ht="15" customHeight="1" x14ac:dyDescent="0.25">
      <c r="A6" s="54">
        <v>5</v>
      </c>
      <c r="B6" s="1" t="s">
        <v>19</v>
      </c>
      <c r="D6" s="181" t="s">
        <v>52</v>
      </c>
      <c r="E6" s="181">
        <v>16</v>
      </c>
      <c r="F6" s="181">
        <v>3</v>
      </c>
      <c r="G6" s="181">
        <v>0</v>
      </c>
      <c r="H6" s="181">
        <v>0</v>
      </c>
      <c r="I6" s="181">
        <v>7</v>
      </c>
      <c r="J6" s="181">
        <v>10</v>
      </c>
      <c r="K6" s="181">
        <v>0</v>
      </c>
      <c r="L6" s="181">
        <v>13</v>
      </c>
      <c r="M6" s="181">
        <v>19</v>
      </c>
      <c r="N6" s="181">
        <v>-6</v>
      </c>
      <c r="O6" s="162" t="str">
        <f t="shared" si="0"/>
        <v>16 OZ , 10 (3+7), -6 ±</v>
      </c>
      <c r="P6" s="5" t="str">
        <f t="shared" si="1"/>
        <v>ANO</v>
      </c>
    </row>
    <row r="7" spans="1:19" ht="15" customHeight="1" x14ac:dyDescent="0.25">
      <c r="A7" s="54">
        <v>6</v>
      </c>
      <c r="B7" s="1" t="s">
        <v>3</v>
      </c>
      <c r="D7" s="181" t="s">
        <v>52</v>
      </c>
      <c r="E7" s="181">
        <v>17</v>
      </c>
      <c r="F7" s="181">
        <v>6</v>
      </c>
      <c r="G7" s="181">
        <v>0</v>
      </c>
      <c r="H7" s="181">
        <v>0</v>
      </c>
      <c r="I7" s="181">
        <v>3</v>
      </c>
      <c r="J7" s="181">
        <v>9</v>
      </c>
      <c r="K7" s="181">
        <v>4</v>
      </c>
      <c r="L7" s="181">
        <v>16</v>
      </c>
      <c r="M7" s="181">
        <v>17</v>
      </c>
      <c r="N7" s="181">
        <v>-1</v>
      </c>
      <c r="O7" s="162" t="str">
        <f t="shared" si="0"/>
        <v>17 OZ , 9 (6+3), -1 ±</v>
      </c>
      <c r="P7" s="5" t="str">
        <f t="shared" si="1"/>
        <v>ANO</v>
      </c>
    </row>
    <row r="8" spans="1:19" ht="15" customHeight="1" x14ac:dyDescent="0.25">
      <c r="A8" s="54">
        <v>7</v>
      </c>
      <c r="B8" s="1" t="s">
        <v>57</v>
      </c>
      <c r="D8" s="181" t="s">
        <v>49</v>
      </c>
      <c r="E8" s="181">
        <v>17</v>
      </c>
      <c r="F8" s="181">
        <v>6</v>
      </c>
      <c r="G8" s="181">
        <v>4</v>
      </c>
      <c r="H8" s="181">
        <v>0</v>
      </c>
      <c r="I8" s="181">
        <v>3</v>
      </c>
      <c r="J8" s="181">
        <v>9</v>
      </c>
      <c r="K8" s="181">
        <v>4</v>
      </c>
      <c r="L8" s="181">
        <v>21</v>
      </c>
      <c r="M8" s="181">
        <v>39</v>
      </c>
      <c r="N8" s="181">
        <v>-18</v>
      </c>
      <c r="O8" s="162" t="str">
        <f t="shared" si="0"/>
        <v>17 OZ , 9 (6+3), -18 ±</v>
      </c>
      <c r="P8" s="5" t="str">
        <f t="shared" si="1"/>
        <v>ANO</v>
      </c>
    </row>
    <row r="9" spans="1:19" ht="15" customHeight="1" x14ac:dyDescent="0.25">
      <c r="A9" s="54">
        <v>8</v>
      </c>
      <c r="B9" s="1" t="s">
        <v>20</v>
      </c>
      <c r="D9" s="181"/>
      <c r="E9" s="181">
        <v>17</v>
      </c>
      <c r="F9" s="181">
        <v>3</v>
      </c>
      <c r="G9" s="181">
        <v>0</v>
      </c>
      <c r="H9" s="181">
        <v>0</v>
      </c>
      <c r="I9" s="181">
        <v>4</v>
      </c>
      <c r="J9" s="181">
        <v>7</v>
      </c>
      <c r="K9" s="181">
        <v>9</v>
      </c>
      <c r="L9" s="181">
        <v>23</v>
      </c>
      <c r="M9" s="181">
        <v>30</v>
      </c>
      <c r="N9" s="181">
        <v>-7</v>
      </c>
      <c r="O9" s="162" t="str">
        <f t="shared" si="0"/>
        <v>17 OZ , 7 (3+4), -7 ±</v>
      </c>
      <c r="P9" s="5" t="str">
        <f t="shared" si="1"/>
        <v>ANO</v>
      </c>
    </row>
    <row r="10" spans="1:19" ht="15" customHeight="1" x14ac:dyDescent="0.25">
      <c r="A10" s="54">
        <v>9</v>
      </c>
      <c r="B10" s="1" t="s">
        <v>10</v>
      </c>
      <c r="D10" s="181" t="s">
        <v>52</v>
      </c>
      <c r="E10" s="181">
        <v>13</v>
      </c>
      <c r="F10" s="181">
        <v>1</v>
      </c>
      <c r="G10" s="181">
        <v>0</v>
      </c>
      <c r="H10" s="181">
        <v>0</v>
      </c>
      <c r="I10" s="181">
        <v>6</v>
      </c>
      <c r="J10" s="181">
        <v>7</v>
      </c>
      <c r="K10" s="181">
        <v>8</v>
      </c>
      <c r="L10" s="181">
        <v>14</v>
      </c>
      <c r="M10" s="181">
        <v>16</v>
      </c>
      <c r="N10" s="181">
        <v>-2</v>
      </c>
      <c r="O10" s="162" t="str">
        <f t="shared" si="0"/>
        <v>13 OZ , 7 (1+6), -2 ±</v>
      </c>
      <c r="P10" s="5" t="str">
        <f t="shared" si="1"/>
        <v>ANO</v>
      </c>
    </row>
    <row r="11" spans="1:19" ht="15" customHeight="1" x14ac:dyDescent="0.25">
      <c r="A11" s="54">
        <v>10</v>
      </c>
      <c r="B11" s="1" t="s">
        <v>31</v>
      </c>
      <c r="D11" s="181"/>
      <c r="E11" s="181">
        <v>14</v>
      </c>
      <c r="F11" s="181">
        <v>0</v>
      </c>
      <c r="G11" s="181">
        <v>0</v>
      </c>
      <c r="H11" s="181">
        <v>0</v>
      </c>
      <c r="I11" s="181">
        <v>7</v>
      </c>
      <c r="J11" s="181">
        <v>7</v>
      </c>
      <c r="K11" s="181">
        <v>2</v>
      </c>
      <c r="L11" s="181">
        <v>8</v>
      </c>
      <c r="M11" s="181">
        <v>12</v>
      </c>
      <c r="N11" s="181">
        <v>-4</v>
      </c>
      <c r="O11" s="162" t="str">
        <f t="shared" si="0"/>
        <v>14 OZ , 7 (0+7), -4 ±</v>
      </c>
      <c r="P11" s="5" t="str">
        <f t="shared" si="1"/>
        <v>ANO</v>
      </c>
    </row>
    <row r="12" spans="1:19" ht="15" customHeight="1" x14ac:dyDescent="0.25">
      <c r="A12" s="54">
        <v>11</v>
      </c>
      <c r="B12" s="1" t="s">
        <v>17</v>
      </c>
      <c r="D12" s="181" t="s">
        <v>52</v>
      </c>
      <c r="E12" s="181">
        <v>16</v>
      </c>
      <c r="F12" s="181">
        <v>4</v>
      </c>
      <c r="G12" s="181">
        <v>0</v>
      </c>
      <c r="H12" s="181">
        <v>0</v>
      </c>
      <c r="I12" s="181">
        <v>2</v>
      </c>
      <c r="J12" s="181">
        <v>6</v>
      </c>
      <c r="K12" s="181">
        <v>6</v>
      </c>
      <c r="L12" s="181">
        <v>15</v>
      </c>
      <c r="M12" s="181">
        <v>25</v>
      </c>
      <c r="N12" s="181">
        <v>-10</v>
      </c>
      <c r="O12" s="162" t="str">
        <f t="shared" si="0"/>
        <v>16 OZ , 6 (4+2), -10 ±</v>
      </c>
      <c r="P12" s="5" t="str">
        <f t="shared" si="1"/>
        <v>ANO</v>
      </c>
    </row>
    <row r="13" spans="1:19" ht="15" customHeight="1" x14ac:dyDescent="0.25">
      <c r="A13" s="54">
        <v>12</v>
      </c>
      <c r="B13" s="1" t="s">
        <v>5</v>
      </c>
      <c r="D13" s="181"/>
      <c r="E13" s="181">
        <v>17</v>
      </c>
      <c r="F13" s="181">
        <v>3</v>
      </c>
      <c r="G13" s="181">
        <v>0</v>
      </c>
      <c r="H13" s="181">
        <v>0</v>
      </c>
      <c r="I13" s="181">
        <v>1</v>
      </c>
      <c r="J13" s="181">
        <v>4</v>
      </c>
      <c r="K13" s="181">
        <v>0</v>
      </c>
      <c r="L13" s="181">
        <v>19</v>
      </c>
      <c r="M13" s="181">
        <v>32</v>
      </c>
      <c r="N13" s="181">
        <v>-13</v>
      </c>
      <c r="O13" s="162" t="str">
        <f t="shared" si="0"/>
        <v>17 OZ , 4 (3+1), -13 ±</v>
      </c>
      <c r="P13" s="5" t="str">
        <f t="shared" si="1"/>
        <v>ANO</v>
      </c>
    </row>
    <row r="14" spans="1:19" ht="15" customHeight="1" x14ac:dyDescent="0.25">
      <c r="A14" s="54">
        <v>13</v>
      </c>
      <c r="B14" s="1" t="s">
        <v>26</v>
      </c>
      <c r="D14" s="181" t="s">
        <v>49</v>
      </c>
      <c r="E14" s="181">
        <v>16</v>
      </c>
      <c r="F14" s="181">
        <v>2</v>
      </c>
      <c r="G14" s="181">
        <v>0</v>
      </c>
      <c r="H14" s="181">
        <v>0</v>
      </c>
      <c r="I14" s="181">
        <v>1</v>
      </c>
      <c r="J14" s="181">
        <v>3</v>
      </c>
      <c r="K14" s="181">
        <v>0</v>
      </c>
      <c r="L14" s="181">
        <v>5</v>
      </c>
      <c r="M14" s="181">
        <v>10</v>
      </c>
      <c r="N14" s="181">
        <v>-5</v>
      </c>
      <c r="O14" s="162" t="str">
        <f t="shared" si="0"/>
        <v>16 OZ , 3 (2+1), -5 ±</v>
      </c>
      <c r="P14" s="5" t="str">
        <f t="shared" si="1"/>
        <v>ANO</v>
      </c>
    </row>
    <row r="15" spans="1:19" ht="15" customHeight="1" x14ac:dyDescent="0.25">
      <c r="A15" s="54">
        <v>14</v>
      </c>
      <c r="B15" s="1" t="s">
        <v>4</v>
      </c>
      <c r="D15" s="181" t="s">
        <v>49</v>
      </c>
      <c r="E15" s="181">
        <v>17</v>
      </c>
      <c r="F15" s="181">
        <v>1</v>
      </c>
      <c r="G15" s="181">
        <v>0</v>
      </c>
      <c r="H15" s="181">
        <v>1</v>
      </c>
      <c r="I15" s="181">
        <v>2</v>
      </c>
      <c r="J15" s="181">
        <v>3</v>
      </c>
      <c r="K15" s="181">
        <v>4</v>
      </c>
      <c r="L15" s="181">
        <v>15</v>
      </c>
      <c r="M15" s="181">
        <v>24</v>
      </c>
      <c r="N15" s="181">
        <v>-9</v>
      </c>
      <c r="O15" s="162" t="str">
        <f t="shared" si="0"/>
        <v>17 OZ , 3 (1+2), -9 ±</v>
      </c>
      <c r="P15" s="5" t="str">
        <f t="shared" si="1"/>
        <v>ANO</v>
      </c>
    </row>
    <row r="16" spans="1:19" ht="15" customHeight="1" x14ac:dyDescent="0.25">
      <c r="A16" s="54">
        <v>15</v>
      </c>
      <c r="B16" s="1" t="s">
        <v>286</v>
      </c>
      <c r="D16" s="181"/>
      <c r="E16" s="181">
        <v>4</v>
      </c>
      <c r="F16" s="181">
        <v>2</v>
      </c>
      <c r="G16" s="181">
        <v>0</v>
      </c>
      <c r="H16" s="181">
        <v>0</v>
      </c>
      <c r="I16" s="181">
        <v>0</v>
      </c>
      <c r="J16" s="181">
        <v>2</v>
      </c>
      <c r="K16" s="181">
        <v>0</v>
      </c>
      <c r="L16" s="181">
        <v>3</v>
      </c>
      <c r="M16" s="181">
        <v>4</v>
      </c>
      <c r="N16" s="181">
        <v>-1</v>
      </c>
      <c r="O16" s="162" t="str">
        <f t="shared" si="0"/>
        <v>12 OZ , 3 (2+1), -1 ±</v>
      </c>
      <c r="P16" s="5" t="str">
        <f t="shared" si="1"/>
        <v>ANO</v>
      </c>
    </row>
    <row r="17" spans="1:19" ht="15" customHeight="1" x14ac:dyDescent="0.25">
      <c r="A17" s="54">
        <v>16</v>
      </c>
      <c r="B17" s="1" t="s">
        <v>53</v>
      </c>
      <c r="D17" s="181"/>
      <c r="E17" s="181">
        <v>9</v>
      </c>
      <c r="F17" s="181">
        <v>2</v>
      </c>
      <c r="G17" s="181">
        <v>0</v>
      </c>
      <c r="H17" s="181">
        <v>0</v>
      </c>
      <c r="I17" s="181">
        <v>0</v>
      </c>
      <c r="J17" s="181">
        <v>2</v>
      </c>
      <c r="K17" s="181">
        <v>0</v>
      </c>
      <c r="L17" s="181">
        <v>1</v>
      </c>
      <c r="M17" s="181">
        <v>1</v>
      </c>
      <c r="N17" s="181">
        <v>0</v>
      </c>
      <c r="O17" s="162" t="str">
        <f t="shared" si="0"/>
        <v>9 OZ , 2 (2+0), 0 ±</v>
      </c>
      <c r="P17" s="5" t="str">
        <f t="shared" si="1"/>
        <v>ANO</v>
      </c>
    </row>
    <row r="18" spans="1:19" ht="15" customHeight="1" x14ac:dyDescent="0.25">
      <c r="A18" s="54">
        <v>17</v>
      </c>
      <c r="B18" s="1" t="s">
        <v>0</v>
      </c>
      <c r="D18" s="181" t="s">
        <v>49</v>
      </c>
      <c r="E18" s="181">
        <v>7</v>
      </c>
      <c r="F18" s="181">
        <v>0</v>
      </c>
      <c r="G18" s="181">
        <v>0</v>
      </c>
      <c r="H18" s="181">
        <v>0</v>
      </c>
      <c r="I18" s="181">
        <v>2</v>
      </c>
      <c r="J18" s="181">
        <v>2</v>
      </c>
      <c r="K18" s="181">
        <v>2</v>
      </c>
      <c r="L18" s="181">
        <v>4</v>
      </c>
      <c r="M18" s="181">
        <v>16</v>
      </c>
      <c r="N18" s="181">
        <v>-12</v>
      </c>
      <c r="O18" s="162" t="str">
        <f t="shared" si="0"/>
        <v>11 OZ , 3 (0+3), -11 ±</v>
      </c>
      <c r="P18" s="5" t="str">
        <f t="shared" si="1"/>
        <v>ANO</v>
      </c>
    </row>
    <row r="19" spans="1:19" ht="15" customHeight="1" x14ac:dyDescent="0.25">
      <c r="A19" s="54">
        <v>18</v>
      </c>
      <c r="B19" s="1" t="s">
        <v>51</v>
      </c>
      <c r="D19" s="181"/>
      <c r="E19" s="181">
        <v>3</v>
      </c>
      <c r="F19" s="181">
        <v>1</v>
      </c>
      <c r="G19" s="181">
        <v>0</v>
      </c>
      <c r="H19" s="181">
        <v>0</v>
      </c>
      <c r="I19" s="181">
        <v>0</v>
      </c>
      <c r="J19" s="181">
        <v>1</v>
      </c>
      <c r="K19" s="181">
        <v>0</v>
      </c>
      <c r="L19" s="181">
        <v>1</v>
      </c>
      <c r="M19" s="181">
        <v>0</v>
      </c>
      <c r="N19" s="181">
        <v>1</v>
      </c>
      <c r="O19" s="162" t="str">
        <f t="shared" si="0"/>
        <v>3 OZ , 1 (1+0), +1 ±</v>
      </c>
      <c r="P19" s="5" t="str">
        <f t="shared" si="1"/>
        <v>ANO</v>
      </c>
    </row>
    <row r="20" spans="1:19" ht="15" customHeight="1" x14ac:dyDescent="0.25">
      <c r="A20" s="54">
        <v>19</v>
      </c>
      <c r="B20" s="1" t="s">
        <v>54</v>
      </c>
      <c r="D20" s="181"/>
      <c r="E20" s="181">
        <v>2</v>
      </c>
      <c r="F20" s="181">
        <v>0</v>
      </c>
      <c r="G20" s="181">
        <v>0</v>
      </c>
      <c r="H20" s="181">
        <v>0</v>
      </c>
      <c r="I20" s="181">
        <v>0</v>
      </c>
      <c r="J20" s="181">
        <v>0</v>
      </c>
      <c r="K20" s="181">
        <v>0</v>
      </c>
      <c r="L20" s="181">
        <v>0</v>
      </c>
      <c r="M20" s="181">
        <v>0</v>
      </c>
      <c r="N20" s="181">
        <v>0</v>
      </c>
      <c r="O20" s="162" t="str">
        <f t="shared" si="0"/>
        <v>2 OZ , 0 (0+0), 0 ±</v>
      </c>
      <c r="P20" s="5" t="str">
        <f t="shared" si="1"/>
        <v>ANO</v>
      </c>
    </row>
    <row r="21" spans="1:19" ht="15" customHeight="1" x14ac:dyDescent="0.25">
      <c r="A21" s="54">
        <v>20</v>
      </c>
      <c r="B21" s="1" t="s">
        <v>55</v>
      </c>
      <c r="D21" s="181"/>
      <c r="E21" s="181">
        <v>0</v>
      </c>
      <c r="F21" s="181">
        <v>0</v>
      </c>
      <c r="G21" s="181">
        <v>0</v>
      </c>
      <c r="H21" s="181">
        <v>0</v>
      </c>
      <c r="I21" s="181">
        <v>0</v>
      </c>
      <c r="J21" s="181">
        <v>0</v>
      </c>
      <c r="K21" s="181">
        <v>0</v>
      </c>
      <c r="L21" s="181">
        <v>0</v>
      </c>
      <c r="M21" s="181">
        <v>0</v>
      </c>
      <c r="N21" s="181">
        <v>0</v>
      </c>
      <c r="O21" s="162" t="str">
        <f t="shared" si="0"/>
        <v>0 OZ , 0 (0+0), 0 ±</v>
      </c>
      <c r="P21" s="5" t="str">
        <f t="shared" si="1"/>
        <v>ANO</v>
      </c>
    </row>
    <row r="22" spans="1:19" ht="15" customHeight="1" x14ac:dyDescent="0.25">
      <c r="A22" s="54">
        <v>21</v>
      </c>
      <c r="B22" s="1" t="s">
        <v>58</v>
      </c>
      <c r="D22" s="181" t="s">
        <v>35</v>
      </c>
      <c r="E22" s="181">
        <v>0</v>
      </c>
      <c r="F22" s="181">
        <v>0</v>
      </c>
      <c r="G22" s="181">
        <v>0</v>
      </c>
      <c r="H22" s="181">
        <v>0</v>
      </c>
      <c r="I22" s="181">
        <v>0</v>
      </c>
      <c r="J22" s="181">
        <v>0</v>
      </c>
      <c r="K22" s="181">
        <v>0</v>
      </c>
      <c r="L22" s="181">
        <v>0</v>
      </c>
      <c r="M22" s="181">
        <v>0</v>
      </c>
      <c r="N22" s="181">
        <v>0</v>
      </c>
      <c r="O22" s="162" t="str">
        <f t="shared" si="0"/>
        <v>0 OZ , 0 (0+0), 0 ±</v>
      </c>
      <c r="P22" s="5" t="str">
        <f t="shared" si="1"/>
        <v>ANO</v>
      </c>
    </row>
    <row r="23" spans="1:19" ht="15" customHeight="1" x14ac:dyDescent="0.25">
      <c r="A23" s="54">
        <v>22</v>
      </c>
      <c r="B23" s="1" t="s">
        <v>50</v>
      </c>
      <c r="D23" s="181"/>
      <c r="E23" s="181">
        <v>4</v>
      </c>
      <c r="F23" s="181">
        <v>0</v>
      </c>
      <c r="G23" s="181">
        <v>0</v>
      </c>
      <c r="H23" s="181">
        <v>0</v>
      </c>
      <c r="I23" s="181">
        <v>0</v>
      </c>
      <c r="J23" s="181">
        <v>0</v>
      </c>
      <c r="K23" s="181">
        <v>0</v>
      </c>
      <c r="L23" s="181">
        <v>1</v>
      </c>
      <c r="M23" s="181">
        <v>5</v>
      </c>
      <c r="N23" s="181">
        <v>-4</v>
      </c>
      <c r="O23" s="162" t="str">
        <f t="shared" si="0"/>
        <v>4 OZ , 0 (0+0), -4 ±</v>
      </c>
      <c r="P23" s="5" t="str">
        <f t="shared" si="1"/>
        <v>ANO</v>
      </c>
    </row>
    <row r="24" spans="1:19" ht="15" customHeight="1" x14ac:dyDescent="0.25">
      <c r="A24" s="54">
        <v>23</v>
      </c>
      <c r="B24" s="1" t="s">
        <v>56</v>
      </c>
      <c r="D24" s="181"/>
      <c r="E24" s="181">
        <v>6</v>
      </c>
      <c r="F24" s="181">
        <v>0</v>
      </c>
      <c r="G24" s="181">
        <v>0</v>
      </c>
      <c r="H24" s="181">
        <v>0</v>
      </c>
      <c r="I24" s="181">
        <v>0</v>
      </c>
      <c r="J24" s="181">
        <v>0</v>
      </c>
      <c r="K24" s="181">
        <v>0</v>
      </c>
      <c r="L24" s="181">
        <v>0</v>
      </c>
      <c r="M24" s="181">
        <v>2</v>
      </c>
      <c r="N24" s="181">
        <v>-2</v>
      </c>
      <c r="O24" s="162" t="str">
        <f t="shared" si="0"/>
        <v>6 OZ , 0 (0+0), -2 ±</v>
      </c>
      <c r="P24" s="5" t="str">
        <f t="shared" si="1"/>
        <v>ANO</v>
      </c>
    </row>
    <row r="25" spans="1:19" ht="15" customHeight="1" x14ac:dyDescent="0.25">
      <c r="A25" s="54">
        <v>24</v>
      </c>
      <c r="B25" s="1" t="s">
        <v>33</v>
      </c>
      <c r="D25" s="181" t="s">
        <v>35</v>
      </c>
      <c r="E25" s="181">
        <v>0</v>
      </c>
      <c r="F25" s="181">
        <v>0</v>
      </c>
      <c r="G25" s="181">
        <v>0</v>
      </c>
      <c r="H25" s="181">
        <v>0</v>
      </c>
      <c r="I25" s="181">
        <v>0</v>
      </c>
      <c r="J25" s="181">
        <v>0</v>
      </c>
      <c r="K25" s="181">
        <v>0</v>
      </c>
      <c r="L25" s="181">
        <v>0</v>
      </c>
      <c r="M25" s="181">
        <v>1</v>
      </c>
      <c r="N25" s="181">
        <v>-1</v>
      </c>
      <c r="O25" s="162" t="str">
        <f t="shared" si="0"/>
        <v>0 OZ , 0 (0+0), -1 ±</v>
      </c>
      <c r="P25" s="5" t="str">
        <f t="shared" si="1"/>
        <v>ANO</v>
      </c>
    </row>
    <row r="26" spans="1:19" ht="15" customHeight="1" x14ac:dyDescent="0.25">
      <c r="A26" s="54">
        <v>25</v>
      </c>
      <c r="B26" s="1" t="s">
        <v>28</v>
      </c>
      <c r="D26" s="181"/>
      <c r="E26" s="181">
        <v>14</v>
      </c>
      <c r="F26" s="181">
        <v>0</v>
      </c>
      <c r="G26" s="181">
        <v>0</v>
      </c>
      <c r="H26" s="181">
        <v>0</v>
      </c>
      <c r="I26" s="181">
        <v>0</v>
      </c>
      <c r="J26" s="181">
        <v>0</v>
      </c>
      <c r="K26" s="181">
        <v>0</v>
      </c>
      <c r="L26" s="181">
        <v>1</v>
      </c>
      <c r="M26" s="181">
        <v>5</v>
      </c>
      <c r="N26" s="181">
        <v>-4</v>
      </c>
      <c r="O26" s="162" t="str">
        <f t="shared" si="0"/>
        <v>14 OZ , 0 (0+0), -4 ±</v>
      </c>
      <c r="P26" s="5" t="str">
        <f t="shared" si="1"/>
        <v>ANO</v>
      </c>
    </row>
    <row r="27" spans="1:19" ht="15" customHeight="1" x14ac:dyDescent="0.25">
      <c r="A27" s="54">
        <v>26</v>
      </c>
      <c r="B27" s="1" t="s">
        <v>23</v>
      </c>
      <c r="D27" s="181" t="s">
        <v>49</v>
      </c>
      <c r="E27" s="181">
        <v>14</v>
      </c>
      <c r="F27" s="181">
        <v>0</v>
      </c>
      <c r="G27" s="181">
        <v>0</v>
      </c>
      <c r="H27" s="181">
        <v>0</v>
      </c>
      <c r="I27" s="181">
        <v>0</v>
      </c>
      <c r="J27" s="181">
        <v>0</v>
      </c>
      <c r="K27" s="181">
        <v>0</v>
      </c>
      <c r="L27" s="181">
        <v>13</v>
      </c>
      <c r="M27" s="181">
        <v>15</v>
      </c>
      <c r="N27" s="181">
        <v>-2</v>
      </c>
      <c r="O27" s="162" t="str">
        <f t="shared" si="0"/>
        <v>14 OZ , 0 (0+0), -2 ±</v>
      </c>
      <c r="P27" s="5" t="str">
        <f t="shared" si="1"/>
        <v>ANO</v>
      </c>
    </row>
    <row r="28" spans="1:19" ht="15" customHeight="1" x14ac:dyDescent="0.25">
      <c r="A28" s="54">
        <v>27</v>
      </c>
      <c r="B28" s="1" t="s">
        <v>24</v>
      </c>
      <c r="D28" s="181" t="s">
        <v>49</v>
      </c>
      <c r="E28" s="181">
        <v>16</v>
      </c>
      <c r="F28" s="181">
        <v>0</v>
      </c>
      <c r="G28" s="181">
        <v>0</v>
      </c>
      <c r="H28" s="181">
        <v>0</v>
      </c>
      <c r="I28" s="181">
        <v>0</v>
      </c>
      <c r="J28" s="181">
        <v>0</v>
      </c>
      <c r="K28" s="181">
        <v>2</v>
      </c>
      <c r="L28" s="181">
        <v>3</v>
      </c>
      <c r="M28" s="181">
        <v>15</v>
      </c>
      <c r="N28" s="181">
        <v>-12</v>
      </c>
      <c r="O28" s="162" t="str">
        <f t="shared" si="0"/>
        <v>16 OZ , 0 (0+0), -12 ±</v>
      </c>
      <c r="P28" s="5" t="str">
        <f t="shared" si="1"/>
        <v>ANO</v>
      </c>
    </row>
    <row r="29" spans="1:19" ht="15" customHeight="1" x14ac:dyDescent="0.25">
      <c r="A29" s="53">
        <v>28</v>
      </c>
      <c r="B29" s="4" t="s">
        <v>32</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c r="Q29" s="111"/>
      <c r="S29" s="112"/>
    </row>
    <row r="30" spans="1:19" ht="15" customHeight="1" x14ac:dyDescent="0.25">
      <c r="A30" s="54"/>
      <c r="D30" s="112"/>
      <c r="E30" s="112"/>
      <c r="F30" s="112"/>
      <c r="G30" s="112"/>
      <c r="H30" s="112"/>
      <c r="I30" s="112"/>
      <c r="J30" s="112"/>
      <c r="K30" s="112"/>
      <c r="L30" s="112"/>
      <c r="M30" s="112"/>
      <c r="N30" s="112"/>
      <c r="O30" s="162" t="str">
        <f t="shared" si="0"/>
        <v/>
      </c>
      <c r="P30" s="5" t="str">
        <f t="shared" si="1"/>
        <v/>
      </c>
      <c r="Q30" s="111"/>
      <c r="S30" s="112"/>
    </row>
    <row r="31" spans="1:19" ht="15" customHeight="1" x14ac:dyDescent="0.25">
      <c r="A31" s="54"/>
      <c r="D31" s="112"/>
      <c r="E31" s="112"/>
      <c r="F31" s="112"/>
      <c r="G31" s="112"/>
      <c r="H31" s="112"/>
      <c r="I31" s="112"/>
      <c r="J31" s="112"/>
      <c r="K31" s="112"/>
      <c r="L31" s="112"/>
      <c r="M31" s="112"/>
      <c r="N31" s="112"/>
      <c r="O31" s="162"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2"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2"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2"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2"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2" t="str">
        <f t="shared" si="0"/>
        <v/>
      </c>
      <c r="P36" s="5" t="str">
        <f>IF(B36&lt;&gt;0,IF(VLOOKUP(B36,$B$48:$B$82,1,FALSE)=B36,"ANO","NE"),"")</f>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row>
    <row r="39" spans="1:27" ht="15" customHeight="1" x14ac:dyDescent="0.25">
      <c r="A39" s="54">
        <v>1</v>
      </c>
      <c r="B39" t="s">
        <v>32</v>
      </c>
      <c r="C39"/>
      <c r="D39" s="122">
        <v>17</v>
      </c>
      <c r="E39" s="122">
        <v>13</v>
      </c>
      <c r="F39" s="122">
        <v>775.13</v>
      </c>
      <c r="G39" s="122">
        <v>3</v>
      </c>
      <c r="H39" s="122">
        <v>74</v>
      </c>
      <c r="I39" s="122">
        <v>1</v>
      </c>
      <c r="J39" s="122">
        <v>318</v>
      </c>
      <c r="K39" s="122">
        <v>0</v>
      </c>
      <c r="L39" s="122">
        <v>10</v>
      </c>
      <c r="M39" s="122">
        <v>244</v>
      </c>
      <c r="N39" s="122">
        <v>0</v>
      </c>
      <c r="O39" s="122">
        <v>0</v>
      </c>
      <c r="P39" s="11">
        <f>IF(B39&lt;&gt;0,IFERROR(H39/(F39/60),0),"")</f>
        <v>5.7280714202778888</v>
      </c>
      <c r="Q39" s="11">
        <f>IF(B39&lt;&gt;0,IFERROR((M39/J39)*100,0),"")</f>
        <v>76.729559748427675</v>
      </c>
      <c r="R39" s="6" t="str">
        <f>IF(B39&lt;&gt;0,CONCATENATE(G39, " V, ",L39," P"),"")</f>
        <v>3 V, 10 P</v>
      </c>
    </row>
    <row r="40" spans="1:27" ht="15" customHeight="1" x14ac:dyDescent="0.25">
      <c r="A40" s="54">
        <v>2</v>
      </c>
      <c r="B40" t="s">
        <v>58</v>
      </c>
      <c r="C40"/>
      <c r="D40" s="122">
        <v>3</v>
      </c>
      <c r="E40" s="122">
        <v>1</v>
      </c>
      <c r="F40" s="122">
        <v>58.48</v>
      </c>
      <c r="G40" s="122">
        <v>0</v>
      </c>
      <c r="H40" s="122">
        <v>7</v>
      </c>
      <c r="I40" s="122">
        <v>0</v>
      </c>
      <c r="J40" s="122">
        <v>23</v>
      </c>
      <c r="K40" s="122">
        <v>0</v>
      </c>
      <c r="L40" s="122">
        <v>1</v>
      </c>
      <c r="M40" s="122">
        <v>16</v>
      </c>
      <c r="N40" s="122">
        <v>0</v>
      </c>
      <c r="O40" s="122">
        <v>0</v>
      </c>
      <c r="P40" s="11">
        <f t="shared" ref="P40:P45" si="2">IF(B40&lt;&gt;0,IFERROR(H40/(F40/60),0),"")</f>
        <v>7.1819425444596448</v>
      </c>
      <c r="Q40" s="11">
        <f t="shared" ref="Q40:Q45" si="3">IF(B40&lt;&gt;0,IFERROR((M40/J40)*100,0),"")</f>
        <v>69.565217391304344</v>
      </c>
      <c r="R40" s="112" t="str">
        <f t="shared" ref="R40:R45" si="4">IF(B40&lt;&gt;0,CONCATENATE(G40, " V, ",L40," P"),"")</f>
        <v>0 V, 1 P</v>
      </c>
    </row>
    <row r="41" spans="1:27" ht="15" customHeight="1" x14ac:dyDescent="0.25">
      <c r="A41" s="54">
        <v>3</v>
      </c>
      <c r="B41" t="s">
        <v>33</v>
      </c>
      <c r="C41"/>
      <c r="D41" s="122">
        <v>11</v>
      </c>
      <c r="E41" s="122">
        <v>3</v>
      </c>
      <c r="F41" s="122">
        <v>177.5</v>
      </c>
      <c r="G41" s="122">
        <v>0</v>
      </c>
      <c r="H41" s="122">
        <v>27</v>
      </c>
      <c r="I41" s="122">
        <v>0</v>
      </c>
      <c r="J41" s="122">
        <v>84</v>
      </c>
      <c r="K41" s="122">
        <v>0</v>
      </c>
      <c r="L41" s="122">
        <v>3</v>
      </c>
      <c r="M41" s="122">
        <v>57</v>
      </c>
      <c r="N41" s="122">
        <v>0</v>
      </c>
      <c r="O41" s="122">
        <v>0</v>
      </c>
      <c r="P41" s="11">
        <f t="shared" si="2"/>
        <v>9.126760563380282</v>
      </c>
      <c r="Q41" s="11">
        <f t="shared" si="3"/>
        <v>67.857142857142861</v>
      </c>
      <c r="R41" s="112" t="str">
        <f t="shared" si="4"/>
        <v>0 V, 3 P</v>
      </c>
    </row>
    <row r="42" spans="1:27" ht="15" customHeight="1" x14ac:dyDescent="0.25">
      <c r="A42" s="54">
        <v>4</v>
      </c>
      <c r="B42" t="s">
        <v>55</v>
      </c>
      <c r="C42"/>
      <c r="D42" s="122">
        <v>3</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5" t="s">
        <v>295</v>
      </c>
      <c r="Y46" s="345"/>
      <c r="Z46" s="345"/>
      <c r="AA46" s="345"/>
    </row>
    <row r="47" spans="1:27" s="2" customFormat="1" ht="15" customHeight="1" x14ac:dyDescent="0.25">
      <c r="A47" s="7">
        <f ca="1">TODAY()</f>
        <v>44214</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287</v>
      </c>
      <c r="V47" s="2" t="s">
        <v>288</v>
      </c>
      <c r="W47" s="2" t="s">
        <v>289</v>
      </c>
      <c r="X47" s="2" t="s">
        <v>294</v>
      </c>
      <c r="Y47" s="2" t="s">
        <v>292</v>
      </c>
      <c r="Z47" s="2" t="s">
        <v>293</v>
      </c>
      <c r="AA47" s="2" t="s">
        <v>554</v>
      </c>
    </row>
    <row r="48" spans="1:27" ht="15" customHeight="1" x14ac:dyDescent="0.25">
      <c r="B48" s="139" t="s">
        <v>0</v>
      </c>
      <c r="C48" s="138">
        <v>36257</v>
      </c>
      <c r="D48" s="6">
        <f t="shared" ref="D48:D75" ca="1" si="5">IF(C48 &lt;&gt; 0,ROUNDDOWN(($A$47-C48)/365.25,0),"")</f>
        <v>21</v>
      </c>
      <c r="E48" s="140">
        <v>110</v>
      </c>
      <c r="F48" s="140">
        <v>38</v>
      </c>
      <c r="G48" s="140">
        <v>29</v>
      </c>
      <c r="H48" s="6">
        <f t="shared" ref="H48:H75" si="6">IF(B48&lt;&gt;0,F48+G48,"")</f>
        <v>67</v>
      </c>
      <c r="I48" s="140">
        <v>5</v>
      </c>
      <c r="J48" s="140">
        <v>77</v>
      </c>
      <c r="K48" s="140"/>
      <c r="L48" s="140" t="s">
        <v>79</v>
      </c>
      <c r="M48" s="140">
        <v>184</v>
      </c>
      <c r="N48" s="140">
        <v>81</v>
      </c>
      <c r="O48" s="6" t="str">
        <f>IF(B48&lt;&gt;0,CONCATENATE(E48+IFERROR(VLOOKUP(B48,$B$2:$N$36,4,FALSE),0) + X48, " OZ, ", H48+IFERROR(VLOOKUP(B48,$B$2:$N$36,9,FALSE),0) + Y48+Z48, " (", F48+IFERROR(VLOOKUP(B48,$B$2:$N$36,5,FALSE),0) + Y48, "+",G48+IFERROR(VLOOKUP(B48,$B$2:$N$36,8,FALSE),0) +  Z48, ")"), "")</f>
        <v>121 OZ, 70 (38+32)</v>
      </c>
      <c r="P48" s="6" t="str">
        <f t="shared" ref="P48:P75" si="7">IF(M48&lt;&gt;0,CONCATENATE(M48,"/",N48),"")</f>
        <v>184/81</v>
      </c>
      <c r="Q48" s="141" t="s">
        <v>1</v>
      </c>
      <c r="R48" s="140">
        <v>2008</v>
      </c>
      <c r="S48" s="112" t="str">
        <f>IFERROR(CONCATENATE(E48+VLOOKUP(B48,$B$39:$R$42,4,FALSE), " OZ, ",G48+VLOOKUP(B48,$B$39:$R$42,13,FALSE), " A"),"")</f>
        <v/>
      </c>
      <c r="T48" s="1" t="str">
        <f t="shared" ref="T48:T82" si="8">IF(B48&lt;&gt;0,IF(V48=1,U48,CONCATENATE(U48," ",W48,".")),"")</f>
        <v>Cabejšek</v>
      </c>
      <c r="U48" s="1" t="str">
        <f>IFERROR(RIGHT(B48,LEN(B48)-SEARCH(" ", B48,1)),"")</f>
        <v>Cabejšek</v>
      </c>
      <c r="V48" s="112">
        <f>IF(B48&lt;&gt;0,COUNTIF($U$48:$U$82,U48),"")</f>
        <v>1</v>
      </c>
      <c r="W48" s="112" t="str">
        <f>IFERROR(LEFT(LEFT(B48,SEARCH(" ",B48,1)),1),"")</f>
        <v>D</v>
      </c>
      <c r="X48" s="140">
        <v>4</v>
      </c>
      <c r="Y48" s="140">
        <v>0</v>
      </c>
      <c r="Z48" s="140">
        <v>1</v>
      </c>
      <c r="AA48" s="140">
        <v>1</v>
      </c>
    </row>
    <row r="49" spans="2:27" ht="15" customHeight="1" x14ac:dyDescent="0.25">
      <c r="B49" s="139" t="s">
        <v>50</v>
      </c>
      <c r="C49" s="138">
        <v>35835</v>
      </c>
      <c r="D49" s="112">
        <f t="shared" ca="1" si="5"/>
        <v>22</v>
      </c>
      <c r="E49" s="140">
        <v>68</v>
      </c>
      <c r="F49" s="140">
        <v>2</v>
      </c>
      <c r="G49" s="140">
        <v>0</v>
      </c>
      <c r="H49" s="112">
        <f t="shared" si="6"/>
        <v>2</v>
      </c>
      <c r="I49" s="140">
        <v>4</v>
      </c>
      <c r="J49" s="140">
        <v>33</v>
      </c>
      <c r="K49" s="140"/>
      <c r="L49" s="140" t="s">
        <v>41</v>
      </c>
      <c r="M49" s="140">
        <v>194</v>
      </c>
      <c r="N49" s="140">
        <v>90</v>
      </c>
      <c r="O49" s="119" t="str">
        <f t="shared" ref="O49:O82" si="9">IF(B49&lt;&gt;0,CONCATENATE(E49+IFERROR(VLOOKUP(B49,$B$2:$N$36,4,FALSE),0) + X49, " OZ, ", H49+IFERROR(VLOOKUP(B49,$B$2:$N$36,9,FALSE),0) + Y49+Z49, " (", F49+IFERROR(VLOOKUP(B49,$B$2:$N$36,5,FALSE),0) + Y49, "+",G49+IFERROR(VLOOKUP(B49,$B$2:$N$36,8,FALSE),0) +  Z49, ")"), "")</f>
        <v>72 OZ, 2 (2+0)</v>
      </c>
      <c r="P49" s="112" t="str">
        <f t="shared" si="7"/>
        <v>194/90</v>
      </c>
      <c r="Q49" s="141" t="s">
        <v>29</v>
      </c>
      <c r="R49" s="140">
        <v>2005</v>
      </c>
      <c r="S49" s="112" t="str">
        <f t="shared" ref="S49:S75" si="10">IFERROR(CONCATENATE(E49+VLOOKUP(B49,$B$39:$R$42,4,FALSE), " OZ, ",G49+VLOOKUP(B49,$B$39:$R$42,13,FALSE), " A"),"")</f>
        <v/>
      </c>
      <c r="T49" s="1" t="str">
        <f t="shared" si="8"/>
        <v>Záň</v>
      </c>
      <c r="U49" s="1" t="str">
        <f t="shared" ref="U49:U82" si="11">IFERROR(RIGHT(B49,LEN(B49)-SEARCH(" ", B49,1)),"")</f>
        <v>Záň</v>
      </c>
      <c r="V49" s="112">
        <f t="shared" ref="V49:V82" si="12">IF(B49&lt;&gt;0,COUNTIF($U$48:$U$82,U49),"")</f>
        <v>1</v>
      </c>
      <c r="W49" s="112" t="str">
        <f t="shared" ref="W49:W82" si="13">IFERROR(LEFT(LEFT(B49,SEARCH(" ",B49,1)),1),"")</f>
        <v>D</v>
      </c>
      <c r="X49" s="140"/>
      <c r="Y49" s="140"/>
      <c r="Z49" s="140"/>
      <c r="AA49" s="140"/>
    </row>
    <row r="50" spans="2:27" ht="15" customHeight="1" x14ac:dyDescent="0.25">
      <c r="B50" s="139" t="s">
        <v>4</v>
      </c>
      <c r="C50" s="138">
        <v>34880</v>
      </c>
      <c r="D50" s="112">
        <f t="shared" ca="1" si="5"/>
        <v>25</v>
      </c>
      <c r="E50" s="140">
        <v>77</v>
      </c>
      <c r="F50" s="140">
        <v>18</v>
      </c>
      <c r="G50" s="140">
        <v>10</v>
      </c>
      <c r="H50" s="112">
        <f t="shared" si="6"/>
        <v>28</v>
      </c>
      <c r="I50" s="140">
        <v>5</v>
      </c>
      <c r="J50" s="140">
        <v>28</v>
      </c>
      <c r="K50" s="140"/>
      <c r="L50" s="140" t="s">
        <v>41</v>
      </c>
      <c r="M50" s="140">
        <v>183</v>
      </c>
      <c r="N50" s="140">
        <v>76</v>
      </c>
      <c r="O50" s="119" t="str">
        <f t="shared" si="9"/>
        <v>94 OZ, 31 (19+12)</v>
      </c>
      <c r="P50" s="112" t="str">
        <f t="shared" si="7"/>
        <v>183/76</v>
      </c>
      <c r="Q50" s="141" t="s">
        <v>8</v>
      </c>
      <c r="R50" s="140">
        <v>2006</v>
      </c>
      <c r="S50" s="112" t="str">
        <f t="shared" si="10"/>
        <v/>
      </c>
      <c r="T50" s="1" t="str">
        <f t="shared" si="8"/>
        <v>Fiala</v>
      </c>
      <c r="U50" s="1" t="str">
        <f t="shared" si="11"/>
        <v>Fiala</v>
      </c>
      <c r="V50" s="112">
        <f t="shared" si="12"/>
        <v>1</v>
      </c>
      <c r="W50" s="112" t="str">
        <f t="shared" si="13"/>
        <v>J</v>
      </c>
      <c r="X50" s="140"/>
      <c r="Y50" s="140"/>
      <c r="Z50" s="140"/>
      <c r="AA50" s="140"/>
    </row>
    <row r="51" spans="2:27" ht="15" customHeight="1" x14ac:dyDescent="0.25">
      <c r="B51" s="139" t="s">
        <v>51</v>
      </c>
      <c r="C51" s="138">
        <v>31929</v>
      </c>
      <c r="D51" s="112">
        <f t="shared" ca="1" si="5"/>
        <v>33</v>
      </c>
      <c r="E51" s="140">
        <v>64</v>
      </c>
      <c r="F51" s="140">
        <v>18</v>
      </c>
      <c r="G51" s="140">
        <v>20</v>
      </c>
      <c r="H51" s="112">
        <f t="shared" si="6"/>
        <v>38</v>
      </c>
      <c r="I51" s="140">
        <v>5</v>
      </c>
      <c r="J51" s="140">
        <v>10</v>
      </c>
      <c r="K51" s="140"/>
      <c r="L51" s="140" t="s">
        <v>41</v>
      </c>
      <c r="M51" s="140">
        <v>179</v>
      </c>
      <c r="N51" s="140">
        <v>82</v>
      </c>
      <c r="O51" s="119" t="str">
        <f t="shared" si="9"/>
        <v>67 OZ, 39 (19+20)</v>
      </c>
      <c r="P51" s="112" t="str">
        <f t="shared" si="7"/>
        <v>179/82</v>
      </c>
      <c r="Q51" s="141" t="s">
        <v>220</v>
      </c>
      <c r="R51" s="140">
        <v>1997</v>
      </c>
      <c r="S51" s="112" t="str">
        <f t="shared" si="10"/>
        <v/>
      </c>
      <c r="T51" s="1" t="str">
        <f t="shared" si="8"/>
        <v>Linhart</v>
      </c>
      <c r="U51" s="1" t="str">
        <f t="shared" si="11"/>
        <v>Linhart</v>
      </c>
      <c r="V51" s="112">
        <f t="shared" si="12"/>
        <v>1</v>
      </c>
      <c r="W51" s="112" t="str">
        <f t="shared" si="13"/>
        <v>J</v>
      </c>
      <c r="X51" s="140"/>
      <c r="Y51" s="140"/>
      <c r="Z51" s="140"/>
      <c r="AA51" s="140"/>
    </row>
    <row r="52" spans="2:27" ht="15" customHeight="1" x14ac:dyDescent="0.25">
      <c r="B52" s="139" t="s">
        <v>28</v>
      </c>
      <c r="C52" s="138">
        <v>37402</v>
      </c>
      <c r="D52" s="112">
        <f t="shared" ca="1" si="5"/>
        <v>18</v>
      </c>
      <c r="E52" s="140">
        <v>0</v>
      </c>
      <c r="F52" s="140">
        <v>0</v>
      </c>
      <c r="G52" s="140">
        <v>0</v>
      </c>
      <c r="H52" s="112">
        <f t="shared" si="6"/>
        <v>0</v>
      </c>
      <c r="I52" s="140">
        <v>1</v>
      </c>
      <c r="J52" s="140">
        <v>26</v>
      </c>
      <c r="K52" s="140"/>
      <c r="L52" s="140" t="s">
        <v>79</v>
      </c>
      <c r="M52" s="140">
        <v>181</v>
      </c>
      <c r="N52" s="140">
        <v>66</v>
      </c>
      <c r="O52" s="119" t="str">
        <f t="shared" si="9"/>
        <v>14 OZ, 0 (0+0)</v>
      </c>
      <c r="P52" s="112" t="str">
        <f t="shared" si="7"/>
        <v>181/66</v>
      </c>
      <c r="Q52" s="141" t="s">
        <v>29</v>
      </c>
      <c r="R52" s="140" t="s">
        <v>30</v>
      </c>
      <c r="S52" s="112" t="str">
        <f t="shared" si="10"/>
        <v/>
      </c>
      <c r="T52" s="1" t="str">
        <f t="shared" si="8"/>
        <v>Pinkas</v>
      </c>
      <c r="U52" s="1" t="str">
        <f t="shared" si="11"/>
        <v>Pinkas</v>
      </c>
      <c r="V52" s="112">
        <f t="shared" si="12"/>
        <v>1</v>
      </c>
      <c r="W52" s="112" t="str">
        <f t="shared" si="13"/>
        <v>J</v>
      </c>
      <c r="X52" s="140"/>
      <c r="Y52" s="140"/>
      <c r="Z52" s="140"/>
      <c r="AA52" s="140"/>
    </row>
    <row r="53" spans="2:27" ht="15" customHeight="1" x14ac:dyDescent="0.25">
      <c r="B53" s="139" t="s">
        <v>19</v>
      </c>
      <c r="C53" s="138">
        <v>36658</v>
      </c>
      <c r="D53" s="112">
        <f t="shared" ca="1" si="5"/>
        <v>20</v>
      </c>
      <c r="E53" s="140">
        <v>0</v>
      </c>
      <c r="F53" s="140">
        <v>0</v>
      </c>
      <c r="G53" s="140">
        <v>0</v>
      </c>
      <c r="H53" s="112">
        <f t="shared" si="6"/>
        <v>0</v>
      </c>
      <c r="I53" s="140">
        <v>1</v>
      </c>
      <c r="J53" s="140">
        <v>99</v>
      </c>
      <c r="K53" s="140"/>
      <c r="L53" s="140" t="s">
        <v>79</v>
      </c>
      <c r="M53" s="140">
        <v>186</v>
      </c>
      <c r="N53" s="140">
        <v>80</v>
      </c>
      <c r="O53" s="119" t="str">
        <f t="shared" si="9"/>
        <v>16 OZ, 10 (3+7)</v>
      </c>
      <c r="P53" s="112" t="str">
        <f t="shared" si="7"/>
        <v>186/80</v>
      </c>
      <c r="Q53" s="141" t="s">
        <v>77</v>
      </c>
      <c r="R53" s="140">
        <v>2014</v>
      </c>
      <c r="S53" s="112" t="str">
        <f t="shared" si="10"/>
        <v/>
      </c>
      <c r="T53" s="1" t="str">
        <f t="shared" si="8"/>
        <v>Procházka</v>
      </c>
      <c r="U53" s="1" t="str">
        <f t="shared" si="11"/>
        <v>Procházka</v>
      </c>
      <c r="V53" s="112">
        <f t="shared" si="12"/>
        <v>1</v>
      </c>
      <c r="W53" s="112" t="str">
        <f t="shared" si="13"/>
        <v>J</v>
      </c>
      <c r="X53" s="140"/>
      <c r="Y53" s="140"/>
      <c r="Z53" s="140"/>
      <c r="AA53" s="140"/>
    </row>
    <row r="54" spans="2:27" ht="15" customHeight="1" x14ac:dyDescent="0.25">
      <c r="B54" s="139" t="s">
        <v>10</v>
      </c>
      <c r="C54" s="138">
        <v>32666</v>
      </c>
      <c r="D54" s="112">
        <f t="shared" ca="1" si="5"/>
        <v>31</v>
      </c>
      <c r="E54" s="140">
        <v>186</v>
      </c>
      <c r="F54" s="140">
        <v>63</v>
      </c>
      <c r="G54" s="140">
        <v>58</v>
      </c>
      <c r="H54" s="112">
        <f t="shared" si="6"/>
        <v>121</v>
      </c>
      <c r="I54" s="140">
        <v>11</v>
      </c>
      <c r="J54" s="140">
        <v>76</v>
      </c>
      <c r="K54" s="140"/>
      <c r="L54" s="140" t="s">
        <v>79</v>
      </c>
      <c r="M54" s="140">
        <v>192</v>
      </c>
      <c r="N54" s="140">
        <v>83</v>
      </c>
      <c r="O54" s="119" t="str">
        <f t="shared" si="9"/>
        <v>199 OZ, 128 (64+64)</v>
      </c>
      <c r="P54" s="112" t="str">
        <f t="shared" si="7"/>
        <v>192/83</v>
      </c>
      <c r="Q54" s="141" t="s">
        <v>11</v>
      </c>
      <c r="R54" s="140">
        <v>2003</v>
      </c>
      <c r="S54" s="112" t="str">
        <f t="shared" si="10"/>
        <v/>
      </c>
      <c r="T54" s="1" t="str">
        <f t="shared" si="8"/>
        <v>Svoboda</v>
      </c>
      <c r="U54" s="1" t="str">
        <f t="shared" si="11"/>
        <v>Svoboda</v>
      </c>
      <c r="V54" s="112">
        <f t="shared" si="12"/>
        <v>1</v>
      </c>
      <c r="W54" s="112" t="str">
        <f t="shared" si="13"/>
        <v>J</v>
      </c>
      <c r="X54" s="140"/>
      <c r="Y54" s="140"/>
      <c r="Z54" s="140"/>
      <c r="AA54" s="140"/>
    </row>
    <row r="55" spans="2:27" ht="15" customHeight="1" x14ac:dyDescent="0.25">
      <c r="B55" s="139" t="s">
        <v>33</v>
      </c>
      <c r="C55" s="138">
        <v>32155</v>
      </c>
      <c r="D55" s="112">
        <f t="shared" ca="1" si="5"/>
        <v>33</v>
      </c>
      <c r="E55" s="140">
        <v>14</v>
      </c>
      <c r="F55" s="140">
        <v>0</v>
      </c>
      <c r="G55" s="140">
        <v>0</v>
      </c>
      <c r="H55" s="112">
        <f t="shared" si="6"/>
        <v>0</v>
      </c>
      <c r="I55" s="140">
        <v>4</v>
      </c>
      <c r="J55" s="140">
        <v>13</v>
      </c>
      <c r="K55" s="140"/>
      <c r="L55" s="140" t="s">
        <v>30</v>
      </c>
      <c r="M55" s="140">
        <v>177</v>
      </c>
      <c r="N55" s="140">
        <v>87</v>
      </c>
      <c r="O55" s="119" t="str">
        <f t="shared" si="9"/>
        <v>14 OZ, 0 (0+0)</v>
      </c>
      <c r="P55" s="112" t="str">
        <f t="shared" si="7"/>
        <v>177/87</v>
      </c>
      <c r="Q55" s="141" t="s">
        <v>34</v>
      </c>
      <c r="R55" s="140">
        <v>1999</v>
      </c>
      <c r="S55" s="112" t="str">
        <f t="shared" si="10"/>
        <v>17 OZ, 0 A</v>
      </c>
      <c r="T55" s="1" t="str">
        <f t="shared" si="8"/>
        <v>Buchta</v>
      </c>
      <c r="U55" s="1" t="str">
        <f t="shared" si="11"/>
        <v>Buchta</v>
      </c>
      <c r="V55" s="112">
        <f t="shared" si="12"/>
        <v>1</v>
      </c>
      <c r="W55" s="112" t="str">
        <f t="shared" si="13"/>
        <v>J</v>
      </c>
      <c r="X55" s="140"/>
      <c r="Y55" s="140"/>
      <c r="Z55" s="140"/>
      <c r="AA55" s="140"/>
    </row>
    <row r="56" spans="2:27" ht="15" customHeight="1" x14ac:dyDescent="0.25">
      <c r="B56" s="139" t="s">
        <v>32</v>
      </c>
      <c r="C56" s="138">
        <v>35171</v>
      </c>
      <c r="D56" s="112">
        <f t="shared" ca="1" si="5"/>
        <v>24</v>
      </c>
      <c r="E56" s="140">
        <v>20</v>
      </c>
      <c r="F56" s="140">
        <v>0</v>
      </c>
      <c r="G56" s="140">
        <v>2</v>
      </c>
      <c r="H56" s="112">
        <f t="shared" si="6"/>
        <v>2</v>
      </c>
      <c r="I56" s="140">
        <v>6</v>
      </c>
      <c r="J56" s="140">
        <v>42</v>
      </c>
      <c r="K56" s="140"/>
      <c r="L56" s="140" t="s">
        <v>30</v>
      </c>
      <c r="M56" s="140">
        <v>187</v>
      </c>
      <c r="N56" s="140">
        <v>88</v>
      </c>
      <c r="O56" s="119" t="str">
        <f t="shared" si="9"/>
        <v>20 OZ, 2 (0+2)</v>
      </c>
      <c r="P56" s="112" t="str">
        <f t="shared" si="7"/>
        <v>187/88</v>
      </c>
      <c r="Q56" s="141" t="s">
        <v>8</v>
      </c>
      <c r="R56" s="140">
        <v>2008</v>
      </c>
      <c r="S56" s="112" t="str">
        <f t="shared" si="10"/>
        <v>33 OZ, 2 A</v>
      </c>
      <c r="T56" s="1" t="str">
        <f t="shared" si="8"/>
        <v>Šantora</v>
      </c>
      <c r="U56" s="1" t="str">
        <f t="shared" si="11"/>
        <v>Šantora</v>
      </c>
      <c r="V56" s="112">
        <f t="shared" si="12"/>
        <v>1</v>
      </c>
      <c r="W56" s="112" t="str">
        <f t="shared" si="13"/>
        <v>K</v>
      </c>
      <c r="X56" s="140"/>
      <c r="Y56" s="140"/>
      <c r="Z56" s="140"/>
      <c r="AA56" s="140"/>
    </row>
    <row r="57" spans="2:27" ht="15" customHeight="1" x14ac:dyDescent="0.25">
      <c r="B57" s="142" t="s">
        <v>21</v>
      </c>
      <c r="C57" s="138">
        <v>34105</v>
      </c>
      <c r="D57" s="112">
        <f t="shared" ca="1" si="5"/>
        <v>27</v>
      </c>
      <c r="E57" s="140">
        <v>135</v>
      </c>
      <c r="F57" s="140">
        <v>73</v>
      </c>
      <c r="G57" s="140">
        <v>40</v>
      </c>
      <c r="H57" s="112">
        <f t="shared" si="6"/>
        <v>113</v>
      </c>
      <c r="I57" s="140">
        <v>7</v>
      </c>
      <c r="J57" s="140">
        <v>27</v>
      </c>
      <c r="K57" s="140"/>
      <c r="L57" s="140" t="s">
        <v>79</v>
      </c>
      <c r="M57" s="140">
        <v>180</v>
      </c>
      <c r="N57" s="140">
        <v>78</v>
      </c>
      <c r="O57" s="119" t="str">
        <f t="shared" si="9"/>
        <v>152 OZ, 132 (88+44)</v>
      </c>
      <c r="P57" s="112" t="str">
        <f t="shared" si="7"/>
        <v>180/78</v>
      </c>
      <c r="Q57" s="141" t="s">
        <v>22</v>
      </c>
      <c r="R57" s="140">
        <v>2007</v>
      </c>
      <c r="S57" s="112" t="str">
        <f t="shared" si="10"/>
        <v/>
      </c>
      <c r="T57" s="1" t="str">
        <f t="shared" si="8"/>
        <v>Gregor</v>
      </c>
      <c r="U57" s="1" t="str">
        <f t="shared" si="11"/>
        <v>Gregor</v>
      </c>
      <c r="V57" s="112">
        <f t="shared" si="12"/>
        <v>1</v>
      </c>
      <c r="W57" s="112" t="str">
        <f t="shared" si="13"/>
        <v>L</v>
      </c>
      <c r="X57" s="140"/>
      <c r="Y57" s="140"/>
      <c r="Z57" s="140"/>
      <c r="AA57" s="140"/>
    </row>
    <row r="58" spans="2:27" ht="15" customHeight="1" x14ac:dyDescent="0.25">
      <c r="B58" s="139" t="s">
        <v>5</v>
      </c>
      <c r="C58" s="138">
        <v>32379</v>
      </c>
      <c r="D58" s="112">
        <f t="shared" ca="1" si="5"/>
        <v>32</v>
      </c>
      <c r="E58" s="140">
        <v>71</v>
      </c>
      <c r="F58" s="140">
        <v>6</v>
      </c>
      <c r="G58" s="140">
        <v>6</v>
      </c>
      <c r="H58" s="112">
        <f t="shared" si="6"/>
        <v>12</v>
      </c>
      <c r="I58" s="140">
        <v>6</v>
      </c>
      <c r="J58" s="140">
        <v>19</v>
      </c>
      <c r="K58" s="140"/>
      <c r="L58" s="140" t="s">
        <v>41</v>
      </c>
      <c r="M58" s="140">
        <v>187</v>
      </c>
      <c r="N58" s="140">
        <v>92</v>
      </c>
      <c r="O58" s="119" t="str">
        <f t="shared" si="9"/>
        <v>88 OZ, 16 (9+7)</v>
      </c>
      <c r="P58" s="112" t="str">
        <f t="shared" si="7"/>
        <v>187/92</v>
      </c>
      <c r="Q58" s="141" t="s">
        <v>9</v>
      </c>
      <c r="R58" s="140">
        <v>2000</v>
      </c>
      <c r="S58" s="112" t="str">
        <f t="shared" si="10"/>
        <v/>
      </c>
      <c r="T58" s="1" t="str">
        <f t="shared" si="8"/>
        <v>Lanc</v>
      </c>
      <c r="U58" s="1" t="str">
        <f t="shared" si="11"/>
        <v>Lanc</v>
      </c>
      <c r="V58" s="112">
        <f t="shared" si="12"/>
        <v>1</v>
      </c>
      <c r="W58" s="112" t="str">
        <f t="shared" si="13"/>
        <v>L</v>
      </c>
      <c r="X58" s="140"/>
      <c r="Y58" s="140"/>
      <c r="Z58" s="140"/>
      <c r="AA58" s="140"/>
    </row>
    <row r="59" spans="2:27" ht="15" customHeight="1" x14ac:dyDescent="0.25">
      <c r="B59" s="139" t="s">
        <v>53</v>
      </c>
      <c r="C59" s="138">
        <v>37455</v>
      </c>
      <c r="D59" s="112">
        <f t="shared" ca="1" si="5"/>
        <v>18</v>
      </c>
      <c r="E59" s="140">
        <v>0</v>
      </c>
      <c r="F59" s="140">
        <v>0</v>
      </c>
      <c r="G59" s="140">
        <v>0</v>
      </c>
      <c r="H59" s="112">
        <f t="shared" si="6"/>
        <v>0</v>
      </c>
      <c r="I59" s="140">
        <v>1</v>
      </c>
      <c r="J59" s="140">
        <v>81</v>
      </c>
      <c r="K59" s="140"/>
      <c r="L59" s="140" t="s">
        <v>79</v>
      </c>
      <c r="M59" s="140">
        <v>187</v>
      </c>
      <c r="N59" s="140">
        <v>61</v>
      </c>
      <c r="O59" s="119" t="str">
        <f t="shared" si="9"/>
        <v>9 OZ, 2 (2+0)</v>
      </c>
      <c r="P59" s="112" t="str">
        <f t="shared" si="7"/>
        <v>187/61</v>
      </c>
      <c r="Q59" s="141" t="s">
        <v>29</v>
      </c>
      <c r="R59" s="140">
        <v>2013</v>
      </c>
      <c r="S59" s="112" t="str">
        <f t="shared" si="10"/>
        <v/>
      </c>
      <c r="T59" s="1" t="str">
        <f t="shared" si="8"/>
        <v>Paštika</v>
      </c>
      <c r="U59" s="1" t="str">
        <f t="shared" si="11"/>
        <v>Paštika</v>
      </c>
      <c r="V59" s="112">
        <f t="shared" si="12"/>
        <v>1</v>
      </c>
      <c r="W59" s="112" t="str">
        <f t="shared" si="13"/>
        <v>M</v>
      </c>
      <c r="X59" s="140"/>
      <c r="Y59" s="140"/>
      <c r="Z59" s="140"/>
      <c r="AA59" s="140"/>
    </row>
    <row r="60" spans="2:27" ht="15" customHeight="1" x14ac:dyDescent="0.25">
      <c r="B60" s="139" t="s">
        <v>23</v>
      </c>
      <c r="C60" s="138">
        <v>34368</v>
      </c>
      <c r="D60" s="112">
        <f t="shared" ca="1" si="5"/>
        <v>26</v>
      </c>
      <c r="E60" s="140">
        <v>115</v>
      </c>
      <c r="F60" s="140">
        <v>13</v>
      </c>
      <c r="G60" s="140">
        <v>14</v>
      </c>
      <c r="H60" s="112">
        <f t="shared" si="6"/>
        <v>27</v>
      </c>
      <c r="I60" s="140">
        <v>8</v>
      </c>
      <c r="J60" s="140">
        <v>2</v>
      </c>
      <c r="K60" s="140"/>
      <c r="L60" s="140" t="s">
        <v>41</v>
      </c>
      <c r="M60" s="140">
        <v>187</v>
      </c>
      <c r="N60" s="140">
        <v>93</v>
      </c>
      <c r="O60" s="119" t="str">
        <f t="shared" si="9"/>
        <v>129 OZ, 27 (13+14)</v>
      </c>
      <c r="P60" s="112" t="str">
        <f t="shared" si="7"/>
        <v>187/93</v>
      </c>
      <c r="Q60" s="141" t="s">
        <v>214</v>
      </c>
      <c r="R60" s="140">
        <v>2001</v>
      </c>
      <c r="S60" s="112" t="str">
        <f t="shared" si="10"/>
        <v/>
      </c>
      <c r="T60" s="1" t="str">
        <f t="shared" si="8"/>
        <v>Jelínek</v>
      </c>
      <c r="U60" s="1" t="str">
        <f t="shared" si="11"/>
        <v>Jelínek</v>
      </c>
      <c r="V60" s="112">
        <f t="shared" si="12"/>
        <v>1</v>
      </c>
      <c r="W60" s="112" t="str">
        <f t="shared" si="13"/>
        <v>M</v>
      </c>
      <c r="X60" s="140"/>
      <c r="Y60" s="140"/>
      <c r="Z60" s="140"/>
      <c r="AA60" s="140"/>
    </row>
    <row r="61" spans="2:27" ht="15" customHeight="1" x14ac:dyDescent="0.25">
      <c r="B61" s="142" t="s">
        <v>2</v>
      </c>
      <c r="C61" s="138">
        <v>35382</v>
      </c>
      <c r="D61" s="112">
        <f t="shared" ca="1" si="5"/>
        <v>24</v>
      </c>
      <c r="E61" s="140">
        <v>65</v>
      </c>
      <c r="F61" s="140">
        <v>37</v>
      </c>
      <c r="G61" s="140">
        <v>34</v>
      </c>
      <c r="H61" s="112">
        <f t="shared" si="6"/>
        <v>71</v>
      </c>
      <c r="I61" s="140">
        <v>5</v>
      </c>
      <c r="J61" s="140">
        <v>29</v>
      </c>
      <c r="K61" s="140"/>
      <c r="L61" s="140" t="s">
        <v>79</v>
      </c>
      <c r="M61" s="140">
        <v>192</v>
      </c>
      <c r="N61" s="140">
        <v>94</v>
      </c>
      <c r="O61" s="119" t="str">
        <f t="shared" si="9"/>
        <v>74 OZ, 81 (41+40)</v>
      </c>
      <c r="P61" s="112" t="str">
        <f t="shared" si="7"/>
        <v>192/94</v>
      </c>
      <c r="Q61" s="141" t="s">
        <v>6</v>
      </c>
      <c r="R61" s="140">
        <v>2005</v>
      </c>
      <c r="S61" s="112" t="str">
        <f t="shared" si="10"/>
        <v/>
      </c>
      <c r="T61" s="1" t="str">
        <f t="shared" si="8"/>
        <v>Skřivánek</v>
      </c>
      <c r="U61" s="1" t="str">
        <f t="shared" si="11"/>
        <v>Skřivánek</v>
      </c>
      <c r="V61" s="112">
        <f t="shared" si="12"/>
        <v>1</v>
      </c>
      <c r="W61" s="112" t="str">
        <f t="shared" si="13"/>
        <v>M</v>
      </c>
      <c r="X61" s="140"/>
      <c r="Y61" s="140"/>
      <c r="Z61" s="140"/>
      <c r="AA61" s="140"/>
    </row>
    <row r="62" spans="2:27" ht="15" customHeight="1" x14ac:dyDescent="0.25">
      <c r="B62" s="139" t="s">
        <v>54</v>
      </c>
      <c r="C62" s="139"/>
      <c r="D62" s="112" t="str">
        <f t="shared" si="5"/>
        <v/>
      </c>
      <c r="E62" s="140">
        <v>0</v>
      </c>
      <c r="F62" s="140">
        <v>0</v>
      </c>
      <c r="G62" s="140">
        <v>0</v>
      </c>
      <c r="H62" s="112">
        <f t="shared" si="6"/>
        <v>0</v>
      </c>
      <c r="I62" s="140">
        <v>1</v>
      </c>
      <c r="J62" s="140">
        <v>12</v>
      </c>
      <c r="K62" s="140"/>
      <c r="L62" s="140"/>
      <c r="M62" s="140"/>
      <c r="N62" s="140"/>
      <c r="O62" s="119" t="str">
        <f t="shared" si="9"/>
        <v>2 OZ, 0 (0+0)</v>
      </c>
      <c r="P62" s="112" t="str">
        <f t="shared" si="7"/>
        <v/>
      </c>
      <c r="Q62" s="141"/>
      <c r="R62" s="140"/>
      <c r="S62" s="112" t="str">
        <f t="shared" si="10"/>
        <v/>
      </c>
      <c r="T62" s="1" t="str">
        <f t="shared" si="8"/>
        <v>Šolaja</v>
      </c>
      <c r="U62" s="1" t="str">
        <f t="shared" si="11"/>
        <v>Šolaja</v>
      </c>
      <c r="V62" s="112">
        <f t="shared" si="12"/>
        <v>1</v>
      </c>
      <c r="W62" s="112" t="str">
        <f t="shared" si="13"/>
        <v>M</v>
      </c>
      <c r="X62" s="140"/>
      <c r="Y62" s="140"/>
      <c r="Z62" s="140"/>
      <c r="AA62" s="140"/>
    </row>
    <row r="63" spans="2:27" ht="15" customHeight="1" x14ac:dyDescent="0.25">
      <c r="B63" s="139" t="s">
        <v>56</v>
      </c>
      <c r="C63" s="138">
        <v>37453</v>
      </c>
      <c r="D63" s="112">
        <f t="shared" ca="1" si="5"/>
        <v>18</v>
      </c>
      <c r="E63" s="140">
        <v>4</v>
      </c>
      <c r="F63" s="140">
        <v>1</v>
      </c>
      <c r="G63" s="140">
        <v>0</v>
      </c>
      <c r="H63" s="112">
        <f t="shared" si="6"/>
        <v>1</v>
      </c>
      <c r="I63" s="140">
        <v>2</v>
      </c>
      <c r="J63" s="140">
        <v>87</v>
      </c>
      <c r="K63" s="140"/>
      <c r="L63" s="140" t="s">
        <v>41</v>
      </c>
      <c r="M63" s="140">
        <v>181</v>
      </c>
      <c r="N63" s="140">
        <v>75</v>
      </c>
      <c r="O63" s="119" t="str">
        <f t="shared" si="9"/>
        <v>10 OZ, 1 (1+0)</v>
      </c>
      <c r="P63" s="112" t="str">
        <f t="shared" si="7"/>
        <v>181/75</v>
      </c>
      <c r="Q63" s="141" t="s">
        <v>29</v>
      </c>
      <c r="R63" s="140">
        <v>2013</v>
      </c>
      <c r="S63" s="112" t="str">
        <f t="shared" si="10"/>
        <v/>
      </c>
      <c r="T63" s="1" t="str">
        <f t="shared" si="8"/>
        <v>Šaroch</v>
      </c>
      <c r="U63" s="1" t="str">
        <f t="shared" si="11"/>
        <v>Šaroch</v>
      </c>
      <c r="V63" s="112">
        <f t="shared" si="12"/>
        <v>1</v>
      </c>
      <c r="W63" s="112" t="str">
        <f t="shared" si="13"/>
        <v>M</v>
      </c>
      <c r="X63" s="140"/>
      <c r="Y63" s="140"/>
      <c r="Z63" s="140"/>
      <c r="AA63" s="140"/>
    </row>
    <row r="64" spans="2:27" ht="15" customHeight="1" x14ac:dyDescent="0.25">
      <c r="B64" s="139" t="s">
        <v>55</v>
      </c>
      <c r="C64" s="138">
        <v>37561</v>
      </c>
      <c r="D64" s="112">
        <f t="shared" ca="1" si="5"/>
        <v>18</v>
      </c>
      <c r="E64" s="140">
        <v>0</v>
      </c>
      <c r="F64" s="140">
        <v>0</v>
      </c>
      <c r="G64" s="140">
        <v>0</v>
      </c>
      <c r="H64" s="112">
        <f t="shared" si="6"/>
        <v>0</v>
      </c>
      <c r="I64" s="140">
        <v>1</v>
      </c>
      <c r="J64" s="140">
        <v>88</v>
      </c>
      <c r="K64" s="140"/>
      <c r="L64" s="140" t="s">
        <v>30</v>
      </c>
      <c r="M64" s="140">
        <v>180</v>
      </c>
      <c r="N64" s="140">
        <v>83</v>
      </c>
      <c r="O64" s="119" t="str">
        <f t="shared" si="9"/>
        <v>0 OZ, 0 (0+0)</v>
      </c>
      <c r="P64" s="112" t="str">
        <f t="shared" si="7"/>
        <v>180/83</v>
      </c>
      <c r="Q64" s="141"/>
      <c r="R64" s="140"/>
      <c r="S64" s="112" t="str">
        <f t="shared" si="10"/>
        <v>0 OZ, 0 A</v>
      </c>
      <c r="T64" s="1" t="str">
        <f t="shared" si="8"/>
        <v>Lorenc</v>
      </c>
      <c r="U64" s="1" t="str">
        <f t="shared" si="11"/>
        <v>Lorenc</v>
      </c>
      <c r="V64" s="112">
        <f t="shared" si="12"/>
        <v>1</v>
      </c>
      <c r="W64" s="112" t="str">
        <f t="shared" si="13"/>
        <v>M</v>
      </c>
      <c r="X64" s="140"/>
      <c r="Y64" s="140"/>
      <c r="Z64" s="140"/>
      <c r="AA64" s="140"/>
    </row>
    <row r="65" spans="2:27" ht="15" customHeight="1" x14ac:dyDescent="0.25">
      <c r="B65" s="142" t="s">
        <v>14</v>
      </c>
      <c r="C65" s="138">
        <v>33907</v>
      </c>
      <c r="D65" s="112">
        <f t="shared" ca="1" si="5"/>
        <v>28</v>
      </c>
      <c r="E65" s="140">
        <v>178</v>
      </c>
      <c r="F65" s="140">
        <v>90</v>
      </c>
      <c r="G65" s="140">
        <v>74</v>
      </c>
      <c r="H65" s="112">
        <f t="shared" si="6"/>
        <v>164</v>
      </c>
      <c r="I65" s="140">
        <v>10</v>
      </c>
      <c r="J65" s="140">
        <v>78</v>
      </c>
      <c r="K65" s="140"/>
      <c r="L65" s="140" t="s">
        <v>79</v>
      </c>
      <c r="M65" s="140">
        <v>172</v>
      </c>
      <c r="N65" s="140">
        <v>73</v>
      </c>
      <c r="O65" s="119" t="str">
        <f t="shared" si="9"/>
        <v>195 OZ, 187 (104+83)</v>
      </c>
      <c r="P65" s="112" t="str">
        <f t="shared" si="7"/>
        <v>172/73</v>
      </c>
      <c r="Q65" s="141" t="s">
        <v>15</v>
      </c>
      <c r="R65" s="140">
        <v>2000</v>
      </c>
      <c r="S65" s="112" t="str">
        <f t="shared" si="10"/>
        <v/>
      </c>
      <c r="T65" s="1" t="str">
        <f t="shared" si="8"/>
        <v>Strachota</v>
      </c>
      <c r="U65" s="1" t="str">
        <f t="shared" si="11"/>
        <v>Strachota</v>
      </c>
      <c r="V65" s="112">
        <f t="shared" si="12"/>
        <v>1</v>
      </c>
      <c r="W65" s="112" t="str">
        <f t="shared" si="13"/>
        <v>M</v>
      </c>
      <c r="X65" s="140"/>
      <c r="Y65" s="140"/>
      <c r="Z65" s="140"/>
      <c r="AA65" s="140"/>
    </row>
    <row r="66" spans="2:27" ht="15" customHeight="1" x14ac:dyDescent="0.25">
      <c r="B66" s="142" t="s">
        <v>12</v>
      </c>
      <c r="C66" s="138">
        <v>33786</v>
      </c>
      <c r="D66" s="112">
        <f t="shared" ca="1" si="5"/>
        <v>28</v>
      </c>
      <c r="E66" s="140">
        <v>117</v>
      </c>
      <c r="F66" s="140">
        <v>79</v>
      </c>
      <c r="G66" s="140">
        <v>50</v>
      </c>
      <c r="H66" s="112">
        <f t="shared" si="6"/>
        <v>129</v>
      </c>
      <c r="I66" s="140">
        <v>9</v>
      </c>
      <c r="J66" s="140">
        <v>23</v>
      </c>
      <c r="K66" s="140"/>
      <c r="L66" s="140" t="s">
        <v>79</v>
      </c>
      <c r="M66" s="140">
        <v>181</v>
      </c>
      <c r="N66" s="140">
        <v>78</v>
      </c>
      <c r="O66" s="119" t="str">
        <f t="shared" si="9"/>
        <v>133 OZ, 145 (88+57)</v>
      </c>
      <c r="P66" s="112" t="str">
        <f t="shared" si="7"/>
        <v>181/78</v>
      </c>
      <c r="Q66" s="141" t="s">
        <v>13</v>
      </c>
      <c r="R66" s="140">
        <v>2003</v>
      </c>
      <c r="S66" s="112" t="str">
        <f t="shared" si="10"/>
        <v/>
      </c>
      <c r="T66" s="1" t="str">
        <f t="shared" si="8"/>
        <v>Bína</v>
      </c>
      <c r="U66" s="1" t="str">
        <f t="shared" si="11"/>
        <v>Bína</v>
      </c>
      <c r="V66" s="112">
        <f t="shared" si="12"/>
        <v>1</v>
      </c>
      <c r="W66" s="112" t="str">
        <f t="shared" si="13"/>
        <v>M</v>
      </c>
      <c r="X66" s="140"/>
      <c r="Y66" s="140"/>
      <c r="Z66" s="140"/>
      <c r="AA66" s="140"/>
    </row>
    <row r="67" spans="2:27" ht="15" customHeight="1" x14ac:dyDescent="0.25">
      <c r="B67" s="139" t="s">
        <v>26</v>
      </c>
      <c r="C67" s="138">
        <v>37000</v>
      </c>
      <c r="D67" s="112">
        <f t="shared" ca="1" si="5"/>
        <v>19</v>
      </c>
      <c r="E67" s="140">
        <v>33</v>
      </c>
      <c r="F67" s="140">
        <v>3</v>
      </c>
      <c r="G67" s="140">
        <v>5</v>
      </c>
      <c r="H67" s="112">
        <f t="shared" si="6"/>
        <v>8</v>
      </c>
      <c r="I67" s="140">
        <v>3</v>
      </c>
      <c r="J67" s="140">
        <v>11</v>
      </c>
      <c r="K67" s="140"/>
      <c r="L67" s="140" t="s">
        <v>79</v>
      </c>
      <c r="M67" s="140">
        <v>181</v>
      </c>
      <c r="N67" s="140">
        <v>80</v>
      </c>
      <c r="O67" s="119" t="str">
        <f t="shared" si="9"/>
        <v>49 OZ, 11 (5+6)</v>
      </c>
      <c r="P67" s="112" t="str">
        <f t="shared" si="7"/>
        <v>181/80</v>
      </c>
      <c r="Q67" s="141" t="s">
        <v>27</v>
      </c>
      <c r="R67" s="140">
        <v>2013</v>
      </c>
      <c r="S67" s="112" t="str">
        <f t="shared" si="10"/>
        <v/>
      </c>
      <c r="T67" s="1" t="str">
        <f t="shared" si="8"/>
        <v>Gold</v>
      </c>
      <c r="U67" s="1" t="str">
        <f t="shared" si="11"/>
        <v>Gold</v>
      </c>
      <c r="V67" s="112">
        <f t="shared" si="12"/>
        <v>1</v>
      </c>
      <c r="W67" s="112" t="str">
        <f t="shared" si="13"/>
        <v>O</v>
      </c>
      <c r="X67" s="140"/>
      <c r="Y67" s="140"/>
      <c r="Z67" s="140"/>
      <c r="AA67" s="140"/>
    </row>
    <row r="68" spans="2:27" ht="15" customHeight="1" x14ac:dyDescent="0.25">
      <c r="B68" s="139" t="s">
        <v>57</v>
      </c>
      <c r="C68" s="138">
        <v>34200</v>
      </c>
      <c r="D68" s="112">
        <f t="shared" ca="1" si="5"/>
        <v>27</v>
      </c>
      <c r="E68" s="140">
        <v>83</v>
      </c>
      <c r="F68" s="140">
        <v>24</v>
      </c>
      <c r="G68" s="140">
        <v>18</v>
      </c>
      <c r="H68" s="112">
        <f t="shared" si="6"/>
        <v>42</v>
      </c>
      <c r="I68" s="140">
        <v>6</v>
      </c>
      <c r="J68" s="140">
        <v>65</v>
      </c>
      <c r="K68" s="140" t="s">
        <v>223</v>
      </c>
      <c r="L68" s="140" t="s">
        <v>41</v>
      </c>
      <c r="M68" s="140">
        <v>169</v>
      </c>
      <c r="N68" s="140">
        <v>65</v>
      </c>
      <c r="O68" s="119" t="str">
        <f t="shared" si="9"/>
        <v>100 OZ, 51 (30+21)</v>
      </c>
      <c r="P68" s="112" t="str">
        <f t="shared" si="7"/>
        <v>169/65</v>
      </c>
      <c r="Q68" s="141" t="s">
        <v>16</v>
      </c>
      <c r="R68" s="140">
        <v>2004</v>
      </c>
      <c r="S68" s="112" t="str">
        <f t="shared" si="10"/>
        <v/>
      </c>
      <c r="T68" s="1" t="str">
        <f t="shared" si="8"/>
        <v>Stuchlík O.</v>
      </c>
      <c r="U68" s="1" t="str">
        <f t="shared" si="11"/>
        <v>Stuchlík</v>
      </c>
      <c r="V68" s="112">
        <f t="shared" si="12"/>
        <v>2</v>
      </c>
      <c r="W68" s="112" t="str">
        <f t="shared" si="13"/>
        <v>O</v>
      </c>
      <c r="X68" s="140"/>
      <c r="Y68" s="140"/>
      <c r="Z68" s="140"/>
      <c r="AA68" s="140"/>
    </row>
    <row r="69" spans="2:27" ht="15" customHeight="1" x14ac:dyDescent="0.25">
      <c r="B69" s="139" t="s">
        <v>31</v>
      </c>
      <c r="C69" s="138">
        <v>36825</v>
      </c>
      <c r="D69" s="112">
        <f t="shared" ca="1" si="5"/>
        <v>20</v>
      </c>
      <c r="E69" s="140">
        <v>33</v>
      </c>
      <c r="F69" s="140">
        <v>2</v>
      </c>
      <c r="G69" s="140">
        <v>6</v>
      </c>
      <c r="H69" s="112">
        <f t="shared" si="6"/>
        <v>8</v>
      </c>
      <c r="I69" s="140">
        <v>3</v>
      </c>
      <c r="J69" s="140">
        <v>32</v>
      </c>
      <c r="K69" s="140"/>
      <c r="L69" s="140" t="s">
        <v>79</v>
      </c>
      <c r="M69" s="140">
        <v>175</v>
      </c>
      <c r="N69" s="140">
        <v>70</v>
      </c>
      <c r="O69" s="119" t="str">
        <f t="shared" si="9"/>
        <v>47 OZ, 15 (2+13)</v>
      </c>
      <c r="P69" s="112" t="str">
        <f t="shared" si="7"/>
        <v>175/70</v>
      </c>
      <c r="Q69" s="141" t="s">
        <v>29</v>
      </c>
      <c r="R69" s="140">
        <v>2015</v>
      </c>
      <c r="S69" s="112" t="str">
        <f t="shared" si="10"/>
        <v/>
      </c>
      <c r="T69" s="1" t="str">
        <f t="shared" si="8"/>
        <v>Hájek</v>
      </c>
      <c r="U69" s="1" t="str">
        <f t="shared" si="11"/>
        <v>Hájek</v>
      </c>
      <c r="V69" s="112">
        <f t="shared" si="12"/>
        <v>1</v>
      </c>
      <c r="W69" s="112" t="str">
        <f t="shared" si="13"/>
        <v>P</v>
      </c>
      <c r="X69" s="140"/>
      <c r="Y69" s="140"/>
      <c r="Z69" s="140"/>
      <c r="AA69" s="140"/>
    </row>
    <row r="70" spans="2:27" ht="15" customHeight="1" x14ac:dyDescent="0.25">
      <c r="B70" s="139" t="s">
        <v>3</v>
      </c>
      <c r="C70" s="138">
        <v>33357</v>
      </c>
      <c r="D70" s="112">
        <f t="shared" ca="1" si="5"/>
        <v>29</v>
      </c>
      <c r="E70" s="140">
        <v>56</v>
      </c>
      <c r="F70" s="140">
        <v>35</v>
      </c>
      <c r="G70" s="140">
        <v>17</v>
      </c>
      <c r="H70" s="112">
        <f t="shared" si="6"/>
        <v>52</v>
      </c>
      <c r="I70" s="140">
        <v>4</v>
      </c>
      <c r="J70" s="140">
        <v>24</v>
      </c>
      <c r="K70" s="140"/>
      <c r="L70" s="140" t="s">
        <v>79</v>
      </c>
      <c r="M70" s="140">
        <v>180</v>
      </c>
      <c r="N70" s="140">
        <v>78</v>
      </c>
      <c r="O70" s="119" t="str">
        <f t="shared" si="9"/>
        <v>73 OZ, 61 (41+20)</v>
      </c>
      <c r="P70" s="112" t="str">
        <f t="shared" si="7"/>
        <v>180/78</v>
      </c>
      <c r="Q70" s="141" t="s">
        <v>7</v>
      </c>
      <c r="R70" s="140">
        <v>2008</v>
      </c>
      <c r="S70" s="112" t="str">
        <f t="shared" si="10"/>
        <v/>
      </c>
      <c r="T70" s="1" t="str">
        <f t="shared" si="8"/>
        <v>Hartman</v>
      </c>
      <c r="U70" s="1" t="str">
        <f t="shared" si="11"/>
        <v>Hartman</v>
      </c>
      <c r="V70" s="112">
        <f t="shared" si="12"/>
        <v>1</v>
      </c>
      <c r="W70" s="112" t="str">
        <f t="shared" si="13"/>
        <v>P</v>
      </c>
      <c r="X70" s="140"/>
      <c r="Y70" s="140"/>
      <c r="Z70" s="140"/>
      <c r="AA70" s="140"/>
    </row>
    <row r="71" spans="2:27" ht="15" customHeight="1" x14ac:dyDescent="0.25">
      <c r="B71" s="139" t="s">
        <v>17</v>
      </c>
      <c r="C71" s="138">
        <v>33619</v>
      </c>
      <c r="D71" s="112">
        <f t="shared" ca="1" si="5"/>
        <v>29</v>
      </c>
      <c r="E71" s="140">
        <v>79</v>
      </c>
      <c r="F71" s="140">
        <v>4</v>
      </c>
      <c r="G71" s="140">
        <v>15</v>
      </c>
      <c r="H71" s="112">
        <f t="shared" si="6"/>
        <v>19</v>
      </c>
      <c r="I71" s="140">
        <v>5</v>
      </c>
      <c r="J71" s="140">
        <v>4</v>
      </c>
      <c r="K71" s="140"/>
      <c r="L71" s="140" t="s">
        <v>79</v>
      </c>
      <c r="M71" s="140">
        <v>197</v>
      </c>
      <c r="N71" s="140">
        <v>92</v>
      </c>
      <c r="O71" s="119" t="str">
        <f t="shared" si="9"/>
        <v>95 OZ, 25 (8+17)</v>
      </c>
      <c r="P71" s="112" t="str">
        <f t="shared" si="7"/>
        <v>197/92</v>
      </c>
      <c r="Q71" s="141" t="s">
        <v>18</v>
      </c>
      <c r="R71" s="140">
        <v>2007</v>
      </c>
      <c r="S71" s="112" t="str">
        <f t="shared" si="10"/>
        <v/>
      </c>
      <c r="T71" s="1" t="str">
        <f t="shared" si="8"/>
        <v>Vnuk</v>
      </c>
      <c r="U71" s="1" t="str">
        <f t="shared" si="11"/>
        <v>Vnuk</v>
      </c>
      <c r="V71" s="112">
        <f t="shared" si="12"/>
        <v>1</v>
      </c>
      <c r="W71" s="112" t="str">
        <f t="shared" si="13"/>
        <v>R</v>
      </c>
      <c r="X71" s="140"/>
      <c r="Y71" s="140"/>
      <c r="Z71" s="140"/>
      <c r="AA71" s="140"/>
    </row>
    <row r="72" spans="2:27" ht="15" customHeight="1" x14ac:dyDescent="0.25">
      <c r="B72" s="139" t="s">
        <v>58</v>
      </c>
      <c r="C72" s="138">
        <v>34726</v>
      </c>
      <c r="D72" s="112">
        <f t="shared" ca="1" si="5"/>
        <v>25</v>
      </c>
      <c r="E72" s="140"/>
      <c r="F72" s="140"/>
      <c r="G72" s="140"/>
      <c r="H72" s="112">
        <f t="shared" si="6"/>
        <v>0</v>
      </c>
      <c r="I72" s="140">
        <v>3</v>
      </c>
      <c r="J72" s="140">
        <v>37</v>
      </c>
      <c r="K72" s="140"/>
      <c r="L72" s="140" t="s">
        <v>30</v>
      </c>
      <c r="M72" s="140">
        <v>190</v>
      </c>
      <c r="N72" s="140">
        <v>80</v>
      </c>
      <c r="O72" s="119" t="str">
        <f t="shared" si="9"/>
        <v>0 OZ, 0 (0+0)</v>
      </c>
      <c r="P72" s="112" t="str">
        <f t="shared" si="7"/>
        <v>190/80</v>
      </c>
      <c r="Q72" s="141" t="s">
        <v>239</v>
      </c>
      <c r="R72" s="140">
        <v>2007</v>
      </c>
      <c r="S72" s="112" t="str">
        <f t="shared" si="10"/>
        <v>1 OZ, 0 A</v>
      </c>
      <c r="T72" s="1" t="str">
        <f t="shared" si="8"/>
        <v>Mazák</v>
      </c>
      <c r="U72" s="1" t="str">
        <f t="shared" si="11"/>
        <v>Mazák</v>
      </c>
      <c r="V72" s="112">
        <f t="shared" si="12"/>
        <v>1</v>
      </c>
      <c r="W72" s="112" t="str">
        <f t="shared" si="13"/>
        <v>R</v>
      </c>
      <c r="X72" s="140"/>
      <c r="Y72" s="140"/>
      <c r="Z72" s="140"/>
      <c r="AA72" s="140"/>
    </row>
    <row r="73" spans="2:27" ht="15" customHeight="1" x14ac:dyDescent="0.25">
      <c r="B73" s="139" t="s">
        <v>24</v>
      </c>
      <c r="C73" s="138">
        <v>36364</v>
      </c>
      <c r="D73" s="112">
        <f t="shared" ca="1" si="5"/>
        <v>21</v>
      </c>
      <c r="E73" s="140">
        <v>0</v>
      </c>
      <c r="F73" s="140">
        <v>0</v>
      </c>
      <c r="G73" s="140">
        <v>0</v>
      </c>
      <c r="H73" s="112">
        <f t="shared" si="6"/>
        <v>0</v>
      </c>
      <c r="I73" s="140">
        <v>1</v>
      </c>
      <c r="J73" s="140">
        <v>47</v>
      </c>
      <c r="K73" s="140"/>
      <c r="L73" s="140" t="s">
        <v>79</v>
      </c>
      <c r="M73" s="140">
        <v>181</v>
      </c>
      <c r="N73" s="140">
        <v>82</v>
      </c>
      <c r="O73" s="119" t="str">
        <f t="shared" si="9"/>
        <v>16 OZ, 0 (0+0)</v>
      </c>
      <c r="P73" s="112" t="str">
        <f t="shared" si="7"/>
        <v>181/82</v>
      </c>
      <c r="Q73" s="141" t="s">
        <v>25</v>
      </c>
      <c r="R73" s="140">
        <v>2009</v>
      </c>
      <c r="S73" s="112" t="str">
        <f t="shared" si="10"/>
        <v/>
      </c>
      <c r="T73" s="1" t="str">
        <f t="shared" si="8"/>
        <v>Čuda</v>
      </c>
      <c r="U73" s="1" t="str">
        <f t="shared" si="11"/>
        <v>Čuda</v>
      </c>
      <c r="V73" s="112">
        <f t="shared" si="12"/>
        <v>1</v>
      </c>
      <c r="W73" s="112" t="str">
        <f t="shared" si="13"/>
        <v>Š</v>
      </c>
      <c r="X73" s="140"/>
      <c r="Y73" s="140"/>
      <c r="Z73" s="140"/>
      <c r="AA73" s="140"/>
    </row>
    <row r="74" spans="2:27" ht="15" customHeight="1" x14ac:dyDescent="0.25">
      <c r="B74" s="139" t="s">
        <v>286</v>
      </c>
      <c r="C74" s="138">
        <v>37777</v>
      </c>
      <c r="D74" s="112">
        <f t="shared" ca="1" si="5"/>
        <v>17</v>
      </c>
      <c r="E74" s="140">
        <v>0</v>
      </c>
      <c r="F74" s="140">
        <v>0</v>
      </c>
      <c r="G74" s="140">
        <v>0</v>
      </c>
      <c r="H74" s="112">
        <f t="shared" si="6"/>
        <v>0</v>
      </c>
      <c r="I74" s="140">
        <v>1</v>
      </c>
      <c r="J74" s="140">
        <v>89</v>
      </c>
      <c r="K74" s="140"/>
      <c r="L74" s="140" t="s">
        <v>79</v>
      </c>
      <c r="M74" s="140">
        <v>185</v>
      </c>
      <c r="N74" s="140">
        <v>71</v>
      </c>
      <c r="O74" s="119" t="str">
        <f t="shared" si="9"/>
        <v>12 OZ, 3 (2+1)</v>
      </c>
      <c r="P74" s="112" t="str">
        <f t="shared" si="7"/>
        <v>185/71</v>
      </c>
      <c r="Q74" s="141" t="s">
        <v>290</v>
      </c>
      <c r="R74" s="140">
        <v>2009</v>
      </c>
      <c r="S74" s="112" t="str">
        <f t="shared" si="10"/>
        <v/>
      </c>
      <c r="T74" s="1" t="str">
        <f t="shared" si="8"/>
        <v>Klápa</v>
      </c>
      <c r="U74" s="1" t="str">
        <f t="shared" si="11"/>
        <v>Klápa</v>
      </c>
      <c r="V74" s="112">
        <f t="shared" si="12"/>
        <v>1</v>
      </c>
      <c r="W74" s="112" t="str">
        <f t="shared" si="13"/>
        <v>V</v>
      </c>
      <c r="X74" s="140">
        <v>8</v>
      </c>
      <c r="Y74" s="140">
        <v>0</v>
      </c>
      <c r="Z74" s="140">
        <v>1</v>
      </c>
      <c r="AA74" s="140">
        <v>0</v>
      </c>
    </row>
    <row r="75" spans="2:27" ht="15" customHeight="1" x14ac:dyDescent="0.25">
      <c r="B75" s="139" t="s">
        <v>20</v>
      </c>
      <c r="C75" s="138">
        <v>34200</v>
      </c>
      <c r="D75" s="112">
        <f t="shared" ca="1" si="5"/>
        <v>27</v>
      </c>
      <c r="E75" s="140">
        <v>71</v>
      </c>
      <c r="F75" s="140">
        <v>18</v>
      </c>
      <c r="G75" s="140">
        <v>47</v>
      </c>
      <c r="H75" s="112">
        <f t="shared" si="6"/>
        <v>65</v>
      </c>
      <c r="I75" s="140">
        <v>5</v>
      </c>
      <c r="J75" s="140">
        <v>64</v>
      </c>
      <c r="K75" s="140"/>
      <c r="L75" s="140" t="s">
        <v>79</v>
      </c>
      <c r="M75" s="140">
        <v>173</v>
      </c>
      <c r="N75" s="140">
        <v>68</v>
      </c>
      <c r="O75" s="119" t="str">
        <f t="shared" si="9"/>
        <v>88 OZ, 72 (21+51)</v>
      </c>
      <c r="P75" s="112" t="str">
        <f t="shared" si="7"/>
        <v>173/68</v>
      </c>
      <c r="Q75" s="141" t="s">
        <v>6</v>
      </c>
      <c r="R75" s="140">
        <v>2003</v>
      </c>
      <c r="S75" s="112" t="str">
        <f t="shared" si="10"/>
        <v/>
      </c>
      <c r="T75" s="1" t="str">
        <f t="shared" si="8"/>
        <v>Stuchlík Z.</v>
      </c>
      <c r="U75" s="1" t="str">
        <f t="shared" si="11"/>
        <v>Stuchlík</v>
      </c>
      <c r="V75" s="112">
        <f t="shared" si="12"/>
        <v>2</v>
      </c>
      <c r="W75" s="112" t="str">
        <f t="shared" si="13"/>
        <v>Z</v>
      </c>
      <c r="X75" s="140"/>
      <c r="Y75" s="140"/>
      <c r="Z75" s="140"/>
      <c r="AA75" s="140"/>
    </row>
    <row r="76" spans="2:27" ht="15" customHeight="1" x14ac:dyDescent="0.25">
      <c r="B76" s="139"/>
      <c r="C76" s="138"/>
      <c r="D76" s="112" t="str">
        <f t="shared" ref="D76:D82" si="14">IF(C76 &lt;&gt; 0,ROUNDDOWN(($A$47-C76)/365.25,0),"")</f>
        <v/>
      </c>
      <c r="E76" s="140"/>
      <c r="F76" s="140"/>
      <c r="G76" s="140"/>
      <c r="H76" s="112" t="str">
        <f t="shared" ref="H76:H82" si="15">IF(B76&lt;&gt;0,F76+G76,"")</f>
        <v/>
      </c>
      <c r="I76" s="140"/>
      <c r="J76" s="140"/>
      <c r="K76" s="140"/>
      <c r="L76" s="140"/>
      <c r="M76" s="140"/>
      <c r="N76" s="140"/>
      <c r="O76" s="119" t="str">
        <f t="shared" si="9"/>
        <v/>
      </c>
      <c r="P76" s="112" t="str">
        <f t="shared" ref="P76:P82" si="16">IF(M76&lt;&gt;0,CONCATENATE(M76,"/",N76),"")</f>
        <v/>
      </c>
      <c r="Q76" s="141"/>
      <c r="R76" s="140"/>
      <c r="S76" s="112"/>
      <c r="T76" s="1" t="str">
        <f t="shared" si="8"/>
        <v/>
      </c>
      <c r="U76" s="1" t="str">
        <f t="shared" si="11"/>
        <v/>
      </c>
      <c r="V76" s="112" t="str">
        <f t="shared" si="12"/>
        <v/>
      </c>
      <c r="W76" s="112" t="str">
        <f t="shared" si="13"/>
        <v/>
      </c>
      <c r="X76" s="140"/>
      <c r="Y76" s="140"/>
      <c r="Z76" s="140"/>
      <c r="AA76" s="140"/>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9"/>
        <v/>
      </c>
      <c r="P77" s="112" t="str">
        <f t="shared" si="16"/>
        <v/>
      </c>
      <c r="Q77" s="141"/>
      <c r="R77" s="140"/>
      <c r="S77" s="112"/>
      <c r="T77" s="1" t="str">
        <f t="shared" si="8"/>
        <v/>
      </c>
      <c r="U77" s="1" t="str">
        <f t="shared" si="11"/>
        <v/>
      </c>
      <c r="V77" s="112" t="str">
        <f t="shared" si="12"/>
        <v/>
      </c>
      <c r="W77" s="112" t="str">
        <f t="shared" si="13"/>
        <v/>
      </c>
      <c r="X77" s="140"/>
      <c r="Y77" s="140"/>
      <c r="Z77" s="140"/>
      <c r="AA77" s="140"/>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9"/>
        <v/>
      </c>
      <c r="P78" s="112" t="str">
        <f t="shared" si="16"/>
        <v/>
      </c>
      <c r="Q78" s="141"/>
      <c r="R78" s="140"/>
      <c r="S78" s="112"/>
      <c r="T78" s="1" t="str">
        <f t="shared" si="8"/>
        <v/>
      </c>
      <c r="U78" s="1" t="str">
        <f t="shared" si="11"/>
        <v/>
      </c>
      <c r="V78" s="112" t="str">
        <f t="shared" si="12"/>
        <v/>
      </c>
      <c r="W78" s="112" t="str">
        <f t="shared" si="13"/>
        <v/>
      </c>
      <c r="X78" s="140"/>
      <c r="Y78" s="140"/>
      <c r="Z78" s="140"/>
      <c r="AA78" s="140"/>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9"/>
        <v/>
      </c>
      <c r="P79" s="112" t="str">
        <f t="shared" si="16"/>
        <v/>
      </c>
      <c r="Q79" s="141"/>
      <c r="R79" s="140"/>
      <c r="S79" s="112"/>
      <c r="T79" s="1" t="str">
        <f t="shared" si="8"/>
        <v/>
      </c>
      <c r="U79" s="1" t="str">
        <f t="shared" si="11"/>
        <v/>
      </c>
      <c r="V79" s="112" t="str">
        <f t="shared" si="12"/>
        <v/>
      </c>
      <c r="W79" s="112" t="str">
        <f t="shared" si="13"/>
        <v/>
      </c>
      <c r="X79" s="140"/>
      <c r="Y79" s="140"/>
      <c r="Z79" s="140"/>
      <c r="AA79" s="140"/>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9"/>
        <v/>
      </c>
      <c r="P80" s="112" t="str">
        <f t="shared" si="16"/>
        <v/>
      </c>
      <c r="Q80" s="141"/>
      <c r="R80" s="140"/>
      <c r="S80" s="112"/>
      <c r="T80" s="1" t="str">
        <f t="shared" si="8"/>
        <v/>
      </c>
      <c r="U80" s="1" t="str">
        <f t="shared" si="11"/>
        <v/>
      </c>
      <c r="V80" s="112" t="str">
        <f t="shared" si="12"/>
        <v/>
      </c>
      <c r="W80" s="112" t="str">
        <f t="shared" si="13"/>
        <v/>
      </c>
      <c r="X80" s="140"/>
      <c r="Y80" s="140"/>
      <c r="Z80" s="140"/>
      <c r="AA80" s="140"/>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9"/>
        <v/>
      </c>
      <c r="P81" s="112" t="str">
        <f t="shared" si="16"/>
        <v/>
      </c>
      <c r="Q81" s="141"/>
      <c r="R81" s="140"/>
      <c r="S81" s="112"/>
      <c r="T81" s="1" t="str">
        <f t="shared" si="8"/>
        <v/>
      </c>
      <c r="U81" s="1" t="str">
        <f t="shared" si="11"/>
        <v/>
      </c>
      <c r="V81" s="112" t="str">
        <f t="shared" si="12"/>
        <v/>
      </c>
      <c r="W81" s="112" t="str">
        <f t="shared" si="13"/>
        <v/>
      </c>
      <c r="X81" s="140"/>
      <c r="Y81" s="140"/>
      <c r="Z81" s="140"/>
      <c r="AA81" s="140"/>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9"/>
        <v/>
      </c>
      <c r="P82" s="112" t="str">
        <f t="shared" si="16"/>
        <v/>
      </c>
      <c r="Q82" s="141"/>
      <c r="R82" s="140"/>
      <c r="S82" s="112"/>
      <c r="T82" s="1" t="str">
        <f t="shared" si="8"/>
        <v/>
      </c>
      <c r="U82" s="1" t="str">
        <f t="shared" si="11"/>
        <v/>
      </c>
      <c r="V82" s="112" t="str">
        <f t="shared" si="12"/>
        <v/>
      </c>
      <c r="W82" s="112" t="str">
        <f t="shared" si="13"/>
        <v/>
      </c>
      <c r="X82" s="140"/>
      <c r="Y82" s="140"/>
      <c r="Z82" s="140"/>
      <c r="AA82" s="140"/>
    </row>
    <row r="84" spans="1:27" s="2" customFormat="1" ht="15" customHeight="1" x14ac:dyDescent="0.25">
      <c r="A84" s="7">
        <f ca="1">TODAY()</f>
        <v>44214</v>
      </c>
      <c r="B84" s="2" t="s">
        <v>60</v>
      </c>
      <c r="C84" s="2" t="s">
        <v>67</v>
      </c>
      <c r="D84" s="2" t="s">
        <v>68</v>
      </c>
      <c r="E84" s="346" t="s">
        <v>95</v>
      </c>
      <c r="F84" s="346"/>
      <c r="G84" s="346" t="s">
        <v>101</v>
      </c>
      <c r="H84" s="346"/>
      <c r="I84" s="346"/>
      <c r="J84" s="346"/>
      <c r="K84" s="346"/>
      <c r="Q84" s="9"/>
    </row>
    <row r="85" spans="1:27" ht="30" customHeight="1" x14ac:dyDescent="0.25">
      <c r="B85" s="139" t="s">
        <v>96</v>
      </c>
      <c r="C85" s="138">
        <v>30490</v>
      </c>
      <c r="D85" s="6">
        <f ca="1">IF(B85&lt;&gt;0,ROUNDDOWN(($A$84-C85)/365.25,0),"")</f>
        <v>37</v>
      </c>
      <c r="E85" s="344" t="s">
        <v>100</v>
      </c>
      <c r="F85" s="344"/>
      <c r="G85" s="344" t="s">
        <v>195</v>
      </c>
      <c r="H85" s="344"/>
      <c r="I85" s="344"/>
      <c r="J85" s="344"/>
      <c r="K85" s="344"/>
    </row>
    <row r="86" spans="1:27" ht="30" customHeight="1" x14ac:dyDescent="0.25">
      <c r="B86" s="139" t="s">
        <v>97</v>
      </c>
      <c r="C86" s="138">
        <v>31402</v>
      </c>
      <c r="D86" s="112">
        <f t="shared" ref="D86:D92" ca="1" si="17">IF(B86&lt;&gt;0,ROUNDDOWN(($A$84-C86)/365.25,0),"")</f>
        <v>35</v>
      </c>
      <c r="E86" s="344" t="s">
        <v>100</v>
      </c>
      <c r="F86" s="344"/>
      <c r="G86" s="344" t="s">
        <v>724</v>
      </c>
      <c r="H86" s="344"/>
      <c r="I86" s="344"/>
      <c r="J86" s="344"/>
      <c r="K86" s="344"/>
    </row>
    <row r="87" spans="1:27" ht="30" customHeight="1" x14ac:dyDescent="0.25">
      <c r="B87" s="139" t="s">
        <v>98</v>
      </c>
      <c r="C87" s="138">
        <v>34755</v>
      </c>
      <c r="D87" s="112">
        <f t="shared" ca="1" si="17"/>
        <v>25</v>
      </c>
      <c r="E87" s="344" t="s">
        <v>102</v>
      </c>
      <c r="F87" s="344"/>
      <c r="G87" s="344" t="s">
        <v>30</v>
      </c>
      <c r="H87" s="344"/>
      <c r="I87" s="344"/>
      <c r="J87" s="344"/>
      <c r="K87" s="344"/>
    </row>
    <row r="88" spans="1:27" ht="30" customHeight="1" x14ac:dyDescent="0.25">
      <c r="B88" s="139" t="s">
        <v>99</v>
      </c>
      <c r="C88" s="138">
        <v>35465</v>
      </c>
      <c r="D88" s="112">
        <f t="shared" ca="1" si="17"/>
        <v>23</v>
      </c>
      <c r="E88" s="344" t="s">
        <v>103</v>
      </c>
      <c r="F88" s="344"/>
      <c r="G88" s="344" t="s">
        <v>104</v>
      </c>
      <c r="H88" s="344"/>
      <c r="I88" s="344"/>
      <c r="J88" s="344"/>
      <c r="K88" s="344"/>
    </row>
    <row r="89" spans="1:27" ht="30" customHeight="1" x14ac:dyDescent="0.25">
      <c r="B89" s="139" t="s">
        <v>774</v>
      </c>
      <c r="C89" s="138">
        <v>33139</v>
      </c>
      <c r="D89" s="112">
        <f t="shared" ca="1" si="17"/>
        <v>30</v>
      </c>
      <c r="E89" s="344" t="s">
        <v>775</v>
      </c>
      <c r="F89" s="344"/>
      <c r="G89" s="344" t="s">
        <v>776</v>
      </c>
      <c r="H89" s="344"/>
      <c r="I89" s="344"/>
      <c r="J89" s="344"/>
      <c r="K89" s="344"/>
    </row>
    <row r="90" spans="1:27" ht="30" customHeight="1" x14ac:dyDescent="0.25">
      <c r="B90" s="139"/>
      <c r="C90" s="139"/>
      <c r="D90" s="112" t="str">
        <f t="shared" si="17"/>
        <v/>
      </c>
      <c r="E90" s="344"/>
      <c r="F90" s="344"/>
      <c r="G90" s="344"/>
      <c r="H90" s="344"/>
      <c r="I90" s="344"/>
      <c r="J90" s="344"/>
      <c r="K90" s="344"/>
    </row>
    <row r="91" spans="1:27" ht="30" customHeight="1" x14ac:dyDescent="0.25">
      <c r="B91" s="139"/>
      <c r="C91" s="139"/>
      <c r="D91" s="112" t="str">
        <f t="shared" si="17"/>
        <v/>
      </c>
      <c r="E91" s="344"/>
      <c r="F91" s="344"/>
      <c r="G91" s="344"/>
      <c r="H91" s="344"/>
      <c r="I91" s="344"/>
      <c r="J91" s="344"/>
      <c r="K91" s="344"/>
    </row>
    <row r="92" spans="1:27" ht="30" customHeight="1" x14ac:dyDescent="0.25">
      <c r="B92" s="139"/>
      <c r="C92" s="139"/>
      <c r="D92" s="112" t="str">
        <f t="shared" si="17"/>
        <v/>
      </c>
      <c r="E92" s="344"/>
      <c r="F92" s="344"/>
      <c r="G92" s="344"/>
      <c r="H92" s="344"/>
      <c r="I92" s="344"/>
      <c r="J92" s="344"/>
      <c r="K92" s="344"/>
    </row>
  </sheetData>
  <sheetProtection algorithmName="SHA-512" hashValue="da9ZtWkB1+p1uGRiNJHu+U+MxhAyQVG2RgXd2MulqQ0HKKO3CKmGtOQL0KgJlTdIrIdvDiOJIrr+dEWw1b/IkQ==" saltValue="SSr+AMtii0OZvopLVqLKEw==" spinCount="100000" sheet="1" objects="1" scenarios="1" selectLockedCells="1"/>
  <sortState ref="B48:T75">
    <sortCondition ref="B48:B75"/>
  </sortState>
  <mergeCells count="19">
    <mergeCell ref="E91:F91"/>
    <mergeCell ref="E84:F84"/>
    <mergeCell ref="E85:F85"/>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workbookViewId="0">
      <selection activeCell="E31" sqref="E31"/>
    </sheetView>
  </sheetViews>
  <sheetFormatPr defaultRowHeight="15" x14ac:dyDescent="0.25"/>
  <cols>
    <col min="1" max="1" width="9.140625" style="121"/>
    <col min="2" max="2" width="18.140625" bestFit="1" customWidth="1"/>
    <col min="4" max="5" width="9.140625" customWidth="1"/>
  </cols>
  <sheetData>
    <row r="1" spans="1:6" x14ac:dyDescent="0.25">
      <c r="A1" s="346" t="s">
        <v>36</v>
      </c>
      <c r="B1" s="1" t="s">
        <v>240</v>
      </c>
      <c r="C1" s="181">
        <v>23</v>
      </c>
      <c r="D1" s="347" t="str">
        <f>IFERROR(RIGHT(B1,LEN(B1)-SEARCH(" ",B1)),"")</f>
        <v>Michal Strachota</v>
      </c>
      <c r="E1" s="347"/>
      <c r="F1" s="6"/>
    </row>
    <row r="2" spans="1:6" x14ac:dyDescent="0.25">
      <c r="A2" s="346"/>
      <c r="B2" s="1" t="s">
        <v>680</v>
      </c>
      <c r="C2" s="181">
        <v>19</v>
      </c>
      <c r="D2" s="347" t="str">
        <f t="shared" ref="D2:D30" si="0">IFERROR(RIGHT(B2,LEN(B2)-SEARCH(" ",B2)),"")</f>
        <v>Lukáš Gregor</v>
      </c>
      <c r="E2" s="347"/>
      <c r="F2" s="6"/>
    </row>
    <row r="3" spans="1:6" x14ac:dyDescent="0.25">
      <c r="A3" s="346"/>
      <c r="B3" s="1" t="s">
        <v>241</v>
      </c>
      <c r="C3" s="181">
        <v>16</v>
      </c>
      <c r="D3" s="347" t="str">
        <f t="shared" si="0"/>
        <v>Milan Bína</v>
      </c>
      <c r="E3" s="347"/>
      <c r="F3" s="6"/>
    </row>
    <row r="4" spans="1:6" x14ac:dyDescent="0.25">
      <c r="A4" s="346"/>
      <c r="B4" s="1" t="s">
        <v>242</v>
      </c>
      <c r="C4" s="181">
        <v>10</v>
      </c>
      <c r="D4" s="347" t="str">
        <f t="shared" si="0"/>
        <v>Martin Skřivánek</v>
      </c>
      <c r="E4" s="347"/>
      <c r="F4" s="6"/>
    </row>
    <row r="5" spans="1:6" x14ac:dyDescent="0.25">
      <c r="A5" s="346"/>
      <c r="B5" s="1" t="s">
        <v>349</v>
      </c>
      <c r="C5" s="181">
        <v>10</v>
      </c>
      <c r="D5" s="347" t="str">
        <f t="shared" si="0"/>
        <v>Jan Procházka</v>
      </c>
      <c r="E5" s="347"/>
      <c r="F5" s="6"/>
    </row>
    <row r="6" spans="1:6" x14ac:dyDescent="0.25">
      <c r="A6" s="346" t="s">
        <v>244</v>
      </c>
      <c r="B6" s="1" t="s">
        <v>248</v>
      </c>
      <c r="C6" s="181" t="s">
        <v>729</v>
      </c>
      <c r="D6" s="347" t="str">
        <f t="shared" si="0"/>
        <v>Karel Šantora</v>
      </c>
      <c r="E6" s="347"/>
      <c r="F6" s="120">
        <f>IF(B6&lt;&gt;0,_xlfn.NUMBERVALUE(C6,","),"")</f>
        <v>5.73</v>
      </c>
    </row>
    <row r="7" spans="1:6" x14ac:dyDescent="0.25">
      <c r="A7" s="346"/>
      <c r="B7" s="1" t="s">
        <v>249</v>
      </c>
      <c r="C7" s="181" t="s">
        <v>336</v>
      </c>
      <c r="D7" s="347" t="str">
        <f t="shared" si="0"/>
        <v>Matyáš Lorenc</v>
      </c>
      <c r="E7" s="347"/>
      <c r="F7" s="120">
        <f>IF(B7&lt;&gt;0,_xlfn.NUMBERVALUE(C7,","),"")</f>
        <v>0</v>
      </c>
    </row>
    <row r="8" spans="1:6" x14ac:dyDescent="0.25">
      <c r="A8" s="346"/>
      <c r="B8" s="1" t="s">
        <v>250</v>
      </c>
      <c r="C8" s="181" t="s">
        <v>337</v>
      </c>
      <c r="D8" s="347" t="str">
        <f t="shared" si="0"/>
        <v>Rastislav Mazák</v>
      </c>
      <c r="E8" s="347"/>
      <c r="F8" s="120">
        <f>IF(B8&lt;&gt;0,_xlfn.NUMBERVALUE(C8,","),"")</f>
        <v>7.18</v>
      </c>
    </row>
    <row r="9" spans="1:6" x14ac:dyDescent="0.25">
      <c r="A9" s="346"/>
      <c r="B9" s="1" t="s">
        <v>251</v>
      </c>
      <c r="C9" s="181" t="s">
        <v>338</v>
      </c>
      <c r="D9" s="347" t="str">
        <f t="shared" si="0"/>
        <v>Jiří Buchta</v>
      </c>
      <c r="E9" s="347"/>
      <c r="F9" s="120">
        <f>IF(B9&lt;&gt;0,_xlfn.NUMBERVALUE(C9,","),"")</f>
        <v>9.1300000000000008</v>
      </c>
    </row>
    <row r="10" spans="1:6" x14ac:dyDescent="0.25">
      <c r="A10" s="346"/>
      <c r="B10" s="1"/>
      <c r="C10" s="181"/>
      <c r="D10" s="347" t="str">
        <f t="shared" si="0"/>
        <v/>
      </c>
      <c r="E10" s="347"/>
      <c r="F10" s="120" t="str">
        <f>IF(B10&lt;&gt;0,_xlfn.NUMBERVALUE(C10,","),"")</f>
        <v/>
      </c>
    </row>
    <row r="11" spans="1:6" x14ac:dyDescent="0.25">
      <c r="A11" s="346" t="s">
        <v>35</v>
      </c>
      <c r="B11" s="1" t="s">
        <v>245</v>
      </c>
      <c r="C11" s="181">
        <v>15</v>
      </c>
      <c r="D11" s="347" t="str">
        <f t="shared" si="0"/>
        <v>Lukáš Gregor</v>
      </c>
      <c r="E11" s="347"/>
      <c r="F11" s="6"/>
    </row>
    <row r="12" spans="1:6" x14ac:dyDescent="0.25">
      <c r="A12" s="346"/>
      <c r="B12" s="1" t="s">
        <v>246</v>
      </c>
      <c r="C12" s="181">
        <v>14</v>
      </c>
      <c r="D12" s="347" t="str">
        <f t="shared" si="0"/>
        <v>Michal Strachota</v>
      </c>
      <c r="E12" s="347"/>
      <c r="F12" s="6"/>
    </row>
    <row r="13" spans="1:6" x14ac:dyDescent="0.25">
      <c r="A13" s="346"/>
      <c r="B13" s="1" t="s">
        <v>241</v>
      </c>
      <c r="C13" s="181">
        <v>9</v>
      </c>
      <c r="D13" s="347" t="str">
        <f t="shared" si="0"/>
        <v>Milan Bína</v>
      </c>
      <c r="E13" s="347"/>
      <c r="F13" s="6"/>
    </row>
    <row r="14" spans="1:6" x14ac:dyDescent="0.25">
      <c r="A14" s="346"/>
      <c r="B14" s="1" t="s">
        <v>247</v>
      </c>
      <c r="C14" s="181">
        <v>6</v>
      </c>
      <c r="D14" s="347" t="str">
        <f t="shared" si="0"/>
        <v>Ondřej Stuchlík</v>
      </c>
      <c r="E14" s="347"/>
      <c r="F14" s="6"/>
    </row>
    <row r="15" spans="1:6" x14ac:dyDescent="0.25">
      <c r="A15" s="346"/>
      <c r="B15" s="1" t="s">
        <v>243</v>
      </c>
      <c r="C15" s="181">
        <v>6</v>
      </c>
      <c r="D15" s="347" t="str">
        <f t="shared" si="0"/>
        <v>Petr Hartman</v>
      </c>
      <c r="E15" s="347"/>
      <c r="F15" s="6"/>
    </row>
    <row r="16" spans="1:6" x14ac:dyDescent="0.25">
      <c r="A16" s="346" t="s">
        <v>231</v>
      </c>
      <c r="B16" s="1" t="s">
        <v>248</v>
      </c>
      <c r="C16" s="181">
        <v>3</v>
      </c>
      <c r="D16" s="347" t="str">
        <f t="shared" si="0"/>
        <v>Karel Šantora</v>
      </c>
      <c r="E16" s="347"/>
      <c r="F16" s="126">
        <f>IF(B16&lt;&gt;0,_xlfn.NUMBERVALUE(C16,","),"")</f>
        <v>3</v>
      </c>
    </row>
    <row r="17" spans="1:6" x14ac:dyDescent="0.25">
      <c r="A17" s="346"/>
      <c r="B17" s="1" t="s">
        <v>252</v>
      </c>
      <c r="C17" s="181">
        <v>0</v>
      </c>
      <c r="D17" s="347" t="str">
        <f t="shared" si="0"/>
        <v>Jiří Buchta</v>
      </c>
      <c r="E17" s="347"/>
      <c r="F17" s="126">
        <f t="shared" ref="F17:F20" si="1">IF(B17&lt;&gt;0,_xlfn.NUMBERVALUE(C17,","),"")</f>
        <v>0</v>
      </c>
    </row>
    <row r="18" spans="1:6" x14ac:dyDescent="0.25">
      <c r="A18" s="346"/>
      <c r="B18" s="1" t="s">
        <v>253</v>
      </c>
      <c r="C18" s="181">
        <v>0</v>
      </c>
      <c r="D18" s="347" t="str">
        <f t="shared" si="0"/>
        <v>Matyáš Lorenc</v>
      </c>
      <c r="E18" s="347"/>
      <c r="F18" s="126">
        <f t="shared" si="1"/>
        <v>0</v>
      </c>
    </row>
    <row r="19" spans="1:6" x14ac:dyDescent="0.25">
      <c r="A19" s="346"/>
      <c r="B19" s="1" t="s">
        <v>254</v>
      </c>
      <c r="C19" s="181">
        <v>0</v>
      </c>
      <c r="D19" s="347" t="str">
        <f t="shared" si="0"/>
        <v>Rastislav Mazák</v>
      </c>
      <c r="E19" s="347"/>
      <c r="F19" s="126">
        <f t="shared" si="1"/>
        <v>0</v>
      </c>
    </row>
    <row r="20" spans="1:6" x14ac:dyDescent="0.25">
      <c r="A20" s="346"/>
      <c r="B20" s="1"/>
      <c r="C20" s="181"/>
      <c r="D20" s="347" t="str">
        <f t="shared" si="0"/>
        <v/>
      </c>
      <c r="E20" s="347"/>
      <c r="F20" s="126" t="str">
        <f t="shared" si="1"/>
        <v/>
      </c>
    </row>
    <row r="21" spans="1:6" x14ac:dyDescent="0.25">
      <c r="A21" s="346" t="s">
        <v>37</v>
      </c>
      <c r="B21" s="1" t="s">
        <v>240</v>
      </c>
      <c r="C21" s="181">
        <v>9</v>
      </c>
      <c r="D21" s="347" t="str">
        <f t="shared" si="0"/>
        <v>Michal Strachota</v>
      </c>
      <c r="E21" s="347"/>
      <c r="F21" s="120"/>
    </row>
    <row r="22" spans="1:6" x14ac:dyDescent="0.25">
      <c r="A22" s="346"/>
      <c r="B22" s="1" t="s">
        <v>350</v>
      </c>
      <c r="C22" s="181">
        <v>7</v>
      </c>
      <c r="D22" s="347" t="str">
        <f t="shared" si="0"/>
        <v>Jan Procházka</v>
      </c>
      <c r="E22" s="347"/>
      <c r="F22" s="120"/>
    </row>
    <row r="23" spans="1:6" x14ac:dyDescent="0.25">
      <c r="A23" s="346"/>
      <c r="B23" s="1" t="s">
        <v>241</v>
      </c>
      <c r="C23" s="181">
        <v>7</v>
      </c>
      <c r="D23" s="347" t="str">
        <f t="shared" si="0"/>
        <v>Milan Bína</v>
      </c>
      <c r="E23" s="347"/>
      <c r="F23" s="120"/>
    </row>
    <row r="24" spans="1:6" x14ac:dyDescent="0.25">
      <c r="A24" s="346"/>
      <c r="B24" s="1" t="s">
        <v>730</v>
      </c>
      <c r="C24" s="181">
        <v>7</v>
      </c>
      <c r="D24" s="347" t="str">
        <f t="shared" si="0"/>
        <v>Pavel Hájek</v>
      </c>
      <c r="E24" s="347"/>
      <c r="F24" s="120"/>
    </row>
    <row r="25" spans="1:6" x14ac:dyDescent="0.25">
      <c r="A25" s="346"/>
      <c r="B25" s="1" t="s">
        <v>731</v>
      </c>
      <c r="C25" s="181">
        <v>6</v>
      </c>
      <c r="D25" s="347" t="str">
        <f t="shared" si="0"/>
        <v>Jan Svoboda</v>
      </c>
      <c r="E25" s="347"/>
      <c r="F25" s="120"/>
    </row>
    <row r="26" spans="1:6" x14ac:dyDescent="0.25">
      <c r="A26" s="346" t="s">
        <v>38</v>
      </c>
      <c r="B26" s="1" t="s">
        <v>240</v>
      </c>
      <c r="C26" s="181">
        <v>10</v>
      </c>
      <c r="D26" s="347" t="str">
        <f t="shared" si="0"/>
        <v>Michal Strachota</v>
      </c>
      <c r="E26" s="347"/>
      <c r="F26" s="6"/>
    </row>
    <row r="27" spans="1:6" x14ac:dyDescent="0.25">
      <c r="A27" s="346"/>
      <c r="B27" s="1" t="s">
        <v>732</v>
      </c>
      <c r="C27" s="181">
        <v>9</v>
      </c>
      <c r="D27" s="347" t="str">
        <f t="shared" si="0"/>
        <v>Zbyněk Stuchlík</v>
      </c>
      <c r="E27" s="347"/>
      <c r="F27" s="6"/>
    </row>
    <row r="28" spans="1:6" x14ac:dyDescent="0.25">
      <c r="A28" s="346"/>
      <c r="B28" s="1" t="s">
        <v>733</v>
      </c>
      <c r="C28" s="181">
        <v>8</v>
      </c>
      <c r="D28" s="347" t="str">
        <f t="shared" si="0"/>
        <v>Jan Svoboda</v>
      </c>
      <c r="E28" s="347"/>
      <c r="F28" s="6"/>
    </row>
    <row r="29" spans="1:6" x14ac:dyDescent="0.25">
      <c r="A29" s="346"/>
      <c r="B29" s="1" t="s">
        <v>565</v>
      </c>
      <c r="C29" s="181">
        <v>6</v>
      </c>
      <c r="D29" s="347" t="str">
        <f t="shared" si="0"/>
        <v>Radovan Vnuk</v>
      </c>
      <c r="E29" s="347"/>
      <c r="F29" s="6"/>
    </row>
    <row r="30" spans="1:6" x14ac:dyDescent="0.25">
      <c r="A30" s="346"/>
      <c r="B30" s="1" t="s">
        <v>566</v>
      </c>
      <c r="C30" s="181">
        <v>4</v>
      </c>
      <c r="D30" s="347" t="str">
        <f t="shared" si="0"/>
        <v>Jan Fiala</v>
      </c>
      <c r="E30" s="347"/>
      <c r="F30" s="6"/>
    </row>
    <row r="31" spans="1:6" x14ac:dyDescent="0.25">
      <c r="A31" s="346" t="s">
        <v>339</v>
      </c>
      <c r="B31" s="122" t="s">
        <v>725</v>
      </c>
      <c r="C31" s="122" t="s">
        <v>154</v>
      </c>
      <c r="D31" s="128" t="s">
        <v>726</v>
      </c>
      <c r="E31" s="179" t="str">
        <f>IFERROR(RIGHT(LEFT(D31,LEN(D31)-1),LEN(D31)-2),"")</f>
        <v>9:4</v>
      </c>
    </row>
    <row r="32" spans="1:6" x14ac:dyDescent="0.25">
      <c r="A32" s="346"/>
      <c r="B32" s="122" t="s">
        <v>713</v>
      </c>
      <c r="C32" s="122" t="s">
        <v>147</v>
      </c>
      <c r="D32" s="127" t="s">
        <v>714</v>
      </c>
      <c r="E32" s="179" t="str">
        <f t="shared" ref="E32:E40" si="2">IFERROR(RIGHT(LEFT(D32,LEN(D32)-1),LEN(D32)-2),"")</f>
        <v>2:5</v>
      </c>
    </row>
    <row r="33" spans="1:5" x14ac:dyDescent="0.25">
      <c r="A33" s="346"/>
      <c r="B33" s="122" t="s">
        <v>563</v>
      </c>
      <c r="C33" s="122" t="s">
        <v>146</v>
      </c>
      <c r="D33" s="127" t="s">
        <v>564</v>
      </c>
      <c r="E33" s="179" t="str">
        <f t="shared" si="2"/>
        <v>5:8</v>
      </c>
    </row>
    <row r="34" spans="1:5" x14ac:dyDescent="0.25">
      <c r="A34" s="346"/>
      <c r="B34" s="122" t="s">
        <v>343</v>
      </c>
      <c r="C34" s="122" t="s">
        <v>145</v>
      </c>
      <c r="D34" s="128" t="s">
        <v>351</v>
      </c>
      <c r="E34" s="179" t="str">
        <f t="shared" si="2"/>
        <v>5:6sn</v>
      </c>
    </row>
    <row r="35" spans="1:5" x14ac:dyDescent="0.25">
      <c r="A35" s="346"/>
      <c r="B35" s="122" t="s">
        <v>344</v>
      </c>
      <c r="C35" s="122" t="s">
        <v>146</v>
      </c>
      <c r="D35" s="127" t="s">
        <v>352</v>
      </c>
      <c r="E35" s="179" t="str">
        <f t="shared" si="2"/>
        <v>3:12</v>
      </c>
    </row>
    <row r="36" spans="1:5" x14ac:dyDescent="0.25">
      <c r="A36" s="346" t="s">
        <v>340</v>
      </c>
      <c r="B36" s="122" t="s">
        <v>347</v>
      </c>
      <c r="C36" s="122" t="s">
        <v>144</v>
      </c>
      <c r="D36" s="122" t="s">
        <v>353</v>
      </c>
      <c r="E36" s="179" t="str">
        <f t="shared" si="2"/>
        <v>-:-</v>
      </c>
    </row>
    <row r="37" spans="1:5" x14ac:dyDescent="0.25">
      <c r="A37" s="346"/>
      <c r="B37" s="122" t="s">
        <v>348</v>
      </c>
      <c r="C37" s="122" t="s">
        <v>144</v>
      </c>
      <c r="D37" s="122" t="s">
        <v>353</v>
      </c>
      <c r="E37" s="179" t="str">
        <f t="shared" si="2"/>
        <v>-:-</v>
      </c>
    </row>
    <row r="38" spans="1:5" x14ac:dyDescent="0.25">
      <c r="A38" s="346"/>
      <c r="B38" s="122" t="s">
        <v>372</v>
      </c>
      <c r="C38" s="122" t="s">
        <v>150</v>
      </c>
      <c r="D38" s="122" t="s">
        <v>353</v>
      </c>
      <c r="E38" s="179" t="str">
        <f t="shared" si="2"/>
        <v>-:-</v>
      </c>
    </row>
    <row r="39" spans="1:5" x14ac:dyDescent="0.25">
      <c r="A39" s="346"/>
      <c r="B39" s="122" t="s">
        <v>401</v>
      </c>
      <c r="C39" s="122" t="s">
        <v>152</v>
      </c>
      <c r="D39" s="122" t="s">
        <v>353</v>
      </c>
      <c r="E39" s="179" t="str">
        <f t="shared" si="2"/>
        <v>-:-</v>
      </c>
    </row>
    <row r="40" spans="1:5" x14ac:dyDescent="0.25">
      <c r="A40" s="346"/>
      <c r="B40" s="122" t="s">
        <v>727</v>
      </c>
      <c r="C40" s="122" t="s">
        <v>148</v>
      </c>
      <c r="D40" s="122" t="s">
        <v>353</v>
      </c>
      <c r="E40" s="179" t="str">
        <f t="shared" si="2"/>
        <v>-:-</v>
      </c>
    </row>
    <row r="41" spans="1:5" x14ac:dyDescent="0.25">
      <c r="A41" s="121" t="s">
        <v>341</v>
      </c>
      <c r="B41" s="129" t="s">
        <v>728</v>
      </c>
      <c r="C41" s="122"/>
      <c r="D41" s="122"/>
    </row>
  </sheetData>
  <sheetProtection algorithmName="SHA-512" hashValue="0tEN7jPRvlMsnZ1Rb31h0QGRlsKcwAgKuPE3SthqhaKa7a0GQ5XGk1vjOe04GjTNa5ivFK6XrIY2DpliKkshaA==" saltValue="GR2szmUIjEtG9nzPxBSedA=="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531</v>
      </c>
      <c r="Q1" s="115" t="s">
        <v>48</v>
      </c>
      <c r="X1" s="110"/>
      <c r="Y1" s="110"/>
      <c r="Z1" s="110"/>
    </row>
    <row r="2" spans="1:26" s="4" customFormat="1" x14ac:dyDescent="0.25">
      <c r="A2" s="53">
        <v>1</v>
      </c>
      <c r="B2" s="4" t="s">
        <v>161</v>
      </c>
      <c r="D2" s="5" t="s">
        <v>52</v>
      </c>
      <c r="E2" s="5">
        <v>16</v>
      </c>
      <c r="F2" s="5">
        <v>20</v>
      </c>
      <c r="G2" s="5">
        <v>3</v>
      </c>
      <c r="H2" s="5">
        <v>0</v>
      </c>
      <c r="I2" s="5">
        <v>12</v>
      </c>
      <c r="J2" s="5">
        <v>32</v>
      </c>
      <c r="K2" s="5">
        <v>2</v>
      </c>
      <c r="L2" s="5">
        <v>41</v>
      </c>
      <c r="M2" s="5">
        <v>25</v>
      </c>
      <c r="N2" s="5">
        <v>16</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32 (20+12), +16 ±</v>
      </c>
      <c r="P2" s="5" t="str">
        <f>IF(B2&lt;&gt;0,IF(VLOOKUP(B2,$B$48:$B$82,1,FALSE)=B2,"ANO","NE"),"")</f>
        <v>ANO</v>
      </c>
      <c r="Q2" s="143" t="s">
        <v>423</v>
      </c>
      <c r="S2" s="5"/>
      <c r="X2" s="5"/>
      <c r="Y2" s="5"/>
      <c r="Z2" s="5"/>
    </row>
    <row r="3" spans="1:26" s="4" customFormat="1" x14ac:dyDescent="0.25">
      <c r="A3" s="53">
        <v>2</v>
      </c>
      <c r="B3" s="4" t="s">
        <v>162</v>
      </c>
      <c r="D3" s="5" t="s">
        <v>52</v>
      </c>
      <c r="E3" s="5">
        <v>16</v>
      </c>
      <c r="F3" s="5">
        <v>18</v>
      </c>
      <c r="G3" s="5">
        <v>1</v>
      </c>
      <c r="H3" s="5">
        <v>0</v>
      </c>
      <c r="I3" s="5">
        <v>13</v>
      </c>
      <c r="J3" s="5">
        <v>31</v>
      </c>
      <c r="K3" s="5">
        <v>2</v>
      </c>
      <c r="L3" s="5">
        <v>45</v>
      </c>
      <c r="M3" s="5">
        <v>26</v>
      </c>
      <c r="N3" s="5">
        <v>19</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31 (18+13), +19 ±</v>
      </c>
      <c r="P3" s="5" t="str">
        <f t="shared" ref="P3:P36" si="1">IF(B3&lt;&gt;0,IF(VLOOKUP(B3,$B$48:$B$82,1,FALSE)=B3,"ANO","NE"),"")</f>
        <v>ANO</v>
      </c>
      <c r="Q3" s="143" t="s">
        <v>424</v>
      </c>
      <c r="S3" s="5"/>
      <c r="X3" s="5"/>
      <c r="Y3" s="5"/>
      <c r="Z3" s="5"/>
    </row>
    <row r="4" spans="1:26" s="4" customFormat="1" x14ac:dyDescent="0.25">
      <c r="A4" s="53">
        <v>3</v>
      </c>
      <c r="B4" s="4" t="s">
        <v>164</v>
      </c>
      <c r="D4" s="5" t="s">
        <v>52</v>
      </c>
      <c r="E4" s="5">
        <v>15</v>
      </c>
      <c r="F4" s="5">
        <v>15</v>
      </c>
      <c r="G4" s="5">
        <v>1</v>
      </c>
      <c r="H4" s="5">
        <v>0</v>
      </c>
      <c r="I4" s="5">
        <v>6</v>
      </c>
      <c r="J4" s="5">
        <v>21</v>
      </c>
      <c r="K4" s="5">
        <v>4</v>
      </c>
      <c r="L4" s="5">
        <v>25</v>
      </c>
      <c r="M4" s="5">
        <v>22</v>
      </c>
      <c r="N4" s="5">
        <v>3</v>
      </c>
      <c r="O4" s="162" t="str">
        <f t="shared" si="0"/>
        <v>15 OZ , 21 (15+6), +3 ±</v>
      </c>
      <c r="P4" s="5" t="str">
        <f t="shared" si="1"/>
        <v>ANO</v>
      </c>
      <c r="Q4" s="143" t="s">
        <v>426</v>
      </c>
      <c r="S4" s="5"/>
      <c r="X4" s="5"/>
      <c r="Y4" s="5"/>
      <c r="Z4" s="5"/>
    </row>
    <row r="5" spans="1:26" s="4" customFormat="1" x14ac:dyDescent="0.25">
      <c r="A5" s="53">
        <v>4</v>
      </c>
      <c r="B5" s="4" t="s">
        <v>163</v>
      </c>
      <c r="D5" s="5" t="s">
        <v>52</v>
      </c>
      <c r="E5" s="5">
        <v>15</v>
      </c>
      <c r="F5" s="5">
        <v>13</v>
      </c>
      <c r="G5" s="5">
        <v>2</v>
      </c>
      <c r="H5" s="5">
        <v>0</v>
      </c>
      <c r="I5" s="5">
        <v>8</v>
      </c>
      <c r="J5" s="5">
        <v>21</v>
      </c>
      <c r="K5" s="5">
        <v>4</v>
      </c>
      <c r="L5" s="5">
        <v>38</v>
      </c>
      <c r="M5" s="5">
        <v>22</v>
      </c>
      <c r="N5" s="5">
        <v>16</v>
      </c>
      <c r="O5" s="162" t="str">
        <f t="shared" si="0"/>
        <v>15 OZ , 21 (13+8), +16 ±</v>
      </c>
      <c r="P5" s="5" t="str">
        <f t="shared" si="1"/>
        <v>ANO</v>
      </c>
      <c r="Q5" s="143" t="s">
        <v>291</v>
      </c>
      <c r="S5" s="5"/>
      <c r="X5" s="5"/>
      <c r="Y5" s="5"/>
      <c r="Z5" s="5"/>
    </row>
    <row r="6" spans="1:26" x14ac:dyDescent="0.25">
      <c r="A6" s="54">
        <v>5</v>
      </c>
      <c r="B6" s="1" t="s">
        <v>167</v>
      </c>
      <c r="D6" s="181"/>
      <c r="E6" s="181">
        <v>16</v>
      </c>
      <c r="F6" s="181">
        <v>5</v>
      </c>
      <c r="G6" s="181">
        <v>0</v>
      </c>
      <c r="H6" s="181">
        <v>0</v>
      </c>
      <c r="I6" s="181">
        <v>7</v>
      </c>
      <c r="J6" s="181">
        <v>12</v>
      </c>
      <c r="K6" s="181">
        <v>14</v>
      </c>
      <c r="L6" s="181">
        <v>24</v>
      </c>
      <c r="M6" s="181">
        <v>24</v>
      </c>
      <c r="N6" s="181">
        <v>0</v>
      </c>
      <c r="O6" s="162" t="str">
        <f t="shared" si="0"/>
        <v>16 OZ , 12 (5+7), 0 ±</v>
      </c>
      <c r="P6" s="5" t="str">
        <f t="shared" si="1"/>
        <v>ANO</v>
      </c>
    </row>
    <row r="7" spans="1:26" x14ac:dyDescent="0.25">
      <c r="A7" s="54">
        <v>6</v>
      </c>
      <c r="B7" s="1" t="s">
        <v>165</v>
      </c>
      <c r="D7" s="181" t="s">
        <v>49</v>
      </c>
      <c r="E7" s="181">
        <v>15</v>
      </c>
      <c r="F7" s="181">
        <v>2</v>
      </c>
      <c r="G7" s="181">
        <v>0</v>
      </c>
      <c r="H7" s="181">
        <v>0</v>
      </c>
      <c r="I7" s="181">
        <v>10</v>
      </c>
      <c r="J7" s="181">
        <v>12</v>
      </c>
      <c r="K7" s="181">
        <v>2</v>
      </c>
      <c r="L7" s="181">
        <v>41</v>
      </c>
      <c r="M7" s="181">
        <v>21</v>
      </c>
      <c r="N7" s="181">
        <v>20</v>
      </c>
      <c r="O7" s="162" t="str">
        <f t="shared" si="0"/>
        <v>15 OZ , 12 (2+10), +20 ±</v>
      </c>
      <c r="P7" s="5" t="str">
        <f t="shared" si="1"/>
        <v>ANO</v>
      </c>
    </row>
    <row r="8" spans="1:26" x14ac:dyDescent="0.25">
      <c r="A8" s="54">
        <v>7</v>
      </c>
      <c r="B8" s="1" t="s">
        <v>166</v>
      </c>
      <c r="D8" s="181" t="s">
        <v>49</v>
      </c>
      <c r="E8" s="181">
        <v>16</v>
      </c>
      <c r="F8" s="181">
        <v>4</v>
      </c>
      <c r="G8" s="181">
        <v>1</v>
      </c>
      <c r="H8" s="181">
        <v>0</v>
      </c>
      <c r="I8" s="181">
        <v>7</v>
      </c>
      <c r="J8" s="181">
        <v>11</v>
      </c>
      <c r="K8" s="181">
        <v>2</v>
      </c>
      <c r="L8" s="181">
        <v>34</v>
      </c>
      <c r="M8" s="181">
        <v>27</v>
      </c>
      <c r="N8" s="181">
        <v>7</v>
      </c>
      <c r="O8" s="162" t="str">
        <f t="shared" si="0"/>
        <v>16 OZ , 11 (4+7), +7 ±</v>
      </c>
      <c r="P8" s="5" t="str">
        <f t="shared" si="1"/>
        <v>ANO</v>
      </c>
    </row>
    <row r="9" spans="1:26" x14ac:dyDescent="0.25">
      <c r="A9" s="54">
        <v>8</v>
      </c>
      <c r="B9" s="1" t="s">
        <v>168</v>
      </c>
      <c r="D9" s="181" t="s">
        <v>49</v>
      </c>
      <c r="E9" s="181">
        <v>16</v>
      </c>
      <c r="F9" s="181">
        <v>4</v>
      </c>
      <c r="G9" s="181">
        <v>0</v>
      </c>
      <c r="H9" s="181">
        <v>0</v>
      </c>
      <c r="I9" s="181">
        <v>7</v>
      </c>
      <c r="J9" s="181">
        <v>11</v>
      </c>
      <c r="K9" s="181">
        <v>18</v>
      </c>
      <c r="L9" s="181">
        <v>30</v>
      </c>
      <c r="M9" s="181">
        <v>23</v>
      </c>
      <c r="N9" s="181">
        <v>7</v>
      </c>
      <c r="O9" s="162" t="str">
        <f t="shared" si="0"/>
        <v>16 OZ , 11 (4+7), +7 ±</v>
      </c>
      <c r="P9" s="5" t="str">
        <f t="shared" si="1"/>
        <v>ANO</v>
      </c>
    </row>
    <row r="10" spans="1:26" x14ac:dyDescent="0.25">
      <c r="A10" s="54">
        <v>9</v>
      </c>
      <c r="B10" s="1" t="s">
        <v>169</v>
      </c>
      <c r="D10" s="181"/>
      <c r="E10" s="181">
        <v>16</v>
      </c>
      <c r="F10" s="181">
        <v>5</v>
      </c>
      <c r="G10" s="181">
        <v>0</v>
      </c>
      <c r="H10" s="181">
        <v>0</v>
      </c>
      <c r="I10" s="181">
        <v>3</v>
      </c>
      <c r="J10" s="181">
        <v>8</v>
      </c>
      <c r="K10" s="181">
        <v>0</v>
      </c>
      <c r="L10" s="181">
        <v>22</v>
      </c>
      <c r="M10" s="181">
        <v>20</v>
      </c>
      <c r="N10" s="181">
        <v>2</v>
      </c>
      <c r="O10" s="162" t="str">
        <f t="shared" si="0"/>
        <v>16 OZ , 8 (5+3), +2 ±</v>
      </c>
      <c r="P10" s="5" t="str">
        <f t="shared" si="1"/>
        <v>ANO</v>
      </c>
    </row>
    <row r="11" spans="1:26" x14ac:dyDescent="0.25">
      <c r="A11" s="54">
        <v>10</v>
      </c>
      <c r="B11" s="1" t="s">
        <v>171</v>
      </c>
      <c r="D11" s="181" t="s">
        <v>52</v>
      </c>
      <c r="E11" s="181">
        <v>12</v>
      </c>
      <c r="F11" s="181">
        <v>4</v>
      </c>
      <c r="G11" s="181">
        <v>0</v>
      </c>
      <c r="H11" s="181">
        <v>0</v>
      </c>
      <c r="I11" s="181">
        <v>4</v>
      </c>
      <c r="J11" s="181">
        <v>8</v>
      </c>
      <c r="K11" s="181">
        <v>0</v>
      </c>
      <c r="L11" s="181">
        <v>22</v>
      </c>
      <c r="M11" s="181">
        <v>15</v>
      </c>
      <c r="N11" s="181">
        <v>7</v>
      </c>
      <c r="O11" s="162" t="str">
        <f t="shared" si="0"/>
        <v>12 OZ , 8 (4+4), +7 ±</v>
      </c>
      <c r="P11" s="5" t="str">
        <f t="shared" si="1"/>
        <v>ANO</v>
      </c>
    </row>
    <row r="12" spans="1:26" x14ac:dyDescent="0.25">
      <c r="A12" s="54">
        <v>11</v>
      </c>
      <c r="B12" s="1" t="s">
        <v>170</v>
      </c>
      <c r="D12" s="181"/>
      <c r="E12" s="181">
        <v>16</v>
      </c>
      <c r="F12" s="181">
        <v>5</v>
      </c>
      <c r="G12" s="181">
        <v>1</v>
      </c>
      <c r="H12" s="181">
        <v>0</v>
      </c>
      <c r="I12" s="181">
        <v>1</v>
      </c>
      <c r="J12" s="181">
        <v>6</v>
      </c>
      <c r="K12" s="181">
        <v>0</v>
      </c>
      <c r="L12" s="181">
        <v>18</v>
      </c>
      <c r="M12" s="181">
        <v>13</v>
      </c>
      <c r="N12" s="181">
        <v>5</v>
      </c>
      <c r="O12" s="162" t="str">
        <f t="shared" si="0"/>
        <v>16 OZ , 6 (5+1), +5 ±</v>
      </c>
      <c r="P12" s="5" t="str">
        <f t="shared" si="1"/>
        <v>ANO</v>
      </c>
    </row>
    <row r="13" spans="1:26" x14ac:dyDescent="0.25">
      <c r="A13" s="54">
        <v>12</v>
      </c>
      <c r="B13" s="1" t="s">
        <v>172</v>
      </c>
      <c r="D13" s="181" t="s">
        <v>52</v>
      </c>
      <c r="E13" s="181">
        <v>15</v>
      </c>
      <c r="F13" s="181">
        <v>2</v>
      </c>
      <c r="G13" s="181">
        <v>0</v>
      </c>
      <c r="H13" s="181">
        <v>0</v>
      </c>
      <c r="I13" s="181">
        <v>3</v>
      </c>
      <c r="J13" s="181">
        <v>5</v>
      </c>
      <c r="K13" s="181">
        <v>2</v>
      </c>
      <c r="L13" s="181">
        <v>14</v>
      </c>
      <c r="M13" s="181">
        <v>13</v>
      </c>
      <c r="N13" s="181">
        <v>1</v>
      </c>
      <c r="O13" s="162" t="str">
        <f t="shared" si="0"/>
        <v>15 OZ , 5 (2+3), +1 ±</v>
      </c>
      <c r="P13" s="5" t="str">
        <f t="shared" si="1"/>
        <v>ANO</v>
      </c>
    </row>
    <row r="14" spans="1:26" x14ac:dyDescent="0.25">
      <c r="A14" s="54">
        <v>13</v>
      </c>
      <c r="B14" s="1" t="s">
        <v>173</v>
      </c>
      <c r="D14" s="181"/>
      <c r="E14" s="181">
        <v>13</v>
      </c>
      <c r="F14" s="181">
        <v>2</v>
      </c>
      <c r="G14" s="181">
        <v>0</v>
      </c>
      <c r="H14" s="181">
        <v>0</v>
      </c>
      <c r="I14" s="181">
        <v>2</v>
      </c>
      <c r="J14" s="181">
        <v>4</v>
      </c>
      <c r="K14" s="181">
        <v>4</v>
      </c>
      <c r="L14" s="181">
        <v>19</v>
      </c>
      <c r="M14" s="181">
        <v>15</v>
      </c>
      <c r="N14" s="181">
        <v>4</v>
      </c>
      <c r="O14" s="162" t="str">
        <f t="shared" si="0"/>
        <v>13 OZ , 4 (2+2), +4 ±</v>
      </c>
      <c r="P14" s="5" t="str">
        <f t="shared" si="1"/>
        <v>ANO</v>
      </c>
    </row>
    <row r="15" spans="1:26" x14ac:dyDescent="0.25">
      <c r="A15" s="54">
        <v>14</v>
      </c>
      <c r="B15" s="1" t="s">
        <v>174</v>
      </c>
      <c r="D15" s="181" t="s">
        <v>49</v>
      </c>
      <c r="E15" s="181">
        <v>16</v>
      </c>
      <c r="F15" s="181">
        <v>2</v>
      </c>
      <c r="G15" s="181">
        <v>0</v>
      </c>
      <c r="H15" s="181">
        <v>0</v>
      </c>
      <c r="I15" s="181">
        <v>2</v>
      </c>
      <c r="J15" s="181">
        <v>4</v>
      </c>
      <c r="K15" s="181">
        <v>6</v>
      </c>
      <c r="L15" s="181">
        <v>11</v>
      </c>
      <c r="M15" s="181">
        <v>13</v>
      </c>
      <c r="N15" s="181">
        <v>-2</v>
      </c>
      <c r="O15" s="162" t="str">
        <f t="shared" si="0"/>
        <v>16 OZ , 4 (2+2), -2 ±</v>
      </c>
      <c r="P15" s="5" t="str">
        <f t="shared" si="1"/>
        <v>ANO</v>
      </c>
    </row>
    <row r="16" spans="1:26" x14ac:dyDescent="0.25">
      <c r="A16" s="54">
        <v>15</v>
      </c>
      <c r="B16" s="1" t="s">
        <v>175</v>
      </c>
      <c r="D16" s="181" t="s">
        <v>52</v>
      </c>
      <c r="E16" s="181">
        <v>14</v>
      </c>
      <c r="F16" s="181">
        <v>1</v>
      </c>
      <c r="G16" s="181">
        <v>0</v>
      </c>
      <c r="H16" s="181">
        <v>0</v>
      </c>
      <c r="I16" s="181">
        <v>2</v>
      </c>
      <c r="J16" s="181">
        <v>3</v>
      </c>
      <c r="K16" s="181">
        <v>2</v>
      </c>
      <c r="L16" s="181">
        <v>21</v>
      </c>
      <c r="M16" s="181">
        <v>22</v>
      </c>
      <c r="N16" s="181">
        <v>-1</v>
      </c>
      <c r="O16" s="162" t="str">
        <f t="shared" si="0"/>
        <v>14 OZ , 3 (1+2), -1 ±</v>
      </c>
      <c r="P16" s="5" t="str">
        <f t="shared" si="1"/>
        <v>ANO</v>
      </c>
    </row>
    <row r="17" spans="1:19" x14ac:dyDescent="0.25">
      <c r="A17" s="54">
        <v>16</v>
      </c>
      <c r="B17" s="1" t="s">
        <v>177</v>
      </c>
      <c r="D17" s="181" t="s">
        <v>52</v>
      </c>
      <c r="E17" s="181">
        <v>15</v>
      </c>
      <c r="F17" s="181">
        <v>1</v>
      </c>
      <c r="G17" s="181">
        <v>0</v>
      </c>
      <c r="H17" s="181">
        <v>0</v>
      </c>
      <c r="I17" s="181">
        <v>1</v>
      </c>
      <c r="J17" s="181">
        <v>2</v>
      </c>
      <c r="K17" s="181">
        <v>0</v>
      </c>
      <c r="L17" s="181">
        <v>4</v>
      </c>
      <c r="M17" s="181">
        <v>7</v>
      </c>
      <c r="N17" s="181">
        <v>-3</v>
      </c>
      <c r="O17" s="162" t="str">
        <f t="shared" si="0"/>
        <v>15 OZ , 2 (1+1), -3 ±</v>
      </c>
      <c r="P17" s="5" t="str">
        <f t="shared" si="1"/>
        <v>ANO</v>
      </c>
    </row>
    <row r="18" spans="1:19" x14ac:dyDescent="0.25">
      <c r="A18" s="54">
        <v>17</v>
      </c>
      <c r="B18" s="1" t="s">
        <v>176</v>
      </c>
      <c r="D18" s="181" t="s">
        <v>49</v>
      </c>
      <c r="E18" s="181">
        <v>6</v>
      </c>
      <c r="F18" s="181">
        <v>0</v>
      </c>
      <c r="G18" s="181">
        <v>0</v>
      </c>
      <c r="H18" s="181">
        <v>0</v>
      </c>
      <c r="I18" s="181">
        <v>2</v>
      </c>
      <c r="J18" s="181">
        <v>2</v>
      </c>
      <c r="K18" s="181">
        <v>4</v>
      </c>
      <c r="L18" s="181">
        <v>11</v>
      </c>
      <c r="M18" s="181">
        <v>6</v>
      </c>
      <c r="N18" s="181">
        <v>5</v>
      </c>
      <c r="O18" s="162" t="str">
        <f t="shared" si="0"/>
        <v>6 OZ , 2 (0+2), +5 ±</v>
      </c>
      <c r="P18" s="5" t="str">
        <f t="shared" si="1"/>
        <v>ANO</v>
      </c>
    </row>
    <row r="19" spans="1:19" x14ac:dyDescent="0.25">
      <c r="A19" s="54">
        <v>18</v>
      </c>
      <c r="B19" s="1" t="s">
        <v>180</v>
      </c>
      <c r="D19" s="181" t="s">
        <v>52</v>
      </c>
      <c r="E19" s="181">
        <v>6</v>
      </c>
      <c r="F19" s="181">
        <v>0</v>
      </c>
      <c r="G19" s="181">
        <v>0</v>
      </c>
      <c r="H19" s="181">
        <v>0</v>
      </c>
      <c r="I19" s="181">
        <v>1</v>
      </c>
      <c r="J19" s="181">
        <v>1</v>
      </c>
      <c r="K19" s="181">
        <v>0</v>
      </c>
      <c r="L19" s="181">
        <v>2</v>
      </c>
      <c r="M19" s="181">
        <v>1</v>
      </c>
      <c r="N19" s="181">
        <v>1</v>
      </c>
      <c r="O19" s="162" t="str">
        <f t="shared" si="0"/>
        <v>6 OZ , 1 (0+1), +1 ±</v>
      </c>
      <c r="P19" s="5" t="str">
        <f t="shared" si="1"/>
        <v>ANO</v>
      </c>
    </row>
    <row r="20" spans="1:19" x14ac:dyDescent="0.25">
      <c r="A20" s="54">
        <v>19</v>
      </c>
      <c r="B20" s="1" t="s">
        <v>178</v>
      </c>
      <c r="D20" s="181" t="s">
        <v>52</v>
      </c>
      <c r="E20" s="181">
        <v>2</v>
      </c>
      <c r="F20" s="181">
        <v>0</v>
      </c>
      <c r="G20" s="181">
        <v>0</v>
      </c>
      <c r="H20" s="181">
        <v>0</v>
      </c>
      <c r="I20" s="181">
        <v>0</v>
      </c>
      <c r="J20" s="181">
        <v>0</v>
      </c>
      <c r="K20" s="181">
        <v>0</v>
      </c>
      <c r="L20" s="181">
        <v>0</v>
      </c>
      <c r="M20" s="181">
        <v>2</v>
      </c>
      <c r="N20" s="181">
        <v>-2</v>
      </c>
      <c r="O20" s="162" t="str">
        <f t="shared" si="0"/>
        <v>2 OZ , 0 (0+0), -2 ±</v>
      </c>
      <c r="P20" s="5" t="str">
        <f t="shared" si="1"/>
        <v>ANO</v>
      </c>
    </row>
    <row r="21" spans="1:19" x14ac:dyDescent="0.25">
      <c r="A21" s="54">
        <v>20</v>
      </c>
      <c r="B21" s="1" t="s">
        <v>181</v>
      </c>
      <c r="D21" s="181"/>
      <c r="E21" s="181">
        <v>2</v>
      </c>
      <c r="F21" s="181">
        <v>0</v>
      </c>
      <c r="G21" s="181">
        <v>0</v>
      </c>
      <c r="H21" s="181">
        <v>0</v>
      </c>
      <c r="I21" s="181">
        <v>0</v>
      </c>
      <c r="J21" s="181">
        <v>0</v>
      </c>
      <c r="K21" s="181">
        <v>0</v>
      </c>
      <c r="L21" s="181">
        <v>0</v>
      </c>
      <c r="M21" s="181">
        <v>0</v>
      </c>
      <c r="N21" s="181">
        <v>0</v>
      </c>
      <c r="O21" s="162" t="str">
        <f t="shared" si="0"/>
        <v>2 OZ , 0 (0+0), 0 ±</v>
      </c>
      <c r="P21" s="5" t="str">
        <f t="shared" si="1"/>
        <v>ANO</v>
      </c>
    </row>
    <row r="22" spans="1:19" x14ac:dyDescent="0.25">
      <c r="A22" s="54">
        <v>21</v>
      </c>
      <c r="B22" s="1" t="s">
        <v>179</v>
      </c>
      <c r="D22" s="181" t="s">
        <v>35</v>
      </c>
      <c r="E22" s="181">
        <v>0</v>
      </c>
      <c r="F22" s="181">
        <v>0</v>
      </c>
      <c r="G22" s="181">
        <v>0</v>
      </c>
      <c r="H22" s="181">
        <v>0</v>
      </c>
      <c r="I22" s="181">
        <v>0</v>
      </c>
      <c r="J22" s="181">
        <v>0</v>
      </c>
      <c r="K22" s="181">
        <v>0</v>
      </c>
      <c r="L22" s="181">
        <v>0</v>
      </c>
      <c r="M22" s="181">
        <v>0</v>
      </c>
      <c r="N22" s="181">
        <v>0</v>
      </c>
      <c r="O22" s="162" t="str">
        <f t="shared" si="0"/>
        <v>0 OZ , 0 (0+0), 0 ±</v>
      </c>
      <c r="P22" s="5" t="str">
        <f t="shared" si="1"/>
        <v>ANO</v>
      </c>
    </row>
    <row r="23" spans="1:19" x14ac:dyDescent="0.25">
      <c r="A23" s="54">
        <v>22</v>
      </c>
      <c r="B23" s="1" t="s">
        <v>182</v>
      </c>
      <c r="D23" s="181"/>
      <c r="E23" s="181">
        <v>4</v>
      </c>
      <c r="F23" s="181">
        <v>0</v>
      </c>
      <c r="G23" s="181">
        <v>0</v>
      </c>
      <c r="H23" s="181">
        <v>0</v>
      </c>
      <c r="I23" s="181">
        <v>0</v>
      </c>
      <c r="J23" s="181">
        <v>0</v>
      </c>
      <c r="K23" s="181">
        <v>0</v>
      </c>
      <c r="L23" s="181">
        <v>1</v>
      </c>
      <c r="M23" s="181">
        <v>0</v>
      </c>
      <c r="N23" s="181">
        <v>1</v>
      </c>
      <c r="O23" s="162" t="str">
        <f t="shared" si="0"/>
        <v>4 OZ , 0 (0+0), +1 ±</v>
      </c>
      <c r="P23" s="5" t="str">
        <f t="shared" si="1"/>
        <v>ANO</v>
      </c>
    </row>
    <row r="24" spans="1:19" x14ac:dyDescent="0.25">
      <c r="A24" s="53">
        <v>23</v>
      </c>
      <c r="B24" s="4" t="s">
        <v>183</v>
      </c>
      <c r="C24" s="4"/>
      <c r="D24" s="5"/>
      <c r="E24" s="5">
        <v>6</v>
      </c>
      <c r="F24" s="5">
        <v>0</v>
      </c>
      <c r="G24" s="5">
        <v>0</v>
      </c>
      <c r="H24" s="5">
        <v>0</v>
      </c>
      <c r="I24" s="5">
        <v>0</v>
      </c>
      <c r="J24" s="5">
        <v>0</v>
      </c>
      <c r="K24" s="5">
        <v>0</v>
      </c>
      <c r="L24" s="5">
        <v>0</v>
      </c>
      <c r="M24" s="5">
        <v>0</v>
      </c>
      <c r="N24" s="5">
        <v>0</v>
      </c>
      <c r="O24" s="162" t="str">
        <f t="shared" si="0"/>
        <v>6 OZ , 0 (0+0), 0 ±</v>
      </c>
      <c r="P24" s="5" t="str">
        <f t="shared" si="1"/>
        <v>ANO</v>
      </c>
    </row>
    <row r="25" spans="1:19" x14ac:dyDescent="0.25">
      <c r="A25" s="53">
        <v>24</v>
      </c>
      <c r="B25" s="4" t="s">
        <v>185</v>
      </c>
      <c r="C25" s="4"/>
      <c r="D25" s="5" t="s">
        <v>35</v>
      </c>
      <c r="E25" s="5">
        <v>0</v>
      </c>
      <c r="F25" s="5">
        <v>0</v>
      </c>
      <c r="G25" s="5">
        <v>0</v>
      </c>
      <c r="H25" s="5">
        <v>0</v>
      </c>
      <c r="I25" s="5">
        <v>0</v>
      </c>
      <c r="J25" s="5">
        <v>0</v>
      </c>
      <c r="K25" s="5">
        <v>0</v>
      </c>
      <c r="L25" s="5">
        <v>0</v>
      </c>
      <c r="M25" s="5">
        <v>0</v>
      </c>
      <c r="N25" s="5">
        <v>0</v>
      </c>
      <c r="O25" s="162" t="str">
        <f t="shared" si="0"/>
        <v>0 OZ , 0 (0+0), 0 ±</v>
      </c>
      <c r="P25" s="5" t="str">
        <f t="shared" si="1"/>
        <v>ANO</v>
      </c>
    </row>
    <row r="26" spans="1:19" x14ac:dyDescent="0.25">
      <c r="A26" s="53">
        <v>25</v>
      </c>
      <c r="B26" s="4" t="s">
        <v>184</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9" x14ac:dyDescent="0.25">
      <c r="A27" s="53">
        <v>26</v>
      </c>
      <c r="B27" s="4" t="s">
        <v>186</v>
      </c>
      <c r="C27" s="4"/>
      <c r="D27" s="5" t="s">
        <v>52</v>
      </c>
      <c r="E27" s="5">
        <v>15</v>
      </c>
      <c r="F27" s="5">
        <v>0</v>
      </c>
      <c r="G27" s="5">
        <v>0</v>
      </c>
      <c r="H27" s="5">
        <v>0</v>
      </c>
      <c r="I27" s="5">
        <v>0</v>
      </c>
      <c r="J27" s="5">
        <v>0</v>
      </c>
      <c r="K27" s="5">
        <v>8</v>
      </c>
      <c r="L27" s="5">
        <v>15</v>
      </c>
      <c r="M27" s="5">
        <v>10</v>
      </c>
      <c r="N27" s="5">
        <v>5</v>
      </c>
      <c r="O27" s="162" t="str">
        <f t="shared" si="0"/>
        <v>15 OZ , 0 (0+0), +5 ±</v>
      </c>
      <c r="P27" s="5" t="str">
        <f t="shared" si="1"/>
        <v>ANO</v>
      </c>
    </row>
    <row r="28" spans="1:19" x14ac:dyDescent="0.25">
      <c r="A28" s="53">
        <v>27</v>
      </c>
      <c r="B28" s="4" t="s">
        <v>187</v>
      </c>
      <c r="C28" s="4"/>
      <c r="D28" s="5"/>
      <c r="E28" s="5">
        <v>0</v>
      </c>
      <c r="F28" s="5">
        <v>0</v>
      </c>
      <c r="G28" s="5">
        <v>0</v>
      </c>
      <c r="H28" s="5">
        <v>0</v>
      </c>
      <c r="I28" s="5">
        <v>0</v>
      </c>
      <c r="J28" s="5">
        <v>0</v>
      </c>
      <c r="K28" s="5">
        <v>0</v>
      </c>
      <c r="L28" s="5">
        <v>0</v>
      </c>
      <c r="M28" s="5">
        <v>0</v>
      </c>
      <c r="N28" s="5">
        <v>0</v>
      </c>
      <c r="O28" s="162" t="str">
        <f t="shared" si="0"/>
        <v>0 OZ , 0 (0+0), 0 ±</v>
      </c>
      <c r="P28" s="5" t="str">
        <f t="shared" si="1"/>
        <v>ANO</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c r="X38" s="110"/>
      <c r="Y38" s="110"/>
      <c r="Z38" s="110"/>
    </row>
    <row r="39" spans="1:27" x14ac:dyDescent="0.25">
      <c r="A39" s="54">
        <v>1</v>
      </c>
      <c r="B39" t="s">
        <v>184</v>
      </c>
      <c r="C39"/>
      <c r="D39" s="122">
        <v>8</v>
      </c>
      <c r="E39" s="122">
        <v>5</v>
      </c>
      <c r="F39" s="122">
        <v>296.58</v>
      </c>
      <c r="G39" s="122">
        <v>3</v>
      </c>
      <c r="H39" s="122">
        <v>24</v>
      </c>
      <c r="I39" s="122">
        <v>0</v>
      </c>
      <c r="J39" s="122">
        <v>136</v>
      </c>
      <c r="K39" s="122">
        <v>0</v>
      </c>
      <c r="L39" s="122">
        <v>2</v>
      </c>
      <c r="M39" s="122">
        <v>112</v>
      </c>
      <c r="N39" s="122">
        <v>0</v>
      </c>
      <c r="O39" s="122">
        <v>0</v>
      </c>
      <c r="P39" s="11">
        <f>IF(B39&lt;&gt;0,IFERROR(H39/(F39/60),0),"")</f>
        <v>4.8553510014161443</v>
      </c>
      <c r="Q39" s="11">
        <f>IF(B39&lt;&gt;0,IFERROR((M39/J39)*100,0),"")</f>
        <v>82.35294117647058</v>
      </c>
      <c r="R39" s="112" t="str">
        <f>IF(B39&lt;&gt;0,CONCATENATE(G39, " V, ",L39," P"),"")</f>
        <v>3 V, 2 P</v>
      </c>
    </row>
    <row r="40" spans="1:27" x14ac:dyDescent="0.25">
      <c r="A40" s="54">
        <v>2</v>
      </c>
      <c r="B40" t="s">
        <v>185</v>
      </c>
      <c r="C40"/>
      <c r="D40" s="122">
        <v>6</v>
      </c>
      <c r="E40" s="122">
        <v>6</v>
      </c>
      <c r="F40" s="122">
        <v>361.25</v>
      </c>
      <c r="G40" s="122">
        <v>3</v>
      </c>
      <c r="H40" s="122">
        <v>26</v>
      </c>
      <c r="I40" s="122">
        <v>0</v>
      </c>
      <c r="J40" s="122">
        <v>147</v>
      </c>
      <c r="K40" s="122">
        <v>0</v>
      </c>
      <c r="L40" s="122">
        <v>3</v>
      </c>
      <c r="M40" s="122">
        <v>121</v>
      </c>
      <c r="N40" s="122">
        <v>0</v>
      </c>
      <c r="O40" s="122">
        <v>0</v>
      </c>
      <c r="P40" s="11">
        <f t="shared" ref="P40:P45" si="2">IF(B40&lt;&gt;0,IFERROR(H40/(F40/60),0),"")</f>
        <v>4.3183391003460212</v>
      </c>
      <c r="Q40" s="11">
        <f t="shared" ref="Q40:Q45" si="3">IF(B40&lt;&gt;0,IFERROR((M40/J40)*100,0),"")</f>
        <v>82.312925170068027</v>
      </c>
      <c r="R40" s="112" t="str">
        <f t="shared" ref="R40:R45" si="4">IF(B40&lt;&gt;0,CONCATENATE(G40, " V, ",L40," P"),"")</f>
        <v>3 V, 3 P</v>
      </c>
    </row>
    <row r="41" spans="1:27" x14ac:dyDescent="0.25">
      <c r="A41" s="54">
        <v>3</v>
      </c>
      <c r="B41" t="s">
        <v>187</v>
      </c>
      <c r="C41"/>
      <c r="D41" s="122">
        <v>16</v>
      </c>
      <c r="E41" s="122">
        <v>5</v>
      </c>
      <c r="F41" s="122">
        <v>297.77</v>
      </c>
      <c r="G41" s="122">
        <v>4</v>
      </c>
      <c r="H41" s="122">
        <v>28</v>
      </c>
      <c r="I41" s="122">
        <v>0</v>
      </c>
      <c r="J41" s="122">
        <v>96</v>
      </c>
      <c r="K41" s="122">
        <v>0</v>
      </c>
      <c r="L41" s="122">
        <v>1</v>
      </c>
      <c r="M41" s="122">
        <v>68</v>
      </c>
      <c r="N41" s="122">
        <v>0</v>
      </c>
      <c r="O41" s="122">
        <v>0</v>
      </c>
      <c r="P41" s="11">
        <f t="shared" si="2"/>
        <v>5.641938408839037</v>
      </c>
      <c r="Q41" s="11">
        <f t="shared" si="3"/>
        <v>70.833333333333343</v>
      </c>
      <c r="R41" s="112" t="str">
        <f t="shared" si="4"/>
        <v>4 V, 1 P</v>
      </c>
    </row>
    <row r="42" spans="1:27" x14ac:dyDescent="0.25">
      <c r="A42" s="54">
        <v>4</v>
      </c>
      <c r="B42" t="s">
        <v>179</v>
      </c>
      <c r="C42"/>
      <c r="D42" s="122">
        <v>2</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5" t="s">
        <v>295</v>
      </c>
      <c r="Y46" s="345"/>
      <c r="Z46" s="345"/>
      <c r="AA46" s="345"/>
    </row>
    <row r="47" spans="1:27" s="2" customFormat="1" ht="15" customHeight="1" x14ac:dyDescent="0.25">
      <c r="A47" s="7">
        <f ca="1">TODAY()</f>
        <v>44214</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287</v>
      </c>
      <c r="V47" s="2" t="s">
        <v>288</v>
      </c>
      <c r="W47" s="2" t="s">
        <v>289</v>
      </c>
      <c r="X47" s="110" t="s">
        <v>294</v>
      </c>
      <c r="Y47" s="110" t="s">
        <v>292</v>
      </c>
      <c r="Z47" s="110" t="s">
        <v>293</v>
      </c>
      <c r="AA47" s="163" t="s">
        <v>554</v>
      </c>
    </row>
    <row r="48" spans="1:27" ht="15" customHeight="1" x14ac:dyDescent="0.25">
      <c r="B48" s="139" t="s">
        <v>178</v>
      </c>
      <c r="C48" s="138">
        <v>35401</v>
      </c>
      <c r="D48" s="112">
        <f ca="1">IF(C48 &lt;&gt; 0,ROUNDDOWN(($A$47-C48)/365.25,0),"")</f>
        <v>24</v>
      </c>
      <c r="E48" s="140">
        <v>146</v>
      </c>
      <c r="F48" s="140">
        <v>34</v>
      </c>
      <c r="G48" s="140">
        <v>21</v>
      </c>
      <c r="H48" s="112">
        <f>IF(B48&lt;&gt;0,F48+G48,"")</f>
        <v>55</v>
      </c>
      <c r="I48" s="140">
        <v>8</v>
      </c>
      <c r="J48" s="140">
        <v>12</v>
      </c>
      <c r="K48" s="140"/>
      <c r="L48" s="140" t="s">
        <v>79</v>
      </c>
      <c r="M48" s="140">
        <v>183</v>
      </c>
      <c r="N48" s="140">
        <v>88</v>
      </c>
      <c r="O48" s="119" t="str">
        <f>IF(B48&lt;&gt;0,CONCATENATE(E48+IFERROR(VLOOKUP(B48,$B$2:$N$36,4,FALSE),0) + X48, " OZ, ", H48+IFERROR(VLOOKUP(B48,$B$2:$N$36,9,FALSE),0) + Y48+Z48, " (", F48+IFERROR(VLOOKUP(B48,$B$2:$N$36,5,FALSE),0) + Y48, "+",G48+IFERROR(VLOOKUP(B48,$B$2:$N$36,8,FALSE),0) +  Z48, ")"), "")</f>
        <v>148 OZ, 55 (34+21)</v>
      </c>
      <c r="P48" s="112" t="str">
        <f>IF(M48&lt;&gt;0,CONCATENATE(M48,"/",N48),"")</f>
        <v>183/88</v>
      </c>
      <c r="Q48" s="141" t="s">
        <v>207</v>
      </c>
      <c r="R48" s="140">
        <v>2007</v>
      </c>
      <c r="S48" s="112" t="str">
        <f>IFERROR(CONCATENATE(E48+VLOOKUP(B48,$B$39:$R$42,4,FALSE), " OZ, ",G48+VLOOKUP(B48,$B$39:$R$42,13,FALSE), " A"),"")</f>
        <v/>
      </c>
      <c r="T48" s="1" t="str">
        <f>IF(B48&lt;&gt;0,IF(V48=1,U48,CONCATENATE(U48," ",W48,".")),"")</f>
        <v>Kašovský</v>
      </c>
      <c r="U48" s="1" t="str">
        <f>IFERROR(RIGHT(B48,LEN(B48)-SEARCH(" ", B48,1)),"")</f>
        <v>Kašovský</v>
      </c>
      <c r="V48" s="112">
        <f>IF(B48&lt;&gt;0,COUNTIF($U$48:$U$82,U48),"")</f>
        <v>1</v>
      </c>
      <c r="W48" s="112" t="str">
        <f>IFERROR(LEFT(LEFT(B48,SEARCH(" ",B48,1)),1),"")</f>
        <v>D</v>
      </c>
      <c r="X48" s="140"/>
      <c r="Y48" s="140"/>
      <c r="Z48" s="140"/>
      <c r="AA48" s="139"/>
    </row>
    <row r="49" spans="2:27" ht="15" customHeight="1" x14ac:dyDescent="0.25">
      <c r="B49" s="139" t="s">
        <v>170</v>
      </c>
      <c r="C49" s="138">
        <v>36733</v>
      </c>
      <c r="D49" s="112">
        <f t="shared" ref="D49:D82" ca="1" si="5">IF(C49 &lt;&gt; 0,ROUNDDOWN(($A$47-C49)/365.25,0),"")</f>
        <v>20</v>
      </c>
      <c r="E49" s="140">
        <v>20</v>
      </c>
      <c r="F49" s="140">
        <v>3</v>
      </c>
      <c r="G49" s="140">
        <v>4</v>
      </c>
      <c r="H49" s="112">
        <f t="shared" ref="H49:H82" si="6">IF(B49&lt;&gt;0,F49+G49,"")</f>
        <v>7</v>
      </c>
      <c r="I49" s="140">
        <v>3</v>
      </c>
      <c r="J49" s="140">
        <v>77</v>
      </c>
      <c r="K49" s="140"/>
      <c r="L49" s="140" t="s">
        <v>79</v>
      </c>
      <c r="M49" s="140">
        <v>183</v>
      </c>
      <c r="N49" s="140">
        <v>92</v>
      </c>
      <c r="O49" s="119" t="str">
        <f t="shared" ref="O49:O82" si="7">IF(B49&lt;&gt;0,CONCATENATE(E49+IFERROR(VLOOKUP(B49,$B$2:$N$36,4,FALSE),0) + X49, " OZ, ", H49+IFERROR(VLOOKUP(B49,$B$2:$N$36,9,FALSE),0) + Y49+Z49, " (", F49+IFERROR(VLOOKUP(B49,$B$2:$N$36,5,FALSE),0) + Y49, "+",G49+IFERROR(VLOOKUP(B49,$B$2:$N$36,8,FALSE),0) +  Z49, ")"), "")</f>
        <v>36 OZ, 13 (8+5)</v>
      </c>
      <c r="P49" s="112" t="str">
        <f t="shared" ref="P49:P82" si="8">IF(M49&lt;&gt;0,CONCATENATE(M49,"/",N49),"")</f>
        <v>183/92</v>
      </c>
      <c r="Q49" s="141" t="s">
        <v>218</v>
      </c>
      <c r="R49" s="140">
        <v>2007</v>
      </c>
      <c r="S49" s="112" t="str">
        <f t="shared" ref="S49:S82" si="9">IFERROR(CONCATENATE(E49+VLOOKUP(B49,$B$39:$R$42,4,FALSE), " OZ, ",G49+VLOOKUP(B49,$B$39:$R$42,13,FALSE), " A"),"")</f>
        <v/>
      </c>
      <c r="T49" s="1" t="str">
        <f t="shared" ref="T49:T82" si="10">IF(B49&lt;&gt;0,IF(V49=1,U49,CONCATENATE(U49," ",W49,".")),"")</f>
        <v>Eremiáš</v>
      </c>
      <c r="U49" s="1" t="str">
        <f t="shared" ref="U49:U82" si="11">IFERROR(RIGHT(B49,LEN(B49)-SEARCH(" ", B49,1)),"")</f>
        <v>Eremiáš</v>
      </c>
      <c r="V49" s="112">
        <f t="shared" ref="V49:V82" si="12">IF(B49&lt;&gt;0,COUNTIF($U$48:$U$82,U49),"")</f>
        <v>1</v>
      </c>
      <c r="W49" s="112" t="str">
        <f t="shared" ref="W49:W82" si="13">IFERROR(LEFT(LEFT(B49,SEARCH(" ",B49,1)),1),"")</f>
        <v>D</v>
      </c>
      <c r="X49" s="140"/>
      <c r="Y49" s="140"/>
      <c r="Z49" s="140"/>
      <c r="AA49" s="139"/>
    </row>
    <row r="50" spans="2:27" ht="15" customHeight="1" x14ac:dyDescent="0.25">
      <c r="B50" s="139" t="s">
        <v>171</v>
      </c>
      <c r="C50" s="138">
        <v>36184</v>
      </c>
      <c r="D50" s="112">
        <f t="shared" ca="1" si="5"/>
        <v>21</v>
      </c>
      <c r="E50" s="140">
        <v>78</v>
      </c>
      <c r="F50" s="140">
        <v>31</v>
      </c>
      <c r="G50" s="140">
        <v>11</v>
      </c>
      <c r="H50" s="112">
        <f t="shared" si="6"/>
        <v>42</v>
      </c>
      <c r="I50" s="140">
        <v>5</v>
      </c>
      <c r="J50" s="140">
        <v>4</v>
      </c>
      <c r="K50" s="140"/>
      <c r="L50" s="140" t="s">
        <v>79</v>
      </c>
      <c r="M50" s="140">
        <v>184</v>
      </c>
      <c r="N50" s="140">
        <v>78</v>
      </c>
      <c r="O50" s="119" t="str">
        <f t="shared" si="7"/>
        <v>90 OZ, 50 (35+15)</v>
      </c>
      <c r="P50" s="112" t="str">
        <f t="shared" si="8"/>
        <v>184/78</v>
      </c>
      <c r="Q50" s="141" t="s">
        <v>205</v>
      </c>
      <c r="R50" s="140">
        <v>2008</v>
      </c>
      <c r="S50" s="112" t="str">
        <f t="shared" si="9"/>
        <v/>
      </c>
      <c r="T50" s="1" t="str">
        <f t="shared" si="10"/>
        <v>Maxa</v>
      </c>
      <c r="U50" s="1" t="str">
        <f t="shared" si="11"/>
        <v>Maxa</v>
      </c>
      <c r="V50" s="112">
        <f t="shared" si="12"/>
        <v>1</v>
      </c>
      <c r="W50" s="112" t="str">
        <f t="shared" si="13"/>
        <v>D</v>
      </c>
      <c r="X50" s="140"/>
      <c r="Y50" s="140"/>
      <c r="Z50" s="140"/>
      <c r="AA50" s="139"/>
    </row>
    <row r="51" spans="2:27" ht="15" customHeight="1" x14ac:dyDescent="0.25">
      <c r="B51" s="139" t="s">
        <v>173</v>
      </c>
      <c r="C51" s="138">
        <v>37679</v>
      </c>
      <c r="D51" s="112">
        <f t="shared" ca="1" si="5"/>
        <v>17</v>
      </c>
      <c r="E51" s="140">
        <v>0</v>
      </c>
      <c r="F51" s="140">
        <v>0</v>
      </c>
      <c r="G51" s="140">
        <v>0</v>
      </c>
      <c r="H51" s="112">
        <f t="shared" si="6"/>
        <v>0</v>
      </c>
      <c r="I51" s="140">
        <v>1</v>
      </c>
      <c r="J51" s="140">
        <v>93</v>
      </c>
      <c r="K51" s="140"/>
      <c r="L51" s="140" t="s">
        <v>79</v>
      </c>
      <c r="M51" s="140">
        <v>175</v>
      </c>
      <c r="N51" s="140">
        <v>67</v>
      </c>
      <c r="O51" s="119" t="str">
        <f t="shared" si="7"/>
        <v>13 OZ, 4 (2+2)</v>
      </c>
      <c r="P51" s="112" t="str">
        <f t="shared" si="8"/>
        <v>175/67</v>
      </c>
      <c r="Q51" s="141" t="s">
        <v>210</v>
      </c>
      <c r="R51" s="140">
        <v>2010</v>
      </c>
      <c r="S51" s="112" t="str">
        <f t="shared" si="9"/>
        <v/>
      </c>
      <c r="T51" s="1" t="str">
        <f t="shared" si="10"/>
        <v>Horký</v>
      </c>
      <c r="U51" s="1" t="str">
        <f t="shared" si="11"/>
        <v>Horký</v>
      </c>
      <c r="V51" s="112">
        <f t="shared" si="12"/>
        <v>1</v>
      </c>
      <c r="W51" s="112" t="str">
        <f t="shared" si="13"/>
        <v>D</v>
      </c>
      <c r="X51" s="140"/>
      <c r="Y51" s="140"/>
      <c r="Z51" s="140"/>
      <c r="AA51" s="139"/>
    </row>
    <row r="52" spans="2:27" ht="15" customHeight="1" x14ac:dyDescent="0.25">
      <c r="B52" s="139" t="s">
        <v>180</v>
      </c>
      <c r="C52" s="138"/>
      <c r="D52" s="112" t="str">
        <f t="shared" si="5"/>
        <v/>
      </c>
      <c r="E52" s="140">
        <v>3</v>
      </c>
      <c r="F52" s="140">
        <v>0</v>
      </c>
      <c r="G52" s="140">
        <v>0</v>
      </c>
      <c r="H52" s="112">
        <f t="shared" si="6"/>
        <v>0</v>
      </c>
      <c r="I52" s="140"/>
      <c r="J52" s="140">
        <v>98</v>
      </c>
      <c r="K52" s="140"/>
      <c r="L52" s="140" t="s">
        <v>80</v>
      </c>
      <c r="M52" s="140"/>
      <c r="N52" s="140"/>
      <c r="O52" s="119" t="str">
        <f t="shared" si="7"/>
        <v>9 OZ, 1 (0+1)</v>
      </c>
      <c r="P52" s="112" t="str">
        <f t="shared" si="8"/>
        <v/>
      </c>
      <c r="Q52" s="141"/>
      <c r="R52" s="140"/>
      <c r="S52" s="112" t="str">
        <f t="shared" si="9"/>
        <v/>
      </c>
      <c r="T52" s="1" t="str">
        <f t="shared" si="10"/>
        <v>Pergler I.</v>
      </c>
      <c r="U52" s="1" t="str">
        <f t="shared" si="11"/>
        <v>Pergler</v>
      </c>
      <c r="V52" s="112">
        <f t="shared" si="12"/>
        <v>2</v>
      </c>
      <c r="W52" s="112" t="str">
        <f t="shared" si="13"/>
        <v>I</v>
      </c>
      <c r="X52" s="140"/>
      <c r="Y52" s="140"/>
      <c r="Z52" s="140"/>
      <c r="AA52" s="139"/>
    </row>
    <row r="53" spans="2:27" ht="15" customHeight="1" x14ac:dyDescent="0.25">
      <c r="B53" s="139" t="s">
        <v>183</v>
      </c>
      <c r="C53" s="138"/>
      <c r="D53" s="112" t="str">
        <f t="shared" si="5"/>
        <v/>
      </c>
      <c r="E53" s="140">
        <v>0</v>
      </c>
      <c r="F53" s="140">
        <v>0</v>
      </c>
      <c r="G53" s="140">
        <v>0</v>
      </c>
      <c r="H53" s="112">
        <f t="shared" si="6"/>
        <v>0</v>
      </c>
      <c r="I53" s="140">
        <v>1</v>
      </c>
      <c r="J53" s="140">
        <v>91</v>
      </c>
      <c r="K53" s="140"/>
      <c r="L53" s="140" t="s">
        <v>79</v>
      </c>
      <c r="M53" s="140">
        <v>183</v>
      </c>
      <c r="N53" s="140">
        <v>78</v>
      </c>
      <c r="O53" s="119" t="str">
        <f t="shared" si="7"/>
        <v>6 OZ, 0 (0+0)</v>
      </c>
      <c r="P53" s="112" t="str">
        <f t="shared" si="8"/>
        <v>183/78</v>
      </c>
      <c r="Q53" s="141"/>
      <c r="R53" s="140"/>
      <c r="S53" s="112" t="str">
        <f t="shared" si="9"/>
        <v/>
      </c>
      <c r="T53" s="1" t="str">
        <f t="shared" si="10"/>
        <v>Dufek</v>
      </c>
      <c r="U53" s="1" t="str">
        <f t="shared" si="11"/>
        <v>Dufek</v>
      </c>
      <c r="V53" s="112">
        <f t="shared" si="12"/>
        <v>1</v>
      </c>
      <c r="W53" s="112" t="str">
        <f t="shared" si="13"/>
        <v>J</v>
      </c>
      <c r="X53" s="140"/>
      <c r="Y53" s="140"/>
      <c r="Z53" s="140"/>
      <c r="AA53" s="139"/>
    </row>
    <row r="54" spans="2:27" ht="15" customHeight="1" x14ac:dyDescent="0.25">
      <c r="B54" s="139" t="s">
        <v>168</v>
      </c>
      <c r="C54" s="138">
        <v>33927</v>
      </c>
      <c r="D54" s="112">
        <f t="shared" ca="1" si="5"/>
        <v>28</v>
      </c>
      <c r="E54" s="140">
        <v>182</v>
      </c>
      <c r="F54" s="140">
        <v>82</v>
      </c>
      <c r="G54" s="140">
        <v>72</v>
      </c>
      <c r="H54" s="112">
        <f t="shared" si="6"/>
        <v>154</v>
      </c>
      <c r="I54" s="140">
        <v>10</v>
      </c>
      <c r="J54" s="140">
        <v>65</v>
      </c>
      <c r="K54" s="140"/>
      <c r="L54" s="140" t="s">
        <v>41</v>
      </c>
      <c r="M54" s="140">
        <v>195</v>
      </c>
      <c r="N54" s="140">
        <v>86</v>
      </c>
      <c r="O54" s="119" t="str">
        <f t="shared" si="7"/>
        <v>198 OZ, 165 (86+79)</v>
      </c>
      <c r="P54" s="112" t="str">
        <f t="shared" si="8"/>
        <v>195/86</v>
      </c>
      <c r="Q54" s="141" t="s">
        <v>209</v>
      </c>
      <c r="R54" s="140">
        <v>2002</v>
      </c>
      <c r="S54" s="112" t="str">
        <f t="shared" si="9"/>
        <v/>
      </c>
      <c r="T54" s="1" t="str">
        <f t="shared" si="10"/>
        <v>Bauer</v>
      </c>
      <c r="U54" s="1" t="str">
        <f t="shared" si="11"/>
        <v>Bauer</v>
      </c>
      <c r="V54" s="112">
        <f t="shared" si="12"/>
        <v>1</v>
      </c>
      <c r="W54" s="112" t="str">
        <f t="shared" si="13"/>
        <v>J</v>
      </c>
      <c r="X54" s="140"/>
      <c r="Y54" s="140"/>
      <c r="Z54" s="140"/>
      <c r="AA54" s="139"/>
    </row>
    <row r="55" spans="2:27" ht="15" customHeight="1" x14ac:dyDescent="0.25">
      <c r="B55" s="139" t="s">
        <v>167</v>
      </c>
      <c r="C55" s="138">
        <v>33793</v>
      </c>
      <c r="D55" s="112">
        <f t="shared" ca="1" si="5"/>
        <v>28</v>
      </c>
      <c r="E55" s="140">
        <v>184</v>
      </c>
      <c r="F55" s="140">
        <v>116</v>
      </c>
      <c r="G55" s="140">
        <v>82</v>
      </c>
      <c r="H55" s="112">
        <f t="shared" si="6"/>
        <v>198</v>
      </c>
      <c r="I55" s="140">
        <v>11</v>
      </c>
      <c r="J55" s="140">
        <v>87</v>
      </c>
      <c r="K55" s="140"/>
      <c r="L55" s="140" t="s">
        <v>79</v>
      </c>
      <c r="M55" s="140">
        <v>176</v>
      </c>
      <c r="N55" s="140">
        <v>73</v>
      </c>
      <c r="O55" s="119" t="str">
        <f t="shared" si="7"/>
        <v>200 OZ, 210 (121+89)</v>
      </c>
      <c r="P55" s="112" t="str">
        <f t="shared" si="8"/>
        <v>176/73</v>
      </c>
      <c r="Q55" s="141" t="s">
        <v>27</v>
      </c>
      <c r="R55" s="140">
        <v>2004</v>
      </c>
      <c r="S55" s="112" t="str">
        <f t="shared" si="9"/>
        <v/>
      </c>
      <c r="T55" s="1" t="str">
        <f t="shared" si="10"/>
        <v>Koutný J.</v>
      </c>
      <c r="U55" s="1" t="str">
        <f t="shared" si="11"/>
        <v>Koutný</v>
      </c>
      <c r="V55" s="112">
        <f t="shared" si="12"/>
        <v>2</v>
      </c>
      <c r="W55" s="112" t="str">
        <f t="shared" si="13"/>
        <v>J</v>
      </c>
      <c r="X55" s="140"/>
      <c r="Y55" s="140"/>
      <c r="Z55" s="140"/>
      <c r="AA55" s="139"/>
    </row>
    <row r="56" spans="2:27" ht="15" customHeight="1" x14ac:dyDescent="0.25">
      <c r="B56" s="139" t="s">
        <v>182</v>
      </c>
      <c r="C56" s="138">
        <v>36770</v>
      </c>
      <c r="D56" s="112">
        <f t="shared" ca="1" si="5"/>
        <v>20</v>
      </c>
      <c r="E56" s="140">
        <v>6</v>
      </c>
      <c r="F56" s="140">
        <v>0</v>
      </c>
      <c r="G56" s="140">
        <v>0</v>
      </c>
      <c r="H56" s="112">
        <f t="shared" si="6"/>
        <v>0</v>
      </c>
      <c r="I56" s="140">
        <v>3</v>
      </c>
      <c r="J56" s="140">
        <v>88</v>
      </c>
      <c r="K56" s="140"/>
      <c r="L56" s="140" t="s">
        <v>79</v>
      </c>
      <c r="M56" s="140">
        <v>177</v>
      </c>
      <c r="N56" s="140">
        <v>75</v>
      </c>
      <c r="O56" s="119" t="str">
        <f t="shared" si="7"/>
        <v>10 OZ, 0 (0+0)</v>
      </c>
      <c r="P56" s="112" t="str">
        <f t="shared" si="8"/>
        <v>177/75</v>
      </c>
      <c r="Q56" s="141" t="s">
        <v>219</v>
      </c>
      <c r="R56" s="140">
        <v>2009</v>
      </c>
      <c r="S56" s="112" t="str">
        <f t="shared" si="9"/>
        <v/>
      </c>
      <c r="T56" s="1" t="str">
        <f t="shared" si="10"/>
        <v>Lebeda</v>
      </c>
      <c r="U56" s="1" t="str">
        <f t="shared" si="11"/>
        <v>Lebeda</v>
      </c>
      <c r="V56" s="112">
        <f t="shared" si="12"/>
        <v>1</v>
      </c>
      <c r="W56" s="112" t="str">
        <f t="shared" si="13"/>
        <v>J</v>
      </c>
      <c r="X56" s="140"/>
      <c r="Y56" s="140"/>
      <c r="Z56" s="140"/>
      <c r="AA56" s="139"/>
    </row>
    <row r="57" spans="2:27" ht="15" customHeight="1" x14ac:dyDescent="0.25">
      <c r="B57" s="139" t="s">
        <v>184</v>
      </c>
      <c r="C57" s="138">
        <v>37727</v>
      </c>
      <c r="D57" s="112">
        <f t="shared" ca="1" si="5"/>
        <v>17</v>
      </c>
      <c r="E57" s="140">
        <v>0</v>
      </c>
      <c r="F57" s="140">
        <v>0</v>
      </c>
      <c r="G57" s="140">
        <v>0</v>
      </c>
      <c r="H57" s="112">
        <f t="shared" si="6"/>
        <v>0</v>
      </c>
      <c r="I57" s="140">
        <v>1</v>
      </c>
      <c r="J57" s="140">
        <v>30</v>
      </c>
      <c r="K57" s="140"/>
      <c r="L57" s="140" t="s">
        <v>30</v>
      </c>
      <c r="M57" s="140">
        <v>198</v>
      </c>
      <c r="N57" s="140">
        <v>98</v>
      </c>
      <c r="O57" s="119" t="str">
        <f t="shared" si="7"/>
        <v>0 OZ, 0 (0+0)</v>
      </c>
      <c r="P57" s="112" t="str">
        <f t="shared" si="8"/>
        <v>198/98</v>
      </c>
      <c r="Q57" s="141" t="s">
        <v>203</v>
      </c>
      <c r="R57" s="140">
        <v>2009</v>
      </c>
      <c r="S57" s="112" t="str">
        <f t="shared" si="9"/>
        <v>5 OZ, 0 A</v>
      </c>
      <c r="T57" s="1" t="str">
        <f t="shared" si="10"/>
        <v>Hodík</v>
      </c>
      <c r="U57" s="1" t="str">
        <f t="shared" si="11"/>
        <v>Hodík</v>
      </c>
      <c r="V57" s="112">
        <f t="shared" si="12"/>
        <v>1</v>
      </c>
      <c r="W57" s="112" t="str">
        <f t="shared" si="13"/>
        <v>K</v>
      </c>
      <c r="X57" s="140"/>
      <c r="Y57" s="140"/>
      <c r="Z57" s="140"/>
      <c r="AA57" s="139"/>
    </row>
    <row r="58" spans="2:27" ht="15" customHeight="1" x14ac:dyDescent="0.25">
      <c r="B58" s="139" t="s">
        <v>179</v>
      </c>
      <c r="C58" s="138"/>
      <c r="D58" s="112" t="str">
        <f t="shared" si="5"/>
        <v/>
      </c>
      <c r="E58" s="140"/>
      <c r="F58" s="140"/>
      <c r="G58" s="140"/>
      <c r="H58" s="112">
        <f t="shared" si="6"/>
        <v>0</v>
      </c>
      <c r="I58" s="140"/>
      <c r="J58" s="140"/>
      <c r="K58" s="140"/>
      <c r="L58" s="140" t="s">
        <v>30</v>
      </c>
      <c r="M58" s="140"/>
      <c r="N58" s="140"/>
      <c r="O58" s="119" t="str">
        <f t="shared" si="7"/>
        <v>0 OZ, 0 (0+0)</v>
      </c>
      <c r="P58" s="112" t="str">
        <f t="shared" si="8"/>
        <v/>
      </c>
      <c r="Q58" s="141"/>
      <c r="R58" s="140"/>
      <c r="S58" s="112" t="str">
        <f t="shared" si="9"/>
        <v>0 OZ, 0 A</v>
      </c>
      <c r="T58" s="1" t="str">
        <f t="shared" si="10"/>
        <v>Pergler K.</v>
      </c>
      <c r="U58" s="1" t="str">
        <f t="shared" si="11"/>
        <v>Pergler</v>
      </c>
      <c r="V58" s="112">
        <f t="shared" si="12"/>
        <v>2</v>
      </c>
      <c r="W58" s="112" t="str">
        <f t="shared" si="13"/>
        <v>K</v>
      </c>
      <c r="X58" s="140"/>
      <c r="Y58" s="140"/>
      <c r="Z58" s="140"/>
      <c r="AA58" s="139"/>
    </row>
    <row r="59" spans="2:27" ht="15" customHeight="1" x14ac:dyDescent="0.25">
      <c r="B59" s="142" t="s">
        <v>161</v>
      </c>
      <c r="C59" s="138">
        <v>34094</v>
      </c>
      <c r="D59" s="112">
        <f t="shared" ca="1" si="5"/>
        <v>27</v>
      </c>
      <c r="E59" s="140">
        <v>204</v>
      </c>
      <c r="F59" s="140">
        <v>235</v>
      </c>
      <c r="G59" s="140">
        <v>164</v>
      </c>
      <c r="H59" s="112">
        <f t="shared" si="6"/>
        <v>399</v>
      </c>
      <c r="I59" s="140">
        <v>11</v>
      </c>
      <c r="J59" s="140">
        <v>21</v>
      </c>
      <c r="K59" s="140"/>
      <c r="L59" s="140" t="s">
        <v>79</v>
      </c>
      <c r="M59" s="140">
        <v>178</v>
      </c>
      <c r="N59" s="140">
        <v>72</v>
      </c>
      <c r="O59" s="119" t="str">
        <f t="shared" si="7"/>
        <v>220 OZ, 431 (255+176)</v>
      </c>
      <c r="P59" s="112" t="str">
        <f t="shared" si="8"/>
        <v>178/72</v>
      </c>
      <c r="Q59" s="141" t="s">
        <v>206</v>
      </c>
      <c r="R59" s="140">
        <v>2000</v>
      </c>
      <c r="S59" s="112" t="str">
        <f t="shared" si="9"/>
        <v/>
      </c>
      <c r="T59" s="1" t="str">
        <f t="shared" si="10"/>
        <v>Vávra M.</v>
      </c>
      <c r="U59" s="1" t="str">
        <f t="shared" si="11"/>
        <v>Vávra</v>
      </c>
      <c r="V59" s="112">
        <f t="shared" si="12"/>
        <v>2</v>
      </c>
      <c r="W59" s="112" t="str">
        <f t="shared" si="13"/>
        <v>M</v>
      </c>
      <c r="X59" s="140"/>
      <c r="Y59" s="140"/>
      <c r="Z59" s="140"/>
      <c r="AA59" s="139"/>
    </row>
    <row r="60" spans="2:27" ht="15" customHeight="1" x14ac:dyDescent="0.25">
      <c r="B60" s="139" t="s">
        <v>175</v>
      </c>
      <c r="C60" s="138">
        <v>31507</v>
      </c>
      <c r="D60" s="112">
        <f t="shared" ca="1" si="5"/>
        <v>34</v>
      </c>
      <c r="E60" s="140">
        <v>253</v>
      </c>
      <c r="F60" s="140">
        <v>177</v>
      </c>
      <c r="G60" s="140">
        <v>132</v>
      </c>
      <c r="H60" s="112">
        <f t="shared" si="6"/>
        <v>309</v>
      </c>
      <c r="I60" s="140">
        <v>15</v>
      </c>
      <c r="J60" s="140">
        <v>32</v>
      </c>
      <c r="K60" s="140" t="s">
        <v>223</v>
      </c>
      <c r="L60" s="140" t="s">
        <v>79</v>
      </c>
      <c r="M60" s="140">
        <v>186</v>
      </c>
      <c r="N60" s="140">
        <v>84</v>
      </c>
      <c r="O60" s="119" t="str">
        <f t="shared" si="7"/>
        <v>267 OZ, 312 (178+134)</v>
      </c>
      <c r="P60" s="112" t="str">
        <f t="shared" si="8"/>
        <v>186/84</v>
      </c>
      <c r="Q60" s="141" t="s">
        <v>217</v>
      </c>
      <c r="R60" s="140">
        <v>2000</v>
      </c>
      <c r="S60" s="112" t="str">
        <f t="shared" si="9"/>
        <v/>
      </c>
      <c r="T60" s="1" t="str">
        <f t="shared" si="10"/>
        <v>Koutný M.</v>
      </c>
      <c r="U60" s="1" t="str">
        <f t="shared" si="11"/>
        <v>Koutný</v>
      </c>
      <c r="V60" s="112">
        <f t="shared" si="12"/>
        <v>2</v>
      </c>
      <c r="W60" s="112" t="str">
        <f t="shared" si="13"/>
        <v>M</v>
      </c>
      <c r="X60" s="140"/>
      <c r="Y60" s="140"/>
      <c r="Z60" s="140"/>
      <c r="AA60" s="139"/>
    </row>
    <row r="61" spans="2:27" ht="15" customHeight="1" x14ac:dyDescent="0.25">
      <c r="B61" s="139" t="s">
        <v>172</v>
      </c>
      <c r="C61" s="138">
        <v>36539</v>
      </c>
      <c r="D61" s="112">
        <f t="shared" ca="1" si="5"/>
        <v>21</v>
      </c>
      <c r="E61" s="140">
        <v>69</v>
      </c>
      <c r="F61" s="140">
        <v>23</v>
      </c>
      <c r="G61" s="140">
        <v>20</v>
      </c>
      <c r="H61" s="112">
        <f t="shared" si="6"/>
        <v>43</v>
      </c>
      <c r="I61" s="140">
        <v>4</v>
      </c>
      <c r="J61" s="140">
        <v>27</v>
      </c>
      <c r="K61" s="140"/>
      <c r="L61" s="140" t="s">
        <v>41</v>
      </c>
      <c r="M61" s="140">
        <v>186</v>
      </c>
      <c r="N61" s="140">
        <v>90</v>
      </c>
      <c r="O61" s="119" t="str">
        <f t="shared" si="7"/>
        <v>84 OZ, 48 (25+23)</v>
      </c>
      <c r="P61" s="112" t="str">
        <f t="shared" si="8"/>
        <v>186/90</v>
      </c>
      <c r="Q61" s="141" t="s">
        <v>212</v>
      </c>
      <c r="R61" s="140">
        <v>2007</v>
      </c>
      <c r="S61" s="112" t="str">
        <f t="shared" si="9"/>
        <v/>
      </c>
      <c r="T61" s="1" t="str">
        <f t="shared" si="10"/>
        <v>Řezáč</v>
      </c>
      <c r="U61" s="1" t="str">
        <f t="shared" si="11"/>
        <v>Řezáč</v>
      </c>
      <c r="V61" s="112">
        <f t="shared" si="12"/>
        <v>1</v>
      </c>
      <c r="W61" s="112" t="str">
        <f t="shared" si="13"/>
        <v>M</v>
      </c>
      <c r="X61" s="140"/>
      <c r="Y61" s="140"/>
      <c r="Z61" s="140"/>
      <c r="AA61" s="139"/>
    </row>
    <row r="62" spans="2:27" ht="15" customHeight="1" x14ac:dyDescent="0.25">
      <c r="B62" s="139" t="s">
        <v>166</v>
      </c>
      <c r="C62" s="138">
        <v>33065</v>
      </c>
      <c r="D62" s="112">
        <f t="shared" ca="1" si="5"/>
        <v>30</v>
      </c>
      <c r="E62" s="140">
        <v>198</v>
      </c>
      <c r="F62" s="140">
        <v>40</v>
      </c>
      <c r="G62" s="140">
        <v>99</v>
      </c>
      <c r="H62" s="112">
        <f t="shared" si="6"/>
        <v>139</v>
      </c>
      <c r="I62" s="140">
        <v>11</v>
      </c>
      <c r="J62" s="140">
        <v>95</v>
      </c>
      <c r="K62" s="140"/>
      <c r="L62" s="140" t="s">
        <v>41</v>
      </c>
      <c r="M62" s="140">
        <v>173</v>
      </c>
      <c r="N62" s="140">
        <v>82</v>
      </c>
      <c r="O62" s="119" t="str">
        <f t="shared" si="7"/>
        <v>214 OZ, 150 (44+106)</v>
      </c>
      <c r="P62" s="112" t="str">
        <f t="shared" si="8"/>
        <v>173/82</v>
      </c>
      <c r="Q62" s="141" t="s">
        <v>211</v>
      </c>
      <c r="R62" s="140">
        <v>1998</v>
      </c>
      <c r="S62" s="112" t="str">
        <f t="shared" si="9"/>
        <v/>
      </c>
      <c r="T62" s="1" t="str">
        <f t="shared" si="10"/>
        <v>Podhráský</v>
      </c>
      <c r="U62" s="1" t="str">
        <f t="shared" si="11"/>
        <v>Podhráský</v>
      </c>
      <c r="V62" s="112">
        <f t="shared" si="12"/>
        <v>1</v>
      </c>
      <c r="W62" s="112" t="str">
        <f t="shared" si="13"/>
        <v>M</v>
      </c>
      <c r="X62" s="140"/>
      <c r="Y62" s="140"/>
      <c r="Z62" s="140"/>
      <c r="AA62" s="139"/>
    </row>
    <row r="63" spans="2:27" ht="15" customHeight="1" x14ac:dyDescent="0.25">
      <c r="B63" s="139" t="s">
        <v>185</v>
      </c>
      <c r="C63" s="138">
        <v>31821</v>
      </c>
      <c r="D63" s="112">
        <f t="shared" ca="1" si="5"/>
        <v>33</v>
      </c>
      <c r="E63" s="140">
        <v>202</v>
      </c>
      <c r="F63" s="140">
        <v>0</v>
      </c>
      <c r="G63" s="140">
        <v>2</v>
      </c>
      <c r="H63" s="112">
        <f t="shared" si="6"/>
        <v>2</v>
      </c>
      <c r="I63" s="140">
        <v>15</v>
      </c>
      <c r="J63" s="140">
        <v>97</v>
      </c>
      <c r="K63" s="140"/>
      <c r="L63" s="140" t="s">
        <v>30</v>
      </c>
      <c r="M63" s="140">
        <v>183</v>
      </c>
      <c r="N63" s="140">
        <v>97</v>
      </c>
      <c r="O63" s="119" t="str">
        <f t="shared" si="7"/>
        <v>202 OZ, 2 (0+2)</v>
      </c>
      <c r="P63" s="112" t="str">
        <f t="shared" si="8"/>
        <v>183/97</v>
      </c>
      <c r="Q63" s="141" t="s">
        <v>211</v>
      </c>
      <c r="R63" s="140">
        <v>1997</v>
      </c>
      <c r="S63" s="112" t="str">
        <f t="shared" si="9"/>
        <v>208 OZ, 2 A</v>
      </c>
      <c r="T63" s="1" t="str">
        <f t="shared" si="10"/>
        <v>Rebro</v>
      </c>
      <c r="U63" s="1" t="str">
        <f t="shared" si="11"/>
        <v>Rebro</v>
      </c>
      <c r="V63" s="112">
        <f t="shared" si="12"/>
        <v>1</v>
      </c>
      <c r="W63" s="112" t="str">
        <f t="shared" si="13"/>
        <v>M</v>
      </c>
      <c r="X63" s="140"/>
      <c r="Y63" s="140"/>
      <c r="Z63" s="140"/>
      <c r="AA63" s="139"/>
    </row>
    <row r="64" spans="2:27" ht="15" customHeight="1" x14ac:dyDescent="0.25">
      <c r="B64" s="139" t="s">
        <v>174</v>
      </c>
      <c r="C64" s="138">
        <v>36548</v>
      </c>
      <c r="D64" s="112">
        <f t="shared" ca="1" si="5"/>
        <v>20</v>
      </c>
      <c r="E64" s="140">
        <v>66</v>
      </c>
      <c r="F64" s="140">
        <v>2</v>
      </c>
      <c r="G64" s="140">
        <v>0</v>
      </c>
      <c r="H64" s="112">
        <f t="shared" si="6"/>
        <v>2</v>
      </c>
      <c r="I64" s="140">
        <v>4</v>
      </c>
      <c r="J64" s="140">
        <v>99</v>
      </c>
      <c r="K64" s="140"/>
      <c r="L64" s="140" t="s">
        <v>79</v>
      </c>
      <c r="M64" s="140">
        <v>182</v>
      </c>
      <c r="N64" s="140">
        <v>75</v>
      </c>
      <c r="O64" s="119" t="str">
        <f t="shared" si="7"/>
        <v>82 OZ, 6 (4+2)</v>
      </c>
      <c r="P64" s="112" t="str">
        <f t="shared" si="8"/>
        <v>182/75</v>
      </c>
      <c r="Q64" s="141" t="s">
        <v>212</v>
      </c>
      <c r="R64" s="140">
        <v>2007</v>
      </c>
      <c r="S64" s="112" t="str">
        <f t="shared" si="9"/>
        <v/>
      </c>
      <c r="T64" s="1" t="str">
        <f t="shared" si="10"/>
        <v>Strnad</v>
      </c>
      <c r="U64" s="1" t="str">
        <f t="shared" si="11"/>
        <v>Strnad</v>
      </c>
      <c r="V64" s="112">
        <f t="shared" si="12"/>
        <v>1</v>
      </c>
      <c r="W64" s="112" t="str">
        <f t="shared" si="13"/>
        <v>M</v>
      </c>
      <c r="X64" s="140"/>
      <c r="Y64" s="140"/>
      <c r="Z64" s="140"/>
      <c r="AA64" s="139"/>
    </row>
    <row r="65" spans="2:27" ht="15" customHeight="1" x14ac:dyDescent="0.25">
      <c r="B65" s="142" t="s">
        <v>163</v>
      </c>
      <c r="C65" s="138">
        <v>32867</v>
      </c>
      <c r="D65" s="112">
        <f t="shared" ca="1" si="5"/>
        <v>31</v>
      </c>
      <c r="E65" s="140">
        <v>208</v>
      </c>
      <c r="F65" s="140">
        <v>125</v>
      </c>
      <c r="G65" s="140">
        <v>127</v>
      </c>
      <c r="H65" s="112">
        <f t="shared" si="6"/>
        <v>252</v>
      </c>
      <c r="I65" s="140">
        <v>12</v>
      </c>
      <c r="J65" s="140">
        <v>9</v>
      </c>
      <c r="K65" s="140"/>
      <c r="L65" s="140" t="s">
        <v>79</v>
      </c>
      <c r="M65" s="140">
        <v>182</v>
      </c>
      <c r="N65" s="140">
        <v>82</v>
      </c>
      <c r="O65" s="119" t="str">
        <f t="shared" si="7"/>
        <v>223 OZ, 273 (138+135)</v>
      </c>
      <c r="P65" s="112" t="str">
        <f t="shared" si="8"/>
        <v>182/82</v>
      </c>
      <c r="Q65" s="141" t="s">
        <v>213</v>
      </c>
      <c r="R65" s="140">
        <v>2004</v>
      </c>
      <c r="S65" s="112" t="str">
        <f t="shared" si="9"/>
        <v/>
      </c>
      <c r="T65" s="1" t="str">
        <f t="shared" si="10"/>
        <v>Mikeš</v>
      </c>
      <c r="U65" s="1" t="str">
        <f t="shared" si="11"/>
        <v>Mikeš</v>
      </c>
      <c r="V65" s="112">
        <f t="shared" si="12"/>
        <v>1</v>
      </c>
      <c r="W65" s="112" t="str">
        <f t="shared" si="13"/>
        <v>O</v>
      </c>
      <c r="X65" s="140"/>
      <c r="Y65" s="140"/>
      <c r="Z65" s="140"/>
      <c r="AA65" s="139"/>
    </row>
    <row r="66" spans="2:27" ht="15" customHeight="1" x14ac:dyDescent="0.25">
      <c r="B66" s="139" t="s">
        <v>177</v>
      </c>
      <c r="C66" s="138">
        <v>35462</v>
      </c>
      <c r="D66" s="112">
        <f t="shared" ca="1" si="5"/>
        <v>23</v>
      </c>
      <c r="E66" s="140">
        <v>92</v>
      </c>
      <c r="F66" s="140">
        <v>29</v>
      </c>
      <c r="G66" s="140">
        <v>17</v>
      </c>
      <c r="H66" s="112">
        <f t="shared" si="6"/>
        <v>46</v>
      </c>
      <c r="I66" s="140">
        <v>7</v>
      </c>
      <c r="J66" s="140">
        <v>10</v>
      </c>
      <c r="K66" s="140"/>
      <c r="L66" s="140" t="s">
        <v>79</v>
      </c>
      <c r="M66" s="140">
        <v>172</v>
      </c>
      <c r="N66" s="140">
        <v>73</v>
      </c>
      <c r="O66" s="119" t="str">
        <f t="shared" si="7"/>
        <v>107 OZ, 48 (30+18)</v>
      </c>
      <c r="P66" s="112" t="str">
        <f t="shared" si="8"/>
        <v>172/73</v>
      </c>
      <c r="Q66" s="141" t="s">
        <v>214</v>
      </c>
      <c r="R66" s="140">
        <v>2006</v>
      </c>
      <c r="S66" s="112" t="str">
        <f t="shared" si="9"/>
        <v/>
      </c>
      <c r="T66" s="1" t="str">
        <f t="shared" si="10"/>
        <v>Plíhal</v>
      </c>
      <c r="U66" s="1" t="str">
        <f t="shared" si="11"/>
        <v>Plíhal</v>
      </c>
      <c r="V66" s="112">
        <f t="shared" si="12"/>
        <v>1</v>
      </c>
      <c r="W66" s="112" t="str">
        <f t="shared" si="13"/>
        <v>O</v>
      </c>
      <c r="X66" s="140"/>
      <c r="Y66" s="140"/>
      <c r="Z66" s="140"/>
      <c r="AA66" s="139"/>
    </row>
    <row r="67" spans="2:27" ht="15" customHeight="1" x14ac:dyDescent="0.25">
      <c r="B67" s="139" t="s">
        <v>169</v>
      </c>
      <c r="C67" s="138">
        <v>35445</v>
      </c>
      <c r="D67" s="112">
        <f t="shared" ca="1" si="5"/>
        <v>24</v>
      </c>
      <c r="E67" s="140">
        <v>80</v>
      </c>
      <c r="F67" s="140">
        <v>26</v>
      </c>
      <c r="G67" s="140">
        <v>21</v>
      </c>
      <c r="H67" s="112">
        <f t="shared" si="6"/>
        <v>47</v>
      </c>
      <c r="I67" s="140">
        <v>6</v>
      </c>
      <c r="J67" s="140">
        <v>14</v>
      </c>
      <c r="K67" s="140"/>
      <c r="L67" s="140" t="s">
        <v>79</v>
      </c>
      <c r="M67" s="140">
        <v>184</v>
      </c>
      <c r="N67" s="140">
        <v>78</v>
      </c>
      <c r="O67" s="119" t="str">
        <f t="shared" si="7"/>
        <v>96 OZ, 55 (31+24)</v>
      </c>
      <c r="P67" s="112" t="str">
        <f t="shared" si="8"/>
        <v>184/78</v>
      </c>
      <c r="Q67" s="141" t="s">
        <v>215</v>
      </c>
      <c r="R67" s="140">
        <v>2009</v>
      </c>
      <c r="S67" s="112" t="str">
        <f t="shared" si="9"/>
        <v/>
      </c>
      <c r="T67" s="1" t="str">
        <f t="shared" si="10"/>
        <v>Vošta</v>
      </c>
      <c r="U67" s="1" t="str">
        <f t="shared" si="11"/>
        <v>Vošta</v>
      </c>
      <c r="V67" s="112">
        <f t="shared" si="12"/>
        <v>1</v>
      </c>
      <c r="W67" s="112" t="str">
        <f t="shared" si="13"/>
        <v>O</v>
      </c>
      <c r="X67" s="140"/>
      <c r="Y67" s="140"/>
      <c r="Z67" s="140"/>
      <c r="AA67" s="139"/>
    </row>
    <row r="68" spans="2:27" ht="15" customHeight="1" x14ac:dyDescent="0.25">
      <c r="B68" s="142" t="s">
        <v>164</v>
      </c>
      <c r="C68" s="138">
        <v>37610</v>
      </c>
      <c r="D68" s="112">
        <f t="shared" ca="1" si="5"/>
        <v>18</v>
      </c>
      <c r="E68" s="140">
        <v>15</v>
      </c>
      <c r="F68" s="140">
        <v>7</v>
      </c>
      <c r="G68" s="140">
        <v>8</v>
      </c>
      <c r="H68" s="112">
        <f t="shared" si="6"/>
        <v>15</v>
      </c>
      <c r="I68" s="140">
        <v>2</v>
      </c>
      <c r="J68" s="140">
        <v>84</v>
      </c>
      <c r="K68" s="140"/>
      <c r="L68" s="140" t="s">
        <v>41</v>
      </c>
      <c r="M68" s="140">
        <v>183</v>
      </c>
      <c r="N68" s="140">
        <v>72</v>
      </c>
      <c r="O68" s="119" t="str">
        <f t="shared" si="7"/>
        <v>30 OZ, 36 (22+14)</v>
      </c>
      <c r="P68" s="112" t="str">
        <f t="shared" si="8"/>
        <v>183/72</v>
      </c>
      <c r="Q68" s="141" t="s">
        <v>215</v>
      </c>
      <c r="R68" s="140">
        <v>2009</v>
      </c>
      <c r="S68" s="112" t="str">
        <f t="shared" si="9"/>
        <v/>
      </c>
      <c r="T68" s="1" t="str">
        <f t="shared" si="10"/>
        <v>Majer</v>
      </c>
      <c r="U68" s="1" t="str">
        <f t="shared" si="11"/>
        <v>Majer</v>
      </c>
      <c r="V68" s="112">
        <f t="shared" si="12"/>
        <v>1</v>
      </c>
      <c r="W68" s="112" t="str">
        <f t="shared" si="13"/>
        <v>P</v>
      </c>
      <c r="X68" s="140"/>
      <c r="Y68" s="140"/>
      <c r="Z68" s="140"/>
      <c r="AA68" s="139"/>
    </row>
    <row r="69" spans="2:27" ht="15" customHeight="1" x14ac:dyDescent="0.25">
      <c r="B69" s="139" t="s">
        <v>181</v>
      </c>
      <c r="C69" s="138"/>
      <c r="D69" s="112" t="str">
        <f t="shared" si="5"/>
        <v/>
      </c>
      <c r="E69" s="140"/>
      <c r="F69" s="140"/>
      <c r="G69" s="140"/>
      <c r="H69" s="112">
        <f t="shared" si="6"/>
        <v>0</v>
      </c>
      <c r="I69" s="140"/>
      <c r="J69" s="140"/>
      <c r="K69" s="140"/>
      <c r="L69" s="140"/>
      <c r="M69" s="140"/>
      <c r="N69" s="140"/>
      <c r="O69" s="119" t="str">
        <f t="shared" si="7"/>
        <v>2 OZ, 0 (0+0)</v>
      </c>
      <c r="P69" s="112" t="str">
        <f t="shared" si="8"/>
        <v/>
      </c>
      <c r="Q69" s="141"/>
      <c r="R69" s="140"/>
      <c r="S69" s="112" t="str">
        <f t="shared" si="9"/>
        <v/>
      </c>
      <c r="T69" s="1" t="str">
        <f t="shared" si="10"/>
        <v>Slunečko</v>
      </c>
      <c r="U69" s="1" t="str">
        <f t="shared" si="11"/>
        <v>Slunečko</v>
      </c>
      <c r="V69" s="112">
        <f t="shared" si="12"/>
        <v>1</v>
      </c>
      <c r="W69" s="112" t="str">
        <f t="shared" si="13"/>
        <v>R</v>
      </c>
      <c r="X69" s="140"/>
      <c r="Y69" s="140"/>
      <c r="Z69" s="140"/>
      <c r="AA69" s="139"/>
    </row>
    <row r="70" spans="2:27" ht="15" customHeight="1" x14ac:dyDescent="0.25">
      <c r="B70" s="139" t="s">
        <v>176</v>
      </c>
      <c r="C70" s="138">
        <v>36617</v>
      </c>
      <c r="D70" s="112">
        <f t="shared" ca="1" si="5"/>
        <v>20</v>
      </c>
      <c r="E70" s="140">
        <v>53</v>
      </c>
      <c r="F70" s="140">
        <v>1</v>
      </c>
      <c r="G70" s="140">
        <v>6</v>
      </c>
      <c r="H70" s="112">
        <f t="shared" si="6"/>
        <v>7</v>
      </c>
      <c r="I70" s="140">
        <v>4</v>
      </c>
      <c r="J70" s="140">
        <v>11</v>
      </c>
      <c r="K70" s="140"/>
      <c r="L70" s="140" t="s">
        <v>79</v>
      </c>
      <c r="M70" s="140">
        <v>182</v>
      </c>
      <c r="N70" s="140">
        <v>76</v>
      </c>
      <c r="O70" s="119" t="str">
        <f t="shared" si="7"/>
        <v>59 OZ, 9 (1+8)</v>
      </c>
      <c r="P70" s="112" t="str">
        <f t="shared" si="8"/>
        <v>182/76</v>
      </c>
      <c r="Q70" s="141" t="s">
        <v>206</v>
      </c>
      <c r="R70" s="140">
        <v>2008</v>
      </c>
      <c r="S70" s="112" t="str">
        <f t="shared" si="9"/>
        <v/>
      </c>
      <c r="T70" s="1" t="str">
        <f t="shared" si="10"/>
        <v>Doubek</v>
      </c>
      <c r="U70" s="1" t="str">
        <f t="shared" si="11"/>
        <v>Doubek</v>
      </c>
      <c r="V70" s="112">
        <f t="shared" si="12"/>
        <v>1</v>
      </c>
      <c r="W70" s="112" t="str">
        <f t="shared" si="13"/>
        <v>Š</v>
      </c>
      <c r="X70" s="140"/>
      <c r="Y70" s="140"/>
      <c r="Z70" s="140"/>
      <c r="AA70" s="139"/>
    </row>
    <row r="71" spans="2:27" ht="15" customHeight="1" x14ac:dyDescent="0.25">
      <c r="B71" s="142" t="s">
        <v>162</v>
      </c>
      <c r="C71" s="138">
        <v>33775</v>
      </c>
      <c r="D71" s="112">
        <f t="shared" ca="1" si="5"/>
        <v>28</v>
      </c>
      <c r="E71" s="140">
        <v>214</v>
      </c>
      <c r="F71" s="140">
        <v>295</v>
      </c>
      <c r="G71" s="140">
        <v>183</v>
      </c>
      <c r="H71" s="112">
        <f t="shared" si="6"/>
        <v>478</v>
      </c>
      <c r="I71" s="140">
        <v>12</v>
      </c>
      <c r="J71" s="140">
        <v>25</v>
      </c>
      <c r="K71" s="140"/>
      <c r="L71" s="140" t="s">
        <v>41</v>
      </c>
      <c r="M71" s="140">
        <v>186</v>
      </c>
      <c r="N71" s="140">
        <v>82</v>
      </c>
      <c r="O71" s="119" t="str">
        <f t="shared" si="7"/>
        <v>230 OZ, 509 (313+196)</v>
      </c>
      <c r="P71" s="112" t="str">
        <f t="shared" si="8"/>
        <v>186/82</v>
      </c>
      <c r="Q71" s="141" t="s">
        <v>216</v>
      </c>
      <c r="R71" s="140">
        <v>1999</v>
      </c>
      <c r="S71" s="112" t="str">
        <f t="shared" si="9"/>
        <v/>
      </c>
      <c r="T71" s="1" t="str">
        <f t="shared" si="10"/>
        <v>Ondrušek</v>
      </c>
      <c r="U71" s="1" t="str">
        <f t="shared" si="11"/>
        <v>Ondrušek</v>
      </c>
      <c r="V71" s="112">
        <f t="shared" si="12"/>
        <v>1</v>
      </c>
      <c r="W71" s="112" t="str">
        <f t="shared" si="13"/>
        <v>T</v>
      </c>
      <c r="X71" s="140"/>
      <c r="Y71" s="140"/>
      <c r="Z71" s="140"/>
      <c r="AA71" s="139"/>
    </row>
    <row r="72" spans="2:27" ht="15" customHeight="1" x14ac:dyDescent="0.25">
      <c r="B72" s="139" t="s">
        <v>165</v>
      </c>
      <c r="C72" s="138">
        <v>32329</v>
      </c>
      <c r="D72" s="112">
        <f t="shared" ca="1" si="5"/>
        <v>32</v>
      </c>
      <c r="E72" s="140">
        <v>204</v>
      </c>
      <c r="F72" s="140">
        <v>54</v>
      </c>
      <c r="G72" s="140">
        <v>138</v>
      </c>
      <c r="H72" s="112">
        <f t="shared" si="6"/>
        <v>192</v>
      </c>
      <c r="I72" s="140">
        <v>11</v>
      </c>
      <c r="J72" s="140">
        <v>26</v>
      </c>
      <c r="K72" s="140"/>
      <c r="L72" s="140" t="s">
        <v>41</v>
      </c>
      <c r="M72" s="140">
        <v>180</v>
      </c>
      <c r="N72" s="140">
        <v>74</v>
      </c>
      <c r="O72" s="119" t="str">
        <f t="shared" si="7"/>
        <v>219 OZ, 204 (56+148)</v>
      </c>
      <c r="P72" s="112" t="str">
        <f t="shared" si="8"/>
        <v>180/74</v>
      </c>
      <c r="Q72" s="141" t="s">
        <v>208</v>
      </c>
      <c r="R72" s="140">
        <v>2004</v>
      </c>
      <c r="S72" s="112" t="str">
        <f t="shared" si="9"/>
        <v/>
      </c>
      <c r="T72" s="1" t="str">
        <f t="shared" si="10"/>
        <v>Sýkora</v>
      </c>
      <c r="U72" s="1" t="str">
        <f t="shared" si="11"/>
        <v>Sýkora</v>
      </c>
      <c r="V72" s="112">
        <f t="shared" si="12"/>
        <v>1</v>
      </c>
      <c r="W72" s="112" t="str">
        <f t="shared" si="13"/>
        <v>T</v>
      </c>
      <c r="X72" s="140"/>
      <c r="Y72" s="140"/>
      <c r="Z72" s="140"/>
      <c r="AA72" s="139"/>
    </row>
    <row r="73" spans="2:27" ht="15" customHeight="1" x14ac:dyDescent="0.25">
      <c r="B73" s="139" t="s">
        <v>186</v>
      </c>
      <c r="C73" s="138">
        <v>31955</v>
      </c>
      <c r="D73" s="112">
        <f t="shared" ca="1" si="5"/>
        <v>33</v>
      </c>
      <c r="E73" s="140">
        <v>293</v>
      </c>
      <c r="F73" s="140">
        <v>95</v>
      </c>
      <c r="G73" s="140">
        <v>95</v>
      </c>
      <c r="H73" s="112">
        <f t="shared" si="6"/>
        <v>190</v>
      </c>
      <c r="I73" s="140">
        <v>17</v>
      </c>
      <c r="J73" s="140">
        <v>15</v>
      </c>
      <c r="K73" s="140"/>
      <c r="L73" s="140" t="s">
        <v>79</v>
      </c>
      <c r="M73" s="140">
        <v>178</v>
      </c>
      <c r="N73" s="140">
        <v>80</v>
      </c>
      <c r="O73" s="119" t="str">
        <f t="shared" si="7"/>
        <v>308 OZ, 190 (95+95)</v>
      </c>
      <c r="P73" s="112" t="str">
        <f t="shared" si="8"/>
        <v>178/80</v>
      </c>
      <c r="Q73" s="141" t="s">
        <v>206</v>
      </c>
      <c r="R73" s="140">
        <v>2002</v>
      </c>
      <c r="S73" s="112" t="str">
        <f t="shared" si="9"/>
        <v/>
      </c>
      <c r="T73" s="1" t="str">
        <f t="shared" si="10"/>
        <v>Vávra T.</v>
      </c>
      <c r="U73" s="1" t="str">
        <f t="shared" si="11"/>
        <v>Vávra</v>
      </c>
      <c r="V73" s="112">
        <f t="shared" si="12"/>
        <v>2</v>
      </c>
      <c r="W73" s="112" t="str">
        <f t="shared" si="13"/>
        <v>T</v>
      </c>
      <c r="X73" s="140"/>
      <c r="Y73" s="140"/>
      <c r="Z73" s="140"/>
      <c r="AA73" s="139"/>
    </row>
    <row r="74" spans="2:27" ht="15" customHeight="1" x14ac:dyDescent="0.25">
      <c r="B74" s="139" t="s">
        <v>187</v>
      </c>
      <c r="C74" s="138">
        <v>36800</v>
      </c>
      <c r="D74" s="112">
        <f t="shared" ca="1" si="5"/>
        <v>20</v>
      </c>
      <c r="E74" s="140">
        <v>5</v>
      </c>
      <c r="F74" s="140">
        <v>0</v>
      </c>
      <c r="G74" s="140">
        <v>0</v>
      </c>
      <c r="H74" s="112">
        <f t="shared" si="6"/>
        <v>0</v>
      </c>
      <c r="I74" s="140">
        <v>4</v>
      </c>
      <c r="J74" s="140">
        <v>31</v>
      </c>
      <c r="K74" s="140"/>
      <c r="L74" s="140" t="s">
        <v>30</v>
      </c>
      <c r="M74" s="140">
        <v>175</v>
      </c>
      <c r="N74" s="140">
        <v>76</v>
      </c>
      <c r="O74" s="119" t="str">
        <f t="shared" si="7"/>
        <v>5 OZ, 0 (0+0)</v>
      </c>
      <c r="P74" s="112" t="str">
        <f t="shared" si="8"/>
        <v>175/76</v>
      </c>
      <c r="Q74" s="141" t="s">
        <v>204</v>
      </c>
      <c r="R74" s="140">
        <v>2010</v>
      </c>
      <c r="S74" s="112" t="str">
        <f t="shared" si="9"/>
        <v>10 OZ, 0 A</v>
      </c>
      <c r="T74" s="1" t="str">
        <f t="shared" si="10"/>
        <v>Šimůnek</v>
      </c>
      <c r="U74" s="1" t="str">
        <f t="shared" si="11"/>
        <v>Šimůnek</v>
      </c>
      <c r="V74" s="112">
        <f t="shared" si="12"/>
        <v>1</v>
      </c>
      <c r="W74" s="112" t="str">
        <f t="shared" si="13"/>
        <v>V</v>
      </c>
      <c r="X74" s="140"/>
      <c r="Y74" s="140"/>
      <c r="Z74" s="140"/>
      <c r="AA74" s="139"/>
    </row>
    <row r="75" spans="2:27" ht="15" customHeight="1" x14ac:dyDescent="0.25">
      <c r="B75" s="139"/>
      <c r="C75" s="138"/>
      <c r="D75" s="112" t="str">
        <f t="shared" si="5"/>
        <v/>
      </c>
      <c r="E75" s="140"/>
      <c r="F75" s="140"/>
      <c r="G75" s="140"/>
      <c r="H75" s="112" t="str">
        <f t="shared" si="6"/>
        <v/>
      </c>
      <c r="I75" s="140"/>
      <c r="J75" s="140"/>
      <c r="K75" s="140"/>
      <c r="L75" s="140"/>
      <c r="M75" s="140"/>
      <c r="N75" s="140"/>
      <c r="O75" s="119" t="str">
        <f t="shared" si="7"/>
        <v/>
      </c>
      <c r="P75" s="112" t="str">
        <f t="shared" si="8"/>
        <v/>
      </c>
      <c r="Q75" s="141"/>
      <c r="R75" s="140"/>
      <c r="S75" s="112" t="str">
        <f t="shared" si="9"/>
        <v/>
      </c>
      <c r="T75" s="1" t="str">
        <f t="shared" si="10"/>
        <v/>
      </c>
      <c r="U75" s="1" t="str">
        <f t="shared" si="11"/>
        <v/>
      </c>
      <c r="V75" s="112" t="str">
        <f t="shared" si="12"/>
        <v/>
      </c>
      <c r="W75" s="112" t="str">
        <f t="shared" si="13"/>
        <v/>
      </c>
      <c r="X75" s="140"/>
      <c r="Y75" s="140"/>
      <c r="Z75" s="140"/>
      <c r="AA75" s="139"/>
    </row>
    <row r="76" spans="2:27" ht="15" customHeight="1" x14ac:dyDescent="0.25">
      <c r="B76" s="139"/>
      <c r="C76" s="138"/>
      <c r="D76" s="112" t="str">
        <f t="shared" si="5"/>
        <v/>
      </c>
      <c r="E76" s="140"/>
      <c r="F76" s="140"/>
      <c r="G76" s="140"/>
      <c r="H76" s="112" t="str">
        <f t="shared" si="6"/>
        <v/>
      </c>
      <c r="I76" s="140"/>
      <c r="J76" s="140"/>
      <c r="K76" s="140"/>
      <c r="L76" s="140"/>
      <c r="M76" s="140"/>
      <c r="N76" s="140"/>
      <c r="O76" s="119" t="str">
        <f t="shared" si="7"/>
        <v/>
      </c>
      <c r="P76" s="112" t="str">
        <f t="shared" si="8"/>
        <v/>
      </c>
      <c r="Q76" s="141"/>
      <c r="R76" s="140"/>
      <c r="S76" s="112" t="str">
        <f t="shared" si="9"/>
        <v/>
      </c>
      <c r="T76" s="1" t="str">
        <f t="shared" si="10"/>
        <v/>
      </c>
      <c r="U76" s="1" t="str">
        <f t="shared" si="11"/>
        <v/>
      </c>
      <c r="V76" s="112" t="str">
        <f t="shared" si="12"/>
        <v/>
      </c>
      <c r="W76" s="112" t="str">
        <f t="shared" si="13"/>
        <v/>
      </c>
      <c r="X76" s="140"/>
      <c r="Y76" s="140"/>
      <c r="Z76" s="140"/>
      <c r="AA76" s="139"/>
    </row>
    <row r="77" spans="2:27" ht="15" customHeight="1" x14ac:dyDescent="0.25">
      <c r="B77" s="139"/>
      <c r="C77" s="138"/>
      <c r="D77" s="112" t="str">
        <f t="shared" si="5"/>
        <v/>
      </c>
      <c r="E77" s="140"/>
      <c r="F77" s="140"/>
      <c r="G77" s="140"/>
      <c r="H77" s="112" t="str">
        <f t="shared" si="6"/>
        <v/>
      </c>
      <c r="I77" s="140"/>
      <c r="J77" s="140"/>
      <c r="K77" s="140"/>
      <c r="L77" s="140"/>
      <c r="M77" s="140"/>
      <c r="N77" s="140"/>
      <c r="O77" s="119" t="str">
        <f t="shared" si="7"/>
        <v/>
      </c>
      <c r="P77" s="112" t="str">
        <f t="shared" si="8"/>
        <v/>
      </c>
      <c r="Q77" s="141"/>
      <c r="R77" s="140"/>
      <c r="S77" s="112" t="str">
        <f t="shared" si="9"/>
        <v/>
      </c>
      <c r="T77" s="1" t="str">
        <f t="shared" si="10"/>
        <v/>
      </c>
      <c r="U77" s="1" t="str">
        <f t="shared" si="11"/>
        <v/>
      </c>
      <c r="V77" s="112" t="str">
        <f t="shared" si="12"/>
        <v/>
      </c>
      <c r="W77" s="112" t="str">
        <f t="shared" si="13"/>
        <v/>
      </c>
      <c r="X77" s="140"/>
      <c r="Y77" s="140"/>
      <c r="Z77" s="140"/>
      <c r="AA77" s="139"/>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t="str">
        <f t="shared" si="9"/>
        <v/>
      </c>
      <c r="T78" s="1" t="str">
        <f t="shared" si="10"/>
        <v/>
      </c>
      <c r="U78" s="1" t="str">
        <f t="shared" si="11"/>
        <v/>
      </c>
      <c r="V78" s="112" t="str">
        <f t="shared" si="12"/>
        <v/>
      </c>
      <c r="W78" s="112" t="str">
        <f t="shared" si="13"/>
        <v/>
      </c>
      <c r="X78" s="140"/>
      <c r="Y78" s="140"/>
      <c r="Z78" s="140"/>
      <c r="AA78" s="139"/>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t="str">
        <f t="shared" si="9"/>
        <v/>
      </c>
      <c r="T79" s="1" t="str">
        <f t="shared" si="10"/>
        <v/>
      </c>
      <c r="U79" s="1" t="str">
        <f t="shared" si="11"/>
        <v/>
      </c>
      <c r="V79" s="112" t="str">
        <f t="shared" si="12"/>
        <v/>
      </c>
      <c r="W79" s="112" t="str">
        <f t="shared" si="13"/>
        <v/>
      </c>
      <c r="X79" s="140"/>
      <c r="Y79" s="140"/>
      <c r="Z79" s="140"/>
      <c r="AA79" s="139"/>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t="str">
        <f t="shared" si="9"/>
        <v/>
      </c>
      <c r="T80" s="1" t="str">
        <f t="shared" si="10"/>
        <v/>
      </c>
      <c r="U80" s="1" t="str">
        <f t="shared" si="11"/>
        <v/>
      </c>
      <c r="V80" s="112" t="str">
        <f t="shared" si="12"/>
        <v/>
      </c>
      <c r="W80" s="112" t="str">
        <f t="shared" si="13"/>
        <v/>
      </c>
      <c r="X80" s="140"/>
      <c r="Y80" s="140"/>
      <c r="Z80" s="140"/>
      <c r="AA80" s="139"/>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t="str">
        <f t="shared" si="9"/>
        <v/>
      </c>
      <c r="T81" s="1" t="str">
        <f t="shared" si="10"/>
        <v/>
      </c>
      <c r="U81" s="1" t="str">
        <f t="shared" si="11"/>
        <v/>
      </c>
      <c r="V81" s="112" t="str">
        <f t="shared" si="12"/>
        <v/>
      </c>
      <c r="W81" s="112" t="str">
        <f t="shared" si="13"/>
        <v/>
      </c>
      <c r="X81" s="140"/>
      <c r="Y81" s="140"/>
      <c r="Z81" s="140"/>
      <c r="AA81" s="139"/>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t="str">
        <f t="shared" si="9"/>
        <v/>
      </c>
      <c r="T82" s="1" t="str">
        <f t="shared" si="10"/>
        <v/>
      </c>
      <c r="U82" s="1" t="str">
        <f t="shared" si="11"/>
        <v/>
      </c>
      <c r="V82" s="112" t="str">
        <f t="shared" si="12"/>
        <v/>
      </c>
      <c r="W82" s="112" t="str">
        <f t="shared" si="13"/>
        <v/>
      </c>
      <c r="X82" s="140"/>
      <c r="Y82" s="140"/>
      <c r="Z82" s="140"/>
      <c r="AA82" s="139"/>
    </row>
    <row r="84" spans="1:27" s="2" customFormat="1" ht="15" customHeight="1" x14ac:dyDescent="0.25">
      <c r="A84" s="7">
        <f ca="1">TODAY()</f>
        <v>44214</v>
      </c>
      <c r="B84" s="2" t="s">
        <v>60</v>
      </c>
      <c r="C84" s="2" t="s">
        <v>67</v>
      </c>
      <c r="D84" s="2" t="s">
        <v>68</v>
      </c>
      <c r="E84" s="346" t="s">
        <v>95</v>
      </c>
      <c r="F84" s="346"/>
      <c r="G84" s="346" t="s">
        <v>101</v>
      </c>
      <c r="H84" s="346"/>
      <c r="I84" s="346"/>
      <c r="J84" s="346"/>
      <c r="K84" s="346"/>
      <c r="Q84" s="9"/>
      <c r="X84" s="110"/>
      <c r="Y84" s="110"/>
      <c r="Z84" s="110"/>
    </row>
    <row r="85" spans="1:27" ht="30" customHeight="1" x14ac:dyDescent="0.25">
      <c r="B85" s="139" t="s">
        <v>188</v>
      </c>
      <c r="C85" s="138">
        <v>31582</v>
      </c>
      <c r="D85" s="112">
        <f ca="1">IF(B85&lt;&gt;0,ROUNDDOWN(($A$84-C85)/365.25,0),"")</f>
        <v>34</v>
      </c>
      <c r="E85" s="344" t="s">
        <v>189</v>
      </c>
      <c r="F85" s="344"/>
      <c r="G85" s="344" t="s">
        <v>190</v>
      </c>
      <c r="H85" s="344"/>
      <c r="I85" s="344"/>
      <c r="J85" s="344"/>
      <c r="K85" s="344"/>
    </row>
    <row r="86" spans="1:27" ht="30" customHeight="1" x14ac:dyDescent="0.25">
      <c r="B86" s="139" t="s">
        <v>191</v>
      </c>
      <c r="C86" s="138">
        <v>26801</v>
      </c>
      <c r="D86" s="112">
        <f t="shared" ref="D86:D92" ca="1" si="14">IF(B86&lt;&gt;0,ROUNDDOWN(($A$84-C86)/365.25,0),"")</f>
        <v>47</v>
      </c>
      <c r="E86" s="344" t="s">
        <v>192</v>
      </c>
      <c r="F86" s="344"/>
      <c r="G86" s="344" t="s">
        <v>193</v>
      </c>
      <c r="H86" s="344"/>
      <c r="I86" s="344"/>
      <c r="J86" s="344"/>
      <c r="K86" s="344"/>
    </row>
    <row r="87" spans="1:27" ht="30" customHeight="1" x14ac:dyDescent="0.25">
      <c r="B87" s="139" t="s">
        <v>194</v>
      </c>
      <c r="C87" s="138">
        <v>28909</v>
      </c>
      <c r="D87" s="112">
        <f t="shared" ca="1" si="14"/>
        <v>41</v>
      </c>
      <c r="E87" s="344" t="s">
        <v>192</v>
      </c>
      <c r="F87" s="344"/>
      <c r="G87" s="344" t="s">
        <v>196</v>
      </c>
      <c r="H87" s="344"/>
      <c r="I87" s="344"/>
      <c r="J87" s="344"/>
      <c r="K87" s="344"/>
    </row>
    <row r="88" spans="1:27" ht="30" customHeight="1" x14ac:dyDescent="0.25">
      <c r="B88" s="139" t="s">
        <v>197</v>
      </c>
      <c r="C88" s="138">
        <v>31168</v>
      </c>
      <c r="D88" s="112">
        <f t="shared" ca="1" si="14"/>
        <v>35</v>
      </c>
      <c r="E88" s="344" t="s">
        <v>198</v>
      </c>
      <c r="F88" s="344"/>
      <c r="G88" s="344" t="s">
        <v>199</v>
      </c>
      <c r="H88" s="344"/>
      <c r="I88" s="344"/>
      <c r="J88" s="344"/>
      <c r="K88" s="344"/>
    </row>
    <row r="89" spans="1:27" ht="30" customHeight="1" x14ac:dyDescent="0.25">
      <c r="B89" s="139" t="s">
        <v>200</v>
      </c>
      <c r="C89" s="138">
        <v>32514</v>
      </c>
      <c r="D89" s="112">
        <f t="shared" ca="1" si="14"/>
        <v>32</v>
      </c>
      <c r="E89" s="344" t="s">
        <v>201</v>
      </c>
      <c r="F89" s="344"/>
      <c r="G89" s="344" t="s">
        <v>202</v>
      </c>
      <c r="H89" s="344"/>
      <c r="I89" s="344"/>
      <c r="J89" s="344"/>
      <c r="K89" s="344"/>
    </row>
    <row r="90" spans="1:27" ht="30" customHeight="1" x14ac:dyDescent="0.25">
      <c r="B90" s="139"/>
      <c r="C90" s="139"/>
      <c r="D90" s="112" t="str">
        <f t="shared" si="14"/>
        <v/>
      </c>
      <c r="E90" s="344"/>
      <c r="F90" s="344"/>
      <c r="G90" s="344"/>
      <c r="H90" s="344"/>
      <c r="I90" s="344"/>
      <c r="J90" s="344"/>
      <c r="K90" s="344"/>
    </row>
    <row r="91" spans="1:27" ht="30" customHeight="1" x14ac:dyDescent="0.25">
      <c r="B91" s="139"/>
      <c r="C91" s="139"/>
      <c r="D91" s="112" t="str">
        <f t="shared" si="14"/>
        <v/>
      </c>
      <c r="E91" s="344"/>
      <c r="F91" s="344"/>
      <c r="G91" s="344"/>
      <c r="H91" s="344"/>
      <c r="I91" s="344"/>
      <c r="J91" s="344"/>
      <c r="K91" s="344"/>
    </row>
    <row r="92" spans="1:27" ht="30" customHeight="1" x14ac:dyDescent="0.25">
      <c r="B92" s="139"/>
      <c r="C92" s="139"/>
      <c r="D92" s="112" t="str">
        <f t="shared" si="14"/>
        <v/>
      </c>
      <c r="E92" s="344"/>
      <c r="F92" s="344"/>
      <c r="G92" s="344"/>
      <c r="H92" s="344"/>
      <c r="I92" s="344"/>
      <c r="J92" s="344"/>
      <c r="K92" s="344"/>
    </row>
  </sheetData>
  <sheetProtection algorithmName="SHA-512" hashValue="wL9ftOcS4M5waobsP9K95S6KMaaV85UOXqeFRXA4+i+bpNcDFaTX/a0T3jPO9OexlvGM2SHGvdEmE/hbvBsd6A==" saltValue="Hs8DFLrY41PgxFDiRfuOQw==" spinCount="100000" sheet="1" objects="1" scenarios="1" selectLockedCells="1"/>
  <sortState ref="B67:K71">
    <sortCondition ref="B38:B64"/>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46" t="s">
        <v>36</v>
      </c>
      <c r="B1" s="1" t="s">
        <v>354</v>
      </c>
      <c r="C1" s="181">
        <v>32</v>
      </c>
      <c r="D1" s="347" t="str">
        <f t="shared" ref="D1:D30" si="0">IFERROR(RIGHT(B1,LEN(B1)-SEARCH(" ",B1)),"")</f>
        <v>Marek Vávra</v>
      </c>
      <c r="E1" s="347"/>
      <c r="F1" s="6"/>
    </row>
    <row r="2" spans="1:6" x14ac:dyDescent="0.25">
      <c r="A2" s="346"/>
      <c r="B2" s="1" t="s">
        <v>355</v>
      </c>
      <c r="C2" s="181">
        <v>31</v>
      </c>
      <c r="D2" s="347" t="str">
        <f t="shared" si="0"/>
        <v>Tom Ondrušek</v>
      </c>
      <c r="E2" s="347"/>
      <c r="F2" s="6"/>
    </row>
    <row r="3" spans="1:6" x14ac:dyDescent="0.25">
      <c r="A3" s="346"/>
      <c r="B3" s="1" t="s">
        <v>356</v>
      </c>
      <c r="C3" s="181">
        <v>21</v>
      </c>
      <c r="D3" s="347" t="str">
        <f t="shared" si="0"/>
        <v>Petr Majer</v>
      </c>
      <c r="E3" s="347"/>
      <c r="F3" s="6"/>
    </row>
    <row r="4" spans="1:6" x14ac:dyDescent="0.25">
      <c r="A4" s="346"/>
      <c r="B4" s="1" t="s">
        <v>357</v>
      </c>
      <c r="C4" s="181">
        <v>21</v>
      </c>
      <c r="D4" s="347" t="str">
        <f t="shared" si="0"/>
        <v>Ondřej Mikeš</v>
      </c>
      <c r="E4" s="347"/>
      <c r="F4" s="6"/>
    </row>
    <row r="5" spans="1:6" x14ac:dyDescent="0.25">
      <c r="A5" s="346"/>
      <c r="B5" s="1" t="s">
        <v>358</v>
      </c>
      <c r="C5" s="181">
        <v>12</v>
      </c>
      <c r="D5" s="347" t="str">
        <f t="shared" si="0"/>
        <v>Jiří Koutný</v>
      </c>
      <c r="E5" s="347"/>
      <c r="F5" s="6"/>
    </row>
    <row r="6" spans="1:6" x14ac:dyDescent="0.25">
      <c r="A6" s="346" t="s">
        <v>244</v>
      </c>
      <c r="B6" s="1" t="s">
        <v>359</v>
      </c>
      <c r="C6" s="181" t="s">
        <v>360</v>
      </c>
      <c r="D6" s="347" t="str">
        <f t="shared" si="0"/>
        <v>Michal Rebro</v>
      </c>
      <c r="E6" s="347"/>
      <c r="F6" s="132">
        <f t="shared" ref="F6:F10" si="1">IF(B6&lt;&gt;0,_xlfn.NUMBERVALUE(C6,","),"")</f>
        <v>4.32</v>
      </c>
    </row>
    <row r="7" spans="1:6" x14ac:dyDescent="0.25">
      <c r="A7" s="346"/>
      <c r="B7" s="1" t="s">
        <v>736</v>
      </c>
      <c r="C7" s="181" t="s">
        <v>737</v>
      </c>
      <c r="D7" s="347" t="str">
        <f t="shared" si="0"/>
        <v>Karel Hodík</v>
      </c>
      <c r="E7" s="347"/>
      <c r="F7" s="132">
        <f t="shared" si="1"/>
        <v>4.8600000000000003</v>
      </c>
    </row>
    <row r="8" spans="1:6" x14ac:dyDescent="0.25">
      <c r="A8" s="346"/>
      <c r="B8" s="1" t="s">
        <v>738</v>
      </c>
      <c r="C8" s="181" t="s">
        <v>361</v>
      </c>
      <c r="D8" s="347" t="str">
        <f t="shared" si="0"/>
        <v>Vojtěch Šimůnek</v>
      </c>
      <c r="E8" s="347"/>
      <c r="F8" s="132">
        <f t="shared" si="1"/>
        <v>5.64</v>
      </c>
    </row>
    <row r="9" spans="1:6" x14ac:dyDescent="0.25">
      <c r="A9" s="346"/>
      <c r="B9" s="1" t="s">
        <v>364</v>
      </c>
      <c r="C9" s="181" t="s">
        <v>336</v>
      </c>
      <c r="D9" s="347" t="str">
        <f t="shared" si="0"/>
        <v>Karel Pergler</v>
      </c>
      <c r="E9" s="347"/>
      <c r="F9" s="132">
        <f t="shared" si="1"/>
        <v>0</v>
      </c>
    </row>
    <row r="10" spans="1:6" x14ac:dyDescent="0.25">
      <c r="A10" s="346"/>
      <c r="B10" s="1"/>
      <c r="C10" s="181"/>
      <c r="D10" s="347" t="str">
        <f t="shared" si="0"/>
        <v/>
      </c>
      <c r="E10" s="347"/>
      <c r="F10" s="132" t="str">
        <f t="shared" si="1"/>
        <v/>
      </c>
    </row>
    <row r="11" spans="1:6" x14ac:dyDescent="0.25">
      <c r="A11" s="346" t="s">
        <v>35</v>
      </c>
      <c r="B11" s="1" t="s">
        <v>354</v>
      </c>
      <c r="C11" s="181">
        <v>20</v>
      </c>
      <c r="D11" s="347" t="str">
        <f t="shared" si="0"/>
        <v>Marek Vávra</v>
      </c>
      <c r="E11" s="347"/>
      <c r="F11" s="6"/>
    </row>
    <row r="12" spans="1:6" x14ac:dyDescent="0.25">
      <c r="A12" s="346"/>
      <c r="B12" s="1" t="s">
        <v>355</v>
      </c>
      <c r="C12" s="181">
        <v>18</v>
      </c>
      <c r="D12" s="347" t="str">
        <f t="shared" si="0"/>
        <v>Tom Ondrušek</v>
      </c>
      <c r="E12" s="347"/>
      <c r="F12" s="6"/>
    </row>
    <row r="13" spans="1:6" x14ac:dyDescent="0.25">
      <c r="A13" s="346"/>
      <c r="B13" s="1" t="s">
        <v>356</v>
      </c>
      <c r="C13" s="181">
        <v>15</v>
      </c>
      <c r="D13" s="347" t="str">
        <f t="shared" si="0"/>
        <v>Petr Majer</v>
      </c>
      <c r="E13" s="347"/>
      <c r="F13" s="6"/>
    </row>
    <row r="14" spans="1:6" x14ac:dyDescent="0.25">
      <c r="A14" s="346"/>
      <c r="B14" s="1" t="s">
        <v>357</v>
      </c>
      <c r="C14" s="181">
        <v>13</v>
      </c>
      <c r="D14" s="347" t="str">
        <f t="shared" si="0"/>
        <v>Ondřej Mikeš</v>
      </c>
      <c r="E14" s="347"/>
      <c r="F14" s="6"/>
    </row>
    <row r="15" spans="1:6" x14ac:dyDescent="0.25">
      <c r="A15" s="346"/>
      <c r="B15" s="1" t="s">
        <v>362</v>
      </c>
      <c r="C15" s="181">
        <v>5</v>
      </c>
      <c r="D15" s="347" t="str">
        <f t="shared" si="0"/>
        <v>Daniel Eremiáš</v>
      </c>
      <c r="E15" s="347"/>
      <c r="F15" s="6"/>
    </row>
    <row r="16" spans="1:6" x14ac:dyDescent="0.25">
      <c r="A16" s="346" t="s">
        <v>231</v>
      </c>
      <c r="B16" s="1" t="s">
        <v>363</v>
      </c>
      <c r="C16" s="181">
        <v>4</v>
      </c>
      <c r="D16" s="347" t="str">
        <f t="shared" si="0"/>
        <v>Vojtěch Šimůnek</v>
      </c>
      <c r="E16" s="347"/>
      <c r="F16" s="132">
        <f t="shared" ref="F16:F20" si="2">IF(B16&lt;&gt;0,_xlfn.NUMBERVALUE(C16,","),"")</f>
        <v>4</v>
      </c>
    </row>
    <row r="17" spans="1:6" x14ac:dyDescent="0.25">
      <c r="A17" s="346"/>
      <c r="B17" s="1" t="s">
        <v>736</v>
      </c>
      <c r="C17" s="181">
        <v>3</v>
      </c>
      <c r="D17" s="347" t="str">
        <f t="shared" si="0"/>
        <v>Karel Hodík</v>
      </c>
      <c r="E17" s="347"/>
      <c r="F17" s="132">
        <f t="shared" si="2"/>
        <v>3</v>
      </c>
    </row>
    <row r="18" spans="1:6" x14ac:dyDescent="0.25">
      <c r="A18" s="346"/>
      <c r="B18" s="1" t="s">
        <v>739</v>
      </c>
      <c r="C18" s="181">
        <v>3</v>
      </c>
      <c r="D18" s="347" t="str">
        <f t="shared" si="0"/>
        <v>Michal Rebro</v>
      </c>
      <c r="E18" s="347"/>
      <c r="F18" s="132">
        <f t="shared" si="2"/>
        <v>3</v>
      </c>
    </row>
    <row r="19" spans="1:6" x14ac:dyDescent="0.25">
      <c r="A19" s="346"/>
      <c r="B19" s="1" t="s">
        <v>364</v>
      </c>
      <c r="C19" s="181">
        <v>0</v>
      </c>
      <c r="D19" s="347" t="str">
        <f t="shared" si="0"/>
        <v>Karel Pergler</v>
      </c>
      <c r="E19" s="347"/>
      <c r="F19" s="132">
        <f t="shared" si="2"/>
        <v>0</v>
      </c>
    </row>
    <row r="20" spans="1:6" x14ac:dyDescent="0.25">
      <c r="A20" s="346"/>
      <c r="B20" s="1"/>
      <c r="C20" s="181"/>
      <c r="D20" s="347" t="str">
        <f t="shared" si="0"/>
        <v/>
      </c>
      <c r="E20" s="347"/>
      <c r="F20" s="132" t="str">
        <f t="shared" si="2"/>
        <v/>
      </c>
    </row>
    <row r="21" spans="1:6" x14ac:dyDescent="0.25">
      <c r="A21" s="346" t="s">
        <v>37</v>
      </c>
      <c r="B21" s="1" t="s">
        <v>365</v>
      </c>
      <c r="C21" s="181">
        <v>13</v>
      </c>
      <c r="D21" s="347" t="str">
        <f>IFERROR(RIGHT(B21,LEN(B21)-SEARCH(" ",B21)),"")</f>
        <v>Tom Ondrušek</v>
      </c>
      <c r="E21" s="347"/>
      <c r="F21" s="6"/>
    </row>
    <row r="22" spans="1:6" x14ac:dyDescent="0.25">
      <c r="A22" s="346"/>
      <c r="B22" s="1" t="s">
        <v>366</v>
      </c>
      <c r="C22" s="181">
        <v>12</v>
      </c>
      <c r="D22" s="347" t="str">
        <f>IFERROR(RIGHT(B22,LEN(B22)-SEARCH(" ",B22)),"")</f>
        <v>Marek Vávra</v>
      </c>
      <c r="E22" s="347"/>
      <c r="F22" s="6"/>
    </row>
    <row r="23" spans="1:6" x14ac:dyDescent="0.25">
      <c r="A23" s="346"/>
      <c r="B23" s="1" t="s">
        <v>367</v>
      </c>
      <c r="C23" s="181">
        <v>10</v>
      </c>
      <c r="D23" s="347" t="str">
        <f>IFERROR(RIGHT(B23,LEN(B23)-SEARCH(" ",B23)),"")</f>
        <v>Tomáš Sýkora</v>
      </c>
      <c r="E23" s="347"/>
      <c r="F23" s="6"/>
    </row>
    <row r="24" spans="1:6" x14ac:dyDescent="0.25">
      <c r="A24" s="346"/>
      <c r="B24" s="1" t="s">
        <v>357</v>
      </c>
      <c r="C24" s="181">
        <v>8</v>
      </c>
      <c r="D24" s="347" t="str">
        <f>IFERROR(RIGHT(B24,LEN(B24)-SEARCH(" ",B24)),"")</f>
        <v>Ondřej Mikeš</v>
      </c>
      <c r="E24" s="347"/>
      <c r="F24" s="6"/>
    </row>
    <row r="25" spans="1:6" x14ac:dyDescent="0.25">
      <c r="A25" s="346"/>
      <c r="B25" s="1" t="s">
        <v>568</v>
      </c>
      <c r="C25" s="181">
        <v>7</v>
      </c>
      <c r="D25" s="347" t="str">
        <f>IFERROR(RIGHT(B25,LEN(B25)-SEARCH(" ",B25)),"")</f>
        <v>Jiří Bauer</v>
      </c>
      <c r="E25" s="347"/>
      <c r="F25" s="6"/>
    </row>
    <row r="26" spans="1:6" x14ac:dyDescent="0.25">
      <c r="A26" s="346" t="s">
        <v>38</v>
      </c>
      <c r="B26" s="1" t="s">
        <v>368</v>
      </c>
      <c r="C26" s="181">
        <v>18</v>
      </c>
      <c r="D26" s="347" t="str">
        <f t="shared" si="0"/>
        <v>Jiří Bauer</v>
      </c>
      <c r="E26" s="347"/>
      <c r="F26" s="6"/>
    </row>
    <row r="27" spans="1:6" x14ac:dyDescent="0.25">
      <c r="A27" s="346"/>
      <c r="B27" s="1" t="s">
        <v>569</v>
      </c>
      <c r="C27" s="181">
        <v>14</v>
      </c>
      <c r="D27" s="347" t="str">
        <f t="shared" si="0"/>
        <v>Jiří Koutný</v>
      </c>
      <c r="E27" s="347"/>
      <c r="F27" s="6"/>
    </row>
    <row r="28" spans="1:6" x14ac:dyDescent="0.25">
      <c r="A28" s="346"/>
      <c r="B28" s="1" t="s">
        <v>570</v>
      </c>
      <c r="C28" s="181">
        <v>8</v>
      </c>
      <c r="D28" s="347" t="str">
        <f t="shared" si="0"/>
        <v>Tomáš Vávra</v>
      </c>
      <c r="E28" s="347"/>
      <c r="F28" s="6"/>
    </row>
    <row r="29" spans="1:6" x14ac:dyDescent="0.25">
      <c r="A29" s="346"/>
      <c r="B29" s="1" t="s">
        <v>571</v>
      </c>
      <c r="C29" s="181">
        <v>6</v>
      </c>
      <c r="D29" s="347" t="str">
        <f t="shared" si="0"/>
        <v>Michal Strnad</v>
      </c>
      <c r="E29" s="347"/>
      <c r="F29" s="6"/>
    </row>
    <row r="30" spans="1:6" x14ac:dyDescent="0.25">
      <c r="A30" s="346"/>
      <c r="B30" s="1" t="s">
        <v>572</v>
      </c>
      <c r="C30" s="181">
        <v>4</v>
      </c>
      <c r="D30" s="347" t="str">
        <f t="shared" si="0"/>
        <v>David Horký</v>
      </c>
      <c r="E30" s="347"/>
      <c r="F30" s="6"/>
    </row>
    <row r="31" spans="1:6" x14ac:dyDescent="0.25">
      <c r="A31" s="346" t="s">
        <v>339</v>
      </c>
      <c r="B31" s="122" t="s">
        <v>725</v>
      </c>
      <c r="C31" s="122" t="s">
        <v>145</v>
      </c>
      <c r="D31" s="122" t="s">
        <v>734</v>
      </c>
      <c r="E31" s="179" t="str">
        <f>IFERROR(RIGHT(LEFT(D31,LEN(D31)-1),LEN(D31)-2),"")</f>
        <v>3:5</v>
      </c>
    </row>
    <row r="32" spans="1:6" x14ac:dyDescent="0.25">
      <c r="A32" s="346"/>
      <c r="B32" s="122" t="s">
        <v>563</v>
      </c>
      <c r="C32" s="122" t="s">
        <v>29</v>
      </c>
      <c r="D32" s="122" t="s">
        <v>567</v>
      </c>
      <c r="E32" s="179" t="str">
        <f t="shared" ref="E32:E40" si="3">IFERROR(RIGHT(LEFT(D32,LEN(D32)-1),LEN(D32)-2),"")</f>
        <v>8:5</v>
      </c>
    </row>
    <row r="33" spans="1:5" x14ac:dyDescent="0.25">
      <c r="A33" s="346"/>
      <c r="B33" s="122" t="s">
        <v>343</v>
      </c>
      <c r="C33" s="122" t="s">
        <v>144</v>
      </c>
      <c r="D33" s="122" t="s">
        <v>681</v>
      </c>
      <c r="E33" s="179" t="str">
        <f t="shared" si="3"/>
        <v>3:4</v>
      </c>
    </row>
    <row r="34" spans="1:5" x14ac:dyDescent="0.25">
      <c r="A34" s="346"/>
      <c r="B34" s="122" t="s">
        <v>344</v>
      </c>
      <c r="C34" s="122" t="s">
        <v>29</v>
      </c>
      <c r="D34" s="122" t="s">
        <v>369</v>
      </c>
      <c r="E34" s="179" t="str">
        <f t="shared" si="3"/>
        <v>12:3</v>
      </c>
    </row>
    <row r="35" spans="1:5" x14ac:dyDescent="0.25">
      <c r="A35" s="346"/>
      <c r="B35" s="122" t="s">
        <v>345</v>
      </c>
      <c r="C35" s="122" t="s">
        <v>143</v>
      </c>
      <c r="D35" s="122" t="s">
        <v>370</v>
      </c>
      <c r="E35" s="179" t="str">
        <f t="shared" si="3"/>
        <v>8:6</v>
      </c>
    </row>
    <row r="36" spans="1:5" x14ac:dyDescent="0.25">
      <c r="A36" s="346" t="s">
        <v>340</v>
      </c>
      <c r="B36" s="122" t="s">
        <v>371</v>
      </c>
      <c r="C36" s="122" t="s">
        <v>150</v>
      </c>
      <c r="D36" s="122" t="s">
        <v>353</v>
      </c>
      <c r="E36" s="179" t="str">
        <f t="shared" si="3"/>
        <v>-:-</v>
      </c>
    </row>
    <row r="37" spans="1:5" x14ac:dyDescent="0.25">
      <c r="A37" s="346"/>
      <c r="B37" s="122" t="s">
        <v>372</v>
      </c>
      <c r="C37" s="122" t="s">
        <v>151</v>
      </c>
      <c r="D37" s="122" t="s">
        <v>353</v>
      </c>
      <c r="E37" s="179" t="str">
        <f t="shared" si="3"/>
        <v>-:-</v>
      </c>
    </row>
    <row r="38" spans="1:5" x14ac:dyDescent="0.25">
      <c r="A38" s="346"/>
      <c r="B38" s="122" t="s">
        <v>401</v>
      </c>
      <c r="C38" s="122" t="s">
        <v>147</v>
      </c>
      <c r="D38" s="122" t="s">
        <v>353</v>
      </c>
      <c r="E38" s="179" t="str">
        <f t="shared" si="3"/>
        <v>-:-</v>
      </c>
    </row>
    <row r="39" spans="1:5" x14ac:dyDescent="0.25">
      <c r="A39" s="346"/>
      <c r="B39" s="122" t="s">
        <v>682</v>
      </c>
      <c r="C39" s="122" t="s">
        <v>154</v>
      </c>
      <c r="D39" s="122" t="s">
        <v>353</v>
      </c>
      <c r="E39" s="179" t="str">
        <f t="shared" si="3"/>
        <v>-:-</v>
      </c>
    </row>
    <row r="40" spans="1:5" x14ac:dyDescent="0.25">
      <c r="A40" s="346"/>
      <c r="B40" s="122" t="s">
        <v>689</v>
      </c>
      <c r="C40" s="122" t="s">
        <v>143</v>
      </c>
      <c r="D40" s="122" t="s">
        <v>353</v>
      </c>
      <c r="E40" s="179" t="str">
        <f t="shared" si="3"/>
        <v>-:-</v>
      </c>
    </row>
    <row r="41" spans="1:5" x14ac:dyDescent="0.25">
      <c r="A41" s="133" t="s">
        <v>341</v>
      </c>
      <c r="B41" t="s">
        <v>735</v>
      </c>
    </row>
  </sheetData>
  <sheetProtection algorithmName="SHA-512" hashValue="5fID8BVLjDRpMKWPJAz2kSe1v6h8mKo2lx/RX6osvnz28FHi7erC6Ef/UWXrRfpmlAv4fXv2FU1AByfe7AGg4A==" saltValue="80xhYr0EBYYiW2ECjZ1WTA=="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zoomScaleNormal="100" workbookViewId="0">
      <selection activeCell="Q2" sqref="Q2"/>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59</v>
      </c>
      <c r="B1" s="99" t="s">
        <v>60</v>
      </c>
      <c r="D1" s="99" t="s">
        <v>61</v>
      </c>
      <c r="E1" s="99" t="s">
        <v>62</v>
      </c>
      <c r="F1" s="99" t="s">
        <v>35</v>
      </c>
      <c r="G1" s="99" t="s">
        <v>63</v>
      </c>
      <c r="H1" s="99" t="s">
        <v>64</v>
      </c>
      <c r="I1" s="99" t="s">
        <v>37</v>
      </c>
      <c r="J1" s="99" t="s">
        <v>36</v>
      </c>
      <c r="K1" s="99" t="s">
        <v>38</v>
      </c>
      <c r="L1" s="99" t="s">
        <v>65</v>
      </c>
      <c r="M1" s="99" t="s">
        <v>30</v>
      </c>
      <c r="N1" s="3" t="s">
        <v>66</v>
      </c>
      <c r="O1" s="99" t="s">
        <v>81</v>
      </c>
      <c r="P1" s="153" t="s">
        <v>531</v>
      </c>
      <c r="Q1" s="115" t="s">
        <v>48</v>
      </c>
      <c r="X1" s="110"/>
      <c r="Y1" s="110"/>
      <c r="Z1" s="110"/>
    </row>
    <row r="2" spans="1:26" s="4" customFormat="1" ht="15" customHeight="1" x14ac:dyDescent="0.25">
      <c r="A2" s="53">
        <v>1</v>
      </c>
      <c r="B2" s="4" t="s">
        <v>255</v>
      </c>
      <c r="D2" s="5" t="s">
        <v>52</v>
      </c>
      <c r="E2" s="5">
        <v>18</v>
      </c>
      <c r="F2" s="5">
        <v>33</v>
      </c>
      <c r="G2" s="5">
        <v>1</v>
      </c>
      <c r="H2" s="5">
        <v>0</v>
      </c>
      <c r="I2" s="5">
        <v>15</v>
      </c>
      <c r="J2" s="5">
        <v>48</v>
      </c>
      <c r="K2" s="5">
        <v>2</v>
      </c>
      <c r="L2" s="5">
        <v>66</v>
      </c>
      <c r="M2" s="5">
        <v>24</v>
      </c>
      <c r="N2" s="5">
        <v>42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18 OZ , 48 (33+15), +42 ±</v>
      </c>
      <c r="P2" s="5" t="str">
        <f>IF(B2&lt;&gt;0,IF(VLOOKUP(B2,$B$48:$B$82,1,FALSE)=B2,"ANO","NE"),"")</f>
        <v>ANO</v>
      </c>
      <c r="Q2" s="143" t="s">
        <v>296</v>
      </c>
      <c r="S2" s="5"/>
      <c r="X2" s="5"/>
      <c r="Y2" s="5"/>
      <c r="Z2" s="5"/>
    </row>
    <row r="3" spans="1:26" s="4" customFormat="1" ht="15" customHeight="1" x14ac:dyDescent="0.25">
      <c r="A3" s="53">
        <v>2</v>
      </c>
      <c r="B3" s="4" t="s">
        <v>256</v>
      </c>
      <c r="D3" s="5" t="s">
        <v>52</v>
      </c>
      <c r="E3" s="5">
        <v>18</v>
      </c>
      <c r="F3" s="5">
        <v>27</v>
      </c>
      <c r="G3" s="5">
        <v>5</v>
      </c>
      <c r="H3" s="5">
        <v>0</v>
      </c>
      <c r="I3" s="5">
        <v>14</v>
      </c>
      <c r="J3" s="5">
        <v>41</v>
      </c>
      <c r="K3" s="5">
        <v>0</v>
      </c>
      <c r="L3" s="5">
        <v>63</v>
      </c>
      <c r="M3" s="5">
        <v>25</v>
      </c>
      <c r="N3" s="5">
        <v>38</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18 OZ , 41 (27+14), +38 ±</v>
      </c>
      <c r="P3" s="5" t="str">
        <f t="shared" ref="P3:P36" si="1">IF(B3&lt;&gt;0,IF(VLOOKUP(B3,$B$48:$B$82,1,FALSE)=B3,"ANO","NE"),"")</f>
        <v>ANO</v>
      </c>
      <c r="Q3" s="143"/>
      <c r="S3" s="5"/>
      <c r="X3" s="5"/>
      <c r="Y3" s="5"/>
      <c r="Z3" s="5"/>
    </row>
    <row r="4" spans="1:26" s="4" customFormat="1" ht="15" customHeight="1" x14ac:dyDescent="0.25">
      <c r="A4" s="53">
        <v>3</v>
      </c>
      <c r="B4" s="4" t="s">
        <v>257</v>
      </c>
      <c r="D4" s="5" t="s">
        <v>52</v>
      </c>
      <c r="E4" s="5">
        <v>18</v>
      </c>
      <c r="F4" s="5">
        <v>10</v>
      </c>
      <c r="G4" s="5">
        <v>1</v>
      </c>
      <c r="H4" s="5">
        <v>0</v>
      </c>
      <c r="I4" s="5">
        <v>31</v>
      </c>
      <c r="J4" s="5">
        <v>41</v>
      </c>
      <c r="K4" s="5">
        <v>2</v>
      </c>
      <c r="L4" s="5">
        <v>68</v>
      </c>
      <c r="M4" s="5">
        <v>25</v>
      </c>
      <c r="N4" s="5">
        <v>43</v>
      </c>
      <c r="O4" s="162" t="str">
        <f t="shared" si="0"/>
        <v>18 OZ , 41 (10+31), +43 ±</v>
      </c>
      <c r="P4" s="5" t="str">
        <f t="shared" si="1"/>
        <v>ANO</v>
      </c>
      <c r="Q4" s="143"/>
      <c r="S4" s="5"/>
      <c r="X4" s="5"/>
      <c r="Y4" s="5"/>
      <c r="Z4" s="5"/>
    </row>
    <row r="5" spans="1:26" s="4" customFormat="1" x14ac:dyDescent="0.25">
      <c r="A5" s="53">
        <v>4</v>
      </c>
      <c r="B5" s="4" t="s">
        <v>258</v>
      </c>
      <c r="D5" s="5" t="s">
        <v>52</v>
      </c>
      <c r="E5" s="5">
        <v>16</v>
      </c>
      <c r="F5" s="5">
        <v>20</v>
      </c>
      <c r="G5" s="5">
        <v>1</v>
      </c>
      <c r="H5" s="5">
        <v>0</v>
      </c>
      <c r="I5" s="5">
        <v>16</v>
      </c>
      <c r="J5" s="5">
        <v>36</v>
      </c>
      <c r="K5" s="5">
        <v>2</v>
      </c>
      <c r="L5" s="5">
        <v>43</v>
      </c>
      <c r="M5" s="5">
        <v>18</v>
      </c>
      <c r="N5" s="5">
        <v>25</v>
      </c>
      <c r="O5" s="162" t="str">
        <f t="shared" si="0"/>
        <v>16 OZ , 36 (20+16), +25 ±</v>
      </c>
      <c r="P5" s="5" t="str">
        <f t="shared" si="1"/>
        <v>ANO</v>
      </c>
      <c r="Q5" s="143"/>
      <c r="S5" s="5"/>
      <c r="X5" s="5"/>
      <c r="Y5" s="5"/>
      <c r="Z5" s="5"/>
    </row>
    <row r="6" spans="1:26" x14ac:dyDescent="0.25">
      <c r="A6" s="54">
        <v>5</v>
      </c>
      <c r="B6" s="1" t="s">
        <v>259</v>
      </c>
      <c r="D6" s="181" t="s">
        <v>52</v>
      </c>
      <c r="E6" s="181">
        <v>18</v>
      </c>
      <c r="F6" s="181">
        <v>11</v>
      </c>
      <c r="G6" s="181">
        <v>0</v>
      </c>
      <c r="H6" s="181">
        <v>0</v>
      </c>
      <c r="I6" s="181">
        <v>15</v>
      </c>
      <c r="J6" s="181">
        <v>26</v>
      </c>
      <c r="K6" s="181">
        <v>2</v>
      </c>
      <c r="L6" s="181">
        <v>51</v>
      </c>
      <c r="M6" s="181">
        <v>22</v>
      </c>
      <c r="N6" s="181">
        <v>29</v>
      </c>
      <c r="O6" s="162" t="str">
        <f t="shared" si="0"/>
        <v>18 OZ , 26 (11+15), +29 ±</v>
      </c>
      <c r="P6" s="5" t="str">
        <f t="shared" si="1"/>
        <v>ANO</v>
      </c>
    </row>
    <row r="7" spans="1:26" x14ac:dyDescent="0.25">
      <c r="A7" s="54">
        <v>6</v>
      </c>
      <c r="B7" s="1" t="s">
        <v>261</v>
      </c>
      <c r="D7" s="181" t="s">
        <v>52</v>
      </c>
      <c r="E7" s="181">
        <v>16</v>
      </c>
      <c r="F7" s="181">
        <v>14</v>
      </c>
      <c r="G7" s="181">
        <v>0</v>
      </c>
      <c r="H7" s="181">
        <v>0</v>
      </c>
      <c r="I7" s="181">
        <v>3</v>
      </c>
      <c r="J7" s="181">
        <v>17</v>
      </c>
      <c r="K7" s="181">
        <v>4</v>
      </c>
      <c r="L7" s="181">
        <v>22</v>
      </c>
      <c r="M7" s="181">
        <v>16</v>
      </c>
      <c r="N7" s="181">
        <v>6</v>
      </c>
      <c r="O7" s="162" t="str">
        <f t="shared" si="0"/>
        <v>16 OZ , 17 (14+3), +6 ±</v>
      </c>
      <c r="P7" s="5" t="str">
        <f t="shared" si="1"/>
        <v>ANO</v>
      </c>
    </row>
    <row r="8" spans="1:26" x14ac:dyDescent="0.25">
      <c r="A8" s="54">
        <v>7</v>
      </c>
      <c r="B8" s="1" t="s">
        <v>260</v>
      </c>
      <c r="D8" s="181" t="s">
        <v>52</v>
      </c>
      <c r="E8" s="181">
        <v>17</v>
      </c>
      <c r="F8" s="181">
        <v>13</v>
      </c>
      <c r="G8" s="181">
        <v>5</v>
      </c>
      <c r="H8" s="181">
        <v>0</v>
      </c>
      <c r="I8" s="181">
        <v>4</v>
      </c>
      <c r="J8" s="181">
        <v>17</v>
      </c>
      <c r="K8" s="181">
        <v>4</v>
      </c>
      <c r="L8" s="181">
        <v>58</v>
      </c>
      <c r="M8" s="181">
        <v>28</v>
      </c>
      <c r="N8" s="181">
        <v>30</v>
      </c>
      <c r="O8" s="162" t="str">
        <f t="shared" si="0"/>
        <v>17 OZ , 17 (13+4), +30 ±</v>
      </c>
      <c r="P8" s="5" t="str">
        <f t="shared" si="1"/>
        <v>ANO</v>
      </c>
    </row>
    <row r="9" spans="1:26" x14ac:dyDescent="0.25">
      <c r="A9" s="54">
        <v>8</v>
      </c>
      <c r="B9" s="1" t="s">
        <v>262</v>
      </c>
      <c r="D9" s="181" t="s">
        <v>52</v>
      </c>
      <c r="E9" s="181">
        <v>17</v>
      </c>
      <c r="F9" s="181">
        <v>6</v>
      </c>
      <c r="G9" s="181">
        <v>0</v>
      </c>
      <c r="H9" s="181">
        <v>0</v>
      </c>
      <c r="I9" s="181">
        <v>9</v>
      </c>
      <c r="J9" s="181">
        <v>15</v>
      </c>
      <c r="K9" s="181">
        <v>0</v>
      </c>
      <c r="L9" s="181">
        <v>67</v>
      </c>
      <c r="M9" s="181">
        <v>19</v>
      </c>
      <c r="N9" s="181">
        <v>48</v>
      </c>
      <c r="O9" s="162" t="str">
        <f t="shared" si="0"/>
        <v>17 OZ , 15 (6+9), +48 ±</v>
      </c>
      <c r="P9" s="5" t="str">
        <f t="shared" si="1"/>
        <v>ANO</v>
      </c>
    </row>
    <row r="10" spans="1:26" x14ac:dyDescent="0.25">
      <c r="A10" s="54">
        <v>9</v>
      </c>
      <c r="B10" s="1" t="s">
        <v>263</v>
      </c>
      <c r="D10" s="181" t="s">
        <v>52</v>
      </c>
      <c r="E10" s="181">
        <v>18</v>
      </c>
      <c r="F10" s="181">
        <v>6</v>
      </c>
      <c r="G10" s="181">
        <v>0</v>
      </c>
      <c r="H10" s="181">
        <v>0</v>
      </c>
      <c r="I10" s="181">
        <v>9</v>
      </c>
      <c r="J10" s="181">
        <v>15</v>
      </c>
      <c r="K10" s="181">
        <v>0</v>
      </c>
      <c r="L10" s="181">
        <v>49</v>
      </c>
      <c r="M10" s="181">
        <v>24</v>
      </c>
      <c r="N10" s="181">
        <v>25</v>
      </c>
      <c r="O10" s="162" t="str">
        <f t="shared" si="0"/>
        <v>18 OZ , 15 (6+9), +25 ±</v>
      </c>
      <c r="P10" s="5" t="str">
        <f t="shared" si="1"/>
        <v>ANO</v>
      </c>
    </row>
    <row r="11" spans="1:26" x14ac:dyDescent="0.25">
      <c r="A11" s="54">
        <v>10</v>
      </c>
      <c r="B11" s="1" t="s">
        <v>264</v>
      </c>
      <c r="D11" s="181" t="s">
        <v>49</v>
      </c>
      <c r="E11" s="181">
        <v>13</v>
      </c>
      <c r="F11" s="181">
        <v>4</v>
      </c>
      <c r="G11" s="181">
        <v>0</v>
      </c>
      <c r="H11" s="181">
        <v>0</v>
      </c>
      <c r="I11" s="181">
        <v>7</v>
      </c>
      <c r="J11" s="181">
        <v>11</v>
      </c>
      <c r="K11" s="181">
        <v>2</v>
      </c>
      <c r="L11" s="181">
        <v>25</v>
      </c>
      <c r="M11" s="181">
        <v>9</v>
      </c>
      <c r="N11" s="181">
        <v>16</v>
      </c>
      <c r="O11" s="162" t="str">
        <f t="shared" si="0"/>
        <v>13 OZ , 11 (4+7), +16 ±</v>
      </c>
      <c r="P11" s="5" t="str">
        <f t="shared" si="1"/>
        <v>ANO</v>
      </c>
    </row>
    <row r="12" spans="1:26" x14ac:dyDescent="0.25">
      <c r="A12" s="54">
        <v>11</v>
      </c>
      <c r="B12" s="1" t="s">
        <v>265</v>
      </c>
      <c r="D12" s="181" t="s">
        <v>49</v>
      </c>
      <c r="E12" s="181">
        <v>15</v>
      </c>
      <c r="F12" s="181">
        <v>4</v>
      </c>
      <c r="G12" s="181">
        <v>0</v>
      </c>
      <c r="H12" s="181">
        <v>0</v>
      </c>
      <c r="I12" s="181">
        <v>6</v>
      </c>
      <c r="J12" s="181">
        <v>10</v>
      </c>
      <c r="K12" s="181">
        <v>4</v>
      </c>
      <c r="L12" s="181">
        <v>22</v>
      </c>
      <c r="M12" s="181">
        <v>18</v>
      </c>
      <c r="N12" s="181">
        <v>4</v>
      </c>
      <c r="O12" s="162" t="str">
        <f t="shared" si="0"/>
        <v>15 OZ , 10 (4+6), +4 ±</v>
      </c>
      <c r="P12" s="5" t="str">
        <f t="shared" si="1"/>
        <v>ANO</v>
      </c>
    </row>
    <row r="13" spans="1:26" x14ac:dyDescent="0.25">
      <c r="A13" s="54">
        <v>12</v>
      </c>
      <c r="B13" s="1" t="s">
        <v>266</v>
      </c>
      <c r="D13" s="181" t="s">
        <v>52</v>
      </c>
      <c r="E13" s="181">
        <v>16</v>
      </c>
      <c r="F13" s="181">
        <v>3</v>
      </c>
      <c r="G13" s="181">
        <v>0</v>
      </c>
      <c r="H13" s="181">
        <v>0</v>
      </c>
      <c r="I13" s="181">
        <v>6</v>
      </c>
      <c r="J13" s="181">
        <v>9</v>
      </c>
      <c r="K13" s="181">
        <v>6</v>
      </c>
      <c r="L13" s="181">
        <v>23</v>
      </c>
      <c r="M13" s="181">
        <v>16</v>
      </c>
      <c r="N13" s="181">
        <v>7</v>
      </c>
      <c r="O13" s="162" t="str">
        <f t="shared" si="0"/>
        <v>16 OZ , 9 (3+6), +7 ±</v>
      </c>
      <c r="P13" s="5" t="str">
        <f t="shared" si="1"/>
        <v>ANO</v>
      </c>
    </row>
    <row r="14" spans="1:26" x14ac:dyDescent="0.25">
      <c r="A14" s="54">
        <v>13</v>
      </c>
      <c r="B14" s="1" t="s">
        <v>267</v>
      </c>
      <c r="D14" s="181" t="s">
        <v>52</v>
      </c>
      <c r="E14" s="181">
        <v>9</v>
      </c>
      <c r="F14" s="181">
        <v>4</v>
      </c>
      <c r="G14" s="181">
        <v>0</v>
      </c>
      <c r="H14" s="181">
        <v>0</v>
      </c>
      <c r="I14" s="181">
        <v>3</v>
      </c>
      <c r="J14" s="181">
        <v>7</v>
      </c>
      <c r="K14" s="181">
        <v>0</v>
      </c>
      <c r="L14" s="181">
        <v>12</v>
      </c>
      <c r="M14" s="181">
        <v>8</v>
      </c>
      <c r="N14" s="181">
        <v>4</v>
      </c>
      <c r="O14" s="162" t="str">
        <f t="shared" si="0"/>
        <v>9 OZ , 7 (4+3), +4 ±</v>
      </c>
      <c r="P14" s="5" t="str">
        <f t="shared" si="1"/>
        <v>ANO</v>
      </c>
    </row>
    <row r="15" spans="1:26" x14ac:dyDescent="0.25">
      <c r="A15" s="54">
        <v>14</v>
      </c>
      <c r="B15" s="1" t="s">
        <v>270</v>
      </c>
      <c r="D15" s="181" t="s">
        <v>52</v>
      </c>
      <c r="E15" s="181">
        <v>8</v>
      </c>
      <c r="F15" s="181">
        <v>3</v>
      </c>
      <c r="G15" s="181">
        <v>0</v>
      </c>
      <c r="H15" s="181">
        <v>0</v>
      </c>
      <c r="I15" s="181">
        <v>4</v>
      </c>
      <c r="J15" s="181">
        <v>7</v>
      </c>
      <c r="K15" s="181">
        <v>0</v>
      </c>
      <c r="L15" s="181">
        <v>13</v>
      </c>
      <c r="M15" s="181">
        <v>10</v>
      </c>
      <c r="N15" s="181">
        <v>3</v>
      </c>
      <c r="O15" s="162" t="str">
        <f t="shared" si="0"/>
        <v>8 OZ , 7 (3+4), +3 ±</v>
      </c>
      <c r="P15" s="5" t="str">
        <f t="shared" si="1"/>
        <v>ANO</v>
      </c>
    </row>
    <row r="16" spans="1:26" x14ac:dyDescent="0.25">
      <c r="A16" s="54">
        <v>15</v>
      </c>
      <c r="B16" s="1" t="s">
        <v>268</v>
      </c>
      <c r="D16" s="181" t="s">
        <v>49</v>
      </c>
      <c r="E16" s="181">
        <v>17</v>
      </c>
      <c r="F16" s="181">
        <v>0</v>
      </c>
      <c r="G16" s="181">
        <v>0</v>
      </c>
      <c r="H16" s="181">
        <v>0</v>
      </c>
      <c r="I16" s="181">
        <v>7</v>
      </c>
      <c r="J16" s="181">
        <v>7</v>
      </c>
      <c r="K16" s="181">
        <v>4</v>
      </c>
      <c r="L16" s="181">
        <v>64</v>
      </c>
      <c r="M16" s="181">
        <v>15</v>
      </c>
      <c r="N16" s="181">
        <v>49</v>
      </c>
      <c r="O16" s="162" t="str">
        <f t="shared" si="0"/>
        <v>17 OZ , 7 (0+7), +49 ±</v>
      </c>
      <c r="P16" s="5" t="str">
        <f t="shared" si="1"/>
        <v>ANO</v>
      </c>
    </row>
    <row r="17" spans="1:19" x14ac:dyDescent="0.25">
      <c r="A17" s="54">
        <v>16</v>
      </c>
      <c r="B17" s="1" t="s">
        <v>269</v>
      </c>
      <c r="D17" s="181"/>
      <c r="E17" s="181">
        <v>7</v>
      </c>
      <c r="F17" s="181">
        <v>2</v>
      </c>
      <c r="G17" s="181">
        <v>0</v>
      </c>
      <c r="H17" s="181">
        <v>0</v>
      </c>
      <c r="I17" s="181">
        <v>1</v>
      </c>
      <c r="J17" s="181">
        <v>3</v>
      </c>
      <c r="K17" s="181">
        <v>4</v>
      </c>
      <c r="L17" s="181">
        <v>10</v>
      </c>
      <c r="M17" s="181">
        <v>5</v>
      </c>
      <c r="N17" s="181">
        <v>5</v>
      </c>
      <c r="O17" s="162" t="str">
        <f t="shared" si="0"/>
        <v>7 OZ , 3 (2+1), +5 ±</v>
      </c>
      <c r="P17" s="5" t="str">
        <f t="shared" si="1"/>
        <v>ANO</v>
      </c>
    </row>
    <row r="18" spans="1:19" x14ac:dyDescent="0.25">
      <c r="A18" s="54">
        <v>17</v>
      </c>
      <c r="B18" s="1" t="s">
        <v>273</v>
      </c>
      <c r="D18" s="181" t="s">
        <v>49</v>
      </c>
      <c r="E18" s="181">
        <v>14</v>
      </c>
      <c r="F18" s="181">
        <v>2</v>
      </c>
      <c r="G18" s="181">
        <v>0</v>
      </c>
      <c r="H18" s="181">
        <v>0</v>
      </c>
      <c r="I18" s="181">
        <v>1</v>
      </c>
      <c r="J18" s="181">
        <v>3</v>
      </c>
      <c r="K18" s="181">
        <v>2</v>
      </c>
      <c r="L18" s="181">
        <v>7</v>
      </c>
      <c r="M18" s="181">
        <v>6</v>
      </c>
      <c r="N18" s="181">
        <v>1</v>
      </c>
      <c r="O18" s="162" t="str">
        <f t="shared" si="0"/>
        <v>14 OZ , 3 (2+1), +1 ±</v>
      </c>
      <c r="P18" s="5" t="str">
        <f t="shared" si="1"/>
        <v>ANO</v>
      </c>
    </row>
    <row r="19" spans="1:19" x14ac:dyDescent="0.25">
      <c r="A19" s="54">
        <v>18</v>
      </c>
      <c r="B19" s="1" t="s">
        <v>271</v>
      </c>
      <c r="D19" s="181" t="s">
        <v>52</v>
      </c>
      <c r="E19" s="181">
        <v>10</v>
      </c>
      <c r="F19" s="181">
        <v>1</v>
      </c>
      <c r="G19" s="181">
        <v>0</v>
      </c>
      <c r="H19" s="181">
        <v>0</v>
      </c>
      <c r="I19" s="181">
        <v>2</v>
      </c>
      <c r="J19" s="181">
        <v>3</v>
      </c>
      <c r="K19" s="181">
        <v>2</v>
      </c>
      <c r="L19" s="181">
        <v>18</v>
      </c>
      <c r="M19" s="181">
        <v>10</v>
      </c>
      <c r="N19" s="181">
        <v>8</v>
      </c>
      <c r="O19" s="162" t="str">
        <f t="shared" si="0"/>
        <v>10 OZ , 3 (1+2), +8 ±</v>
      </c>
      <c r="P19" s="5" t="str">
        <f t="shared" si="1"/>
        <v>ANO</v>
      </c>
    </row>
    <row r="20" spans="1:19" x14ac:dyDescent="0.25">
      <c r="A20" s="54">
        <v>19</v>
      </c>
      <c r="B20" s="1" t="s">
        <v>272</v>
      </c>
      <c r="D20" s="181" t="s">
        <v>49</v>
      </c>
      <c r="E20" s="181">
        <v>18</v>
      </c>
      <c r="F20" s="181">
        <v>1</v>
      </c>
      <c r="G20" s="181">
        <v>0</v>
      </c>
      <c r="H20" s="181">
        <v>0</v>
      </c>
      <c r="I20" s="181">
        <v>2</v>
      </c>
      <c r="J20" s="181">
        <v>3</v>
      </c>
      <c r="K20" s="181">
        <v>4</v>
      </c>
      <c r="L20" s="181">
        <v>30</v>
      </c>
      <c r="M20" s="181">
        <v>28</v>
      </c>
      <c r="N20" s="181">
        <v>2</v>
      </c>
      <c r="O20" s="162" t="str">
        <f t="shared" si="0"/>
        <v>18 OZ , 3 (1+2), +2 ±</v>
      </c>
      <c r="P20" s="5" t="str">
        <f t="shared" si="1"/>
        <v>ANO</v>
      </c>
    </row>
    <row r="21" spans="1:19" x14ac:dyDescent="0.25">
      <c r="A21" s="53">
        <v>20</v>
      </c>
      <c r="B21" s="4" t="s">
        <v>274</v>
      </c>
      <c r="C21" s="4"/>
      <c r="D21" s="5" t="s">
        <v>35</v>
      </c>
      <c r="E21" s="5">
        <v>0</v>
      </c>
      <c r="F21" s="5">
        <v>0</v>
      </c>
      <c r="G21" s="5">
        <v>0</v>
      </c>
      <c r="H21" s="5">
        <v>0</v>
      </c>
      <c r="I21" s="5">
        <v>2</v>
      </c>
      <c r="J21" s="5">
        <v>2</v>
      </c>
      <c r="K21" s="5">
        <v>0</v>
      </c>
      <c r="L21" s="5">
        <v>0</v>
      </c>
      <c r="M21" s="5">
        <v>0</v>
      </c>
      <c r="N21" s="5">
        <v>0</v>
      </c>
      <c r="O21" s="162" t="str">
        <f t="shared" si="0"/>
        <v>0 OZ , 2 (0+2), 0 ±</v>
      </c>
      <c r="P21" s="5" t="str">
        <f t="shared" si="1"/>
        <v>ANO</v>
      </c>
    </row>
    <row r="22" spans="1:19" x14ac:dyDescent="0.25">
      <c r="A22" s="53">
        <v>21</v>
      </c>
      <c r="B22" s="4" t="s">
        <v>278</v>
      </c>
      <c r="C22" s="4"/>
      <c r="D22" s="5" t="s">
        <v>35</v>
      </c>
      <c r="E22" s="5">
        <v>0</v>
      </c>
      <c r="F22" s="5">
        <v>0</v>
      </c>
      <c r="G22" s="5">
        <v>0</v>
      </c>
      <c r="H22" s="5">
        <v>0</v>
      </c>
      <c r="I22" s="5">
        <v>1</v>
      </c>
      <c r="J22" s="5">
        <v>1</v>
      </c>
      <c r="K22" s="5">
        <v>0</v>
      </c>
      <c r="L22" s="5">
        <v>0</v>
      </c>
      <c r="M22" s="5">
        <v>0</v>
      </c>
      <c r="N22" s="5">
        <v>0</v>
      </c>
      <c r="O22" s="162" t="str">
        <f t="shared" si="0"/>
        <v>0 OZ , 1 (0+1), 0 ±</v>
      </c>
      <c r="P22" s="5" t="str">
        <f t="shared" si="1"/>
        <v>ANO</v>
      </c>
    </row>
    <row r="23" spans="1:19" x14ac:dyDescent="0.25">
      <c r="A23" s="53">
        <v>22</v>
      </c>
      <c r="B23" s="4" t="s">
        <v>275</v>
      </c>
      <c r="C23" s="4"/>
      <c r="D23" s="5"/>
      <c r="E23" s="5">
        <v>1</v>
      </c>
      <c r="F23" s="5">
        <v>0</v>
      </c>
      <c r="G23" s="5">
        <v>0</v>
      </c>
      <c r="H23" s="5">
        <v>0</v>
      </c>
      <c r="I23" s="5">
        <v>0</v>
      </c>
      <c r="J23" s="5">
        <v>0</v>
      </c>
      <c r="K23" s="5">
        <v>0</v>
      </c>
      <c r="L23" s="5">
        <v>0</v>
      </c>
      <c r="M23" s="5">
        <v>0</v>
      </c>
      <c r="N23" s="5">
        <v>0</v>
      </c>
      <c r="O23" s="162" t="str">
        <f t="shared" si="0"/>
        <v>1 OZ , 0 (0+0), 0 ±</v>
      </c>
      <c r="P23" s="5" t="str">
        <f t="shared" si="1"/>
        <v>ANO</v>
      </c>
    </row>
    <row r="24" spans="1:19" x14ac:dyDescent="0.25">
      <c r="A24" s="53">
        <v>23</v>
      </c>
      <c r="B24" s="4" t="s">
        <v>276</v>
      </c>
      <c r="C24" s="4"/>
      <c r="D24" s="5" t="s">
        <v>49</v>
      </c>
      <c r="E24" s="5">
        <v>2</v>
      </c>
      <c r="F24" s="5">
        <v>0</v>
      </c>
      <c r="G24" s="5">
        <v>0</v>
      </c>
      <c r="H24" s="5">
        <v>0</v>
      </c>
      <c r="I24" s="5">
        <v>0</v>
      </c>
      <c r="J24" s="5">
        <v>0</v>
      </c>
      <c r="K24" s="5">
        <v>0</v>
      </c>
      <c r="L24" s="5">
        <v>0</v>
      </c>
      <c r="M24" s="5">
        <v>0</v>
      </c>
      <c r="N24" s="5">
        <v>0</v>
      </c>
      <c r="O24" s="162" t="str">
        <f t="shared" si="0"/>
        <v>2 OZ , 0 (0+0), 0 ±</v>
      </c>
      <c r="P24" s="5" t="str">
        <f t="shared" si="1"/>
        <v>ANO</v>
      </c>
    </row>
    <row r="25" spans="1:19" x14ac:dyDescent="0.25">
      <c r="A25" s="53">
        <v>24</v>
      </c>
      <c r="B25" s="4" t="s">
        <v>277</v>
      </c>
      <c r="C25" s="4"/>
      <c r="D25" s="5" t="s">
        <v>52</v>
      </c>
      <c r="E25" s="5">
        <v>2</v>
      </c>
      <c r="F25" s="5">
        <v>0</v>
      </c>
      <c r="G25" s="5">
        <v>0</v>
      </c>
      <c r="H25" s="5">
        <v>0</v>
      </c>
      <c r="I25" s="5">
        <v>0</v>
      </c>
      <c r="J25" s="5">
        <v>0</v>
      </c>
      <c r="K25" s="5">
        <v>0</v>
      </c>
      <c r="L25" s="5">
        <v>0</v>
      </c>
      <c r="M25" s="5">
        <v>1</v>
      </c>
      <c r="N25" s="5">
        <v>-1</v>
      </c>
      <c r="O25" s="162" t="str">
        <f t="shared" si="0"/>
        <v>2 OZ , 0 (0+0), -1 ±</v>
      </c>
      <c r="P25" s="5" t="str">
        <f t="shared" si="1"/>
        <v>ANO</v>
      </c>
    </row>
    <row r="26" spans="1:19" x14ac:dyDescent="0.25">
      <c r="A26" s="54"/>
      <c r="O26" s="162" t="str">
        <f t="shared" si="0"/>
        <v/>
      </c>
      <c r="P26" s="5" t="str">
        <f t="shared" si="1"/>
        <v/>
      </c>
    </row>
    <row r="27" spans="1:19" x14ac:dyDescent="0.25">
      <c r="A27" s="54"/>
      <c r="O27" s="162" t="str">
        <f t="shared" si="0"/>
        <v/>
      </c>
      <c r="P27" s="5" t="str">
        <f t="shared" si="1"/>
        <v/>
      </c>
    </row>
    <row r="28" spans="1:19" x14ac:dyDescent="0.25">
      <c r="A28" s="54"/>
      <c r="O28" s="162" t="str">
        <f t="shared" si="0"/>
        <v/>
      </c>
      <c r="P28" s="5" t="str">
        <f t="shared" si="1"/>
        <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99" customFormat="1" ht="15" customHeight="1" x14ac:dyDescent="0.25">
      <c r="A38" s="8" t="s">
        <v>59</v>
      </c>
      <c r="B38" s="99" t="s">
        <v>60</v>
      </c>
      <c r="D38" s="99" t="s">
        <v>84</v>
      </c>
      <c r="E38" s="99" t="s">
        <v>85</v>
      </c>
      <c r="F38" s="99" t="s">
        <v>86</v>
      </c>
      <c r="G38" s="99" t="s">
        <v>40</v>
      </c>
      <c r="H38" s="99" t="s">
        <v>87</v>
      </c>
      <c r="I38" s="99" t="s">
        <v>88</v>
      </c>
      <c r="J38" s="99" t="s">
        <v>89</v>
      </c>
      <c r="K38" s="99" t="s">
        <v>80</v>
      </c>
      <c r="L38" s="99" t="s">
        <v>41</v>
      </c>
      <c r="M38" s="99" t="s">
        <v>90</v>
      </c>
      <c r="N38" s="3" t="s">
        <v>37</v>
      </c>
      <c r="O38" s="99" t="s">
        <v>38</v>
      </c>
      <c r="P38" s="99" t="s">
        <v>91</v>
      </c>
      <c r="Q38" s="99" t="s">
        <v>92</v>
      </c>
      <c r="R38" s="99" t="s">
        <v>93</v>
      </c>
      <c r="X38" s="110"/>
      <c r="Y38" s="110"/>
      <c r="Z38" s="110"/>
    </row>
    <row r="39" spans="1:27" x14ac:dyDescent="0.25">
      <c r="A39" s="54">
        <v>1</v>
      </c>
      <c r="B39" t="s">
        <v>274</v>
      </c>
      <c r="C39"/>
      <c r="D39" s="122">
        <v>18</v>
      </c>
      <c r="E39" s="122">
        <v>14</v>
      </c>
      <c r="F39" s="122">
        <v>836.7</v>
      </c>
      <c r="G39" s="122">
        <v>13</v>
      </c>
      <c r="H39" s="122">
        <v>54</v>
      </c>
      <c r="I39" s="122">
        <v>0</v>
      </c>
      <c r="J39" s="122">
        <v>316</v>
      </c>
      <c r="K39" s="122">
        <v>0</v>
      </c>
      <c r="L39" s="122">
        <v>1</v>
      </c>
      <c r="M39" s="122">
        <v>262</v>
      </c>
      <c r="N39" s="122">
        <v>2</v>
      </c>
      <c r="O39" s="122">
        <v>0</v>
      </c>
      <c r="P39" s="11">
        <f>IF(B39&lt;&gt;0,IFERROR(H39/(F39/60),0),"")</f>
        <v>3.8723556830405164</v>
      </c>
      <c r="Q39" s="11">
        <f>IF(B39&lt;&gt;0,IFERROR((M39/J39)*100,0),"")</f>
        <v>82.911392405063282</v>
      </c>
      <c r="R39" s="112" t="str">
        <f>IF(B39&lt;&gt;0,CONCATENATE(G39, " V, ",L39," P"),"")</f>
        <v>13 V, 1 P</v>
      </c>
    </row>
    <row r="40" spans="1:27" x14ac:dyDescent="0.25">
      <c r="A40" s="54">
        <v>2</v>
      </c>
      <c r="B40" t="s">
        <v>278</v>
      </c>
      <c r="C40"/>
      <c r="D40" s="122">
        <v>18</v>
      </c>
      <c r="E40" s="122">
        <v>4</v>
      </c>
      <c r="F40" s="122">
        <v>240</v>
      </c>
      <c r="G40" s="122">
        <v>3</v>
      </c>
      <c r="H40" s="122">
        <v>23</v>
      </c>
      <c r="I40" s="122">
        <v>0</v>
      </c>
      <c r="J40" s="122">
        <v>75</v>
      </c>
      <c r="K40" s="122">
        <v>0</v>
      </c>
      <c r="L40" s="122">
        <v>1</v>
      </c>
      <c r="M40" s="122">
        <v>52</v>
      </c>
      <c r="N40" s="122">
        <v>1</v>
      </c>
      <c r="O40" s="122">
        <v>0</v>
      </c>
      <c r="P40" s="11">
        <f t="shared" ref="P40:P45" si="2">IF(B40&lt;&gt;0,IFERROR(H40/(F40/60),0),"")</f>
        <v>5.75</v>
      </c>
      <c r="Q40" s="11">
        <f t="shared" ref="Q40:Q45" si="3">IF(B40&lt;&gt;0,IFERROR((M40/J40)*100,0),"")</f>
        <v>69.333333333333343</v>
      </c>
      <c r="R40" s="112" t="str">
        <f t="shared" ref="R40:R45" si="4">IF(B40&lt;&gt;0,CONCATENATE(G40, " V, ",L40," P"),"")</f>
        <v>3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5" t="s">
        <v>295</v>
      </c>
      <c r="Y46" s="345"/>
      <c r="Z46" s="345"/>
      <c r="AA46" s="345"/>
    </row>
    <row r="47" spans="1:27" s="99" customFormat="1" ht="15" customHeight="1" x14ac:dyDescent="0.25">
      <c r="A47" s="7">
        <f ca="1">TODAY()</f>
        <v>44214</v>
      </c>
      <c r="B47" s="99" t="s">
        <v>60</v>
      </c>
      <c r="C47" s="99" t="s">
        <v>67</v>
      </c>
      <c r="D47" s="99" t="s">
        <v>68</v>
      </c>
      <c r="E47" s="99" t="s">
        <v>71</v>
      </c>
      <c r="F47" s="99" t="s">
        <v>72</v>
      </c>
      <c r="G47" s="99" t="s">
        <v>73</v>
      </c>
      <c r="H47" s="99" t="s">
        <v>74</v>
      </c>
      <c r="I47" s="99" t="s">
        <v>46</v>
      </c>
      <c r="J47" s="99" t="s">
        <v>59</v>
      </c>
      <c r="K47" s="99" t="s">
        <v>160</v>
      </c>
      <c r="L47" s="99" t="s">
        <v>78</v>
      </c>
      <c r="M47" s="99" t="s">
        <v>69</v>
      </c>
      <c r="N47" s="99" t="s">
        <v>70</v>
      </c>
      <c r="O47" s="99" t="s">
        <v>82</v>
      </c>
      <c r="P47" s="99" t="s">
        <v>83</v>
      </c>
      <c r="Q47" s="99" t="s">
        <v>75</v>
      </c>
      <c r="R47" s="99" t="s">
        <v>76</v>
      </c>
      <c r="S47" s="99" t="s">
        <v>94</v>
      </c>
      <c r="T47" s="110" t="s">
        <v>159</v>
      </c>
      <c r="U47" s="110" t="s">
        <v>287</v>
      </c>
      <c r="V47" s="110" t="s">
        <v>288</v>
      </c>
      <c r="W47" s="110" t="s">
        <v>289</v>
      </c>
      <c r="X47" s="110" t="s">
        <v>294</v>
      </c>
      <c r="Y47" s="110" t="s">
        <v>292</v>
      </c>
      <c r="Z47" s="110" t="s">
        <v>293</v>
      </c>
      <c r="AA47" s="163" t="s">
        <v>554</v>
      </c>
    </row>
    <row r="48" spans="1:27" ht="15" customHeight="1" x14ac:dyDescent="0.25">
      <c r="B48" s="142" t="s">
        <v>255</v>
      </c>
      <c r="C48" s="138">
        <v>35243</v>
      </c>
      <c r="D48" s="112">
        <f ca="1">IF(C48 &lt;&gt; 0,ROUNDDOWN(($A$47-C48)/365.25,0),"")</f>
        <v>24</v>
      </c>
      <c r="E48" s="140"/>
      <c r="F48" s="140"/>
      <c r="G48" s="140"/>
      <c r="H48" s="112">
        <f>IF(B48&lt;&gt;0,F48+G48,"")</f>
        <v>0</v>
      </c>
      <c r="I48" s="140"/>
      <c r="J48" s="140">
        <v>72</v>
      </c>
      <c r="K48" s="140"/>
      <c r="L48" s="140" t="s">
        <v>79</v>
      </c>
      <c r="M48" s="140">
        <v>183</v>
      </c>
      <c r="N48" s="140">
        <v>75</v>
      </c>
      <c r="O48" s="119" t="str">
        <f>IF(B48&lt;&gt;0,CONCATENATE(E48+IFERROR(VLOOKUP(B48,$B$2:$N$36,4,FALSE),0) + X48, " OZ, ", H48+IFERROR(VLOOKUP(B48,$B$2:$N$36,9,FALSE),0) + Y48+Z48, " (", F48+IFERROR(VLOOKUP(B48,$B$2:$N$36,5,FALSE),0) + Y48, "+",G48+IFERROR(VLOOKUP(B48,$B$2:$N$36,8,FALSE),0) +  Z48, ")"), "")</f>
        <v>18 OZ, 48 (33+15)</v>
      </c>
      <c r="P48" s="112" t="str">
        <f>IF(M48&lt;&gt;0,CONCATENATE(M48,"/",N48),"")</f>
        <v>183/75</v>
      </c>
      <c r="Q48" s="141"/>
      <c r="R48" s="140"/>
      <c r="S48" s="112" t="str">
        <f>IFERROR(CONCATENATE(E48+VLOOKUP(B48,$B$39:$R$42,4,FALSE), " OZ, ",G48+VLOOKUP(B48,$B$39:$R$42,13,FALSE), " A"),"")</f>
        <v/>
      </c>
      <c r="T48" s="1" t="str">
        <f>IF(B48&lt;&gt;0,IF(V48=1,U48,CONCATENATE(U48," ",W48,".")),"")</f>
        <v>Delong</v>
      </c>
      <c r="U48" s="1" t="str">
        <f>IFERROR(RIGHT(B48,LEN(B48)-SEARCH(" ", B48,1)),"")</f>
        <v>Delong</v>
      </c>
      <c r="V48" s="112">
        <f>IF(B48&lt;&gt;0,COUNTIF($U$48:$U$82,U48),"")</f>
        <v>1</v>
      </c>
      <c r="W48" s="112" t="str">
        <f>IFERROR(LEFT(LEFT(B48,SEARCH(" ",B48,1)),1),"")</f>
        <v>A</v>
      </c>
      <c r="X48" s="140"/>
      <c r="Y48" s="140"/>
      <c r="Z48" s="140"/>
      <c r="AA48" s="139"/>
    </row>
    <row r="49" spans="2:27" ht="15" customHeight="1" x14ac:dyDescent="0.25">
      <c r="B49" s="139" t="s">
        <v>267</v>
      </c>
      <c r="C49" s="138">
        <v>37349</v>
      </c>
      <c r="D49" s="112">
        <f t="shared" ref="D49:D82" ca="1" si="5">IF(C49 &lt;&gt; 0,ROUNDDOWN(($A$47-C49)/365.25,0),"")</f>
        <v>18</v>
      </c>
      <c r="E49" s="140"/>
      <c r="F49" s="140"/>
      <c r="G49" s="140"/>
      <c r="H49" s="112">
        <f t="shared" ref="H49:H82" si="6">IF(B49&lt;&gt;0,F49+G49,"")</f>
        <v>0</v>
      </c>
      <c r="I49" s="140"/>
      <c r="J49" s="140">
        <v>10</v>
      </c>
      <c r="K49" s="140"/>
      <c r="L49" s="140" t="s">
        <v>79</v>
      </c>
      <c r="M49" s="140">
        <v>178</v>
      </c>
      <c r="N49" s="140">
        <v>70</v>
      </c>
      <c r="O49" s="119" t="str">
        <f t="shared" ref="O49:O82" si="7">IF(B49&lt;&gt;0,CONCATENATE(E49+IFERROR(VLOOKUP(B49,$B$2:$N$36,4,FALSE),0) + X49, " OZ, ", H49+IFERROR(VLOOKUP(B49,$B$2:$N$36,9,FALSE),0) + Y49+Z49, " (", F49+IFERROR(VLOOKUP(B49,$B$2:$N$36,5,FALSE),0) + Y49, "+",G49+IFERROR(VLOOKUP(B49,$B$2:$N$36,8,FALSE),0) +  Z49, ")"), "")</f>
        <v>9 OZ, 7 (4+3)</v>
      </c>
      <c r="P49" s="112" t="str">
        <f t="shared" ref="P49:P82" si="8">IF(M49&lt;&gt;0,CONCATENATE(M49,"/",N49),"")</f>
        <v>178/70</v>
      </c>
      <c r="Q49" s="141"/>
      <c r="R49" s="140"/>
      <c r="S49" s="112" t="str">
        <f t="shared" ref="S49:S82" si="9">IFERROR(CONCATENATE(E49+VLOOKUP(B49,$B$39:$R$42,4,FALSE), " OZ, ",G49+VLOOKUP(B49,$B$39:$R$42,13,FALSE), " A"),"")</f>
        <v/>
      </c>
      <c r="T49" s="1" t="str">
        <f t="shared" ref="T49:T82" si="10">IF(B49&lt;&gt;0,IF(V49=1,U49,CONCATENATE(U49," ",W49,".")),"")</f>
        <v>Choma</v>
      </c>
      <c r="U49" s="1" t="str">
        <f t="shared" ref="U49:U82" si="11">IFERROR(RIGHT(B49,LEN(B49)-SEARCH(" ", B49,1)),"")</f>
        <v>Choma</v>
      </c>
      <c r="V49" s="112">
        <f t="shared" ref="V49:V82" si="12">IF(B49&lt;&gt;0,COUNTIF($U$48:$U$82,U49),"")</f>
        <v>1</v>
      </c>
      <c r="W49" s="112" t="str">
        <f t="shared" ref="W49:W82" si="13">IFERROR(LEFT(LEFT(B49,SEARCH(" ",B49,1)),1),"")</f>
        <v>A</v>
      </c>
      <c r="X49" s="140"/>
      <c r="Y49" s="140"/>
      <c r="Z49" s="140"/>
      <c r="AA49" s="139"/>
    </row>
    <row r="50" spans="2:27" ht="15" customHeight="1" x14ac:dyDescent="0.25">
      <c r="B50" s="139" t="s">
        <v>269</v>
      </c>
      <c r="C50" s="138">
        <v>37536</v>
      </c>
      <c r="D50" s="112">
        <f t="shared" ca="1" si="5"/>
        <v>18</v>
      </c>
      <c r="E50" s="140"/>
      <c r="F50" s="140"/>
      <c r="G50" s="140"/>
      <c r="H50" s="112">
        <f t="shared" si="6"/>
        <v>0</v>
      </c>
      <c r="I50" s="140"/>
      <c r="J50" s="140">
        <v>6</v>
      </c>
      <c r="K50" s="140"/>
      <c r="L50" s="140" t="s">
        <v>79</v>
      </c>
      <c r="M50" s="140">
        <v>193</v>
      </c>
      <c r="N50" s="140">
        <v>89</v>
      </c>
      <c r="O50" s="119" t="str">
        <f t="shared" si="7"/>
        <v>7 OZ, 3 (2+1)</v>
      </c>
      <c r="P50" s="112" t="str">
        <f t="shared" si="8"/>
        <v>193/89</v>
      </c>
      <c r="Q50" s="141"/>
      <c r="R50" s="140"/>
      <c r="S50" s="112" t="str">
        <f t="shared" si="9"/>
        <v/>
      </c>
      <c r="T50" s="1" t="str">
        <f t="shared" si="10"/>
        <v>Janis Anis</v>
      </c>
      <c r="U50" s="1" t="str">
        <f t="shared" si="11"/>
        <v>Janis Anis</v>
      </c>
      <c r="V50" s="112">
        <f t="shared" si="12"/>
        <v>1</v>
      </c>
      <c r="W50" s="112" t="str">
        <f t="shared" si="13"/>
        <v>D</v>
      </c>
      <c r="X50" s="140"/>
      <c r="Y50" s="140"/>
      <c r="Z50" s="140"/>
      <c r="AA50" s="139"/>
    </row>
    <row r="51" spans="2:27" ht="15" customHeight="1" x14ac:dyDescent="0.25">
      <c r="B51" s="139" t="s">
        <v>278</v>
      </c>
      <c r="C51" s="138">
        <v>36522</v>
      </c>
      <c r="D51" s="112">
        <f t="shared" ca="1" si="5"/>
        <v>21</v>
      </c>
      <c r="E51" s="140"/>
      <c r="F51" s="140"/>
      <c r="G51" s="140"/>
      <c r="H51" s="112">
        <f t="shared" si="6"/>
        <v>0</v>
      </c>
      <c r="I51" s="140"/>
      <c r="J51" s="140">
        <v>24</v>
      </c>
      <c r="K51" s="140"/>
      <c r="L51" s="140" t="s">
        <v>30</v>
      </c>
      <c r="M51" s="140">
        <v>186</v>
      </c>
      <c r="N51" s="140">
        <v>89</v>
      </c>
      <c r="O51" s="119" t="str">
        <f t="shared" si="7"/>
        <v>0 OZ, 1 (0+1)</v>
      </c>
      <c r="P51" s="112" t="str">
        <f t="shared" si="8"/>
        <v>186/89</v>
      </c>
      <c r="Q51" s="141"/>
      <c r="R51" s="140"/>
      <c r="S51" s="112" t="str">
        <f t="shared" si="9"/>
        <v>4 OZ, 1 A</v>
      </c>
      <c r="T51" s="1" t="str">
        <f t="shared" si="10"/>
        <v>Jasiok</v>
      </c>
      <c r="U51" s="1" t="str">
        <f t="shared" si="11"/>
        <v>Jasiok</v>
      </c>
      <c r="V51" s="112">
        <f t="shared" si="12"/>
        <v>1</v>
      </c>
      <c r="W51" s="112" t="str">
        <f t="shared" si="13"/>
        <v>D</v>
      </c>
      <c r="X51" s="140"/>
      <c r="Y51" s="140"/>
      <c r="Z51" s="140"/>
      <c r="AA51" s="139"/>
    </row>
    <row r="52" spans="2:27" ht="15" customHeight="1" x14ac:dyDescent="0.25">
      <c r="B52" s="139" t="s">
        <v>270</v>
      </c>
      <c r="C52" s="138">
        <v>35650</v>
      </c>
      <c r="D52" s="112">
        <f t="shared" ca="1" si="5"/>
        <v>23</v>
      </c>
      <c r="E52" s="140"/>
      <c r="F52" s="140"/>
      <c r="G52" s="140"/>
      <c r="H52" s="112">
        <f t="shared" si="6"/>
        <v>0</v>
      </c>
      <c r="I52" s="140"/>
      <c r="J52" s="140">
        <v>8</v>
      </c>
      <c r="K52" s="140"/>
      <c r="L52" s="140" t="s">
        <v>79</v>
      </c>
      <c r="M52" s="140">
        <v>179</v>
      </c>
      <c r="N52" s="140">
        <v>76</v>
      </c>
      <c r="O52" s="119" t="str">
        <f t="shared" si="7"/>
        <v>8 OZ, 7 (3+4)</v>
      </c>
      <c r="P52" s="112" t="str">
        <f t="shared" si="8"/>
        <v>179/76</v>
      </c>
      <c r="Q52" s="141"/>
      <c r="R52" s="140"/>
      <c r="S52" s="112" t="str">
        <f t="shared" si="9"/>
        <v/>
      </c>
      <c r="T52" s="1" t="str">
        <f t="shared" si="10"/>
        <v>Čonka-Skyba</v>
      </c>
      <c r="U52" s="1" t="str">
        <f t="shared" si="11"/>
        <v>Čonka-Skyba</v>
      </c>
      <c r="V52" s="112">
        <f t="shared" si="12"/>
        <v>1</v>
      </c>
      <c r="W52" s="112" t="str">
        <f t="shared" si="13"/>
        <v>F</v>
      </c>
      <c r="X52" s="140"/>
      <c r="Y52" s="140"/>
      <c r="Z52" s="140"/>
      <c r="AA52" s="139"/>
    </row>
    <row r="53" spans="2:27" ht="15" customHeight="1" x14ac:dyDescent="0.25">
      <c r="B53" s="139" t="s">
        <v>264</v>
      </c>
      <c r="C53" s="138">
        <v>33707</v>
      </c>
      <c r="D53" s="112">
        <f t="shared" ca="1" si="5"/>
        <v>28</v>
      </c>
      <c r="E53" s="140"/>
      <c r="F53" s="140"/>
      <c r="G53" s="140"/>
      <c r="H53" s="112">
        <f t="shared" si="6"/>
        <v>0</v>
      </c>
      <c r="I53" s="140"/>
      <c r="J53" s="140">
        <v>55</v>
      </c>
      <c r="K53" s="140"/>
      <c r="L53" s="140" t="s">
        <v>41</v>
      </c>
      <c r="M53" s="140">
        <v>182</v>
      </c>
      <c r="N53" s="140">
        <v>70</v>
      </c>
      <c r="O53" s="119" t="str">
        <f t="shared" si="7"/>
        <v>13 OZ, 11 (4+7)</v>
      </c>
      <c r="P53" s="112" t="str">
        <f t="shared" si="8"/>
        <v>182/70</v>
      </c>
      <c r="Q53" s="141"/>
      <c r="R53" s="140"/>
      <c r="S53" s="112" t="str">
        <f t="shared" si="9"/>
        <v/>
      </c>
      <c r="T53" s="1" t="str">
        <f t="shared" si="10"/>
        <v>Hubálek</v>
      </c>
      <c r="U53" s="1" t="str">
        <f t="shared" si="11"/>
        <v>Hubálek</v>
      </c>
      <c r="V53" s="112">
        <f t="shared" si="12"/>
        <v>1</v>
      </c>
      <c r="W53" s="112" t="str">
        <f t="shared" si="13"/>
        <v>J</v>
      </c>
      <c r="X53" s="140"/>
      <c r="Y53" s="140"/>
      <c r="Z53" s="140"/>
      <c r="AA53" s="139"/>
    </row>
    <row r="54" spans="2:27" ht="15" customHeight="1" x14ac:dyDescent="0.25">
      <c r="B54" s="139" t="s">
        <v>276</v>
      </c>
      <c r="C54" s="138">
        <v>33095</v>
      </c>
      <c r="D54" s="112">
        <f t="shared" ca="1" si="5"/>
        <v>30</v>
      </c>
      <c r="E54" s="140"/>
      <c r="F54" s="140"/>
      <c r="G54" s="140"/>
      <c r="H54" s="112">
        <f t="shared" si="6"/>
        <v>0</v>
      </c>
      <c r="I54" s="140"/>
      <c r="J54" s="140">
        <v>71</v>
      </c>
      <c r="K54" s="140"/>
      <c r="L54" s="140" t="s">
        <v>41</v>
      </c>
      <c r="M54" s="140">
        <v>190</v>
      </c>
      <c r="N54" s="140">
        <v>82</v>
      </c>
      <c r="O54" s="119" t="str">
        <f t="shared" si="7"/>
        <v>2 OZ, 0 (0+0)</v>
      </c>
      <c r="P54" s="112" t="str">
        <f t="shared" si="8"/>
        <v>190/82</v>
      </c>
      <c r="Q54" s="141"/>
      <c r="R54" s="140"/>
      <c r="S54" s="112" t="str">
        <f t="shared" si="9"/>
        <v/>
      </c>
      <c r="T54" s="1" t="str">
        <f t="shared" si="10"/>
        <v>Jastřembský</v>
      </c>
      <c r="U54" s="1" t="str">
        <f t="shared" si="11"/>
        <v>Jastřembský</v>
      </c>
      <c r="V54" s="112">
        <f t="shared" si="12"/>
        <v>1</v>
      </c>
      <c r="W54" s="112" t="str">
        <f t="shared" si="13"/>
        <v>J</v>
      </c>
      <c r="X54" s="140"/>
      <c r="Y54" s="140"/>
      <c r="Z54" s="140"/>
      <c r="AA54" s="139"/>
    </row>
    <row r="55" spans="2:27" ht="15" customHeight="1" x14ac:dyDescent="0.25">
      <c r="B55" s="139" t="s">
        <v>260</v>
      </c>
      <c r="C55" s="138">
        <v>33939</v>
      </c>
      <c r="D55" s="112">
        <f t="shared" ca="1" si="5"/>
        <v>28</v>
      </c>
      <c r="E55" s="140"/>
      <c r="F55" s="140"/>
      <c r="G55" s="140"/>
      <c r="H55" s="112">
        <f t="shared" si="6"/>
        <v>0</v>
      </c>
      <c r="I55" s="140"/>
      <c r="J55" s="140">
        <v>17</v>
      </c>
      <c r="K55" s="140"/>
      <c r="L55" s="140" t="s">
        <v>79</v>
      </c>
      <c r="M55" s="140">
        <v>182</v>
      </c>
      <c r="N55" s="140">
        <v>78</v>
      </c>
      <c r="O55" s="119" t="str">
        <f t="shared" si="7"/>
        <v>17 OZ, 17 (13+4)</v>
      </c>
      <c r="P55" s="112" t="str">
        <f t="shared" si="8"/>
        <v>182/78</v>
      </c>
      <c r="Q55" s="141"/>
      <c r="R55" s="140"/>
      <c r="S55" s="112" t="str">
        <f t="shared" si="9"/>
        <v/>
      </c>
      <c r="T55" s="1" t="str">
        <f t="shared" si="10"/>
        <v>Šebesta</v>
      </c>
      <c r="U55" s="1" t="str">
        <f t="shared" si="11"/>
        <v>Šebesta</v>
      </c>
      <c r="V55" s="112">
        <f t="shared" si="12"/>
        <v>1</v>
      </c>
      <c r="W55" s="112" t="str">
        <f t="shared" si="13"/>
        <v>J</v>
      </c>
      <c r="X55" s="140"/>
      <c r="Y55" s="140"/>
      <c r="Z55" s="140"/>
      <c r="AA55" s="139"/>
    </row>
    <row r="56" spans="2:27" ht="15" customHeight="1" x14ac:dyDescent="0.25">
      <c r="B56" s="139" t="s">
        <v>277</v>
      </c>
      <c r="C56" s="138"/>
      <c r="D56" s="112" t="str">
        <f t="shared" si="5"/>
        <v/>
      </c>
      <c r="E56" s="140"/>
      <c r="F56" s="140"/>
      <c r="G56" s="140"/>
      <c r="H56" s="112">
        <f t="shared" si="6"/>
        <v>0</v>
      </c>
      <c r="I56" s="140"/>
      <c r="J56" s="140"/>
      <c r="K56" s="140"/>
      <c r="L56" s="140"/>
      <c r="M56" s="140"/>
      <c r="N56" s="140"/>
      <c r="O56" s="119" t="str">
        <f t="shared" si="7"/>
        <v>2 OZ, 0 (0+0)</v>
      </c>
      <c r="P56" s="112" t="str">
        <f t="shared" si="8"/>
        <v/>
      </c>
      <c r="Q56" s="141"/>
      <c r="R56" s="140"/>
      <c r="S56" s="112" t="str">
        <f t="shared" si="9"/>
        <v/>
      </c>
      <c r="T56" s="1" t="str">
        <f t="shared" si="10"/>
        <v>Vojáček</v>
      </c>
      <c r="U56" s="1" t="str">
        <f t="shared" si="11"/>
        <v>Vojáček</v>
      </c>
      <c r="V56" s="112">
        <f t="shared" si="12"/>
        <v>1</v>
      </c>
      <c r="W56" s="112" t="str">
        <f t="shared" si="13"/>
        <v>J</v>
      </c>
      <c r="X56" s="140"/>
      <c r="Y56" s="140"/>
      <c r="Z56" s="140"/>
      <c r="AA56" s="139"/>
    </row>
    <row r="57" spans="2:27" ht="15" customHeight="1" x14ac:dyDescent="0.25">
      <c r="B57" s="139" t="s">
        <v>262</v>
      </c>
      <c r="C57" s="138">
        <v>36269</v>
      </c>
      <c r="D57" s="112">
        <f t="shared" ca="1" si="5"/>
        <v>21</v>
      </c>
      <c r="E57" s="140"/>
      <c r="F57" s="140"/>
      <c r="G57" s="140"/>
      <c r="H57" s="112">
        <f t="shared" si="6"/>
        <v>0</v>
      </c>
      <c r="I57" s="140"/>
      <c r="J57" s="140">
        <v>88</v>
      </c>
      <c r="K57" s="140"/>
      <c r="L57" s="140" t="s">
        <v>79</v>
      </c>
      <c r="M57" s="140">
        <v>179</v>
      </c>
      <c r="N57" s="140">
        <v>76</v>
      </c>
      <c r="O57" s="119" t="str">
        <f t="shared" si="7"/>
        <v>17 OZ, 15 (6+9)</v>
      </c>
      <c r="P57" s="112" t="str">
        <f t="shared" si="8"/>
        <v>179/76</v>
      </c>
      <c r="Q57" s="141"/>
      <c r="R57" s="140"/>
      <c r="S57" s="112" t="str">
        <f t="shared" si="9"/>
        <v/>
      </c>
      <c r="T57" s="1" t="str">
        <f t="shared" si="10"/>
        <v>Besta</v>
      </c>
      <c r="U57" s="1" t="str">
        <f t="shared" si="11"/>
        <v>Besta</v>
      </c>
      <c r="V57" s="112">
        <f t="shared" si="12"/>
        <v>1</v>
      </c>
      <c r="W57" s="112" t="str">
        <f t="shared" si="13"/>
        <v>J</v>
      </c>
      <c r="X57" s="140"/>
      <c r="Y57" s="140"/>
      <c r="Z57" s="140"/>
      <c r="AA57" s="139"/>
    </row>
    <row r="58" spans="2:27" ht="15" customHeight="1" x14ac:dyDescent="0.25">
      <c r="B58" s="142" t="s">
        <v>258</v>
      </c>
      <c r="C58" s="138">
        <v>33884</v>
      </c>
      <c r="D58" s="112">
        <f t="shared" ca="1" si="5"/>
        <v>28</v>
      </c>
      <c r="E58" s="140"/>
      <c r="F58" s="140"/>
      <c r="G58" s="140"/>
      <c r="H58" s="112">
        <f t="shared" si="6"/>
        <v>0</v>
      </c>
      <c r="I58" s="140"/>
      <c r="J58" s="140">
        <v>44</v>
      </c>
      <c r="K58" s="140"/>
      <c r="L58" s="140" t="s">
        <v>79</v>
      </c>
      <c r="M58" s="140">
        <v>182</v>
      </c>
      <c r="N58" s="140">
        <v>81</v>
      </c>
      <c r="O58" s="119" t="str">
        <f t="shared" si="7"/>
        <v>16 OZ, 36 (20+16)</v>
      </c>
      <c r="P58" s="112" t="str">
        <f t="shared" si="8"/>
        <v>182/81</v>
      </c>
      <c r="Q58" s="141"/>
      <c r="R58" s="140"/>
      <c r="S58" s="112" t="str">
        <f t="shared" si="9"/>
        <v/>
      </c>
      <c r="T58" s="1" t="str">
        <f t="shared" si="10"/>
        <v>Hájek</v>
      </c>
      <c r="U58" s="1" t="str">
        <f t="shared" si="11"/>
        <v>Hájek</v>
      </c>
      <c r="V58" s="112">
        <f t="shared" si="12"/>
        <v>1</v>
      </c>
      <c r="W58" s="112" t="str">
        <f t="shared" si="13"/>
        <v>L</v>
      </c>
      <c r="X58" s="140"/>
      <c r="Y58" s="140"/>
      <c r="Z58" s="140"/>
      <c r="AA58" s="139"/>
    </row>
    <row r="59" spans="2:27" ht="15" customHeight="1" x14ac:dyDescent="0.25">
      <c r="B59" s="139" t="s">
        <v>274</v>
      </c>
      <c r="C59" s="138">
        <v>33114</v>
      </c>
      <c r="D59" s="112">
        <f t="shared" ca="1" si="5"/>
        <v>30</v>
      </c>
      <c r="E59" s="140"/>
      <c r="F59" s="140"/>
      <c r="G59" s="140"/>
      <c r="H59" s="112">
        <f t="shared" si="6"/>
        <v>0</v>
      </c>
      <c r="I59" s="140"/>
      <c r="J59" s="140">
        <v>29</v>
      </c>
      <c r="K59" s="140"/>
      <c r="L59" s="140" t="s">
        <v>30</v>
      </c>
      <c r="M59" s="140">
        <v>186</v>
      </c>
      <c r="N59" s="140">
        <v>95</v>
      </c>
      <c r="O59" s="119" t="str">
        <f t="shared" si="7"/>
        <v>0 OZ, 2 (0+2)</v>
      </c>
      <c r="P59" s="112" t="str">
        <f t="shared" si="8"/>
        <v>186/95</v>
      </c>
      <c r="Q59" s="141"/>
      <c r="R59" s="140"/>
      <c r="S59" s="112" t="str">
        <f t="shared" si="9"/>
        <v>14 OZ, 2 A</v>
      </c>
      <c r="T59" s="1" t="str">
        <f t="shared" si="10"/>
        <v>Souček</v>
      </c>
      <c r="U59" s="1" t="str">
        <f t="shared" si="11"/>
        <v>Souček</v>
      </c>
      <c r="V59" s="112">
        <f t="shared" si="12"/>
        <v>1</v>
      </c>
      <c r="W59" s="112" t="str">
        <f t="shared" si="13"/>
        <v>L</v>
      </c>
      <c r="X59" s="140"/>
      <c r="Y59" s="140"/>
      <c r="Z59" s="140"/>
      <c r="AA59" s="139"/>
    </row>
    <row r="60" spans="2:27" ht="15" customHeight="1" x14ac:dyDescent="0.25">
      <c r="B60" s="139" t="s">
        <v>261</v>
      </c>
      <c r="C60" s="138">
        <v>35036</v>
      </c>
      <c r="D60" s="112">
        <f t="shared" ca="1" si="5"/>
        <v>25</v>
      </c>
      <c r="E60" s="140"/>
      <c r="F60" s="140"/>
      <c r="G60" s="140"/>
      <c r="H60" s="112">
        <f t="shared" si="6"/>
        <v>0</v>
      </c>
      <c r="I60" s="140"/>
      <c r="J60" s="140">
        <v>53</v>
      </c>
      <c r="K60" s="140"/>
      <c r="L60" s="140" t="s">
        <v>79</v>
      </c>
      <c r="M60" s="140">
        <v>183</v>
      </c>
      <c r="N60" s="140">
        <v>72</v>
      </c>
      <c r="O60" s="119" t="str">
        <f t="shared" si="7"/>
        <v>16 OZ, 17 (14+3)</v>
      </c>
      <c r="P60" s="112" t="str">
        <f t="shared" si="8"/>
        <v>183/72</v>
      </c>
      <c r="Q60" s="141"/>
      <c r="R60" s="140"/>
      <c r="S60" s="112" t="str">
        <f t="shared" si="9"/>
        <v/>
      </c>
      <c r="T60" s="1" t="str">
        <f t="shared" si="10"/>
        <v>Bräuer</v>
      </c>
      <c r="U60" s="1" t="str">
        <f t="shared" si="11"/>
        <v>Bräuer</v>
      </c>
      <c r="V60" s="112">
        <f t="shared" si="12"/>
        <v>1</v>
      </c>
      <c r="W60" s="112" t="str">
        <f t="shared" si="13"/>
        <v>M</v>
      </c>
      <c r="X60" s="140"/>
      <c r="Y60" s="140"/>
      <c r="Z60" s="140"/>
      <c r="AA60" s="139"/>
    </row>
    <row r="61" spans="2:27" ht="15" customHeight="1" x14ac:dyDescent="0.25">
      <c r="B61" s="139" t="s">
        <v>259</v>
      </c>
      <c r="C61" s="138">
        <v>34289</v>
      </c>
      <c r="D61" s="112">
        <f t="shared" ca="1" si="5"/>
        <v>27</v>
      </c>
      <c r="E61" s="140"/>
      <c r="F61" s="140"/>
      <c r="G61" s="140"/>
      <c r="H61" s="112">
        <f t="shared" si="6"/>
        <v>0</v>
      </c>
      <c r="I61" s="140"/>
      <c r="J61" s="140">
        <v>86</v>
      </c>
      <c r="K61" s="140"/>
      <c r="L61" s="140" t="s">
        <v>79</v>
      </c>
      <c r="M61" s="140">
        <v>168</v>
      </c>
      <c r="N61" s="140">
        <v>69</v>
      </c>
      <c r="O61" s="119" t="str">
        <f t="shared" si="7"/>
        <v>18 OZ, 26 (11+15)</v>
      </c>
      <c r="P61" s="112" t="str">
        <f t="shared" si="8"/>
        <v>168/69</v>
      </c>
      <c r="Q61" s="141"/>
      <c r="R61" s="140"/>
      <c r="S61" s="112" t="str">
        <f t="shared" si="9"/>
        <v/>
      </c>
      <c r="T61" s="1" t="str">
        <f t="shared" si="10"/>
        <v>Matejčík</v>
      </c>
      <c r="U61" s="1" t="str">
        <f t="shared" si="11"/>
        <v>Matejčík</v>
      </c>
      <c r="V61" s="112">
        <f t="shared" si="12"/>
        <v>1</v>
      </c>
      <c r="W61" s="112" t="str">
        <f t="shared" si="13"/>
        <v>M</v>
      </c>
      <c r="X61" s="140"/>
      <c r="Y61" s="140"/>
      <c r="Z61" s="140"/>
      <c r="AA61" s="139"/>
    </row>
    <row r="62" spans="2:27" ht="15" customHeight="1" x14ac:dyDescent="0.25">
      <c r="B62" s="139" t="s">
        <v>271</v>
      </c>
      <c r="C62" s="138">
        <v>33254</v>
      </c>
      <c r="D62" s="112">
        <f t="shared" ca="1" si="5"/>
        <v>30</v>
      </c>
      <c r="E62" s="140"/>
      <c r="F62" s="140"/>
      <c r="G62" s="140"/>
      <c r="H62" s="112">
        <f t="shared" si="6"/>
        <v>0</v>
      </c>
      <c r="I62" s="140"/>
      <c r="J62" s="140">
        <v>43</v>
      </c>
      <c r="K62" s="140"/>
      <c r="L62" s="140" t="s">
        <v>79</v>
      </c>
      <c r="M62" s="140">
        <v>179</v>
      </c>
      <c r="N62" s="140">
        <v>76</v>
      </c>
      <c r="O62" s="119" t="str">
        <f t="shared" si="7"/>
        <v>10 OZ, 3 (1+2)</v>
      </c>
      <c r="P62" s="112" t="str">
        <f t="shared" si="8"/>
        <v>179/76</v>
      </c>
      <c r="Q62" s="141"/>
      <c r="R62" s="140"/>
      <c r="S62" s="112" t="str">
        <f t="shared" si="9"/>
        <v/>
      </c>
      <c r="T62" s="1" t="str">
        <f t="shared" si="10"/>
        <v>Švajný</v>
      </c>
      <c r="U62" s="1" t="str">
        <f t="shared" si="11"/>
        <v>Švajný</v>
      </c>
      <c r="V62" s="112">
        <f t="shared" si="12"/>
        <v>1</v>
      </c>
      <c r="W62" s="112" t="str">
        <f t="shared" si="13"/>
        <v>M</v>
      </c>
      <c r="X62" s="140"/>
      <c r="Y62" s="140"/>
      <c r="Z62" s="140"/>
      <c r="AA62" s="139"/>
    </row>
    <row r="63" spans="2:27" ht="15" customHeight="1" x14ac:dyDescent="0.25">
      <c r="B63" s="139" t="s">
        <v>268</v>
      </c>
      <c r="C63" s="138">
        <v>33949</v>
      </c>
      <c r="D63" s="112">
        <f t="shared" ca="1" si="5"/>
        <v>28</v>
      </c>
      <c r="E63" s="140"/>
      <c r="F63" s="140"/>
      <c r="G63" s="140"/>
      <c r="H63" s="112">
        <f t="shared" si="6"/>
        <v>0</v>
      </c>
      <c r="I63" s="140"/>
      <c r="J63" s="140">
        <v>23</v>
      </c>
      <c r="K63" s="140"/>
      <c r="L63" s="140" t="s">
        <v>79</v>
      </c>
      <c r="M63" s="140">
        <v>179</v>
      </c>
      <c r="N63" s="140">
        <v>69</v>
      </c>
      <c r="O63" s="119" t="str">
        <f t="shared" si="7"/>
        <v>17 OZ, 7 (0+7)</v>
      </c>
      <c r="P63" s="112" t="str">
        <f t="shared" si="8"/>
        <v>179/69</v>
      </c>
      <c r="Q63" s="141"/>
      <c r="R63" s="140"/>
      <c r="S63" s="112" t="str">
        <f t="shared" si="9"/>
        <v/>
      </c>
      <c r="T63" s="1" t="str">
        <f t="shared" si="10"/>
        <v>Nehera</v>
      </c>
      <c r="U63" s="1" t="str">
        <f t="shared" si="11"/>
        <v>Nehera</v>
      </c>
      <c r="V63" s="112">
        <f t="shared" si="12"/>
        <v>1</v>
      </c>
      <c r="W63" s="112" t="str">
        <f t="shared" si="13"/>
        <v>M</v>
      </c>
      <c r="X63" s="140"/>
      <c r="Y63" s="140"/>
      <c r="Z63" s="140"/>
      <c r="AA63" s="139"/>
    </row>
    <row r="64" spans="2:27" ht="15" customHeight="1" x14ac:dyDescent="0.25">
      <c r="B64" s="142" t="s">
        <v>257</v>
      </c>
      <c r="C64" s="138">
        <v>36599</v>
      </c>
      <c r="D64" s="112">
        <f t="shared" ca="1" si="5"/>
        <v>20</v>
      </c>
      <c r="E64" s="140"/>
      <c r="F64" s="140"/>
      <c r="G64" s="140"/>
      <c r="H64" s="112">
        <f t="shared" si="6"/>
        <v>0</v>
      </c>
      <c r="I64" s="140"/>
      <c r="J64" s="140">
        <v>25</v>
      </c>
      <c r="K64" s="140"/>
      <c r="L64" s="140" t="s">
        <v>79</v>
      </c>
      <c r="M64" s="140">
        <v>186</v>
      </c>
      <c r="N64" s="140">
        <v>81</v>
      </c>
      <c r="O64" s="119" t="str">
        <f t="shared" si="7"/>
        <v>18 OZ, 41 (10+31)</v>
      </c>
      <c r="P64" s="112" t="str">
        <f t="shared" si="8"/>
        <v>186/81</v>
      </c>
      <c r="Q64" s="141"/>
      <c r="R64" s="140"/>
      <c r="S64" s="112" t="str">
        <f t="shared" si="9"/>
        <v/>
      </c>
      <c r="T64" s="1" t="str">
        <f t="shared" si="10"/>
        <v>Šindler</v>
      </c>
      <c r="U64" s="1" t="str">
        <f t="shared" si="11"/>
        <v>Šindler</v>
      </c>
      <c r="V64" s="112">
        <f t="shared" si="12"/>
        <v>1</v>
      </c>
      <c r="W64" s="112" t="str">
        <f t="shared" si="13"/>
        <v>M</v>
      </c>
      <c r="X64" s="140"/>
      <c r="Y64" s="140"/>
      <c r="Z64" s="140"/>
      <c r="AA64" s="139"/>
    </row>
    <row r="65" spans="2:27" ht="15" customHeight="1" x14ac:dyDescent="0.25">
      <c r="B65" s="139" t="s">
        <v>263</v>
      </c>
      <c r="C65" s="138">
        <v>37063</v>
      </c>
      <c r="D65" s="112">
        <f t="shared" ca="1" si="5"/>
        <v>19</v>
      </c>
      <c r="E65" s="140"/>
      <c r="F65" s="140"/>
      <c r="G65" s="140"/>
      <c r="H65" s="112">
        <f t="shared" si="6"/>
        <v>0</v>
      </c>
      <c r="I65" s="140"/>
      <c r="J65" s="140">
        <v>18</v>
      </c>
      <c r="K65" s="140"/>
      <c r="L65" s="140" t="s">
        <v>79</v>
      </c>
      <c r="M65" s="140">
        <v>186</v>
      </c>
      <c r="N65" s="140">
        <v>70</v>
      </c>
      <c r="O65" s="119" t="str">
        <f t="shared" si="7"/>
        <v>18 OZ, 15 (6+9)</v>
      </c>
      <c r="P65" s="112" t="str">
        <f t="shared" si="8"/>
        <v>186/70</v>
      </c>
      <c r="Q65" s="141"/>
      <c r="R65" s="140"/>
      <c r="S65" s="112" t="str">
        <f t="shared" si="9"/>
        <v/>
      </c>
      <c r="T65" s="1" t="str">
        <f t="shared" si="10"/>
        <v>Sidunov</v>
      </c>
      <c r="U65" s="1" t="str">
        <f t="shared" si="11"/>
        <v>Sidunov</v>
      </c>
      <c r="V65" s="112">
        <f t="shared" si="12"/>
        <v>1</v>
      </c>
      <c r="W65" s="112" t="str">
        <f t="shared" si="13"/>
        <v>O</v>
      </c>
      <c r="X65" s="140"/>
      <c r="Y65" s="140"/>
      <c r="Z65" s="140"/>
      <c r="AA65" s="139"/>
    </row>
    <row r="66" spans="2:27" ht="15" customHeight="1" x14ac:dyDescent="0.25">
      <c r="B66" s="139" t="s">
        <v>275</v>
      </c>
      <c r="C66" s="138"/>
      <c r="D66" s="112" t="str">
        <f t="shared" si="5"/>
        <v/>
      </c>
      <c r="E66" s="140"/>
      <c r="F66" s="140"/>
      <c r="G66" s="140"/>
      <c r="H66" s="112">
        <f t="shared" si="6"/>
        <v>0</v>
      </c>
      <c r="I66" s="140"/>
      <c r="J66" s="140"/>
      <c r="K66" s="140"/>
      <c r="L66" s="140"/>
      <c r="M66" s="140"/>
      <c r="N66" s="140"/>
      <c r="O66" s="119" t="str">
        <f t="shared" si="7"/>
        <v>1 OZ, 0 (0+0)</v>
      </c>
      <c r="P66" s="112" t="str">
        <f t="shared" si="8"/>
        <v/>
      </c>
      <c r="Q66" s="141"/>
      <c r="R66" s="140"/>
      <c r="S66" s="112" t="str">
        <f t="shared" si="9"/>
        <v/>
      </c>
      <c r="T66" s="1" t="str">
        <f t="shared" si="10"/>
        <v>Svoboda</v>
      </c>
      <c r="U66" s="1" t="str">
        <f t="shared" si="11"/>
        <v>Svoboda</v>
      </c>
      <c r="V66" s="112">
        <f t="shared" si="12"/>
        <v>1</v>
      </c>
      <c r="W66" s="112" t="str">
        <f t="shared" si="13"/>
        <v>O</v>
      </c>
      <c r="X66" s="140"/>
      <c r="Y66" s="140"/>
      <c r="Z66" s="140"/>
      <c r="AA66" s="139"/>
    </row>
    <row r="67" spans="2:27" ht="15" customHeight="1" x14ac:dyDescent="0.25">
      <c r="B67" s="142" t="s">
        <v>256</v>
      </c>
      <c r="C67" s="138">
        <v>36934</v>
      </c>
      <c r="D67" s="112">
        <f t="shared" ca="1" si="5"/>
        <v>19</v>
      </c>
      <c r="E67" s="140"/>
      <c r="F67" s="140"/>
      <c r="G67" s="140"/>
      <c r="H67" s="112">
        <f t="shared" si="6"/>
        <v>0</v>
      </c>
      <c r="I67" s="140"/>
      <c r="J67" s="140">
        <v>13</v>
      </c>
      <c r="K67" s="140"/>
      <c r="L67" s="140" t="s">
        <v>41</v>
      </c>
      <c r="M67" s="140">
        <v>171</v>
      </c>
      <c r="N67" s="140">
        <v>70</v>
      </c>
      <c r="O67" s="119" t="str">
        <f t="shared" si="7"/>
        <v>18 OZ, 41 (27+14)</v>
      </c>
      <c r="P67" s="112" t="str">
        <f t="shared" si="8"/>
        <v>171/70</v>
      </c>
      <c r="Q67" s="141"/>
      <c r="R67" s="140"/>
      <c r="S67" s="112" t="str">
        <f t="shared" si="9"/>
        <v/>
      </c>
      <c r="T67" s="1" t="str">
        <f t="shared" si="10"/>
        <v>Gattnar</v>
      </c>
      <c r="U67" s="1" t="str">
        <f t="shared" si="11"/>
        <v>Gattnar</v>
      </c>
      <c r="V67" s="112">
        <f t="shared" si="12"/>
        <v>1</v>
      </c>
      <c r="W67" s="112" t="str">
        <f t="shared" si="13"/>
        <v>R</v>
      </c>
      <c r="X67" s="140"/>
      <c r="Y67" s="140"/>
      <c r="Z67" s="140"/>
      <c r="AA67" s="139"/>
    </row>
    <row r="68" spans="2:27" ht="15" customHeight="1" x14ac:dyDescent="0.25">
      <c r="B68" s="139" t="s">
        <v>272</v>
      </c>
      <c r="C68" s="138">
        <v>36640</v>
      </c>
      <c r="D68" s="112">
        <f t="shared" ca="1" si="5"/>
        <v>20</v>
      </c>
      <c r="E68" s="140"/>
      <c r="F68" s="140"/>
      <c r="G68" s="140"/>
      <c r="H68" s="112">
        <f t="shared" si="6"/>
        <v>0</v>
      </c>
      <c r="I68" s="140"/>
      <c r="J68" s="140">
        <v>47</v>
      </c>
      <c r="K68" s="140"/>
      <c r="L68" s="140" t="s">
        <v>79</v>
      </c>
      <c r="M68" s="140">
        <v>189</v>
      </c>
      <c r="N68" s="140">
        <v>80</v>
      </c>
      <c r="O68" s="119" t="str">
        <f t="shared" si="7"/>
        <v>18 OZ, 3 (1+2)</v>
      </c>
      <c r="P68" s="112" t="str">
        <f t="shared" si="8"/>
        <v>189/80</v>
      </c>
      <c r="Q68" s="141"/>
      <c r="R68" s="140"/>
      <c r="S68" s="112" t="str">
        <f t="shared" si="9"/>
        <v/>
      </c>
      <c r="T68" s="1" t="str">
        <f t="shared" si="10"/>
        <v>Hatala</v>
      </c>
      <c r="U68" s="1" t="str">
        <f t="shared" si="11"/>
        <v>Hatala</v>
      </c>
      <c r="V68" s="112">
        <f t="shared" si="12"/>
        <v>1</v>
      </c>
      <c r="W68" s="112" t="str">
        <f t="shared" si="13"/>
        <v>Š</v>
      </c>
      <c r="X68" s="140"/>
      <c r="Y68" s="140"/>
      <c r="Z68" s="140"/>
      <c r="AA68" s="139"/>
    </row>
    <row r="69" spans="2:27" ht="15" customHeight="1" x14ac:dyDescent="0.25">
      <c r="B69" s="139" t="s">
        <v>265</v>
      </c>
      <c r="C69" s="138">
        <v>36436</v>
      </c>
      <c r="D69" s="112">
        <f t="shared" ca="1" si="5"/>
        <v>21</v>
      </c>
      <c r="E69" s="140"/>
      <c r="F69" s="140"/>
      <c r="G69" s="140"/>
      <c r="H69" s="112">
        <f t="shared" si="6"/>
        <v>0</v>
      </c>
      <c r="I69" s="140"/>
      <c r="J69" s="140">
        <v>7</v>
      </c>
      <c r="K69" s="140"/>
      <c r="L69" s="140" t="s">
        <v>41</v>
      </c>
      <c r="M69" s="140">
        <v>175</v>
      </c>
      <c r="N69" s="140">
        <v>65</v>
      </c>
      <c r="O69" s="119" t="str">
        <f t="shared" si="7"/>
        <v>15 OZ, 10 (4+6)</v>
      </c>
      <c r="P69" s="112" t="str">
        <f t="shared" si="8"/>
        <v>175/65</v>
      </c>
      <c r="Q69" s="141"/>
      <c r="R69" s="140"/>
      <c r="S69" s="112" t="str">
        <f t="shared" si="9"/>
        <v/>
      </c>
      <c r="T69" s="1" t="str">
        <f t="shared" si="10"/>
        <v>Kuczera</v>
      </c>
      <c r="U69" s="1" t="str">
        <f t="shared" si="11"/>
        <v>Kuczera</v>
      </c>
      <c r="V69" s="112">
        <f t="shared" si="12"/>
        <v>1</v>
      </c>
      <c r="W69" s="112" t="str">
        <f t="shared" si="13"/>
        <v>Š</v>
      </c>
      <c r="X69" s="140"/>
      <c r="Y69" s="140"/>
      <c r="Z69" s="140"/>
      <c r="AA69" s="139"/>
    </row>
    <row r="70" spans="2:27" ht="15" customHeight="1" x14ac:dyDescent="0.25">
      <c r="B70" s="139" t="s">
        <v>273</v>
      </c>
      <c r="C70" s="138">
        <v>37275</v>
      </c>
      <c r="D70" s="112">
        <f t="shared" ca="1" si="5"/>
        <v>18</v>
      </c>
      <c r="E70" s="140"/>
      <c r="F70" s="140"/>
      <c r="G70" s="140"/>
      <c r="H70" s="112">
        <f t="shared" si="6"/>
        <v>0</v>
      </c>
      <c r="I70" s="140"/>
      <c r="J70" s="140">
        <v>92</v>
      </c>
      <c r="K70" s="140"/>
      <c r="L70" s="140" t="s">
        <v>41</v>
      </c>
      <c r="M70" s="140">
        <v>184</v>
      </c>
      <c r="N70" s="140">
        <v>69</v>
      </c>
      <c r="O70" s="119" t="str">
        <f t="shared" si="7"/>
        <v>14 OZ, 3 (2+1)</v>
      </c>
      <c r="P70" s="112" t="str">
        <f t="shared" si="8"/>
        <v>184/69</v>
      </c>
      <c r="Q70" s="141"/>
      <c r="R70" s="140"/>
      <c r="S70" s="112" t="str">
        <f t="shared" si="9"/>
        <v/>
      </c>
      <c r="T70" s="1" t="str">
        <f t="shared" si="10"/>
        <v>Kaleta</v>
      </c>
      <c r="U70" s="1" t="str">
        <f t="shared" si="11"/>
        <v>Kaleta</v>
      </c>
      <c r="V70" s="112">
        <f t="shared" si="12"/>
        <v>1</v>
      </c>
      <c r="W70" s="112" t="str">
        <f t="shared" si="13"/>
        <v>Š</v>
      </c>
      <c r="X70" s="140"/>
      <c r="Y70" s="140"/>
      <c r="Z70" s="140"/>
      <c r="AA70" s="139"/>
    </row>
    <row r="71" spans="2:27" ht="15" customHeight="1" x14ac:dyDescent="0.25">
      <c r="B71" s="139" t="s">
        <v>266</v>
      </c>
      <c r="C71" s="138">
        <v>31633</v>
      </c>
      <c r="D71" s="112">
        <f t="shared" ca="1" si="5"/>
        <v>34</v>
      </c>
      <c r="E71" s="140"/>
      <c r="F71" s="140"/>
      <c r="G71" s="140"/>
      <c r="H71" s="112">
        <f t="shared" si="6"/>
        <v>0</v>
      </c>
      <c r="I71" s="140"/>
      <c r="J71" s="140">
        <v>11</v>
      </c>
      <c r="K71" s="140" t="s">
        <v>223</v>
      </c>
      <c r="L71" s="140" t="s">
        <v>79</v>
      </c>
      <c r="M71" s="140">
        <v>186</v>
      </c>
      <c r="N71" s="140">
        <v>80</v>
      </c>
      <c r="O71" s="119" t="str">
        <f t="shared" si="7"/>
        <v>16 OZ, 9 (3+6)</v>
      </c>
      <c r="P71" s="112" t="str">
        <f t="shared" si="8"/>
        <v>186/80</v>
      </c>
      <c r="Q71" s="141"/>
      <c r="R71" s="140"/>
      <c r="S71" s="112" t="str">
        <f t="shared" si="9"/>
        <v/>
      </c>
      <c r="T71" s="1" t="str">
        <f t="shared" si="10"/>
        <v>Sladký</v>
      </c>
      <c r="U71" s="1" t="str">
        <f t="shared" si="11"/>
        <v>Sladký</v>
      </c>
      <c r="V71" s="112">
        <f t="shared" si="12"/>
        <v>1</v>
      </c>
      <c r="W71" s="112" t="str">
        <f t="shared" si="13"/>
        <v>T</v>
      </c>
      <c r="X71" s="140"/>
      <c r="Y71" s="140"/>
      <c r="Z71" s="140"/>
      <c r="AA71" s="139"/>
    </row>
    <row r="72" spans="2:27" ht="15" customHeight="1" x14ac:dyDescent="0.25">
      <c r="B72" s="139"/>
      <c r="C72" s="138"/>
      <c r="D72" s="112" t="str">
        <f t="shared" si="5"/>
        <v/>
      </c>
      <c r="E72" s="140"/>
      <c r="F72" s="140"/>
      <c r="G72" s="140"/>
      <c r="H72" s="112" t="str">
        <f t="shared" si="6"/>
        <v/>
      </c>
      <c r="I72" s="140"/>
      <c r="J72" s="140"/>
      <c r="K72" s="140"/>
      <c r="L72" s="140"/>
      <c r="M72" s="140"/>
      <c r="N72" s="140"/>
      <c r="O72" s="119" t="str">
        <f t="shared" si="7"/>
        <v/>
      </c>
      <c r="P72" s="112" t="str">
        <f t="shared" si="8"/>
        <v/>
      </c>
      <c r="Q72" s="141"/>
      <c r="R72" s="140"/>
      <c r="S72" s="112" t="str">
        <f t="shared" si="9"/>
        <v/>
      </c>
      <c r="T72" s="1" t="str">
        <f t="shared" si="10"/>
        <v/>
      </c>
      <c r="U72" s="1" t="str">
        <f t="shared" si="11"/>
        <v/>
      </c>
      <c r="V72" s="112" t="str">
        <f t="shared" si="12"/>
        <v/>
      </c>
      <c r="W72" s="112" t="str">
        <f t="shared" si="13"/>
        <v/>
      </c>
      <c r="X72" s="140"/>
      <c r="Y72" s="140"/>
      <c r="Z72" s="140"/>
      <c r="AA72" s="139"/>
    </row>
    <row r="73" spans="2:27" ht="15" customHeight="1" x14ac:dyDescent="0.25">
      <c r="B73" s="139"/>
      <c r="C73" s="138"/>
      <c r="D73" s="112" t="str">
        <f t="shared" si="5"/>
        <v/>
      </c>
      <c r="E73" s="140"/>
      <c r="F73" s="140"/>
      <c r="G73" s="140"/>
      <c r="H73" s="112" t="str">
        <f t="shared" si="6"/>
        <v/>
      </c>
      <c r="I73" s="140"/>
      <c r="J73" s="140"/>
      <c r="K73" s="140"/>
      <c r="L73" s="140"/>
      <c r="M73" s="140"/>
      <c r="N73" s="140"/>
      <c r="O73" s="119" t="str">
        <f t="shared" si="7"/>
        <v/>
      </c>
      <c r="P73" s="112" t="str">
        <f t="shared" si="8"/>
        <v/>
      </c>
      <c r="Q73" s="141"/>
      <c r="R73" s="140"/>
      <c r="S73" s="112" t="str">
        <f t="shared" si="9"/>
        <v/>
      </c>
      <c r="T73" s="1" t="str">
        <f t="shared" si="10"/>
        <v/>
      </c>
      <c r="U73" s="1" t="str">
        <f t="shared" si="11"/>
        <v/>
      </c>
      <c r="V73" s="112" t="str">
        <f t="shared" si="12"/>
        <v/>
      </c>
      <c r="W73" s="112" t="str">
        <f t="shared" si="13"/>
        <v/>
      </c>
      <c r="X73" s="140"/>
      <c r="Y73" s="140"/>
      <c r="Z73" s="140"/>
      <c r="AA73" s="139"/>
    </row>
    <row r="74" spans="2:27" ht="15" customHeight="1" x14ac:dyDescent="0.25">
      <c r="B74" s="139"/>
      <c r="C74" s="138"/>
      <c r="D74" s="112" t="str">
        <f t="shared" si="5"/>
        <v/>
      </c>
      <c r="E74" s="140"/>
      <c r="F74" s="140"/>
      <c r="G74" s="140"/>
      <c r="H74" s="112" t="str">
        <f t="shared" si="6"/>
        <v/>
      </c>
      <c r="I74" s="140"/>
      <c r="J74" s="140"/>
      <c r="K74" s="140"/>
      <c r="L74" s="140"/>
      <c r="M74" s="140"/>
      <c r="N74" s="140"/>
      <c r="O74" s="119" t="str">
        <f t="shared" si="7"/>
        <v/>
      </c>
      <c r="P74" s="112" t="str">
        <f t="shared" si="8"/>
        <v/>
      </c>
      <c r="Q74" s="141"/>
      <c r="R74" s="140"/>
      <c r="S74" s="112" t="str">
        <f t="shared" si="9"/>
        <v/>
      </c>
      <c r="T74" s="1" t="str">
        <f t="shared" si="10"/>
        <v/>
      </c>
      <c r="U74" s="1" t="str">
        <f t="shared" si="11"/>
        <v/>
      </c>
      <c r="V74" s="112" t="str">
        <f t="shared" si="12"/>
        <v/>
      </c>
      <c r="W74" s="112" t="str">
        <f t="shared" si="13"/>
        <v/>
      </c>
      <c r="X74" s="140"/>
      <c r="Y74" s="140"/>
      <c r="Z74" s="140"/>
      <c r="AA74" s="139"/>
    </row>
    <row r="75" spans="2:27" ht="15" customHeight="1" x14ac:dyDescent="0.25">
      <c r="B75" s="139"/>
      <c r="C75" s="138"/>
      <c r="D75" s="112" t="str">
        <f t="shared" si="5"/>
        <v/>
      </c>
      <c r="E75" s="140"/>
      <c r="F75" s="140"/>
      <c r="G75" s="140"/>
      <c r="H75" s="112" t="str">
        <f t="shared" si="6"/>
        <v/>
      </c>
      <c r="I75" s="140"/>
      <c r="J75" s="140"/>
      <c r="K75" s="140"/>
      <c r="L75" s="140"/>
      <c r="M75" s="140"/>
      <c r="N75" s="140"/>
      <c r="O75" s="119" t="str">
        <f t="shared" si="7"/>
        <v/>
      </c>
      <c r="P75" s="112" t="str">
        <f t="shared" si="8"/>
        <v/>
      </c>
      <c r="Q75" s="141"/>
      <c r="R75" s="140"/>
      <c r="S75" s="112" t="str">
        <f t="shared" si="9"/>
        <v/>
      </c>
      <c r="T75" s="1" t="str">
        <f t="shared" si="10"/>
        <v/>
      </c>
      <c r="U75" s="1" t="str">
        <f t="shared" si="11"/>
        <v/>
      </c>
      <c r="V75" s="112" t="str">
        <f t="shared" si="12"/>
        <v/>
      </c>
      <c r="W75" s="112" t="str">
        <f t="shared" si="13"/>
        <v/>
      </c>
      <c r="X75" s="140"/>
      <c r="Y75" s="140"/>
      <c r="Z75" s="140"/>
      <c r="AA75" s="139"/>
    </row>
    <row r="76" spans="2:27" ht="15" customHeight="1" x14ac:dyDescent="0.25">
      <c r="B76" s="139"/>
      <c r="C76" s="138"/>
      <c r="D76" s="112" t="str">
        <f t="shared" si="5"/>
        <v/>
      </c>
      <c r="E76" s="140"/>
      <c r="F76" s="140"/>
      <c r="G76" s="140"/>
      <c r="H76" s="112" t="str">
        <f t="shared" si="6"/>
        <v/>
      </c>
      <c r="I76" s="140"/>
      <c r="J76" s="140"/>
      <c r="K76" s="140"/>
      <c r="L76" s="140"/>
      <c r="M76" s="140"/>
      <c r="N76" s="140"/>
      <c r="O76" s="119" t="str">
        <f t="shared" si="7"/>
        <v/>
      </c>
      <c r="P76" s="112" t="str">
        <f t="shared" si="8"/>
        <v/>
      </c>
      <c r="Q76" s="141"/>
      <c r="R76" s="140"/>
      <c r="S76" s="112" t="str">
        <f t="shared" si="9"/>
        <v/>
      </c>
      <c r="T76" s="1" t="str">
        <f t="shared" si="10"/>
        <v/>
      </c>
      <c r="U76" s="1" t="str">
        <f t="shared" si="11"/>
        <v/>
      </c>
      <c r="V76" s="112" t="str">
        <f t="shared" si="12"/>
        <v/>
      </c>
      <c r="W76" s="112" t="str">
        <f t="shared" si="13"/>
        <v/>
      </c>
      <c r="X76" s="140"/>
      <c r="Y76" s="140"/>
      <c r="Z76" s="140"/>
      <c r="AA76" s="139"/>
    </row>
    <row r="77" spans="2:27" ht="15" customHeight="1" x14ac:dyDescent="0.25">
      <c r="B77" s="139"/>
      <c r="C77" s="138"/>
      <c r="D77" s="112" t="str">
        <f t="shared" si="5"/>
        <v/>
      </c>
      <c r="E77" s="140"/>
      <c r="F77" s="140"/>
      <c r="G77" s="140"/>
      <c r="H77" s="112" t="str">
        <f t="shared" si="6"/>
        <v/>
      </c>
      <c r="I77" s="140"/>
      <c r="J77" s="140"/>
      <c r="K77" s="140"/>
      <c r="L77" s="140"/>
      <c r="M77" s="140"/>
      <c r="N77" s="140"/>
      <c r="O77" s="119" t="str">
        <f t="shared" si="7"/>
        <v/>
      </c>
      <c r="P77" s="112" t="str">
        <f t="shared" si="8"/>
        <v/>
      </c>
      <c r="Q77" s="141"/>
      <c r="R77" s="140"/>
      <c r="S77" s="112" t="str">
        <f t="shared" si="9"/>
        <v/>
      </c>
      <c r="T77" s="1" t="str">
        <f t="shared" si="10"/>
        <v/>
      </c>
      <c r="U77" s="1" t="str">
        <f t="shared" si="11"/>
        <v/>
      </c>
      <c r="V77" s="112" t="str">
        <f t="shared" si="12"/>
        <v/>
      </c>
      <c r="W77" s="112" t="str">
        <f t="shared" si="13"/>
        <v/>
      </c>
      <c r="X77" s="140"/>
      <c r="Y77" s="140"/>
      <c r="Z77" s="140"/>
      <c r="AA77" s="139"/>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t="str">
        <f t="shared" si="9"/>
        <v/>
      </c>
      <c r="T78" s="1" t="str">
        <f t="shared" si="10"/>
        <v/>
      </c>
      <c r="U78" s="1" t="str">
        <f t="shared" si="11"/>
        <v/>
      </c>
      <c r="V78" s="112" t="str">
        <f t="shared" si="12"/>
        <v/>
      </c>
      <c r="W78" s="112" t="str">
        <f t="shared" si="13"/>
        <v/>
      </c>
      <c r="X78" s="140"/>
      <c r="Y78" s="140"/>
      <c r="Z78" s="140"/>
      <c r="AA78" s="139"/>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t="str">
        <f t="shared" si="9"/>
        <v/>
      </c>
      <c r="T79" s="1" t="str">
        <f t="shared" si="10"/>
        <v/>
      </c>
      <c r="U79" s="1" t="str">
        <f t="shared" si="11"/>
        <v/>
      </c>
      <c r="V79" s="112" t="str">
        <f t="shared" si="12"/>
        <v/>
      </c>
      <c r="W79" s="112" t="str">
        <f t="shared" si="13"/>
        <v/>
      </c>
      <c r="X79" s="140"/>
      <c r="Y79" s="140"/>
      <c r="Z79" s="140"/>
      <c r="AA79" s="139"/>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t="str">
        <f t="shared" si="9"/>
        <v/>
      </c>
      <c r="T80" s="1" t="str">
        <f t="shared" si="10"/>
        <v/>
      </c>
      <c r="U80" s="1" t="str">
        <f t="shared" si="11"/>
        <v/>
      </c>
      <c r="V80" s="112" t="str">
        <f t="shared" si="12"/>
        <v/>
      </c>
      <c r="W80" s="112" t="str">
        <f t="shared" si="13"/>
        <v/>
      </c>
      <c r="X80" s="140"/>
      <c r="Y80" s="140"/>
      <c r="Z80" s="140"/>
      <c r="AA80" s="139"/>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t="str">
        <f t="shared" si="9"/>
        <v/>
      </c>
      <c r="T81" s="1" t="str">
        <f t="shared" si="10"/>
        <v/>
      </c>
      <c r="U81" s="1" t="str">
        <f t="shared" si="11"/>
        <v/>
      </c>
      <c r="V81" s="112" t="str">
        <f t="shared" si="12"/>
        <v/>
      </c>
      <c r="W81" s="112" t="str">
        <f t="shared" si="13"/>
        <v/>
      </c>
      <c r="X81" s="140"/>
      <c r="Y81" s="140"/>
      <c r="Z81" s="140"/>
      <c r="AA81" s="139"/>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t="str">
        <f t="shared" si="9"/>
        <v/>
      </c>
      <c r="T82" s="1" t="str">
        <f t="shared" si="10"/>
        <v/>
      </c>
      <c r="U82" s="1" t="str">
        <f t="shared" si="11"/>
        <v/>
      </c>
      <c r="V82" s="112" t="str">
        <f t="shared" si="12"/>
        <v/>
      </c>
      <c r="W82" s="112" t="str">
        <f t="shared" si="13"/>
        <v/>
      </c>
      <c r="X82" s="140"/>
      <c r="Y82" s="140"/>
      <c r="Z82" s="140"/>
      <c r="AA82" s="139"/>
    </row>
    <row r="84" spans="1:27" s="99" customFormat="1" ht="15" customHeight="1" x14ac:dyDescent="0.25">
      <c r="A84" s="7">
        <f ca="1">TODAY()</f>
        <v>44214</v>
      </c>
      <c r="B84" s="99" t="s">
        <v>60</v>
      </c>
      <c r="C84" s="99" t="s">
        <v>67</v>
      </c>
      <c r="D84" s="99" t="s">
        <v>68</v>
      </c>
      <c r="E84" s="346" t="s">
        <v>95</v>
      </c>
      <c r="F84" s="346"/>
      <c r="G84" s="346" t="s">
        <v>101</v>
      </c>
      <c r="H84" s="346"/>
      <c r="I84" s="346"/>
      <c r="J84" s="346"/>
      <c r="K84" s="346"/>
      <c r="Q84" s="9"/>
      <c r="X84" s="110"/>
      <c r="Y84" s="110"/>
      <c r="Z84" s="110"/>
    </row>
    <row r="85" spans="1:27" ht="30" customHeight="1" x14ac:dyDescent="0.25">
      <c r="B85" s="139" t="s">
        <v>279</v>
      </c>
      <c r="C85" s="138">
        <v>31830</v>
      </c>
      <c r="D85" s="112">
        <f ca="1">IF(B85&lt;&gt;0,ROUNDDOWN(($A$84-C85)/365.25,0),"")</f>
        <v>33</v>
      </c>
      <c r="E85" s="344" t="s">
        <v>189</v>
      </c>
      <c r="F85" s="344"/>
      <c r="G85" s="344" t="s">
        <v>280</v>
      </c>
      <c r="H85" s="344"/>
      <c r="I85" s="344"/>
      <c r="J85" s="344"/>
      <c r="K85" s="344"/>
    </row>
    <row r="86" spans="1:27" ht="30" customHeight="1" x14ac:dyDescent="0.25">
      <c r="B86" s="139" t="s">
        <v>281</v>
      </c>
      <c r="C86" s="138">
        <v>33988</v>
      </c>
      <c r="D86" s="112">
        <f t="shared" ref="D86:D92" ca="1" si="14">IF(B86&lt;&gt;0,ROUNDDOWN(($A$84-C86)/365.25,0),"")</f>
        <v>27</v>
      </c>
      <c r="E86" s="344" t="s">
        <v>192</v>
      </c>
      <c r="F86" s="344"/>
      <c r="G86" s="344" t="s">
        <v>30</v>
      </c>
      <c r="H86" s="344"/>
      <c r="I86" s="344"/>
      <c r="J86" s="344"/>
      <c r="K86" s="344"/>
    </row>
    <row r="87" spans="1:27" ht="30" customHeight="1" x14ac:dyDescent="0.25">
      <c r="B87" s="139" t="s">
        <v>282</v>
      </c>
      <c r="C87" s="138">
        <v>35289</v>
      </c>
      <c r="D87" s="112">
        <f t="shared" ca="1" si="14"/>
        <v>24</v>
      </c>
      <c r="E87" s="344" t="s">
        <v>283</v>
      </c>
      <c r="F87" s="344"/>
      <c r="G87" s="344" t="s">
        <v>30</v>
      </c>
      <c r="H87" s="344"/>
      <c r="I87" s="344"/>
      <c r="J87" s="344"/>
      <c r="K87" s="344"/>
    </row>
    <row r="88" spans="1:27" ht="30" customHeight="1" x14ac:dyDescent="0.25">
      <c r="B88" s="139" t="s">
        <v>284</v>
      </c>
      <c r="C88" s="138">
        <v>24331</v>
      </c>
      <c r="D88" s="112">
        <f t="shared" ca="1" si="14"/>
        <v>54</v>
      </c>
      <c r="E88" s="344" t="s">
        <v>283</v>
      </c>
      <c r="F88" s="344"/>
      <c r="G88" s="344" t="s">
        <v>30</v>
      </c>
      <c r="H88" s="344"/>
      <c r="I88" s="344"/>
      <c r="J88" s="344"/>
      <c r="K88" s="344"/>
    </row>
    <row r="89" spans="1:27" ht="30" customHeight="1" x14ac:dyDescent="0.25">
      <c r="B89" s="139" t="s">
        <v>285</v>
      </c>
      <c r="C89" s="138">
        <v>31439</v>
      </c>
      <c r="D89" s="112">
        <f t="shared" ca="1" si="14"/>
        <v>34</v>
      </c>
      <c r="E89" s="344" t="s">
        <v>102</v>
      </c>
      <c r="F89" s="344"/>
      <c r="G89" s="344" t="s">
        <v>30</v>
      </c>
      <c r="H89" s="344"/>
      <c r="I89" s="344"/>
      <c r="J89" s="344"/>
      <c r="K89" s="344"/>
    </row>
    <row r="90" spans="1:27" ht="30" customHeight="1" x14ac:dyDescent="0.25">
      <c r="B90" s="139"/>
      <c r="C90" s="139"/>
      <c r="D90" s="112" t="str">
        <f t="shared" si="14"/>
        <v/>
      </c>
      <c r="E90" s="344"/>
      <c r="F90" s="344"/>
      <c r="G90" s="344"/>
      <c r="H90" s="344"/>
      <c r="I90" s="344"/>
      <c r="J90" s="344"/>
      <c r="K90" s="344"/>
    </row>
    <row r="91" spans="1:27" ht="30" customHeight="1" x14ac:dyDescent="0.25">
      <c r="B91" s="139"/>
      <c r="C91" s="139"/>
      <c r="D91" s="112" t="str">
        <f t="shared" si="14"/>
        <v/>
      </c>
      <c r="E91" s="344"/>
      <c r="F91" s="344"/>
      <c r="G91" s="344"/>
      <c r="H91" s="344"/>
      <c r="I91" s="344"/>
      <c r="J91" s="344"/>
      <c r="K91" s="344"/>
    </row>
    <row r="92" spans="1:27" ht="30" customHeight="1" x14ac:dyDescent="0.25">
      <c r="B92" s="139"/>
      <c r="C92" s="139"/>
      <c r="D92" s="112" t="str">
        <f t="shared" si="14"/>
        <v/>
      </c>
      <c r="E92" s="344"/>
      <c r="F92" s="344"/>
      <c r="G92" s="344"/>
      <c r="H92" s="344"/>
      <c r="I92" s="344"/>
      <c r="J92" s="344"/>
      <c r="K92" s="344"/>
    </row>
  </sheetData>
  <sheetProtection algorithmName="SHA-512" hashValue="QYWc9RqqG3kpkr3WlI1PIbtpGT3HBRPmqgSPtJ8ZrdR5iCw0DQb/BhlwDJs9XCriaq8SvBvTgO+qNUjtn44ALA==" saltValue="oE7TCG9cyEgxmf2914v61A==" spinCount="100000" sheet="1" objects="1" scenarios="1" selectLockedCells="1"/>
  <sortState ref="B38:T64">
    <sortCondition ref="B38:B64"/>
  </sortState>
  <mergeCells count="19">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E31" sqref="E31:E40"/>
    </sheetView>
  </sheetViews>
  <sheetFormatPr defaultRowHeight="15" x14ac:dyDescent="0.25"/>
  <cols>
    <col min="2" max="2" width="18.85546875" bestFit="1" customWidth="1"/>
  </cols>
  <sheetData>
    <row r="1" spans="1:6" x14ac:dyDescent="0.25">
      <c r="A1" s="346" t="s">
        <v>36</v>
      </c>
      <c r="B1" s="1" t="s">
        <v>373</v>
      </c>
      <c r="C1" s="181">
        <v>48</v>
      </c>
      <c r="D1" s="347" t="str">
        <f t="shared" ref="D1:D30" si="0">IFERROR(RIGHT(B1,LEN(B1)-SEARCH(" ",B1)),"")</f>
        <v>Adam Delong</v>
      </c>
      <c r="E1" s="347"/>
      <c r="F1" s="132"/>
    </row>
    <row r="2" spans="1:6" x14ac:dyDescent="0.25">
      <c r="A2" s="346"/>
      <c r="B2" s="1" t="s">
        <v>374</v>
      </c>
      <c r="C2" s="181">
        <v>41</v>
      </c>
      <c r="D2" s="347" t="str">
        <f t="shared" si="0"/>
        <v>Rostislav Gattnar</v>
      </c>
      <c r="E2" s="347"/>
      <c r="F2" s="132"/>
    </row>
    <row r="3" spans="1:6" x14ac:dyDescent="0.25">
      <c r="A3" s="346"/>
      <c r="B3" s="1" t="s">
        <v>375</v>
      </c>
      <c r="C3" s="181">
        <v>41</v>
      </c>
      <c r="D3" s="347" t="str">
        <f t="shared" si="0"/>
        <v>Matyáš Šindler</v>
      </c>
      <c r="E3" s="347"/>
      <c r="F3" s="132"/>
    </row>
    <row r="4" spans="1:6" x14ac:dyDescent="0.25">
      <c r="A4" s="346"/>
      <c r="B4" s="1" t="s">
        <v>376</v>
      </c>
      <c r="C4" s="181">
        <v>36</v>
      </c>
      <c r="D4" s="347" t="str">
        <f t="shared" si="0"/>
        <v>Lukáš Hájek</v>
      </c>
      <c r="E4" s="347"/>
      <c r="F4" s="132"/>
    </row>
    <row r="5" spans="1:6" x14ac:dyDescent="0.25">
      <c r="A5" s="346"/>
      <c r="B5" s="1" t="s">
        <v>377</v>
      </c>
      <c r="C5" s="181">
        <v>26</v>
      </c>
      <c r="D5" s="347" t="str">
        <f t="shared" si="0"/>
        <v>Marek Matejčík</v>
      </c>
      <c r="E5" s="347"/>
      <c r="F5" s="132"/>
    </row>
    <row r="6" spans="1:6" x14ac:dyDescent="0.25">
      <c r="A6" s="346" t="s">
        <v>244</v>
      </c>
      <c r="B6" s="1" t="s">
        <v>378</v>
      </c>
      <c r="C6" s="181" t="s">
        <v>379</v>
      </c>
      <c r="D6" s="347" t="str">
        <f t="shared" si="0"/>
        <v>Lukáš Souček</v>
      </c>
      <c r="E6" s="347"/>
      <c r="F6" s="132">
        <f t="shared" ref="F6:F10" si="1">IF(B6&lt;&gt;0,_xlfn.NUMBERVALUE(C6,","),"")</f>
        <v>3.87</v>
      </c>
    </row>
    <row r="7" spans="1:6" x14ac:dyDescent="0.25">
      <c r="A7" s="346"/>
      <c r="B7" s="1" t="s">
        <v>380</v>
      </c>
      <c r="C7" s="181" t="s">
        <v>381</v>
      </c>
      <c r="D7" s="347" t="str">
        <f t="shared" si="0"/>
        <v>Denis Jasiok</v>
      </c>
      <c r="E7" s="347"/>
      <c r="F7" s="132">
        <f t="shared" si="1"/>
        <v>5.75</v>
      </c>
    </row>
    <row r="8" spans="1:6" x14ac:dyDescent="0.25">
      <c r="A8" s="346"/>
      <c r="B8" s="1"/>
      <c r="C8" s="181"/>
      <c r="D8" s="347" t="str">
        <f t="shared" si="0"/>
        <v/>
      </c>
      <c r="E8" s="347"/>
      <c r="F8" s="132" t="str">
        <f t="shared" si="1"/>
        <v/>
      </c>
    </row>
    <row r="9" spans="1:6" x14ac:dyDescent="0.25">
      <c r="A9" s="346"/>
      <c r="B9" s="1"/>
      <c r="C9" s="181"/>
      <c r="D9" s="347" t="str">
        <f t="shared" si="0"/>
        <v/>
      </c>
      <c r="E9" s="347"/>
      <c r="F9" s="132" t="str">
        <f t="shared" si="1"/>
        <v/>
      </c>
    </row>
    <row r="10" spans="1:6" x14ac:dyDescent="0.25">
      <c r="A10" s="346"/>
      <c r="B10" s="1"/>
      <c r="C10" s="181"/>
      <c r="D10" s="347" t="str">
        <f t="shared" si="0"/>
        <v/>
      </c>
      <c r="E10" s="347"/>
      <c r="F10" s="132" t="str">
        <f t="shared" si="1"/>
        <v/>
      </c>
    </row>
    <row r="11" spans="1:6" x14ac:dyDescent="0.25">
      <c r="A11" s="346" t="s">
        <v>35</v>
      </c>
      <c r="B11" s="1" t="s">
        <v>373</v>
      </c>
      <c r="C11" s="181">
        <v>33</v>
      </c>
      <c r="D11" s="347" t="str">
        <f t="shared" si="0"/>
        <v>Adam Delong</v>
      </c>
      <c r="E11" s="347"/>
      <c r="F11" s="132"/>
    </row>
    <row r="12" spans="1:6" x14ac:dyDescent="0.25">
      <c r="A12" s="346"/>
      <c r="B12" s="1" t="s">
        <v>374</v>
      </c>
      <c r="C12" s="181">
        <v>27</v>
      </c>
      <c r="D12" s="347" t="str">
        <f t="shared" si="0"/>
        <v>Rostislav Gattnar</v>
      </c>
      <c r="E12" s="347"/>
      <c r="F12" s="132"/>
    </row>
    <row r="13" spans="1:6" x14ac:dyDescent="0.25">
      <c r="A13" s="346"/>
      <c r="B13" s="1" t="s">
        <v>382</v>
      </c>
      <c r="C13" s="181">
        <v>20</v>
      </c>
      <c r="D13" s="347" t="str">
        <f t="shared" si="0"/>
        <v>Lukáš Hájek</v>
      </c>
      <c r="E13" s="347"/>
      <c r="F13" s="132"/>
    </row>
    <row r="14" spans="1:6" x14ac:dyDescent="0.25">
      <c r="A14" s="346"/>
      <c r="B14" s="1" t="s">
        <v>383</v>
      </c>
      <c r="C14" s="181">
        <v>14</v>
      </c>
      <c r="D14" s="347" t="str">
        <f t="shared" si="0"/>
        <v>Marek Bräuer</v>
      </c>
      <c r="E14" s="347"/>
      <c r="F14" s="132"/>
    </row>
    <row r="15" spans="1:6" x14ac:dyDescent="0.25">
      <c r="A15" s="346"/>
      <c r="B15" s="1" t="s">
        <v>384</v>
      </c>
      <c r="C15" s="181">
        <v>13</v>
      </c>
      <c r="D15" s="347" t="str">
        <f t="shared" si="0"/>
        <v>Jan Šebesta</v>
      </c>
      <c r="E15" s="347"/>
      <c r="F15" s="132"/>
    </row>
    <row r="16" spans="1:6" x14ac:dyDescent="0.25">
      <c r="A16" s="346" t="s">
        <v>231</v>
      </c>
      <c r="B16" s="1" t="s">
        <v>378</v>
      </c>
      <c r="C16" s="181">
        <v>13</v>
      </c>
      <c r="D16" s="347" t="str">
        <f t="shared" si="0"/>
        <v>Lukáš Souček</v>
      </c>
      <c r="E16" s="347"/>
      <c r="F16" s="132">
        <f t="shared" ref="F16:F20" si="2">IF(B16&lt;&gt;0,_xlfn.NUMBERVALUE(C16,","),"")</f>
        <v>13</v>
      </c>
    </row>
    <row r="17" spans="1:6" x14ac:dyDescent="0.25">
      <c r="A17" s="346"/>
      <c r="B17" s="1" t="s">
        <v>380</v>
      </c>
      <c r="C17" s="181">
        <v>3</v>
      </c>
      <c r="D17" s="347" t="str">
        <f t="shared" si="0"/>
        <v>Denis Jasiok</v>
      </c>
      <c r="E17" s="347"/>
      <c r="F17" s="132">
        <f t="shared" si="2"/>
        <v>3</v>
      </c>
    </row>
    <row r="18" spans="1:6" x14ac:dyDescent="0.25">
      <c r="A18" s="346"/>
      <c r="B18" s="1"/>
      <c r="C18" s="181"/>
      <c r="D18" s="347" t="str">
        <f t="shared" si="0"/>
        <v/>
      </c>
      <c r="E18" s="347"/>
      <c r="F18" s="132" t="str">
        <f t="shared" si="2"/>
        <v/>
      </c>
    </row>
    <row r="19" spans="1:6" x14ac:dyDescent="0.25">
      <c r="A19" s="346"/>
      <c r="B19" s="1"/>
      <c r="C19" s="181"/>
      <c r="D19" s="347" t="str">
        <f t="shared" si="0"/>
        <v/>
      </c>
      <c r="E19" s="347"/>
      <c r="F19" s="132" t="str">
        <f t="shared" si="2"/>
        <v/>
      </c>
    </row>
    <row r="20" spans="1:6" x14ac:dyDescent="0.25">
      <c r="A20" s="346"/>
      <c r="B20" s="1"/>
      <c r="C20" s="181"/>
      <c r="D20" s="347" t="str">
        <f t="shared" si="0"/>
        <v/>
      </c>
      <c r="E20" s="347"/>
      <c r="F20" s="132" t="str">
        <f t="shared" si="2"/>
        <v/>
      </c>
    </row>
    <row r="21" spans="1:6" x14ac:dyDescent="0.25">
      <c r="A21" s="346" t="s">
        <v>37</v>
      </c>
      <c r="B21" s="1" t="s">
        <v>385</v>
      </c>
      <c r="C21" s="181">
        <v>31</v>
      </c>
      <c r="D21" s="347" t="str">
        <f>IFERROR(RIGHT(B21,LEN(B21)-SEARCH(" ",B21)),"")</f>
        <v>Matyáš Šindler</v>
      </c>
      <c r="E21" s="347"/>
      <c r="F21" s="132"/>
    </row>
    <row r="22" spans="1:6" x14ac:dyDescent="0.25">
      <c r="A22" s="346"/>
      <c r="B22" s="1" t="s">
        <v>386</v>
      </c>
      <c r="C22" s="181">
        <v>16</v>
      </c>
      <c r="D22" s="347" t="str">
        <f>IFERROR(RIGHT(B22,LEN(B22)-SEARCH(" ",B22)),"")</f>
        <v>Lukáš Hájek</v>
      </c>
      <c r="E22" s="347"/>
      <c r="F22" s="132"/>
    </row>
    <row r="23" spans="1:6" x14ac:dyDescent="0.25">
      <c r="A23" s="346"/>
      <c r="B23" s="1" t="s">
        <v>387</v>
      </c>
      <c r="C23" s="181">
        <v>15</v>
      </c>
      <c r="D23" s="347" t="str">
        <f>IFERROR(RIGHT(B23,LEN(B23)-SEARCH(" ",B23)),"")</f>
        <v>Adam Delong</v>
      </c>
      <c r="E23" s="347"/>
      <c r="F23" s="132"/>
    </row>
    <row r="24" spans="1:6" x14ac:dyDescent="0.25">
      <c r="A24" s="346"/>
      <c r="B24" s="1" t="s">
        <v>388</v>
      </c>
      <c r="C24" s="181">
        <v>15</v>
      </c>
      <c r="D24" s="347" t="str">
        <f>IFERROR(RIGHT(B24,LEN(B24)-SEARCH(" ",B24)),"")</f>
        <v>Marek Matejčík</v>
      </c>
      <c r="E24" s="347"/>
      <c r="F24" s="132"/>
    </row>
    <row r="25" spans="1:6" x14ac:dyDescent="0.25">
      <c r="A25" s="346"/>
      <c r="B25" s="1" t="s">
        <v>389</v>
      </c>
      <c r="C25" s="181">
        <v>14</v>
      </c>
      <c r="D25" s="347" t="str">
        <f>IFERROR(RIGHT(B25,LEN(B25)-SEARCH(" ",B25)),"")</f>
        <v>Rostislav Gattnar</v>
      </c>
      <c r="E25" s="347"/>
      <c r="F25" s="132"/>
    </row>
    <row r="26" spans="1:6" x14ac:dyDescent="0.25">
      <c r="A26" s="346" t="s">
        <v>38</v>
      </c>
      <c r="B26" s="1" t="s">
        <v>390</v>
      </c>
      <c r="C26" s="181">
        <v>6</v>
      </c>
      <c r="D26" s="347" t="str">
        <f t="shared" si="0"/>
        <v>Tomáš Sladký</v>
      </c>
      <c r="E26" s="347"/>
      <c r="F26" s="132"/>
    </row>
    <row r="27" spans="1:6" x14ac:dyDescent="0.25">
      <c r="A27" s="346"/>
      <c r="B27" s="1" t="s">
        <v>391</v>
      </c>
      <c r="C27" s="181">
        <v>4</v>
      </c>
      <c r="D27" s="347" t="str">
        <f t="shared" si="0"/>
        <v>Daniels Janis Anis</v>
      </c>
      <c r="E27" s="347"/>
      <c r="F27" s="132"/>
    </row>
    <row r="28" spans="1:6" x14ac:dyDescent="0.25">
      <c r="A28" s="346"/>
      <c r="B28" s="1" t="s">
        <v>392</v>
      </c>
      <c r="C28" s="181">
        <v>4</v>
      </c>
      <c r="D28" s="347" t="str">
        <f t="shared" si="0"/>
        <v>Jan Šebesta</v>
      </c>
      <c r="E28" s="347"/>
      <c r="F28" s="132"/>
    </row>
    <row r="29" spans="1:6" x14ac:dyDescent="0.25">
      <c r="A29" s="346"/>
      <c r="B29" s="1" t="s">
        <v>383</v>
      </c>
      <c r="C29" s="181">
        <v>4</v>
      </c>
      <c r="D29" s="347" t="str">
        <f t="shared" si="0"/>
        <v>Marek Bräuer</v>
      </c>
      <c r="E29" s="347"/>
      <c r="F29" s="132"/>
    </row>
    <row r="30" spans="1:6" x14ac:dyDescent="0.25">
      <c r="A30" s="346"/>
      <c r="B30" s="1" t="s">
        <v>393</v>
      </c>
      <c r="C30" s="181">
        <v>4</v>
      </c>
      <c r="D30" s="347" t="str">
        <f t="shared" si="0"/>
        <v>Martin Nehera</v>
      </c>
      <c r="E30" s="347"/>
      <c r="F30" s="132"/>
    </row>
    <row r="31" spans="1:6" x14ac:dyDescent="0.25">
      <c r="A31" s="346" t="s">
        <v>339</v>
      </c>
      <c r="B31" s="122" t="s">
        <v>394</v>
      </c>
      <c r="C31" s="122" t="s">
        <v>143</v>
      </c>
      <c r="D31" s="122" t="s">
        <v>395</v>
      </c>
      <c r="E31" s="179" t="str">
        <f>IFERROR(RIGHT(LEFT(D31,LEN(D31)-1),LEN(D31)-2),"")</f>
        <v>8:3</v>
      </c>
    </row>
    <row r="32" spans="1:6" x14ac:dyDescent="0.25">
      <c r="A32" s="346"/>
      <c r="B32" s="122" t="s">
        <v>343</v>
      </c>
      <c r="C32" s="122" t="s">
        <v>148</v>
      </c>
      <c r="D32" s="122" t="s">
        <v>396</v>
      </c>
      <c r="E32" s="179" t="str">
        <f t="shared" ref="E32:E40" si="3">IFERROR(RIGHT(LEFT(D32,LEN(D32)-1),LEN(D32)-2),"")</f>
        <v>14:7</v>
      </c>
    </row>
    <row r="33" spans="1:5" x14ac:dyDescent="0.25">
      <c r="A33" s="346"/>
      <c r="B33" s="122" t="s">
        <v>345</v>
      </c>
      <c r="C33" s="122" t="s">
        <v>153</v>
      </c>
      <c r="D33" s="122" t="s">
        <v>397</v>
      </c>
      <c r="E33" s="179" t="str">
        <f t="shared" si="3"/>
        <v>12:4</v>
      </c>
    </row>
    <row r="34" spans="1:5" x14ac:dyDescent="0.25">
      <c r="A34" s="346"/>
      <c r="B34" s="122" t="s">
        <v>346</v>
      </c>
      <c r="C34" s="122" t="s">
        <v>144</v>
      </c>
      <c r="D34" s="122" t="s">
        <v>398</v>
      </c>
      <c r="E34" s="179" t="str">
        <f t="shared" si="3"/>
        <v>6:7p</v>
      </c>
    </row>
    <row r="35" spans="1:5" x14ac:dyDescent="0.25">
      <c r="A35" s="346"/>
      <c r="B35" s="122" t="s">
        <v>399</v>
      </c>
      <c r="C35" s="122" t="s">
        <v>29</v>
      </c>
      <c r="D35" s="122" t="s">
        <v>400</v>
      </c>
      <c r="E35" s="179" t="str">
        <f t="shared" si="3"/>
        <v>10:5</v>
      </c>
    </row>
    <row r="36" spans="1:5" x14ac:dyDescent="0.25">
      <c r="A36" s="346" t="s">
        <v>340</v>
      </c>
      <c r="B36" s="122" t="s">
        <v>371</v>
      </c>
      <c r="C36" s="122" t="s">
        <v>154</v>
      </c>
      <c r="D36" s="122" t="s">
        <v>353</v>
      </c>
      <c r="E36" s="179" t="str">
        <f t="shared" si="3"/>
        <v>-:-</v>
      </c>
    </row>
    <row r="37" spans="1:5" x14ac:dyDescent="0.25">
      <c r="A37" s="346"/>
      <c r="B37" s="122" t="s">
        <v>372</v>
      </c>
      <c r="C37" s="122" t="s">
        <v>148</v>
      </c>
      <c r="D37" s="122" t="s">
        <v>353</v>
      </c>
      <c r="E37" s="179" t="str">
        <f t="shared" si="3"/>
        <v>-:-</v>
      </c>
    </row>
    <row r="38" spans="1:5" x14ac:dyDescent="0.25">
      <c r="A38" s="346"/>
      <c r="B38" s="122" t="s">
        <v>401</v>
      </c>
      <c r="C38" s="122" t="s">
        <v>151</v>
      </c>
      <c r="D38" s="122" t="s">
        <v>353</v>
      </c>
      <c r="E38" s="179" t="str">
        <f t="shared" si="3"/>
        <v>-:-</v>
      </c>
    </row>
    <row r="39" spans="1:5" x14ac:dyDescent="0.25">
      <c r="A39" s="346"/>
      <c r="B39" s="122" t="s">
        <v>573</v>
      </c>
      <c r="C39" s="122" t="s">
        <v>149</v>
      </c>
      <c r="D39" s="122" t="s">
        <v>353</v>
      </c>
      <c r="E39" s="179" t="str">
        <f t="shared" si="3"/>
        <v>-:-</v>
      </c>
    </row>
    <row r="40" spans="1:5" x14ac:dyDescent="0.25">
      <c r="A40" s="346"/>
      <c r="B40" s="122" t="s">
        <v>683</v>
      </c>
      <c r="C40" s="122" t="s">
        <v>29</v>
      </c>
      <c r="D40" s="122" t="s">
        <v>353</v>
      </c>
      <c r="E40" s="179" t="str">
        <f t="shared" si="3"/>
        <v>-:-</v>
      </c>
    </row>
    <row r="41" spans="1:5" x14ac:dyDescent="0.25">
      <c r="A41" s="133" t="s">
        <v>341</v>
      </c>
      <c r="B41" t="s">
        <v>402</v>
      </c>
    </row>
  </sheetData>
  <sheetProtection algorithmName="SHA-512" hashValue="dztYGWaG585uJnYdF+FX6ACNniNmWv6jQLL0j/VYt9kyQGaqJE/jPshckE04NOrZvcPzG9viv76AlM1NCRQPPg==" saltValue="hwjzE9uSf+yswqJsJAUnI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59</v>
      </c>
      <c r="B1" s="110" t="s">
        <v>60</v>
      </c>
      <c r="D1" s="110" t="s">
        <v>61</v>
      </c>
      <c r="E1" s="110" t="s">
        <v>62</v>
      </c>
      <c r="F1" s="110" t="s">
        <v>35</v>
      </c>
      <c r="G1" s="110" t="s">
        <v>63</v>
      </c>
      <c r="H1" s="110" t="s">
        <v>64</v>
      </c>
      <c r="I1" s="110" t="s">
        <v>37</v>
      </c>
      <c r="J1" s="110" t="s">
        <v>36</v>
      </c>
      <c r="K1" s="110" t="s">
        <v>38</v>
      </c>
      <c r="L1" s="110" t="s">
        <v>65</v>
      </c>
      <c r="M1" s="110" t="s">
        <v>30</v>
      </c>
      <c r="N1" s="3" t="s">
        <v>66</v>
      </c>
      <c r="O1" s="110" t="s">
        <v>81</v>
      </c>
      <c r="P1" s="153" t="s">
        <v>531</v>
      </c>
      <c r="Q1" s="115" t="s">
        <v>48</v>
      </c>
    </row>
    <row r="2" spans="1:26" s="4" customFormat="1" x14ac:dyDescent="0.25">
      <c r="A2" s="53">
        <v>1</v>
      </c>
      <c r="B2" s="4" t="s">
        <v>297</v>
      </c>
      <c r="D2" s="5" t="s">
        <v>52</v>
      </c>
      <c r="E2" s="5">
        <v>16</v>
      </c>
      <c r="F2" s="5">
        <v>16</v>
      </c>
      <c r="G2" s="5">
        <v>4</v>
      </c>
      <c r="H2" s="5">
        <v>3</v>
      </c>
      <c r="I2" s="5">
        <v>22</v>
      </c>
      <c r="J2" s="5">
        <v>38</v>
      </c>
      <c r="K2" s="5">
        <v>4</v>
      </c>
      <c r="L2" s="5">
        <v>45</v>
      </c>
      <c r="M2" s="5">
        <v>18</v>
      </c>
      <c r="N2" s="5">
        <v>27</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38 (16+22), +27 ±</v>
      </c>
      <c r="P2" s="5" t="str">
        <f>IF(B2&lt;&gt;0,IF(VLOOKUP(B2,$B$48:$B$82,1,FALSE)=B2,"ANO","NE"),"")</f>
        <v>ANO</v>
      </c>
      <c r="Q2" s="143"/>
      <c r="S2" s="5"/>
      <c r="X2" s="5"/>
      <c r="Y2" s="5"/>
      <c r="Z2" s="5"/>
    </row>
    <row r="3" spans="1:26" s="4" customFormat="1" x14ac:dyDescent="0.25">
      <c r="A3" s="53">
        <v>2</v>
      </c>
      <c r="B3" s="4" t="s">
        <v>298</v>
      </c>
      <c r="D3" s="5" t="s">
        <v>52</v>
      </c>
      <c r="E3" s="5">
        <v>16</v>
      </c>
      <c r="F3" s="5">
        <v>18</v>
      </c>
      <c r="G3" s="5">
        <v>3</v>
      </c>
      <c r="H3" s="5">
        <v>0</v>
      </c>
      <c r="I3" s="5">
        <v>11</v>
      </c>
      <c r="J3" s="5">
        <v>29</v>
      </c>
      <c r="K3" s="5">
        <v>18</v>
      </c>
      <c r="L3" s="5">
        <v>46</v>
      </c>
      <c r="M3" s="5">
        <v>19</v>
      </c>
      <c r="N3" s="5">
        <v>27</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29 (18+11), +27 ±</v>
      </c>
      <c r="P3" s="5" t="str">
        <f t="shared" ref="P3:P36" si="1">IF(B3&lt;&gt;0,IF(VLOOKUP(B3,$B$48:$B$82,1,FALSE)=B3,"ANO","NE"),"")</f>
        <v>ANO</v>
      </c>
      <c r="Q3" s="143"/>
      <c r="S3" s="5"/>
      <c r="X3" s="5"/>
      <c r="Y3" s="5"/>
      <c r="Z3" s="5"/>
    </row>
    <row r="4" spans="1:26" s="4" customFormat="1" x14ac:dyDescent="0.25">
      <c r="A4" s="53">
        <v>3</v>
      </c>
      <c r="B4" s="4" t="s">
        <v>299</v>
      </c>
      <c r="D4" s="5" t="s">
        <v>52</v>
      </c>
      <c r="E4" s="5">
        <v>16</v>
      </c>
      <c r="F4" s="5">
        <v>22</v>
      </c>
      <c r="G4" s="5">
        <v>0</v>
      </c>
      <c r="H4" s="5">
        <v>1</v>
      </c>
      <c r="I4" s="5">
        <v>3</v>
      </c>
      <c r="J4" s="5">
        <v>25</v>
      </c>
      <c r="K4" s="5">
        <v>0</v>
      </c>
      <c r="L4" s="5">
        <v>41</v>
      </c>
      <c r="M4" s="5">
        <v>17</v>
      </c>
      <c r="N4" s="5">
        <v>24</v>
      </c>
      <c r="O4" s="162" t="str">
        <f t="shared" si="0"/>
        <v>16 OZ , 25 (22+3), +24 ±</v>
      </c>
      <c r="P4" s="5" t="str">
        <f t="shared" si="1"/>
        <v>ANO</v>
      </c>
      <c r="Q4" s="143"/>
      <c r="S4" s="5"/>
      <c r="X4" s="5"/>
      <c r="Y4" s="5"/>
      <c r="Z4" s="5"/>
    </row>
    <row r="5" spans="1:26" s="4" customFormat="1" x14ac:dyDescent="0.25">
      <c r="A5" s="53">
        <v>4</v>
      </c>
      <c r="B5" s="4" t="s">
        <v>300</v>
      </c>
      <c r="D5" s="5"/>
      <c r="E5" s="5">
        <v>16</v>
      </c>
      <c r="F5" s="5">
        <v>8</v>
      </c>
      <c r="G5" s="5">
        <v>0</v>
      </c>
      <c r="H5" s="5">
        <v>0</v>
      </c>
      <c r="I5" s="5">
        <v>11</v>
      </c>
      <c r="J5" s="5">
        <v>19</v>
      </c>
      <c r="K5" s="5">
        <v>6</v>
      </c>
      <c r="L5" s="5">
        <v>37</v>
      </c>
      <c r="M5" s="5">
        <v>16</v>
      </c>
      <c r="N5" s="5">
        <v>21</v>
      </c>
      <c r="O5" s="162" t="str">
        <f t="shared" si="0"/>
        <v>16 OZ , 19 (8+11), +21 ±</v>
      </c>
      <c r="P5" s="5" t="str">
        <f t="shared" si="1"/>
        <v>ANO</v>
      </c>
      <c r="Q5" s="143"/>
      <c r="S5" s="5"/>
      <c r="X5" s="5"/>
      <c r="Y5" s="5"/>
      <c r="Z5" s="5"/>
    </row>
    <row r="6" spans="1:26" x14ac:dyDescent="0.25">
      <c r="A6" s="54">
        <v>5</v>
      </c>
      <c r="B6" s="1" t="s">
        <v>301</v>
      </c>
      <c r="D6" s="181"/>
      <c r="E6" s="181">
        <v>16</v>
      </c>
      <c r="F6" s="181">
        <v>13</v>
      </c>
      <c r="G6" s="181">
        <v>0</v>
      </c>
      <c r="H6" s="181">
        <v>0</v>
      </c>
      <c r="I6" s="181">
        <v>5</v>
      </c>
      <c r="J6" s="181">
        <v>18</v>
      </c>
      <c r="K6" s="181">
        <v>18</v>
      </c>
      <c r="L6" s="181">
        <v>35</v>
      </c>
      <c r="M6" s="181">
        <v>16</v>
      </c>
      <c r="N6" s="181">
        <v>19</v>
      </c>
      <c r="O6" s="162" t="str">
        <f t="shared" si="0"/>
        <v>16 OZ , 18 (13+5), +19 ±</v>
      </c>
      <c r="P6" s="5" t="str">
        <f t="shared" si="1"/>
        <v>ANO</v>
      </c>
    </row>
    <row r="7" spans="1:26" x14ac:dyDescent="0.25">
      <c r="A7" s="54">
        <v>6</v>
      </c>
      <c r="B7" s="1" t="s">
        <v>304</v>
      </c>
      <c r="D7" s="181"/>
      <c r="E7" s="181">
        <v>16</v>
      </c>
      <c r="F7" s="181">
        <v>9</v>
      </c>
      <c r="G7" s="181">
        <v>0</v>
      </c>
      <c r="H7" s="181">
        <v>0</v>
      </c>
      <c r="I7" s="181">
        <v>8</v>
      </c>
      <c r="J7" s="181">
        <v>17</v>
      </c>
      <c r="K7" s="181">
        <v>4</v>
      </c>
      <c r="L7" s="181">
        <v>31</v>
      </c>
      <c r="M7" s="181">
        <v>17</v>
      </c>
      <c r="N7" s="181">
        <v>14</v>
      </c>
      <c r="O7" s="162" t="str">
        <f t="shared" si="0"/>
        <v>16 OZ , 17 (9+8), +14 ±</v>
      </c>
      <c r="P7" s="5" t="str">
        <f t="shared" si="1"/>
        <v>ANO</v>
      </c>
    </row>
    <row r="8" spans="1:26" x14ac:dyDescent="0.25">
      <c r="A8" s="54">
        <v>7</v>
      </c>
      <c r="B8" s="1" t="s">
        <v>308</v>
      </c>
      <c r="D8" s="181" t="s">
        <v>52</v>
      </c>
      <c r="E8" s="181">
        <v>12</v>
      </c>
      <c r="F8" s="181">
        <v>7</v>
      </c>
      <c r="G8" s="181">
        <v>0</v>
      </c>
      <c r="H8" s="181">
        <v>1</v>
      </c>
      <c r="I8" s="181">
        <v>9</v>
      </c>
      <c r="J8" s="181">
        <v>16</v>
      </c>
      <c r="K8" s="181">
        <v>0</v>
      </c>
      <c r="L8" s="181">
        <v>25</v>
      </c>
      <c r="M8" s="181">
        <v>9</v>
      </c>
      <c r="N8" s="181">
        <v>16</v>
      </c>
      <c r="O8" s="162" t="str">
        <f t="shared" si="0"/>
        <v>12 OZ , 16 (7+9), +16 ±</v>
      </c>
      <c r="P8" s="5" t="str">
        <f t="shared" si="1"/>
        <v>ANO</v>
      </c>
    </row>
    <row r="9" spans="1:26" x14ac:dyDescent="0.25">
      <c r="A9" s="54">
        <v>8</v>
      </c>
      <c r="B9" s="1" t="s">
        <v>303</v>
      </c>
      <c r="D9" s="181" t="s">
        <v>49</v>
      </c>
      <c r="E9" s="181">
        <v>16</v>
      </c>
      <c r="F9" s="181">
        <v>4</v>
      </c>
      <c r="G9" s="181">
        <v>1</v>
      </c>
      <c r="H9" s="181">
        <v>0</v>
      </c>
      <c r="I9" s="181">
        <v>12</v>
      </c>
      <c r="J9" s="181">
        <v>16</v>
      </c>
      <c r="K9" s="181">
        <v>4</v>
      </c>
      <c r="L9" s="181">
        <v>47</v>
      </c>
      <c r="M9" s="181">
        <v>16</v>
      </c>
      <c r="N9" s="181">
        <v>31</v>
      </c>
      <c r="O9" s="162" t="str">
        <f t="shared" si="0"/>
        <v>16 OZ , 16 (4+12), +31 ±</v>
      </c>
      <c r="P9" s="5" t="str">
        <f t="shared" si="1"/>
        <v>ANO</v>
      </c>
    </row>
    <row r="10" spans="1:26" x14ac:dyDescent="0.25">
      <c r="A10" s="54">
        <v>9</v>
      </c>
      <c r="B10" s="1" t="s">
        <v>306</v>
      </c>
      <c r="D10" s="181"/>
      <c r="E10" s="181">
        <v>16</v>
      </c>
      <c r="F10" s="181">
        <v>6</v>
      </c>
      <c r="G10" s="181">
        <v>0</v>
      </c>
      <c r="H10" s="181">
        <v>0</v>
      </c>
      <c r="I10" s="181">
        <v>8</v>
      </c>
      <c r="J10" s="181">
        <v>14</v>
      </c>
      <c r="K10" s="181">
        <v>6</v>
      </c>
      <c r="L10" s="181">
        <v>29</v>
      </c>
      <c r="M10" s="181">
        <v>15</v>
      </c>
      <c r="N10" s="181">
        <v>14</v>
      </c>
      <c r="O10" s="162" t="str">
        <f t="shared" si="0"/>
        <v>16 OZ , 14 (6+8), +14 ±</v>
      </c>
      <c r="P10" s="5" t="str">
        <f t="shared" si="1"/>
        <v>ANO</v>
      </c>
    </row>
    <row r="11" spans="1:26" x14ac:dyDescent="0.25">
      <c r="A11" s="54">
        <v>10</v>
      </c>
      <c r="B11" s="1" t="s">
        <v>302</v>
      </c>
      <c r="D11" s="181" t="s">
        <v>52</v>
      </c>
      <c r="E11" s="181">
        <v>16</v>
      </c>
      <c r="F11" s="181">
        <v>5</v>
      </c>
      <c r="G11" s="181">
        <v>0</v>
      </c>
      <c r="H11" s="181">
        <v>0</v>
      </c>
      <c r="I11" s="181">
        <v>7</v>
      </c>
      <c r="J11" s="181">
        <v>12</v>
      </c>
      <c r="K11" s="181">
        <v>0</v>
      </c>
      <c r="L11" s="181">
        <v>24</v>
      </c>
      <c r="M11" s="181">
        <v>12</v>
      </c>
      <c r="N11" s="181">
        <v>12</v>
      </c>
      <c r="O11" s="162" t="str">
        <f t="shared" si="0"/>
        <v>16 OZ , 12 (5+7), +12 ±</v>
      </c>
      <c r="P11" s="5" t="str">
        <f t="shared" si="1"/>
        <v>ANO</v>
      </c>
    </row>
    <row r="12" spans="1:26" x14ac:dyDescent="0.25">
      <c r="A12" s="54">
        <v>11</v>
      </c>
      <c r="B12" s="1" t="s">
        <v>305</v>
      </c>
      <c r="D12" s="181" t="s">
        <v>52</v>
      </c>
      <c r="E12" s="181">
        <v>15</v>
      </c>
      <c r="F12" s="181">
        <v>5</v>
      </c>
      <c r="G12" s="181">
        <v>0</v>
      </c>
      <c r="H12" s="181">
        <v>0</v>
      </c>
      <c r="I12" s="181">
        <v>6</v>
      </c>
      <c r="J12" s="181">
        <v>11</v>
      </c>
      <c r="K12" s="181">
        <v>2</v>
      </c>
      <c r="L12" s="181">
        <v>24</v>
      </c>
      <c r="M12" s="181">
        <v>13</v>
      </c>
      <c r="N12" s="181">
        <v>11</v>
      </c>
      <c r="O12" s="162" t="str">
        <f t="shared" si="0"/>
        <v>15 OZ , 11 (5+6), +11 ±</v>
      </c>
      <c r="P12" s="5" t="str">
        <f t="shared" si="1"/>
        <v>ANO</v>
      </c>
    </row>
    <row r="13" spans="1:26" x14ac:dyDescent="0.25">
      <c r="A13" s="54">
        <v>12</v>
      </c>
      <c r="B13" s="1" t="s">
        <v>310</v>
      </c>
      <c r="D13" s="181"/>
      <c r="E13" s="181">
        <v>16</v>
      </c>
      <c r="F13" s="181">
        <v>4</v>
      </c>
      <c r="G13" s="181">
        <v>0</v>
      </c>
      <c r="H13" s="181">
        <v>0</v>
      </c>
      <c r="I13" s="181">
        <v>7</v>
      </c>
      <c r="J13" s="181">
        <v>11</v>
      </c>
      <c r="K13" s="181">
        <v>6</v>
      </c>
      <c r="L13" s="181">
        <v>44</v>
      </c>
      <c r="M13" s="181">
        <v>17</v>
      </c>
      <c r="N13" s="181">
        <v>27</v>
      </c>
      <c r="O13" s="162" t="str">
        <f t="shared" si="0"/>
        <v>16 OZ , 11 (4+7), +27 ±</v>
      </c>
      <c r="P13" s="5" t="str">
        <f t="shared" si="1"/>
        <v>ANO</v>
      </c>
    </row>
    <row r="14" spans="1:26" x14ac:dyDescent="0.25">
      <c r="A14" s="54">
        <v>13</v>
      </c>
      <c r="B14" s="1" t="s">
        <v>307</v>
      </c>
      <c r="D14" s="181"/>
      <c r="E14" s="181">
        <v>10</v>
      </c>
      <c r="F14" s="181">
        <v>5</v>
      </c>
      <c r="G14" s="181">
        <v>0</v>
      </c>
      <c r="H14" s="181">
        <v>0</v>
      </c>
      <c r="I14" s="181">
        <v>3</v>
      </c>
      <c r="J14" s="181">
        <v>8</v>
      </c>
      <c r="K14" s="181">
        <v>2</v>
      </c>
      <c r="L14" s="181">
        <v>15</v>
      </c>
      <c r="M14" s="181">
        <v>6</v>
      </c>
      <c r="N14" s="181">
        <v>9</v>
      </c>
      <c r="O14" s="162" t="str">
        <f t="shared" si="0"/>
        <v>10 OZ , 8 (5+3), +9 ±</v>
      </c>
      <c r="P14" s="5" t="str">
        <f t="shared" si="1"/>
        <v>ANO</v>
      </c>
    </row>
    <row r="15" spans="1:26" x14ac:dyDescent="0.25">
      <c r="A15" s="54">
        <v>14</v>
      </c>
      <c r="B15" s="1" t="s">
        <v>309</v>
      </c>
      <c r="D15" s="181"/>
      <c r="E15" s="181">
        <v>15</v>
      </c>
      <c r="F15" s="181">
        <v>5</v>
      </c>
      <c r="G15" s="181">
        <v>0</v>
      </c>
      <c r="H15" s="181">
        <v>0</v>
      </c>
      <c r="I15" s="181">
        <v>2</v>
      </c>
      <c r="J15" s="181">
        <v>7</v>
      </c>
      <c r="K15" s="181">
        <v>2</v>
      </c>
      <c r="L15" s="181">
        <v>25</v>
      </c>
      <c r="M15" s="181">
        <v>14</v>
      </c>
      <c r="N15" s="181">
        <v>11</v>
      </c>
      <c r="O15" s="162" t="str">
        <f t="shared" si="0"/>
        <v>15 OZ , 7 (5+2), +11 ±</v>
      </c>
      <c r="P15" s="5" t="str">
        <f t="shared" si="1"/>
        <v>ANO</v>
      </c>
    </row>
    <row r="16" spans="1:26" x14ac:dyDescent="0.25">
      <c r="A16" s="54">
        <v>15</v>
      </c>
      <c r="B16" s="1" t="s">
        <v>314</v>
      </c>
      <c r="D16" s="181" t="s">
        <v>52</v>
      </c>
      <c r="E16" s="181">
        <v>16</v>
      </c>
      <c r="F16" s="181">
        <v>2</v>
      </c>
      <c r="G16" s="181">
        <v>0</v>
      </c>
      <c r="H16" s="181">
        <v>0</v>
      </c>
      <c r="I16" s="181">
        <v>5</v>
      </c>
      <c r="J16" s="181">
        <v>7</v>
      </c>
      <c r="K16" s="181">
        <v>4</v>
      </c>
      <c r="L16" s="181">
        <v>38</v>
      </c>
      <c r="M16" s="181">
        <v>19</v>
      </c>
      <c r="N16" s="181">
        <v>19</v>
      </c>
      <c r="O16" s="162" t="str">
        <f t="shared" si="0"/>
        <v>16 OZ , 7 (2+5), +19 ±</v>
      </c>
      <c r="P16" s="5" t="str">
        <f t="shared" si="1"/>
        <v>ANO</v>
      </c>
    </row>
    <row r="17" spans="1:16" x14ac:dyDescent="0.25">
      <c r="A17" s="54">
        <v>16</v>
      </c>
      <c r="B17" s="1" t="s">
        <v>313</v>
      </c>
      <c r="D17" s="181" t="s">
        <v>49</v>
      </c>
      <c r="E17" s="181">
        <v>16</v>
      </c>
      <c r="F17" s="181">
        <v>3</v>
      </c>
      <c r="G17" s="181">
        <v>0</v>
      </c>
      <c r="H17" s="181">
        <v>0</v>
      </c>
      <c r="I17" s="181">
        <v>2</v>
      </c>
      <c r="J17" s="181">
        <v>5</v>
      </c>
      <c r="K17" s="181">
        <v>0</v>
      </c>
      <c r="L17" s="181">
        <v>27</v>
      </c>
      <c r="M17" s="181">
        <v>17</v>
      </c>
      <c r="N17" s="181">
        <v>10</v>
      </c>
      <c r="O17" s="162" t="str">
        <f t="shared" si="0"/>
        <v>16 OZ , 5 (3+2), +10 ±</v>
      </c>
      <c r="P17" s="5" t="str">
        <f t="shared" si="1"/>
        <v>ANO</v>
      </c>
    </row>
    <row r="18" spans="1:16" x14ac:dyDescent="0.25">
      <c r="A18" s="54">
        <v>17</v>
      </c>
      <c r="B18" s="1" t="s">
        <v>311</v>
      </c>
      <c r="D18" s="181" t="s">
        <v>49</v>
      </c>
      <c r="E18" s="181">
        <v>6</v>
      </c>
      <c r="F18" s="181">
        <v>2</v>
      </c>
      <c r="G18" s="181">
        <v>0</v>
      </c>
      <c r="H18" s="181">
        <v>0</v>
      </c>
      <c r="I18" s="181">
        <v>1</v>
      </c>
      <c r="J18" s="181">
        <v>3</v>
      </c>
      <c r="K18" s="181">
        <v>2</v>
      </c>
      <c r="L18" s="181">
        <v>10</v>
      </c>
      <c r="M18" s="181">
        <v>6</v>
      </c>
      <c r="N18" s="181">
        <v>4</v>
      </c>
      <c r="O18" s="162" t="str">
        <f t="shared" si="0"/>
        <v>6 OZ , 3 (2+1), +4 ±</v>
      </c>
      <c r="P18" s="5" t="str">
        <f t="shared" si="1"/>
        <v>ANO</v>
      </c>
    </row>
    <row r="19" spans="1:16" x14ac:dyDescent="0.25">
      <c r="A19" s="54">
        <v>18</v>
      </c>
      <c r="B19" s="1" t="s">
        <v>312</v>
      </c>
      <c r="D19" s="181" t="s">
        <v>52</v>
      </c>
      <c r="E19" s="181">
        <v>15</v>
      </c>
      <c r="F19" s="181">
        <v>1</v>
      </c>
      <c r="G19" s="181">
        <v>0</v>
      </c>
      <c r="H19" s="181">
        <v>0</v>
      </c>
      <c r="I19" s="181">
        <v>2</v>
      </c>
      <c r="J19" s="181">
        <v>3</v>
      </c>
      <c r="K19" s="181">
        <v>4</v>
      </c>
      <c r="L19" s="181">
        <v>12</v>
      </c>
      <c r="M19" s="181">
        <v>7</v>
      </c>
      <c r="N19" s="181">
        <v>5</v>
      </c>
      <c r="O19" s="162" t="str">
        <f t="shared" si="0"/>
        <v>15 OZ , 3 (1+2), +5 ±</v>
      </c>
      <c r="P19" s="5" t="str">
        <f t="shared" si="1"/>
        <v>ANO</v>
      </c>
    </row>
    <row r="20" spans="1:16" x14ac:dyDescent="0.25">
      <c r="A20" s="54">
        <v>19</v>
      </c>
      <c r="B20" s="1" t="s">
        <v>315</v>
      </c>
      <c r="D20" s="181"/>
      <c r="E20" s="181">
        <v>4</v>
      </c>
      <c r="F20" s="181">
        <v>1</v>
      </c>
      <c r="G20" s="181">
        <v>0</v>
      </c>
      <c r="H20" s="181">
        <v>0</v>
      </c>
      <c r="I20" s="181">
        <v>0</v>
      </c>
      <c r="J20" s="181">
        <v>1</v>
      </c>
      <c r="K20" s="181">
        <v>0</v>
      </c>
      <c r="L20" s="181">
        <v>4</v>
      </c>
      <c r="M20" s="181">
        <v>1</v>
      </c>
      <c r="N20" s="181">
        <v>3</v>
      </c>
      <c r="O20" s="162" t="str">
        <f t="shared" si="0"/>
        <v>4 OZ , 1 (1+0), +3 ±</v>
      </c>
      <c r="P20" s="5" t="str">
        <f t="shared" si="1"/>
        <v>ANO</v>
      </c>
    </row>
    <row r="21" spans="1:16" x14ac:dyDescent="0.25">
      <c r="A21" s="54">
        <v>20</v>
      </c>
      <c r="B21" s="1" t="s">
        <v>323</v>
      </c>
      <c r="D21" s="181" t="s">
        <v>35</v>
      </c>
      <c r="E21" s="181">
        <v>0</v>
      </c>
      <c r="F21" s="181">
        <v>0</v>
      </c>
      <c r="G21" s="181">
        <v>0</v>
      </c>
      <c r="H21" s="181">
        <v>0</v>
      </c>
      <c r="I21" s="181">
        <v>1</v>
      </c>
      <c r="J21" s="181">
        <v>1</v>
      </c>
      <c r="K21" s="181">
        <v>0</v>
      </c>
      <c r="L21" s="181">
        <v>0</v>
      </c>
      <c r="M21" s="181">
        <v>0</v>
      </c>
      <c r="N21" s="181">
        <v>0</v>
      </c>
      <c r="O21" s="162" t="str">
        <f t="shared" si="0"/>
        <v>0 OZ , 1 (0+1), 0 ±</v>
      </c>
      <c r="P21" s="5" t="str">
        <f t="shared" si="1"/>
        <v>ANO</v>
      </c>
    </row>
    <row r="22" spans="1:16" x14ac:dyDescent="0.25">
      <c r="A22" s="54">
        <v>21</v>
      </c>
      <c r="B22" s="1" t="s">
        <v>317</v>
      </c>
      <c r="D22" s="181" t="s">
        <v>52</v>
      </c>
      <c r="E22" s="181">
        <v>1</v>
      </c>
      <c r="F22" s="181">
        <v>0</v>
      </c>
      <c r="G22" s="181">
        <v>0</v>
      </c>
      <c r="H22" s="181">
        <v>0</v>
      </c>
      <c r="I22" s="181">
        <v>0</v>
      </c>
      <c r="J22" s="181">
        <v>0</v>
      </c>
      <c r="K22" s="181">
        <v>0</v>
      </c>
      <c r="L22" s="181">
        <v>0</v>
      </c>
      <c r="M22" s="181">
        <v>0</v>
      </c>
      <c r="N22" s="181">
        <v>0</v>
      </c>
      <c r="O22" s="162" t="str">
        <f t="shared" si="0"/>
        <v>1 OZ , 0 (0+0), 0 ±</v>
      </c>
      <c r="P22" s="5" t="str">
        <f t="shared" si="1"/>
        <v>ANO</v>
      </c>
    </row>
    <row r="23" spans="1:16" x14ac:dyDescent="0.25">
      <c r="A23" s="54">
        <v>22</v>
      </c>
      <c r="B23" s="1" t="s">
        <v>318</v>
      </c>
      <c r="D23" s="181" t="s">
        <v>52</v>
      </c>
      <c r="E23" s="181">
        <v>1</v>
      </c>
      <c r="F23" s="181">
        <v>0</v>
      </c>
      <c r="G23" s="181">
        <v>0</v>
      </c>
      <c r="H23" s="181">
        <v>0</v>
      </c>
      <c r="I23" s="181">
        <v>0</v>
      </c>
      <c r="J23" s="181">
        <v>0</v>
      </c>
      <c r="K23" s="181">
        <v>0</v>
      </c>
      <c r="L23" s="181">
        <v>0</v>
      </c>
      <c r="M23" s="181">
        <v>0</v>
      </c>
      <c r="N23" s="181">
        <v>0</v>
      </c>
      <c r="O23" s="162" t="str">
        <f t="shared" si="0"/>
        <v>1 OZ , 0 (0+0), 0 ±</v>
      </c>
      <c r="P23" s="5" t="str">
        <f t="shared" si="1"/>
        <v>ANO</v>
      </c>
    </row>
    <row r="24" spans="1:16" x14ac:dyDescent="0.25">
      <c r="A24" s="53">
        <v>23</v>
      </c>
      <c r="B24" s="4" t="s">
        <v>316</v>
      </c>
      <c r="C24" s="4"/>
      <c r="D24" s="5" t="s">
        <v>49</v>
      </c>
      <c r="E24" s="5">
        <v>1</v>
      </c>
      <c r="F24" s="5">
        <v>0</v>
      </c>
      <c r="G24" s="5">
        <v>0</v>
      </c>
      <c r="H24" s="5">
        <v>0</v>
      </c>
      <c r="I24" s="5">
        <v>0</v>
      </c>
      <c r="J24" s="5">
        <v>0</v>
      </c>
      <c r="K24" s="5">
        <v>0</v>
      </c>
      <c r="L24" s="5">
        <v>0</v>
      </c>
      <c r="M24" s="5">
        <v>0</v>
      </c>
      <c r="N24" s="5">
        <v>0</v>
      </c>
      <c r="O24" s="162" t="str">
        <f t="shared" si="0"/>
        <v>1 OZ , 0 (0+0), 0 ±</v>
      </c>
      <c r="P24" s="5" t="str">
        <f t="shared" si="1"/>
        <v>ANO</v>
      </c>
    </row>
    <row r="25" spans="1:16" x14ac:dyDescent="0.25">
      <c r="A25" s="53">
        <v>24</v>
      </c>
      <c r="B25" s="4" t="s">
        <v>319</v>
      </c>
      <c r="C25" s="4"/>
      <c r="D25" s="5"/>
      <c r="E25" s="5">
        <v>1</v>
      </c>
      <c r="F25" s="5">
        <v>0</v>
      </c>
      <c r="G25" s="5">
        <v>0</v>
      </c>
      <c r="H25" s="5">
        <v>0</v>
      </c>
      <c r="I25" s="5">
        <v>0</v>
      </c>
      <c r="J25" s="5">
        <v>0</v>
      </c>
      <c r="K25" s="5">
        <v>0</v>
      </c>
      <c r="L25" s="5">
        <v>0</v>
      </c>
      <c r="M25" s="5">
        <v>0</v>
      </c>
      <c r="N25" s="5">
        <v>0</v>
      </c>
      <c r="O25" s="162" t="str">
        <f t="shared" si="0"/>
        <v>1 OZ , 0 (0+0), 0 ±</v>
      </c>
      <c r="P25" s="5" t="str">
        <f t="shared" si="1"/>
        <v>ANO</v>
      </c>
    </row>
    <row r="26" spans="1:16" x14ac:dyDescent="0.25">
      <c r="A26" s="53">
        <v>25</v>
      </c>
      <c r="B26" s="4" t="s">
        <v>335</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6" x14ac:dyDescent="0.25">
      <c r="A27" s="53">
        <v>26</v>
      </c>
      <c r="B27" s="4" t="s">
        <v>321</v>
      </c>
      <c r="C27" s="4"/>
      <c r="D27" s="5"/>
      <c r="E27" s="5">
        <v>6</v>
      </c>
      <c r="F27" s="5">
        <v>0</v>
      </c>
      <c r="G27" s="5">
        <v>0</v>
      </c>
      <c r="H27" s="5">
        <v>0</v>
      </c>
      <c r="I27" s="5">
        <v>0</v>
      </c>
      <c r="J27" s="5">
        <v>0</v>
      </c>
      <c r="K27" s="5">
        <v>0</v>
      </c>
      <c r="L27" s="5">
        <v>0</v>
      </c>
      <c r="M27" s="5">
        <v>0</v>
      </c>
      <c r="N27" s="5">
        <v>0</v>
      </c>
      <c r="O27" s="162" t="str">
        <f t="shared" si="0"/>
        <v>6 OZ , 0 (0+0), 0 ±</v>
      </c>
      <c r="P27" s="5" t="str">
        <f t="shared" si="1"/>
        <v>ANO</v>
      </c>
    </row>
    <row r="28" spans="1:16" x14ac:dyDescent="0.25">
      <c r="A28" s="53">
        <v>27</v>
      </c>
      <c r="B28" s="4" t="s">
        <v>320</v>
      </c>
      <c r="C28" s="4"/>
      <c r="D28" s="5" t="s">
        <v>35</v>
      </c>
      <c r="E28" s="5">
        <v>0</v>
      </c>
      <c r="F28" s="5">
        <v>0</v>
      </c>
      <c r="G28" s="5">
        <v>0</v>
      </c>
      <c r="H28" s="5">
        <v>0</v>
      </c>
      <c r="I28" s="5">
        <v>0</v>
      </c>
      <c r="J28" s="5">
        <v>0</v>
      </c>
      <c r="K28" s="5">
        <v>0</v>
      </c>
      <c r="L28" s="5">
        <v>0</v>
      </c>
      <c r="M28" s="5">
        <v>0</v>
      </c>
      <c r="N28" s="5">
        <v>0</v>
      </c>
      <c r="O28" s="162" t="str">
        <f t="shared" si="0"/>
        <v>0 OZ , 0 (0+0), 0 ±</v>
      </c>
      <c r="P28" s="5" t="str">
        <f t="shared" si="1"/>
        <v>ANO</v>
      </c>
    </row>
    <row r="29" spans="1:16" x14ac:dyDescent="0.25">
      <c r="A29" s="53">
        <v>28</v>
      </c>
      <c r="B29" s="4" t="s">
        <v>322</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row>
    <row r="30" spans="1:16" x14ac:dyDescent="0.25">
      <c r="A30" s="54"/>
      <c r="O30" s="162" t="str">
        <f t="shared" si="0"/>
        <v/>
      </c>
      <c r="P30" s="5" t="str">
        <f t="shared" si="1"/>
        <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10" customFormat="1" ht="15" customHeight="1" x14ac:dyDescent="0.25">
      <c r="A38" s="8" t="s">
        <v>59</v>
      </c>
      <c r="B38" s="110" t="s">
        <v>60</v>
      </c>
      <c r="D38" s="110" t="s">
        <v>84</v>
      </c>
      <c r="E38" s="110" t="s">
        <v>85</v>
      </c>
      <c r="F38" s="110" t="s">
        <v>86</v>
      </c>
      <c r="G38" s="110" t="s">
        <v>40</v>
      </c>
      <c r="H38" s="110" t="s">
        <v>87</v>
      </c>
      <c r="I38" s="110" t="s">
        <v>88</v>
      </c>
      <c r="J38" s="110" t="s">
        <v>89</v>
      </c>
      <c r="K38" s="110" t="s">
        <v>80</v>
      </c>
      <c r="L38" s="110" t="s">
        <v>41</v>
      </c>
      <c r="M38" s="110" t="s">
        <v>90</v>
      </c>
      <c r="N38" s="3" t="s">
        <v>37</v>
      </c>
      <c r="O38" s="110" t="s">
        <v>38</v>
      </c>
      <c r="P38" s="110" t="s">
        <v>91</v>
      </c>
      <c r="Q38" s="110" t="s">
        <v>92</v>
      </c>
      <c r="R38" s="110" t="s">
        <v>93</v>
      </c>
    </row>
    <row r="39" spans="1:27" x14ac:dyDescent="0.25">
      <c r="A39" s="54">
        <v>1</v>
      </c>
      <c r="B39" t="s">
        <v>323</v>
      </c>
      <c r="C39"/>
      <c r="D39" s="122">
        <v>16</v>
      </c>
      <c r="E39" s="122">
        <v>13</v>
      </c>
      <c r="F39" s="122">
        <v>761.35</v>
      </c>
      <c r="G39" s="122">
        <v>12</v>
      </c>
      <c r="H39" s="122">
        <v>43</v>
      </c>
      <c r="I39" s="122">
        <v>0</v>
      </c>
      <c r="J39" s="122">
        <v>228</v>
      </c>
      <c r="K39" s="122">
        <v>0</v>
      </c>
      <c r="L39" s="122">
        <v>1</v>
      </c>
      <c r="M39" s="122">
        <v>185</v>
      </c>
      <c r="N39" s="122">
        <v>1</v>
      </c>
      <c r="O39" s="122">
        <v>0</v>
      </c>
      <c r="P39" s="11">
        <f>IF(B39&lt;&gt;0,IFERROR(H39/(F39/60),0),"")</f>
        <v>3.3887174098640571</v>
      </c>
      <c r="Q39" s="11">
        <f>IF(B39&lt;&gt;0,IFERROR((M39/J39)*100,0),"")</f>
        <v>81.140350877192986</v>
      </c>
      <c r="R39" s="112" t="str">
        <f>IF(B39&lt;&gt;0,CONCATENATE(G39, " V, ",L39," P"),"")</f>
        <v>12 V, 1 P</v>
      </c>
    </row>
    <row r="40" spans="1:27" x14ac:dyDescent="0.25">
      <c r="A40" s="54">
        <v>2</v>
      </c>
      <c r="B40" t="s">
        <v>322</v>
      </c>
      <c r="C40"/>
      <c r="D40" s="122">
        <v>8</v>
      </c>
      <c r="E40" s="122">
        <v>3</v>
      </c>
      <c r="F40" s="122">
        <v>177.18</v>
      </c>
      <c r="G40" s="122">
        <v>3</v>
      </c>
      <c r="H40" s="122">
        <v>14</v>
      </c>
      <c r="I40" s="122">
        <v>0</v>
      </c>
      <c r="J40" s="122">
        <v>62</v>
      </c>
      <c r="K40" s="122">
        <v>0</v>
      </c>
      <c r="L40" s="122">
        <v>0</v>
      </c>
      <c r="M40" s="122">
        <v>48</v>
      </c>
      <c r="N40" s="122">
        <v>0</v>
      </c>
      <c r="O40" s="122">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320</v>
      </c>
      <c r="C41"/>
      <c r="D41" s="122">
        <v>6</v>
      </c>
      <c r="E41" s="122">
        <v>1</v>
      </c>
      <c r="F41" s="122">
        <v>20</v>
      </c>
      <c r="G41" s="122">
        <v>1</v>
      </c>
      <c r="H41" s="122">
        <v>5</v>
      </c>
      <c r="I41" s="122">
        <v>0</v>
      </c>
      <c r="J41" s="122">
        <v>14</v>
      </c>
      <c r="K41" s="122">
        <v>0</v>
      </c>
      <c r="L41" s="122">
        <v>0</v>
      </c>
      <c r="M41" s="122">
        <v>9</v>
      </c>
      <c r="N41" s="122">
        <v>0</v>
      </c>
      <c r="O41" s="122">
        <v>0</v>
      </c>
      <c r="P41" s="11">
        <f t="shared" si="2"/>
        <v>15</v>
      </c>
      <c r="Q41" s="11">
        <f t="shared" si="3"/>
        <v>64.285714285714292</v>
      </c>
      <c r="R41" s="112" t="str">
        <f t="shared" si="4"/>
        <v>1 V, 0 P</v>
      </c>
    </row>
    <row r="42" spans="1:27" x14ac:dyDescent="0.25">
      <c r="A42" s="54">
        <v>4</v>
      </c>
      <c r="B42" t="s">
        <v>335</v>
      </c>
      <c r="C42"/>
      <c r="D42" s="122">
        <v>2</v>
      </c>
      <c r="E42" s="122">
        <v>0</v>
      </c>
      <c r="F42" s="123">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5" t="s">
        <v>295</v>
      </c>
      <c r="Y46" s="345"/>
      <c r="Z46" s="345"/>
      <c r="AA46" s="345"/>
    </row>
    <row r="47" spans="1:27" s="110" customFormat="1" ht="15" customHeight="1" x14ac:dyDescent="0.25">
      <c r="A47" s="7">
        <f ca="1">TODAY()</f>
        <v>44214</v>
      </c>
      <c r="B47" s="110" t="s">
        <v>60</v>
      </c>
      <c r="C47" s="110" t="s">
        <v>67</v>
      </c>
      <c r="D47" s="110" t="s">
        <v>68</v>
      </c>
      <c r="E47" s="110" t="s">
        <v>71</v>
      </c>
      <c r="F47" s="110" t="s">
        <v>72</v>
      </c>
      <c r="G47" s="110" t="s">
        <v>73</v>
      </c>
      <c r="H47" s="110" t="s">
        <v>74</v>
      </c>
      <c r="I47" s="110" t="s">
        <v>46</v>
      </c>
      <c r="J47" s="110" t="s">
        <v>59</v>
      </c>
      <c r="K47" s="110" t="s">
        <v>160</v>
      </c>
      <c r="L47" s="110" t="s">
        <v>78</v>
      </c>
      <c r="M47" s="110" t="s">
        <v>69</v>
      </c>
      <c r="N47" s="110" t="s">
        <v>70</v>
      </c>
      <c r="O47" s="110" t="s">
        <v>82</v>
      </c>
      <c r="P47" s="110" t="s">
        <v>83</v>
      </c>
      <c r="Q47" s="110" t="s">
        <v>75</v>
      </c>
      <c r="R47" s="110" t="s">
        <v>76</v>
      </c>
      <c r="S47" s="110" t="s">
        <v>94</v>
      </c>
      <c r="T47" s="110" t="s">
        <v>159</v>
      </c>
      <c r="U47" s="110" t="s">
        <v>287</v>
      </c>
      <c r="V47" s="110" t="s">
        <v>288</v>
      </c>
      <c r="W47" s="110" t="s">
        <v>289</v>
      </c>
      <c r="X47" s="110" t="s">
        <v>294</v>
      </c>
      <c r="Y47" s="110" t="s">
        <v>292</v>
      </c>
      <c r="Z47" s="110" t="s">
        <v>293</v>
      </c>
      <c r="AA47" s="163" t="s">
        <v>554</v>
      </c>
    </row>
    <row r="48" spans="1:27" ht="15" customHeight="1" x14ac:dyDescent="0.25">
      <c r="B48" s="139" t="s">
        <v>312</v>
      </c>
      <c r="C48" s="138">
        <v>35213</v>
      </c>
      <c r="D48" s="112">
        <f t="shared" ref="D48:D75" ca="1" si="5">IF(C48 &lt;&gt; 0,ROUNDDOWN(($A$47-C48)/365.25,0),"")</f>
        <v>24</v>
      </c>
      <c r="E48" s="140"/>
      <c r="F48" s="140"/>
      <c r="G48" s="140"/>
      <c r="H48" s="112">
        <f t="shared" ref="H48:H75" si="6">IF(B48&lt;&gt;0,F48+G48,"")</f>
        <v>0</v>
      </c>
      <c r="I48" s="140"/>
      <c r="J48" s="140">
        <v>28</v>
      </c>
      <c r="K48" s="140"/>
      <c r="L48" s="140" t="s">
        <v>41</v>
      </c>
      <c r="M48" s="140">
        <v>183</v>
      </c>
      <c r="N48" s="140">
        <v>85</v>
      </c>
      <c r="O48" s="119" t="str">
        <f>IF(B48&lt;&gt;0,CONCATENATE(E48+IFERROR(VLOOKUP(B48,$B$2:$N$36,4,FALSE),0) + X48, " OZ, ", H48+IFERROR(VLOOKUP(B48,$B$2:$N$36,9,FALSE),0) + Y48+Z48, " (", F48+IFERROR(VLOOKUP(B48,$B$2:$N$36,5,FALSE),0) + Y48, "+",G48+IFERROR(VLOOKUP(B48,$B$2:$N$36,8,FALSE),0) +  Z48, ")"), "")</f>
        <v>15 OZ, 3 (1+2)</v>
      </c>
      <c r="P48" s="112" t="str">
        <f t="shared" ref="P48:P75" si="7">IF(M48&lt;&gt;0,CONCATENATE(M48,"/",N48),"")</f>
        <v>183/85</v>
      </c>
      <c r="Q48" s="141"/>
      <c r="R48" s="140"/>
      <c r="S48" s="112" t="str">
        <f t="shared" ref="S48:S75" si="8">IFERROR(CONCATENATE(E48+VLOOKUP(B48,$B$39:$R$42,4,FALSE), " OZ, ",G48+VLOOKUP(B48,$B$39:$R$42,13,FALSE), " A"),"")</f>
        <v/>
      </c>
      <c r="T48" s="1" t="str">
        <f t="shared" ref="T48:T75" si="9">IF(B48&lt;&gt;0,IF(V48=1,U48,CONCATENATE(U48," ",W48,".")),"")</f>
        <v>Höffer</v>
      </c>
      <c r="U48" s="1" t="str">
        <f t="shared" ref="U48:U75" si="10">IFERROR(RIGHT(B48,LEN(B48)-SEARCH(" ", B48,1)),"")</f>
        <v>Höffer</v>
      </c>
      <c r="V48" s="112">
        <f t="shared" ref="V48:V75" si="11">IF(B48&lt;&gt;0,COUNTIF($U$48:$U$82,U48),"")</f>
        <v>1</v>
      </c>
      <c r="W48" s="112" t="str">
        <f t="shared" ref="W48:W75" si="12">IFERROR(LEFT(LEFT(B48,SEARCH(" ",B48,1)),1),"")</f>
        <v>A</v>
      </c>
      <c r="X48" s="140"/>
      <c r="Y48" s="140"/>
      <c r="Z48" s="140"/>
      <c r="AA48" s="139"/>
    </row>
    <row r="49" spans="2:27" ht="15" customHeight="1" x14ac:dyDescent="0.25">
      <c r="B49" s="139" t="s">
        <v>316</v>
      </c>
      <c r="C49" s="138">
        <v>37081</v>
      </c>
      <c r="D49" s="112">
        <f t="shared" ca="1" si="5"/>
        <v>19</v>
      </c>
      <c r="E49" s="140"/>
      <c r="F49" s="140"/>
      <c r="G49" s="140"/>
      <c r="H49" s="112">
        <f t="shared" si="6"/>
        <v>0</v>
      </c>
      <c r="I49" s="140"/>
      <c r="J49" s="140">
        <v>21</v>
      </c>
      <c r="K49" s="140"/>
      <c r="L49" s="140" t="s">
        <v>79</v>
      </c>
      <c r="M49" s="140">
        <v>178</v>
      </c>
      <c r="N49" s="140">
        <v>64</v>
      </c>
      <c r="O49" s="119" t="str">
        <f t="shared" ref="O49:O82" si="13">IF(B49&lt;&gt;0,CONCATENATE(E49+IFERROR(VLOOKUP(B49,$B$2:$N$36,4,FALSE),0) + X49, " OZ, ", H49+IFERROR(VLOOKUP(B49,$B$2:$N$36,9,FALSE),0) + Y49+Z49, " (", F49+IFERROR(VLOOKUP(B49,$B$2:$N$36,5,FALSE),0) + Y49, "+",G49+IFERROR(VLOOKUP(B49,$B$2:$N$36,8,FALSE),0) +  Z49, ")"), "")</f>
        <v>1 OZ, 0 (0+0)</v>
      </c>
      <c r="P49" s="112" t="str">
        <f t="shared" si="7"/>
        <v>178/64</v>
      </c>
      <c r="Q49" s="141"/>
      <c r="R49" s="140"/>
      <c r="S49" s="112" t="str">
        <f t="shared" si="8"/>
        <v/>
      </c>
      <c r="T49" s="1" t="str">
        <f t="shared" si="9"/>
        <v>Goll</v>
      </c>
      <c r="U49" s="1" t="str">
        <f t="shared" si="10"/>
        <v>Goll</v>
      </c>
      <c r="V49" s="112">
        <f t="shared" si="11"/>
        <v>1</v>
      </c>
      <c r="W49" s="112" t="str">
        <f t="shared" si="12"/>
        <v>D</v>
      </c>
      <c r="X49" s="140"/>
      <c r="Y49" s="140"/>
      <c r="Z49" s="140"/>
      <c r="AA49" s="139"/>
    </row>
    <row r="50" spans="2:27" ht="15" customHeight="1" x14ac:dyDescent="0.25">
      <c r="B50" s="142" t="s">
        <v>300</v>
      </c>
      <c r="C50" s="138">
        <v>32590</v>
      </c>
      <c r="D50" s="112">
        <f t="shared" ca="1" si="5"/>
        <v>31</v>
      </c>
      <c r="E50" s="140"/>
      <c r="F50" s="140"/>
      <c r="G50" s="140"/>
      <c r="H50" s="112">
        <f t="shared" si="6"/>
        <v>0</v>
      </c>
      <c r="I50" s="140"/>
      <c r="J50" s="140">
        <v>3</v>
      </c>
      <c r="K50" s="140"/>
      <c r="L50" s="140" t="s">
        <v>41</v>
      </c>
      <c r="M50" s="140">
        <v>185</v>
      </c>
      <c r="N50" s="140">
        <v>86</v>
      </c>
      <c r="O50" s="119" t="str">
        <f t="shared" si="13"/>
        <v>16 OZ, 19 (8+11)</v>
      </c>
      <c r="P50" s="112" t="str">
        <f t="shared" si="7"/>
        <v>185/86</v>
      </c>
      <c r="Q50" s="141"/>
      <c r="R50" s="140"/>
      <c r="S50" s="112" t="str">
        <f t="shared" si="8"/>
        <v/>
      </c>
      <c r="T50" s="1" t="str">
        <f t="shared" si="9"/>
        <v>Šebek</v>
      </c>
      <c r="U50" s="1" t="str">
        <f t="shared" si="10"/>
        <v>Šebek</v>
      </c>
      <c r="V50" s="112">
        <f t="shared" si="11"/>
        <v>1</v>
      </c>
      <c r="W50" s="112" t="str">
        <f t="shared" si="12"/>
        <v>D</v>
      </c>
      <c r="X50" s="140"/>
      <c r="Y50" s="140"/>
      <c r="Z50" s="140"/>
      <c r="AA50" s="139"/>
    </row>
    <row r="51" spans="2:27" ht="15" customHeight="1" x14ac:dyDescent="0.25">
      <c r="B51" s="139" t="s">
        <v>318</v>
      </c>
      <c r="C51" s="138">
        <v>37152</v>
      </c>
      <c r="D51" s="112">
        <f t="shared" ca="1" si="5"/>
        <v>19</v>
      </c>
      <c r="E51" s="140"/>
      <c r="F51" s="140"/>
      <c r="G51" s="140"/>
      <c r="H51" s="112">
        <f t="shared" si="6"/>
        <v>0</v>
      </c>
      <c r="I51" s="140"/>
      <c r="J51" s="140">
        <v>95</v>
      </c>
      <c r="K51" s="140"/>
      <c r="L51" s="140" t="s">
        <v>79</v>
      </c>
      <c r="M51" s="140">
        <v>174</v>
      </c>
      <c r="N51" s="140">
        <v>64</v>
      </c>
      <c r="O51" s="119" t="str">
        <f t="shared" si="13"/>
        <v>1 OZ, 0 (0+0)</v>
      </c>
      <c r="P51" s="112" t="str">
        <f t="shared" si="7"/>
        <v>174/64</v>
      </c>
      <c r="Q51" s="141"/>
      <c r="R51" s="140"/>
      <c r="S51" s="112" t="str">
        <f t="shared" si="8"/>
        <v/>
      </c>
      <c r="T51" s="1" t="str">
        <f t="shared" si="9"/>
        <v>Kučera</v>
      </c>
      <c r="U51" s="1" t="str">
        <f t="shared" si="10"/>
        <v>Kučera</v>
      </c>
      <c r="V51" s="112">
        <f t="shared" si="11"/>
        <v>1</v>
      </c>
      <c r="W51" s="112" t="str">
        <f t="shared" si="12"/>
        <v>F</v>
      </c>
      <c r="X51" s="140"/>
      <c r="Y51" s="140"/>
      <c r="Z51" s="140"/>
      <c r="AA51" s="139"/>
    </row>
    <row r="52" spans="2:27" ht="15" customHeight="1" x14ac:dyDescent="0.25">
      <c r="B52" s="139" t="s">
        <v>313</v>
      </c>
      <c r="C52" s="138">
        <v>36377</v>
      </c>
      <c r="D52" s="112">
        <f t="shared" ca="1" si="5"/>
        <v>21</v>
      </c>
      <c r="E52" s="140"/>
      <c r="F52" s="140"/>
      <c r="G52" s="140"/>
      <c r="H52" s="112">
        <f t="shared" si="6"/>
        <v>0</v>
      </c>
      <c r="I52" s="140"/>
      <c r="J52" s="140">
        <v>58</v>
      </c>
      <c r="K52" s="140"/>
      <c r="L52" s="140" t="s">
        <v>79</v>
      </c>
      <c r="M52" s="140">
        <v>186</v>
      </c>
      <c r="N52" s="140">
        <v>78</v>
      </c>
      <c r="O52" s="119" t="str">
        <f t="shared" si="13"/>
        <v>16 OZ, 5 (3+2)</v>
      </c>
      <c r="P52" s="112" t="str">
        <f t="shared" si="7"/>
        <v>186/78</v>
      </c>
      <c r="Q52" s="141"/>
      <c r="R52" s="140"/>
      <c r="S52" s="112" t="str">
        <f t="shared" si="8"/>
        <v/>
      </c>
      <c r="T52" s="1" t="str">
        <f t="shared" si="9"/>
        <v>Zakonov</v>
      </c>
      <c r="U52" s="1" t="str">
        <f t="shared" si="10"/>
        <v>Zakonov</v>
      </c>
      <c r="V52" s="112">
        <f t="shared" si="11"/>
        <v>1</v>
      </c>
      <c r="W52" s="112" t="str">
        <f t="shared" si="12"/>
        <v>F</v>
      </c>
      <c r="X52" s="140"/>
      <c r="Y52" s="140"/>
      <c r="Z52" s="140"/>
      <c r="AA52" s="139"/>
    </row>
    <row r="53" spans="2:27" ht="15" customHeight="1" x14ac:dyDescent="0.25">
      <c r="B53" s="142" t="s">
        <v>299</v>
      </c>
      <c r="C53" s="138">
        <v>35871</v>
      </c>
      <c r="D53" s="112">
        <f t="shared" ca="1" si="5"/>
        <v>22</v>
      </c>
      <c r="E53" s="140"/>
      <c r="F53" s="140"/>
      <c r="G53" s="140"/>
      <c r="H53" s="112">
        <f t="shared" si="6"/>
        <v>0</v>
      </c>
      <c r="I53" s="140"/>
      <c r="J53" s="140">
        <v>17</v>
      </c>
      <c r="K53" s="140"/>
      <c r="L53" s="140" t="s">
        <v>79</v>
      </c>
      <c r="M53" s="140">
        <v>181</v>
      </c>
      <c r="N53" s="140">
        <v>62</v>
      </c>
      <c r="O53" s="119" t="str">
        <f t="shared" si="13"/>
        <v>16 OZ, 25 (22+3)</v>
      </c>
      <c r="P53" s="112" t="str">
        <f t="shared" si="7"/>
        <v>181/62</v>
      </c>
      <c r="Q53" s="141"/>
      <c r="R53" s="140"/>
      <c r="S53" s="112" t="str">
        <f t="shared" si="8"/>
        <v/>
      </c>
      <c r="T53" s="1" t="str">
        <f t="shared" si="9"/>
        <v>Bína</v>
      </c>
      <c r="U53" s="1" t="str">
        <f t="shared" si="10"/>
        <v>Bína</v>
      </c>
      <c r="V53" s="112">
        <f t="shared" si="11"/>
        <v>1</v>
      </c>
      <c r="W53" s="112" t="str">
        <f t="shared" si="12"/>
        <v>J</v>
      </c>
      <c r="X53" s="140"/>
      <c r="Y53" s="140"/>
      <c r="Z53" s="140"/>
      <c r="AA53" s="139"/>
    </row>
    <row r="54" spans="2:27" ht="15" customHeight="1" x14ac:dyDescent="0.25">
      <c r="B54" s="139" t="s">
        <v>314</v>
      </c>
      <c r="C54" s="138">
        <v>34602</v>
      </c>
      <c r="D54" s="112">
        <f t="shared" ca="1" si="5"/>
        <v>26</v>
      </c>
      <c r="E54" s="140"/>
      <c r="F54" s="140"/>
      <c r="G54" s="140"/>
      <c r="H54" s="112">
        <f t="shared" si="6"/>
        <v>0</v>
      </c>
      <c r="I54" s="140"/>
      <c r="J54" s="140">
        <v>25</v>
      </c>
      <c r="K54" s="140"/>
      <c r="L54" s="140" t="s">
        <v>41</v>
      </c>
      <c r="M54" s="140">
        <v>185</v>
      </c>
      <c r="N54" s="140">
        <v>84</v>
      </c>
      <c r="O54" s="119" t="str">
        <f t="shared" si="13"/>
        <v>16 OZ, 7 (2+5)</v>
      </c>
      <c r="P54" s="112" t="str">
        <f t="shared" si="7"/>
        <v>185/84</v>
      </c>
      <c r="Q54" s="141"/>
      <c r="R54" s="140"/>
      <c r="S54" s="112" t="str">
        <f t="shared" si="8"/>
        <v/>
      </c>
      <c r="T54" s="1" t="str">
        <f t="shared" si="9"/>
        <v>Gruber</v>
      </c>
      <c r="U54" s="1" t="str">
        <f t="shared" si="10"/>
        <v>Gruber</v>
      </c>
      <c r="V54" s="112">
        <f t="shared" si="11"/>
        <v>1</v>
      </c>
      <c r="W54" s="112" t="str">
        <f t="shared" si="12"/>
        <v>J</v>
      </c>
      <c r="X54" s="140"/>
      <c r="Y54" s="140"/>
      <c r="Z54" s="140"/>
      <c r="AA54" s="139"/>
    </row>
    <row r="55" spans="2:27" ht="15" customHeight="1" x14ac:dyDescent="0.25">
      <c r="B55" s="139" t="s">
        <v>321</v>
      </c>
      <c r="C55" s="138">
        <v>37001</v>
      </c>
      <c r="D55" s="112">
        <f t="shared" ca="1" si="5"/>
        <v>19</v>
      </c>
      <c r="E55" s="140"/>
      <c r="F55" s="140"/>
      <c r="G55" s="140"/>
      <c r="H55" s="112">
        <f t="shared" si="6"/>
        <v>0</v>
      </c>
      <c r="I55" s="140"/>
      <c r="J55" s="140">
        <v>48</v>
      </c>
      <c r="K55" s="140"/>
      <c r="L55" s="140" t="s">
        <v>41</v>
      </c>
      <c r="M55" s="140">
        <v>179</v>
      </c>
      <c r="N55" s="140">
        <v>66</v>
      </c>
      <c r="O55" s="119" t="str">
        <f t="shared" si="13"/>
        <v>6 OZ, 0 (0+0)</v>
      </c>
      <c r="P55" s="112" t="str">
        <f t="shared" si="7"/>
        <v>179/66</v>
      </c>
      <c r="Q55" s="141"/>
      <c r="R55" s="140"/>
      <c r="S55" s="112" t="str">
        <f t="shared" si="8"/>
        <v/>
      </c>
      <c r="T55" s="1" t="str">
        <f t="shared" si="9"/>
        <v>Pařízek</v>
      </c>
      <c r="U55" s="1" t="str">
        <f t="shared" si="10"/>
        <v>Pařízek</v>
      </c>
      <c r="V55" s="112">
        <f t="shared" si="11"/>
        <v>1</v>
      </c>
      <c r="W55" s="112" t="str">
        <f t="shared" si="12"/>
        <v>J</v>
      </c>
      <c r="X55" s="140"/>
      <c r="Y55" s="140"/>
      <c r="Z55" s="140"/>
      <c r="AA55" s="139"/>
    </row>
    <row r="56" spans="2:27" ht="15" customHeight="1" x14ac:dyDescent="0.25">
      <c r="B56" s="139" t="s">
        <v>315</v>
      </c>
      <c r="C56" s="138">
        <v>32496</v>
      </c>
      <c r="D56" s="112">
        <f t="shared" ca="1" si="5"/>
        <v>32</v>
      </c>
      <c r="E56" s="140"/>
      <c r="F56" s="140"/>
      <c r="G56" s="140"/>
      <c r="H56" s="112">
        <f t="shared" si="6"/>
        <v>0</v>
      </c>
      <c r="I56" s="140"/>
      <c r="J56" s="140">
        <v>6</v>
      </c>
      <c r="K56" s="140"/>
      <c r="L56" s="140" t="s">
        <v>41</v>
      </c>
      <c r="M56" s="140">
        <v>177</v>
      </c>
      <c r="N56" s="140">
        <v>73</v>
      </c>
      <c r="O56" s="119" t="str">
        <f t="shared" si="13"/>
        <v>4 OZ, 1 (1+0)</v>
      </c>
      <c r="P56" s="112" t="str">
        <f t="shared" si="7"/>
        <v>177/73</v>
      </c>
      <c r="Q56" s="141"/>
      <c r="R56" s="140"/>
      <c r="S56" s="112" t="str">
        <f t="shared" si="8"/>
        <v/>
      </c>
      <c r="T56" s="1" t="str">
        <f t="shared" si="9"/>
        <v>Daniš</v>
      </c>
      <c r="U56" s="1" t="str">
        <f t="shared" si="10"/>
        <v>Daniš</v>
      </c>
      <c r="V56" s="112">
        <f t="shared" si="11"/>
        <v>1</v>
      </c>
      <c r="W56" s="112" t="str">
        <f t="shared" si="12"/>
        <v>J</v>
      </c>
      <c r="X56" s="140"/>
      <c r="Y56" s="140"/>
      <c r="Z56" s="140"/>
      <c r="AA56" s="139"/>
    </row>
    <row r="57" spans="2:27" ht="15" customHeight="1" x14ac:dyDescent="0.25">
      <c r="B57" s="142" t="s">
        <v>298</v>
      </c>
      <c r="C57" s="138">
        <v>33919</v>
      </c>
      <c r="D57" s="112">
        <f t="shared" ca="1" si="5"/>
        <v>28</v>
      </c>
      <c r="E57" s="140"/>
      <c r="F57" s="140"/>
      <c r="G57" s="140"/>
      <c r="H57" s="112">
        <f t="shared" si="6"/>
        <v>0</v>
      </c>
      <c r="I57" s="140"/>
      <c r="J57" s="140">
        <v>88</v>
      </c>
      <c r="K57" s="140" t="s">
        <v>223</v>
      </c>
      <c r="L57" s="140" t="s">
        <v>41</v>
      </c>
      <c r="M57" s="140">
        <v>181</v>
      </c>
      <c r="N57" s="140">
        <v>76</v>
      </c>
      <c r="O57" s="119" t="str">
        <f t="shared" si="13"/>
        <v>16 OZ, 29 (18+11)</v>
      </c>
      <c r="P57" s="112" t="str">
        <f t="shared" si="7"/>
        <v>181/76</v>
      </c>
      <c r="Q57" s="141"/>
      <c r="R57" s="140"/>
      <c r="S57" s="112" t="str">
        <f t="shared" si="8"/>
        <v/>
      </c>
      <c r="T57" s="1" t="str">
        <f t="shared" si="9"/>
        <v>Natov</v>
      </c>
      <c r="U57" s="1" t="str">
        <f t="shared" si="10"/>
        <v>Natov</v>
      </c>
      <c r="V57" s="112">
        <f t="shared" si="11"/>
        <v>1</v>
      </c>
      <c r="W57" s="112" t="str">
        <f t="shared" si="12"/>
        <v>J</v>
      </c>
      <c r="X57" s="140"/>
      <c r="Y57" s="140"/>
      <c r="Z57" s="140"/>
      <c r="AA57" s="139"/>
    </row>
    <row r="58" spans="2:27" ht="15" customHeight="1" x14ac:dyDescent="0.25">
      <c r="B58" s="139" t="s">
        <v>306</v>
      </c>
      <c r="C58" s="138">
        <v>34411</v>
      </c>
      <c r="D58" s="112">
        <f t="shared" ca="1" si="5"/>
        <v>26</v>
      </c>
      <c r="E58" s="140"/>
      <c r="F58" s="140"/>
      <c r="G58" s="140"/>
      <c r="H58" s="112">
        <f t="shared" si="6"/>
        <v>0</v>
      </c>
      <c r="I58" s="140"/>
      <c r="J58" s="140">
        <v>18</v>
      </c>
      <c r="K58" s="140"/>
      <c r="L58" s="140" t="s">
        <v>79</v>
      </c>
      <c r="M58" s="140">
        <v>182</v>
      </c>
      <c r="N58" s="140">
        <v>71</v>
      </c>
      <c r="O58" s="119" t="str">
        <f t="shared" si="13"/>
        <v>16 OZ, 14 (6+8)</v>
      </c>
      <c r="P58" s="112" t="str">
        <f t="shared" si="7"/>
        <v>182/71</v>
      </c>
      <c r="Q58" s="141"/>
      <c r="R58" s="140"/>
      <c r="S58" s="112" t="str">
        <f t="shared" si="8"/>
        <v/>
      </c>
      <c r="T58" s="1" t="str">
        <f t="shared" si="9"/>
        <v>Řehoř</v>
      </c>
      <c r="U58" s="1" t="str">
        <f t="shared" si="10"/>
        <v>Řehoř</v>
      </c>
      <c r="V58" s="112">
        <f t="shared" si="11"/>
        <v>1</v>
      </c>
      <c r="W58" s="112" t="str">
        <f t="shared" si="12"/>
        <v>J</v>
      </c>
      <c r="X58" s="140"/>
      <c r="Y58" s="140"/>
      <c r="Z58" s="140"/>
      <c r="AA58" s="139"/>
    </row>
    <row r="59" spans="2:27" ht="15" customHeight="1" x14ac:dyDescent="0.25">
      <c r="B59" s="139" t="s">
        <v>309</v>
      </c>
      <c r="C59" s="138"/>
      <c r="D59" s="112" t="str">
        <f t="shared" si="5"/>
        <v/>
      </c>
      <c r="E59" s="140"/>
      <c r="F59" s="140"/>
      <c r="G59" s="140"/>
      <c r="H59" s="112">
        <f t="shared" si="6"/>
        <v>0</v>
      </c>
      <c r="I59" s="140"/>
      <c r="J59" s="140"/>
      <c r="K59" s="140"/>
      <c r="L59" s="140"/>
      <c r="M59" s="140"/>
      <c r="N59" s="140"/>
      <c r="O59" s="119" t="str">
        <f t="shared" si="13"/>
        <v>15 OZ, 7 (5+2)</v>
      </c>
      <c r="P59" s="112" t="str">
        <f t="shared" si="7"/>
        <v/>
      </c>
      <c r="Q59" s="141"/>
      <c r="R59" s="140"/>
      <c r="S59" s="112" t="str">
        <f t="shared" si="8"/>
        <v/>
      </c>
      <c r="T59" s="1" t="str">
        <f t="shared" si="9"/>
        <v>Zoufalý</v>
      </c>
      <c r="U59" s="1" t="str">
        <f t="shared" si="10"/>
        <v>Zoufalý</v>
      </c>
      <c r="V59" s="112">
        <f t="shared" si="11"/>
        <v>1</v>
      </c>
      <c r="W59" s="112" t="str">
        <f t="shared" si="12"/>
        <v>J</v>
      </c>
      <c r="X59" s="140"/>
      <c r="Y59" s="140"/>
      <c r="Z59" s="140"/>
      <c r="AA59" s="139"/>
    </row>
    <row r="60" spans="2:27" ht="15" customHeight="1" x14ac:dyDescent="0.25">
      <c r="B60" s="142" t="s">
        <v>297</v>
      </c>
      <c r="C60" s="138">
        <v>32786</v>
      </c>
      <c r="D60" s="112">
        <f t="shared" ca="1" si="5"/>
        <v>31</v>
      </c>
      <c r="E60" s="140"/>
      <c r="F60" s="140"/>
      <c r="G60" s="140"/>
      <c r="H60" s="112">
        <f t="shared" si="6"/>
        <v>0</v>
      </c>
      <c r="I60" s="140"/>
      <c r="J60" s="140">
        <v>40</v>
      </c>
      <c r="K60" s="140"/>
      <c r="L60" s="140" t="s">
        <v>79</v>
      </c>
      <c r="M60" s="140">
        <v>180</v>
      </c>
      <c r="N60" s="140">
        <v>77</v>
      </c>
      <c r="O60" s="119" t="str">
        <f t="shared" si="13"/>
        <v>16 OZ, 38 (16+22)</v>
      </c>
      <c r="P60" s="112" t="str">
        <f t="shared" si="7"/>
        <v>180/77</v>
      </c>
      <c r="Q60" s="141"/>
      <c r="R60" s="140"/>
      <c r="S60" s="112" t="str">
        <f t="shared" si="8"/>
        <v/>
      </c>
      <c r="T60" s="1" t="str">
        <f t="shared" si="9"/>
        <v>Curney</v>
      </c>
      <c r="U60" s="1" t="str">
        <f t="shared" si="10"/>
        <v>Curney</v>
      </c>
      <c r="V60" s="112">
        <f t="shared" si="11"/>
        <v>1</v>
      </c>
      <c r="W60" s="112" t="str">
        <f t="shared" si="12"/>
        <v>J</v>
      </c>
      <c r="X60" s="140"/>
      <c r="Y60" s="140"/>
      <c r="Z60" s="140"/>
      <c r="AA60" s="139"/>
    </row>
    <row r="61" spans="2:27" ht="15" customHeight="1" x14ac:dyDescent="0.25">
      <c r="B61" s="139" t="s">
        <v>323</v>
      </c>
      <c r="C61" s="138">
        <v>33335</v>
      </c>
      <c r="D61" s="112">
        <f t="shared" ca="1" si="5"/>
        <v>29</v>
      </c>
      <c r="E61" s="140"/>
      <c r="F61" s="140"/>
      <c r="G61" s="140"/>
      <c r="H61" s="112">
        <f t="shared" si="6"/>
        <v>0</v>
      </c>
      <c r="I61" s="140"/>
      <c r="J61" s="140">
        <v>74</v>
      </c>
      <c r="K61" s="140"/>
      <c r="L61" s="140" t="s">
        <v>30</v>
      </c>
      <c r="M61" s="140">
        <v>192</v>
      </c>
      <c r="N61" s="140">
        <v>98</v>
      </c>
      <c r="O61" s="119" t="str">
        <f t="shared" si="13"/>
        <v>0 OZ, 1 (0+1)</v>
      </c>
      <c r="P61" s="112" t="str">
        <f t="shared" si="7"/>
        <v>192/98</v>
      </c>
      <c r="Q61" s="141"/>
      <c r="R61" s="140"/>
      <c r="S61" s="112" t="str">
        <f t="shared" si="8"/>
        <v>13 OZ, 1 A</v>
      </c>
      <c r="T61" s="1" t="str">
        <f t="shared" si="9"/>
        <v>Bauer</v>
      </c>
      <c r="U61" s="1" t="str">
        <f t="shared" si="10"/>
        <v>Bauer</v>
      </c>
      <c r="V61" s="112">
        <f t="shared" si="11"/>
        <v>1</v>
      </c>
      <c r="W61" s="112" t="str">
        <f t="shared" si="12"/>
        <v>L</v>
      </c>
      <c r="X61" s="140"/>
      <c r="Y61" s="140"/>
      <c r="Z61" s="140"/>
      <c r="AA61" s="139"/>
    </row>
    <row r="62" spans="2:27" ht="15" customHeight="1" x14ac:dyDescent="0.25">
      <c r="B62" s="139" t="s">
        <v>307</v>
      </c>
      <c r="C62" s="138"/>
      <c r="D62" s="112" t="str">
        <f t="shared" si="5"/>
        <v/>
      </c>
      <c r="E62" s="140"/>
      <c r="F62" s="140"/>
      <c r="G62" s="140"/>
      <c r="H62" s="112">
        <f t="shared" si="6"/>
        <v>0</v>
      </c>
      <c r="I62" s="140"/>
      <c r="J62" s="140"/>
      <c r="K62" s="140"/>
      <c r="L62" s="140"/>
      <c r="M62" s="140"/>
      <c r="N62" s="140"/>
      <c r="O62" s="119" t="str">
        <f t="shared" si="13"/>
        <v>10 OZ, 8 (5+3)</v>
      </c>
      <c r="P62" s="112" t="str">
        <f t="shared" si="7"/>
        <v/>
      </c>
      <c r="Q62" s="141"/>
      <c r="R62" s="140"/>
      <c r="S62" s="112" t="str">
        <f t="shared" si="8"/>
        <v/>
      </c>
      <c r="T62" s="1" t="str">
        <f t="shared" si="9"/>
        <v>Korych</v>
      </c>
      <c r="U62" s="1" t="str">
        <f t="shared" si="10"/>
        <v>Korych</v>
      </c>
      <c r="V62" s="112">
        <f t="shared" si="11"/>
        <v>1</v>
      </c>
      <c r="W62" s="112" t="str">
        <f t="shared" si="12"/>
        <v>M</v>
      </c>
      <c r="X62" s="140"/>
      <c r="Y62" s="140"/>
      <c r="Z62" s="140"/>
      <c r="AA62" s="139"/>
    </row>
    <row r="63" spans="2:27" ht="15" customHeight="1" x14ac:dyDescent="0.25">
      <c r="B63" s="139" t="s">
        <v>335</v>
      </c>
      <c r="C63" s="138"/>
      <c r="D63" s="112" t="str">
        <f t="shared" si="5"/>
        <v/>
      </c>
      <c r="E63" s="140"/>
      <c r="F63" s="140"/>
      <c r="G63" s="140"/>
      <c r="H63" s="112">
        <f t="shared" si="6"/>
        <v>0</v>
      </c>
      <c r="I63" s="140"/>
      <c r="J63" s="140"/>
      <c r="K63" s="140"/>
      <c r="L63" s="140" t="s">
        <v>30</v>
      </c>
      <c r="M63" s="140"/>
      <c r="N63" s="140"/>
      <c r="O63" s="119" t="str">
        <f t="shared" si="13"/>
        <v>0 OZ, 0 (0+0)</v>
      </c>
      <c r="P63" s="112" t="str">
        <f t="shared" si="7"/>
        <v/>
      </c>
      <c r="Q63" s="141"/>
      <c r="R63" s="140"/>
      <c r="S63" s="112" t="str">
        <f t="shared" si="8"/>
        <v>0 OZ, 0 A</v>
      </c>
      <c r="T63" s="1" t="str">
        <f t="shared" si="9"/>
        <v>Macík</v>
      </c>
      <c r="U63" s="1" t="str">
        <f t="shared" si="10"/>
        <v>Macík</v>
      </c>
      <c r="V63" s="112">
        <f t="shared" si="11"/>
        <v>1</v>
      </c>
      <c r="W63" s="112" t="str">
        <f t="shared" si="12"/>
        <v>M</v>
      </c>
      <c r="X63" s="140"/>
      <c r="Y63" s="140"/>
      <c r="Z63" s="140"/>
      <c r="AA63" s="139"/>
    </row>
    <row r="64" spans="2:27" ht="15" customHeight="1" x14ac:dyDescent="0.25">
      <c r="B64" s="139" t="s">
        <v>301</v>
      </c>
      <c r="C64" s="138">
        <v>33157</v>
      </c>
      <c r="D64" s="112">
        <f t="shared" ca="1" si="5"/>
        <v>30</v>
      </c>
      <c r="E64" s="140"/>
      <c r="F64" s="140"/>
      <c r="G64" s="140"/>
      <c r="H64" s="112">
        <f t="shared" si="6"/>
        <v>0</v>
      </c>
      <c r="I64" s="140"/>
      <c r="J64" s="140">
        <v>20</v>
      </c>
      <c r="K64" s="140"/>
      <c r="L64" s="140" t="s">
        <v>79</v>
      </c>
      <c r="M64" s="140">
        <v>183</v>
      </c>
      <c r="N64" s="140">
        <v>76</v>
      </c>
      <c r="O64" s="119" t="str">
        <f t="shared" si="13"/>
        <v>16 OZ, 18 (13+5)</v>
      </c>
      <c r="P64" s="112" t="str">
        <f t="shared" si="7"/>
        <v>183/76</v>
      </c>
      <c r="Q64" s="141"/>
      <c r="R64" s="140"/>
      <c r="S64" s="112" t="str">
        <f t="shared" si="8"/>
        <v/>
      </c>
      <c r="T64" s="1" t="str">
        <f t="shared" si="9"/>
        <v>Tokoš</v>
      </c>
      <c r="U64" s="1" t="str">
        <f t="shared" si="10"/>
        <v>Tokoš</v>
      </c>
      <c r="V64" s="112">
        <f t="shared" si="11"/>
        <v>1</v>
      </c>
      <c r="W64" s="112" t="str">
        <f t="shared" si="12"/>
        <v>M</v>
      </c>
      <c r="X64" s="140"/>
      <c r="Y64" s="140"/>
      <c r="Z64" s="140"/>
      <c r="AA64" s="139"/>
    </row>
    <row r="65" spans="2:27" ht="15" customHeight="1" x14ac:dyDescent="0.25">
      <c r="B65" s="139" t="s">
        <v>304</v>
      </c>
      <c r="C65" s="138">
        <v>35184</v>
      </c>
      <c r="D65" s="112">
        <f t="shared" ca="1" si="5"/>
        <v>24</v>
      </c>
      <c r="E65" s="140"/>
      <c r="F65" s="140"/>
      <c r="G65" s="140"/>
      <c r="H65" s="112">
        <f t="shared" si="6"/>
        <v>0</v>
      </c>
      <c r="I65" s="140"/>
      <c r="J65" s="140">
        <v>10</v>
      </c>
      <c r="K65" s="140"/>
      <c r="L65" s="140" t="s">
        <v>79</v>
      </c>
      <c r="M65" s="140">
        <v>185</v>
      </c>
      <c r="N65" s="140">
        <v>85</v>
      </c>
      <c r="O65" s="119" t="str">
        <f t="shared" si="13"/>
        <v>16 OZ, 17 (9+8)</v>
      </c>
      <c r="P65" s="112" t="str">
        <f t="shared" si="7"/>
        <v>185/85</v>
      </c>
      <c r="Q65" s="141"/>
      <c r="R65" s="140"/>
      <c r="S65" s="112" t="str">
        <f t="shared" si="8"/>
        <v/>
      </c>
      <c r="T65" s="1" t="str">
        <f t="shared" si="9"/>
        <v>Komárek</v>
      </c>
      <c r="U65" s="1" t="str">
        <f t="shared" si="10"/>
        <v>Komárek</v>
      </c>
      <c r="V65" s="112">
        <f t="shared" si="11"/>
        <v>1</v>
      </c>
      <c r="W65" s="112" t="str">
        <f t="shared" si="12"/>
        <v>M</v>
      </c>
      <c r="X65" s="140"/>
      <c r="Y65" s="140"/>
      <c r="Z65" s="140"/>
      <c r="AA65" s="139"/>
    </row>
    <row r="66" spans="2:27" ht="15" customHeight="1" x14ac:dyDescent="0.25">
      <c r="B66" s="139" t="s">
        <v>311</v>
      </c>
      <c r="C66" s="138">
        <v>33976</v>
      </c>
      <c r="D66" s="112">
        <f t="shared" ca="1" si="5"/>
        <v>28</v>
      </c>
      <c r="E66" s="140"/>
      <c r="F66" s="140"/>
      <c r="G66" s="140"/>
      <c r="H66" s="112">
        <f t="shared" si="6"/>
        <v>0</v>
      </c>
      <c r="I66" s="140"/>
      <c r="J66" s="140">
        <v>4</v>
      </c>
      <c r="K66" s="140"/>
      <c r="L66" s="140" t="s">
        <v>79</v>
      </c>
      <c r="M66" s="140">
        <v>192</v>
      </c>
      <c r="N66" s="140">
        <v>90</v>
      </c>
      <c r="O66" s="119" t="str">
        <f t="shared" si="13"/>
        <v>6 OZ, 3 (2+1)</v>
      </c>
      <c r="P66" s="112" t="str">
        <f t="shared" si="7"/>
        <v>192/90</v>
      </c>
      <c r="Q66" s="141"/>
      <c r="R66" s="140"/>
      <c r="S66" s="112" t="str">
        <f t="shared" si="8"/>
        <v/>
      </c>
      <c r="T66" s="1" t="str">
        <f t="shared" si="9"/>
        <v>Tichý</v>
      </c>
      <c r="U66" s="1" t="str">
        <f t="shared" si="10"/>
        <v>Tichý</v>
      </c>
      <c r="V66" s="112">
        <f t="shared" si="11"/>
        <v>1</v>
      </c>
      <c r="W66" s="112" t="str">
        <f t="shared" si="12"/>
        <v>M</v>
      </c>
      <c r="X66" s="140"/>
      <c r="Y66" s="140"/>
      <c r="Z66" s="140"/>
      <c r="AA66" s="139"/>
    </row>
    <row r="67" spans="2:27" ht="15" customHeight="1" x14ac:dyDescent="0.25">
      <c r="B67" s="139" t="s">
        <v>308</v>
      </c>
      <c r="C67" s="138">
        <v>32329</v>
      </c>
      <c r="D67" s="112">
        <f t="shared" ca="1" si="5"/>
        <v>32</v>
      </c>
      <c r="E67" s="140"/>
      <c r="F67" s="140"/>
      <c r="G67" s="140"/>
      <c r="H67" s="112">
        <f t="shared" si="6"/>
        <v>0</v>
      </c>
      <c r="I67" s="140"/>
      <c r="J67" s="140">
        <v>7</v>
      </c>
      <c r="K67" s="140"/>
      <c r="L67" s="140" t="s">
        <v>79</v>
      </c>
      <c r="M67" s="140">
        <v>181</v>
      </c>
      <c r="N67" s="140">
        <v>85</v>
      </c>
      <c r="O67" s="119" t="str">
        <f t="shared" si="13"/>
        <v>12 OZ, 16 (7+9)</v>
      </c>
      <c r="P67" s="112" t="str">
        <f t="shared" si="7"/>
        <v>181/85</v>
      </c>
      <c r="Q67" s="141"/>
      <c r="R67" s="140"/>
      <c r="S67" s="112" t="str">
        <f t="shared" si="8"/>
        <v/>
      </c>
      <c r="T67" s="1" t="str">
        <f t="shared" si="9"/>
        <v>Tomašík</v>
      </c>
      <c r="U67" s="1" t="str">
        <f t="shared" si="10"/>
        <v>Tomašík</v>
      </c>
      <c r="V67" s="112">
        <f t="shared" si="11"/>
        <v>1</v>
      </c>
      <c r="W67" s="112" t="str">
        <f t="shared" si="12"/>
        <v>M</v>
      </c>
      <c r="X67" s="140"/>
      <c r="Y67" s="140"/>
      <c r="Z67" s="140"/>
      <c r="AA67" s="139"/>
    </row>
    <row r="68" spans="2:27" ht="15" customHeight="1" x14ac:dyDescent="0.25">
      <c r="B68" s="139" t="s">
        <v>320</v>
      </c>
      <c r="C68" s="138">
        <v>37659</v>
      </c>
      <c r="D68" s="112">
        <f t="shared" ca="1" si="5"/>
        <v>17</v>
      </c>
      <c r="E68" s="140"/>
      <c r="F68" s="140"/>
      <c r="G68" s="140"/>
      <c r="H68" s="112">
        <f t="shared" si="6"/>
        <v>0</v>
      </c>
      <c r="I68" s="140"/>
      <c r="J68" s="140">
        <v>31</v>
      </c>
      <c r="K68" s="140"/>
      <c r="L68" s="140" t="s">
        <v>30</v>
      </c>
      <c r="M68" s="140"/>
      <c r="N68" s="140"/>
      <c r="O68" s="119" t="str">
        <f t="shared" si="13"/>
        <v>0 OZ, 0 (0+0)</v>
      </c>
      <c r="P68" s="112" t="str">
        <f t="shared" si="7"/>
        <v/>
      </c>
      <c r="Q68" s="141"/>
      <c r="R68" s="140"/>
      <c r="S68" s="112" t="str">
        <f t="shared" si="8"/>
        <v>1 OZ, 0 A</v>
      </c>
      <c r="T68" s="1" t="str">
        <f t="shared" si="9"/>
        <v>Tomšík</v>
      </c>
      <c r="U68" s="1" t="str">
        <f t="shared" si="10"/>
        <v>Tomšík</v>
      </c>
      <c r="V68" s="112">
        <f t="shared" si="11"/>
        <v>1</v>
      </c>
      <c r="W68" s="112" t="str">
        <f t="shared" si="12"/>
        <v>O</v>
      </c>
      <c r="X68" s="140"/>
      <c r="Y68" s="140"/>
      <c r="Z68" s="140"/>
      <c r="AA68" s="139"/>
    </row>
    <row r="69" spans="2:27" ht="15" customHeight="1" x14ac:dyDescent="0.25">
      <c r="B69" s="139" t="s">
        <v>310</v>
      </c>
      <c r="C69" s="138">
        <v>33193</v>
      </c>
      <c r="D69" s="112">
        <f t="shared" ca="1" si="5"/>
        <v>30</v>
      </c>
      <c r="E69" s="140"/>
      <c r="F69" s="140"/>
      <c r="G69" s="140"/>
      <c r="H69" s="112">
        <f t="shared" si="6"/>
        <v>0</v>
      </c>
      <c r="I69" s="140"/>
      <c r="J69" s="140">
        <v>12</v>
      </c>
      <c r="K69" s="140"/>
      <c r="L69" s="140" t="s">
        <v>41</v>
      </c>
      <c r="M69" s="140">
        <v>170</v>
      </c>
      <c r="N69" s="140">
        <v>69</v>
      </c>
      <c r="O69" s="119" t="str">
        <f t="shared" si="13"/>
        <v>16 OZ, 11 (4+7)</v>
      </c>
      <c r="P69" s="112" t="str">
        <f t="shared" si="7"/>
        <v>170/69</v>
      </c>
      <c r="Q69" s="141"/>
      <c r="R69" s="140"/>
      <c r="S69" s="112" t="str">
        <f t="shared" si="8"/>
        <v/>
      </c>
      <c r="T69" s="1" t="str">
        <f t="shared" si="9"/>
        <v>Suchánek</v>
      </c>
      <c r="U69" s="1" t="str">
        <f t="shared" si="10"/>
        <v>Suchánek</v>
      </c>
      <c r="V69" s="112">
        <f t="shared" si="11"/>
        <v>1</v>
      </c>
      <c r="W69" s="112" t="str">
        <f t="shared" si="12"/>
        <v>P</v>
      </c>
      <c r="X69" s="140"/>
      <c r="Y69" s="140"/>
      <c r="Z69" s="140"/>
      <c r="AA69" s="139"/>
    </row>
    <row r="70" spans="2:27" ht="15" customHeight="1" x14ac:dyDescent="0.25">
      <c r="B70" s="139" t="s">
        <v>303</v>
      </c>
      <c r="C70" s="138">
        <v>32710</v>
      </c>
      <c r="D70" s="112">
        <f t="shared" ca="1" si="5"/>
        <v>31</v>
      </c>
      <c r="E70" s="140"/>
      <c r="F70" s="140"/>
      <c r="G70" s="140"/>
      <c r="H70" s="112">
        <f t="shared" si="6"/>
        <v>0</v>
      </c>
      <c r="I70" s="140"/>
      <c r="J70" s="140">
        <v>70</v>
      </c>
      <c r="K70" s="140"/>
      <c r="L70" s="140" t="s">
        <v>79</v>
      </c>
      <c r="M70" s="140">
        <v>186</v>
      </c>
      <c r="N70" s="140">
        <v>88</v>
      </c>
      <c r="O70" s="119" t="str">
        <f t="shared" si="13"/>
        <v>16 OZ, 16 (4+12)</v>
      </c>
      <c r="P70" s="112" t="str">
        <f t="shared" si="7"/>
        <v>186/88</v>
      </c>
      <c r="Q70" s="141"/>
      <c r="R70" s="140"/>
      <c r="S70" s="112" t="str">
        <f t="shared" si="8"/>
        <v/>
      </c>
      <c r="T70" s="1" t="str">
        <f t="shared" si="9"/>
        <v>Krzyžanek</v>
      </c>
      <c r="U70" s="1" t="str">
        <f t="shared" si="10"/>
        <v>Krzyžanek</v>
      </c>
      <c r="V70" s="112">
        <f t="shared" si="11"/>
        <v>1</v>
      </c>
      <c r="W70" s="112" t="str">
        <f t="shared" si="12"/>
        <v>P</v>
      </c>
      <c r="X70" s="140"/>
      <c r="Y70" s="140"/>
      <c r="Z70" s="140"/>
      <c r="AA70" s="139"/>
    </row>
    <row r="71" spans="2:27" ht="15" customHeight="1" x14ac:dyDescent="0.25">
      <c r="B71" s="139" t="s">
        <v>322</v>
      </c>
      <c r="C71" s="138">
        <v>36001</v>
      </c>
      <c r="D71" s="112">
        <f t="shared" ca="1" si="5"/>
        <v>22</v>
      </c>
      <c r="E71" s="140"/>
      <c r="F71" s="140"/>
      <c r="G71" s="140"/>
      <c r="H71" s="112">
        <f t="shared" si="6"/>
        <v>0</v>
      </c>
      <c r="I71" s="140"/>
      <c r="J71" s="140">
        <v>80</v>
      </c>
      <c r="K71" s="140"/>
      <c r="L71" s="140" t="s">
        <v>30</v>
      </c>
      <c r="M71" s="140">
        <v>175</v>
      </c>
      <c r="N71" s="140">
        <v>69</v>
      </c>
      <c r="O71" s="119" t="str">
        <f t="shared" si="13"/>
        <v>0 OZ, 0 (0+0)</v>
      </c>
      <c r="P71" s="112" t="str">
        <f t="shared" si="7"/>
        <v>175/69</v>
      </c>
      <c r="Q71" s="141"/>
      <c r="R71" s="140"/>
      <c r="S71" s="112" t="str">
        <f t="shared" si="8"/>
        <v>3 OZ, 0 A</v>
      </c>
      <c r="T71" s="1" t="str">
        <f t="shared" si="9"/>
        <v>Musil</v>
      </c>
      <c r="U71" s="1" t="str">
        <f t="shared" si="10"/>
        <v>Musil</v>
      </c>
      <c r="V71" s="112">
        <f t="shared" si="11"/>
        <v>1</v>
      </c>
      <c r="W71" s="112" t="str">
        <f t="shared" si="12"/>
        <v>P</v>
      </c>
      <c r="X71" s="140"/>
      <c r="Y71" s="140"/>
      <c r="Z71" s="140"/>
      <c r="AA71" s="139"/>
    </row>
    <row r="72" spans="2:27" ht="15" customHeight="1" x14ac:dyDescent="0.25">
      <c r="B72" s="139" t="s">
        <v>317</v>
      </c>
      <c r="C72" s="138">
        <v>37297</v>
      </c>
      <c r="D72" s="112">
        <f t="shared" ca="1" si="5"/>
        <v>18</v>
      </c>
      <c r="E72" s="140"/>
      <c r="F72" s="140"/>
      <c r="G72" s="140"/>
      <c r="H72" s="112">
        <f t="shared" si="6"/>
        <v>0</v>
      </c>
      <c r="I72" s="140"/>
      <c r="J72" s="140">
        <v>37</v>
      </c>
      <c r="K72" s="140"/>
      <c r="L72" s="140" t="s">
        <v>41</v>
      </c>
      <c r="M72" s="140">
        <v>182</v>
      </c>
      <c r="N72" s="140">
        <v>75</v>
      </c>
      <c r="O72" s="119" t="str">
        <f t="shared" si="13"/>
        <v>1 OZ, 0 (0+0)</v>
      </c>
      <c r="P72" s="112" t="str">
        <f t="shared" si="7"/>
        <v>182/75</v>
      </c>
      <c r="Q72" s="141"/>
      <c r="R72" s="140"/>
      <c r="S72" s="112" t="str">
        <f t="shared" si="8"/>
        <v/>
      </c>
      <c r="T72" s="1" t="str">
        <f t="shared" si="9"/>
        <v>Švejda</v>
      </c>
      <c r="U72" s="1" t="str">
        <f t="shared" si="10"/>
        <v>Švejda</v>
      </c>
      <c r="V72" s="112">
        <f t="shared" si="11"/>
        <v>1</v>
      </c>
      <c r="W72" s="112" t="str">
        <f t="shared" si="12"/>
        <v>Š</v>
      </c>
      <c r="X72" s="140"/>
      <c r="Y72" s="140"/>
      <c r="Z72" s="140"/>
      <c r="AA72" s="139"/>
    </row>
    <row r="73" spans="2:27" ht="15" customHeight="1" x14ac:dyDescent="0.25">
      <c r="B73" s="139" t="s">
        <v>305</v>
      </c>
      <c r="C73" s="138">
        <v>34634</v>
      </c>
      <c r="D73" s="112">
        <f t="shared" ca="1" si="5"/>
        <v>26</v>
      </c>
      <c r="E73" s="140"/>
      <c r="F73" s="140"/>
      <c r="G73" s="140"/>
      <c r="H73" s="112">
        <f t="shared" si="6"/>
        <v>0</v>
      </c>
      <c r="I73" s="140"/>
      <c r="J73" s="140">
        <v>16</v>
      </c>
      <c r="K73" s="140"/>
      <c r="L73" s="140" t="s">
        <v>41</v>
      </c>
      <c r="M73" s="140">
        <v>177</v>
      </c>
      <c r="N73" s="140">
        <v>82</v>
      </c>
      <c r="O73" s="119" t="str">
        <f t="shared" si="13"/>
        <v>15 OZ, 11 (5+6)</v>
      </c>
      <c r="P73" s="112" t="str">
        <f t="shared" si="7"/>
        <v>177/82</v>
      </c>
      <c r="Q73" s="141"/>
      <c r="R73" s="140"/>
      <c r="S73" s="112" t="str">
        <f t="shared" si="8"/>
        <v/>
      </c>
      <c r="T73" s="1" t="str">
        <f t="shared" si="9"/>
        <v>Chroust T.</v>
      </c>
      <c r="U73" s="1" t="str">
        <f t="shared" si="10"/>
        <v>Chroust</v>
      </c>
      <c r="V73" s="112">
        <f t="shared" si="11"/>
        <v>2</v>
      </c>
      <c r="W73" s="112" t="str">
        <f t="shared" si="12"/>
        <v>T</v>
      </c>
      <c r="X73" s="140"/>
      <c r="Y73" s="140"/>
      <c r="Z73" s="140"/>
      <c r="AA73" s="139"/>
    </row>
    <row r="74" spans="2:27" ht="15" customHeight="1" x14ac:dyDescent="0.25">
      <c r="B74" s="139" t="s">
        <v>302</v>
      </c>
      <c r="C74" s="138">
        <v>33799</v>
      </c>
      <c r="D74" s="112">
        <f t="shared" ca="1" si="5"/>
        <v>28</v>
      </c>
      <c r="E74" s="140"/>
      <c r="F74" s="140"/>
      <c r="G74" s="140"/>
      <c r="H74" s="112">
        <f t="shared" si="6"/>
        <v>0</v>
      </c>
      <c r="I74" s="140"/>
      <c r="J74" s="140">
        <v>14</v>
      </c>
      <c r="K74" s="140"/>
      <c r="L74" s="140" t="s">
        <v>79</v>
      </c>
      <c r="M74" s="140">
        <v>183</v>
      </c>
      <c r="N74" s="140">
        <v>73</v>
      </c>
      <c r="O74" s="119" t="str">
        <f t="shared" si="13"/>
        <v>16 OZ, 12 (5+7)</v>
      </c>
      <c r="P74" s="112" t="str">
        <f t="shared" si="7"/>
        <v>183/73</v>
      </c>
      <c r="Q74" s="141"/>
      <c r="R74" s="140"/>
      <c r="S74" s="112" t="str">
        <f t="shared" si="8"/>
        <v/>
      </c>
      <c r="T74" s="1" t="str">
        <f t="shared" si="9"/>
        <v>Chroust T.</v>
      </c>
      <c r="U74" s="1" t="str">
        <f t="shared" si="10"/>
        <v>Chroust</v>
      </c>
      <c r="V74" s="112">
        <f t="shared" si="11"/>
        <v>2</v>
      </c>
      <c r="W74" s="112" t="str">
        <f t="shared" si="12"/>
        <v>T</v>
      </c>
      <c r="X74" s="140"/>
      <c r="Y74" s="140"/>
      <c r="Z74" s="140"/>
      <c r="AA74" s="139"/>
    </row>
    <row r="75" spans="2:27" ht="15" customHeight="1" x14ac:dyDescent="0.25">
      <c r="B75" s="139" t="s">
        <v>319</v>
      </c>
      <c r="C75" s="138"/>
      <c r="D75" s="112" t="str">
        <f t="shared" si="5"/>
        <v/>
      </c>
      <c r="E75" s="140"/>
      <c r="F75" s="140"/>
      <c r="G75" s="140"/>
      <c r="H75" s="112">
        <f t="shared" si="6"/>
        <v>0</v>
      </c>
      <c r="I75" s="140"/>
      <c r="J75" s="140"/>
      <c r="K75" s="140"/>
      <c r="L75" s="140"/>
      <c r="M75" s="140"/>
      <c r="N75" s="140"/>
      <c r="O75" s="119" t="str">
        <f t="shared" si="13"/>
        <v>1 OZ, 0 (0+0)</v>
      </c>
      <c r="P75" s="112" t="str">
        <f t="shared" si="7"/>
        <v/>
      </c>
      <c r="Q75" s="141"/>
      <c r="R75" s="140"/>
      <c r="S75" s="112" t="str">
        <f t="shared" si="8"/>
        <v/>
      </c>
      <c r="T75" s="1" t="str">
        <f t="shared" si="9"/>
        <v>Vyhnánek</v>
      </c>
      <c r="U75" s="1" t="str">
        <f t="shared" si="10"/>
        <v>Vyhnánek</v>
      </c>
      <c r="V75" s="112">
        <f t="shared" si="11"/>
        <v>1</v>
      </c>
      <c r="W75" s="112" t="str">
        <f t="shared" si="12"/>
        <v>Z</v>
      </c>
      <c r="X75" s="140"/>
      <c r="Y75" s="140"/>
      <c r="Z75" s="140"/>
      <c r="AA75" s="139"/>
    </row>
    <row r="76" spans="2:27" ht="15" customHeight="1" x14ac:dyDescent="0.25">
      <c r="B76" s="139"/>
      <c r="C76" s="138"/>
      <c r="D76" s="112" t="str">
        <f t="shared" ref="D76:D82" si="14">IF(C76 &lt;&gt; 0,ROUNDDOWN(($A$47-C76)/365.25,0),"")</f>
        <v/>
      </c>
      <c r="E76" s="140"/>
      <c r="F76" s="140"/>
      <c r="G76" s="140"/>
      <c r="H76" s="112" t="str">
        <f t="shared" ref="H76:H82" si="15">IF(B76&lt;&gt;0,F76+G76,"")</f>
        <v/>
      </c>
      <c r="I76" s="140"/>
      <c r="J76" s="140"/>
      <c r="K76" s="140"/>
      <c r="L76" s="140"/>
      <c r="M76" s="140"/>
      <c r="N76" s="140"/>
      <c r="O76" s="119" t="str">
        <f t="shared" si="13"/>
        <v/>
      </c>
      <c r="P76" s="112" t="str">
        <f t="shared" ref="P76:P82" si="16">IF(M76&lt;&gt;0,CONCATENATE(M76,"/",N76),"")</f>
        <v/>
      </c>
      <c r="Q76" s="141"/>
      <c r="R76" s="140"/>
      <c r="S76" s="112" t="str">
        <f t="shared" ref="S76:S82" si="17">IFERROR(CONCATENATE(E76+VLOOKUP(B76,$B$39:$R$42,4,FALSE), " OZ, ",G76+VLOOKUP(B76,$B$39:$R$42,13,FALSE), " A"),"")</f>
        <v/>
      </c>
      <c r="T76" s="1" t="str">
        <f t="shared" ref="T76:T82" si="18">IF(B76&lt;&gt;0,IF(V76=1,U76,CONCATENATE(U76," ",W76,".")),"")</f>
        <v/>
      </c>
      <c r="U76" s="1" t="str">
        <f t="shared" ref="U76:U82" si="19">IFERROR(RIGHT(B76,LEN(B76)-SEARCH(" ", B76,1)),"")</f>
        <v/>
      </c>
      <c r="V76" s="112" t="str">
        <f t="shared" ref="V76:V82" si="20">IF(B76&lt;&gt;0,COUNTIF($U$48:$U$82,U76),"")</f>
        <v/>
      </c>
      <c r="W76" s="112" t="str">
        <f t="shared" ref="W76:W82" si="21">IFERROR(LEFT(LEFT(B76,SEARCH(" ",B76,1)),1),"")</f>
        <v/>
      </c>
      <c r="X76" s="140"/>
      <c r="Y76" s="140"/>
      <c r="Z76" s="140"/>
      <c r="AA76" s="139"/>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13"/>
        <v/>
      </c>
      <c r="P77" s="112" t="str">
        <f t="shared" si="16"/>
        <v/>
      </c>
      <c r="Q77" s="141"/>
      <c r="R77" s="140"/>
      <c r="S77" s="112" t="str">
        <f t="shared" si="17"/>
        <v/>
      </c>
      <c r="T77" s="1" t="str">
        <f t="shared" si="18"/>
        <v/>
      </c>
      <c r="U77" s="1" t="str">
        <f t="shared" si="19"/>
        <v/>
      </c>
      <c r="V77" s="112" t="str">
        <f t="shared" si="20"/>
        <v/>
      </c>
      <c r="W77" s="112" t="str">
        <f t="shared" si="21"/>
        <v/>
      </c>
      <c r="X77" s="140"/>
      <c r="Y77" s="140"/>
      <c r="Z77" s="140"/>
      <c r="AA77" s="139"/>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13"/>
        <v/>
      </c>
      <c r="P78" s="112" t="str">
        <f t="shared" si="16"/>
        <v/>
      </c>
      <c r="Q78" s="141"/>
      <c r="R78" s="140"/>
      <c r="S78" s="112" t="str">
        <f t="shared" si="17"/>
        <v/>
      </c>
      <c r="T78" s="1" t="str">
        <f t="shared" si="18"/>
        <v/>
      </c>
      <c r="U78" s="1" t="str">
        <f t="shared" si="19"/>
        <v/>
      </c>
      <c r="V78" s="112" t="str">
        <f t="shared" si="20"/>
        <v/>
      </c>
      <c r="W78" s="112" t="str">
        <f t="shared" si="21"/>
        <v/>
      </c>
      <c r="X78" s="140"/>
      <c r="Y78" s="140"/>
      <c r="Z78" s="140"/>
      <c r="AA78" s="139"/>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13"/>
        <v/>
      </c>
      <c r="P79" s="112" t="str">
        <f t="shared" si="16"/>
        <v/>
      </c>
      <c r="Q79" s="141"/>
      <c r="R79" s="140"/>
      <c r="S79" s="112" t="str">
        <f t="shared" si="17"/>
        <v/>
      </c>
      <c r="T79" s="1" t="str">
        <f t="shared" si="18"/>
        <v/>
      </c>
      <c r="U79" s="1" t="str">
        <f t="shared" si="19"/>
        <v/>
      </c>
      <c r="V79" s="112" t="str">
        <f t="shared" si="20"/>
        <v/>
      </c>
      <c r="W79" s="112" t="str">
        <f t="shared" si="21"/>
        <v/>
      </c>
      <c r="X79" s="140"/>
      <c r="Y79" s="140"/>
      <c r="Z79" s="140"/>
      <c r="AA79" s="139"/>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13"/>
        <v/>
      </c>
      <c r="P80" s="112" t="str">
        <f t="shared" si="16"/>
        <v/>
      </c>
      <c r="Q80" s="141"/>
      <c r="R80" s="140"/>
      <c r="S80" s="112" t="str">
        <f t="shared" si="17"/>
        <v/>
      </c>
      <c r="T80" s="1" t="str">
        <f t="shared" si="18"/>
        <v/>
      </c>
      <c r="U80" s="1" t="str">
        <f t="shared" si="19"/>
        <v/>
      </c>
      <c r="V80" s="112" t="str">
        <f t="shared" si="20"/>
        <v/>
      </c>
      <c r="W80" s="112" t="str">
        <f t="shared" si="21"/>
        <v/>
      </c>
      <c r="X80" s="140"/>
      <c r="Y80" s="140"/>
      <c r="Z80" s="140"/>
      <c r="AA80" s="139"/>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13"/>
        <v/>
      </c>
      <c r="P81" s="112" t="str">
        <f t="shared" si="16"/>
        <v/>
      </c>
      <c r="Q81" s="141"/>
      <c r="R81" s="140"/>
      <c r="S81" s="112" t="str">
        <f t="shared" si="17"/>
        <v/>
      </c>
      <c r="T81" s="1" t="str">
        <f t="shared" si="18"/>
        <v/>
      </c>
      <c r="U81" s="1" t="str">
        <f t="shared" si="19"/>
        <v/>
      </c>
      <c r="V81" s="112" t="str">
        <f t="shared" si="20"/>
        <v/>
      </c>
      <c r="W81" s="112" t="str">
        <f t="shared" si="21"/>
        <v/>
      </c>
      <c r="X81" s="140"/>
      <c r="Y81" s="140"/>
      <c r="Z81" s="140"/>
      <c r="AA81" s="139"/>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13"/>
        <v/>
      </c>
      <c r="P82" s="112" t="str">
        <f t="shared" si="16"/>
        <v/>
      </c>
      <c r="Q82" s="141"/>
      <c r="R82" s="140"/>
      <c r="S82" s="112" t="str">
        <f t="shared" si="17"/>
        <v/>
      </c>
      <c r="T82" s="1" t="str">
        <f t="shared" si="18"/>
        <v/>
      </c>
      <c r="U82" s="1" t="str">
        <f t="shared" si="19"/>
        <v/>
      </c>
      <c r="V82" s="112" t="str">
        <f t="shared" si="20"/>
        <v/>
      </c>
      <c r="W82" s="112" t="str">
        <f t="shared" si="21"/>
        <v/>
      </c>
      <c r="X82" s="140"/>
      <c r="Y82" s="140"/>
      <c r="Z82" s="140"/>
      <c r="AA82" s="139"/>
    </row>
    <row r="84" spans="1:27" s="110" customFormat="1" ht="15" customHeight="1" x14ac:dyDescent="0.25">
      <c r="A84" s="7">
        <f ca="1">TODAY()</f>
        <v>44214</v>
      </c>
      <c r="B84" s="110" t="s">
        <v>60</v>
      </c>
      <c r="C84" s="110" t="s">
        <v>67</v>
      </c>
      <c r="D84" s="110" t="s">
        <v>68</v>
      </c>
      <c r="E84" s="346" t="s">
        <v>95</v>
      </c>
      <c r="F84" s="346"/>
      <c r="G84" s="346" t="s">
        <v>101</v>
      </c>
      <c r="H84" s="346"/>
      <c r="I84" s="346"/>
      <c r="J84" s="346"/>
      <c r="K84" s="346"/>
      <c r="Q84" s="9"/>
    </row>
    <row r="85" spans="1:27" ht="30" customHeight="1" x14ac:dyDescent="0.25">
      <c r="B85" s="139" t="s">
        <v>324</v>
      </c>
      <c r="C85" s="138">
        <v>30091</v>
      </c>
      <c r="D85" s="113">
        <f ca="1">IF(B85&lt;&gt;0,ROUNDDOWN(($A$84-C85)/365.25,0),"")</f>
        <v>38</v>
      </c>
      <c r="E85" s="344" t="s">
        <v>189</v>
      </c>
      <c r="F85" s="344"/>
      <c r="G85" s="344" t="s">
        <v>325</v>
      </c>
      <c r="H85" s="344"/>
      <c r="I85" s="344"/>
      <c r="J85" s="344"/>
      <c r="K85" s="344"/>
    </row>
    <row r="86" spans="1:27" ht="30" customHeight="1" x14ac:dyDescent="0.25">
      <c r="B86" s="139" t="s">
        <v>326</v>
      </c>
      <c r="C86" s="138">
        <v>33197</v>
      </c>
      <c r="D86" s="113">
        <f t="shared" ref="D86:D92" ca="1" si="22">IF(B86&lt;&gt;0,ROUNDDOWN(($A$84-C86)/365.25,0),"")</f>
        <v>30</v>
      </c>
      <c r="E86" s="344" t="s">
        <v>102</v>
      </c>
      <c r="F86" s="344"/>
      <c r="G86" s="344" t="s">
        <v>327</v>
      </c>
      <c r="H86" s="344"/>
      <c r="I86" s="344"/>
      <c r="J86" s="344"/>
      <c r="K86" s="344"/>
    </row>
    <row r="87" spans="1:27" ht="30" customHeight="1" x14ac:dyDescent="0.25">
      <c r="B87" s="139" t="s">
        <v>328</v>
      </c>
      <c r="C87" s="138">
        <v>30597</v>
      </c>
      <c r="D87" s="113">
        <f t="shared" ca="1" si="22"/>
        <v>37</v>
      </c>
      <c r="E87" s="344" t="s">
        <v>192</v>
      </c>
      <c r="F87" s="344"/>
      <c r="G87" s="344" t="s">
        <v>329</v>
      </c>
      <c r="H87" s="344"/>
      <c r="I87" s="344"/>
      <c r="J87" s="344"/>
      <c r="K87" s="344"/>
    </row>
    <row r="88" spans="1:27" ht="30" customHeight="1" x14ac:dyDescent="0.25">
      <c r="B88" s="139" t="s">
        <v>330</v>
      </c>
      <c r="C88" s="138">
        <v>34618</v>
      </c>
      <c r="D88" s="113">
        <f t="shared" ca="1" si="22"/>
        <v>26</v>
      </c>
      <c r="E88" s="344" t="s">
        <v>331</v>
      </c>
      <c r="F88" s="344"/>
      <c r="G88" s="344" t="s">
        <v>332</v>
      </c>
      <c r="H88" s="344"/>
      <c r="I88" s="344"/>
      <c r="J88" s="344"/>
      <c r="K88" s="344"/>
    </row>
    <row r="89" spans="1:27" ht="30" customHeight="1" x14ac:dyDescent="0.25">
      <c r="B89" s="139" t="s">
        <v>333</v>
      </c>
      <c r="C89" s="138">
        <v>33694</v>
      </c>
      <c r="D89" s="113">
        <f t="shared" ca="1" si="22"/>
        <v>28</v>
      </c>
      <c r="E89" s="344" t="s">
        <v>334</v>
      </c>
      <c r="F89" s="344"/>
      <c r="G89" s="344" t="s">
        <v>30</v>
      </c>
      <c r="H89" s="344"/>
      <c r="I89" s="344"/>
      <c r="J89" s="344"/>
      <c r="K89" s="344"/>
    </row>
    <row r="90" spans="1:27" ht="30" customHeight="1" x14ac:dyDescent="0.25">
      <c r="B90" s="139"/>
      <c r="C90" s="139"/>
      <c r="D90" s="113" t="str">
        <f t="shared" si="22"/>
        <v/>
      </c>
      <c r="E90" s="344"/>
      <c r="F90" s="344"/>
      <c r="G90" s="344"/>
      <c r="H90" s="344"/>
      <c r="I90" s="344"/>
      <c r="J90" s="344"/>
      <c r="K90" s="344"/>
    </row>
    <row r="91" spans="1:27" ht="30" customHeight="1" x14ac:dyDescent="0.25">
      <c r="B91" s="139"/>
      <c r="C91" s="139"/>
      <c r="D91" s="113" t="str">
        <f t="shared" si="22"/>
        <v/>
      </c>
      <c r="E91" s="344"/>
      <c r="F91" s="344"/>
      <c r="G91" s="344"/>
      <c r="H91" s="344"/>
      <c r="I91" s="344"/>
      <c r="J91" s="344"/>
      <c r="K91" s="344"/>
    </row>
    <row r="92" spans="1:27" ht="30" customHeight="1" x14ac:dyDescent="0.25">
      <c r="B92" s="139"/>
      <c r="C92" s="139"/>
      <c r="D92" s="113" t="str">
        <f t="shared" si="22"/>
        <v/>
      </c>
      <c r="E92" s="344"/>
      <c r="F92" s="344"/>
      <c r="G92" s="344"/>
      <c r="H92" s="344"/>
      <c r="I92" s="344"/>
      <c r="J92" s="344"/>
      <c r="K92" s="344"/>
    </row>
  </sheetData>
  <sheetProtection algorithmName="SHA-512" hashValue="ZdKnzD5DA4lq5zVUsHB7MLXKoUijApNf7UUeX3QFG1l+CCFh2us7Q9zh9AEl3mY6ZayBapwl4wxf6V95q4tt8A==" saltValue="KaqpKR5rdvI8hipR8PuSQQ==" spinCount="100000" sheet="1" objects="1" scenarios="1" selectLockedCells="1"/>
  <sortState ref="B48:Z75">
    <sortCondition ref="B48:B75"/>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7" workbookViewId="0">
      <selection activeCell="E31" sqref="E31:E40"/>
    </sheetView>
  </sheetViews>
  <sheetFormatPr defaultRowHeight="15" x14ac:dyDescent="0.25"/>
  <cols>
    <col min="2" max="2" width="18.85546875" bestFit="1" customWidth="1"/>
  </cols>
  <sheetData>
    <row r="1" spans="1:6" x14ac:dyDescent="0.25">
      <c r="A1" s="346" t="s">
        <v>36</v>
      </c>
      <c r="B1" s="1" t="s">
        <v>403</v>
      </c>
      <c r="C1" s="181">
        <v>38</v>
      </c>
      <c r="D1" s="347" t="str">
        <f t="shared" ref="D1:D30" si="0">IFERROR(RIGHT(B1,LEN(B1)-SEARCH(" ",B1)),"")</f>
        <v>Jiří Curney</v>
      </c>
      <c r="E1" s="347"/>
      <c r="F1" s="132"/>
    </row>
    <row r="2" spans="1:6" x14ac:dyDescent="0.25">
      <c r="A2" s="346"/>
      <c r="B2" s="1" t="s">
        <v>404</v>
      </c>
      <c r="C2" s="181">
        <v>29</v>
      </c>
      <c r="D2" s="347" t="str">
        <f t="shared" si="0"/>
        <v>Jan Natov</v>
      </c>
      <c r="E2" s="347"/>
      <c r="F2" s="132"/>
    </row>
    <row r="3" spans="1:6" x14ac:dyDescent="0.25">
      <c r="A3" s="346"/>
      <c r="B3" s="1" t="s">
        <v>405</v>
      </c>
      <c r="C3" s="181">
        <v>25</v>
      </c>
      <c r="D3" s="347" t="str">
        <f t="shared" si="0"/>
        <v>Jakub Bína</v>
      </c>
      <c r="E3" s="347"/>
      <c r="F3" s="132"/>
    </row>
    <row r="4" spans="1:6" x14ac:dyDescent="0.25">
      <c r="A4" s="346"/>
      <c r="B4" s="1" t="s">
        <v>418</v>
      </c>
      <c r="C4" s="181">
        <v>19</v>
      </c>
      <c r="D4" s="347" t="str">
        <f t="shared" si="0"/>
        <v>Daniel Šebek</v>
      </c>
      <c r="E4" s="347"/>
      <c r="F4" s="132"/>
    </row>
    <row r="5" spans="1:6" x14ac:dyDescent="0.25">
      <c r="A5" s="346"/>
      <c r="B5" s="1" t="s">
        <v>685</v>
      </c>
      <c r="C5" s="181">
        <v>18</v>
      </c>
      <c r="D5" s="347" t="str">
        <f t="shared" si="0"/>
        <v>Martin Tokoš</v>
      </c>
      <c r="E5" s="347"/>
      <c r="F5" s="132"/>
    </row>
    <row r="6" spans="1:6" x14ac:dyDescent="0.25">
      <c r="A6" s="346" t="s">
        <v>244</v>
      </c>
      <c r="B6" s="1" t="s">
        <v>408</v>
      </c>
      <c r="C6" s="181" t="s">
        <v>743</v>
      </c>
      <c r="D6" s="347" t="str">
        <f t="shared" si="0"/>
        <v>Lukáš Bauer</v>
      </c>
      <c r="E6" s="347"/>
      <c r="F6" s="132">
        <f t="shared" ref="F6:F10" si="1">IF(B6&lt;&gt;0,_xlfn.NUMBERVALUE(C6,","),"")</f>
        <v>3.39</v>
      </c>
    </row>
    <row r="7" spans="1:6" x14ac:dyDescent="0.25">
      <c r="A7" s="346"/>
      <c r="B7" s="1" t="s">
        <v>409</v>
      </c>
      <c r="C7" s="181" t="s">
        <v>410</v>
      </c>
      <c r="D7" s="347" t="str">
        <f t="shared" si="0"/>
        <v>Petr Musil</v>
      </c>
      <c r="E7" s="347"/>
      <c r="F7" s="132">
        <f t="shared" si="1"/>
        <v>4.74</v>
      </c>
    </row>
    <row r="8" spans="1:6" x14ac:dyDescent="0.25">
      <c r="A8" s="346"/>
      <c r="B8" s="1" t="s">
        <v>411</v>
      </c>
      <c r="C8" s="181" t="s">
        <v>336</v>
      </c>
      <c r="D8" s="347" t="str">
        <f t="shared" si="0"/>
        <v>Marek Macík</v>
      </c>
      <c r="E8" s="347"/>
      <c r="F8" s="132">
        <f t="shared" si="1"/>
        <v>0</v>
      </c>
    </row>
    <row r="9" spans="1:6" x14ac:dyDescent="0.25">
      <c r="A9" s="346"/>
      <c r="B9" s="1" t="s">
        <v>412</v>
      </c>
      <c r="C9" s="181" t="s">
        <v>413</v>
      </c>
      <c r="D9" s="347" t="str">
        <f t="shared" si="0"/>
        <v>Ondřej Tomšík</v>
      </c>
      <c r="E9" s="347"/>
      <c r="F9" s="132">
        <f t="shared" si="1"/>
        <v>15</v>
      </c>
    </row>
    <row r="10" spans="1:6" x14ac:dyDescent="0.25">
      <c r="A10" s="346"/>
      <c r="B10" s="1"/>
      <c r="C10" s="181"/>
      <c r="D10" s="347" t="str">
        <f t="shared" si="0"/>
        <v/>
      </c>
      <c r="E10" s="347"/>
      <c r="F10" s="132" t="str">
        <f t="shared" si="1"/>
        <v/>
      </c>
    </row>
    <row r="11" spans="1:6" x14ac:dyDescent="0.25">
      <c r="A11" s="346" t="s">
        <v>35</v>
      </c>
      <c r="B11" s="1" t="s">
        <v>414</v>
      </c>
      <c r="C11" s="181">
        <v>22</v>
      </c>
      <c r="D11" s="347" t="str">
        <f t="shared" si="0"/>
        <v>Jakub Bína</v>
      </c>
      <c r="E11" s="347"/>
      <c r="F11" s="132"/>
    </row>
    <row r="12" spans="1:6" x14ac:dyDescent="0.25">
      <c r="A12" s="346"/>
      <c r="B12" s="1" t="s">
        <v>404</v>
      </c>
      <c r="C12" s="181">
        <v>18</v>
      </c>
      <c r="D12" s="347" t="str">
        <f t="shared" si="0"/>
        <v>Jan Natov</v>
      </c>
      <c r="E12" s="347"/>
      <c r="F12" s="132"/>
    </row>
    <row r="13" spans="1:6" x14ac:dyDescent="0.25">
      <c r="A13" s="346"/>
      <c r="B13" s="1" t="s">
        <v>415</v>
      </c>
      <c r="C13" s="181">
        <v>16</v>
      </c>
      <c r="D13" s="347" t="str">
        <f t="shared" si="0"/>
        <v>Jiří Curney</v>
      </c>
      <c r="E13" s="347"/>
      <c r="F13" s="132"/>
    </row>
    <row r="14" spans="1:6" x14ac:dyDescent="0.25">
      <c r="A14" s="346"/>
      <c r="B14" s="1" t="s">
        <v>406</v>
      </c>
      <c r="C14" s="181">
        <v>13</v>
      </c>
      <c r="D14" s="347" t="str">
        <f t="shared" si="0"/>
        <v>Martin Tokoš</v>
      </c>
      <c r="E14" s="347"/>
      <c r="F14" s="132"/>
    </row>
    <row r="15" spans="1:6" x14ac:dyDescent="0.25">
      <c r="A15" s="346"/>
      <c r="B15" s="1" t="s">
        <v>407</v>
      </c>
      <c r="C15" s="181">
        <v>9</v>
      </c>
      <c r="D15" s="347" t="str">
        <f t="shared" si="0"/>
        <v>Mikuláš Komárek</v>
      </c>
      <c r="E15" s="347"/>
      <c r="F15" s="132"/>
    </row>
    <row r="16" spans="1:6" x14ac:dyDescent="0.25">
      <c r="A16" s="346" t="s">
        <v>231</v>
      </c>
      <c r="B16" s="1" t="s">
        <v>408</v>
      </c>
      <c r="C16" s="181">
        <v>12</v>
      </c>
      <c r="D16" s="347" t="str">
        <f t="shared" si="0"/>
        <v>Lukáš Bauer</v>
      </c>
      <c r="E16" s="347"/>
      <c r="F16" s="132">
        <f t="shared" ref="F16:F20" si="2">IF(B16&lt;&gt;0,_xlfn.NUMBERVALUE(C16,","),"")</f>
        <v>12</v>
      </c>
    </row>
    <row r="17" spans="1:6" x14ac:dyDescent="0.25">
      <c r="A17" s="346"/>
      <c r="B17" s="1" t="s">
        <v>409</v>
      </c>
      <c r="C17" s="181">
        <v>3</v>
      </c>
      <c r="D17" s="347" t="str">
        <f t="shared" si="0"/>
        <v>Petr Musil</v>
      </c>
      <c r="E17" s="347"/>
      <c r="F17" s="132">
        <f t="shared" si="2"/>
        <v>3</v>
      </c>
    </row>
    <row r="18" spans="1:6" x14ac:dyDescent="0.25">
      <c r="A18" s="346"/>
      <c r="B18" s="1" t="s">
        <v>416</v>
      </c>
      <c r="C18" s="181">
        <v>1</v>
      </c>
      <c r="D18" s="347" t="str">
        <f t="shared" si="0"/>
        <v>Ondřej Tomšík</v>
      </c>
      <c r="E18" s="347"/>
      <c r="F18" s="132">
        <f t="shared" si="2"/>
        <v>1</v>
      </c>
    </row>
    <row r="19" spans="1:6" x14ac:dyDescent="0.25">
      <c r="A19" s="346"/>
      <c r="B19" s="1" t="s">
        <v>417</v>
      </c>
      <c r="C19" s="181">
        <v>0</v>
      </c>
      <c r="D19" s="347" t="str">
        <f t="shared" si="0"/>
        <v>Marek Macík</v>
      </c>
      <c r="E19" s="347"/>
      <c r="F19" s="132">
        <f t="shared" si="2"/>
        <v>0</v>
      </c>
    </row>
    <row r="20" spans="1:6" x14ac:dyDescent="0.25">
      <c r="A20" s="346"/>
      <c r="B20" s="1"/>
      <c r="C20" s="181"/>
      <c r="D20" s="347" t="str">
        <f t="shared" si="0"/>
        <v/>
      </c>
      <c r="E20" s="347"/>
      <c r="F20" s="132" t="str">
        <f t="shared" si="2"/>
        <v/>
      </c>
    </row>
    <row r="21" spans="1:6" x14ac:dyDescent="0.25">
      <c r="A21" s="346" t="s">
        <v>37</v>
      </c>
      <c r="B21" s="1" t="s">
        <v>403</v>
      </c>
      <c r="C21" s="181">
        <v>22</v>
      </c>
      <c r="D21" s="347" t="str">
        <f>IFERROR(RIGHT(B21,LEN(B21)-SEARCH(" ",B21)),"")</f>
        <v>Jiří Curney</v>
      </c>
      <c r="E21" s="347"/>
      <c r="F21" s="132"/>
    </row>
    <row r="22" spans="1:6" x14ac:dyDescent="0.25">
      <c r="A22" s="346"/>
      <c r="B22" s="1" t="s">
        <v>744</v>
      </c>
      <c r="C22" s="181">
        <v>12</v>
      </c>
      <c r="D22" s="347" t="str">
        <f>IFERROR(RIGHT(B22,LEN(B22)-SEARCH(" ",B22)),"")</f>
        <v>Petr Krzyžanek</v>
      </c>
      <c r="E22" s="347"/>
      <c r="F22" s="132"/>
    </row>
    <row r="23" spans="1:6" x14ac:dyDescent="0.25">
      <c r="A23" s="346"/>
      <c r="B23" s="1" t="s">
        <v>687</v>
      </c>
      <c r="C23" s="181">
        <v>11</v>
      </c>
      <c r="D23" s="347" t="str">
        <f>IFERROR(RIGHT(B23,LEN(B23)-SEARCH(" ",B23)),"")</f>
        <v>Daniel Šebek</v>
      </c>
      <c r="E23" s="347"/>
      <c r="F23" s="132"/>
    </row>
    <row r="24" spans="1:6" x14ac:dyDescent="0.25">
      <c r="A24" s="346"/>
      <c r="B24" s="1" t="s">
        <v>745</v>
      </c>
      <c r="C24" s="181">
        <v>11</v>
      </c>
      <c r="D24" s="347" t="str">
        <f>IFERROR(RIGHT(B24,LEN(B24)-SEARCH(" ",B24)),"")</f>
        <v>Jan Natov</v>
      </c>
      <c r="E24" s="347"/>
      <c r="F24" s="132"/>
    </row>
    <row r="25" spans="1:6" x14ac:dyDescent="0.25">
      <c r="A25" s="346"/>
      <c r="B25" s="1" t="s">
        <v>686</v>
      </c>
      <c r="C25" s="181">
        <v>9</v>
      </c>
      <c r="D25" s="347" t="str">
        <f>IFERROR(RIGHT(B25,LEN(B25)-SEARCH(" ",B25)),"")</f>
        <v>Milan Tomašík</v>
      </c>
      <c r="E25" s="347"/>
      <c r="F25" s="132"/>
    </row>
    <row r="26" spans="1:6" x14ac:dyDescent="0.25">
      <c r="A26" s="346" t="s">
        <v>38</v>
      </c>
      <c r="B26" s="1" t="s">
        <v>746</v>
      </c>
      <c r="C26" s="181">
        <v>18</v>
      </c>
      <c r="D26" s="347" t="str">
        <f t="shared" si="0"/>
        <v>Jan Natov</v>
      </c>
      <c r="E26" s="347"/>
      <c r="F26" s="132"/>
    </row>
    <row r="27" spans="1:6" x14ac:dyDescent="0.25">
      <c r="A27" s="346"/>
      <c r="B27" s="1" t="s">
        <v>747</v>
      </c>
      <c r="C27" s="181">
        <v>18</v>
      </c>
      <c r="D27" s="347" t="str">
        <f t="shared" si="0"/>
        <v>Martin Tokoš</v>
      </c>
      <c r="E27" s="347"/>
      <c r="F27" s="132"/>
    </row>
    <row r="28" spans="1:6" x14ac:dyDescent="0.25">
      <c r="A28" s="346"/>
      <c r="B28" s="1" t="s">
        <v>687</v>
      </c>
      <c r="C28" s="181">
        <v>6</v>
      </c>
      <c r="D28" s="347" t="str">
        <f t="shared" si="0"/>
        <v>Daniel Šebek</v>
      </c>
      <c r="E28" s="347"/>
      <c r="F28" s="132"/>
    </row>
    <row r="29" spans="1:6" x14ac:dyDescent="0.25">
      <c r="A29" s="346"/>
      <c r="B29" s="1" t="s">
        <v>688</v>
      </c>
      <c r="C29" s="181">
        <v>6</v>
      </c>
      <c r="D29" s="347" t="str">
        <f t="shared" si="0"/>
        <v>Jan Řehoř</v>
      </c>
      <c r="E29" s="347"/>
      <c r="F29" s="132"/>
    </row>
    <row r="30" spans="1:6" x14ac:dyDescent="0.25">
      <c r="A30" s="346"/>
      <c r="B30" s="1" t="s">
        <v>748</v>
      </c>
      <c r="C30" s="181">
        <v>6</v>
      </c>
      <c r="D30" s="347" t="str">
        <f t="shared" si="0"/>
        <v>Patrik Suchánek</v>
      </c>
      <c r="E30" s="347"/>
      <c r="F30" s="132"/>
    </row>
    <row r="31" spans="1:6" x14ac:dyDescent="0.25">
      <c r="A31" s="346" t="s">
        <v>339</v>
      </c>
      <c r="B31" s="122" t="s">
        <v>725</v>
      </c>
      <c r="C31" s="122" t="s">
        <v>144</v>
      </c>
      <c r="D31" s="122" t="s">
        <v>740</v>
      </c>
      <c r="E31" s="179" t="str">
        <f>IFERROR(RIGHT(LEFT(D31,LEN(D31)-1),LEN(D31)-2),"")</f>
        <v>7:1</v>
      </c>
    </row>
    <row r="32" spans="1:6" x14ac:dyDescent="0.25">
      <c r="A32" s="346"/>
      <c r="B32" s="122" t="s">
        <v>684</v>
      </c>
      <c r="C32" s="122" t="s">
        <v>144</v>
      </c>
      <c r="D32" s="122" t="s">
        <v>422</v>
      </c>
      <c r="E32" s="179" t="str">
        <f t="shared" ref="E32:E40" si="3">IFERROR(RIGHT(LEFT(D32,LEN(D32)-1),LEN(D32)-2),"")</f>
        <v>6:3</v>
      </c>
    </row>
    <row r="33" spans="1:5" x14ac:dyDescent="0.25">
      <c r="A33" s="346"/>
      <c r="B33" s="122" t="s">
        <v>343</v>
      </c>
      <c r="C33" s="122" t="s">
        <v>154</v>
      </c>
      <c r="D33" s="122" t="s">
        <v>419</v>
      </c>
      <c r="E33" s="179" t="str">
        <f t="shared" si="3"/>
        <v>13:2</v>
      </c>
    </row>
    <row r="34" spans="1:5" x14ac:dyDescent="0.25">
      <c r="A34" s="346"/>
      <c r="B34" s="122" t="s">
        <v>344</v>
      </c>
      <c r="C34" s="122" t="s">
        <v>147</v>
      </c>
      <c r="D34" s="122" t="s">
        <v>420</v>
      </c>
      <c r="E34" s="179" t="str">
        <f t="shared" si="3"/>
        <v>6:5p</v>
      </c>
    </row>
    <row r="35" spans="1:5" x14ac:dyDescent="0.25">
      <c r="A35" s="346"/>
      <c r="B35" s="122" t="s">
        <v>345</v>
      </c>
      <c r="C35" s="122" t="s">
        <v>29</v>
      </c>
      <c r="D35" s="122" t="s">
        <v>421</v>
      </c>
      <c r="E35" s="179" t="str">
        <f t="shared" si="3"/>
        <v>7:2</v>
      </c>
    </row>
    <row r="36" spans="1:5" x14ac:dyDescent="0.25">
      <c r="A36" s="346" t="s">
        <v>340</v>
      </c>
      <c r="B36" s="122" t="s">
        <v>371</v>
      </c>
      <c r="C36" s="122" t="s">
        <v>152</v>
      </c>
      <c r="D36" s="122" t="s">
        <v>353</v>
      </c>
      <c r="E36" s="179" t="str">
        <f t="shared" si="3"/>
        <v>-:-</v>
      </c>
    </row>
    <row r="37" spans="1:5" x14ac:dyDescent="0.25">
      <c r="A37" s="346"/>
      <c r="B37" s="122" t="s">
        <v>372</v>
      </c>
      <c r="C37" s="122" t="s">
        <v>146</v>
      </c>
      <c r="D37" s="122" t="s">
        <v>353</v>
      </c>
      <c r="E37" s="179" t="str">
        <f t="shared" si="3"/>
        <v>-:-</v>
      </c>
    </row>
    <row r="38" spans="1:5" x14ac:dyDescent="0.25">
      <c r="A38" s="346"/>
      <c r="B38" s="122" t="s">
        <v>401</v>
      </c>
      <c r="C38" s="122" t="s">
        <v>142</v>
      </c>
      <c r="D38" s="122" t="s">
        <v>353</v>
      </c>
      <c r="E38" s="179" t="str">
        <f t="shared" si="3"/>
        <v>-:-</v>
      </c>
    </row>
    <row r="39" spans="1:5" x14ac:dyDescent="0.25">
      <c r="A39" s="346"/>
      <c r="B39" s="122" t="s">
        <v>741</v>
      </c>
      <c r="C39" s="122" t="s">
        <v>29</v>
      </c>
      <c r="D39" s="122" t="s">
        <v>353</v>
      </c>
      <c r="E39" s="179" t="str">
        <f t="shared" si="3"/>
        <v>-:-</v>
      </c>
    </row>
    <row r="40" spans="1:5" x14ac:dyDescent="0.25">
      <c r="A40" s="346"/>
      <c r="B40" s="122" t="s">
        <v>573</v>
      </c>
      <c r="C40" s="122" t="s">
        <v>145</v>
      </c>
      <c r="D40" s="122" t="s">
        <v>353</v>
      </c>
      <c r="E40" s="179" t="str">
        <f t="shared" si="3"/>
        <v>-:-</v>
      </c>
    </row>
    <row r="41" spans="1:5" x14ac:dyDescent="0.25">
      <c r="A41" s="133" t="s">
        <v>341</v>
      </c>
      <c r="B41" t="s">
        <v>742</v>
      </c>
    </row>
  </sheetData>
  <sheetProtection algorithmName="SHA-512" hashValue="IMvuG9j4sHGop31MH2uyzD5R6V5UGJwO7qid/oI+vOw21rzc/FWLaL/qlXrpFEApZJ/mIOwvm40KcK838mrhHQ==" saltValue="DVod/rsapxcqmONVXl5P9g=="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5" customWidth="1"/>
    <col min="15" max="15" width="22" style="135" bestFit="1" customWidth="1"/>
    <col min="16" max="16" width="9.140625" style="135" customWidth="1"/>
    <col min="17" max="17" width="23.140625" style="137" customWidth="1"/>
    <col min="18" max="18" width="9.140625" style="1" customWidth="1"/>
    <col min="19" max="19" width="12.5703125" style="135" bestFit="1" customWidth="1"/>
    <col min="20" max="20" width="11.85546875" style="1" bestFit="1" customWidth="1"/>
    <col min="21" max="23" width="9.140625" style="1"/>
    <col min="24" max="26" width="10.28515625" style="135" customWidth="1"/>
    <col min="27" max="27" width="10.28515625" style="1" customWidth="1"/>
    <col min="28" max="16384" width="9.140625" style="1"/>
  </cols>
  <sheetData>
    <row r="1" spans="1:26" s="136" customFormat="1" ht="15" customHeight="1" x14ac:dyDescent="0.25">
      <c r="A1" s="8" t="s">
        <v>59</v>
      </c>
      <c r="B1" s="136" t="s">
        <v>60</v>
      </c>
      <c r="D1" s="136" t="s">
        <v>61</v>
      </c>
      <c r="E1" s="136" t="s">
        <v>62</v>
      </c>
      <c r="F1" s="136" t="s">
        <v>35</v>
      </c>
      <c r="G1" s="136" t="s">
        <v>63</v>
      </c>
      <c r="H1" s="136" t="s">
        <v>64</v>
      </c>
      <c r="I1" s="136" t="s">
        <v>37</v>
      </c>
      <c r="J1" s="136" t="s">
        <v>36</v>
      </c>
      <c r="K1" s="136" t="s">
        <v>38</v>
      </c>
      <c r="L1" s="136" t="s">
        <v>65</v>
      </c>
      <c r="M1" s="136" t="s">
        <v>30</v>
      </c>
      <c r="N1" s="3" t="s">
        <v>66</v>
      </c>
      <c r="O1" s="136" t="s">
        <v>81</v>
      </c>
      <c r="P1" s="153" t="s">
        <v>531</v>
      </c>
      <c r="Q1" s="115" t="s">
        <v>48</v>
      </c>
    </row>
    <row r="2" spans="1:26" s="4" customFormat="1" x14ac:dyDescent="0.25">
      <c r="A2" s="53">
        <v>1</v>
      </c>
      <c r="B2" s="4" t="s">
        <v>427</v>
      </c>
      <c r="D2" s="5" t="s">
        <v>52</v>
      </c>
      <c r="E2" s="5">
        <v>17</v>
      </c>
      <c r="F2" s="5">
        <v>22</v>
      </c>
      <c r="G2" s="5">
        <v>6</v>
      </c>
      <c r="H2" s="5">
        <v>1</v>
      </c>
      <c r="I2" s="5">
        <v>20</v>
      </c>
      <c r="J2" s="5">
        <v>42</v>
      </c>
      <c r="K2" s="5">
        <v>8</v>
      </c>
      <c r="L2" s="5">
        <v>56</v>
      </c>
      <c r="M2" s="5">
        <v>14</v>
      </c>
      <c r="N2" s="5">
        <v>42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42 (22+20), +42 ±</v>
      </c>
      <c r="P2" s="5" t="str">
        <f>IF(B2&lt;&gt;0,IF(VLOOKUP(B2,$B$48:$B$82,1,FALSE)=B2,"ANO","NE"),"")</f>
        <v>ANO</v>
      </c>
      <c r="Q2" s="143" t="s">
        <v>476</v>
      </c>
      <c r="S2" s="5"/>
      <c r="X2" s="5"/>
      <c r="Y2" s="5"/>
      <c r="Z2" s="5"/>
    </row>
    <row r="3" spans="1:26" s="4" customFormat="1" x14ac:dyDescent="0.25">
      <c r="A3" s="53">
        <v>2</v>
      </c>
      <c r="B3" s="4" t="s">
        <v>428</v>
      </c>
      <c r="D3" s="5"/>
      <c r="E3" s="5">
        <v>17</v>
      </c>
      <c r="F3" s="5">
        <v>12</v>
      </c>
      <c r="G3" s="5">
        <v>5</v>
      </c>
      <c r="H3" s="5">
        <v>0</v>
      </c>
      <c r="I3" s="5">
        <v>21</v>
      </c>
      <c r="J3" s="5">
        <v>33</v>
      </c>
      <c r="K3" s="5">
        <v>4</v>
      </c>
      <c r="L3" s="5">
        <v>56</v>
      </c>
      <c r="M3" s="5">
        <v>15</v>
      </c>
      <c r="N3" s="5">
        <v>41</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33 (12+21), +41 ±</v>
      </c>
      <c r="P3" s="5" t="str">
        <f t="shared" ref="P3:P36" si="1">IF(B3&lt;&gt;0,IF(VLOOKUP(B3,$B$48:$B$82,1,FALSE)=B3,"ANO","NE"),"")</f>
        <v>ANO</v>
      </c>
      <c r="Q3" s="143"/>
      <c r="S3" s="5"/>
      <c r="X3" s="5"/>
      <c r="Y3" s="5"/>
      <c r="Z3" s="5"/>
    </row>
    <row r="4" spans="1:26" s="4" customFormat="1" x14ac:dyDescent="0.25">
      <c r="A4" s="53">
        <v>3</v>
      </c>
      <c r="B4" s="4" t="s">
        <v>431</v>
      </c>
      <c r="D4" s="5"/>
      <c r="E4" s="5">
        <v>15</v>
      </c>
      <c r="F4" s="5">
        <v>16</v>
      </c>
      <c r="G4" s="5">
        <v>0</v>
      </c>
      <c r="H4" s="5">
        <v>0</v>
      </c>
      <c r="I4" s="5">
        <v>13</v>
      </c>
      <c r="J4" s="5">
        <v>29</v>
      </c>
      <c r="K4" s="5">
        <v>2</v>
      </c>
      <c r="L4" s="5">
        <v>43</v>
      </c>
      <c r="M4" s="5">
        <v>13</v>
      </c>
      <c r="N4" s="5">
        <v>30</v>
      </c>
      <c r="O4" s="162" t="str">
        <f t="shared" si="0"/>
        <v>15 OZ , 29 (16+13), +30 ±</v>
      </c>
      <c r="P4" s="5" t="str">
        <f t="shared" si="1"/>
        <v>ANO</v>
      </c>
      <c r="Q4" s="143"/>
      <c r="S4" s="5"/>
      <c r="X4" s="5"/>
      <c r="Y4" s="5"/>
      <c r="Z4" s="5"/>
    </row>
    <row r="5" spans="1:26" s="4" customFormat="1" x14ac:dyDescent="0.25">
      <c r="A5" s="53">
        <v>4</v>
      </c>
      <c r="B5" s="4" t="s">
        <v>429</v>
      </c>
      <c r="D5" s="5" t="s">
        <v>52</v>
      </c>
      <c r="E5" s="5">
        <v>17</v>
      </c>
      <c r="F5" s="5">
        <v>14</v>
      </c>
      <c r="G5" s="5">
        <v>6</v>
      </c>
      <c r="H5" s="5">
        <v>0</v>
      </c>
      <c r="I5" s="5">
        <v>13</v>
      </c>
      <c r="J5" s="5">
        <v>27</v>
      </c>
      <c r="K5" s="5">
        <v>2</v>
      </c>
      <c r="L5" s="5">
        <v>32</v>
      </c>
      <c r="M5" s="5">
        <v>28</v>
      </c>
      <c r="N5" s="5">
        <v>4</v>
      </c>
      <c r="O5" s="162" t="str">
        <f t="shared" si="0"/>
        <v>17 OZ , 27 (14+13), +4 ±</v>
      </c>
      <c r="P5" s="5" t="str">
        <f t="shared" si="1"/>
        <v>ANO</v>
      </c>
      <c r="Q5" s="143"/>
      <c r="S5" s="5"/>
      <c r="X5" s="5"/>
      <c r="Y5" s="5"/>
      <c r="Z5" s="5"/>
    </row>
    <row r="6" spans="1:26" x14ac:dyDescent="0.25">
      <c r="A6" s="54">
        <v>5</v>
      </c>
      <c r="B6" s="1" t="s">
        <v>430</v>
      </c>
      <c r="D6" s="181" t="s">
        <v>52</v>
      </c>
      <c r="E6" s="181">
        <v>17</v>
      </c>
      <c r="F6" s="181">
        <v>12</v>
      </c>
      <c r="G6" s="181">
        <v>3</v>
      </c>
      <c r="H6" s="181">
        <v>0</v>
      </c>
      <c r="I6" s="181">
        <v>14</v>
      </c>
      <c r="J6" s="181">
        <v>26</v>
      </c>
      <c r="K6" s="181">
        <v>6</v>
      </c>
      <c r="L6" s="181">
        <v>32</v>
      </c>
      <c r="M6" s="181">
        <v>26</v>
      </c>
      <c r="N6" s="181">
        <v>6</v>
      </c>
      <c r="O6" s="162" t="str">
        <f t="shared" si="0"/>
        <v>17 OZ , 26 (12+14), +6 ±</v>
      </c>
      <c r="P6" s="5" t="str">
        <f t="shared" si="1"/>
        <v>ANO</v>
      </c>
    </row>
    <row r="7" spans="1:26" x14ac:dyDescent="0.25">
      <c r="A7" s="54">
        <v>6</v>
      </c>
      <c r="B7" s="1" t="s">
        <v>432</v>
      </c>
      <c r="D7" s="181"/>
      <c r="E7" s="181">
        <v>17</v>
      </c>
      <c r="F7" s="181">
        <v>16</v>
      </c>
      <c r="G7" s="181">
        <v>0</v>
      </c>
      <c r="H7" s="181">
        <v>0</v>
      </c>
      <c r="I7" s="181">
        <v>6</v>
      </c>
      <c r="J7" s="181">
        <v>22</v>
      </c>
      <c r="K7" s="181">
        <v>6</v>
      </c>
      <c r="L7" s="181">
        <v>46</v>
      </c>
      <c r="M7" s="181">
        <v>13</v>
      </c>
      <c r="N7" s="181">
        <v>33</v>
      </c>
      <c r="O7" s="162" t="str">
        <f t="shared" si="0"/>
        <v>17 OZ , 22 (16+6), +33 ±</v>
      </c>
      <c r="P7" s="5" t="str">
        <f t="shared" si="1"/>
        <v>ANO</v>
      </c>
    </row>
    <row r="8" spans="1:26" x14ac:dyDescent="0.25">
      <c r="A8" s="54">
        <v>7</v>
      </c>
      <c r="B8" s="1" t="s">
        <v>433</v>
      </c>
      <c r="D8" s="181"/>
      <c r="E8" s="181">
        <v>17</v>
      </c>
      <c r="F8" s="181">
        <v>10</v>
      </c>
      <c r="G8" s="181">
        <v>0</v>
      </c>
      <c r="H8" s="181">
        <v>0</v>
      </c>
      <c r="I8" s="181">
        <v>4</v>
      </c>
      <c r="J8" s="181">
        <v>14</v>
      </c>
      <c r="K8" s="181">
        <v>6</v>
      </c>
      <c r="L8" s="181">
        <v>30</v>
      </c>
      <c r="M8" s="181">
        <v>28</v>
      </c>
      <c r="N8" s="181">
        <v>2</v>
      </c>
      <c r="O8" s="162" t="str">
        <f t="shared" si="0"/>
        <v>17 OZ , 14 (10+4), +2 ±</v>
      </c>
      <c r="P8" s="5" t="str">
        <f t="shared" si="1"/>
        <v>ANO</v>
      </c>
    </row>
    <row r="9" spans="1:26" x14ac:dyDescent="0.25">
      <c r="A9" s="54">
        <v>8</v>
      </c>
      <c r="B9" s="1" t="s">
        <v>434</v>
      </c>
      <c r="D9" s="181" t="s">
        <v>49</v>
      </c>
      <c r="E9" s="181">
        <v>17</v>
      </c>
      <c r="F9" s="181">
        <v>4</v>
      </c>
      <c r="G9" s="181">
        <v>0</v>
      </c>
      <c r="H9" s="181">
        <v>0</v>
      </c>
      <c r="I9" s="181">
        <v>5</v>
      </c>
      <c r="J9" s="181">
        <v>9</v>
      </c>
      <c r="K9" s="181">
        <v>4</v>
      </c>
      <c r="L9" s="181">
        <v>29</v>
      </c>
      <c r="M9" s="181">
        <v>26</v>
      </c>
      <c r="N9" s="181">
        <v>3</v>
      </c>
      <c r="O9" s="162" t="str">
        <f t="shared" si="0"/>
        <v>17 OZ , 9 (4+5), +3 ±</v>
      </c>
      <c r="P9" s="5" t="str">
        <f t="shared" si="1"/>
        <v>ANO</v>
      </c>
    </row>
    <row r="10" spans="1:26" x14ac:dyDescent="0.25">
      <c r="A10" s="54">
        <v>9</v>
      </c>
      <c r="B10" s="1" t="s">
        <v>435</v>
      </c>
      <c r="D10" s="181"/>
      <c r="E10" s="181">
        <v>14</v>
      </c>
      <c r="F10" s="181">
        <v>1</v>
      </c>
      <c r="G10" s="181">
        <v>0</v>
      </c>
      <c r="H10" s="181">
        <v>0</v>
      </c>
      <c r="I10" s="181">
        <v>8</v>
      </c>
      <c r="J10" s="181">
        <v>9</v>
      </c>
      <c r="K10" s="181">
        <v>0</v>
      </c>
      <c r="L10" s="181">
        <v>42</v>
      </c>
      <c r="M10" s="181">
        <v>9</v>
      </c>
      <c r="N10" s="181">
        <v>33</v>
      </c>
      <c r="O10" s="162" t="str">
        <f t="shared" si="0"/>
        <v>14 OZ , 9 (1+8), +33 ±</v>
      </c>
      <c r="P10" s="5" t="str">
        <f t="shared" si="1"/>
        <v>ANO</v>
      </c>
    </row>
    <row r="11" spans="1:26" x14ac:dyDescent="0.25">
      <c r="A11" s="54">
        <v>10</v>
      </c>
      <c r="B11" s="1" t="s">
        <v>436</v>
      </c>
      <c r="D11" s="181" t="s">
        <v>52</v>
      </c>
      <c r="E11" s="181">
        <v>16</v>
      </c>
      <c r="F11" s="181">
        <v>4</v>
      </c>
      <c r="G11" s="181">
        <v>0</v>
      </c>
      <c r="H11" s="181">
        <v>0</v>
      </c>
      <c r="I11" s="181">
        <v>3</v>
      </c>
      <c r="J11" s="181">
        <v>7</v>
      </c>
      <c r="K11" s="181">
        <v>2</v>
      </c>
      <c r="L11" s="181">
        <v>19</v>
      </c>
      <c r="M11" s="181">
        <v>22</v>
      </c>
      <c r="N11" s="181">
        <v>-3</v>
      </c>
      <c r="O11" s="162" t="str">
        <f t="shared" si="0"/>
        <v>16 OZ , 7 (4+3), -3 ±</v>
      </c>
      <c r="P11" s="5" t="str">
        <f t="shared" si="1"/>
        <v>ANO</v>
      </c>
    </row>
    <row r="12" spans="1:26" x14ac:dyDescent="0.25">
      <c r="A12" s="54">
        <v>11</v>
      </c>
      <c r="B12" s="1" t="s">
        <v>437</v>
      </c>
      <c r="D12" s="181" t="s">
        <v>49</v>
      </c>
      <c r="E12" s="181">
        <v>17</v>
      </c>
      <c r="F12" s="181">
        <v>2</v>
      </c>
      <c r="G12" s="181">
        <v>0</v>
      </c>
      <c r="H12" s="181">
        <v>0</v>
      </c>
      <c r="I12" s="181">
        <v>5</v>
      </c>
      <c r="J12" s="181">
        <v>7</v>
      </c>
      <c r="K12" s="181">
        <v>4</v>
      </c>
      <c r="L12" s="181">
        <v>24</v>
      </c>
      <c r="M12" s="181">
        <v>25</v>
      </c>
      <c r="N12" s="181">
        <v>-1</v>
      </c>
      <c r="O12" s="162" t="str">
        <f t="shared" si="0"/>
        <v>17 OZ , 7 (2+5), -1 ±</v>
      </c>
      <c r="P12" s="5" t="str">
        <f t="shared" si="1"/>
        <v>ANO</v>
      </c>
    </row>
    <row r="13" spans="1:26" x14ac:dyDescent="0.25">
      <c r="A13" s="54">
        <v>12</v>
      </c>
      <c r="B13" s="1" t="s">
        <v>438</v>
      </c>
      <c r="D13" s="181" t="s">
        <v>49</v>
      </c>
      <c r="E13" s="181">
        <v>17</v>
      </c>
      <c r="F13" s="181">
        <v>4</v>
      </c>
      <c r="G13" s="181">
        <v>0</v>
      </c>
      <c r="H13" s="181">
        <v>0</v>
      </c>
      <c r="I13" s="181">
        <v>1</v>
      </c>
      <c r="J13" s="181">
        <v>5</v>
      </c>
      <c r="K13" s="181">
        <v>2</v>
      </c>
      <c r="L13" s="181">
        <v>14</v>
      </c>
      <c r="M13" s="181">
        <v>22</v>
      </c>
      <c r="N13" s="181">
        <v>-8</v>
      </c>
      <c r="O13" s="162" t="str">
        <f t="shared" si="0"/>
        <v>17 OZ , 5 (4+1), -8 ±</v>
      </c>
      <c r="P13" s="5" t="str">
        <f t="shared" si="1"/>
        <v>ANO</v>
      </c>
    </row>
    <row r="14" spans="1:26" x14ac:dyDescent="0.25">
      <c r="A14" s="54">
        <v>13</v>
      </c>
      <c r="B14" s="1" t="s">
        <v>324</v>
      </c>
      <c r="D14" s="181"/>
      <c r="E14" s="181">
        <v>12</v>
      </c>
      <c r="F14" s="181">
        <v>2</v>
      </c>
      <c r="G14" s="181">
        <v>0</v>
      </c>
      <c r="H14" s="181">
        <v>0</v>
      </c>
      <c r="I14" s="181">
        <v>3</v>
      </c>
      <c r="J14" s="181">
        <v>5</v>
      </c>
      <c r="K14" s="181">
        <v>14</v>
      </c>
      <c r="L14" s="181">
        <v>8</v>
      </c>
      <c r="M14" s="181">
        <v>14</v>
      </c>
      <c r="N14" s="181">
        <v>-6</v>
      </c>
      <c r="O14" s="162" t="str">
        <f t="shared" si="0"/>
        <v>12 OZ , 5 (2+3), -6 ±</v>
      </c>
      <c r="P14" s="5" t="str">
        <f t="shared" si="1"/>
        <v>ANO</v>
      </c>
    </row>
    <row r="15" spans="1:26" x14ac:dyDescent="0.25">
      <c r="A15" s="54">
        <v>14</v>
      </c>
      <c r="B15" s="1" t="s">
        <v>439</v>
      </c>
      <c r="D15" s="181"/>
      <c r="E15" s="181">
        <v>7</v>
      </c>
      <c r="F15" s="181">
        <v>4</v>
      </c>
      <c r="G15" s="181">
        <v>0</v>
      </c>
      <c r="H15" s="181">
        <v>0</v>
      </c>
      <c r="I15" s="181">
        <v>0</v>
      </c>
      <c r="J15" s="181">
        <v>4</v>
      </c>
      <c r="K15" s="181">
        <v>2</v>
      </c>
      <c r="L15" s="181">
        <v>6</v>
      </c>
      <c r="M15" s="181">
        <v>9</v>
      </c>
      <c r="N15" s="181">
        <v>-3</v>
      </c>
      <c r="O15" s="162" t="str">
        <f t="shared" si="0"/>
        <v>7 OZ , 4 (4+0), -3 ±</v>
      </c>
      <c r="P15" s="5" t="str">
        <f t="shared" si="1"/>
        <v>ANO</v>
      </c>
    </row>
    <row r="16" spans="1:26" x14ac:dyDescent="0.25">
      <c r="A16" s="54">
        <v>15</v>
      </c>
      <c r="B16" s="1" t="s">
        <v>440</v>
      </c>
      <c r="D16" s="181"/>
      <c r="E16" s="181">
        <v>11</v>
      </c>
      <c r="F16" s="181">
        <v>2</v>
      </c>
      <c r="G16" s="181">
        <v>0</v>
      </c>
      <c r="H16" s="181">
        <v>0</v>
      </c>
      <c r="I16" s="181">
        <v>1</v>
      </c>
      <c r="J16" s="181">
        <v>3</v>
      </c>
      <c r="K16" s="181">
        <v>0</v>
      </c>
      <c r="L16" s="181">
        <v>16</v>
      </c>
      <c r="M16" s="181">
        <v>13</v>
      </c>
      <c r="N16" s="181">
        <v>3</v>
      </c>
      <c r="O16" s="162" t="str">
        <f t="shared" si="0"/>
        <v>11 OZ , 3 (2+1), +3 ±</v>
      </c>
      <c r="P16" s="5" t="str">
        <f t="shared" si="1"/>
        <v>ANO</v>
      </c>
    </row>
    <row r="17" spans="1:16" x14ac:dyDescent="0.25">
      <c r="A17" s="54">
        <v>16</v>
      </c>
      <c r="B17" s="1" t="s">
        <v>441</v>
      </c>
      <c r="D17" s="181" t="s">
        <v>49</v>
      </c>
      <c r="E17" s="181">
        <v>4</v>
      </c>
      <c r="F17" s="181">
        <v>1</v>
      </c>
      <c r="G17" s="181">
        <v>0</v>
      </c>
      <c r="H17" s="181">
        <v>0</v>
      </c>
      <c r="I17" s="181">
        <v>1</v>
      </c>
      <c r="J17" s="181">
        <v>2</v>
      </c>
      <c r="K17" s="181">
        <v>0</v>
      </c>
      <c r="L17" s="181">
        <v>8</v>
      </c>
      <c r="M17" s="181">
        <v>3</v>
      </c>
      <c r="N17" s="181">
        <v>5</v>
      </c>
      <c r="O17" s="162" t="str">
        <f t="shared" si="0"/>
        <v>4 OZ , 2 (1+1), +5 ±</v>
      </c>
      <c r="P17" s="5" t="str">
        <f t="shared" si="1"/>
        <v>ANO</v>
      </c>
    </row>
    <row r="18" spans="1:16" x14ac:dyDescent="0.25">
      <c r="A18" s="54">
        <v>17</v>
      </c>
      <c r="B18" s="1" t="s">
        <v>442</v>
      </c>
      <c r="D18" s="181"/>
      <c r="E18" s="181">
        <v>10</v>
      </c>
      <c r="F18" s="181">
        <v>1</v>
      </c>
      <c r="G18" s="181">
        <v>0</v>
      </c>
      <c r="H18" s="181">
        <v>0</v>
      </c>
      <c r="I18" s="181">
        <v>0</v>
      </c>
      <c r="J18" s="181">
        <v>1</v>
      </c>
      <c r="K18" s="181">
        <v>2</v>
      </c>
      <c r="L18" s="181">
        <v>4</v>
      </c>
      <c r="M18" s="181">
        <v>5</v>
      </c>
      <c r="N18" s="181">
        <v>-1</v>
      </c>
      <c r="O18" s="162" t="str">
        <f t="shared" si="0"/>
        <v>10 OZ , 1 (1+0), -1 ±</v>
      </c>
      <c r="P18" s="5" t="str">
        <f t="shared" si="1"/>
        <v>ANO</v>
      </c>
    </row>
    <row r="19" spans="1:16" x14ac:dyDescent="0.25">
      <c r="A19" s="54">
        <v>18</v>
      </c>
      <c r="B19" s="1" t="s">
        <v>443</v>
      </c>
      <c r="D19" s="181"/>
      <c r="E19" s="181">
        <v>15</v>
      </c>
      <c r="F19" s="181">
        <v>1</v>
      </c>
      <c r="G19" s="181">
        <v>0</v>
      </c>
      <c r="H19" s="181">
        <v>0</v>
      </c>
      <c r="I19" s="181">
        <v>0</v>
      </c>
      <c r="J19" s="181">
        <v>1</v>
      </c>
      <c r="K19" s="181">
        <v>2</v>
      </c>
      <c r="L19" s="181">
        <v>7</v>
      </c>
      <c r="M19" s="181">
        <v>23</v>
      </c>
      <c r="N19" s="181">
        <v>-16</v>
      </c>
      <c r="O19" s="162" t="str">
        <f t="shared" si="0"/>
        <v>15 OZ , 1 (1+0), -16 ±</v>
      </c>
      <c r="P19" s="5" t="str">
        <f t="shared" si="1"/>
        <v>ANO</v>
      </c>
    </row>
    <row r="20" spans="1:16" x14ac:dyDescent="0.25">
      <c r="A20" s="54">
        <v>19</v>
      </c>
      <c r="B20" s="1" t="s">
        <v>286</v>
      </c>
      <c r="D20" s="181"/>
      <c r="E20" s="181">
        <v>8</v>
      </c>
      <c r="F20" s="181">
        <v>0</v>
      </c>
      <c r="G20" s="181">
        <v>0</v>
      </c>
      <c r="H20" s="181">
        <v>0</v>
      </c>
      <c r="I20" s="181">
        <v>1</v>
      </c>
      <c r="J20" s="181">
        <v>1</v>
      </c>
      <c r="K20" s="181">
        <v>4</v>
      </c>
      <c r="L20" s="181">
        <v>3</v>
      </c>
      <c r="M20" s="181">
        <v>3</v>
      </c>
      <c r="N20" s="181">
        <v>0</v>
      </c>
      <c r="O20" s="162" t="str">
        <f t="shared" si="0"/>
        <v>8 OZ , 1 (0+1), 0 ±</v>
      </c>
      <c r="P20" s="5" t="str">
        <f t="shared" si="1"/>
        <v>ANO</v>
      </c>
    </row>
    <row r="21" spans="1:16" x14ac:dyDescent="0.25">
      <c r="A21" s="54">
        <v>20</v>
      </c>
      <c r="B21" s="1" t="s">
        <v>444</v>
      </c>
      <c r="D21" s="181"/>
      <c r="E21" s="181">
        <v>1</v>
      </c>
      <c r="F21" s="181">
        <v>0</v>
      </c>
      <c r="G21" s="181">
        <v>0</v>
      </c>
      <c r="H21" s="181">
        <v>0</v>
      </c>
      <c r="I21" s="181">
        <v>0</v>
      </c>
      <c r="J21" s="181">
        <v>0</v>
      </c>
      <c r="K21" s="181">
        <v>0</v>
      </c>
      <c r="L21" s="181">
        <v>0</v>
      </c>
      <c r="M21" s="181">
        <v>0</v>
      </c>
      <c r="N21" s="181">
        <v>0</v>
      </c>
      <c r="O21" s="162" t="str">
        <f t="shared" si="0"/>
        <v>1 OZ , 0 (0+0), 0 ±</v>
      </c>
      <c r="P21" s="5" t="str">
        <f t="shared" si="1"/>
        <v>ANO</v>
      </c>
    </row>
    <row r="22" spans="1:16" x14ac:dyDescent="0.25">
      <c r="A22" s="54">
        <v>21</v>
      </c>
      <c r="B22" s="1" t="s">
        <v>445</v>
      </c>
      <c r="D22" s="181"/>
      <c r="E22" s="181">
        <v>1</v>
      </c>
      <c r="F22" s="181">
        <v>0</v>
      </c>
      <c r="G22" s="181">
        <v>0</v>
      </c>
      <c r="H22" s="181">
        <v>0</v>
      </c>
      <c r="I22" s="181">
        <v>0</v>
      </c>
      <c r="J22" s="181">
        <v>0</v>
      </c>
      <c r="K22" s="181">
        <v>0</v>
      </c>
      <c r="L22" s="181">
        <v>0</v>
      </c>
      <c r="M22" s="181">
        <v>0</v>
      </c>
      <c r="N22" s="181">
        <v>0</v>
      </c>
      <c r="O22" s="162" t="str">
        <f t="shared" si="0"/>
        <v>1 OZ , 0 (0+0), 0 ±</v>
      </c>
      <c r="P22" s="5" t="str">
        <f t="shared" si="1"/>
        <v>ANO</v>
      </c>
    </row>
    <row r="23" spans="1:16" x14ac:dyDescent="0.25">
      <c r="A23" s="54">
        <v>22</v>
      </c>
      <c r="B23" s="1" t="s">
        <v>446</v>
      </c>
      <c r="D23" s="181" t="s">
        <v>52</v>
      </c>
      <c r="E23" s="181">
        <v>1</v>
      </c>
      <c r="F23" s="181">
        <v>0</v>
      </c>
      <c r="G23" s="181">
        <v>0</v>
      </c>
      <c r="H23" s="181">
        <v>0</v>
      </c>
      <c r="I23" s="181">
        <v>0</v>
      </c>
      <c r="J23" s="181">
        <v>0</v>
      </c>
      <c r="K23" s="181">
        <v>0</v>
      </c>
      <c r="L23" s="181">
        <v>0</v>
      </c>
      <c r="M23" s="181">
        <v>0</v>
      </c>
      <c r="N23" s="181">
        <v>0</v>
      </c>
      <c r="O23" s="162" t="str">
        <f t="shared" si="0"/>
        <v>1 OZ , 0 (0+0), 0 ±</v>
      </c>
      <c r="P23" s="5" t="str">
        <f t="shared" si="1"/>
        <v>ANO</v>
      </c>
    </row>
    <row r="24" spans="1:16" x14ac:dyDescent="0.25">
      <c r="A24" s="53">
        <v>23</v>
      </c>
      <c r="B24" s="4" t="s">
        <v>448</v>
      </c>
      <c r="C24" s="4"/>
      <c r="D24" s="5" t="s">
        <v>52</v>
      </c>
      <c r="E24" s="5">
        <v>3</v>
      </c>
      <c r="F24" s="5">
        <v>0</v>
      </c>
      <c r="G24" s="5">
        <v>0</v>
      </c>
      <c r="H24" s="5">
        <v>0</v>
      </c>
      <c r="I24" s="5">
        <v>0</v>
      </c>
      <c r="J24" s="5">
        <v>0</v>
      </c>
      <c r="K24" s="5">
        <v>0</v>
      </c>
      <c r="L24" s="5">
        <v>0</v>
      </c>
      <c r="M24" s="5">
        <v>0</v>
      </c>
      <c r="N24" s="5">
        <v>0</v>
      </c>
      <c r="O24" s="162" t="str">
        <f t="shared" si="0"/>
        <v>3 OZ , 0 (0+0), 0 ±</v>
      </c>
      <c r="P24" s="5" t="str">
        <f t="shared" si="1"/>
        <v>ANO</v>
      </c>
    </row>
    <row r="25" spans="1:16" x14ac:dyDescent="0.25">
      <c r="A25" s="53">
        <v>24</v>
      </c>
      <c r="B25" s="4" t="s">
        <v>447</v>
      </c>
      <c r="C25" s="4"/>
      <c r="D25" s="5"/>
      <c r="E25" s="5">
        <v>3</v>
      </c>
      <c r="F25" s="5">
        <v>0</v>
      </c>
      <c r="G25" s="5">
        <v>0</v>
      </c>
      <c r="H25" s="5">
        <v>0</v>
      </c>
      <c r="I25" s="5">
        <v>0</v>
      </c>
      <c r="J25" s="5">
        <v>0</v>
      </c>
      <c r="K25" s="5">
        <v>0</v>
      </c>
      <c r="L25" s="5">
        <v>0</v>
      </c>
      <c r="M25" s="5">
        <v>2</v>
      </c>
      <c r="N25" s="5">
        <v>-2</v>
      </c>
      <c r="O25" s="162" t="str">
        <f t="shared" si="0"/>
        <v>3 OZ , 0 (0+0), -2 ±</v>
      </c>
      <c r="P25" s="5" t="str">
        <f t="shared" si="1"/>
        <v>ANO</v>
      </c>
    </row>
    <row r="26" spans="1:16" x14ac:dyDescent="0.25">
      <c r="A26" s="53">
        <v>25</v>
      </c>
      <c r="B26" s="4" t="s">
        <v>449</v>
      </c>
      <c r="C26" s="4"/>
      <c r="D26" s="5"/>
      <c r="E26" s="5">
        <v>5</v>
      </c>
      <c r="F26" s="5">
        <v>0</v>
      </c>
      <c r="G26" s="5">
        <v>0</v>
      </c>
      <c r="H26" s="5">
        <v>0</v>
      </c>
      <c r="I26" s="5">
        <v>0</v>
      </c>
      <c r="J26" s="5">
        <v>0</v>
      </c>
      <c r="K26" s="5">
        <v>0</v>
      </c>
      <c r="L26" s="5">
        <v>1</v>
      </c>
      <c r="M26" s="5">
        <v>0</v>
      </c>
      <c r="N26" s="5">
        <v>1</v>
      </c>
      <c r="O26" s="162" t="str">
        <f t="shared" si="0"/>
        <v>5 OZ , 0 (0+0), +1 ±</v>
      </c>
      <c r="P26" s="5" t="str">
        <f t="shared" si="1"/>
        <v>ANO</v>
      </c>
    </row>
    <row r="27" spans="1:16" x14ac:dyDescent="0.25">
      <c r="A27" s="53">
        <v>26</v>
      </c>
      <c r="B27" s="4" t="s">
        <v>450</v>
      </c>
      <c r="C27" s="4"/>
      <c r="D27" s="5"/>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451</v>
      </c>
      <c r="C28" s="4"/>
      <c r="D28" s="5"/>
      <c r="E28" s="5">
        <v>9</v>
      </c>
      <c r="F28" s="5">
        <v>0</v>
      </c>
      <c r="G28" s="5">
        <v>0</v>
      </c>
      <c r="H28" s="5">
        <v>0</v>
      </c>
      <c r="I28" s="5">
        <v>0</v>
      </c>
      <c r="J28" s="5">
        <v>0</v>
      </c>
      <c r="K28" s="5">
        <v>2</v>
      </c>
      <c r="L28" s="5">
        <v>4</v>
      </c>
      <c r="M28" s="5">
        <v>5</v>
      </c>
      <c r="N28" s="5">
        <v>-1</v>
      </c>
      <c r="O28" s="162" t="str">
        <f t="shared" si="0"/>
        <v>9 OZ , 0 (0+0), -1 ±</v>
      </c>
      <c r="P28" s="5" t="str">
        <f t="shared" si="1"/>
        <v>ANO</v>
      </c>
    </row>
    <row r="29" spans="1:16" x14ac:dyDescent="0.25">
      <c r="A29" s="53">
        <v>28</v>
      </c>
      <c r="B29" s="4" t="s">
        <v>453</v>
      </c>
      <c r="C29" s="4"/>
      <c r="D29" s="5"/>
      <c r="E29" s="5">
        <v>10</v>
      </c>
      <c r="F29" s="5">
        <v>0</v>
      </c>
      <c r="G29" s="5">
        <v>0</v>
      </c>
      <c r="H29" s="5">
        <v>0</v>
      </c>
      <c r="I29" s="5">
        <v>0</v>
      </c>
      <c r="J29" s="5">
        <v>0</v>
      </c>
      <c r="K29" s="5">
        <v>0</v>
      </c>
      <c r="L29" s="5">
        <v>1</v>
      </c>
      <c r="M29" s="5">
        <v>3</v>
      </c>
      <c r="N29" s="5">
        <v>-2</v>
      </c>
      <c r="O29" s="162" t="str">
        <f t="shared" si="0"/>
        <v>10 OZ , 0 (0+0), -2 ±</v>
      </c>
      <c r="P29" s="5" t="str">
        <f t="shared" si="1"/>
        <v>ANO</v>
      </c>
    </row>
    <row r="30" spans="1:16" x14ac:dyDescent="0.25">
      <c r="A30" s="54">
        <v>29</v>
      </c>
      <c r="B30" s="1" t="s">
        <v>452</v>
      </c>
      <c r="D30" s="181" t="s">
        <v>35</v>
      </c>
      <c r="E30" s="181">
        <v>0</v>
      </c>
      <c r="F30" s="181">
        <v>0</v>
      </c>
      <c r="G30" s="181">
        <v>0</v>
      </c>
      <c r="H30" s="181">
        <v>0</v>
      </c>
      <c r="I30" s="181">
        <v>0</v>
      </c>
      <c r="J30" s="181">
        <v>0</v>
      </c>
      <c r="K30" s="181">
        <v>0</v>
      </c>
      <c r="L30" s="181">
        <v>0</v>
      </c>
      <c r="M30" s="181">
        <v>0</v>
      </c>
      <c r="N30" s="181">
        <v>0</v>
      </c>
      <c r="O30" s="162" t="str">
        <f t="shared" si="0"/>
        <v>0 OZ , 0 (0+0), 0 ±</v>
      </c>
      <c r="P30" s="5" t="str">
        <f t="shared" si="1"/>
        <v>ANO</v>
      </c>
    </row>
    <row r="31" spans="1:16" x14ac:dyDescent="0.25">
      <c r="A31" s="54">
        <v>30</v>
      </c>
      <c r="B31" s="1" t="s">
        <v>454</v>
      </c>
      <c r="D31" s="181"/>
      <c r="E31" s="181">
        <v>0</v>
      </c>
      <c r="F31" s="181">
        <v>0</v>
      </c>
      <c r="G31" s="181">
        <v>0</v>
      </c>
      <c r="H31" s="181">
        <v>0</v>
      </c>
      <c r="I31" s="181">
        <v>0</v>
      </c>
      <c r="J31" s="181">
        <v>0</v>
      </c>
      <c r="K31" s="181">
        <v>0</v>
      </c>
      <c r="L31" s="181">
        <v>0</v>
      </c>
      <c r="M31" s="181">
        <v>0</v>
      </c>
      <c r="N31" s="181">
        <v>0</v>
      </c>
      <c r="O31" s="162" t="str">
        <f t="shared" si="0"/>
        <v>0 OZ , 0 (0+0), 0 ±</v>
      </c>
      <c r="P31" s="5" t="str">
        <f t="shared" si="1"/>
        <v>ANO</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36" customFormat="1" ht="15" customHeight="1" x14ac:dyDescent="0.25">
      <c r="A38" s="8" t="s">
        <v>59</v>
      </c>
      <c r="B38" s="136" t="s">
        <v>60</v>
      </c>
      <c r="D38" s="136" t="s">
        <v>84</v>
      </c>
      <c r="E38" s="136" t="s">
        <v>85</v>
      </c>
      <c r="F38" s="136" t="s">
        <v>86</v>
      </c>
      <c r="G38" s="136" t="s">
        <v>40</v>
      </c>
      <c r="H38" s="136" t="s">
        <v>87</v>
      </c>
      <c r="I38" s="136" t="s">
        <v>88</v>
      </c>
      <c r="J38" s="136" t="s">
        <v>89</v>
      </c>
      <c r="K38" s="136" t="s">
        <v>80</v>
      </c>
      <c r="L38" s="136" t="s">
        <v>41</v>
      </c>
      <c r="M38" s="136" t="s">
        <v>90</v>
      </c>
      <c r="N38" s="3" t="s">
        <v>37</v>
      </c>
      <c r="O38" s="136" t="s">
        <v>38</v>
      </c>
      <c r="P38" s="136" t="s">
        <v>91</v>
      </c>
      <c r="Q38" s="136" t="s">
        <v>92</v>
      </c>
      <c r="R38" s="136" t="s">
        <v>93</v>
      </c>
    </row>
    <row r="39" spans="1:27" x14ac:dyDescent="0.25">
      <c r="A39" s="54">
        <v>1</v>
      </c>
      <c r="B39" t="s">
        <v>454</v>
      </c>
      <c r="C39"/>
      <c r="D39" s="122">
        <v>17</v>
      </c>
      <c r="E39" s="122">
        <v>14</v>
      </c>
      <c r="F39" s="122">
        <v>748.22</v>
      </c>
      <c r="G39" s="122">
        <v>10</v>
      </c>
      <c r="H39" s="122">
        <v>54</v>
      </c>
      <c r="I39" s="122">
        <v>0</v>
      </c>
      <c r="J39" s="122">
        <v>199</v>
      </c>
      <c r="K39" s="122">
        <v>0</v>
      </c>
      <c r="L39" s="122">
        <v>4</v>
      </c>
      <c r="M39" s="122">
        <v>145</v>
      </c>
      <c r="N39" s="122">
        <v>0</v>
      </c>
      <c r="O39" s="122">
        <v>0</v>
      </c>
      <c r="P39" s="11">
        <f>IF(B39&lt;&gt;0,IFERROR(H39/(F39/60),0),"")</f>
        <v>4.330277191200449</v>
      </c>
      <c r="Q39" s="11">
        <f>IF(B39&lt;&gt;0,IFERROR((M39/J39)*100,0),"")</f>
        <v>72.8643216080402</v>
      </c>
      <c r="R39" s="135" t="str">
        <f>IF(B39&lt;&gt;0,CONCATENATE(G39, " V, ",L39," P"),"")</f>
        <v>10 V, 4 P</v>
      </c>
    </row>
    <row r="40" spans="1:27" x14ac:dyDescent="0.25">
      <c r="A40" s="54">
        <v>2</v>
      </c>
      <c r="B40" t="s">
        <v>450</v>
      </c>
      <c r="C40"/>
      <c r="D40" s="122">
        <v>7</v>
      </c>
      <c r="E40" s="122">
        <v>3</v>
      </c>
      <c r="F40" s="122">
        <v>122.4</v>
      </c>
      <c r="G40" s="122">
        <v>2</v>
      </c>
      <c r="H40" s="122">
        <v>12</v>
      </c>
      <c r="I40" s="122">
        <v>0</v>
      </c>
      <c r="J40" s="122">
        <v>42</v>
      </c>
      <c r="K40" s="122">
        <v>0</v>
      </c>
      <c r="L40" s="122">
        <v>1</v>
      </c>
      <c r="M40" s="122">
        <v>30</v>
      </c>
      <c r="N40" s="122">
        <v>0</v>
      </c>
      <c r="O40" s="122">
        <v>0</v>
      </c>
      <c r="P40" s="11">
        <f t="shared" ref="P40:P45" si="2">IF(B40&lt;&gt;0,IFERROR(H40/(F40/60),0),"")</f>
        <v>5.8823529411764701</v>
      </c>
      <c r="Q40" s="11">
        <f t="shared" ref="Q40:Q45" si="3">IF(B40&lt;&gt;0,IFERROR((M40/J40)*100,0),"")</f>
        <v>71.428571428571431</v>
      </c>
      <c r="R40" s="135" t="str">
        <f t="shared" ref="R40:R45" si="4">IF(B40&lt;&gt;0,CONCATENATE(G40, " V, ",L40," P"),"")</f>
        <v>2 V, 1 P</v>
      </c>
    </row>
    <row r="41" spans="1:27" x14ac:dyDescent="0.25">
      <c r="A41" s="54">
        <v>3</v>
      </c>
      <c r="B41" t="s">
        <v>452</v>
      </c>
      <c r="C41"/>
      <c r="D41" s="122">
        <v>10</v>
      </c>
      <c r="E41" s="122">
        <v>3</v>
      </c>
      <c r="F41" s="122">
        <v>142.91999999999999</v>
      </c>
      <c r="G41" s="122">
        <v>2</v>
      </c>
      <c r="H41" s="122">
        <v>16</v>
      </c>
      <c r="I41" s="122">
        <v>0</v>
      </c>
      <c r="J41" s="122">
        <v>49</v>
      </c>
      <c r="K41" s="122">
        <v>0</v>
      </c>
      <c r="L41" s="122">
        <v>1</v>
      </c>
      <c r="M41" s="122">
        <v>33</v>
      </c>
      <c r="N41" s="122">
        <v>0</v>
      </c>
      <c r="O41" s="122">
        <v>0</v>
      </c>
      <c r="P41" s="11">
        <f t="shared" si="2"/>
        <v>6.7170445004198163</v>
      </c>
      <c r="Q41" s="11">
        <f t="shared" si="3"/>
        <v>67.346938775510196</v>
      </c>
      <c r="R41" s="135"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5" t="str">
        <f t="shared" si="4"/>
        <v/>
      </c>
    </row>
    <row r="43" spans="1:27" x14ac:dyDescent="0.25">
      <c r="A43" s="54"/>
      <c r="F43" s="11"/>
      <c r="P43" s="11" t="str">
        <f t="shared" si="2"/>
        <v/>
      </c>
      <c r="Q43" s="11" t="str">
        <f t="shared" si="3"/>
        <v/>
      </c>
      <c r="R43" s="135" t="str">
        <f t="shared" si="4"/>
        <v/>
      </c>
    </row>
    <row r="44" spans="1:27" x14ac:dyDescent="0.25">
      <c r="A44" s="54"/>
      <c r="F44" s="11"/>
      <c r="P44" s="11" t="str">
        <f t="shared" si="2"/>
        <v/>
      </c>
      <c r="Q44" s="11" t="str">
        <f t="shared" si="3"/>
        <v/>
      </c>
      <c r="R44" s="135" t="str">
        <f t="shared" si="4"/>
        <v/>
      </c>
    </row>
    <row r="45" spans="1:27" ht="15" customHeight="1" x14ac:dyDescent="0.25">
      <c r="A45" s="118"/>
      <c r="P45" s="11" t="str">
        <f t="shared" si="2"/>
        <v/>
      </c>
      <c r="Q45" s="11" t="str">
        <f t="shared" si="3"/>
        <v/>
      </c>
      <c r="R45" s="135" t="str">
        <f t="shared" si="4"/>
        <v/>
      </c>
    </row>
    <row r="46" spans="1:27" ht="15" customHeight="1" x14ac:dyDescent="0.25">
      <c r="X46" s="345" t="s">
        <v>295</v>
      </c>
      <c r="Y46" s="345"/>
      <c r="Z46" s="345"/>
      <c r="AA46" s="345"/>
    </row>
    <row r="47" spans="1:27" s="136" customFormat="1" ht="15" customHeight="1" x14ac:dyDescent="0.25">
      <c r="A47" s="7">
        <f ca="1">TODAY()</f>
        <v>44214</v>
      </c>
      <c r="B47" s="136" t="s">
        <v>60</v>
      </c>
      <c r="C47" s="136" t="s">
        <v>67</v>
      </c>
      <c r="D47" s="136" t="s">
        <v>68</v>
      </c>
      <c r="E47" s="136" t="s">
        <v>71</v>
      </c>
      <c r="F47" s="136" t="s">
        <v>72</v>
      </c>
      <c r="G47" s="136" t="s">
        <v>73</v>
      </c>
      <c r="H47" s="136" t="s">
        <v>74</v>
      </c>
      <c r="I47" s="136" t="s">
        <v>46</v>
      </c>
      <c r="J47" s="136" t="s">
        <v>59</v>
      </c>
      <c r="K47" s="136" t="s">
        <v>160</v>
      </c>
      <c r="L47" s="136" t="s">
        <v>78</v>
      </c>
      <c r="M47" s="136" t="s">
        <v>69</v>
      </c>
      <c r="N47" s="136" t="s">
        <v>70</v>
      </c>
      <c r="O47" s="136" t="s">
        <v>82</v>
      </c>
      <c r="P47" s="136" t="s">
        <v>83</v>
      </c>
      <c r="Q47" s="136" t="s">
        <v>75</v>
      </c>
      <c r="R47" s="136" t="s">
        <v>76</v>
      </c>
      <c r="S47" s="136" t="s">
        <v>94</v>
      </c>
      <c r="T47" s="136" t="s">
        <v>159</v>
      </c>
      <c r="U47" s="136" t="s">
        <v>287</v>
      </c>
      <c r="V47" s="136" t="s">
        <v>288</v>
      </c>
      <c r="W47" s="136" t="s">
        <v>289</v>
      </c>
      <c r="X47" s="136" t="s">
        <v>294</v>
      </c>
      <c r="Y47" s="136" t="s">
        <v>292</v>
      </c>
      <c r="Z47" s="136" t="s">
        <v>293</v>
      </c>
      <c r="AA47" s="163" t="s">
        <v>554</v>
      </c>
    </row>
    <row r="48" spans="1:27" ht="15" customHeight="1" x14ac:dyDescent="0.25">
      <c r="B48" s="139" t="s">
        <v>437</v>
      </c>
      <c r="C48" s="138"/>
      <c r="D48" s="135" t="str">
        <f t="shared" ref="D48:D77" si="5">IF(C48 &lt;&gt; 0,ROUNDDOWN(($A$47-C48)/365.25,0),"")</f>
        <v/>
      </c>
      <c r="E48" s="140"/>
      <c r="F48" s="140"/>
      <c r="G48" s="140"/>
      <c r="H48" s="135">
        <f t="shared" ref="H48:H77" si="6">IF(B48&lt;&gt;0,F48+G48,"")</f>
        <v>0</v>
      </c>
      <c r="I48" s="140"/>
      <c r="J48" s="140"/>
      <c r="K48" s="140"/>
      <c r="L48" s="140"/>
      <c r="M48" s="140"/>
      <c r="N48" s="140"/>
      <c r="O48" s="135" t="str">
        <f t="shared" ref="O48:O77" si="7">IF(B48&lt;&gt;0,CONCATENATE(E48+IFERROR(VLOOKUP(B48,$B$2:$N$36,4,FALSE),0) + X48, " OZ, ", H48+IFERROR(VLOOKUP(B48,$B$2:$N$36,9,FALSE),0) + Y48+Z48, " (", F48+IFERROR(VLOOKUP(B48,$B$2:$N$36,5,FALSE),0) + Y48, "+",G48+IFERROR(VLOOKUP(B48,$B$2:$N$36,8,FALSE),0) +  Z48, ")"), "")</f>
        <v>17 OZ, 7 (2+5)</v>
      </c>
      <c r="P48" s="135" t="str">
        <f t="shared" ref="P48:P77" si="8">IF(M48&lt;&gt;0,CONCATENATE(M48,"/",N48),"")</f>
        <v/>
      </c>
      <c r="Q48" s="141"/>
      <c r="R48" s="140"/>
      <c r="S48" s="135" t="str">
        <f t="shared" ref="S48:S77" si="9">IFERROR(CONCATENATE(E48+VLOOKUP(B48,$B$39:$R$42,4,FALSE), " OZ, ",G48+VLOOKUP(B48,$B$39:$R$42,13,FALSE), " A"),"")</f>
        <v/>
      </c>
      <c r="T48" s="1" t="str">
        <f t="shared" ref="T48:T77" si="10">IF(B48&lt;&gt;0,IF(V48=1,U48,CONCATENATE(U48," ",W48,".")),"")</f>
        <v>Tlapák</v>
      </c>
      <c r="U48" s="1" t="str">
        <f t="shared" ref="U48:U77" si="11">IFERROR(RIGHT(B48,LEN(B48)-SEARCH(" ", B48,1)),"")</f>
        <v>Tlapák</v>
      </c>
      <c r="V48" s="135">
        <f t="shared" ref="V48:V77" si="12">IF(B48&lt;&gt;0,COUNTIF($U$48:$U$82,U48),"")</f>
        <v>1</v>
      </c>
      <c r="W48" s="135" t="str">
        <f t="shared" ref="W48:W77" si="13">IFERROR(LEFT(LEFT(B48,SEARCH(" ",B48,1)),1),"")</f>
        <v>A</v>
      </c>
      <c r="X48" s="140"/>
      <c r="Y48" s="140"/>
      <c r="Z48" s="140"/>
      <c r="AA48" s="139"/>
    </row>
    <row r="49" spans="2:27" ht="15" customHeight="1" x14ac:dyDescent="0.25">
      <c r="B49" s="139" t="s">
        <v>439</v>
      </c>
      <c r="C49" s="138"/>
      <c r="D49" s="135" t="str">
        <f t="shared" si="5"/>
        <v/>
      </c>
      <c r="E49" s="140"/>
      <c r="F49" s="140"/>
      <c r="G49" s="140"/>
      <c r="H49" s="135">
        <f t="shared" si="6"/>
        <v>0</v>
      </c>
      <c r="I49" s="140"/>
      <c r="J49" s="140"/>
      <c r="K49" s="140"/>
      <c r="L49" s="140"/>
      <c r="M49" s="140"/>
      <c r="N49" s="140"/>
      <c r="O49" s="135" t="str">
        <f t="shared" si="7"/>
        <v>7 OZ, 4 (4+0)</v>
      </c>
      <c r="P49" s="135" t="str">
        <f t="shared" si="8"/>
        <v/>
      </c>
      <c r="Q49" s="141"/>
      <c r="R49" s="140"/>
      <c r="S49" s="135" t="str">
        <f t="shared" si="9"/>
        <v/>
      </c>
      <c r="T49" s="1" t="str">
        <f t="shared" si="10"/>
        <v>Piskáček</v>
      </c>
      <c r="U49" s="1" t="str">
        <f t="shared" si="11"/>
        <v>Piskáček</v>
      </c>
      <c r="V49" s="135">
        <f t="shared" si="12"/>
        <v>1</v>
      </c>
      <c r="W49" s="135" t="str">
        <f t="shared" si="13"/>
        <v>B</v>
      </c>
      <c r="X49" s="140"/>
      <c r="Y49" s="140"/>
      <c r="Z49" s="140"/>
      <c r="AA49" s="139"/>
    </row>
    <row r="50" spans="2:27" ht="15" customHeight="1" x14ac:dyDescent="0.25">
      <c r="B50" s="142" t="s">
        <v>449</v>
      </c>
      <c r="C50" s="138"/>
      <c r="D50" s="135" t="str">
        <f t="shared" si="5"/>
        <v/>
      </c>
      <c r="E50" s="140"/>
      <c r="F50" s="140"/>
      <c r="G50" s="140"/>
      <c r="H50" s="135">
        <f t="shared" si="6"/>
        <v>0</v>
      </c>
      <c r="I50" s="140"/>
      <c r="J50" s="140"/>
      <c r="K50" s="140"/>
      <c r="L50" s="140"/>
      <c r="M50" s="140"/>
      <c r="N50" s="140"/>
      <c r="O50" s="135" t="str">
        <f t="shared" si="7"/>
        <v>5 OZ, 0 (0+0)</v>
      </c>
      <c r="P50" s="135" t="str">
        <f t="shared" si="8"/>
        <v/>
      </c>
      <c r="Q50" s="141"/>
      <c r="R50" s="140"/>
      <c r="S50" s="135" t="str">
        <f t="shared" si="9"/>
        <v/>
      </c>
      <c r="T50" s="1" t="str">
        <f t="shared" si="10"/>
        <v>Švéda</v>
      </c>
      <c r="U50" s="1" t="str">
        <f t="shared" si="11"/>
        <v>Švéda</v>
      </c>
      <c r="V50" s="135">
        <f t="shared" si="12"/>
        <v>1</v>
      </c>
      <c r="W50" s="135" t="str">
        <f t="shared" si="13"/>
        <v>D</v>
      </c>
      <c r="X50" s="140"/>
      <c r="Y50" s="140"/>
      <c r="Z50" s="140"/>
      <c r="AA50" s="139"/>
    </row>
    <row r="51" spans="2:27" ht="15" customHeight="1" x14ac:dyDescent="0.25">
      <c r="B51" s="142" t="s">
        <v>427</v>
      </c>
      <c r="C51" s="138"/>
      <c r="D51" s="135" t="str">
        <f t="shared" si="5"/>
        <v/>
      </c>
      <c r="E51" s="140"/>
      <c r="F51" s="140"/>
      <c r="G51" s="140"/>
      <c r="H51" s="135">
        <f t="shared" si="6"/>
        <v>0</v>
      </c>
      <c r="I51" s="140"/>
      <c r="J51" s="140"/>
      <c r="K51" s="140"/>
      <c r="L51" s="140"/>
      <c r="M51" s="140"/>
      <c r="N51" s="140"/>
      <c r="O51" s="135" t="str">
        <f t="shared" si="7"/>
        <v>17 OZ, 42 (22+20)</v>
      </c>
      <c r="P51" s="135" t="str">
        <f t="shared" si="8"/>
        <v/>
      </c>
      <c r="Q51" s="141"/>
      <c r="R51" s="140"/>
      <c r="S51" s="135" t="str">
        <f t="shared" si="9"/>
        <v/>
      </c>
      <c r="T51" s="1" t="str">
        <f t="shared" si="10"/>
        <v>Langer</v>
      </c>
      <c r="U51" s="1" t="str">
        <f t="shared" si="11"/>
        <v>Langer</v>
      </c>
      <c r="V51" s="135">
        <f t="shared" si="12"/>
        <v>1</v>
      </c>
      <c r="W51" s="135" t="str">
        <f t="shared" si="13"/>
        <v>F</v>
      </c>
      <c r="X51" s="140"/>
      <c r="Y51" s="140"/>
      <c r="Z51" s="140"/>
      <c r="AA51" s="139"/>
    </row>
    <row r="52" spans="2:27" ht="15" customHeight="1" x14ac:dyDescent="0.25">
      <c r="B52" s="139" t="s">
        <v>441</v>
      </c>
      <c r="C52" s="138"/>
      <c r="D52" s="135" t="str">
        <f t="shared" si="5"/>
        <v/>
      </c>
      <c r="E52" s="140"/>
      <c r="F52" s="140"/>
      <c r="G52" s="140"/>
      <c r="H52" s="135">
        <f t="shared" si="6"/>
        <v>0</v>
      </c>
      <c r="I52" s="140"/>
      <c r="J52" s="140"/>
      <c r="K52" s="140"/>
      <c r="L52" s="140"/>
      <c r="M52" s="140"/>
      <c r="N52" s="140"/>
      <c r="O52" s="135" t="str">
        <f t="shared" si="7"/>
        <v>4 OZ, 2 (1+1)</v>
      </c>
      <c r="P52" s="135" t="str">
        <f t="shared" si="8"/>
        <v/>
      </c>
      <c r="Q52" s="141"/>
      <c r="R52" s="140"/>
      <c r="S52" s="135" t="str">
        <f t="shared" si="9"/>
        <v/>
      </c>
      <c r="T52" s="1" t="str">
        <f t="shared" si="10"/>
        <v>Ullmann</v>
      </c>
      <c r="U52" s="1" t="str">
        <f t="shared" si="11"/>
        <v>Ullmann</v>
      </c>
      <c r="V52" s="135">
        <f t="shared" si="12"/>
        <v>1</v>
      </c>
      <c r="W52" s="135" t="str">
        <f t="shared" si="13"/>
        <v>F</v>
      </c>
      <c r="X52" s="140"/>
      <c r="Y52" s="140"/>
      <c r="Z52" s="140"/>
      <c r="AA52" s="139"/>
    </row>
    <row r="53" spans="2:27" ht="15" customHeight="1" x14ac:dyDescent="0.25">
      <c r="B53" s="142" t="s">
        <v>448</v>
      </c>
      <c r="C53" s="138"/>
      <c r="D53" s="135" t="str">
        <f t="shared" si="5"/>
        <v/>
      </c>
      <c r="E53" s="140"/>
      <c r="F53" s="140"/>
      <c r="G53" s="140"/>
      <c r="H53" s="135">
        <f t="shared" si="6"/>
        <v>0</v>
      </c>
      <c r="I53" s="140"/>
      <c r="J53" s="140"/>
      <c r="K53" s="140"/>
      <c r="L53" s="140"/>
      <c r="M53" s="140"/>
      <c r="N53" s="140"/>
      <c r="O53" s="135" t="str">
        <f t="shared" si="7"/>
        <v>3 OZ, 0 (0+0)</v>
      </c>
      <c r="P53" s="135" t="str">
        <f t="shared" si="8"/>
        <v/>
      </c>
      <c r="Q53" s="141"/>
      <c r="R53" s="140"/>
      <c r="S53" s="135" t="str">
        <f t="shared" si="9"/>
        <v/>
      </c>
      <c r="T53" s="1" t="str">
        <f t="shared" si="10"/>
        <v>Kerzel</v>
      </c>
      <c r="U53" s="1" t="str">
        <f t="shared" si="11"/>
        <v>Kerzel</v>
      </c>
      <c r="V53" s="135">
        <f t="shared" si="12"/>
        <v>1</v>
      </c>
      <c r="W53" s="135" t="str">
        <f t="shared" si="13"/>
        <v>J</v>
      </c>
      <c r="X53" s="140"/>
      <c r="Y53" s="140"/>
      <c r="Z53" s="140"/>
      <c r="AA53" s="139"/>
    </row>
    <row r="54" spans="2:27" ht="15" customHeight="1" x14ac:dyDescent="0.25">
      <c r="B54" s="139" t="s">
        <v>436</v>
      </c>
      <c r="C54" s="138"/>
      <c r="D54" s="135" t="str">
        <f t="shared" si="5"/>
        <v/>
      </c>
      <c r="E54" s="140"/>
      <c r="F54" s="140"/>
      <c r="G54" s="140"/>
      <c r="H54" s="135">
        <f t="shared" si="6"/>
        <v>0</v>
      </c>
      <c r="I54" s="140"/>
      <c r="J54" s="140"/>
      <c r="K54" s="140"/>
      <c r="L54" s="140"/>
      <c r="M54" s="140"/>
      <c r="N54" s="140"/>
      <c r="O54" s="135" t="str">
        <f t="shared" si="7"/>
        <v>16 OZ, 7 (4+3)</v>
      </c>
      <c r="P54" s="135" t="str">
        <f t="shared" si="8"/>
        <v/>
      </c>
      <c r="Q54" s="141"/>
      <c r="R54" s="140"/>
      <c r="S54" s="135" t="str">
        <f t="shared" si="9"/>
        <v/>
      </c>
      <c r="T54" s="1" t="str">
        <f t="shared" si="10"/>
        <v>Kolísko J.</v>
      </c>
      <c r="U54" s="1" t="str">
        <f t="shared" si="11"/>
        <v>Kolísko</v>
      </c>
      <c r="V54" s="135">
        <f t="shared" si="12"/>
        <v>2</v>
      </c>
      <c r="W54" s="135" t="str">
        <f t="shared" si="13"/>
        <v>J</v>
      </c>
      <c r="X54" s="140"/>
      <c r="Y54" s="140"/>
      <c r="Z54" s="140"/>
      <c r="AA54" s="139"/>
    </row>
    <row r="55" spans="2:27" ht="15" customHeight="1" x14ac:dyDescent="0.25">
      <c r="B55" s="139" t="s">
        <v>440</v>
      </c>
      <c r="C55" s="138"/>
      <c r="D55" s="135" t="str">
        <f t="shared" si="5"/>
        <v/>
      </c>
      <c r="E55" s="140"/>
      <c r="F55" s="140"/>
      <c r="G55" s="140"/>
      <c r="H55" s="135">
        <f t="shared" si="6"/>
        <v>0</v>
      </c>
      <c r="I55" s="140"/>
      <c r="J55" s="140"/>
      <c r="K55" s="140"/>
      <c r="L55" s="140"/>
      <c r="M55" s="140"/>
      <c r="N55" s="140"/>
      <c r="O55" s="135" t="str">
        <f t="shared" si="7"/>
        <v>11 OZ, 3 (2+1)</v>
      </c>
      <c r="P55" s="135" t="str">
        <f t="shared" si="8"/>
        <v/>
      </c>
      <c r="Q55" s="141"/>
      <c r="R55" s="140"/>
      <c r="S55" s="135" t="str">
        <f t="shared" si="9"/>
        <v/>
      </c>
      <c r="T55" s="1" t="str">
        <f t="shared" si="10"/>
        <v>Kolísko J.</v>
      </c>
      <c r="U55" s="1" t="str">
        <f t="shared" si="11"/>
        <v>Kolísko</v>
      </c>
      <c r="V55" s="135">
        <f t="shared" si="12"/>
        <v>2</v>
      </c>
      <c r="W55" s="135" t="str">
        <f t="shared" si="13"/>
        <v>J</v>
      </c>
      <c r="X55" s="140"/>
      <c r="Y55" s="140"/>
      <c r="Z55" s="140"/>
      <c r="AA55" s="139"/>
    </row>
    <row r="56" spans="2:27" ht="15" customHeight="1" x14ac:dyDescent="0.25">
      <c r="B56" s="142" t="s">
        <v>447</v>
      </c>
      <c r="C56" s="138"/>
      <c r="D56" s="135" t="str">
        <f t="shared" si="5"/>
        <v/>
      </c>
      <c r="E56" s="140"/>
      <c r="F56" s="140"/>
      <c r="G56" s="140"/>
      <c r="H56" s="135">
        <f t="shared" si="6"/>
        <v>0</v>
      </c>
      <c r="I56" s="140"/>
      <c r="J56" s="140"/>
      <c r="K56" s="140"/>
      <c r="L56" s="140"/>
      <c r="M56" s="140"/>
      <c r="N56" s="140"/>
      <c r="O56" s="135" t="str">
        <f t="shared" si="7"/>
        <v>3 OZ, 0 (0+0)</v>
      </c>
      <c r="P56" s="135" t="str">
        <f t="shared" si="8"/>
        <v/>
      </c>
      <c r="Q56" s="141"/>
      <c r="R56" s="140"/>
      <c r="S56" s="135" t="str">
        <f t="shared" si="9"/>
        <v/>
      </c>
      <c r="T56" s="1" t="str">
        <f t="shared" si="10"/>
        <v>Kreysa</v>
      </c>
      <c r="U56" s="1" t="str">
        <f t="shared" si="11"/>
        <v>Kreysa</v>
      </c>
      <c r="V56" s="135">
        <f t="shared" si="12"/>
        <v>1</v>
      </c>
      <c r="W56" s="135" t="str">
        <f t="shared" si="13"/>
        <v>J</v>
      </c>
      <c r="X56" s="140"/>
      <c r="Y56" s="140"/>
      <c r="Z56" s="140"/>
      <c r="AA56" s="139"/>
    </row>
    <row r="57" spans="2:27" ht="15" customHeight="1" x14ac:dyDescent="0.25">
      <c r="B57" s="139" t="s">
        <v>454</v>
      </c>
      <c r="C57" s="138"/>
      <c r="D57" s="135" t="str">
        <f t="shared" si="5"/>
        <v/>
      </c>
      <c r="E57" s="140"/>
      <c r="F57" s="140"/>
      <c r="G57" s="140"/>
      <c r="H57" s="135">
        <f t="shared" si="6"/>
        <v>0</v>
      </c>
      <c r="I57" s="140"/>
      <c r="J57" s="140"/>
      <c r="K57" s="140"/>
      <c r="L57" s="140"/>
      <c r="M57" s="140"/>
      <c r="N57" s="140"/>
      <c r="O57" s="135" t="str">
        <f t="shared" si="7"/>
        <v>0 OZ, 0 (0+0)</v>
      </c>
      <c r="P57" s="135" t="str">
        <f t="shared" si="8"/>
        <v/>
      </c>
      <c r="Q57" s="141"/>
      <c r="R57" s="140"/>
      <c r="S57" s="135" t="str">
        <f t="shared" si="9"/>
        <v>14 OZ, 0 A</v>
      </c>
      <c r="T57" s="1" t="str">
        <f t="shared" si="10"/>
        <v>Kříž</v>
      </c>
      <c r="U57" s="1" t="str">
        <f t="shared" si="11"/>
        <v>Kříž</v>
      </c>
      <c r="V57" s="135">
        <f t="shared" si="12"/>
        <v>1</v>
      </c>
      <c r="W57" s="135" t="str">
        <f t="shared" si="13"/>
        <v>L</v>
      </c>
      <c r="X57" s="140"/>
      <c r="Y57" s="140"/>
      <c r="Z57" s="140"/>
      <c r="AA57" s="139"/>
    </row>
    <row r="58" spans="2:27" ht="15" customHeight="1" x14ac:dyDescent="0.25">
      <c r="B58" s="142" t="s">
        <v>452</v>
      </c>
      <c r="C58" s="138"/>
      <c r="D58" s="135" t="str">
        <f t="shared" si="5"/>
        <v/>
      </c>
      <c r="E58" s="140"/>
      <c r="F58" s="140"/>
      <c r="G58" s="140"/>
      <c r="H58" s="135">
        <f t="shared" si="6"/>
        <v>0</v>
      </c>
      <c r="I58" s="140"/>
      <c r="J58" s="140"/>
      <c r="K58" s="140"/>
      <c r="L58" s="140"/>
      <c r="M58" s="140"/>
      <c r="N58" s="140"/>
      <c r="O58" s="135" t="str">
        <f t="shared" si="7"/>
        <v>0 OZ, 0 (0+0)</v>
      </c>
      <c r="P58" s="135" t="str">
        <f t="shared" si="8"/>
        <v/>
      </c>
      <c r="Q58" s="141"/>
      <c r="R58" s="140"/>
      <c r="S58" s="135" t="str">
        <f t="shared" si="9"/>
        <v>3 OZ, 0 A</v>
      </c>
      <c r="T58" s="1" t="str">
        <f t="shared" si="10"/>
        <v>Frühbauer</v>
      </c>
      <c r="U58" s="1" t="str">
        <f t="shared" si="11"/>
        <v>Frühbauer</v>
      </c>
      <c r="V58" s="135">
        <f t="shared" si="12"/>
        <v>1</v>
      </c>
      <c r="W58" s="135" t="str">
        <f t="shared" si="13"/>
        <v>M</v>
      </c>
      <c r="X58" s="140"/>
      <c r="Y58" s="140"/>
      <c r="Z58" s="140"/>
      <c r="AA58" s="139"/>
    </row>
    <row r="59" spans="2:27" ht="15" customHeight="1" x14ac:dyDescent="0.25">
      <c r="B59" s="139" t="s">
        <v>438</v>
      </c>
      <c r="C59" s="138"/>
      <c r="D59" s="135" t="str">
        <f t="shared" si="5"/>
        <v/>
      </c>
      <c r="E59" s="140"/>
      <c r="F59" s="140"/>
      <c r="G59" s="140"/>
      <c r="H59" s="135">
        <f t="shared" si="6"/>
        <v>0</v>
      </c>
      <c r="I59" s="140"/>
      <c r="J59" s="140"/>
      <c r="K59" s="140"/>
      <c r="L59" s="140"/>
      <c r="M59" s="140"/>
      <c r="N59" s="140"/>
      <c r="O59" s="135" t="str">
        <f t="shared" si="7"/>
        <v>17 OZ, 5 (4+1)</v>
      </c>
      <c r="P59" s="135" t="str">
        <f t="shared" si="8"/>
        <v/>
      </c>
      <c r="Q59" s="141"/>
      <c r="R59" s="140"/>
      <c r="S59" s="135" t="str">
        <f t="shared" si="9"/>
        <v/>
      </c>
      <c r="T59" s="1" t="str">
        <f t="shared" si="10"/>
        <v>Mühlfait</v>
      </c>
      <c r="U59" s="1" t="str">
        <f t="shared" si="11"/>
        <v>Mühlfait</v>
      </c>
      <c r="V59" s="135">
        <f t="shared" si="12"/>
        <v>1</v>
      </c>
      <c r="W59" s="135" t="str">
        <f t="shared" si="13"/>
        <v>M</v>
      </c>
      <c r="X59" s="140"/>
      <c r="Y59" s="140"/>
      <c r="Z59" s="140"/>
      <c r="AA59" s="139"/>
    </row>
    <row r="60" spans="2:27" ht="15" customHeight="1" x14ac:dyDescent="0.25">
      <c r="B60" s="139" t="s">
        <v>434</v>
      </c>
      <c r="C60" s="138"/>
      <c r="D60" s="135" t="str">
        <f t="shared" si="5"/>
        <v/>
      </c>
      <c r="E60" s="140"/>
      <c r="F60" s="140"/>
      <c r="G60" s="140"/>
      <c r="H60" s="135">
        <f t="shared" si="6"/>
        <v>0</v>
      </c>
      <c r="I60" s="140"/>
      <c r="J60" s="140"/>
      <c r="K60" s="140"/>
      <c r="L60" s="140"/>
      <c r="M60" s="140"/>
      <c r="N60" s="140"/>
      <c r="O60" s="135" t="str">
        <f t="shared" si="7"/>
        <v>17 OZ, 9 (4+5)</v>
      </c>
      <c r="P60" s="135" t="str">
        <f t="shared" si="8"/>
        <v/>
      </c>
      <c r="Q60" s="141"/>
      <c r="R60" s="140"/>
      <c r="S60" s="135" t="str">
        <f t="shared" si="9"/>
        <v/>
      </c>
      <c r="T60" s="1" t="str">
        <f t="shared" si="10"/>
        <v>Pánek</v>
      </c>
      <c r="U60" s="1" t="str">
        <f t="shared" si="11"/>
        <v>Pánek</v>
      </c>
      <c r="V60" s="135">
        <f t="shared" si="12"/>
        <v>1</v>
      </c>
      <c r="W60" s="135" t="str">
        <f t="shared" si="13"/>
        <v>M</v>
      </c>
      <c r="X60" s="140"/>
      <c r="Y60" s="140"/>
      <c r="Z60" s="140"/>
      <c r="AA60" s="139"/>
    </row>
    <row r="61" spans="2:27" ht="15" customHeight="1" x14ac:dyDescent="0.25">
      <c r="B61" s="139" t="s">
        <v>445</v>
      </c>
      <c r="C61" s="138"/>
      <c r="D61" s="135" t="str">
        <f t="shared" si="5"/>
        <v/>
      </c>
      <c r="E61" s="140"/>
      <c r="F61" s="140"/>
      <c r="G61" s="140"/>
      <c r="H61" s="135">
        <f t="shared" si="6"/>
        <v>0</v>
      </c>
      <c r="I61" s="140"/>
      <c r="J61" s="140"/>
      <c r="K61" s="140"/>
      <c r="L61" s="140"/>
      <c r="M61" s="140"/>
      <c r="N61" s="140"/>
      <c r="O61" s="135" t="str">
        <f t="shared" si="7"/>
        <v>1 OZ, 0 (0+0)</v>
      </c>
      <c r="P61" s="135" t="str">
        <f t="shared" si="8"/>
        <v/>
      </c>
      <c r="Q61" s="141"/>
      <c r="R61" s="140"/>
      <c r="S61" s="135" t="str">
        <f t="shared" si="9"/>
        <v/>
      </c>
      <c r="T61" s="1" t="str">
        <f t="shared" si="10"/>
        <v>Pretl</v>
      </c>
      <c r="U61" s="1" t="str">
        <f t="shared" si="11"/>
        <v>Pretl</v>
      </c>
      <c r="V61" s="135">
        <f t="shared" si="12"/>
        <v>1</v>
      </c>
      <c r="W61" s="135" t="str">
        <f t="shared" si="13"/>
        <v>M</v>
      </c>
      <c r="X61" s="140"/>
      <c r="Y61" s="140"/>
      <c r="Z61" s="140"/>
      <c r="AA61" s="139"/>
    </row>
    <row r="62" spans="2:27" ht="15" customHeight="1" x14ac:dyDescent="0.25">
      <c r="B62" s="142" t="s">
        <v>430</v>
      </c>
      <c r="C62" s="138"/>
      <c r="D62" s="135" t="str">
        <f t="shared" si="5"/>
        <v/>
      </c>
      <c r="E62" s="140"/>
      <c r="F62" s="140"/>
      <c r="G62" s="140"/>
      <c r="H62" s="135">
        <f t="shared" si="6"/>
        <v>0</v>
      </c>
      <c r="I62" s="140"/>
      <c r="J62" s="140"/>
      <c r="K62" s="140"/>
      <c r="L62" s="140"/>
      <c r="M62" s="140"/>
      <c r="N62" s="140"/>
      <c r="O62" s="135" t="str">
        <f t="shared" si="7"/>
        <v>17 OZ, 26 (12+14)</v>
      </c>
      <c r="P62" s="135" t="str">
        <f t="shared" si="8"/>
        <v/>
      </c>
      <c r="Q62" s="141"/>
      <c r="R62" s="140"/>
      <c r="S62" s="135" t="str">
        <f t="shared" si="9"/>
        <v/>
      </c>
      <c r="T62" s="1" t="str">
        <f t="shared" si="10"/>
        <v>Šindelář</v>
      </c>
      <c r="U62" s="1" t="str">
        <f t="shared" si="11"/>
        <v>Šindelář</v>
      </c>
      <c r="V62" s="135">
        <f t="shared" si="12"/>
        <v>1</v>
      </c>
      <c r="W62" s="135" t="str">
        <f t="shared" si="13"/>
        <v>M</v>
      </c>
      <c r="X62" s="140"/>
      <c r="Y62" s="140"/>
      <c r="Z62" s="140"/>
      <c r="AA62" s="139"/>
    </row>
    <row r="63" spans="2:27" ht="15" customHeight="1" x14ac:dyDescent="0.25">
      <c r="B63" s="139" t="s">
        <v>431</v>
      </c>
      <c r="C63" s="138"/>
      <c r="D63" s="135" t="str">
        <f t="shared" si="5"/>
        <v/>
      </c>
      <c r="E63" s="140"/>
      <c r="F63" s="140"/>
      <c r="G63" s="140"/>
      <c r="H63" s="135">
        <f t="shared" si="6"/>
        <v>0</v>
      </c>
      <c r="I63" s="140"/>
      <c r="J63" s="140"/>
      <c r="K63" s="140"/>
      <c r="L63" s="140"/>
      <c r="M63" s="140"/>
      <c r="N63" s="140"/>
      <c r="O63" s="135" t="str">
        <f t="shared" si="7"/>
        <v>15 OZ, 29 (16+13)</v>
      </c>
      <c r="P63" s="135" t="str">
        <f t="shared" si="8"/>
        <v/>
      </c>
      <c r="Q63" s="141"/>
      <c r="R63" s="140"/>
      <c r="S63" s="135" t="str">
        <f t="shared" si="9"/>
        <v/>
      </c>
      <c r="T63" s="1" t="str">
        <f t="shared" si="10"/>
        <v>Havlas</v>
      </c>
      <c r="U63" s="1" t="str">
        <f t="shared" si="11"/>
        <v>Havlas</v>
      </c>
      <c r="V63" s="135">
        <f t="shared" si="12"/>
        <v>1</v>
      </c>
      <c r="W63" s="135" t="str">
        <f t="shared" si="13"/>
        <v>M</v>
      </c>
      <c r="X63" s="140"/>
      <c r="Y63" s="140"/>
      <c r="Z63" s="140"/>
      <c r="AA63" s="139"/>
    </row>
    <row r="64" spans="2:27" ht="15" customHeight="1" x14ac:dyDescent="0.25">
      <c r="B64" s="139" t="s">
        <v>444</v>
      </c>
      <c r="C64" s="138"/>
      <c r="D64" s="135" t="str">
        <f t="shared" si="5"/>
        <v/>
      </c>
      <c r="E64" s="140"/>
      <c r="F64" s="140"/>
      <c r="G64" s="140"/>
      <c r="H64" s="135">
        <f t="shared" si="6"/>
        <v>0</v>
      </c>
      <c r="I64" s="140"/>
      <c r="J64" s="140"/>
      <c r="K64" s="140"/>
      <c r="L64" s="140"/>
      <c r="M64" s="140"/>
      <c r="N64" s="140"/>
      <c r="O64" s="135" t="str">
        <f t="shared" si="7"/>
        <v>1 OZ, 0 (0+0)</v>
      </c>
      <c r="P64" s="135" t="str">
        <f t="shared" si="8"/>
        <v/>
      </c>
      <c r="Q64" s="141"/>
      <c r="R64" s="140"/>
      <c r="S64" s="135" t="str">
        <f t="shared" si="9"/>
        <v/>
      </c>
      <c r="T64" s="1" t="str">
        <f t="shared" si="10"/>
        <v>Švarc</v>
      </c>
      <c r="U64" s="1" t="str">
        <f t="shared" si="11"/>
        <v>Švarc</v>
      </c>
      <c r="V64" s="135">
        <f t="shared" si="12"/>
        <v>1</v>
      </c>
      <c r="W64" s="135" t="str">
        <f t="shared" si="13"/>
        <v>M</v>
      </c>
      <c r="X64" s="140"/>
      <c r="Y64" s="140"/>
      <c r="Z64" s="140"/>
      <c r="AA64" s="139"/>
    </row>
    <row r="65" spans="2:27" ht="15" customHeight="1" x14ac:dyDescent="0.25">
      <c r="B65" s="139" t="s">
        <v>446</v>
      </c>
      <c r="C65" s="138"/>
      <c r="D65" s="135" t="str">
        <f t="shared" si="5"/>
        <v/>
      </c>
      <c r="E65" s="140"/>
      <c r="F65" s="140"/>
      <c r="G65" s="140"/>
      <c r="H65" s="135">
        <f t="shared" si="6"/>
        <v>0</v>
      </c>
      <c r="I65" s="140"/>
      <c r="J65" s="140"/>
      <c r="K65" s="140"/>
      <c r="L65" s="140"/>
      <c r="M65" s="140"/>
      <c r="N65" s="140"/>
      <c r="O65" s="135" t="str">
        <f t="shared" si="7"/>
        <v>1 OZ, 0 (0+0)</v>
      </c>
      <c r="P65" s="135" t="str">
        <f t="shared" si="8"/>
        <v/>
      </c>
      <c r="Q65" s="141"/>
      <c r="R65" s="140"/>
      <c r="S65" s="135" t="str">
        <f t="shared" si="9"/>
        <v/>
      </c>
      <c r="T65" s="1" t="str">
        <f t="shared" si="10"/>
        <v>Vavroušek</v>
      </c>
      <c r="U65" s="1" t="str">
        <f t="shared" si="11"/>
        <v>Vavroušek</v>
      </c>
      <c r="V65" s="135">
        <f t="shared" si="12"/>
        <v>1</v>
      </c>
      <c r="W65" s="135" t="str">
        <f t="shared" si="13"/>
        <v>M</v>
      </c>
      <c r="X65" s="140"/>
      <c r="Y65" s="140"/>
      <c r="Z65" s="140"/>
      <c r="AA65" s="139"/>
    </row>
    <row r="66" spans="2:27" ht="15" customHeight="1" x14ac:dyDescent="0.25">
      <c r="B66" s="142" t="s">
        <v>429</v>
      </c>
      <c r="C66" s="138"/>
      <c r="D66" s="135" t="str">
        <f t="shared" si="5"/>
        <v/>
      </c>
      <c r="E66" s="140"/>
      <c r="F66" s="140"/>
      <c r="G66" s="140"/>
      <c r="H66" s="135">
        <f t="shared" si="6"/>
        <v>0</v>
      </c>
      <c r="I66" s="140"/>
      <c r="J66" s="140"/>
      <c r="K66" s="140"/>
      <c r="L66" s="140"/>
      <c r="M66" s="140"/>
      <c r="N66" s="140"/>
      <c r="O66" s="135" t="str">
        <f t="shared" si="7"/>
        <v>17 OZ, 27 (14+13)</v>
      </c>
      <c r="P66" s="135" t="str">
        <f t="shared" si="8"/>
        <v/>
      </c>
      <c r="Q66" s="141"/>
      <c r="R66" s="140"/>
      <c r="S66" s="135" t="str">
        <f t="shared" si="9"/>
        <v/>
      </c>
      <c r="T66" s="1" t="str">
        <f t="shared" si="10"/>
        <v>Meliš</v>
      </c>
      <c r="U66" s="1" t="str">
        <f t="shared" si="11"/>
        <v>Meliš</v>
      </c>
      <c r="V66" s="135">
        <f t="shared" si="12"/>
        <v>1</v>
      </c>
      <c r="W66" s="135" t="str">
        <f t="shared" si="13"/>
        <v>M</v>
      </c>
      <c r="X66" s="140"/>
      <c r="Y66" s="140"/>
      <c r="Z66" s="140"/>
      <c r="AA66" s="139"/>
    </row>
    <row r="67" spans="2:27" ht="15" customHeight="1" x14ac:dyDescent="0.25">
      <c r="B67" s="142" t="s">
        <v>428</v>
      </c>
      <c r="C67" s="138"/>
      <c r="D67" s="135" t="str">
        <f t="shared" si="5"/>
        <v/>
      </c>
      <c r="E67" s="140"/>
      <c r="F67" s="140"/>
      <c r="G67" s="140"/>
      <c r="H67" s="135">
        <f t="shared" si="6"/>
        <v>0</v>
      </c>
      <c r="I67" s="140"/>
      <c r="J67" s="140"/>
      <c r="K67" s="140"/>
      <c r="L67" s="140"/>
      <c r="M67" s="140"/>
      <c r="N67" s="140"/>
      <c r="O67" s="135" t="str">
        <f t="shared" si="7"/>
        <v>17 OZ, 33 (12+21)</v>
      </c>
      <c r="P67" s="135" t="str">
        <f t="shared" si="8"/>
        <v/>
      </c>
      <c r="Q67" s="141"/>
      <c r="R67" s="140"/>
      <c r="S67" s="135" t="str">
        <f t="shared" si="9"/>
        <v/>
      </c>
      <c r="T67" s="1" t="str">
        <f t="shared" si="10"/>
        <v>Němeček</v>
      </c>
      <c r="U67" s="1" t="str">
        <f t="shared" si="11"/>
        <v>Němeček</v>
      </c>
      <c r="V67" s="135">
        <f t="shared" si="12"/>
        <v>1</v>
      </c>
      <c r="W67" s="135" t="str">
        <f t="shared" si="13"/>
        <v>O</v>
      </c>
      <c r="X67" s="140"/>
      <c r="Y67" s="140"/>
      <c r="Z67" s="140"/>
      <c r="AA67" s="139"/>
    </row>
    <row r="68" spans="2:27" ht="15" customHeight="1" x14ac:dyDescent="0.25">
      <c r="B68" s="142" t="s">
        <v>451</v>
      </c>
      <c r="C68" s="138"/>
      <c r="D68" s="135" t="str">
        <f t="shared" si="5"/>
        <v/>
      </c>
      <c r="E68" s="140"/>
      <c r="F68" s="140"/>
      <c r="G68" s="140"/>
      <c r="H68" s="135">
        <f t="shared" si="6"/>
        <v>0</v>
      </c>
      <c r="I68" s="140"/>
      <c r="J68" s="140"/>
      <c r="K68" s="140"/>
      <c r="L68" s="140"/>
      <c r="M68" s="140"/>
      <c r="N68" s="140"/>
      <c r="O68" s="135" t="str">
        <f t="shared" si="7"/>
        <v>9 OZ, 0 (0+0)</v>
      </c>
      <c r="P68" s="135" t="str">
        <f t="shared" si="8"/>
        <v/>
      </c>
      <c r="Q68" s="141"/>
      <c r="R68" s="140"/>
      <c r="S68" s="135" t="str">
        <f t="shared" si="9"/>
        <v/>
      </c>
      <c r="T68" s="1" t="str">
        <f t="shared" si="10"/>
        <v>Papoušek</v>
      </c>
      <c r="U68" s="1" t="str">
        <f t="shared" si="11"/>
        <v>Papoušek</v>
      </c>
      <c r="V68" s="135">
        <f t="shared" si="12"/>
        <v>1</v>
      </c>
      <c r="W68" s="135" t="str">
        <f t="shared" si="13"/>
        <v>O</v>
      </c>
      <c r="X68" s="140"/>
      <c r="Y68" s="140"/>
      <c r="Z68" s="140"/>
      <c r="AA68" s="139"/>
    </row>
    <row r="69" spans="2:27" ht="15" customHeight="1" x14ac:dyDescent="0.25">
      <c r="B69" s="139" t="s">
        <v>443</v>
      </c>
      <c r="C69" s="138"/>
      <c r="D69" s="135" t="str">
        <f t="shared" si="5"/>
        <v/>
      </c>
      <c r="E69" s="140"/>
      <c r="F69" s="140"/>
      <c r="G69" s="140"/>
      <c r="H69" s="135">
        <f t="shared" si="6"/>
        <v>0</v>
      </c>
      <c r="I69" s="140"/>
      <c r="J69" s="140"/>
      <c r="K69" s="140"/>
      <c r="L69" s="140"/>
      <c r="M69" s="140"/>
      <c r="N69" s="140"/>
      <c r="O69" s="135" t="str">
        <f t="shared" si="7"/>
        <v>15 OZ, 1 (1+0)</v>
      </c>
      <c r="P69" s="135" t="str">
        <f t="shared" si="8"/>
        <v/>
      </c>
      <c r="Q69" s="141"/>
      <c r="R69" s="140"/>
      <c r="S69" s="135" t="str">
        <f t="shared" si="9"/>
        <v/>
      </c>
      <c r="T69" s="1" t="str">
        <f t="shared" si="10"/>
        <v>Sádlo</v>
      </c>
      <c r="U69" s="1" t="str">
        <f t="shared" si="11"/>
        <v>Sádlo</v>
      </c>
      <c r="V69" s="135">
        <f t="shared" si="12"/>
        <v>1</v>
      </c>
      <c r="W69" s="135" t="str">
        <f t="shared" si="13"/>
        <v>O</v>
      </c>
      <c r="X69" s="140"/>
      <c r="Y69" s="140"/>
      <c r="Z69" s="140"/>
      <c r="AA69" s="139"/>
    </row>
    <row r="70" spans="2:27" ht="15" customHeight="1" x14ac:dyDescent="0.25">
      <c r="B70" s="139" t="s">
        <v>435</v>
      </c>
      <c r="C70" s="138"/>
      <c r="D70" s="135" t="str">
        <f t="shared" si="5"/>
        <v/>
      </c>
      <c r="E70" s="140"/>
      <c r="F70" s="140"/>
      <c r="G70" s="140"/>
      <c r="H70" s="135">
        <f t="shared" si="6"/>
        <v>0</v>
      </c>
      <c r="I70" s="140"/>
      <c r="J70" s="140"/>
      <c r="K70" s="140"/>
      <c r="L70" s="140"/>
      <c r="M70" s="140"/>
      <c r="N70" s="140"/>
      <c r="O70" s="135" t="str">
        <f t="shared" si="7"/>
        <v>14 OZ, 9 (1+8)</v>
      </c>
      <c r="P70" s="135" t="str">
        <f t="shared" si="8"/>
        <v/>
      </c>
      <c r="Q70" s="141"/>
      <c r="R70" s="140"/>
      <c r="S70" s="135" t="str">
        <f t="shared" si="9"/>
        <v/>
      </c>
      <c r="T70" s="1" t="str">
        <f t="shared" si="10"/>
        <v>Vítovec</v>
      </c>
      <c r="U70" s="1" t="str">
        <f t="shared" si="11"/>
        <v>Vítovec</v>
      </c>
      <c r="V70" s="135">
        <f t="shared" si="12"/>
        <v>1</v>
      </c>
      <c r="W70" s="135" t="str">
        <f t="shared" si="13"/>
        <v>O</v>
      </c>
      <c r="X70" s="140"/>
      <c r="Y70" s="140"/>
      <c r="Z70" s="140"/>
      <c r="AA70" s="139"/>
    </row>
    <row r="71" spans="2:27" ht="15" customHeight="1" x14ac:dyDescent="0.25">
      <c r="B71" s="139" t="s">
        <v>433</v>
      </c>
      <c r="C71" s="138"/>
      <c r="D71" s="135" t="str">
        <f t="shared" si="5"/>
        <v/>
      </c>
      <c r="E71" s="140"/>
      <c r="F71" s="140"/>
      <c r="G71" s="140"/>
      <c r="H71" s="135">
        <f t="shared" si="6"/>
        <v>0</v>
      </c>
      <c r="I71" s="140"/>
      <c r="J71" s="140"/>
      <c r="K71" s="140"/>
      <c r="L71" s="140"/>
      <c r="M71" s="140"/>
      <c r="N71" s="140"/>
      <c r="O71" s="135" t="str">
        <f t="shared" si="7"/>
        <v>17 OZ, 14 (10+4)</v>
      </c>
      <c r="P71" s="135" t="str">
        <f t="shared" si="8"/>
        <v/>
      </c>
      <c r="Q71" s="141"/>
      <c r="R71" s="140"/>
      <c r="S71" s="135" t="str">
        <f t="shared" si="9"/>
        <v/>
      </c>
      <c r="T71" s="1" t="str">
        <f t="shared" si="10"/>
        <v>Sládeček</v>
      </c>
      <c r="U71" s="1" t="str">
        <f t="shared" si="11"/>
        <v>Sládeček</v>
      </c>
      <c r="V71" s="135">
        <f t="shared" si="12"/>
        <v>1</v>
      </c>
      <c r="W71" s="135" t="str">
        <f t="shared" si="13"/>
        <v>P</v>
      </c>
      <c r="X71" s="140"/>
      <c r="Y71" s="140"/>
      <c r="Z71" s="140"/>
      <c r="AA71" s="139"/>
    </row>
    <row r="72" spans="2:27" ht="15" customHeight="1" x14ac:dyDescent="0.25">
      <c r="B72" s="139" t="s">
        <v>432</v>
      </c>
      <c r="C72" s="138"/>
      <c r="D72" s="135" t="str">
        <f t="shared" si="5"/>
        <v/>
      </c>
      <c r="E72" s="140"/>
      <c r="F72" s="140"/>
      <c r="G72" s="140"/>
      <c r="H72" s="135">
        <f t="shared" si="6"/>
        <v>0</v>
      </c>
      <c r="I72" s="140"/>
      <c r="J72" s="140"/>
      <c r="K72" s="140"/>
      <c r="L72" s="140"/>
      <c r="M72" s="140"/>
      <c r="N72" s="140"/>
      <c r="O72" s="135" t="str">
        <f t="shared" si="7"/>
        <v>17 OZ, 22 (16+6)</v>
      </c>
      <c r="P72" s="135" t="str">
        <f t="shared" si="8"/>
        <v/>
      </c>
      <c r="Q72" s="141"/>
      <c r="R72" s="140"/>
      <c r="S72" s="135" t="str">
        <f t="shared" si="9"/>
        <v/>
      </c>
      <c r="T72" s="1" t="str">
        <f t="shared" si="10"/>
        <v>Brautferger</v>
      </c>
      <c r="U72" s="1" t="str">
        <f t="shared" si="11"/>
        <v>Brautferger</v>
      </c>
      <c r="V72" s="135">
        <f t="shared" si="12"/>
        <v>1</v>
      </c>
      <c r="W72" s="135" t="str">
        <f t="shared" si="13"/>
        <v>P</v>
      </c>
      <c r="X72" s="140"/>
      <c r="Y72" s="140"/>
      <c r="Z72" s="140"/>
      <c r="AA72" s="139"/>
    </row>
    <row r="73" spans="2:27" ht="15" customHeight="1" x14ac:dyDescent="0.25">
      <c r="B73" s="139" t="s">
        <v>324</v>
      </c>
      <c r="C73" s="138"/>
      <c r="D73" s="135" t="str">
        <f t="shared" si="5"/>
        <v/>
      </c>
      <c r="E73" s="140"/>
      <c r="F73" s="140"/>
      <c r="G73" s="140"/>
      <c r="H73" s="135">
        <f t="shared" si="6"/>
        <v>0</v>
      </c>
      <c r="I73" s="140"/>
      <c r="J73" s="140"/>
      <c r="K73" s="140"/>
      <c r="L73" s="140"/>
      <c r="M73" s="140"/>
      <c r="N73" s="140"/>
      <c r="O73" s="135" t="str">
        <f t="shared" si="7"/>
        <v>12 OZ, 5 (2+3)</v>
      </c>
      <c r="P73" s="135" t="str">
        <f t="shared" si="8"/>
        <v/>
      </c>
      <c r="Q73" s="141"/>
      <c r="R73" s="140"/>
      <c r="S73" s="135" t="str">
        <f t="shared" si="9"/>
        <v/>
      </c>
      <c r="T73" s="1" t="str">
        <f t="shared" si="10"/>
        <v>Novotný</v>
      </c>
      <c r="U73" s="1" t="str">
        <f t="shared" si="11"/>
        <v>Novotný</v>
      </c>
      <c r="V73" s="135">
        <f t="shared" si="12"/>
        <v>1</v>
      </c>
      <c r="W73" s="135" t="str">
        <f t="shared" si="13"/>
        <v>P</v>
      </c>
      <c r="X73" s="140"/>
      <c r="Y73" s="140"/>
      <c r="Z73" s="140"/>
      <c r="AA73" s="139"/>
    </row>
    <row r="74" spans="2:27" ht="15" customHeight="1" x14ac:dyDescent="0.25">
      <c r="B74" s="139" t="s">
        <v>453</v>
      </c>
      <c r="C74" s="138"/>
      <c r="D74" s="135" t="str">
        <f t="shared" si="5"/>
        <v/>
      </c>
      <c r="E74" s="140"/>
      <c r="F74" s="140"/>
      <c r="G74" s="140"/>
      <c r="H74" s="135">
        <f t="shared" si="6"/>
        <v>0</v>
      </c>
      <c r="I74" s="140"/>
      <c r="J74" s="140"/>
      <c r="K74" s="140"/>
      <c r="L74" s="140"/>
      <c r="M74" s="140"/>
      <c r="N74" s="140"/>
      <c r="O74" s="135" t="str">
        <f t="shared" si="7"/>
        <v>10 OZ, 0 (0+0)</v>
      </c>
      <c r="P74" s="135" t="str">
        <f t="shared" si="8"/>
        <v/>
      </c>
      <c r="Q74" s="141"/>
      <c r="R74" s="140"/>
      <c r="S74" s="135" t="str">
        <f t="shared" si="9"/>
        <v/>
      </c>
      <c r="T74" s="1" t="str">
        <f t="shared" si="10"/>
        <v>Rod</v>
      </c>
      <c r="U74" s="1" t="str">
        <f t="shared" si="11"/>
        <v>Rod</v>
      </c>
      <c r="V74" s="135">
        <f t="shared" si="12"/>
        <v>1</v>
      </c>
      <c r="W74" s="135" t="str">
        <f t="shared" si="13"/>
        <v>S</v>
      </c>
      <c r="X74" s="140"/>
      <c r="Y74" s="140"/>
      <c r="Z74" s="140"/>
      <c r="AA74" s="139"/>
    </row>
    <row r="75" spans="2:27" ht="15" customHeight="1" x14ac:dyDescent="0.25">
      <c r="B75" s="142" t="s">
        <v>450</v>
      </c>
      <c r="C75" s="138"/>
      <c r="D75" s="135" t="str">
        <f t="shared" si="5"/>
        <v/>
      </c>
      <c r="E75" s="140"/>
      <c r="F75" s="140"/>
      <c r="G75" s="140"/>
      <c r="H75" s="135">
        <f t="shared" si="6"/>
        <v>0</v>
      </c>
      <c r="I75" s="140"/>
      <c r="J75" s="140"/>
      <c r="K75" s="140"/>
      <c r="L75" s="140"/>
      <c r="M75" s="140"/>
      <c r="N75" s="140"/>
      <c r="O75" s="135" t="str">
        <f t="shared" si="7"/>
        <v>0 OZ, 0 (0+0)</v>
      </c>
      <c r="P75" s="135" t="str">
        <f t="shared" si="8"/>
        <v/>
      </c>
      <c r="Q75" s="141"/>
      <c r="R75" s="140"/>
      <c r="S75" s="135" t="str">
        <f t="shared" si="9"/>
        <v>3 OZ, 0 A</v>
      </c>
      <c r="T75" s="1" t="str">
        <f t="shared" si="10"/>
        <v>Jurco</v>
      </c>
      <c r="U75" s="1" t="str">
        <f t="shared" si="11"/>
        <v>Jurco</v>
      </c>
      <c r="V75" s="135">
        <f t="shared" si="12"/>
        <v>1</v>
      </c>
      <c r="W75" s="135" t="str">
        <f t="shared" si="13"/>
        <v>T</v>
      </c>
      <c r="X75" s="140"/>
      <c r="Y75" s="140"/>
      <c r="Z75" s="140"/>
      <c r="AA75" s="139"/>
    </row>
    <row r="76" spans="2:27" ht="15" customHeight="1" x14ac:dyDescent="0.25">
      <c r="B76" s="139" t="s">
        <v>442</v>
      </c>
      <c r="C76" s="138"/>
      <c r="D76" s="135" t="str">
        <f t="shared" si="5"/>
        <v/>
      </c>
      <c r="E76" s="140"/>
      <c r="F76" s="140"/>
      <c r="G76" s="140"/>
      <c r="H76" s="135">
        <f t="shared" si="6"/>
        <v>0</v>
      </c>
      <c r="I76" s="140"/>
      <c r="J76" s="140"/>
      <c r="K76" s="140"/>
      <c r="L76" s="140"/>
      <c r="M76" s="140"/>
      <c r="N76" s="140"/>
      <c r="O76" s="135" t="str">
        <f t="shared" si="7"/>
        <v>10 OZ, 1 (1+0)</v>
      </c>
      <c r="P76" s="135" t="str">
        <f t="shared" si="8"/>
        <v/>
      </c>
      <c r="Q76" s="141"/>
      <c r="R76" s="140"/>
      <c r="S76" s="135" t="str">
        <f t="shared" si="9"/>
        <v/>
      </c>
      <c r="T76" s="1" t="str">
        <f t="shared" si="10"/>
        <v>Navrátil</v>
      </c>
      <c r="U76" s="1" t="str">
        <f t="shared" si="11"/>
        <v>Navrátil</v>
      </c>
      <c r="V76" s="135">
        <f t="shared" si="12"/>
        <v>1</v>
      </c>
      <c r="W76" s="135" t="str">
        <f t="shared" si="13"/>
        <v>T</v>
      </c>
      <c r="X76" s="140"/>
      <c r="Y76" s="140"/>
      <c r="Z76" s="140"/>
      <c r="AA76" s="139"/>
    </row>
    <row r="77" spans="2:27" ht="15" customHeight="1" x14ac:dyDescent="0.25">
      <c r="B77" s="139" t="s">
        <v>286</v>
      </c>
      <c r="C77" s="138"/>
      <c r="D77" s="135" t="str">
        <f t="shared" si="5"/>
        <v/>
      </c>
      <c r="E77" s="140"/>
      <c r="F77" s="140"/>
      <c r="G77" s="140"/>
      <c r="H77" s="135">
        <f t="shared" si="6"/>
        <v>0</v>
      </c>
      <c r="I77" s="140"/>
      <c r="J77" s="140"/>
      <c r="K77" s="140"/>
      <c r="L77" s="140"/>
      <c r="M77" s="140"/>
      <c r="N77" s="140"/>
      <c r="O77" s="135" t="str">
        <f t="shared" si="7"/>
        <v>8 OZ, 1 (0+1)</v>
      </c>
      <c r="P77" s="135" t="str">
        <f t="shared" si="8"/>
        <v/>
      </c>
      <c r="Q77" s="141"/>
      <c r="R77" s="140"/>
      <c r="S77" s="135" t="str">
        <f t="shared" si="9"/>
        <v/>
      </c>
      <c r="T77" s="1" t="str">
        <f t="shared" si="10"/>
        <v>Klápa</v>
      </c>
      <c r="U77" s="1" t="str">
        <f t="shared" si="11"/>
        <v>Klápa</v>
      </c>
      <c r="V77" s="135">
        <f t="shared" si="12"/>
        <v>1</v>
      </c>
      <c r="W77" s="135" t="str">
        <f t="shared" si="13"/>
        <v>V</v>
      </c>
      <c r="X77" s="140"/>
      <c r="Y77" s="140"/>
      <c r="Z77" s="140"/>
      <c r="AA77" s="139"/>
    </row>
    <row r="78" spans="2:27" ht="15" customHeight="1" x14ac:dyDescent="0.25">
      <c r="B78" s="139"/>
      <c r="C78" s="138"/>
      <c r="D78" s="135" t="str">
        <f t="shared" ref="D78:D82" si="14">IF(C78 &lt;&gt; 0,ROUNDDOWN(($A$47-C78)/365.25,0),"")</f>
        <v/>
      </c>
      <c r="E78" s="140"/>
      <c r="F78" s="140"/>
      <c r="G78" s="140"/>
      <c r="H78" s="135" t="str">
        <f t="shared" ref="H78:H82" si="15">IF(B78&lt;&gt;0,F78+G78,"")</f>
        <v/>
      </c>
      <c r="I78" s="140"/>
      <c r="J78" s="140"/>
      <c r="K78" s="140"/>
      <c r="L78" s="140"/>
      <c r="M78" s="140"/>
      <c r="N78" s="140"/>
      <c r="O78" s="135" t="str">
        <f t="shared" ref="O78:O82" si="16">IF(B78&lt;&gt;0,CONCATENATE(E78+IFERROR(VLOOKUP(B78,$B$2:$N$36,4,FALSE),0) + X78, " OZ, ", H78+IFERROR(VLOOKUP(B78,$B$2:$N$36,9,FALSE),0) + Y78+Z78, " (", F78+IFERROR(VLOOKUP(B78,$B$2:$N$36,5,FALSE),0) + Y78, "+",G78+IFERROR(VLOOKUP(B78,$B$2:$N$36,8,FALSE),0) +  Z78, ")"), "")</f>
        <v/>
      </c>
      <c r="P78" s="135" t="str">
        <f t="shared" ref="P78:P82" si="17">IF(M78&lt;&gt;0,CONCATENATE(M78,"/",N78),"")</f>
        <v/>
      </c>
      <c r="Q78" s="141"/>
      <c r="R78" s="140"/>
      <c r="S78" s="135"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5" t="str">
        <f t="shared" ref="V78:V82" si="21">IF(B78&lt;&gt;0,COUNTIF($U$48:$U$82,U78),"")</f>
        <v/>
      </c>
      <c r="W78" s="135" t="str">
        <f t="shared" ref="W78:W82" si="22">IFERROR(LEFT(LEFT(B78,SEARCH(" ",B78,1)),1),"")</f>
        <v/>
      </c>
      <c r="X78" s="140"/>
      <c r="Y78" s="140"/>
      <c r="Z78" s="140"/>
      <c r="AA78" s="139"/>
    </row>
    <row r="79" spans="2:27" ht="15" customHeight="1" x14ac:dyDescent="0.25">
      <c r="B79" s="139"/>
      <c r="C79" s="138"/>
      <c r="D79" s="135" t="str">
        <f t="shared" si="14"/>
        <v/>
      </c>
      <c r="E79" s="140"/>
      <c r="F79" s="140"/>
      <c r="G79" s="140"/>
      <c r="H79" s="135" t="str">
        <f t="shared" si="15"/>
        <v/>
      </c>
      <c r="I79" s="140"/>
      <c r="J79" s="140"/>
      <c r="K79" s="140"/>
      <c r="L79" s="140"/>
      <c r="M79" s="140"/>
      <c r="N79" s="140"/>
      <c r="O79" s="135" t="str">
        <f t="shared" si="16"/>
        <v/>
      </c>
      <c r="P79" s="135" t="str">
        <f t="shared" si="17"/>
        <v/>
      </c>
      <c r="Q79" s="141"/>
      <c r="R79" s="140"/>
      <c r="S79" s="135" t="str">
        <f t="shared" si="18"/>
        <v/>
      </c>
      <c r="T79" s="1" t="str">
        <f t="shared" si="19"/>
        <v/>
      </c>
      <c r="U79" s="1" t="str">
        <f t="shared" si="20"/>
        <v/>
      </c>
      <c r="V79" s="135" t="str">
        <f t="shared" si="21"/>
        <v/>
      </c>
      <c r="W79" s="135" t="str">
        <f t="shared" si="22"/>
        <v/>
      </c>
      <c r="X79" s="140"/>
      <c r="Y79" s="140"/>
      <c r="Z79" s="140"/>
      <c r="AA79" s="139"/>
    </row>
    <row r="80" spans="2:27" ht="15" customHeight="1" x14ac:dyDescent="0.25">
      <c r="B80" s="139"/>
      <c r="C80" s="138"/>
      <c r="D80" s="135" t="str">
        <f t="shared" si="14"/>
        <v/>
      </c>
      <c r="E80" s="140"/>
      <c r="F80" s="140"/>
      <c r="G80" s="140"/>
      <c r="H80" s="135" t="str">
        <f t="shared" si="15"/>
        <v/>
      </c>
      <c r="I80" s="140"/>
      <c r="J80" s="140"/>
      <c r="K80" s="140"/>
      <c r="L80" s="140"/>
      <c r="M80" s="140"/>
      <c r="N80" s="140"/>
      <c r="O80" s="135" t="str">
        <f t="shared" si="16"/>
        <v/>
      </c>
      <c r="P80" s="135" t="str">
        <f t="shared" si="17"/>
        <v/>
      </c>
      <c r="Q80" s="141"/>
      <c r="R80" s="140"/>
      <c r="S80" s="135" t="str">
        <f t="shared" si="18"/>
        <v/>
      </c>
      <c r="T80" s="1" t="str">
        <f t="shared" si="19"/>
        <v/>
      </c>
      <c r="U80" s="1" t="str">
        <f t="shared" si="20"/>
        <v/>
      </c>
      <c r="V80" s="135" t="str">
        <f t="shared" si="21"/>
        <v/>
      </c>
      <c r="W80" s="135" t="str">
        <f t="shared" si="22"/>
        <v/>
      </c>
      <c r="X80" s="140"/>
      <c r="Y80" s="140"/>
      <c r="Z80" s="140"/>
      <c r="AA80" s="139"/>
    </row>
    <row r="81" spans="1:27" ht="15" customHeight="1" x14ac:dyDescent="0.25">
      <c r="B81" s="139"/>
      <c r="C81" s="138"/>
      <c r="D81" s="135" t="str">
        <f t="shared" si="14"/>
        <v/>
      </c>
      <c r="E81" s="140"/>
      <c r="F81" s="140"/>
      <c r="G81" s="140"/>
      <c r="H81" s="135" t="str">
        <f t="shared" si="15"/>
        <v/>
      </c>
      <c r="I81" s="140"/>
      <c r="J81" s="140"/>
      <c r="K81" s="140"/>
      <c r="L81" s="140"/>
      <c r="M81" s="140"/>
      <c r="N81" s="140"/>
      <c r="O81" s="135" t="str">
        <f t="shared" si="16"/>
        <v/>
      </c>
      <c r="P81" s="135" t="str">
        <f t="shared" si="17"/>
        <v/>
      </c>
      <c r="Q81" s="141"/>
      <c r="R81" s="140"/>
      <c r="S81" s="135" t="str">
        <f t="shared" si="18"/>
        <v/>
      </c>
      <c r="T81" s="1" t="str">
        <f t="shared" si="19"/>
        <v/>
      </c>
      <c r="U81" s="1" t="str">
        <f t="shared" si="20"/>
        <v/>
      </c>
      <c r="V81" s="135" t="str">
        <f t="shared" si="21"/>
        <v/>
      </c>
      <c r="W81" s="135" t="str">
        <f t="shared" si="22"/>
        <v/>
      </c>
      <c r="X81" s="140"/>
      <c r="Y81" s="140"/>
      <c r="Z81" s="140"/>
      <c r="AA81" s="139"/>
    </row>
    <row r="82" spans="1:27" ht="15" customHeight="1" x14ac:dyDescent="0.25">
      <c r="B82" s="139"/>
      <c r="C82" s="138"/>
      <c r="D82" s="135" t="str">
        <f t="shared" si="14"/>
        <v/>
      </c>
      <c r="E82" s="140"/>
      <c r="F82" s="140"/>
      <c r="G82" s="140"/>
      <c r="H82" s="135" t="str">
        <f t="shared" si="15"/>
        <v/>
      </c>
      <c r="I82" s="140"/>
      <c r="J82" s="140"/>
      <c r="K82" s="140"/>
      <c r="L82" s="140"/>
      <c r="M82" s="140"/>
      <c r="N82" s="140"/>
      <c r="O82" s="135" t="str">
        <f t="shared" si="16"/>
        <v/>
      </c>
      <c r="P82" s="135" t="str">
        <f t="shared" si="17"/>
        <v/>
      </c>
      <c r="Q82" s="141"/>
      <c r="R82" s="140"/>
      <c r="S82" s="135" t="str">
        <f t="shared" si="18"/>
        <v/>
      </c>
      <c r="T82" s="1" t="str">
        <f t="shared" si="19"/>
        <v/>
      </c>
      <c r="U82" s="1" t="str">
        <f t="shared" si="20"/>
        <v/>
      </c>
      <c r="V82" s="135" t="str">
        <f t="shared" si="21"/>
        <v/>
      </c>
      <c r="W82" s="135" t="str">
        <f t="shared" si="22"/>
        <v/>
      </c>
      <c r="X82" s="140"/>
      <c r="Y82" s="140"/>
      <c r="Z82" s="140"/>
      <c r="AA82" s="139"/>
    </row>
    <row r="84" spans="1:27" s="136" customFormat="1" ht="15" customHeight="1" x14ac:dyDescent="0.25">
      <c r="A84" s="7">
        <f ca="1">TODAY()</f>
        <v>44214</v>
      </c>
      <c r="B84" s="136" t="s">
        <v>60</v>
      </c>
      <c r="C84" s="136" t="s">
        <v>67</v>
      </c>
      <c r="D84" s="136" t="s">
        <v>68</v>
      </c>
      <c r="E84" s="346" t="s">
        <v>95</v>
      </c>
      <c r="F84" s="346"/>
      <c r="G84" s="346" t="s">
        <v>101</v>
      </c>
      <c r="H84" s="346"/>
      <c r="I84" s="346"/>
      <c r="J84" s="346"/>
      <c r="K84" s="346"/>
      <c r="Q84" s="9"/>
    </row>
    <row r="85" spans="1:27" ht="30" customHeight="1" x14ac:dyDescent="0.25">
      <c r="B85" s="139"/>
      <c r="C85" s="138"/>
      <c r="D85" s="135" t="str">
        <f>IF(B85&lt;&gt;0,ROUNDDOWN(($A$84-C85)/365.25,0),"")</f>
        <v/>
      </c>
      <c r="E85" s="344"/>
      <c r="F85" s="344"/>
      <c r="G85" s="344"/>
      <c r="H85" s="344"/>
      <c r="I85" s="344"/>
      <c r="J85" s="344"/>
      <c r="K85" s="344"/>
    </row>
    <row r="86" spans="1:27" ht="30" customHeight="1" x14ac:dyDescent="0.25">
      <c r="B86" s="139"/>
      <c r="C86" s="138"/>
      <c r="D86" s="135" t="str">
        <f t="shared" ref="D86:D92" si="23">IF(B86&lt;&gt;0,ROUNDDOWN(($A$84-C86)/365.25,0),"")</f>
        <v/>
      </c>
      <c r="E86" s="344"/>
      <c r="F86" s="344"/>
      <c r="G86" s="344"/>
      <c r="H86" s="344"/>
      <c r="I86" s="344"/>
      <c r="J86" s="344"/>
      <c r="K86" s="344"/>
    </row>
    <row r="87" spans="1:27" ht="30" customHeight="1" x14ac:dyDescent="0.25">
      <c r="B87" s="139"/>
      <c r="C87" s="138"/>
      <c r="D87" s="135" t="str">
        <f t="shared" si="23"/>
        <v/>
      </c>
      <c r="E87" s="344"/>
      <c r="F87" s="344"/>
      <c r="G87" s="344"/>
      <c r="H87" s="344"/>
      <c r="I87" s="344"/>
      <c r="J87" s="344"/>
      <c r="K87" s="344"/>
    </row>
    <row r="88" spans="1:27" ht="30" customHeight="1" x14ac:dyDescent="0.25">
      <c r="B88" s="139"/>
      <c r="C88" s="138"/>
      <c r="D88" s="135" t="str">
        <f t="shared" si="23"/>
        <v/>
      </c>
      <c r="E88" s="344"/>
      <c r="F88" s="344"/>
      <c r="G88" s="344"/>
      <c r="H88" s="344"/>
      <c r="I88" s="344"/>
      <c r="J88" s="344"/>
      <c r="K88" s="344"/>
    </row>
    <row r="89" spans="1:27" ht="30" customHeight="1" x14ac:dyDescent="0.25">
      <c r="B89" s="139"/>
      <c r="C89" s="138"/>
      <c r="D89" s="135" t="str">
        <f t="shared" si="23"/>
        <v/>
      </c>
      <c r="E89" s="344"/>
      <c r="F89" s="344"/>
      <c r="G89" s="344"/>
      <c r="H89" s="344"/>
      <c r="I89" s="344"/>
      <c r="J89" s="344"/>
      <c r="K89" s="344"/>
    </row>
    <row r="90" spans="1:27" ht="30" customHeight="1" x14ac:dyDescent="0.25">
      <c r="B90" s="139"/>
      <c r="C90" s="139"/>
      <c r="D90" s="135" t="str">
        <f t="shared" si="23"/>
        <v/>
      </c>
      <c r="E90" s="344"/>
      <c r="F90" s="344"/>
      <c r="G90" s="344"/>
      <c r="H90" s="344"/>
      <c r="I90" s="344"/>
      <c r="J90" s="344"/>
      <c r="K90" s="344"/>
    </row>
    <row r="91" spans="1:27" ht="30" customHeight="1" x14ac:dyDescent="0.25">
      <c r="B91" s="139"/>
      <c r="C91" s="139"/>
      <c r="D91" s="135" t="str">
        <f t="shared" si="23"/>
        <v/>
      </c>
      <c r="E91" s="344"/>
      <c r="F91" s="344"/>
      <c r="G91" s="344"/>
      <c r="H91" s="344"/>
      <c r="I91" s="344"/>
      <c r="J91" s="344"/>
      <c r="K91" s="344"/>
    </row>
    <row r="92" spans="1:27" ht="30" customHeight="1" x14ac:dyDescent="0.25">
      <c r="B92" s="139"/>
      <c r="C92" s="139"/>
      <c r="D92" s="135" t="str">
        <f t="shared" si="23"/>
        <v/>
      </c>
      <c r="E92" s="344"/>
      <c r="F92" s="344"/>
      <c r="G92" s="344"/>
      <c r="H92" s="344"/>
      <c r="I92" s="344"/>
      <c r="J92" s="344"/>
      <c r="K92" s="344"/>
    </row>
  </sheetData>
  <sheetProtection algorithmName="SHA-512" hashValue="sJfAnUi1Icl9ceyojme7jo/0AfY05nPj8+AxOr4212LkVdjKyOrNKQx6A65GEZsHNGAtZsV+ot2fUMASk1i72w==" saltValue="EwVo5F4UpMtPAHJq4jwWRw==" spinCount="100000" sheet="1" objects="1" scenarios="1" selectLockedCells="1"/>
  <sortState ref="B48:Z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6" t="s">
        <v>36</v>
      </c>
      <c r="B1" s="1" t="s">
        <v>455</v>
      </c>
      <c r="C1" s="181">
        <v>42</v>
      </c>
      <c r="D1" s="347" t="str">
        <f t="shared" ref="D1:D30" si="0">IFERROR(RIGHT(B1,LEN(B1)-SEARCH(" ",B1)),"")</f>
        <v>Filip Langer</v>
      </c>
      <c r="E1" s="347"/>
      <c r="F1" s="135"/>
    </row>
    <row r="2" spans="1:6" x14ac:dyDescent="0.25">
      <c r="A2" s="346"/>
      <c r="B2" s="1" t="s">
        <v>456</v>
      </c>
      <c r="C2" s="181">
        <v>33</v>
      </c>
      <c r="D2" s="347" t="str">
        <f t="shared" si="0"/>
        <v>Ondřej Němeček</v>
      </c>
      <c r="E2" s="347"/>
      <c r="F2" s="135"/>
    </row>
    <row r="3" spans="1:6" x14ac:dyDescent="0.25">
      <c r="A3" s="346"/>
      <c r="B3" s="1" t="s">
        <v>690</v>
      </c>
      <c r="C3" s="181">
        <v>29</v>
      </c>
      <c r="D3" s="347" t="str">
        <f t="shared" si="0"/>
        <v>Matěj Havlas</v>
      </c>
      <c r="E3" s="347"/>
      <c r="F3" s="135"/>
    </row>
    <row r="4" spans="1:6" x14ac:dyDescent="0.25">
      <c r="A4" s="346"/>
      <c r="B4" s="1" t="s">
        <v>465</v>
      </c>
      <c r="C4" s="181">
        <v>27</v>
      </c>
      <c r="D4" s="347" t="str">
        <f t="shared" si="0"/>
        <v>Milan Meliš</v>
      </c>
      <c r="E4" s="347"/>
      <c r="F4" s="135"/>
    </row>
    <row r="5" spans="1:6" x14ac:dyDescent="0.25">
      <c r="A5" s="346"/>
      <c r="B5" s="1" t="s">
        <v>691</v>
      </c>
      <c r="C5" s="181">
        <v>26</v>
      </c>
      <c r="D5" s="347" t="str">
        <f t="shared" si="0"/>
        <v>Martin Šindelář</v>
      </c>
      <c r="E5" s="347"/>
      <c r="F5" s="135"/>
    </row>
    <row r="6" spans="1:6" x14ac:dyDescent="0.25">
      <c r="A6" s="346" t="s">
        <v>244</v>
      </c>
      <c r="B6" s="1" t="s">
        <v>457</v>
      </c>
      <c r="C6" s="181" t="s">
        <v>574</v>
      </c>
      <c r="D6" s="347" t="str">
        <f t="shared" si="0"/>
        <v>Lukáš Kříž</v>
      </c>
      <c r="E6" s="347"/>
      <c r="F6" s="135">
        <f t="shared" ref="F6:F10" si="1">IF(B6&lt;&gt;0,_xlfn.NUMBERVALUE(C6,","),"")</f>
        <v>4.33</v>
      </c>
    </row>
    <row r="7" spans="1:6" x14ac:dyDescent="0.25">
      <c r="A7" s="346"/>
      <c r="B7" s="1" t="s">
        <v>458</v>
      </c>
      <c r="C7" s="181" t="s">
        <v>459</v>
      </c>
      <c r="D7" s="347" t="str">
        <f t="shared" si="0"/>
        <v>Tomáš Jurco</v>
      </c>
      <c r="E7" s="347"/>
      <c r="F7" s="135">
        <f t="shared" si="1"/>
        <v>5.88</v>
      </c>
    </row>
    <row r="8" spans="1:6" x14ac:dyDescent="0.25">
      <c r="A8" s="346"/>
      <c r="B8" s="1" t="s">
        <v>460</v>
      </c>
      <c r="C8" s="181" t="s">
        <v>692</v>
      </c>
      <c r="D8" s="347" t="str">
        <f t="shared" si="0"/>
        <v>Martin Frühbauer</v>
      </c>
      <c r="E8" s="347"/>
      <c r="F8" s="135">
        <f t="shared" si="1"/>
        <v>6.72</v>
      </c>
    </row>
    <row r="9" spans="1:6" x14ac:dyDescent="0.25">
      <c r="A9" s="346"/>
      <c r="B9" s="1"/>
      <c r="C9" s="181"/>
      <c r="D9" s="347" t="str">
        <f t="shared" si="0"/>
        <v/>
      </c>
      <c r="E9" s="347"/>
      <c r="F9" s="135" t="str">
        <f t="shared" si="1"/>
        <v/>
      </c>
    </row>
    <row r="10" spans="1:6" x14ac:dyDescent="0.25">
      <c r="A10" s="346"/>
      <c r="B10" s="1"/>
      <c r="C10" s="181"/>
      <c r="D10" s="347" t="str">
        <f t="shared" si="0"/>
        <v/>
      </c>
      <c r="E10" s="347"/>
      <c r="F10" s="135" t="str">
        <f t="shared" si="1"/>
        <v/>
      </c>
    </row>
    <row r="11" spans="1:6" x14ac:dyDescent="0.25">
      <c r="A11" s="346" t="s">
        <v>35</v>
      </c>
      <c r="B11" s="1" t="s">
        <v>455</v>
      </c>
      <c r="C11" s="181">
        <v>22</v>
      </c>
      <c r="D11" s="347" t="str">
        <f t="shared" si="0"/>
        <v>Filip Langer</v>
      </c>
      <c r="E11" s="347"/>
      <c r="F11" s="135"/>
    </row>
    <row r="12" spans="1:6" x14ac:dyDescent="0.25">
      <c r="A12" s="346"/>
      <c r="B12" s="1" t="s">
        <v>461</v>
      </c>
      <c r="C12" s="181">
        <v>16</v>
      </c>
      <c r="D12" s="347" t="str">
        <f t="shared" si="0"/>
        <v>Matěj Havlas</v>
      </c>
      <c r="E12" s="347"/>
      <c r="F12" s="135"/>
    </row>
    <row r="13" spans="1:6" x14ac:dyDescent="0.25">
      <c r="A13" s="346"/>
      <c r="B13" s="1" t="s">
        <v>693</v>
      </c>
      <c r="C13" s="181">
        <v>16</v>
      </c>
      <c r="D13" s="347" t="str">
        <f t="shared" si="0"/>
        <v>Petr Brautferger</v>
      </c>
      <c r="E13" s="347"/>
      <c r="F13" s="135"/>
    </row>
    <row r="14" spans="1:6" x14ac:dyDescent="0.25">
      <c r="A14" s="346"/>
      <c r="B14" s="1" t="s">
        <v>465</v>
      </c>
      <c r="C14" s="181">
        <v>14</v>
      </c>
      <c r="D14" s="347" t="str">
        <f t="shared" si="0"/>
        <v>Milan Meliš</v>
      </c>
      <c r="E14" s="347"/>
      <c r="F14" s="135"/>
    </row>
    <row r="15" spans="1:6" x14ac:dyDescent="0.25">
      <c r="A15" s="346"/>
      <c r="B15" s="1" t="s">
        <v>691</v>
      </c>
      <c r="C15" s="181">
        <v>12</v>
      </c>
      <c r="D15" s="347" t="str">
        <f t="shared" si="0"/>
        <v>Martin Šindelář</v>
      </c>
      <c r="E15" s="347"/>
      <c r="F15" s="135"/>
    </row>
    <row r="16" spans="1:6" x14ac:dyDescent="0.25">
      <c r="A16" s="346" t="s">
        <v>231</v>
      </c>
      <c r="B16" s="1" t="s">
        <v>457</v>
      </c>
      <c r="C16" s="181">
        <v>10</v>
      </c>
      <c r="D16" s="347" t="str">
        <f t="shared" si="0"/>
        <v>Lukáš Kříž</v>
      </c>
      <c r="E16" s="347"/>
      <c r="F16" s="135">
        <f t="shared" ref="F16:F20" si="2">IF(B16&lt;&gt;0,_xlfn.NUMBERVALUE(C16,","),"")</f>
        <v>10</v>
      </c>
    </row>
    <row r="17" spans="1:6" x14ac:dyDescent="0.25">
      <c r="A17" s="346"/>
      <c r="B17" s="1" t="s">
        <v>694</v>
      </c>
      <c r="C17" s="181">
        <v>2</v>
      </c>
      <c r="D17" s="347" t="str">
        <f t="shared" si="0"/>
        <v>Martin Frühbauer</v>
      </c>
      <c r="E17" s="347"/>
      <c r="F17" s="135">
        <f t="shared" si="2"/>
        <v>2</v>
      </c>
    </row>
    <row r="18" spans="1:6" x14ac:dyDescent="0.25">
      <c r="A18" s="346"/>
      <c r="B18" s="1" t="s">
        <v>695</v>
      </c>
      <c r="C18" s="181">
        <v>2</v>
      </c>
      <c r="D18" s="347" t="str">
        <f t="shared" si="0"/>
        <v>Tomáš Jurco</v>
      </c>
      <c r="E18" s="347"/>
      <c r="F18" s="135">
        <f t="shared" si="2"/>
        <v>2</v>
      </c>
    </row>
    <row r="19" spans="1:6" x14ac:dyDescent="0.25">
      <c r="A19" s="346"/>
      <c r="B19" s="1"/>
      <c r="C19" s="181"/>
      <c r="D19" s="347" t="str">
        <f t="shared" si="0"/>
        <v/>
      </c>
      <c r="E19" s="347"/>
      <c r="F19" s="135" t="str">
        <f t="shared" si="2"/>
        <v/>
      </c>
    </row>
    <row r="20" spans="1:6" x14ac:dyDescent="0.25">
      <c r="A20" s="346"/>
      <c r="B20" s="1"/>
      <c r="C20" s="181"/>
      <c r="D20" s="347" t="str">
        <f t="shared" si="0"/>
        <v/>
      </c>
      <c r="E20" s="347"/>
      <c r="F20" s="135" t="str">
        <f t="shared" si="2"/>
        <v/>
      </c>
    </row>
    <row r="21" spans="1:6" x14ac:dyDescent="0.25">
      <c r="A21" s="346" t="s">
        <v>37</v>
      </c>
      <c r="B21" s="1" t="s">
        <v>462</v>
      </c>
      <c r="C21" s="181">
        <v>21</v>
      </c>
      <c r="D21" s="347" t="str">
        <f>IFERROR(RIGHT(B21,LEN(B21)-SEARCH(" ",B21)),"")</f>
        <v>Ondřej Němeček</v>
      </c>
      <c r="E21" s="347"/>
      <c r="F21" s="135"/>
    </row>
    <row r="22" spans="1:6" x14ac:dyDescent="0.25">
      <c r="A22" s="346"/>
      <c r="B22" s="1" t="s">
        <v>463</v>
      </c>
      <c r="C22" s="181">
        <v>20</v>
      </c>
      <c r="D22" s="347" t="str">
        <f>IFERROR(RIGHT(B22,LEN(B22)-SEARCH(" ",B22)),"")</f>
        <v>Filip Langer</v>
      </c>
      <c r="E22" s="347"/>
      <c r="F22" s="135"/>
    </row>
    <row r="23" spans="1:6" x14ac:dyDescent="0.25">
      <c r="A23" s="346"/>
      <c r="B23" s="1" t="s">
        <v>464</v>
      </c>
      <c r="C23" s="181">
        <v>14</v>
      </c>
      <c r="D23" s="347" t="str">
        <f>IFERROR(RIGHT(B23,LEN(B23)-SEARCH(" ",B23)),"")</f>
        <v>Martin Šindelář</v>
      </c>
      <c r="E23" s="347"/>
      <c r="F23" s="135"/>
    </row>
    <row r="24" spans="1:6" x14ac:dyDescent="0.25">
      <c r="A24" s="346"/>
      <c r="B24" s="1" t="s">
        <v>696</v>
      </c>
      <c r="C24" s="181">
        <v>13</v>
      </c>
      <c r="D24" s="347" t="str">
        <f>IFERROR(RIGHT(B24,LEN(B24)-SEARCH(" ",B24)),"")</f>
        <v>Matěj Havlas</v>
      </c>
      <c r="E24" s="347"/>
      <c r="F24" s="135"/>
    </row>
    <row r="25" spans="1:6" x14ac:dyDescent="0.25">
      <c r="A25" s="346"/>
      <c r="B25" s="1" t="s">
        <v>697</v>
      </c>
      <c r="C25" s="181">
        <v>13</v>
      </c>
      <c r="D25" s="347" t="str">
        <f>IFERROR(RIGHT(B25,LEN(B25)-SEARCH(" ",B25)),"")</f>
        <v>Milan Meliš</v>
      </c>
      <c r="E25" s="347"/>
      <c r="F25" s="135"/>
    </row>
    <row r="26" spans="1:6" x14ac:dyDescent="0.25">
      <c r="A26" s="346" t="s">
        <v>38</v>
      </c>
      <c r="B26" s="1" t="s">
        <v>466</v>
      </c>
      <c r="C26" s="181">
        <v>14</v>
      </c>
      <c r="D26" s="347" t="str">
        <f t="shared" si="0"/>
        <v>Petr Novotný</v>
      </c>
      <c r="E26" s="347"/>
      <c r="F26" s="135"/>
    </row>
    <row r="27" spans="1:6" x14ac:dyDescent="0.25">
      <c r="A27" s="346"/>
      <c r="B27" s="1" t="s">
        <v>463</v>
      </c>
      <c r="C27" s="181">
        <v>8</v>
      </c>
      <c r="D27" s="347" t="str">
        <f t="shared" si="0"/>
        <v>Filip Langer</v>
      </c>
      <c r="E27" s="347"/>
      <c r="F27" s="135"/>
    </row>
    <row r="28" spans="1:6" x14ac:dyDescent="0.25">
      <c r="A28" s="346"/>
      <c r="B28" s="1" t="s">
        <v>464</v>
      </c>
      <c r="C28" s="181">
        <v>6</v>
      </c>
      <c r="D28" s="347" t="str">
        <f t="shared" si="0"/>
        <v>Martin Šindelář</v>
      </c>
      <c r="E28" s="347"/>
      <c r="F28" s="135"/>
    </row>
    <row r="29" spans="1:6" x14ac:dyDescent="0.25">
      <c r="A29" s="346"/>
      <c r="B29" s="1" t="s">
        <v>467</v>
      </c>
      <c r="C29" s="181">
        <v>6</v>
      </c>
      <c r="D29" s="347" t="str">
        <f t="shared" si="0"/>
        <v>Pavel Sládeček</v>
      </c>
      <c r="E29" s="347"/>
      <c r="F29" s="135"/>
    </row>
    <row r="30" spans="1:6" x14ac:dyDescent="0.25">
      <c r="A30" s="346"/>
      <c r="B30" s="1" t="s">
        <v>468</v>
      </c>
      <c r="C30" s="181">
        <v>6</v>
      </c>
      <c r="D30" s="347" t="str">
        <f t="shared" si="0"/>
        <v>Petr Brautferger</v>
      </c>
      <c r="E30" s="347"/>
      <c r="F30" s="135"/>
    </row>
    <row r="31" spans="1:6" x14ac:dyDescent="0.25">
      <c r="A31" s="346" t="s">
        <v>339</v>
      </c>
      <c r="B31" s="122" t="s">
        <v>713</v>
      </c>
      <c r="C31" s="122" t="s">
        <v>154</v>
      </c>
      <c r="D31" s="122" t="s">
        <v>715</v>
      </c>
      <c r="E31" s="179" t="str">
        <f>IFERROR(RIGHT(LEFT(D31,LEN(D31)-1),LEN(D31)-2),"")</f>
        <v>10:4</v>
      </c>
    </row>
    <row r="32" spans="1:6" x14ac:dyDescent="0.25">
      <c r="A32" s="346"/>
      <c r="B32" s="122" t="s">
        <v>394</v>
      </c>
      <c r="C32" s="122" t="s">
        <v>142</v>
      </c>
      <c r="D32" s="122" t="s">
        <v>469</v>
      </c>
      <c r="E32" s="179" t="str">
        <f t="shared" ref="E32:E40" si="3">IFERROR(RIGHT(LEFT(D32,LEN(D32)-1),LEN(D32)-2),"")</f>
        <v>3:8</v>
      </c>
    </row>
    <row r="33" spans="1:5" x14ac:dyDescent="0.25">
      <c r="A33" s="346"/>
      <c r="B33" s="122" t="s">
        <v>343</v>
      </c>
      <c r="C33" s="122" t="s">
        <v>149</v>
      </c>
      <c r="D33" s="122" t="s">
        <v>470</v>
      </c>
      <c r="E33" s="179" t="str">
        <f t="shared" si="3"/>
        <v>6:9</v>
      </c>
    </row>
    <row r="34" spans="1:5" x14ac:dyDescent="0.25">
      <c r="A34" s="346"/>
      <c r="B34" s="122" t="s">
        <v>345</v>
      </c>
      <c r="C34" s="122" t="s">
        <v>146</v>
      </c>
      <c r="D34" s="122" t="s">
        <v>471</v>
      </c>
      <c r="E34" s="179" t="str">
        <f t="shared" si="3"/>
        <v>6:8</v>
      </c>
    </row>
    <row r="35" spans="1:5" x14ac:dyDescent="0.25">
      <c r="A35" s="346"/>
      <c r="B35" s="122" t="s">
        <v>346</v>
      </c>
      <c r="C35" s="122" t="s">
        <v>152</v>
      </c>
      <c r="D35" s="122" t="s">
        <v>472</v>
      </c>
      <c r="E35" s="179" t="str">
        <f t="shared" si="3"/>
        <v>6:4</v>
      </c>
    </row>
    <row r="36" spans="1:5" x14ac:dyDescent="0.25">
      <c r="A36" s="346" t="s">
        <v>340</v>
      </c>
      <c r="B36" s="122" t="s">
        <v>371</v>
      </c>
      <c r="C36" s="122" t="s">
        <v>145</v>
      </c>
      <c r="D36" s="122" t="s">
        <v>353</v>
      </c>
      <c r="E36" s="179" t="str">
        <f t="shared" si="3"/>
        <v>-:-</v>
      </c>
    </row>
    <row r="37" spans="1:5" x14ac:dyDescent="0.25">
      <c r="A37" s="346"/>
      <c r="B37" s="122" t="s">
        <v>372</v>
      </c>
      <c r="C37" s="122" t="s">
        <v>147</v>
      </c>
      <c r="D37" s="122" t="s">
        <v>353</v>
      </c>
      <c r="E37" s="179" t="str">
        <f t="shared" si="3"/>
        <v>-:-</v>
      </c>
    </row>
    <row r="38" spans="1:5" x14ac:dyDescent="0.25">
      <c r="A38" s="346"/>
      <c r="B38" s="122" t="s">
        <v>473</v>
      </c>
      <c r="C38" s="122" t="s">
        <v>144</v>
      </c>
      <c r="D38" s="122" t="s">
        <v>353</v>
      </c>
      <c r="E38" s="179" t="str">
        <f t="shared" si="3"/>
        <v>-:-</v>
      </c>
    </row>
    <row r="39" spans="1:5" x14ac:dyDescent="0.25">
      <c r="A39" s="346"/>
      <c r="B39" s="122" t="s">
        <v>689</v>
      </c>
      <c r="C39" s="122" t="s">
        <v>146</v>
      </c>
      <c r="D39" s="122" t="s">
        <v>353</v>
      </c>
      <c r="E39" s="179" t="str">
        <f t="shared" si="3"/>
        <v>-:-</v>
      </c>
    </row>
    <row r="40" spans="1:5" x14ac:dyDescent="0.25">
      <c r="A40" s="346"/>
      <c r="B40" s="122" t="s">
        <v>678</v>
      </c>
      <c r="C40" s="122" t="s">
        <v>153</v>
      </c>
      <c r="D40" s="122" t="s">
        <v>353</v>
      </c>
      <c r="E40" s="179" t="str">
        <f t="shared" si="3"/>
        <v>-:-</v>
      </c>
    </row>
    <row r="41" spans="1:5" x14ac:dyDescent="0.25">
      <c r="A41" s="136" t="s">
        <v>341</v>
      </c>
      <c r="B41" t="s">
        <v>716</v>
      </c>
    </row>
  </sheetData>
  <sheetProtection algorithmName="SHA-512" hashValue="XufwSKn0lwhTFX3ZhIQJ9p+zl0IkbvGtcKP4XAAjFW9UK3E/f5QGaR6FU2cKHvb+dI/IloRInDw3A/R3Orvbwg==" saltValue="DFm6EA0cYSi/Osb/TnfDl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43" zoomScaleNormal="100" workbookViewId="0">
      <selection activeCell="Q69" sqref="Q69"/>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2" customWidth="1"/>
    <col min="15" max="15" width="22" style="152" bestFit="1" customWidth="1"/>
    <col min="16" max="16" width="9.140625" style="152" customWidth="1"/>
    <col min="17" max="17" width="23.140625" style="154" customWidth="1"/>
    <col min="18" max="18" width="9.140625" style="1" customWidth="1"/>
    <col min="19" max="19" width="12.5703125" style="152" bestFit="1" customWidth="1"/>
    <col min="20" max="20" width="11.85546875" style="1" bestFit="1" customWidth="1"/>
    <col min="21" max="23" width="9.140625" style="1"/>
    <col min="24" max="26" width="10.28515625" style="152" customWidth="1"/>
    <col min="27" max="27" width="10.28515625" style="1" customWidth="1"/>
    <col min="28" max="16384" width="9.140625" style="1"/>
  </cols>
  <sheetData>
    <row r="1" spans="1:26" s="153" customFormat="1" ht="15" customHeight="1" x14ac:dyDescent="0.25">
      <c r="A1" s="8" t="s">
        <v>59</v>
      </c>
      <c r="B1" s="153" t="s">
        <v>60</v>
      </c>
      <c r="D1" s="153" t="s">
        <v>61</v>
      </c>
      <c r="E1" s="153" t="s">
        <v>62</v>
      </c>
      <c r="F1" s="153" t="s">
        <v>35</v>
      </c>
      <c r="G1" s="153" t="s">
        <v>63</v>
      </c>
      <c r="H1" s="153" t="s">
        <v>64</v>
      </c>
      <c r="I1" s="153" t="s">
        <v>37</v>
      </c>
      <c r="J1" s="153" t="s">
        <v>36</v>
      </c>
      <c r="K1" s="153" t="s">
        <v>38</v>
      </c>
      <c r="L1" s="153" t="s">
        <v>65</v>
      </c>
      <c r="M1" s="153" t="s">
        <v>30</v>
      </c>
      <c r="N1" s="3" t="s">
        <v>66</v>
      </c>
      <c r="O1" s="153" t="s">
        <v>81</v>
      </c>
      <c r="P1" s="153" t="s">
        <v>531</v>
      </c>
      <c r="Q1" s="115" t="s">
        <v>48</v>
      </c>
    </row>
    <row r="2" spans="1:26" s="4" customFormat="1" x14ac:dyDescent="0.25">
      <c r="A2" s="53">
        <v>1</v>
      </c>
      <c r="B2" s="4" t="s">
        <v>478</v>
      </c>
      <c r="D2" s="5" t="s">
        <v>52</v>
      </c>
      <c r="E2" s="5">
        <v>17</v>
      </c>
      <c r="F2" s="5">
        <v>9</v>
      </c>
      <c r="G2" s="5">
        <v>3</v>
      </c>
      <c r="H2" s="5">
        <v>0</v>
      </c>
      <c r="I2" s="5">
        <v>7</v>
      </c>
      <c r="J2" s="5">
        <v>16</v>
      </c>
      <c r="K2" s="5">
        <v>8</v>
      </c>
      <c r="L2" s="5">
        <v>16</v>
      </c>
      <c r="M2" s="5">
        <v>35</v>
      </c>
      <c r="N2" s="5">
        <v>-19</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16 (9+7), -19 ±</v>
      </c>
      <c r="P2" s="5" t="str">
        <f>IF(B2&lt;&gt;0,IF(VLOOKUP(B2,$B$48:$B$82,1,FALSE)=B2,"ANO","NE"),"")</f>
        <v>ANO</v>
      </c>
      <c r="Q2" s="143" t="s">
        <v>720</v>
      </c>
      <c r="S2" s="5"/>
      <c r="X2" s="5"/>
      <c r="Y2" s="5"/>
      <c r="Z2" s="5"/>
    </row>
    <row r="3" spans="1:26" s="4" customFormat="1" x14ac:dyDescent="0.25">
      <c r="A3" s="53">
        <v>2</v>
      </c>
      <c r="B3" s="4" t="s">
        <v>479</v>
      </c>
      <c r="D3" s="5"/>
      <c r="E3" s="5">
        <v>17</v>
      </c>
      <c r="F3" s="5">
        <v>6</v>
      </c>
      <c r="G3" s="5">
        <v>0</v>
      </c>
      <c r="H3" s="5">
        <v>1</v>
      </c>
      <c r="I3" s="5">
        <v>9</v>
      </c>
      <c r="J3" s="5">
        <v>15</v>
      </c>
      <c r="K3" s="5">
        <v>4</v>
      </c>
      <c r="L3" s="5">
        <v>22</v>
      </c>
      <c r="M3" s="5">
        <v>37</v>
      </c>
      <c r="N3" s="5">
        <v>-15</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15 (6+9), -15 ±</v>
      </c>
      <c r="P3" s="5" t="str">
        <f t="shared" ref="P3:P36" si="1">IF(B3&lt;&gt;0,IF(VLOOKUP(B3,$B$48:$B$82,1,FALSE)=B3,"ANO","NE"),"")</f>
        <v>ANO</v>
      </c>
      <c r="Q3" s="143" t="s">
        <v>721</v>
      </c>
      <c r="S3" s="5"/>
      <c r="X3" s="5"/>
      <c r="Y3" s="5"/>
      <c r="Z3" s="5"/>
    </row>
    <row r="4" spans="1:26" s="4" customFormat="1" x14ac:dyDescent="0.25">
      <c r="A4" s="53">
        <v>3</v>
      </c>
      <c r="B4" s="4" t="s">
        <v>480</v>
      </c>
      <c r="D4" s="5" t="s">
        <v>52</v>
      </c>
      <c r="E4" s="5">
        <v>15</v>
      </c>
      <c r="F4" s="5">
        <v>9</v>
      </c>
      <c r="G4" s="5">
        <v>0</v>
      </c>
      <c r="H4" s="5">
        <v>0</v>
      </c>
      <c r="I4" s="5">
        <v>3</v>
      </c>
      <c r="J4" s="5">
        <v>12</v>
      </c>
      <c r="K4" s="5">
        <v>4</v>
      </c>
      <c r="L4" s="5">
        <v>19</v>
      </c>
      <c r="M4" s="5">
        <v>31</v>
      </c>
      <c r="N4" s="5">
        <v>-12</v>
      </c>
      <c r="O4" s="162" t="str">
        <f t="shared" si="0"/>
        <v>15 OZ , 12 (9+3), -12 ±</v>
      </c>
      <c r="P4" s="5" t="str">
        <f t="shared" si="1"/>
        <v>ANO</v>
      </c>
      <c r="Q4" s="143" t="s">
        <v>722</v>
      </c>
      <c r="S4" s="5"/>
      <c r="X4" s="5"/>
      <c r="Y4" s="5"/>
      <c r="Z4" s="5"/>
    </row>
    <row r="5" spans="1:26" s="4" customFormat="1" x14ac:dyDescent="0.25">
      <c r="A5" s="53">
        <v>4</v>
      </c>
      <c r="B5" s="4" t="s">
        <v>481</v>
      </c>
      <c r="D5" s="5" t="s">
        <v>52</v>
      </c>
      <c r="E5" s="5">
        <v>14</v>
      </c>
      <c r="F5" s="5">
        <v>6</v>
      </c>
      <c r="G5" s="5">
        <v>2</v>
      </c>
      <c r="H5" s="5">
        <v>0</v>
      </c>
      <c r="I5" s="5">
        <v>4</v>
      </c>
      <c r="J5" s="5">
        <v>10</v>
      </c>
      <c r="K5" s="5">
        <v>2</v>
      </c>
      <c r="L5" s="5">
        <v>15</v>
      </c>
      <c r="M5" s="5">
        <v>26</v>
      </c>
      <c r="N5" s="5">
        <v>-11</v>
      </c>
      <c r="O5" s="162" t="str">
        <f t="shared" si="0"/>
        <v>14 OZ , 10 (6+4), -11 ±</v>
      </c>
      <c r="P5" s="5" t="str">
        <f t="shared" si="1"/>
        <v>ANO</v>
      </c>
      <c r="Q5" s="143" t="s">
        <v>723</v>
      </c>
      <c r="S5" s="5"/>
      <c r="X5" s="5"/>
      <c r="Y5" s="5"/>
      <c r="Z5" s="5"/>
    </row>
    <row r="6" spans="1:26" x14ac:dyDescent="0.25">
      <c r="A6" s="54">
        <v>5</v>
      </c>
      <c r="B6" s="1" t="s">
        <v>483</v>
      </c>
      <c r="D6" s="181"/>
      <c r="E6" s="181">
        <v>14</v>
      </c>
      <c r="F6" s="181">
        <v>8</v>
      </c>
      <c r="G6" s="181">
        <v>0</v>
      </c>
      <c r="H6" s="181">
        <v>0</v>
      </c>
      <c r="I6" s="181">
        <v>1</v>
      </c>
      <c r="J6" s="181">
        <v>9</v>
      </c>
      <c r="K6" s="181">
        <v>2</v>
      </c>
      <c r="L6" s="181">
        <v>7</v>
      </c>
      <c r="M6" s="181">
        <v>16</v>
      </c>
      <c r="N6" s="181">
        <v>-9</v>
      </c>
      <c r="O6" s="162" t="str">
        <f t="shared" si="0"/>
        <v>14 OZ , 9 (8+1), -9 ±</v>
      </c>
      <c r="P6" s="5" t="str">
        <f t="shared" si="1"/>
        <v>ANO</v>
      </c>
    </row>
    <row r="7" spans="1:26" x14ac:dyDescent="0.25">
      <c r="A7" s="54">
        <v>6</v>
      </c>
      <c r="B7" s="1" t="s">
        <v>482</v>
      </c>
      <c r="D7" s="181" t="s">
        <v>49</v>
      </c>
      <c r="E7" s="181">
        <v>17</v>
      </c>
      <c r="F7" s="181">
        <v>4</v>
      </c>
      <c r="G7" s="181">
        <v>0</v>
      </c>
      <c r="H7" s="181">
        <v>0</v>
      </c>
      <c r="I7" s="181">
        <v>5</v>
      </c>
      <c r="J7" s="181">
        <v>9</v>
      </c>
      <c r="K7" s="181">
        <v>10</v>
      </c>
      <c r="L7" s="181">
        <v>20</v>
      </c>
      <c r="M7" s="181">
        <v>25</v>
      </c>
      <c r="N7" s="181">
        <v>-5</v>
      </c>
      <c r="O7" s="162" t="str">
        <f t="shared" si="0"/>
        <v>17 OZ , 9 (4+5), -5 ±</v>
      </c>
      <c r="P7" s="5" t="str">
        <f t="shared" si="1"/>
        <v>ANO</v>
      </c>
    </row>
    <row r="8" spans="1:26" x14ac:dyDescent="0.25">
      <c r="A8" s="54">
        <v>7</v>
      </c>
      <c r="B8" s="1" t="s">
        <v>485</v>
      </c>
      <c r="D8" s="181" t="s">
        <v>52</v>
      </c>
      <c r="E8" s="181">
        <v>17</v>
      </c>
      <c r="F8" s="181">
        <v>5</v>
      </c>
      <c r="G8" s="181">
        <v>1</v>
      </c>
      <c r="H8" s="181">
        <v>0</v>
      </c>
      <c r="I8" s="181">
        <v>3</v>
      </c>
      <c r="J8" s="181">
        <v>8</v>
      </c>
      <c r="K8" s="181">
        <v>0</v>
      </c>
      <c r="L8" s="181">
        <v>14</v>
      </c>
      <c r="M8" s="181">
        <v>39</v>
      </c>
      <c r="N8" s="181">
        <v>-25</v>
      </c>
      <c r="O8" s="162" t="str">
        <f t="shared" si="0"/>
        <v>17 OZ , 8 (5+3), -25 ±</v>
      </c>
      <c r="P8" s="5" t="str">
        <f t="shared" si="1"/>
        <v>ANO</v>
      </c>
    </row>
    <row r="9" spans="1:26" x14ac:dyDescent="0.25">
      <c r="A9" s="54">
        <v>8</v>
      </c>
      <c r="B9" s="1" t="s">
        <v>486</v>
      </c>
      <c r="D9" s="181" t="s">
        <v>52</v>
      </c>
      <c r="E9" s="181">
        <v>13</v>
      </c>
      <c r="F9" s="181">
        <v>4</v>
      </c>
      <c r="G9" s="181">
        <v>0</v>
      </c>
      <c r="H9" s="181">
        <v>0</v>
      </c>
      <c r="I9" s="181">
        <v>4</v>
      </c>
      <c r="J9" s="181">
        <v>8</v>
      </c>
      <c r="K9" s="181">
        <v>4</v>
      </c>
      <c r="L9" s="181">
        <v>16</v>
      </c>
      <c r="M9" s="181">
        <v>24</v>
      </c>
      <c r="N9" s="181">
        <v>-8</v>
      </c>
      <c r="O9" s="162" t="str">
        <f t="shared" si="0"/>
        <v>13 OZ , 8 (4+4), -8 ±</v>
      </c>
      <c r="P9" s="5" t="str">
        <f t="shared" si="1"/>
        <v>ANO</v>
      </c>
    </row>
    <row r="10" spans="1:26" x14ac:dyDescent="0.25">
      <c r="A10" s="54">
        <v>9</v>
      </c>
      <c r="B10" s="1" t="s">
        <v>484</v>
      </c>
      <c r="D10" s="181" t="s">
        <v>49</v>
      </c>
      <c r="E10" s="181">
        <v>12</v>
      </c>
      <c r="F10" s="181">
        <v>4</v>
      </c>
      <c r="G10" s="181">
        <v>0</v>
      </c>
      <c r="H10" s="181">
        <v>0</v>
      </c>
      <c r="I10" s="181">
        <v>2</v>
      </c>
      <c r="J10" s="181">
        <v>6</v>
      </c>
      <c r="K10" s="181">
        <v>8</v>
      </c>
      <c r="L10" s="181">
        <v>15</v>
      </c>
      <c r="M10" s="181">
        <v>28</v>
      </c>
      <c r="N10" s="181">
        <v>-13</v>
      </c>
      <c r="O10" s="162" t="str">
        <f t="shared" si="0"/>
        <v>12 OZ , 6 (4+2), -13 ±</v>
      </c>
      <c r="P10" s="5" t="str">
        <f t="shared" si="1"/>
        <v>ANO</v>
      </c>
    </row>
    <row r="11" spans="1:26" x14ac:dyDescent="0.25">
      <c r="A11" s="54">
        <v>10</v>
      </c>
      <c r="B11" s="1" t="s">
        <v>487</v>
      </c>
      <c r="D11" s="181" t="s">
        <v>52</v>
      </c>
      <c r="E11" s="181">
        <v>8</v>
      </c>
      <c r="F11" s="181">
        <v>2</v>
      </c>
      <c r="G11" s="181">
        <v>0</v>
      </c>
      <c r="H11" s="181">
        <v>0</v>
      </c>
      <c r="I11" s="181">
        <v>3</v>
      </c>
      <c r="J11" s="181">
        <v>5</v>
      </c>
      <c r="K11" s="181">
        <v>0</v>
      </c>
      <c r="L11" s="181">
        <v>13</v>
      </c>
      <c r="M11" s="181">
        <v>12</v>
      </c>
      <c r="N11" s="181">
        <v>1</v>
      </c>
      <c r="O11" s="162" t="str">
        <f t="shared" si="0"/>
        <v>8 OZ , 5 (2+3), +1 ±</v>
      </c>
      <c r="P11" s="5" t="str">
        <f t="shared" si="1"/>
        <v>ANO</v>
      </c>
    </row>
    <row r="12" spans="1:26" x14ac:dyDescent="0.25">
      <c r="A12" s="54">
        <v>11</v>
      </c>
      <c r="B12" s="1" t="s">
        <v>488</v>
      </c>
      <c r="D12" s="181" t="s">
        <v>49</v>
      </c>
      <c r="E12" s="181">
        <v>14</v>
      </c>
      <c r="F12" s="181">
        <v>2</v>
      </c>
      <c r="G12" s="181">
        <v>0</v>
      </c>
      <c r="H12" s="181">
        <v>0</v>
      </c>
      <c r="I12" s="181">
        <v>3</v>
      </c>
      <c r="J12" s="181">
        <v>5</v>
      </c>
      <c r="K12" s="181">
        <v>4</v>
      </c>
      <c r="L12" s="181">
        <v>22</v>
      </c>
      <c r="M12" s="181">
        <v>27</v>
      </c>
      <c r="N12" s="181">
        <v>-5</v>
      </c>
      <c r="O12" s="162" t="str">
        <f t="shared" si="0"/>
        <v>14 OZ , 5 (2+3), -5 ±</v>
      </c>
      <c r="P12" s="5" t="str">
        <f t="shared" si="1"/>
        <v>ANO</v>
      </c>
    </row>
    <row r="13" spans="1:26" x14ac:dyDescent="0.25">
      <c r="A13" s="54">
        <v>12</v>
      </c>
      <c r="B13" s="1" t="s">
        <v>489</v>
      </c>
      <c r="D13" s="181" t="s">
        <v>49</v>
      </c>
      <c r="E13" s="181">
        <v>11</v>
      </c>
      <c r="F13" s="181">
        <v>1</v>
      </c>
      <c r="G13" s="181">
        <v>1</v>
      </c>
      <c r="H13" s="181">
        <v>0</v>
      </c>
      <c r="I13" s="181">
        <v>4</v>
      </c>
      <c r="J13" s="181">
        <v>5</v>
      </c>
      <c r="K13" s="181">
        <v>12</v>
      </c>
      <c r="L13" s="181">
        <v>12</v>
      </c>
      <c r="M13" s="181">
        <v>26</v>
      </c>
      <c r="N13" s="181">
        <v>-14</v>
      </c>
      <c r="O13" s="162" t="str">
        <f t="shared" si="0"/>
        <v>11 OZ , 5 (1+4), -14 ±</v>
      </c>
      <c r="P13" s="5" t="str">
        <f t="shared" si="1"/>
        <v>ANO</v>
      </c>
    </row>
    <row r="14" spans="1:26" x14ac:dyDescent="0.25">
      <c r="A14" s="54">
        <v>13</v>
      </c>
      <c r="B14" s="1" t="s">
        <v>491</v>
      </c>
      <c r="D14" s="181" t="s">
        <v>52</v>
      </c>
      <c r="E14" s="181">
        <v>8</v>
      </c>
      <c r="F14" s="181">
        <v>2</v>
      </c>
      <c r="G14" s="181">
        <v>0</v>
      </c>
      <c r="H14" s="181">
        <v>0</v>
      </c>
      <c r="I14" s="181">
        <v>2</v>
      </c>
      <c r="J14" s="181">
        <v>4</v>
      </c>
      <c r="K14" s="181">
        <v>2</v>
      </c>
      <c r="L14" s="181">
        <v>4</v>
      </c>
      <c r="M14" s="181">
        <v>14</v>
      </c>
      <c r="N14" s="181">
        <v>-10</v>
      </c>
      <c r="O14" s="162" t="str">
        <f t="shared" si="0"/>
        <v>8 OZ , 4 (2+2), -10 ±</v>
      </c>
      <c r="P14" s="5" t="str">
        <f t="shared" si="1"/>
        <v>ANO</v>
      </c>
    </row>
    <row r="15" spans="1:26" x14ac:dyDescent="0.25">
      <c r="A15" s="54">
        <v>14</v>
      </c>
      <c r="B15" s="1" t="s">
        <v>490</v>
      </c>
      <c r="D15" s="181" t="s">
        <v>49</v>
      </c>
      <c r="E15" s="181">
        <v>17</v>
      </c>
      <c r="F15" s="181">
        <v>1</v>
      </c>
      <c r="G15" s="181">
        <v>1</v>
      </c>
      <c r="H15" s="181">
        <v>0</v>
      </c>
      <c r="I15" s="181">
        <v>3</v>
      </c>
      <c r="J15" s="181">
        <v>4</v>
      </c>
      <c r="K15" s="181">
        <v>4</v>
      </c>
      <c r="L15" s="181">
        <v>20</v>
      </c>
      <c r="M15" s="181">
        <v>42</v>
      </c>
      <c r="N15" s="181">
        <v>-22</v>
      </c>
      <c r="O15" s="162" t="str">
        <f t="shared" si="0"/>
        <v>17 OZ , 4 (1+3), -22 ±</v>
      </c>
      <c r="P15" s="5" t="str">
        <f t="shared" si="1"/>
        <v>ANO</v>
      </c>
    </row>
    <row r="16" spans="1:26" x14ac:dyDescent="0.25">
      <c r="A16" s="54">
        <v>15</v>
      </c>
      <c r="B16" s="1" t="s">
        <v>492</v>
      </c>
      <c r="D16" s="181" t="s">
        <v>52</v>
      </c>
      <c r="E16" s="181">
        <v>9</v>
      </c>
      <c r="F16" s="181">
        <v>0</v>
      </c>
      <c r="G16" s="181">
        <v>0</v>
      </c>
      <c r="H16" s="181">
        <v>0</v>
      </c>
      <c r="I16" s="181">
        <v>2</v>
      </c>
      <c r="J16" s="181">
        <v>2</v>
      </c>
      <c r="K16" s="181">
        <v>2</v>
      </c>
      <c r="L16" s="181">
        <v>4</v>
      </c>
      <c r="M16" s="181">
        <v>7</v>
      </c>
      <c r="N16" s="181">
        <v>-3</v>
      </c>
      <c r="O16" s="162" t="str">
        <f t="shared" si="0"/>
        <v>9 OZ , 2 (0+2), -3 ±</v>
      </c>
      <c r="P16" s="5" t="str">
        <f t="shared" si="1"/>
        <v>ANO</v>
      </c>
    </row>
    <row r="17" spans="1:16" x14ac:dyDescent="0.25">
      <c r="A17" s="54">
        <v>16</v>
      </c>
      <c r="B17" s="1" t="s">
        <v>495</v>
      </c>
      <c r="D17" s="181" t="s">
        <v>49</v>
      </c>
      <c r="E17" s="181">
        <v>16</v>
      </c>
      <c r="F17" s="181">
        <v>0</v>
      </c>
      <c r="G17" s="181">
        <v>0</v>
      </c>
      <c r="H17" s="181">
        <v>0</v>
      </c>
      <c r="I17" s="181">
        <v>2</v>
      </c>
      <c r="J17" s="181">
        <v>2</v>
      </c>
      <c r="K17" s="181">
        <v>2</v>
      </c>
      <c r="L17" s="181">
        <v>6</v>
      </c>
      <c r="M17" s="181">
        <v>24</v>
      </c>
      <c r="N17" s="181">
        <v>-18</v>
      </c>
      <c r="O17" s="162" t="str">
        <f t="shared" si="0"/>
        <v>16 OZ , 2 (0+2), -18 ±</v>
      </c>
      <c r="P17" s="5" t="str">
        <f t="shared" si="1"/>
        <v>ANO</v>
      </c>
    </row>
    <row r="18" spans="1:16" x14ac:dyDescent="0.25">
      <c r="A18" s="54">
        <v>17</v>
      </c>
      <c r="B18" s="1" t="s">
        <v>493</v>
      </c>
      <c r="D18" s="181"/>
      <c r="E18" s="181">
        <v>15</v>
      </c>
      <c r="F18" s="181">
        <v>1</v>
      </c>
      <c r="G18" s="181">
        <v>0</v>
      </c>
      <c r="H18" s="181">
        <v>0</v>
      </c>
      <c r="I18" s="181">
        <v>0</v>
      </c>
      <c r="J18" s="181">
        <v>1</v>
      </c>
      <c r="K18" s="181">
        <v>2</v>
      </c>
      <c r="L18" s="181">
        <v>8</v>
      </c>
      <c r="M18" s="181">
        <v>10</v>
      </c>
      <c r="N18" s="181">
        <v>-2</v>
      </c>
      <c r="O18" s="162" t="str">
        <f t="shared" si="0"/>
        <v>15 OZ , 1 (1+0), -2 ±</v>
      </c>
      <c r="P18" s="5" t="str">
        <f t="shared" si="1"/>
        <v>ANO</v>
      </c>
    </row>
    <row r="19" spans="1:16" x14ac:dyDescent="0.25">
      <c r="A19" s="54">
        <v>18</v>
      </c>
      <c r="B19" s="1" t="s">
        <v>500</v>
      </c>
      <c r="D19" s="181" t="s">
        <v>52</v>
      </c>
      <c r="E19" s="181">
        <v>5</v>
      </c>
      <c r="F19" s="181">
        <v>0</v>
      </c>
      <c r="G19" s="181">
        <v>0</v>
      </c>
      <c r="H19" s="181">
        <v>0</v>
      </c>
      <c r="I19" s="181">
        <v>1</v>
      </c>
      <c r="J19" s="181">
        <v>1</v>
      </c>
      <c r="K19" s="181">
        <v>4</v>
      </c>
      <c r="L19" s="181">
        <v>2</v>
      </c>
      <c r="M19" s="181">
        <v>3</v>
      </c>
      <c r="N19" s="181">
        <v>-1</v>
      </c>
      <c r="O19" s="162" t="str">
        <f t="shared" si="0"/>
        <v>5 OZ , 1 (0+1), -1 ±</v>
      </c>
      <c r="P19" s="5" t="str">
        <f t="shared" si="1"/>
        <v>ANO</v>
      </c>
    </row>
    <row r="20" spans="1:16" x14ac:dyDescent="0.25">
      <c r="A20" s="54">
        <v>19</v>
      </c>
      <c r="B20" s="1" t="s">
        <v>494</v>
      </c>
      <c r="D20" s="181" t="s">
        <v>52</v>
      </c>
      <c r="E20" s="181">
        <v>13</v>
      </c>
      <c r="F20" s="181">
        <v>0</v>
      </c>
      <c r="G20" s="181">
        <v>0</v>
      </c>
      <c r="H20" s="181">
        <v>0</v>
      </c>
      <c r="I20" s="181">
        <v>1</v>
      </c>
      <c r="J20" s="181">
        <v>1</v>
      </c>
      <c r="K20" s="181">
        <v>2</v>
      </c>
      <c r="L20" s="181">
        <v>3</v>
      </c>
      <c r="M20" s="181">
        <v>15</v>
      </c>
      <c r="N20" s="181">
        <v>-12</v>
      </c>
      <c r="O20" s="162" t="str">
        <f t="shared" si="0"/>
        <v>13 OZ , 1 (0+1), -12 ±</v>
      </c>
      <c r="P20" s="5" t="str">
        <f t="shared" si="1"/>
        <v>ANO</v>
      </c>
    </row>
    <row r="21" spans="1:16" x14ac:dyDescent="0.25">
      <c r="A21" s="54">
        <v>20</v>
      </c>
      <c r="B21" s="1" t="s">
        <v>496</v>
      </c>
      <c r="D21" s="181"/>
      <c r="E21" s="181">
        <v>1</v>
      </c>
      <c r="F21" s="181">
        <v>0</v>
      </c>
      <c r="G21" s="181">
        <v>0</v>
      </c>
      <c r="H21" s="181">
        <v>0</v>
      </c>
      <c r="I21" s="181">
        <v>0</v>
      </c>
      <c r="J21" s="181">
        <v>0</v>
      </c>
      <c r="K21" s="181">
        <v>0</v>
      </c>
      <c r="L21" s="181">
        <v>0</v>
      </c>
      <c r="M21" s="181">
        <v>0</v>
      </c>
      <c r="N21" s="181">
        <v>0</v>
      </c>
      <c r="O21" s="162" t="str">
        <f t="shared" si="0"/>
        <v>1 OZ , 0 (0+0), 0 ±</v>
      </c>
      <c r="P21" s="5" t="str">
        <f t="shared" si="1"/>
        <v>ANO</v>
      </c>
    </row>
    <row r="22" spans="1:16" x14ac:dyDescent="0.25">
      <c r="A22" s="54">
        <v>21</v>
      </c>
      <c r="B22" s="1" t="s">
        <v>497</v>
      </c>
      <c r="D22" s="181"/>
      <c r="E22" s="181">
        <v>1</v>
      </c>
      <c r="F22" s="181">
        <v>0</v>
      </c>
      <c r="G22" s="181">
        <v>0</v>
      </c>
      <c r="H22" s="181">
        <v>0</v>
      </c>
      <c r="I22" s="181">
        <v>0</v>
      </c>
      <c r="J22" s="181">
        <v>0</v>
      </c>
      <c r="K22" s="181">
        <v>0</v>
      </c>
      <c r="L22" s="181">
        <v>0</v>
      </c>
      <c r="M22" s="181">
        <v>0</v>
      </c>
      <c r="N22" s="181">
        <v>0</v>
      </c>
      <c r="O22" s="162" t="str">
        <f t="shared" si="0"/>
        <v>1 OZ , 0 (0+0), 0 ±</v>
      </c>
      <c r="P22" s="5" t="str">
        <f t="shared" si="1"/>
        <v>ANO</v>
      </c>
    </row>
    <row r="23" spans="1:16" x14ac:dyDescent="0.25">
      <c r="A23" s="54">
        <v>22</v>
      </c>
      <c r="B23" s="1" t="s">
        <v>499</v>
      </c>
      <c r="D23" s="181"/>
      <c r="E23" s="181">
        <v>2</v>
      </c>
      <c r="F23" s="181">
        <v>0</v>
      </c>
      <c r="G23" s="181">
        <v>0</v>
      </c>
      <c r="H23" s="181">
        <v>0</v>
      </c>
      <c r="I23" s="181">
        <v>0</v>
      </c>
      <c r="J23" s="181">
        <v>0</v>
      </c>
      <c r="K23" s="181">
        <v>0</v>
      </c>
      <c r="L23" s="181">
        <v>0</v>
      </c>
      <c r="M23" s="181">
        <v>0</v>
      </c>
      <c r="N23" s="181">
        <v>0</v>
      </c>
      <c r="O23" s="162" t="str">
        <f t="shared" si="0"/>
        <v>2 OZ , 0 (0+0), 0 ±</v>
      </c>
      <c r="P23" s="5" t="str">
        <f t="shared" si="1"/>
        <v>ANO</v>
      </c>
    </row>
    <row r="24" spans="1:16" x14ac:dyDescent="0.25">
      <c r="A24" s="53">
        <v>23</v>
      </c>
      <c r="B24" s="4" t="s">
        <v>498</v>
      </c>
      <c r="C24" s="4"/>
      <c r="D24" s="5" t="s">
        <v>49</v>
      </c>
      <c r="E24" s="5">
        <v>2</v>
      </c>
      <c r="F24" s="5">
        <v>0</v>
      </c>
      <c r="G24" s="5">
        <v>0</v>
      </c>
      <c r="H24" s="5">
        <v>0</v>
      </c>
      <c r="I24" s="5">
        <v>0</v>
      </c>
      <c r="J24" s="5">
        <v>0</v>
      </c>
      <c r="K24" s="5">
        <v>0</v>
      </c>
      <c r="L24" s="5">
        <v>0</v>
      </c>
      <c r="M24" s="5">
        <v>0</v>
      </c>
      <c r="N24" s="5">
        <v>0</v>
      </c>
      <c r="O24" s="162" t="str">
        <f t="shared" si="0"/>
        <v>2 OZ , 0 (0+0), 0 ±</v>
      </c>
      <c r="P24" s="5" t="str">
        <f t="shared" si="1"/>
        <v>ANO</v>
      </c>
    </row>
    <row r="25" spans="1:16" x14ac:dyDescent="0.25">
      <c r="A25" s="53">
        <v>24</v>
      </c>
      <c r="B25" s="4" t="s">
        <v>501</v>
      </c>
      <c r="C25" s="4"/>
      <c r="D25" s="5"/>
      <c r="E25" s="5">
        <v>3</v>
      </c>
      <c r="F25" s="5">
        <v>0</v>
      </c>
      <c r="G25" s="5">
        <v>0</v>
      </c>
      <c r="H25" s="5">
        <v>0</v>
      </c>
      <c r="I25" s="5">
        <v>0</v>
      </c>
      <c r="J25" s="5">
        <v>0</v>
      </c>
      <c r="K25" s="5">
        <v>0</v>
      </c>
      <c r="L25" s="5">
        <v>0</v>
      </c>
      <c r="M25" s="5">
        <v>2</v>
      </c>
      <c r="N25" s="5">
        <v>-2</v>
      </c>
      <c r="O25" s="162" t="str">
        <f t="shared" si="0"/>
        <v>3 OZ , 0 (0+0), -2 ±</v>
      </c>
      <c r="P25" s="5" t="str">
        <f t="shared" si="1"/>
        <v>ANO</v>
      </c>
    </row>
    <row r="26" spans="1:16" x14ac:dyDescent="0.25">
      <c r="A26" s="53">
        <v>25</v>
      </c>
      <c r="B26" s="4" t="s">
        <v>502</v>
      </c>
      <c r="C26" s="4"/>
      <c r="D26" s="5" t="s">
        <v>49</v>
      </c>
      <c r="E26" s="5">
        <v>4</v>
      </c>
      <c r="F26" s="5">
        <v>0</v>
      </c>
      <c r="G26" s="5">
        <v>0</v>
      </c>
      <c r="H26" s="5">
        <v>0</v>
      </c>
      <c r="I26" s="5">
        <v>0</v>
      </c>
      <c r="J26" s="5">
        <v>0</v>
      </c>
      <c r="K26" s="5">
        <v>2</v>
      </c>
      <c r="L26" s="5">
        <v>5</v>
      </c>
      <c r="M26" s="5">
        <v>14</v>
      </c>
      <c r="N26" s="5">
        <v>-9</v>
      </c>
      <c r="O26" s="162" t="str">
        <f t="shared" si="0"/>
        <v>4 OZ , 0 (0+0), -9 ±</v>
      </c>
      <c r="P26" s="5" t="str">
        <f t="shared" si="1"/>
        <v>ANO</v>
      </c>
    </row>
    <row r="27" spans="1:16" x14ac:dyDescent="0.25">
      <c r="A27" s="53">
        <v>26</v>
      </c>
      <c r="B27" s="4" t="s">
        <v>503</v>
      </c>
      <c r="C27" s="4"/>
      <c r="D27" s="5"/>
      <c r="E27" s="5">
        <v>5</v>
      </c>
      <c r="F27" s="5">
        <v>0</v>
      </c>
      <c r="G27" s="5">
        <v>0</v>
      </c>
      <c r="H27" s="5">
        <v>0</v>
      </c>
      <c r="I27" s="5">
        <v>0</v>
      </c>
      <c r="J27" s="5">
        <v>0</v>
      </c>
      <c r="K27" s="5">
        <v>4</v>
      </c>
      <c r="L27" s="5">
        <v>3</v>
      </c>
      <c r="M27" s="5">
        <v>10</v>
      </c>
      <c r="N27" s="5">
        <v>-7</v>
      </c>
      <c r="O27" s="162" t="str">
        <f t="shared" si="0"/>
        <v>5 OZ , 0 (0+0), -7 ±</v>
      </c>
      <c r="P27" s="5" t="str">
        <f t="shared" si="1"/>
        <v>ANO</v>
      </c>
    </row>
    <row r="28" spans="1:16" x14ac:dyDescent="0.25">
      <c r="A28" s="53">
        <v>27</v>
      </c>
      <c r="B28" s="4" t="s">
        <v>505</v>
      </c>
      <c r="C28" s="4"/>
      <c r="D28" s="5"/>
      <c r="E28" s="5">
        <v>1</v>
      </c>
      <c r="F28" s="5">
        <v>0</v>
      </c>
      <c r="G28" s="5">
        <v>0</v>
      </c>
      <c r="H28" s="5">
        <v>0</v>
      </c>
      <c r="I28" s="5">
        <v>0</v>
      </c>
      <c r="J28" s="5">
        <v>0</v>
      </c>
      <c r="K28" s="5">
        <v>0</v>
      </c>
      <c r="L28" s="5">
        <v>0</v>
      </c>
      <c r="M28" s="5">
        <v>1</v>
      </c>
      <c r="N28" s="5">
        <v>-1</v>
      </c>
      <c r="O28" s="162" t="str">
        <f t="shared" si="0"/>
        <v>1 OZ , 0 (0+0), -1 ±</v>
      </c>
      <c r="P28" s="5" t="str">
        <f t="shared" si="1"/>
        <v>ANO</v>
      </c>
    </row>
    <row r="29" spans="1:16" x14ac:dyDescent="0.25">
      <c r="A29" s="53">
        <v>28</v>
      </c>
      <c r="B29" s="4" t="s">
        <v>504</v>
      </c>
      <c r="C29" s="4"/>
      <c r="D29" s="5"/>
      <c r="E29" s="5">
        <v>1</v>
      </c>
      <c r="F29" s="5">
        <v>0</v>
      </c>
      <c r="G29" s="5">
        <v>0</v>
      </c>
      <c r="H29" s="5">
        <v>0</v>
      </c>
      <c r="I29" s="5">
        <v>0</v>
      </c>
      <c r="J29" s="5">
        <v>0</v>
      </c>
      <c r="K29" s="5">
        <v>0</v>
      </c>
      <c r="L29" s="5">
        <v>0</v>
      </c>
      <c r="M29" s="5">
        <v>0</v>
      </c>
      <c r="N29" s="5">
        <v>0</v>
      </c>
      <c r="O29" s="162" t="str">
        <f t="shared" si="0"/>
        <v>1 OZ , 0 (0+0), 0 ±</v>
      </c>
      <c r="P29" s="5" t="str">
        <f t="shared" si="1"/>
        <v>ANO</v>
      </c>
    </row>
    <row r="30" spans="1:16" x14ac:dyDescent="0.25">
      <c r="A30" s="54">
        <v>29</v>
      </c>
      <c r="B30" s="1" t="s">
        <v>506</v>
      </c>
      <c r="D30" s="181" t="s">
        <v>35</v>
      </c>
      <c r="E30" s="181">
        <v>0</v>
      </c>
      <c r="F30" s="181">
        <v>0</v>
      </c>
      <c r="G30" s="181">
        <v>0</v>
      </c>
      <c r="H30" s="181">
        <v>0</v>
      </c>
      <c r="I30" s="181">
        <v>0</v>
      </c>
      <c r="J30" s="181">
        <v>0</v>
      </c>
      <c r="K30" s="181">
        <v>0</v>
      </c>
      <c r="L30" s="181">
        <v>0</v>
      </c>
      <c r="M30" s="181">
        <v>0</v>
      </c>
      <c r="N30" s="181">
        <v>0</v>
      </c>
      <c r="O30" s="162" t="str">
        <f t="shared" si="0"/>
        <v>0 OZ , 0 (0+0), 0 ±</v>
      </c>
      <c r="P30" s="5" t="str">
        <f t="shared" si="1"/>
        <v>ANO</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53" customFormat="1" ht="15" customHeight="1" x14ac:dyDescent="0.25">
      <c r="A38" s="8" t="s">
        <v>59</v>
      </c>
      <c r="B38" s="153" t="s">
        <v>60</v>
      </c>
      <c r="D38" s="153" t="s">
        <v>84</v>
      </c>
      <c r="E38" s="153" t="s">
        <v>85</v>
      </c>
      <c r="F38" s="153" t="s">
        <v>86</v>
      </c>
      <c r="G38" s="153" t="s">
        <v>40</v>
      </c>
      <c r="H38" s="153" t="s">
        <v>87</v>
      </c>
      <c r="I38" s="153" t="s">
        <v>88</v>
      </c>
      <c r="J38" s="153" t="s">
        <v>89</v>
      </c>
      <c r="K38" s="153" t="s">
        <v>80</v>
      </c>
      <c r="L38" s="153" t="s">
        <v>41</v>
      </c>
      <c r="M38" s="153" t="s">
        <v>90</v>
      </c>
      <c r="N38" s="3" t="s">
        <v>37</v>
      </c>
      <c r="O38" s="153" t="s">
        <v>38</v>
      </c>
      <c r="P38" s="153" t="s">
        <v>91</v>
      </c>
      <c r="Q38" s="153" t="s">
        <v>92</v>
      </c>
      <c r="R38" s="153" t="s">
        <v>93</v>
      </c>
    </row>
    <row r="39" spans="1:27" x14ac:dyDescent="0.25">
      <c r="A39" s="54">
        <v>1</v>
      </c>
      <c r="B39" t="s">
        <v>506</v>
      </c>
      <c r="C39"/>
      <c r="D39" s="122">
        <v>17</v>
      </c>
      <c r="E39" s="122">
        <v>15</v>
      </c>
      <c r="F39" s="122">
        <v>876.38</v>
      </c>
      <c r="G39" s="122">
        <v>2</v>
      </c>
      <c r="H39" s="122">
        <v>98</v>
      </c>
      <c r="I39" s="122">
        <v>0</v>
      </c>
      <c r="J39" s="122">
        <v>331</v>
      </c>
      <c r="K39" s="122">
        <v>0</v>
      </c>
      <c r="L39" s="122">
        <v>13</v>
      </c>
      <c r="M39" s="122">
        <v>233</v>
      </c>
      <c r="N39" s="122">
        <v>0</v>
      </c>
      <c r="O39" s="122">
        <v>0</v>
      </c>
      <c r="P39" s="11">
        <f>IF(B39&lt;&gt;0,IFERROR(H39/(F39/60),0),"")</f>
        <v>6.7094182888701246</v>
      </c>
      <c r="Q39" s="11">
        <f>IF(B39&lt;&gt;0,IFERROR((M39/J39)*100,0),"")</f>
        <v>70.392749244712988</v>
      </c>
      <c r="R39" s="152" t="str">
        <f>IF(B39&lt;&gt;0,CONCATENATE(G39, " V, ",L39," P"),"")</f>
        <v>2 V, 13 P</v>
      </c>
    </row>
    <row r="40" spans="1:27" x14ac:dyDescent="0.25">
      <c r="A40" s="54">
        <v>2</v>
      </c>
      <c r="B40" t="s">
        <v>505</v>
      </c>
      <c r="C40"/>
      <c r="D40" s="122">
        <v>7</v>
      </c>
      <c r="E40" s="122">
        <v>1</v>
      </c>
      <c r="F40" s="122">
        <v>60</v>
      </c>
      <c r="G40" s="122">
        <v>0</v>
      </c>
      <c r="H40" s="122">
        <v>11</v>
      </c>
      <c r="I40" s="122">
        <v>0</v>
      </c>
      <c r="J40" s="122">
        <v>38</v>
      </c>
      <c r="K40" s="122">
        <v>0</v>
      </c>
      <c r="L40" s="122">
        <v>1</v>
      </c>
      <c r="M40" s="122">
        <v>27</v>
      </c>
      <c r="N40" s="122">
        <v>0</v>
      </c>
      <c r="O40" s="122">
        <v>0</v>
      </c>
      <c r="P40" s="11">
        <f t="shared" ref="P40:P45" si="2">IF(B40&lt;&gt;0,IFERROR(H40/(F40/60),0),"")</f>
        <v>11</v>
      </c>
      <c r="Q40" s="11">
        <f t="shared" ref="Q40:Q45" si="3">IF(B40&lt;&gt;0,IFERROR((M40/J40)*100,0),"")</f>
        <v>71.05263157894737</v>
      </c>
      <c r="R40" s="152" t="str">
        <f t="shared" ref="R40:R45" si="4">IF(B40&lt;&gt;0,CONCATENATE(G40, " V, ",L40," P"),"")</f>
        <v>0 V, 1 P</v>
      </c>
    </row>
    <row r="41" spans="1:27" x14ac:dyDescent="0.25">
      <c r="A41" s="54">
        <v>3</v>
      </c>
      <c r="B41" t="s">
        <v>504</v>
      </c>
      <c r="C41"/>
      <c r="D41" s="122">
        <v>8</v>
      </c>
      <c r="E41" s="122">
        <v>2</v>
      </c>
      <c r="F41" s="122">
        <v>80</v>
      </c>
      <c r="G41" s="122">
        <v>0</v>
      </c>
      <c r="H41" s="122">
        <v>13</v>
      </c>
      <c r="I41" s="122">
        <v>0</v>
      </c>
      <c r="J41" s="122">
        <v>36</v>
      </c>
      <c r="K41" s="122">
        <v>0</v>
      </c>
      <c r="L41" s="122">
        <v>2</v>
      </c>
      <c r="M41" s="122">
        <v>23</v>
      </c>
      <c r="N41" s="122">
        <v>0</v>
      </c>
      <c r="O41" s="122">
        <v>0</v>
      </c>
      <c r="P41" s="11">
        <f t="shared" si="2"/>
        <v>9.75</v>
      </c>
      <c r="Q41" s="11">
        <f t="shared" si="3"/>
        <v>63.888888888888886</v>
      </c>
      <c r="R41" s="152" t="str">
        <f t="shared" si="4"/>
        <v>0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52" t="str">
        <f t="shared" si="4"/>
        <v/>
      </c>
    </row>
    <row r="43" spans="1:27" x14ac:dyDescent="0.25">
      <c r="A43" s="54"/>
      <c r="F43" s="11"/>
      <c r="P43" s="11" t="str">
        <f t="shared" si="2"/>
        <v/>
      </c>
      <c r="Q43" s="11" t="str">
        <f t="shared" si="3"/>
        <v/>
      </c>
      <c r="R43" s="152" t="str">
        <f t="shared" si="4"/>
        <v/>
      </c>
    </row>
    <row r="44" spans="1:27" x14ac:dyDescent="0.25">
      <c r="A44" s="54"/>
      <c r="F44" s="11"/>
      <c r="P44" s="11" t="str">
        <f t="shared" si="2"/>
        <v/>
      </c>
      <c r="Q44" s="11" t="str">
        <f t="shared" si="3"/>
        <v/>
      </c>
      <c r="R44" s="152" t="str">
        <f t="shared" si="4"/>
        <v/>
      </c>
    </row>
    <row r="45" spans="1:27" ht="15" customHeight="1" x14ac:dyDescent="0.25">
      <c r="A45" s="118"/>
      <c r="P45" s="11" t="str">
        <f t="shared" si="2"/>
        <v/>
      </c>
      <c r="Q45" s="11" t="str">
        <f t="shared" si="3"/>
        <v/>
      </c>
      <c r="R45" s="152" t="str">
        <f t="shared" si="4"/>
        <v/>
      </c>
    </row>
    <row r="46" spans="1:27" ht="15" customHeight="1" x14ac:dyDescent="0.25">
      <c r="X46" s="345" t="s">
        <v>295</v>
      </c>
      <c r="Y46" s="345"/>
      <c r="Z46" s="345"/>
      <c r="AA46" s="345"/>
    </row>
    <row r="47" spans="1:27" s="153" customFormat="1" ht="15" customHeight="1" x14ac:dyDescent="0.25">
      <c r="A47" s="7">
        <f ca="1">TODAY()</f>
        <v>44214</v>
      </c>
      <c r="B47" s="153" t="s">
        <v>60</v>
      </c>
      <c r="C47" s="153" t="s">
        <v>67</v>
      </c>
      <c r="D47" s="153" t="s">
        <v>68</v>
      </c>
      <c r="E47" s="153" t="s">
        <v>71</v>
      </c>
      <c r="F47" s="153" t="s">
        <v>72</v>
      </c>
      <c r="G47" s="153" t="s">
        <v>73</v>
      </c>
      <c r="H47" s="153" t="s">
        <v>74</v>
      </c>
      <c r="I47" s="153" t="s">
        <v>46</v>
      </c>
      <c r="J47" s="153" t="s">
        <v>59</v>
      </c>
      <c r="K47" s="153" t="s">
        <v>160</v>
      </c>
      <c r="L47" s="153" t="s">
        <v>78</v>
      </c>
      <c r="M47" s="153" t="s">
        <v>69</v>
      </c>
      <c r="N47" s="153" t="s">
        <v>70</v>
      </c>
      <c r="O47" s="153" t="s">
        <v>82</v>
      </c>
      <c r="P47" s="153" t="s">
        <v>83</v>
      </c>
      <c r="Q47" s="153" t="s">
        <v>75</v>
      </c>
      <c r="R47" s="153" t="s">
        <v>76</v>
      </c>
      <c r="S47" s="153" t="s">
        <v>94</v>
      </c>
      <c r="T47" s="153" t="s">
        <v>159</v>
      </c>
      <c r="U47" s="153" t="s">
        <v>287</v>
      </c>
      <c r="V47" s="153" t="s">
        <v>288</v>
      </c>
      <c r="W47" s="153" t="s">
        <v>289</v>
      </c>
      <c r="X47" s="153" t="s">
        <v>294</v>
      </c>
      <c r="Y47" s="153" t="s">
        <v>292</v>
      </c>
      <c r="Z47" s="153" t="s">
        <v>293</v>
      </c>
      <c r="AA47" s="163" t="s">
        <v>554</v>
      </c>
    </row>
    <row r="48" spans="1:27" ht="15" customHeight="1" x14ac:dyDescent="0.25">
      <c r="B48" s="142" t="s">
        <v>501</v>
      </c>
      <c r="C48" s="138">
        <v>37547</v>
      </c>
      <c r="D48" s="152">
        <f t="shared" ref="D48:D76" ca="1" si="5">IF(C48 &lt;&gt; 0,ROUNDDOWN(($A$47-C48)/365.25,0),"")</f>
        <v>18</v>
      </c>
      <c r="E48" s="140">
        <v>0</v>
      </c>
      <c r="F48" s="140">
        <v>0</v>
      </c>
      <c r="G48" s="140">
        <v>0</v>
      </c>
      <c r="H48" s="152">
        <f t="shared" ref="H48:H76" si="6">IF(B48&lt;&gt;0,F48+G48,"")</f>
        <v>0</v>
      </c>
      <c r="I48" s="140">
        <v>1</v>
      </c>
      <c r="J48" s="140">
        <v>99</v>
      </c>
      <c r="K48" s="140"/>
      <c r="L48" s="140" t="s">
        <v>79</v>
      </c>
      <c r="M48" s="140">
        <v>188</v>
      </c>
      <c r="N48" s="140">
        <v>78</v>
      </c>
      <c r="O48" s="152" t="str">
        <f t="shared" ref="O48:O76" si="7">IF(B48&lt;&gt;0,CONCATENATE(E48+IFERROR(VLOOKUP(B48,$B$2:$N$36,4,FALSE),0) + X48, " OZ, ", H48+IFERROR(VLOOKUP(B48,$B$2:$N$36,9,FALSE),0) + Y48+Z48, " (", F48+IFERROR(VLOOKUP(B48,$B$2:$N$36,5,FALSE),0) + Y48, "+",G48+IFERROR(VLOOKUP(B48,$B$2:$N$36,8,FALSE),0) +  Z48, ")"), "")</f>
        <v>3 OZ, 0 (0+0)</v>
      </c>
      <c r="P48" s="152" t="str">
        <f t="shared" ref="P48:P76" si="8">IF(M48&lt;&gt;0,CONCATENATE(M48,"/",N48),"")</f>
        <v>188/78</v>
      </c>
      <c r="Q48" s="141" t="s">
        <v>546</v>
      </c>
      <c r="R48" s="140">
        <v>2014</v>
      </c>
      <c r="S48" s="152" t="str">
        <f t="shared" ref="S48:S76" si="9">IFERROR(CONCATENATE(E48+VLOOKUP(B48,$B$39:$R$42,4,FALSE), " OZ, ",G48+VLOOKUP(B48,$B$39:$R$42,13,FALSE), " A"),"")</f>
        <v/>
      </c>
      <c r="T48" s="1" t="str">
        <f t="shared" ref="T48:T76" si="10">IF(B48&lt;&gt;0,IF(V48=1,U48,CONCATENATE(U48," ",W48,".")),"")</f>
        <v>Javořík</v>
      </c>
      <c r="U48" s="1" t="str">
        <f t="shared" ref="U48:U76" si="11">IFERROR(RIGHT(B48,LEN(B48)-SEARCH(" ", B48,1)),"")</f>
        <v>Javořík</v>
      </c>
      <c r="V48" s="152">
        <f t="shared" ref="V48:V76" si="12">IF(B48&lt;&gt;0,COUNTIF($U$48:$U$82,U48),"")</f>
        <v>1</v>
      </c>
      <c r="W48" s="152" t="str">
        <f t="shared" ref="W48:W76" si="13">IFERROR(LEFT(LEFT(B48,SEARCH(" ",B48,1)),1),"")</f>
        <v>A</v>
      </c>
      <c r="X48" s="140"/>
      <c r="Y48" s="140"/>
      <c r="Z48" s="140"/>
      <c r="AA48" s="139"/>
    </row>
    <row r="49" spans="2:27" ht="15" customHeight="1" x14ac:dyDescent="0.25">
      <c r="B49" s="139" t="s">
        <v>488</v>
      </c>
      <c r="C49" s="138">
        <v>35695</v>
      </c>
      <c r="D49" s="152">
        <f t="shared" ca="1" si="5"/>
        <v>23</v>
      </c>
      <c r="E49" s="140">
        <v>24</v>
      </c>
      <c r="F49" s="140">
        <v>0</v>
      </c>
      <c r="G49" s="140">
        <v>6</v>
      </c>
      <c r="H49" s="152">
        <f t="shared" si="6"/>
        <v>6</v>
      </c>
      <c r="I49" s="140">
        <v>4</v>
      </c>
      <c r="J49" s="140">
        <v>13</v>
      </c>
      <c r="K49" s="140"/>
      <c r="L49" s="140" t="s">
        <v>79</v>
      </c>
      <c r="M49" s="140">
        <v>182</v>
      </c>
      <c r="N49" s="140">
        <v>74</v>
      </c>
      <c r="O49" s="152" t="str">
        <f t="shared" si="7"/>
        <v>38 OZ, 11 (2+9)</v>
      </c>
      <c r="P49" s="152" t="str">
        <f t="shared" si="8"/>
        <v>182/74</v>
      </c>
      <c r="Q49" s="141" t="s">
        <v>532</v>
      </c>
      <c r="R49" s="140">
        <v>2008</v>
      </c>
      <c r="S49" s="152" t="str">
        <f t="shared" si="9"/>
        <v/>
      </c>
      <c r="T49" s="1" t="str">
        <f t="shared" si="10"/>
        <v>Medek</v>
      </c>
      <c r="U49" s="1" t="str">
        <f t="shared" si="11"/>
        <v>Medek</v>
      </c>
      <c r="V49" s="152">
        <f t="shared" si="12"/>
        <v>1</v>
      </c>
      <c r="W49" s="152" t="str">
        <f t="shared" si="13"/>
        <v>D</v>
      </c>
      <c r="X49" s="140"/>
      <c r="Y49" s="140"/>
      <c r="Z49" s="140"/>
      <c r="AA49" s="139"/>
    </row>
    <row r="50" spans="2:27" ht="15" customHeight="1" x14ac:dyDescent="0.25">
      <c r="B50" s="139" t="s">
        <v>498</v>
      </c>
      <c r="C50" s="138">
        <v>35465</v>
      </c>
      <c r="D50" s="152">
        <f t="shared" ca="1" si="5"/>
        <v>23</v>
      </c>
      <c r="E50" s="140">
        <v>52</v>
      </c>
      <c r="F50" s="140">
        <v>0</v>
      </c>
      <c r="G50" s="140">
        <v>8</v>
      </c>
      <c r="H50" s="152">
        <f t="shared" si="6"/>
        <v>8</v>
      </c>
      <c r="I50" s="140">
        <v>3</v>
      </c>
      <c r="J50" s="140">
        <v>42</v>
      </c>
      <c r="K50" s="140"/>
      <c r="L50" s="140" t="s">
        <v>79</v>
      </c>
      <c r="M50" s="140">
        <v>188</v>
      </c>
      <c r="N50" s="140">
        <v>85</v>
      </c>
      <c r="O50" s="152" t="str">
        <f t="shared" si="7"/>
        <v>54 OZ, 8 (0+8)</v>
      </c>
      <c r="P50" s="152" t="str">
        <f t="shared" si="8"/>
        <v>188/85</v>
      </c>
      <c r="Q50" s="141" t="s">
        <v>533</v>
      </c>
      <c r="R50" s="140">
        <v>2004</v>
      </c>
      <c r="S50" s="152" t="str">
        <f t="shared" si="9"/>
        <v/>
      </c>
      <c r="T50" s="1" t="str">
        <f t="shared" si="10"/>
        <v>Zimmer</v>
      </c>
      <c r="U50" s="1" t="str">
        <f t="shared" si="11"/>
        <v>Zimmer</v>
      </c>
      <c r="V50" s="152">
        <f t="shared" si="12"/>
        <v>1</v>
      </c>
      <c r="W50" s="152" t="str">
        <f t="shared" si="13"/>
        <v>D</v>
      </c>
      <c r="X50" s="140"/>
      <c r="Y50" s="140"/>
      <c r="Z50" s="140"/>
      <c r="AA50" s="139"/>
    </row>
    <row r="51" spans="2:27" ht="15" customHeight="1" x14ac:dyDescent="0.25">
      <c r="B51" s="142" t="s">
        <v>480</v>
      </c>
      <c r="C51" s="138">
        <v>34470</v>
      </c>
      <c r="D51" s="152">
        <f t="shared" ca="1" si="5"/>
        <v>26</v>
      </c>
      <c r="E51" s="140">
        <v>147</v>
      </c>
      <c r="F51" s="140">
        <v>87</v>
      </c>
      <c r="G51" s="140">
        <v>58</v>
      </c>
      <c r="H51" s="152">
        <f t="shared" si="6"/>
        <v>145</v>
      </c>
      <c r="I51" s="140">
        <v>10</v>
      </c>
      <c r="J51" s="140">
        <v>97</v>
      </c>
      <c r="K51" s="140"/>
      <c r="L51" s="140" t="s">
        <v>79</v>
      </c>
      <c r="M51" s="140">
        <v>174</v>
      </c>
      <c r="N51" s="140">
        <v>73</v>
      </c>
      <c r="O51" s="152" t="str">
        <f t="shared" si="7"/>
        <v>162 OZ, 157 (96+61)</v>
      </c>
      <c r="P51" s="152" t="str">
        <f t="shared" si="8"/>
        <v>174/73</v>
      </c>
      <c r="Q51" s="141" t="s">
        <v>534</v>
      </c>
      <c r="R51" s="140">
        <v>2003</v>
      </c>
      <c r="S51" s="152" t="str">
        <f t="shared" si="9"/>
        <v/>
      </c>
      <c r="T51" s="1" t="str">
        <f t="shared" si="10"/>
        <v>Hrabal</v>
      </c>
      <c r="U51" s="1" t="str">
        <f t="shared" si="11"/>
        <v>Hrabal</v>
      </c>
      <c r="V51" s="152">
        <f t="shared" si="12"/>
        <v>1</v>
      </c>
      <c r="W51" s="152" t="str">
        <f t="shared" si="13"/>
        <v>F</v>
      </c>
      <c r="X51" s="140"/>
      <c r="Y51" s="140"/>
      <c r="Z51" s="140"/>
      <c r="AA51" s="139"/>
    </row>
    <row r="52" spans="2:27" ht="15" customHeight="1" x14ac:dyDescent="0.25">
      <c r="B52" s="142" t="s">
        <v>478</v>
      </c>
      <c r="C52" s="138">
        <v>36144</v>
      </c>
      <c r="D52" s="152">
        <f t="shared" ca="1" si="5"/>
        <v>22</v>
      </c>
      <c r="E52" s="140">
        <v>73</v>
      </c>
      <c r="F52" s="140">
        <v>26</v>
      </c>
      <c r="G52" s="140">
        <v>20</v>
      </c>
      <c r="H52" s="152">
        <f t="shared" si="6"/>
        <v>46</v>
      </c>
      <c r="I52" s="140">
        <v>4</v>
      </c>
      <c r="J52" s="140">
        <v>88</v>
      </c>
      <c r="K52" s="140"/>
      <c r="L52" s="140" t="s">
        <v>41</v>
      </c>
      <c r="M52" s="140">
        <v>180</v>
      </c>
      <c r="N52" s="140">
        <v>73</v>
      </c>
      <c r="O52" s="152" t="str">
        <f t="shared" si="7"/>
        <v>90 OZ, 62 (35+27)</v>
      </c>
      <c r="P52" s="152" t="str">
        <f t="shared" si="8"/>
        <v>180/73</v>
      </c>
      <c r="Q52" s="141" t="s">
        <v>535</v>
      </c>
      <c r="R52" s="140">
        <v>2005</v>
      </c>
      <c r="S52" s="152" t="str">
        <f t="shared" si="9"/>
        <v/>
      </c>
      <c r="T52" s="1" t="str">
        <f t="shared" si="10"/>
        <v>Vykopal</v>
      </c>
      <c r="U52" s="1" t="str">
        <f t="shared" si="11"/>
        <v>Vykopal</v>
      </c>
      <c r="V52" s="152">
        <f t="shared" si="12"/>
        <v>1</v>
      </c>
      <c r="W52" s="152" t="str">
        <f t="shared" si="13"/>
        <v>F</v>
      </c>
      <c r="X52" s="140"/>
      <c r="Y52" s="140"/>
      <c r="Z52" s="140"/>
      <c r="AA52" s="139"/>
    </row>
    <row r="53" spans="2:27" ht="15" customHeight="1" x14ac:dyDescent="0.25">
      <c r="B53" s="139" t="s">
        <v>493</v>
      </c>
      <c r="C53" s="138">
        <v>37306</v>
      </c>
      <c r="D53" s="152">
        <f t="shared" ca="1" si="5"/>
        <v>18</v>
      </c>
      <c r="E53" s="140">
        <v>1</v>
      </c>
      <c r="F53" s="140">
        <v>0</v>
      </c>
      <c r="G53" s="140">
        <v>0</v>
      </c>
      <c r="H53" s="152">
        <f t="shared" si="6"/>
        <v>0</v>
      </c>
      <c r="I53" s="140">
        <v>2</v>
      </c>
      <c r="J53" s="140">
        <v>55</v>
      </c>
      <c r="K53" s="140"/>
      <c r="L53" s="140" t="s">
        <v>79</v>
      </c>
      <c r="M53" s="140">
        <v>193</v>
      </c>
      <c r="N53" s="140">
        <v>90</v>
      </c>
      <c r="O53" s="152" t="str">
        <f t="shared" si="7"/>
        <v>16 OZ, 1 (1+0)</v>
      </c>
      <c r="P53" s="152" t="str">
        <f t="shared" si="8"/>
        <v>193/90</v>
      </c>
      <c r="Q53" s="141" t="s">
        <v>536</v>
      </c>
      <c r="R53" s="140">
        <v>2016</v>
      </c>
      <c r="S53" s="152" t="str">
        <f t="shared" si="9"/>
        <v/>
      </c>
      <c r="T53" s="1" t="str">
        <f t="shared" si="10"/>
        <v>Hrtús</v>
      </c>
      <c r="U53" s="1" t="str">
        <f t="shared" si="11"/>
        <v>Hrtús</v>
      </c>
      <c r="V53" s="152">
        <f t="shared" si="12"/>
        <v>1</v>
      </c>
      <c r="W53" s="152" t="str">
        <f t="shared" si="13"/>
        <v>J</v>
      </c>
      <c r="X53" s="140"/>
      <c r="Y53" s="140"/>
      <c r="Z53" s="140"/>
      <c r="AA53" s="139"/>
    </row>
    <row r="54" spans="2:27" ht="15" customHeight="1" x14ac:dyDescent="0.25">
      <c r="B54" s="139" t="s">
        <v>494</v>
      </c>
      <c r="C54" s="138">
        <v>37660</v>
      </c>
      <c r="D54" s="152">
        <f t="shared" ca="1" si="5"/>
        <v>17</v>
      </c>
      <c r="E54" s="140">
        <v>0</v>
      </c>
      <c r="F54" s="140">
        <v>0</v>
      </c>
      <c r="G54" s="140">
        <v>0</v>
      </c>
      <c r="H54" s="152">
        <f t="shared" si="6"/>
        <v>0</v>
      </c>
      <c r="I54" s="140">
        <v>1</v>
      </c>
      <c r="J54" s="140">
        <v>61</v>
      </c>
      <c r="K54" s="140"/>
      <c r="L54" s="140" t="s">
        <v>79</v>
      </c>
      <c r="M54" s="140">
        <v>184</v>
      </c>
      <c r="N54" s="140">
        <v>72</v>
      </c>
      <c r="O54" s="152" t="str">
        <f t="shared" si="7"/>
        <v>13 OZ, 1 (0+1)</v>
      </c>
      <c r="P54" s="152" t="str">
        <f t="shared" si="8"/>
        <v>184/72</v>
      </c>
      <c r="Q54" s="141" t="s">
        <v>536</v>
      </c>
      <c r="R54" s="140">
        <v>2013</v>
      </c>
      <c r="S54" s="152" t="str">
        <f t="shared" si="9"/>
        <v/>
      </c>
      <c r="T54" s="1" t="str">
        <f t="shared" si="10"/>
        <v>Štourač</v>
      </c>
      <c r="U54" s="1" t="str">
        <f t="shared" si="11"/>
        <v>Štourač</v>
      </c>
      <c r="V54" s="152">
        <f t="shared" si="12"/>
        <v>1</v>
      </c>
      <c r="W54" s="152" t="str">
        <f t="shared" si="13"/>
        <v>J</v>
      </c>
      <c r="X54" s="140"/>
      <c r="Y54" s="140"/>
      <c r="Z54" s="140"/>
      <c r="AA54" s="139"/>
    </row>
    <row r="55" spans="2:27" ht="15" customHeight="1" x14ac:dyDescent="0.25">
      <c r="B55" s="139" t="s">
        <v>506</v>
      </c>
      <c r="C55" s="138">
        <v>35838</v>
      </c>
      <c r="D55" s="152">
        <f t="shared" ca="1" si="5"/>
        <v>22</v>
      </c>
      <c r="E55" s="140">
        <v>10</v>
      </c>
      <c r="F55" s="140">
        <v>0</v>
      </c>
      <c r="G55" s="140">
        <v>0</v>
      </c>
      <c r="H55" s="152">
        <f t="shared" si="6"/>
        <v>0</v>
      </c>
      <c r="I55" s="140">
        <v>5</v>
      </c>
      <c r="J55" s="140">
        <v>29</v>
      </c>
      <c r="K55" s="140"/>
      <c r="L55" s="140" t="s">
        <v>30</v>
      </c>
      <c r="M55" s="140">
        <v>181</v>
      </c>
      <c r="N55" s="140">
        <v>76</v>
      </c>
      <c r="O55" s="152" t="str">
        <f t="shared" si="7"/>
        <v>10 OZ, 0 (0+0)</v>
      </c>
      <c r="P55" s="152" t="str">
        <f t="shared" si="8"/>
        <v>181/76</v>
      </c>
      <c r="Q55" s="141" t="s">
        <v>537</v>
      </c>
      <c r="R55" s="140">
        <v>2012</v>
      </c>
      <c r="S55" s="152" t="str">
        <f t="shared" si="9"/>
        <v>25 OZ, 0 A</v>
      </c>
      <c r="T55" s="1" t="str">
        <f t="shared" si="10"/>
        <v>Majrich</v>
      </c>
      <c r="U55" s="1" t="str">
        <f t="shared" si="11"/>
        <v>Majrich</v>
      </c>
      <c r="V55" s="152">
        <f t="shared" si="12"/>
        <v>1</v>
      </c>
      <c r="W55" s="152" t="str">
        <f t="shared" si="13"/>
        <v>K</v>
      </c>
      <c r="X55" s="140"/>
      <c r="Y55" s="140"/>
      <c r="Z55" s="140"/>
      <c r="AA55" s="139"/>
    </row>
    <row r="56" spans="2:27" ht="15" customHeight="1" x14ac:dyDescent="0.25">
      <c r="B56" s="142" t="s">
        <v>503</v>
      </c>
      <c r="C56" s="138">
        <v>37454</v>
      </c>
      <c r="D56" s="152">
        <f t="shared" ca="1" si="5"/>
        <v>18</v>
      </c>
      <c r="E56" s="140">
        <v>2</v>
      </c>
      <c r="F56" s="140">
        <v>0</v>
      </c>
      <c r="G56" s="140">
        <v>0</v>
      </c>
      <c r="H56" s="152">
        <f t="shared" si="6"/>
        <v>0</v>
      </c>
      <c r="I56" s="140">
        <v>2</v>
      </c>
      <c r="J56" s="140">
        <v>49</v>
      </c>
      <c r="K56" s="140"/>
      <c r="L56" s="140" t="s">
        <v>79</v>
      </c>
      <c r="M56" s="140">
        <v>180</v>
      </c>
      <c r="N56" s="140">
        <v>80</v>
      </c>
      <c r="O56" s="152" t="str">
        <f t="shared" si="7"/>
        <v>7 OZ, 0 (0+0)</v>
      </c>
      <c r="P56" s="152" t="str">
        <f t="shared" si="8"/>
        <v>180/80</v>
      </c>
      <c r="Q56" s="141" t="s">
        <v>546</v>
      </c>
      <c r="R56" s="140">
        <v>2015</v>
      </c>
      <c r="S56" s="152" t="str">
        <f t="shared" si="9"/>
        <v/>
      </c>
      <c r="T56" s="1" t="str">
        <f t="shared" si="10"/>
        <v>Hájek</v>
      </c>
      <c r="U56" s="1" t="str">
        <f t="shared" si="11"/>
        <v>Hájek</v>
      </c>
      <c r="V56" s="152">
        <f t="shared" si="12"/>
        <v>1</v>
      </c>
      <c r="W56" s="152" t="str">
        <f t="shared" si="13"/>
        <v>K</v>
      </c>
      <c r="X56" s="140"/>
      <c r="Y56" s="140"/>
      <c r="Z56" s="140"/>
      <c r="AA56" s="139"/>
    </row>
    <row r="57" spans="2:27" ht="15" customHeight="1" x14ac:dyDescent="0.25">
      <c r="B57" s="142" t="s">
        <v>481</v>
      </c>
      <c r="C57" s="138">
        <v>34115</v>
      </c>
      <c r="D57" s="152">
        <f t="shared" ca="1" si="5"/>
        <v>27</v>
      </c>
      <c r="E57" s="140">
        <v>135</v>
      </c>
      <c r="F57" s="140">
        <v>50</v>
      </c>
      <c r="G57" s="140">
        <v>38</v>
      </c>
      <c r="H57" s="152">
        <f t="shared" si="6"/>
        <v>88</v>
      </c>
      <c r="I57" s="140">
        <v>8</v>
      </c>
      <c r="J57" s="140">
        <v>33</v>
      </c>
      <c r="K57" s="140"/>
      <c r="L57" s="140" t="s">
        <v>79</v>
      </c>
      <c r="M57" s="140">
        <v>177</v>
      </c>
      <c r="N57" s="140">
        <v>77</v>
      </c>
      <c r="O57" s="152" t="str">
        <f t="shared" si="7"/>
        <v>149 OZ, 98 (56+42)</v>
      </c>
      <c r="P57" s="152" t="str">
        <f t="shared" si="8"/>
        <v>177/77</v>
      </c>
      <c r="Q57" s="141" t="s">
        <v>538</v>
      </c>
      <c r="R57" s="140">
        <v>2005</v>
      </c>
      <c r="S57" s="152" t="str">
        <f t="shared" si="9"/>
        <v/>
      </c>
      <c r="T57" s="1" t="str">
        <f t="shared" si="10"/>
        <v>Gál</v>
      </c>
      <c r="U57" s="1" t="str">
        <f t="shared" si="11"/>
        <v>Gál</v>
      </c>
      <c r="V57" s="152">
        <f t="shared" si="12"/>
        <v>1</v>
      </c>
      <c r="W57" s="152" t="str">
        <f t="shared" si="13"/>
        <v>L</v>
      </c>
      <c r="X57" s="140"/>
      <c r="Y57" s="140"/>
      <c r="Z57" s="140"/>
      <c r="AA57" s="139"/>
    </row>
    <row r="58" spans="2:27" ht="15" customHeight="1" x14ac:dyDescent="0.25">
      <c r="B58" s="139" t="s">
        <v>490</v>
      </c>
      <c r="C58" s="138">
        <v>36427</v>
      </c>
      <c r="D58" s="152">
        <f t="shared" ca="1" si="5"/>
        <v>21</v>
      </c>
      <c r="E58" s="140">
        <v>65</v>
      </c>
      <c r="F58" s="140">
        <v>13</v>
      </c>
      <c r="G58" s="140">
        <v>8</v>
      </c>
      <c r="H58" s="152">
        <f t="shared" si="6"/>
        <v>21</v>
      </c>
      <c r="I58" s="140">
        <v>4</v>
      </c>
      <c r="J58" s="140">
        <v>74</v>
      </c>
      <c r="K58" s="140" t="s">
        <v>223</v>
      </c>
      <c r="L58" s="140" t="s">
        <v>41</v>
      </c>
      <c r="M58" s="140">
        <v>181</v>
      </c>
      <c r="N58" s="140">
        <v>72</v>
      </c>
      <c r="O58" s="152" t="str">
        <f t="shared" si="7"/>
        <v>82 OZ, 25 (14+11)</v>
      </c>
      <c r="P58" s="152" t="str">
        <f t="shared" si="8"/>
        <v>181/72</v>
      </c>
      <c r="Q58" s="141" t="s">
        <v>540</v>
      </c>
      <c r="R58" s="140">
        <v>2004</v>
      </c>
      <c r="S58" s="152" t="str">
        <f t="shared" si="9"/>
        <v/>
      </c>
      <c r="T58" s="1" t="str">
        <f t="shared" si="10"/>
        <v>Kvapil</v>
      </c>
      <c r="U58" s="1" t="str">
        <f t="shared" si="11"/>
        <v>Kvapil</v>
      </c>
      <c r="V58" s="152">
        <f t="shared" si="12"/>
        <v>1</v>
      </c>
      <c r="W58" s="152" t="str">
        <f t="shared" si="13"/>
        <v>L</v>
      </c>
      <c r="X58" s="140"/>
      <c r="Y58" s="140"/>
      <c r="Z58" s="140"/>
      <c r="AA58" s="139"/>
    </row>
    <row r="59" spans="2:27" ht="15" customHeight="1" x14ac:dyDescent="0.25">
      <c r="B59" s="139" t="s">
        <v>485</v>
      </c>
      <c r="C59" s="138">
        <v>30807</v>
      </c>
      <c r="D59" s="152">
        <f t="shared" ca="1" si="5"/>
        <v>36</v>
      </c>
      <c r="E59" s="140">
        <v>281</v>
      </c>
      <c r="F59" s="140">
        <v>116</v>
      </c>
      <c r="G59" s="140">
        <v>135</v>
      </c>
      <c r="H59" s="152">
        <f t="shared" si="6"/>
        <v>251</v>
      </c>
      <c r="I59" s="140">
        <v>14</v>
      </c>
      <c r="J59" s="140">
        <v>91</v>
      </c>
      <c r="K59" s="140"/>
      <c r="L59" s="140" t="s">
        <v>79</v>
      </c>
      <c r="M59" s="140">
        <v>192</v>
      </c>
      <c r="N59" s="140">
        <v>81</v>
      </c>
      <c r="O59" s="152" t="str">
        <f t="shared" si="7"/>
        <v>298 OZ, 259 (121+138)</v>
      </c>
      <c r="P59" s="152" t="str">
        <f t="shared" si="8"/>
        <v>192/81</v>
      </c>
      <c r="Q59" s="141" t="s">
        <v>539</v>
      </c>
      <c r="R59" s="140">
        <v>1999</v>
      </c>
      <c r="S59" s="152" t="str">
        <f t="shared" si="9"/>
        <v/>
      </c>
      <c r="T59" s="1" t="str">
        <f t="shared" si="10"/>
        <v>Petřík</v>
      </c>
      <c r="U59" s="1" t="str">
        <f t="shared" si="11"/>
        <v>Petřík</v>
      </c>
      <c r="V59" s="152">
        <f t="shared" si="12"/>
        <v>1</v>
      </c>
      <c r="W59" s="152" t="str">
        <f t="shared" si="13"/>
        <v>L</v>
      </c>
      <c r="X59" s="140"/>
      <c r="Y59" s="140"/>
      <c r="Z59" s="140"/>
      <c r="AA59" s="139"/>
    </row>
    <row r="60" spans="2:27" ht="15" customHeight="1" x14ac:dyDescent="0.25">
      <c r="B60" s="139" t="s">
        <v>491</v>
      </c>
      <c r="C60" s="138">
        <v>30515</v>
      </c>
      <c r="D60" s="152">
        <f t="shared" ca="1" si="5"/>
        <v>37</v>
      </c>
      <c r="E60" s="140">
        <v>184</v>
      </c>
      <c r="F60" s="140">
        <v>72</v>
      </c>
      <c r="G60" s="140">
        <v>40</v>
      </c>
      <c r="H60" s="152">
        <f t="shared" si="6"/>
        <v>112</v>
      </c>
      <c r="I60" s="140">
        <v>10</v>
      </c>
      <c r="J60" s="140">
        <v>22</v>
      </c>
      <c r="K60" s="140"/>
      <c r="L60" s="140" t="s">
        <v>41</v>
      </c>
      <c r="M60" s="140">
        <v>180</v>
      </c>
      <c r="N60" s="140">
        <v>80</v>
      </c>
      <c r="O60" s="152" t="str">
        <f t="shared" si="7"/>
        <v>192 OZ, 116 (74+42)</v>
      </c>
      <c r="P60" s="152" t="str">
        <f t="shared" si="8"/>
        <v>180/80</v>
      </c>
      <c r="Q60" s="141" t="s">
        <v>549</v>
      </c>
      <c r="R60" s="140">
        <v>1998</v>
      </c>
      <c r="S60" s="152" t="str">
        <f t="shared" si="9"/>
        <v/>
      </c>
      <c r="T60" s="1" t="str">
        <f t="shared" si="10"/>
        <v>Zapletal</v>
      </c>
      <c r="U60" s="1" t="str">
        <f t="shared" si="11"/>
        <v>Zapletal</v>
      </c>
      <c r="V60" s="152">
        <f t="shared" si="12"/>
        <v>1</v>
      </c>
      <c r="W60" s="152" t="str">
        <f t="shared" si="13"/>
        <v>M</v>
      </c>
      <c r="X60" s="140"/>
      <c r="Y60" s="140"/>
      <c r="Z60" s="140"/>
      <c r="AA60" s="139"/>
    </row>
    <row r="61" spans="2:27" ht="15" customHeight="1" x14ac:dyDescent="0.25">
      <c r="B61" s="139" t="s">
        <v>487</v>
      </c>
      <c r="C61" s="138">
        <v>35326</v>
      </c>
      <c r="D61" s="152">
        <f t="shared" ca="1" si="5"/>
        <v>24</v>
      </c>
      <c r="E61" s="140">
        <v>53</v>
      </c>
      <c r="F61" s="140">
        <v>12</v>
      </c>
      <c r="G61" s="140">
        <v>29</v>
      </c>
      <c r="H61" s="152">
        <f t="shared" si="6"/>
        <v>41</v>
      </c>
      <c r="I61" s="140">
        <v>4</v>
      </c>
      <c r="J61" s="140">
        <v>12</v>
      </c>
      <c r="K61" s="140"/>
      <c r="L61" s="140" t="s">
        <v>79</v>
      </c>
      <c r="M61" s="140">
        <v>193</v>
      </c>
      <c r="N61" s="140">
        <v>77</v>
      </c>
      <c r="O61" s="152" t="str">
        <f t="shared" si="7"/>
        <v>61 OZ, 46 (14+32)</v>
      </c>
      <c r="P61" s="152" t="str">
        <f t="shared" si="8"/>
        <v>193/77</v>
      </c>
      <c r="Q61" s="141" t="s">
        <v>541</v>
      </c>
      <c r="R61" s="140"/>
      <c r="S61" s="152" t="str">
        <f t="shared" si="9"/>
        <v/>
      </c>
      <c r="T61" s="1" t="str">
        <f t="shared" si="10"/>
        <v>Grlický</v>
      </c>
      <c r="U61" s="1" t="str">
        <f t="shared" si="11"/>
        <v>Grlický</v>
      </c>
      <c r="V61" s="152">
        <f t="shared" si="12"/>
        <v>1</v>
      </c>
      <c r="W61" s="152" t="str">
        <f t="shared" si="13"/>
        <v>M</v>
      </c>
      <c r="X61" s="140"/>
      <c r="Y61" s="140"/>
      <c r="Z61" s="140"/>
      <c r="AA61" s="139"/>
    </row>
    <row r="62" spans="2:27" ht="15" customHeight="1" x14ac:dyDescent="0.25">
      <c r="B62" s="139" t="s">
        <v>482</v>
      </c>
      <c r="C62" s="138">
        <v>35449</v>
      </c>
      <c r="D62" s="152">
        <f t="shared" ca="1" si="5"/>
        <v>23</v>
      </c>
      <c r="E62" s="140">
        <v>95</v>
      </c>
      <c r="F62" s="140">
        <v>20</v>
      </c>
      <c r="G62" s="140">
        <v>14</v>
      </c>
      <c r="H62" s="152">
        <f t="shared" si="6"/>
        <v>34</v>
      </c>
      <c r="I62" s="140">
        <v>5</v>
      </c>
      <c r="J62" s="140">
        <v>23</v>
      </c>
      <c r="K62" s="140"/>
      <c r="L62" s="140" t="s">
        <v>79</v>
      </c>
      <c r="M62" s="140">
        <v>185</v>
      </c>
      <c r="N62" s="140">
        <v>78</v>
      </c>
      <c r="O62" s="152" t="str">
        <f t="shared" si="7"/>
        <v>112 OZ, 43 (24+19)</v>
      </c>
      <c r="P62" s="152" t="str">
        <f t="shared" si="8"/>
        <v>185/78</v>
      </c>
      <c r="Q62" s="141" t="s">
        <v>542</v>
      </c>
      <c r="R62" s="140">
        <v>2007</v>
      </c>
      <c r="S62" s="152" t="str">
        <f t="shared" si="9"/>
        <v/>
      </c>
      <c r="T62" s="1" t="str">
        <f t="shared" si="10"/>
        <v>Szweda</v>
      </c>
      <c r="U62" s="1" t="str">
        <f t="shared" si="11"/>
        <v>Szweda</v>
      </c>
      <c r="V62" s="152">
        <f t="shared" si="12"/>
        <v>1</v>
      </c>
      <c r="W62" s="152" t="str">
        <f t="shared" si="13"/>
        <v>M</v>
      </c>
      <c r="X62" s="140"/>
      <c r="Y62" s="140"/>
      <c r="Z62" s="140"/>
      <c r="AA62" s="139"/>
    </row>
    <row r="63" spans="2:27" ht="15" customHeight="1" x14ac:dyDescent="0.25">
      <c r="B63" s="142" t="s">
        <v>479</v>
      </c>
      <c r="C63" s="138">
        <v>35893</v>
      </c>
      <c r="D63" s="152">
        <f t="shared" ca="1" si="5"/>
        <v>22</v>
      </c>
      <c r="E63" s="140">
        <v>26</v>
      </c>
      <c r="F63" s="140">
        <v>6</v>
      </c>
      <c r="G63" s="140">
        <v>8</v>
      </c>
      <c r="H63" s="152">
        <f t="shared" si="6"/>
        <v>14</v>
      </c>
      <c r="I63" s="140">
        <v>5</v>
      </c>
      <c r="J63" s="140">
        <v>70</v>
      </c>
      <c r="K63" s="140"/>
      <c r="L63" s="140" t="s">
        <v>79</v>
      </c>
      <c r="M63" s="140">
        <v>185</v>
      </c>
      <c r="N63" s="140">
        <v>75</v>
      </c>
      <c r="O63" s="152" t="str">
        <f t="shared" si="7"/>
        <v>43 OZ, 29 (12+17)</v>
      </c>
      <c r="P63" s="152" t="str">
        <f t="shared" si="8"/>
        <v>185/75</v>
      </c>
      <c r="Q63" s="141" t="s">
        <v>543</v>
      </c>
      <c r="R63" s="140">
        <v>2008</v>
      </c>
      <c r="S63" s="152" t="str">
        <f t="shared" si="9"/>
        <v/>
      </c>
      <c r="T63" s="1" t="str">
        <f t="shared" si="10"/>
        <v>Hronek</v>
      </c>
      <c r="U63" s="1" t="str">
        <f t="shared" si="11"/>
        <v>Hronek</v>
      </c>
      <c r="V63" s="152">
        <f t="shared" si="12"/>
        <v>1</v>
      </c>
      <c r="W63" s="152" t="str">
        <f t="shared" si="13"/>
        <v>M</v>
      </c>
      <c r="X63" s="140"/>
      <c r="Y63" s="140"/>
      <c r="Z63" s="140"/>
      <c r="AA63" s="139"/>
    </row>
    <row r="64" spans="2:27" ht="15" customHeight="1" x14ac:dyDescent="0.25">
      <c r="B64" s="142" t="s">
        <v>505</v>
      </c>
      <c r="C64" s="138">
        <v>36933</v>
      </c>
      <c r="D64" s="152">
        <f t="shared" ca="1" si="5"/>
        <v>19</v>
      </c>
      <c r="E64" s="140">
        <v>0</v>
      </c>
      <c r="F64" s="140">
        <v>0</v>
      </c>
      <c r="G64" s="140">
        <v>0</v>
      </c>
      <c r="H64" s="152">
        <f t="shared" si="6"/>
        <v>0</v>
      </c>
      <c r="I64" s="140">
        <v>1</v>
      </c>
      <c r="J64" s="140">
        <v>89</v>
      </c>
      <c r="K64" s="140"/>
      <c r="L64" s="140" t="s">
        <v>30</v>
      </c>
      <c r="M64" s="140">
        <v>187</v>
      </c>
      <c r="N64" s="140">
        <v>83</v>
      </c>
      <c r="O64" s="152" t="str">
        <f t="shared" si="7"/>
        <v>1 OZ, 0 (0+0)</v>
      </c>
      <c r="P64" s="152" t="str">
        <f t="shared" si="8"/>
        <v>187/83</v>
      </c>
      <c r="Q64" s="141" t="s">
        <v>544</v>
      </c>
      <c r="R64" s="140">
        <v>2018</v>
      </c>
      <c r="S64" s="152" t="str">
        <f t="shared" si="9"/>
        <v>1 OZ, 0 A</v>
      </c>
      <c r="T64" s="1" t="str">
        <f t="shared" si="10"/>
        <v>Kubíček</v>
      </c>
      <c r="U64" s="1" t="str">
        <f t="shared" si="11"/>
        <v>Kubíček</v>
      </c>
      <c r="V64" s="152">
        <f t="shared" si="12"/>
        <v>1</v>
      </c>
      <c r="W64" s="152" t="str">
        <f t="shared" si="13"/>
        <v>M</v>
      </c>
      <c r="X64" s="140"/>
      <c r="Y64" s="140"/>
      <c r="Z64" s="140"/>
      <c r="AA64" s="139"/>
    </row>
    <row r="65" spans="2:27" ht="15" customHeight="1" x14ac:dyDescent="0.25">
      <c r="B65" s="139" t="s">
        <v>484</v>
      </c>
      <c r="C65" s="138">
        <v>32521</v>
      </c>
      <c r="D65" s="152">
        <f t="shared" ca="1" si="5"/>
        <v>32</v>
      </c>
      <c r="E65" s="140">
        <v>205</v>
      </c>
      <c r="F65" s="140">
        <v>41</v>
      </c>
      <c r="G65" s="140">
        <v>64</v>
      </c>
      <c r="H65" s="152">
        <f t="shared" si="6"/>
        <v>105</v>
      </c>
      <c r="I65" s="140">
        <v>11</v>
      </c>
      <c r="J65" s="140">
        <v>56</v>
      </c>
      <c r="K65" s="140"/>
      <c r="L65" s="140" t="s">
        <v>79</v>
      </c>
      <c r="M65" s="140">
        <v>182</v>
      </c>
      <c r="N65" s="140">
        <v>79</v>
      </c>
      <c r="O65" s="152" t="str">
        <f t="shared" si="7"/>
        <v>217 OZ, 111 (45+66)</v>
      </c>
      <c r="P65" s="152" t="str">
        <f t="shared" si="8"/>
        <v>182/79</v>
      </c>
      <c r="Q65" s="141" t="s">
        <v>536</v>
      </c>
      <c r="R65" s="140">
        <v>1998</v>
      </c>
      <c r="S65" s="152" t="str">
        <f t="shared" si="9"/>
        <v/>
      </c>
      <c r="T65" s="1" t="str">
        <f t="shared" si="10"/>
        <v>Nagy</v>
      </c>
      <c r="U65" s="1" t="str">
        <f t="shared" si="11"/>
        <v>Nagy</v>
      </c>
      <c r="V65" s="152">
        <f t="shared" si="12"/>
        <v>1</v>
      </c>
      <c r="W65" s="152" t="str">
        <f t="shared" si="13"/>
        <v>M</v>
      </c>
      <c r="X65" s="140"/>
      <c r="Y65" s="140"/>
      <c r="Z65" s="140"/>
      <c r="AA65" s="139"/>
    </row>
    <row r="66" spans="2:27" ht="15" customHeight="1" x14ac:dyDescent="0.25">
      <c r="B66" s="142" t="s">
        <v>502</v>
      </c>
      <c r="C66" s="138">
        <v>35541</v>
      </c>
      <c r="D66" s="152">
        <f t="shared" ca="1" si="5"/>
        <v>23</v>
      </c>
      <c r="E66" s="140">
        <v>80</v>
      </c>
      <c r="F66" s="140">
        <v>10</v>
      </c>
      <c r="G66" s="140">
        <v>10</v>
      </c>
      <c r="H66" s="152">
        <f t="shared" si="6"/>
        <v>20</v>
      </c>
      <c r="I66" s="140">
        <v>6</v>
      </c>
      <c r="J66" s="140">
        <v>12</v>
      </c>
      <c r="K66" s="140"/>
      <c r="L66" s="140" t="s">
        <v>79</v>
      </c>
      <c r="M66" s="140">
        <v>181</v>
      </c>
      <c r="N66" s="140">
        <v>80</v>
      </c>
      <c r="O66" s="152" t="str">
        <f t="shared" si="7"/>
        <v>84 OZ, 20 (10+10)</v>
      </c>
      <c r="P66" s="152" t="str">
        <f t="shared" si="8"/>
        <v>181/80</v>
      </c>
      <c r="Q66" s="141" t="s">
        <v>547</v>
      </c>
      <c r="R66" s="140">
        <v>2007</v>
      </c>
      <c r="S66" s="152" t="str">
        <f t="shared" si="9"/>
        <v/>
      </c>
      <c r="T66" s="1" t="str">
        <f t="shared" si="10"/>
        <v>Kladivo</v>
      </c>
      <c r="U66" s="1" t="str">
        <f t="shared" si="11"/>
        <v>Kladivo</v>
      </c>
      <c r="V66" s="152">
        <f t="shared" si="12"/>
        <v>1</v>
      </c>
      <c r="W66" s="152" t="str">
        <f t="shared" si="13"/>
        <v>M</v>
      </c>
      <c r="X66" s="140"/>
      <c r="Y66" s="140"/>
      <c r="Z66" s="140"/>
      <c r="AA66" s="139"/>
    </row>
    <row r="67" spans="2:27" ht="15" customHeight="1" x14ac:dyDescent="0.25">
      <c r="B67" s="139" t="s">
        <v>496</v>
      </c>
      <c r="C67" s="138">
        <v>37776</v>
      </c>
      <c r="D67" s="152">
        <f t="shared" ca="1" si="5"/>
        <v>17</v>
      </c>
      <c r="E67" s="140">
        <v>0</v>
      </c>
      <c r="F67" s="140">
        <v>0</v>
      </c>
      <c r="G67" s="140">
        <v>0</v>
      </c>
      <c r="H67" s="152">
        <f t="shared" si="6"/>
        <v>0</v>
      </c>
      <c r="I67" s="140">
        <v>1</v>
      </c>
      <c r="J67" s="140">
        <v>49</v>
      </c>
      <c r="K67" s="140"/>
      <c r="L67" s="140" t="s">
        <v>79</v>
      </c>
      <c r="M67" s="140">
        <v>172</v>
      </c>
      <c r="N67" s="140">
        <v>67</v>
      </c>
      <c r="O67" s="152" t="str">
        <f t="shared" si="7"/>
        <v>1 OZ, 0 (0+0)</v>
      </c>
      <c r="P67" s="152" t="str">
        <f t="shared" si="8"/>
        <v>172/67</v>
      </c>
      <c r="Q67" s="141" t="s">
        <v>536</v>
      </c>
      <c r="R67" s="140">
        <v>2014</v>
      </c>
      <c r="S67" s="152" t="str">
        <f t="shared" si="9"/>
        <v/>
      </c>
      <c r="T67" s="1" t="str">
        <f t="shared" si="10"/>
        <v>Kahoun</v>
      </c>
      <c r="U67" s="1" t="str">
        <f t="shared" si="11"/>
        <v>Kahoun</v>
      </c>
      <c r="V67" s="152">
        <f t="shared" si="12"/>
        <v>1</v>
      </c>
      <c r="W67" s="152" t="str">
        <f t="shared" si="13"/>
        <v>O</v>
      </c>
      <c r="X67" s="140"/>
      <c r="Y67" s="140"/>
      <c r="Z67" s="140"/>
      <c r="AA67" s="139"/>
    </row>
    <row r="68" spans="2:27" ht="15" customHeight="1" x14ac:dyDescent="0.25">
      <c r="B68" s="139" t="s">
        <v>492</v>
      </c>
      <c r="C68" s="138">
        <v>34470</v>
      </c>
      <c r="D68" s="152">
        <f t="shared" ca="1" si="5"/>
        <v>26</v>
      </c>
      <c r="E68" s="140">
        <v>132</v>
      </c>
      <c r="F68" s="140">
        <v>41</v>
      </c>
      <c r="G68" s="140">
        <v>18</v>
      </c>
      <c r="H68" s="152">
        <f t="shared" si="6"/>
        <v>59</v>
      </c>
      <c r="I68" s="140">
        <v>9</v>
      </c>
      <c r="J68" s="140">
        <v>21</v>
      </c>
      <c r="K68" s="140"/>
      <c r="L68" s="140" t="s">
        <v>41</v>
      </c>
      <c r="M68" s="140">
        <v>176</v>
      </c>
      <c r="N68" s="140">
        <v>80</v>
      </c>
      <c r="O68" s="152" t="str">
        <f t="shared" si="7"/>
        <v>141 OZ, 61 (41+20)</v>
      </c>
      <c r="P68" s="152" t="str">
        <f t="shared" si="8"/>
        <v>176/80</v>
      </c>
      <c r="Q68" s="141" t="s">
        <v>548</v>
      </c>
      <c r="R68" s="140">
        <v>2005</v>
      </c>
      <c r="S68" s="152" t="str">
        <f t="shared" si="9"/>
        <v/>
      </c>
      <c r="T68" s="1" t="str">
        <f t="shared" si="10"/>
        <v>Jurčík</v>
      </c>
      <c r="U68" s="1" t="str">
        <f t="shared" si="11"/>
        <v>Jurčík</v>
      </c>
      <c r="V68" s="152">
        <f t="shared" si="12"/>
        <v>1</v>
      </c>
      <c r="W68" s="152" t="str">
        <f t="shared" si="13"/>
        <v>P</v>
      </c>
      <c r="X68" s="140"/>
      <c r="Y68" s="140"/>
      <c r="Z68" s="140"/>
      <c r="AA68" s="139"/>
    </row>
    <row r="69" spans="2:27" ht="15" customHeight="1" x14ac:dyDescent="0.25">
      <c r="B69" s="139" t="s">
        <v>483</v>
      </c>
      <c r="C69" s="138">
        <v>34858</v>
      </c>
      <c r="D69" s="152">
        <f t="shared" ca="1" si="5"/>
        <v>25</v>
      </c>
      <c r="E69" s="140">
        <v>39</v>
      </c>
      <c r="F69" s="140">
        <v>9</v>
      </c>
      <c r="G69" s="140">
        <v>10</v>
      </c>
      <c r="H69" s="152">
        <f t="shared" si="6"/>
        <v>19</v>
      </c>
      <c r="I69" s="140">
        <v>4</v>
      </c>
      <c r="J69" s="140">
        <v>99</v>
      </c>
      <c r="K69" s="140"/>
      <c r="L69" s="140" t="s">
        <v>79</v>
      </c>
      <c r="M69" s="140">
        <v>179</v>
      </c>
      <c r="N69" s="140">
        <v>77</v>
      </c>
      <c r="O69" s="152" t="str">
        <f t="shared" si="7"/>
        <v>53 OZ, 28 (17+11)</v>
      </c>
      <c r="P69" s="152" t="str">
        <f t="shared" si="8"/>
        <v>179/77</v>
      </c>
      <c r="Q69" s="141" t="s">
        <v>766</v>
      </c>
      <c r="R69" s="140">
        <v>2007</v>
      </c>
      <c r="S69" s="152" t="str">
        <f t="shared" si="9"/>
        <v/>
      </c>
      <c r="T69" s="1" t="str">
        <f t="shared" si="10"/>
        <v>Nehila</v>
      </c>
      <c r="U69" s="1" t="str">
        <f t="shared" si="11"/>
        <v>Nehila</v>
      </c>
      <c r="V69" s="152">
        <f t="shared" si="12"/>
        <v>1</v>
      </c>
      <c r="W69" s="152" t="str">
        <f t="shared" si="13"/>
        <v>P</v>
      </c>
      <c r="X69" s="140"/>
      <c r="Y69" s="140"/>
      <c r="Z69" s="140"/>
      <c r="AA69" s="139"/>
    </row>
    <row r="70" spans="2:27" ht="15" customHeight="1" x14ac:dyDescent="0.25">
      <c r="B70" s="139" t="s">
        <v>489</v>
      </c>
      <c r="C70" s="138">
        <v>36648</v>
      </c>
      <c r="D70" s="152">
        <f t="shared" ca="1" si="5"/>
        <v>20</v>
      </c>
      <c r="E70" s="140">
        <v>71</v>
      </c>
      <c r="F70" s="140">
        <v>29</v>
      </c>
      <c r="G70" s="140">
        <v>21</v>
      </c>
      <c r="H70" s="152">
        <f t="shared" si="6"/>
        <v>50</v>
      </c>
      <c r="I70" s="140">
        <v>4</v>
      </c>
      <c r="J70" s="140">
        <v>25</v>
      </c>
      <c r="K70" s="140"/>
      <c r="L70" s="140" t="s">
        <v>79</v>
      </c>
      <c r="M70" s="140">
        <v>185</v>
      </c>
      <c r="N70" s="140">
        <v>77</v>
      </c>
      <c r="O70" s="152" t="str">
        <f t="shared" si="7"/>
        <v>82 OZ, 55 (30+25)</v>
      </c>
      <c r="P70" s="152" t="str">
        <f t="shared" si="8"/>
        <v>185/77</v>
      </c>
      <c r="Q70" s="141" t="s">
        <v>27</v>
      </c>
      <c r="R70" s="140">
        <v>2008</v>
      </c>
      <c r="S70" s="152" t="str">
        <f t="shared" si="9"/>
        <v/>
      </c>
      <c r="T70" s="1" t="str">
        <f t="shared" si="10"/>
        <v>Koláčný</v>
      </c>
      <c r="U70" s="1" t="str">
        <f t="shared" si="11"/>
        <v>Koláčný</v>
      </c>
      <c r="V70" s="152">
        <f t="shared" si="12"/>
        <v>1</v>
      </c>
      <c r="W70" s="152" t="str">
        <f t="shared" si="13"/>
        <v>P</v>
      </c>
      <c r="X70" s="140"/>
      <c r="Y70" s="140"/>
      <c r="Z70" s="140"/>
      <c r="AA70" s="139"/>
    </row>
    <row r="71" spans="2:27" ht="15" customHeight="1" x14ac:dyDescent="0.25">
      <c r="B71" s="139" t="s">
        <v>499</v>
      </c>
      <c r="C71" s="138">
        <v>37962</v>
      </c>
      <c r="D71" s="152">
        <f t="shared" ca="1" si="5"/>
        <v>17</v>
      </c>
      <c r="E71" s="140">
        <v>0</v>
      </c>
      <c r="F71" s="140">
        <v>0</v>
      </c>
      <c r="G71" s="140">
        <v>0</v>
      </c>
      <c r="H71" s="152">
        <f t="shared" si="6"/>
        <v>0</v>
      </c>
      <c r="I71" s="140">
        <v>1</v>
      </c>
      <c r="J71" s="140">
        <v>55</v>
      </c>
      <c r="K71" s="140"/>
      <c r="L71" s="140" t="s">
        <v>79</v>
      </c>
      <c r="M71" s="140">
        <v>196</v>
      </c>
      <c r="N71" s="140">
        <v>91</v>
      </c>
      <c r="O71" s="152" t="str">
        <f t="shared" si="7"/>
        <v>2 OZ, 0 (0+0)</v>
      </c>
      <c r="P71" s="152" t="str">
        <f t="shared" si="8"/>
        <v>196/91</v>
      </c>
      <c r="Q71" s="141" t="s">
        <v>536</v>
      </c>
      <c r="R71" s="140">
        <v>2013</v>
      </c>
      <c r="S71" s="152" t="str">
        <f t="shared" si="9"/>
        <v/>
      </c>
      <c r="T71" s="1" t="str">
        <f t="shared" si="10"/>
        <v>Kopecký</v>
      </c>
      <c r="U71" s="1" t="str">
        <f t="shared" si="11"/>
        <v>Kopecký</v>
      </c>
      <c r="V71" s="152">
        <f t="shared" si="12"/>
        <v>1</v>
      </c>
      <c r="W71" s="152" t="str">
        <f t="shared" si="13"/>
        <v>P</v>
      </c>
      <c r="X71" s="140"/>
      <c r="Y71" s="140"/>
      <c r="Z71" s="140"/>
      <c r="AA71" s="139"/>
    </row>
    <row r="72" spans="2:27" ht="15" customHeight="1" x14ac:dyDescent="0.25">
      <c r="B72" s="139" t="s">
        <v>495</v>
      </c>
      <c r="C72" s="138">
        <v>37544</v>
      </c>
      <c r="D72" s="152">
        <f t="shared" ca="1" si="5"/>
        <v>18</v>
      </c>
      <c r="E72" s="140">
        <v>12</v>
      </c>
      <c r="F72" s="140">
        <v>0</v>
      </c>
      <c r="G72" s="140">
        <v>1</v>
      </c>
      <c r="H72" s="152">
        <f t="shared" si="6"/>
        <v>1</v>
      </c>
      <c r="I72" s="140">
        <v>2</v>
      </c>
      <c r="J72" s="140">
        <v>82</v>
      </c>
      <c r="K72" s="140"/>
      <c r="L72" s="140" t="s">
        <v>79</v>
      </c>
      <c r="M72" s="140">
        <v>187</v>
      </c>
      <c r="N72" s="140">
        <v>78</v>
      </c>
      <c r="O72" s="152" t="str">
        <f t="shared" si="7"/>
        <v>28 OZ, 3 (0+3)</v>
      </c>
      <c r="P72" s="152" t="str">
        <f t="shared" si="8"/>
        <v>187/78</v>
      </c>
      <c r="Q72" s="141" t="s">
        <v>536</v>
      </c>
      <c r="R72" s="140">
        <v>2012</v>
      </c>
      <c r="S72" s="152" t="str">
        <f t="shared" si="9"/>
        <v/>
      </c>
      <c r="T72" s="1" t="str">
        <f t="shared" si="10"/>
        <v>Pšenčík</v>
      </c>
      <c r="U72" s="1" t="str">
        <f t="shared" si="11"/>
        <v>Pšenčík</v>
      </c>
      <c r="V72" s="152">
        <f t="shared" si="12"/>
        <v>1</v>
      </c>
      <c r="W72" s="152" t="str">
        <f t="shared" si="13"/>
        <v>P</v>
      </c>
      <c r="X72" s="140"/>
      <c r="Y72" s="140"/>
      <c r="Z72" s="140"/>
      <c r="AA72" s="139"/>
    </row>
    <row r="73" spans="2:27" ht="15" customHeight="1" x14ac:dyDescent="0.25">
      <c r="B73" s="142" t="s">
        <v>500</v>
      </c>
      <c r="C73" s="138">
        <v>33031</v>
      </c>
      <c r="D73" s="152">
        <f t="shared" ca="1" si="5"/>
        <v>30</v>
      </c>
      <c r="E73" s="140">
        <v>197</v>
      </c>
      <c r="F73" s="140">
        <v>106</v>
      </c>
      <c r="G73" s="140">
        <v>61</v>
      </c>
      <c r="H73" s="152">
        <f t="shared" si="6"/>
        <v>167</v>
      </c>
      <c r="I73" s="140">
        <v>10</v>
      </c>
      <c r="J73" s="140">
        <v>7</v>
      </c>
      <c r="K73" s="140"/>
      <c r="L73" s="140" t="s">
        <v>79</v>
      </c>
      <c r="M73" s="140">
        <v>190</v>
      </c>
      <c r="N73" s="140">
        <v>82</v>
      </c>
      <c r="O73" s="152" t="str">
        <f t="shared" si="7"/>
        <v>202 OZ, 168 (106+62)</v>
      </c>
      <c r="P73" s="152" t="str">
        <f t="shared" si="8"/>
        <v>190/82</v>
      </c>
      <c r="Q73" s="141" t="s">
        <v>536</v>
      </c>
      <c r="R73" s="140">
        <v>2004</v>
      </c>
      <c r="S73" s="152" t="str">
        <f t="shared" si="9"/>
        <v/>
      </c>
      <c r="T73" s="1" t="str">
        <f t="shared" si="10"/>
        <v>Sovják</v>
      </c>
      <c r="U73" s="1" t="str">
        <f t="shared" si="11"/>
        <v>Sovják</v>
      </c>
      <c r="V73" s="152">
        <f t="shared" si="12"/>
        <v>1</v>
      </c>
      <c r="W73" s="152" t="str">
        <f t="shared" si="13"/>
        <v>T</v>
      </c>
      <c r="X73" s="140"/>
      <c r="Y73" s="140"/>
      <c r="Z73" s="140"/>
      <c r="AA73" s="139"/>
    </row>
    <row r="74" spans="2:27" ht="15" customHeight="1" x14ac:dyDescent="0.25">
      <c r="B74" s="139" t="s">
        <v>497</v>
      </c>
      <c r="C74" s="138">
        <v>36671</v>
      </c>
      <c r="D74" s="152">
        <f t="shared" ca="1" si="5"/>
        <v>20</v>
      </c>
      <c r="E74" s="140">
        <v>3</v>
      </c>
      <c r="F74" s="140">
        <v>0</v>
      </c>
      <c r="G74" s="140">
        <v>0</v>
      </c>
      <c r="H74" s="152">
        <f t="shared" si="6"/>
        <v>0</v>
      </c>
      <c r="I74" s="140">
        <v>2</v>
      </c>
      <c r="J74" s="140">
        <v>9</v>
      </c>
      <c r="K74" s="140"/>
      <c r="L74" s="140" t="s">
        <v>41</v>
      </c>
      <c r="M74" s="140">
        <v>187</v>
      </c>
      <c r="N74" s="140">
        <v>77</v>
      </c>
      <c r="O74" s="152" t="str">
        <f t="shared" si="7"/>
        <v>4 OZ, 0 (0+0)</v>
      </c>
      <c r="P74" s="152" t="str">
        <f t="shared" si="8"/>
        <v>187/77</v>
      </c>
      <c r="Q74" s="141" t="s">
        <v>550</v>
      </c>
      <c r="R74" s="140">
        <v>2010</v>
      </c>
      <c r="S74" s="152" t="str">
        <f t="shared" si="9"/>
        <v/>
      </c>
      <c r="T74" s="1" t="str">
        <f t="shared" si="10"/>
        <v>Blažek</v>
      </c>
      <c r="U74" s="1" t="str">
        <f t="shared" si="11"/>
        <v>Blažek</v>
      </c>
      <c r="V74" s="152">
        <f t="shared" si="12"/>
        <v>1</v>
      </c>
      <c r="W74" s="152" t="str">
        <f t="shared" si="13"/>
        <v>V</v>
      </c>
      <c r="X74" s="140"/>
      <c r="Y74" s="140"/>
      <c r="Z74" s="140"/>
      <c r="AA74" s="139"/>
    </row>
    <row r="75" spans="2:27" ht="15" customHeight="1" x14ac:dyDescent="0.25">
      <c r="B75" s="139" t="s">
        <v>486</v>
      </c>
      <c r="C75" s="138">
        <v>36468</v>
      </c>
      <c r="D75" s="152">
        <f t="shared" ca="1" si="5"/>
        <v>21</v>
      </c>
      <c r="E75" s="140">
        <v>26</v>
      </c>
      <c r="F75" s="140">
        <v>4</v>
      </c>
      <c r="G75" s="140">
        <v>4</v>
      </c>
      <c r="H75" s="152">
        <f t="shared" si="6"/>
        <v>8</v>
      </c>
      <c r="I75" s="140">
        <v>2</v>
      </c>
      <c r="J75" s="140">
        <v>6</v>
      </c>
      <c r="K75" s="140"/>
      <c r="L75" s="140" t="s">
        <v>79</v>
      </c>
      <c r="M75" s="140">
        <v>177</v>
      </c>
      <c r="N75" s="140">
        <v>70</v>
      </c>
      <c r="O75" s="152" t="str">
        <f t="shared" si="7"/>
        <v>39 OZ, 16 (8+8)</v>
      </c>
      <c r="P75" s="152" t="str">
        <f t="shared" si="8"/>
        <v>177/70</v>
      </c>
      <c r="Q75" s="141" t="s">
        <v>546</v>
      </c>
      <c r="R75" s="140">
        <v>2015</v>
      </c>
      <c r="S75" s="152" t="str">
        <f t="shared" si="9"/>
        <v/>
      </c>
      <c r="T75" s="1" t="str">
        <f t="shared" si="10"/>
        <v>Červenka</v>
      </c>
      <c r="U75" s="1" t="str">
        <f t="shared" si="11"/>
        <v>Červenka</v>
      </c>
      <c r="V75" s="152">
        <f t="shared" si="12"/>
        <v>1</v>
      </c>
      <c r="W75" s="152" t="str">
        <f t="shared" si="13"/>
        <v>V</v>
      </c>
      <c r="X75" s="140"/>
      <c r="Y75" s="140"/>
      <c r="Z75" s="140"/>
      <c r="AA75" s="139"/>
    </row>
    <row r="76" spans="2:27" ht="15" customHeight="1" x14ac:dyDescent="0.25">
      <c r="B76" s="142" t="s">
        <v>504</v>
      </c>
      <c r="C76" s="138">
        <v>36002</v>
      </c>
      <c r="D76" s="152">
        <f t="shared" ca="1" si="5"/>
        <v>22</v>
      </c>
      <c r="E76" s="140">
        <v>0</v>
      </c>
      <c r="F76" s="140">
        <v>0</v>
      </c>
      <c r="G76" s="140">
        <v>0</v>
      </c>
      <c r="H76" s="152">
        <f t="shared" si="6"/>
        <v>0</v>
      </c>
      <c r="I76" s="140">
        <v>1</v>
      </c>
      <c r="J76" s="140">
        <v>30</v>
      </c>
      <c r="K76" s="140"/>
      <c r="L76" s="140" t="s">
        <v>30</v>
      </c>
      <c r="M76" s="140">
        <v>183</v>
      </c>
      <c r="N76" s="140">
        <v>93</v>
      </c>
      <c r="O76" s="152" t="str">
        <f t="shared" si="7"/>
        <v>1 OZ, 0 (0+0)</v>
      </c>
      <c r="P76" s="152" t="str">
        <f t="shared" si="8"/>
        <v>183/93</v>
      </c>
      <c r="Q76" s="141" t="s">
        <v>545</v>
      </c>
      <c r="R76" s="140">
        <v>2002</v>
      </c>
      <c r="S76" s="152" t="str">
        <f t="shared" si="9"/>
        <v>2 OZ, 0 A</v>
      </c>
      <c r="T76" s="1" t="str">
        <f t="shared" si="10"/>
        <v>Raška</v>
      </c>
      <c r="U76" s="1" t="str">
        <f t="shared" si="11"/>
        <v>Raška</v>
      </c>
      <c r="V76" s="152">
        <f t="shared" si="12"/>
        <v>1</v>
      </c>
      <c r="W76" s="152" t="str">
        <f t="shared" si="13"/>
        <v>Z</v>
      </c>
      <c r="X76" s="140"/>
      <c r="Y76" s="140"/>
      <c r="Z76" s="140"/>
      <c r="AA76" s="139"/>
    </row>
    <row r="77" spans="2:27" ht="15" customHeight="1" x14ac:dyDescent="0.25">
      <c r="B77" s="139"/>
      <c r="C77" s="138"/>
      <c r="D77" s="152" t="str">
        <f t="shared" ref="D77:D82" si="14">IF(C77 &lt;&gt; 0,ROUNDDOWN(($A$47-C77)/365.25,0),"")</f>
        <v/>
      </c>
      <c r="E77" s="140"/>
      <c r="F77" s="140"/>
      <c r="G77" s="140"/>
      <c r="H77" s="152" t="str">
        <f t="shared" ref="H77:H82" si="15">IF(B77&lt;&gt;0,F77+G77,"")</f>
        <v/>
      </c>
      <c r="I77" s="140"/>
      <c r="J77" s="140"/>
      <c r="K77" s="140"/>
      <c r="L77" s="140"/>
      <c r="M77" s="140"/>
      <c r="N77" s="140"/>
      <c r="O77" s="152" t="str">
        <f t="shared" ref="O77:O82" si="16">IF(B77&lt;&gt;0,CONCATENATE(E77+IFERROR(VLOOKUP(B77,$B$2:$N$36,4,FALSE),0) + X77, " OZ, ", H77+IFERROR(VLOOKUP(B77,$B$2:$N$36,9,FALSE),0) + Y77+Z77, " (", F77+IFERROR(VLOOKUP(B77,$B$2:$N$36,5,FALSE),0) + Y77, "+",G77+IFERROR(VLOOKUP(B77,$B$2:$N$36,8,FALSE),0) +  Z77, ")"), "")</f>
        <v/>
      </c>
      <c r="P77" s="152" t="str">
        <f t="shared" ref="P77:P82" si="17">IF(M77&lt;&gt;0,CONCATENATE(M77,"/",N77),"")</f>
        <v/>
      </c>
      <c r="Q77" s="141"/>
      <c r="R77" s="140"/>
      <c r="S77" s="15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2" t="str">
        <f t="shared" ref="V77:V82" si="21">IF(B77&lt;&gt;0,COUNTIF($U$48:$U$82,U77),"")</f>
        <v/>
      </c>
      <c r="W77" s="152" t="str">
        <f t="shared" ref="W77:W82" si="22">IFERROR(LEFT(LEFT(B77,SEARCH(" ",B77,1)),1),"")</f>
        <v/>
      </c>
      <c r="X77" s="140"/>
      <c r="Y77" s="140"/>
      <c r="Z77" s="140"/>
      <c r="AA77" s="139"/>
    </row>
    <row r="78" spans="2:27" ht="15" customHeight="1" x14ac:dyDescent="0.25">
      <c r="B78" s="139"/>
      <c r="C78" s="138"/>
      <c r="D78" s="152" t="str">
        <f t="shared" si="14"/>
        <v/>
      </c>
      <c r="E78" s="140"/>
      <c r="F78" s="140"/>
      <c r="G78" s="140"/>
      <c r="H78" s="152" t="str">
        <f t="shared" si="15"/>
        <v/>
      </c>
      <c r="I78" s="140"/>
      <c r="J78" s="140"/>
      <c r="K78" s="140"/>
      <c r="L78" s="140"/>
      <c r="M78" s="140"/>
      <c r="N78" s="140"/>
      <c r="O78" s="152" t="str">
        <f t="shared" si="16"/>
        <v/>
      </c>
      <c r="P78" s="152" t="str">
        <f t="shared" si="17"/>
        <v/>
      </c>
      <c r="Q78" s="141"/>
      <c r="R78" s="140"/>
      <c r="S78" s="152" t="str">
        <f t="shared" si="18"/>
        <v/>
      </c>
      <c r="T78" s="1" t="str">
        <f t="shared" si="19"/>
        <v/>
      </c>
      <c r="U78" s="1" t="str">
        <f t="shared" si="20"/>
        <v/>
      </c>
      <c r="V78" s="152" t="str">
        <f t="shared" si="21"/>
        <v/>
      </c>
      <c r="W78" s="152" t="str">
        <f t="shared" si="22"/>
        <v/>
      </c>
      <c r="X78" s="140"/>
      <c r="Y78" s="140"/>
      <c r="Z78" s="140"/>
      <c r="AA78" s="139"/>
    </row>
    <row r="79" spans="2:27" ht="15" customHeight="1" x14ac:dyDescent="0.25">
      <c r="B79" s="139"/>
      <c r="C79" s="138"/>
      <c r="D79" s="152" t="str">
        <f t="shared" si="14"/>
        <v/>
      </c>
      <c r="E79" s="140"/>
      <c r="F79" s="140"/>
      <c r="G79" s="140"/>
      <c r="H79" s="152" t="str">
        <f t="shared" si="15"/>
        <v/>
      </c>
      <c r="I79" s="140"/>
      <c r="J79" s="140"/>
      <c r="K79" s="140"/>
      <c r="L79" s="140"/>
      <c r="M79" s="140"/>
      <c r="N79" s="140"/>
      <c r="O79" s="152" t="str">
        <f t="shared" si="16"/>
        <v/>
      </c>
      <c r="P79" s="152" t="str">
        <f t="shared" si="17"/>
        <v/>
      </c>
      <c r="Q79" s="141"/>
      <c r="R79" s="140"/>
      <c r="S79" s="152" t="str">
        <f t="shared" si="18"/>
        <v/>
      </c>
      <c r="T79" s="1" t="str">
        <f t="shared" si="19"/>
        <v/>
      </c>
      <c r="U79" s="1" t="str">
        <f t="shared" si="20"/>
        <v/>
      </c>
      <c r="V79" s="152" t="str">
        <f t="shared" si="21"/>
        <v/>
      </c>
      <c r="W79" s="152" t="str">
        <f t="shared" si="22"/>
        <v/>
      </c>
      <c r="X79" s="140"/>
      <c r="Y79" s="140"/>
      <c r="Z79" s="140"/>
      <c r="AA79" s="139"/>
    </row>
    <row r="80" spans="2:27" ht="15" customHeight="1" x14ac:dyDescent="0.25">
      <c r="B80" s="139"/>
      <c r="C80" s="138"/>
      <c r="D80" s="152" t="str">
        <f t="shared" si="14"/>
        <v/>
      </c>
      <c r="E80" s="140"/>
      <c r="F80" s="140"/>
      <c r="G80" s="140"/>
      <c r="H80" s="152" t="str">
        <f t="shared" si="15"/>
        <v/>
      </c>
      <c r="I80" s="140"/>
      <c r="J80" s="140"/>
      <c r="K80" s="140"/>
      <c r="L80" s="140"/>
      <c r="M80" s="140"/>
      <c r="N80" s="140"/>
      <c r="O80" s="152" t="str">
        <f t="shared" si="16"/>
        <v/>
      </c>
      <c r="P80" s="152" t="str">
        <f t="shared" si="17"/>
        <v/>
      </c>
      <c r="Q80" s="141"/>
      <c r="R80" s="140"/>
      <c r="S80" s="152" t="str">
        <f t="shared" si="18"/>
        <v/>
      </c>
      <c r="T80" s="1" t="str">
        <f t="shared" si="19"/>
        <v/>
      </c>
      <c r="U80" s="1" t="str">
        <f t="shared" si="20"/>
        <v/>
      </c>
      <c r="V80" s="152" t="str">
        <f t="shared" si="21"/>
        <v/>
      </c>
      <c r="W80" s="152" t="str">
        <f t="shared" si="22"/>
        <v/>
      </c>
      <c r="X80" s="140"/>
      <c r="Y80" s="140"/>
      <c r="Z80" s="140"/>
      <c r="AA80" s="139"/>
    </row>
    <row r="81" spans="1:27" ht="15" customHeight="1" x14ac:dyDescent="0.25">
      <c r="B81" s="139"/>
      <c r="C81" s="138"/>
      <c r="D81" s="152" t="str">
        <f t="shared" si="14"/>
        <v/>
      </c>
      <c r="E81" s="140"/>
      <c r="F81" s="140"/>
      <c r="G81" s="140"/>
      <c r="H81" s="152" t="str">
        <f t="shared" si="15"/>
        <v/>
      </c>
      <c r="I81" s="140"/>
      <c r="J81" s="140"/>
      <c r="K81" s="140"/>
      <c r="L81" s="140"/>
      <c r="M81" s="140"/>
      <c r="N81" s="140"/>
      <c r="O81" s="152" t="str">
        <f t="shared" si="16"/>
        <v/>
      </c>
      <c r="P81" s="152" t="str">
        <f t="shared" si="17"/>
        <v/>
      </c>
      <c r="Q81" s="141"/>
      <c r="R81" s="140"/>
      <c r="S81" s="152" t="str">
        <f t="shared" si="18"/>
        <v/>
      </c>
      <c r="T81" s="1" t="str">
        <f t="shared" si="19"/>
        <v/>
      </c>
      <c r="U81" s="1" t="str">
        <f t="shared" si="20"/>
        <v/>
      </c>
      <c r="V81" s="152" t="str">
        <f t="shared" si="21"/>
        <v/>
      </c>
      <c r="W81" s="152" t="str">
        <f t="shared" si="22"/>
        <v/>
      </c>
      <c r="X81" s="140"/>
      <c r="Y81" s="140"/>
      <c r="Z81" s="140"/>
      <c r="AA81" s="139"/>
    </row>
    <row r="82" spans="1:27" ht="15" customHeight="1" x14ac:dyDescent="0.25">
      <c r="B82" s="139"/>
      <c r="C82" s="138"/>
      <c r="D82" s="152" t="str">
        <f t="shared" si="14"/>
        <v/>
      </c>
      <c r="E82" s="140"/>
      <c r="F82" s="140"/>
      <c r="G82" s="140"/>
      <c r="H82" s="152" t="str">
        <f t="shared" si="15"/>
        <v/>
      </c>
      <c r="I82" s="140"/>
      <c r="J82" s="140"/>
      <c r="K82" s="140"/>
      <c r="L82" s="140"/>
      <c r="M82" s="140"/>
      <c r="N82" s="140"/>
      <c r="O82" s="152" t="str">
        <f t="shared" si="16"/>
        <v/>
      </c>
      <c r="P82" s="152" t="str">
        <f t="shared" si="17"/>
        <v/>
      </c>
      <c r="Q82" s="141"/>
      <c r="R82" s="140"/>
      <c r="S82" s="152" t="str">
        <f t="shared" si="18"/>
        <v/>
      </c>
      <c r="T82" s="1" t="str">
        <f t="shared" si="19"/>
        <v/>
      </c>
      <c r="U82" s="1" t="str">
        <f t="shared" si="20"/>
        <v/>
      </c>
      <c r="V82" s="152" t="str">
        <f t="shared" si="21"/>
        <v/>
      </c>
      <c r="W82" s="152" t="str">
        <f t="shared" si="22"/>
        <v/>
      </c>
      <c r="X82" s="140"/>
      <c r="Y82" s="140"/>
      <c r="Z82" s="140"/>
      <c r="AA82" s="139"/>
    </row>
    <row r="84" spans="1:27" s="153" customFormat="1" ht="15" customHeight="1" x14ac:dyDescent="0.25">
      <c r="A84" s="7">
        <f ca="1">TODAY()</f>
        <v>44214</v>
      </c>
      <c r="B84" s="153" t="s">
        <v>60</v>
      </c>
      <c r="C84" s="153" t="s">
        <v>67</v>
      </c>
      <c r="D84" s="153" t="s">
        <v>68</v>
      </c>
      <c r="E84" s="346" t="s">
        <v>95</v>
      </c>
      <c r="F84" s="346"/>
      <c r="G84" s="346" t="s">
        <v>101</v>
      </c>
      <c r="H84" s="346"/>
      <c r="I84" s="346"/>
      <c r="J84" s="346"/>
      <c r="K84" s="346"/>
      <c r="Q84" s="9"/>
    </row>
    <row r="85" spans="1:27" ht="30" customHeight="1" x14ac:dyDescent="0.25">
      <c r="B85" s="139" t="s">
        <v>551</v>
      </c>
      <c r="C85" s="138">
        <v>27314</v>
      </c>
      <c r="D85" s="152">
        <f ca="1">IF(B85&lt;&gt;0,ROUNDDOWN(($A$84-C85)/365.25,0),"")</f>
        <v>46</v>
      </c>
      <c r="E85" s="344" t="s">
        <v>189</v>
      </c>
      <c r="F85" s="344"/>
      <c r="G85" s="344" t="s">
        <v>30</v>
      </c>
      <c r="H85" s="344"/>
      <c r="I85" s="344"/>
      <c r="J85" s="344"/>
      <c r="K85" s="344"/>
    </row>
    <row r="86" spans="1:27" ht="30" customHeight="1" x14ac:dyDescent="0.25">
      <c r="B86" s="139" t="s">
        <v>552</v>
      </c>
      <c r="C86" s="138">
        <v>33731</v>
      </c>
      <c r="D86" s="152">
        <f t="shared" ref="D86:D92" ca="1" si="23">IF(B86&lt;&gt;0,ROUNDDOWN(($A$84-C86)/365.25,0),"")</f>
        <v>28</v>
      </c>
      <c r="E86" s="344" t="s">
        <v>192</v>
      </c>
      <c r="F86" s="344"/>
      <c r="G86" s="344" t="s">
        <v>30</v>
      </c>
      <c r="H86" s="344"/>
      <c r="I86" s="344"/>
      <c r="J86" s="344"/>
      <c r="K86" s="344"/>
    </row>
    <row r="87" spans="1:27" ht="30" customHeight="1" x14ac:dyDescent="0.25">
      <c r="B87" s="139" t="s">
        <v>553</v>
      </c>
      <c r="C87" s="138">
        <v>25991</v>
      </c>
      <c r="D87" s="152">
        <f t="shared" ca="1" si="23"/>
        <v>49</v>
      </c>
      <c r="E87" s="344" t="s">
        <v>102</v>
      </c>
      <c r="F87" s="344"/>
      <c r="G87" s="344" t="s">
        <v>30</v>
      </c>
      <c r="H87" s="344"/>
      <c r="I87" s="344"/>
      <c r="J87" s="344"/>
      <c r="K87" s="344"/>
    </row>
    <row r="88" spans="1:27" ht="30" customHeight="1" x14ac:dyDescent="0.25">
      <c r="B88" s="139"/>
      <c r="C88" s="138"/>
      <c r="D88" s="152" t="str">
        <f t="shared" si="23"/>
        <v/>
      </c>
      <c r="E88" s="344"/>
      <c r="F88" s="344"/>
      <c r="G88" s="344"/>
      <c r="H88" s="344"/>
      <c r="I88" s="344"/>
      <c r="J88" s="344"/>
      <c r="K88" s="344"/>
    </row>
    <row r="89" spans="1:27" ht="30" customHeight="1" x14ac:dyDescent="0.25">
      <c r="B89" s="139"/>
      <c r="C89" s="138"/>
      <c r="D89" s="152" t="str">
        <f t="shared" si="23"/>
        <v/>
      </c>
      <c r="E89" s="344"/>
      <c r="F89" s="344"/>
      <c r="G89" s="344"/>
      <c r="H89" s="344"/>
      <c r="I89" s="344"/>
      <c r="J89" s="344"/>
      <c r="K89" s="344"/>
    </row>
    <row r="90" spans="1:27" ht="30" customHeight="1" x14ac:dyDescent="0.25">
      <c r="B90" s="139"/>
      <c r="C90" s="139"/>
      <c r="D90" s="152" t="str">
        <f t="shared" si="23"/>
        <v/>
      </c>
      <c r="E90" s="344"/>
      <c r="F90" s="344"/>
      <c r="G90" s="344"/>
      <c r="H90" s="344"/>
      <c r="I90" s="344"/>
      <c r="J90" s="344"/>
      <c r="K90" s="344"/>
    </row>
    <row r="91" spans="1:27" ht="30" customHeight="1" x14ac:dyDescent="0.25">
      <c r="B91" s="139"/>
      <c r="C91" s="139"/>
      <c r="D91" s="152" t="str">
        <f t="shared" si="23"/>
        <v/>
      </c>
      <c r="E91" s="344"/>
      <c r="F91" s="344"/>
      <c r="G91" s="344"/>
      <c r="H91" s="344"/>
      <c r="I91" s="344"/>
      <c r="J91" s="344"/>
      <c r="K91" s="344"/>
    </row>
    <row r="92" spans="1:27" ht="30" customHeight="1" x14ac:dyDescent="0.25">
      <c r="B92" s="139"/>
      <c r="C92" s="139"/>
      <c r="D92" s="152" t="str">
        <f t="shared" si="23"/>
        <v/>
      </c>
      <c r="E92" s="344"/>
      <c r="F92" s="344"/>
      <c r="G92" s="344"/>
      <c r="H92" s="344"/>
      <c r="I92" s="344"/>
      <c r="J92" s="344"/>
      <c r="K92" s="344"/>
    </row>
  </sheetData>
  <sheetProtection algorithmName="SHA-512" hashValue="HieVhVU05EKjTSCy6p9DeeFT5SrYNeLU3ShuFNiLUVp332Jqfk9BtLBJQ/5lAPcc3T+nnuDWnU8jEwoytcwMZg==" saltValue="qhb1Zw3fEODqCw6ejVSEbw==" spinCount="100000" sheet="1" objects="1" scenarios="1" selectLockedCells="1"/>
  <sortState ref="B48:Z76">
    <sortCondition ref="B48:B76"/>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6" t="s">
        <v>36</v>
      </c>
      <c r="B1" s="1" t="s">
        <v>507</v>
      </c>
      <c r="C1" s="181">
        <v>16</v>
      </c>
      <c r="D1" s="347" t="str">
        <f t="shared" ref="D1" si="0">IFERROR(RIGHT(B1,LEN(B1)-SEARCH(" ",B1)),"")</f>
        <v>František Vykopal</v>
      </c>
      <c r="E1" s="347"/>
      <c r="F1" s="152"/>
    </row>
    <row r="2" spans="1:6" x14ac:dyDescent="0.25">
      <c r="A2" s="346"/>
      <c r="B2" s="1" t="s">
        <v>508</v>
      </c>
      <c r="C2" s="181">
        <v>15</v>
      </c>
      <c r="D2" s="347" t="str">
        <f t="shared" ref="D2:D30" si="1">IFERROR(RIGHT(B2,LEN(B2)-SEARCH(" ",B2)),"")</f>
        <v>Matěj Hronek</v>
      </c>
      <c r="E2" s="347"/>
      <c r="F2" s="152"/>
    </row>
    <row r="3" spans="1:6" x14ac:dyDescent="0.25">
      <c r="A3" s="346"/>
      <c r="B3" s="1" t="s">
        <v>509</v>
      </c>
      <c r="C3" s="181">
        <v>12</v>
      </c>
      <c r="D3" s="347" t="str">
        <f t="shared" si="1"/>
        <v>Filip Hrabal</v>
      </c>
      <c r="E3" s="347"/>
      <c r="F3" s="152"/>
    </row>
    <row r="4" spans="1:6" x14ac:dyDescent="0.25">
      <c r="A4" s="346"/>
      <c r="B4" s="1" t="s">
        <v>510</v>
      </c>
      <c r="C4" s="181">
        <v>10</v>
      </c>
      <c r="D4" s="347" t="str">
        <f t="shared" si="1"/>
        <v>Ladislav Gál</v>
      </c>
      <c r="E4" s="347"/>
      <c r="F4" s="152"/>
    </row>
    <row r="5" spans="1:6" x14ac:dyDescent="0.25">
      <c r="A5" s="346"/>
      <c r="B5" s="1" t="s">
        <v>516</v>
      </c>
      <c r="C5" s="181">
        <v>9</v>
      </c>
      <c r="D5" s="347" t="str">
        <f t="shared" si="1"/>
        <v>Peter Nehila</v>
      </c>
      <c r="E5" s="347"/>
      <c r="F5" s="152"/>
    </row>
    <row r="6" spans="1:6" x14ac:dyDescent="0.25">
      <c r="A6" s="346" t="s">
        <v>244</v>
      </c>
      <c r="B6" s="1" t="s">
        <v>511</v>
      </c>
      <c r="C6" s="181" t="s">
        <v>749</v>
      </c>
      <c r="D6" s="347" t="str">
        <f t="shared" si="1"/>
        <v>Kevin Majrich</v>
      </c>
      <c r="E6" s="347"/>
      <c r="F6" s="152">
        <f t="shared" ref="F6:F10" si="2">IF(B6&lt;&gt;0,_xlfn.NUMBERVALUE(C6,","),"")</f>
        <v>6.71</v>
      </c>
    </row>
    <row r="7" spans="1:6" x14ac:dyDescent="0.25">
      <c r="A7" s="346"/>
      <c r="B7" s="1" t="s">
        <v>512</v>
      </c>
      <c r="C7" s="181" t="s">
        <v>513</v>
      </c>
      <c r="D7" s="347" t="str">
        <f t="shared" si="1"/>
        <v>Zdeněk Raška</v>
      </c>
      <c r="E7" s="347"/>
      <c r="F7" s="152">
        <f t="shared" si="2"/>
        <v>9.75</v>
      </c>
    </row>
    <row r="8" spans="1:6" x14ac:dyDescent="0.25">
      <c r="A8" s="346"/>
      <c r="B8" s="1" t="s">
        <v>514</v>
      </c>
      <c r="C8" s="181" t="s">
        <v>515</v>
      </c>
      <c r="D8" s="347" t="str">
        <f t="shared" si="1"/>
        <v>Matěj Kubíček</v>
      </c>
      <c r="E8" s="347"/>
      <c r="F8" s="152">
        <f t="shared" si="2"/>
        <v>11</v>
      </c>
    </row>
    <row r="9" spans="1:6" x14ac:dyDescent="0.25">
      <c r="A9" s="346"/>
      <c r="B9" s="1"/>
      <c r="C9" s="181"/>
      <c r="D9" s="347" t="str">
        <f t="shared" si="1"/>
        <v/>
      </c>
      <c r="E9" s="347"/>
      <c r="F9" s="152" t="str">
        <f t="shared" si="2"/>
        <v/>
      </c>
    </row>
    <row r="10" spans="1:6" x14ac:dyDescent="0.25">
      <c r="A10" s="346"/>
      <c r="B10" s="1"/>
      <c r="C10" s="181"/>
      <c r="D10" s="347" t="str">
        <f t="shared" si="1"/>
        <v/>
      </c>
      <c r="E10" s="347"/>
      <c r="F10" s="152" t="str">
        <f t="shared" si="2"/>
        <v/>
      </c>
    </row>
    <row r="11" spans="1:6" x14ac:dyDescent="0.25">
      <c r="A11" s="346" t="s">
        <v>35</v>
      </c>
      <c r="B11" s="1" t="s">
        <v>698</v>
      </c>
      <c r="C11" s="181">
        <v>9</v>
      </c>
      <c r="D11" s="347" t="str">
        <f t="shared" si="1"/>
        <v>Filip Hrabal</v>
      </c>
      <c r="E11" s="347"/>
      <c r="F11" s="152"/>
    </row>
    <row r="12" spans="1:6" x14ac:dyDescent="0.25">
      <c r="A12" s="346"/>
      <c r="B12" s="1" t="s">
        <v>520</v>
      </c>
      <c r="C12" s="181">
        <v>9</v>
      </c>
      <c r="D12" s="347" t="str">
        <f t="shared" si="1"/>
        <v>František Vykopal</v>
      </c>
      <c r="E12" s="347"/>
      <c r="F12" s="152"/>
    </row>
    <row r="13" spans="1:6" x14ac:dyDescent="0.25">
      <c r="A13" s="346"/>
      <c r="B13" s="1" t="s">
        <v>750</v>
      </c>
      <c r="C13" s="181">
        <v>8</v>
      </c>
      <c r="D13" s="347" t="str">
        <f t="shared" si="1"/>
        <v>Peter Nehila</v>
      </c>
      <c r="E13" s="347"/>
      <c r="F13" s="152"/>
    </row>
    <row r="14" spans="1:6" x14ac:dyDescent="0.25">
      <c r="A14" s="346"/>
      <c r="B14" s="1" t="s">
        <v>510</v>
      </c>
      <c r="C14" s="181">
        <v>6</v>
      </c>
      <c r="D14" s="347" t="str">
        <f t="shared" si="1"/>
        <v>Ladislav Gál</v>
      </c>
      <c r="E14" s="347"/>
      <c r="F14" s="152"/>
    </row>
    <row r="15" spans="1:6" x14ac:dyDescent="0.25">
      <c r="A15" s="346"/>
      <c r="B15" s="1" t="s">
        <v>751</v>
      </c>
      <c r="C15" s="181">
        <v>6</v>
      </c>
      <c r="D15" s="347" t="str">
        <f t="shared" si="1"/>
        <v>Matěj Hronek</v>
      </c>
      <c r="E15" s="347"/>
      <c r="F15" s="152"/>
    </row>
    <row r="16" spans="1:6" x14ac:dyDescent="0.25">
      <c r="A16" s="346" t="s">
        <v>231</v>
      </c>
      <c r="B16" s="1" t="s">
        <v>511</v>
      </c>
      <c r="C16" s="181">
        <v>2</v>
      </c>
      <c r="D16" s="347" t="str">
        <f t="shared" si="1"/>
        <v>Kevin Majrich</v>
      </c>
      <c r="E16" s="347"/>
      <c r="F16" s="152">
        <f t="shared" ref="F16:F20" si="3">IF(B16&lt;&gt;0,_xlfn.NUMBERVALUE(C16,","),"")</f>
        <v>2</v>
      </c>
    </row>
    <row r="17" spans="1:6" x14ac:dyDescent="0.25">
      <c r="A17" s="346"/>
      <c r="B17" s="1" t="s">
        <v>517</v>
      </c>
      <c r="C17" s="181">
        <v>0</v>
      </c>
      <c r="D17" s="347" t="str">
        <f t="shared" si="1"/>
        <v>Matěj Kubíček</v>
      </c>
      <c r="E17" s="347"/>
      <c r="F17" s="152">
        <f t="shared" si="3"/>
        <v>0</v>
      </c>
    </row>
    <row r="18" spans="1:6" x14ac:dyDescent="0.25">
      <c r="A18" s="346"/>
      <c r="B18" s="1" t="s">
        <v>518</v>
      </c>
      <c r="C18" s="181">
        <v>0</v>
      </c>
      <c r="D18" s="347" t="str">
        <f t="shared" si="1"/>
        <v>Zdeněk Raška</v>
      </c>
      <c r="E18" s="347"/>
      <c r="F18" s="152">
        <f t="shared" si="3"/>
        <v>0</v>
      </c>
    </row>
    <row r="19" spans="1:6" x14ac:dyDescent="0.25">
      <c r="A19" s="346"/>
      <c r="B19" s="1"/>
      <c r="C19" s="181"/>
      <c r="D19" s="347" t="str">
        <f t="shared" si="1"/>
        <v/>
      </c>
      <c r="E19" s="347"/>
      <c r="F19" s="152" t="str">
        <f t="shared" si="3"/>
        <v/>
      </c>
    </row>
    <row r="20" spans="1:6" x14ac:dyDescent="0.25">
      <c r="A20" s="346"/>
      <c r="B20" s="1"/>
      <c r="C20" s="181"/>
      <c r="D20" s="347" t="str">
        <f t="shared" si="1"/>
        <v/>
      </c>
      <c r="E20" s="347"/>
      <c r="F20" s="152" t="str">
        <f t="shared" si="3"/>
        <v/>
      </c>
    </row>
    <row r="21" spans="1:6" x14ac:dyDescent="0.25">
      <c r="A21" s="346" t="s">
        <v>37</v>
      </c>
      <c r="B21" s="1" t="s">
        <v>519</v>
      </c>
      <c r="C21" s="181">
        <v>9</v>
      </c>
      <c r="D21" s="347" t="str">
        <f t="shared" si="1"/>
        <v>Matěj Hronek</v>
      </c>
      <c r="E21" s="347"/>
      <c r="F21" s="152"/>
    </row>
    <row r="22" spans="1:6" x14ac:dyDescent="0.25">
      <c r="A22" s="346"/>
      <c r="B22" s="1" t="s">
        <v>520</v>
      </c>
      <c r="C22" s="181">
        <v>7</v>
      </c>
      <c r="D22" s="347" t="str">
        <f t="shared" si="1"/>
        <v>František Vykopal</v>
      </c>
      <c r="E22" s="347"/>
      <c r="F22" s="152"/>
    </row>
    <row r="23" spans="1:6" x14ac:dyDescent="0.25">
      <c r="A23" s="346"/>
      <c r="B23" s="1" t="s">
        <v>752</v>
      </c>
      <c r="C23" s="181">
        <v>5</v>
      </c>
      <c r="D23" s="347" t="str">
        <f t="shared" si="1"/>
        <v>Martin Szweda</v>
      </c>
      <c r="E23" s="347"/>
      <c r="F23" s="152"/>
    </row>
    <row r="24" spans="1:6" x14ac:dyDescent="0.25">
      <c r="A24" s="346"/>
      <c r="B24" s="1" t="s">
        <v>510</v>
      </c>
      <c r="C24" s="181">
        <v>4</v>
      </c>
      <c r="D24" s="347" t="str">
        <f t="shared" si="1"/>
        <v>Ladislav Gál</v>
      </c>
      <c r="E24" s="347"/>
      <c r="F24" s="152"/>
    </row>
    <row r="25" spans="1:6" x14ac:dyDescent="0.25">
      <c r="A25" s="346"/>
      <c r="B25" s="1" t="s">
        <v>521</v>
      </c>
      <c r="C25" s="181">
        <v>4</v>
      </c>
      <c r="D25" s="347" t="str">
        <f t="shared" si="1"/>
        <v>Petr Koláčný</v>
      </c>
      <c r="E25" s="347"/>
      <c r="F25" s="152"/>
    </row>
    <row r="26" spans="1:6" x14ac:dyDescent="0.25">
      <c r="A26" s="346" t="s">
        <v>38</v>
      </c>
      <c r="B26" s="1" t="s">
        <v>522</v>
      </c>
      <c r="C26" s="181">
        <v>12</v>
      </c>
      <c r="D26" s="347" t="str">
        <f t="shared" si="1"/>
        <v>Petr Koláčný</v>
      </c>
      <c r="E26" s="347"/>
      <c r="F26" s="152"/>
    </row>
    <row r="27" spans="1:6" x14ac:dyDescent="0.25">
      <c r="A27" s="346"/>
      <c r="B27" s="1" t="s">
        <v>523</v>
      </c>
      <c r="C27" s="181">
        <v>10</v>
      </c>
      <c r="D27" s="347" t="str">
        <f t="shared" si="1"/>
        <v>Martin Szweda</v>
      </c>
      <c r="E27" s="347"/>
      <c r="F27" s="152"/>
    </row>
    <row r="28" spans="1:6" x14ac:dyDescent="0.25">
      <c r="A28" s="346"/>
      <c r="B28" s="1" t="s">
        <v>524</v>
      </c>
      <c r="C28" s="181">
        <v>8</v>
      </c>
      <c r="D28" s="347" t="str">
        <f t="shared" si="1"/>
        <v>František Vykopal</v>
      </c>
      <c r="E28" s="347"/>
      <c r="F28" s="152"/>
    </row>
    <row r="29" spans="1:6" x14ac:dyDescent="0.25">
      <c r="A29" s="346"/>
      <c r="B29" s="1" t="s">
        <v>525</v>
      </c>
      <c r="C29" s="181">
        <v>8</v>
      </c>
      <c r="D29" s="347" t="str">
        <f t="shared" si="1"/>
        <v>Michal Nagy</v>
      </c>
      <c r="E29" s="347"/>
      <c r="F29" s="152"/>
    </row>
    <row r="30" spans="1:6" x14ac:dyDescent="0.25">
      <c r="A30" s="346"/>
      <c r="B30" s="1" t="s">
        <v>526</v>
      </c>
      <c r="C30" s="181">
        <v>4</v>
      </c>
      <c r="D30" s="347" t="str">
        <f t="shared" si="1"/>
        <v>David Medek</v>
      </c>
      <c r="E30" s="347"/>
      <c r="F30" s="152"/>
    </row>
    <row r="31" spans="1:6" x14ac:dyDescent="0.25">
      <c r="A31" s="346" t="s">
        <v>339</v>
      </c>
      <c r="B31" s="122" t="s">
        <v>725</v>
      </c>
      <c r="C31" s="122" t="s">
        <v>29</v>
      </c>
      <c r="D31" s="122" t="s">
        <v>753</v>
      </c>
      <c r="E31" s="179" t="str">
        <f>IFERROR(RIGHT(LEFT(D31,LEN(D31)-1),LEN(D31)-2),"")</f>
        <v>4:9</v>
      </c>
    </row>
    <row r="32" spans="1:6" x14ac:dyDescent="0.25">
      <c r="A32" s="346"/>
      <c r="B32" s="122" t="s">
        <v>713</v>
      </c>
      <c r="C32" s="122" t="s">
        <v>143</v>
      </c>
      <c r="D32" s="122" t="s">
        <v>717</v>
      </c>
      <c r="E32" s="179" t="str">
        <f t="shared" ref="E32:E40" si="4">IFERROR(RIGHT(LEFT(D32,LEN(D32)-1),LEN(D32)-2),"")</f>
        <v>4:10</v>
      </c>
    </row>
    <row r="33" spans="1:5" x14ac:dyDescent="0.25">
      <c r="A33" s="346"/>
      <c r="B33" s="122" t="s">
        <v>343</v>
      </c>
      <c r="C33" s="122" t="s">
        <v>151</v>
      </c>
      <c r="D33" s="122" t="s">
        <v>527</v>
      </c>
      <c r="E33" s="179" t="str">
        <f t="shared" si="4"/>
        <v>2:13</v>
      </c>
    </row>
    <row r="34" spans="1:5" x14ac:dyDescent="0.25">
      <c r="A34" s="346"/>
      <c r="B34" s="122" t="s">
        <v>344</v>
      </c>
      <c r="C34" s="122" t="s">
        <v>153</v>
      </c>
      <c r="D34" s="122" t="s">
        <v>528</v>
      </c>
      <c r="E34" s="179" t="str">
        <f t="shared" si="4"/>
        <v>3:7</v>
      </c>
    </row>
    <row r="35" spans="1:5" x14ac:dyDescent="0.25">
      <c r="A35" s="346"/>
      <c r="B35" s="122" t="s">
        <v>529</v>
      </c>
      <c r="C35" s="122" t="s">
        <v>147</v>
      </c>
      <c r="D35" s="122" t="s">
        <v>530</v>
      </c>
      <c r="E35" s="179" t="str">
        <f t="shared" si="4"/>
        <v>1:9</v>
      </c>
    </row>
    <row r="36" spans="1:5" x14ac:dyDescent="0.25">
      <c r="A36" s="346" t="s">
        <v>340</v>
      </c>
      <c r="B36" s="122" t="s">
        <v>371</v>
      </c>
      <c r="C36" s="122" t="s">
        <v>142</v>
      </c>
      <c r="D36" s="122" t="s">
        <v>353</v>
      </c>
      <c r="E36" s="179" t="str">
        <f t="shared" si="4"/>
        <v>-:-</v>
      </c>
    </row>
    <row r="37" spans="1:5" x14ac:dyDescent="0.25">
      <c r="A37" s="346"/>
      <c r="B37" s="122" t="s">
        <v>372</v>
      </c>
      <c r="C37" s="122" t="s">
        <v>145</v>
      </c>
      <c r="D37" s="122" t="s">
        <v>353</v>
      </c>
      <c r="E37" s="179" t="str">
        <f t="shared" si="4"/>
        <v>-:-</v>
      </c>
    </row>
    <row r="38" spans="1:5" x14ac:dyDescent="0.25">
      <c r="A38" s="346"/>
      <c r="B38" s="122" t="s">
        <v>401</v>
      </c>
      <c r="C38" s="122" t="s">
        <v>148</v>
      </c>
      <c r="D38" s="122" t="s">
        <v>353</v>
      </c>
      <c r="E38" s="179" t="str">
        <f t="shared" si="4"/>
        <v>-:-</v>
      </c>
    </row>
    <row r="39" spans="1:5" x14ac:dyDescent="0.25">
      <c r="A39" s="346"/>
      <c r="B39" s="122" t="s">
        <v>682</v>
      </c>
      <c r="C39" s="122" t="s">
        <v>146</v>
      </c>
      <c r="D39" s="122" t="s">
        <v>353</v>
      </c>
      <c r="E39" s="179" t="str">
        <f t="shared" si="4"/>
        <v>-:-</v>
      </c>
    </row>
    <row r="40" spans="1:5" x14ac:dyDescent="0.25">
      <c r="A40" s="346"/>
      <c r="B40" s="122" t="s">
        <v>678</v>
      </c>
      <c r="C40" s="122" t="s">
        <v>144</v>
      </c>
      <c r="D40" s="122" t="s">
        <v>353</v>
      </c>
      <c r="E40" s="179" t="str">
        <f t="shared" si="4"/>
        <v>-:-</v>
      </c>
    </row>
    <row r="41" spans="1:5" x14ac:dyDescent="0.25">
      <c r="A41" s="153" t="s">
        <v>341</v>
      </c>
      <c r="B41" t="s">
        <v>754</v>
      </c>
    </row>
  </sheetData>
  <sheetProtection algorithmName="SHA-512" hashValue="meDwp6cfNcVCqwdwAXD95+tHt6uN9n3lQhs8n1J2T1zj8PN7+/MYjHIrg1IjSfKqeUHSG2xot4f4Arg98KgXRA==" saltValue="509QmpsIKHANOwUbFEQKX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topLeftCell="A76" zoomScaleNormal="100" workbookViewId="0">
      <selection activeCell="G90" sqref="G90:K90"/>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59</v>
      </c>
      <c r="B1" s="168" t="s">
        <v>60</v>
      </c>
      <c r="D1" s="168" t="s">
        <v>61</v>
      </c>
      <c r="E1" s="168" t="s">
        <v>62</v>
      </c>
      <c r="F1" s="168" t="s">
        <v>35</v>
      </c>
      <c r="G1" s="168" t="s">
        <v>63</v>
      </c>
      <c r="H1" s="168" t="s">
        <v>64</v>
      </c>
      <c r="I1" s="168" t="s">
        <v>37</v>
      </c>
      <c r="J1" s="168" t="s">
        <v>36</v>
      </c>
      <c r="K1" s="168" t="s">
        <v>38</v>
      </c>
      <c r="L1" s="168" t="s">
        <v>65</v>
      </c>
      <c r="M1" s="168" t="s">
        <v>30</v>
      </c>
      <c r="N1" s="3" t="s">
        <v>66</v>
      </c>
      <c r="O1" s="168" t="s">
        <v>81</v>
      </c>
      <c r="P1" s="168" t="s">
        <v>531</v>
      </c>
      <c r="Q1" s="115" t="s">
        <v>48</v>
      </c>
    </row>
    <row r="2" spans="1:26" s="4" customFormat="1" x14ac:dyDescent="0.25">
      <c r="A2" s="53">
        <v>1</v>
      </c>
      <c r="B2" s="4" t="s">
        <v>575</v>
      </c>
      <c r="D2" s="5"/>
      <c r="E2" s="5">
        <v>17</v>
      </c>
      <c r="F2" s="5">
        <v>11</v>
      </c>
      <c r="G2" s="5">
        <v>3</v>
      </c>
      <c r="H2" s="5">
        <v>0</v>
      </c>
      <c r="I2" s="5">
        <v>26</v>
      </c>
      <c r="J2" s="5">
        <v>37</v>
      </c>
      <c r="K2" s="5">
        <v>8</v>
      </c>
      <c r="L2" s="5">
        <v>59</v>
      </c>
      <c r="M2" s="5">
        <v>37</v>
      </c>
      <c r="N2" s="5">
        <v>22</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37 (11+26), +22 ±</v>
      </c>
      <c r="P2" s="5" t="str">
        <f>IF(B2&lt;&gt;0,IF(VLOOKUP(B2,$B$48:$B$82,1,FALSE)=B2,"ANO","NE"),"")</f>
        <v>ANO</v>
      </c>
      <c r="Q2" s="143"/>
      <c r="S2" s="5"/>
      <c r="X2" s="5"/>
      <c r="Y2" s="5"/>
      <c r="Z2" s="5"/>
    </row>
    <row r="3" spans="1:26" s="4" customFormat="1" x14ac:dyDescent="0.25">
      <c r="A3" s="53">
        <v>2</v>
      </c>
      <c r="B3" s="4" t="s">
        <v>576</v>
      </c>
      <c r="D3" s="5"/>
      <c r="E3" s="5">
        <v>17</v>
      </c>
      <c r="F3" s="5">
        <v>11</v>
      </c>
      <c r="G3" s="5">
        <v>5</v>
      </c>
      <c r="H3" s="5">
        <v>0</v>
      </c>
      <c r="I3" s="5">
        <v>16</v>
      </c>
      <c r="J3" s="5">
        <v>27</v>
      </c>
      <c r="K3" s="5">
        <v>20</v>
      </c>
      <c r="L3" s="5">
        <v>51</v>
      </c>
      <c r="M3" s="5">
        <v>33</v>
      </c>
      <c r="N3" s="5">
        <v>18</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27 (11+16), +18 ±</v>
      </c>
      <c r="P3" s="5" t="str">
        <f t="shared" ref="P3:P36" si="1">IF(B3&lt;&gt;0,IF(VLOOKUP(B3,$B$48:$B$82,1,FALSE)=B3,"ANO","NE"),"")</f>
        <v>ANO</v>
      </c>
      <c r="Q3" s="143"/>
      <c r="S3" s="5"/>
      <c r="X3" s="5"/>
      <c r="Y3" s="5"/>
      <c r="Z3" s="5"/>
    </row>
    <row r="4" spans="1:26" s="4" customFormat="1" x14ac:dyDescent="0.25">
      <c r="A4" s="53">
        <v>3</v>
      </c>
      <c r="B4" s="4" t="s">
        <v>577</v>
      </c>
      <c r="D4" s="5" t="s">
        <v>52</v>
      </c>
      <c r="E4" s="5">
        <v>17</v>
      </c>
      <c r="F4" s="5">
        <v>9</v>
      </c>
      <c r="G4" s="5">
        <v>3</v>
      </c>
      <c r="H4" s="5">
        <v>0</v>
      </c>
      <c r="I4" s="5">
        <v>16</v>
      </c>
      <c r="J4" s="5">
        <v>25</v>
      </c>
      <c r="K4" s="5">
        <v>4</v>
      </c>
      <c r="L4" s="5">
        <v>37</v>
      </c>
      <c r="M4" s="5">
        <v>34</v>
      </c>
      <c r="N4" s="5">
        <v>3</v>
      </c>
      <c r="O4" s="167" t="str">
        <f t="shared" si="0"/>
        <v>17 OZ , 25 (9+16), +3 ±</v>
      </c>
      <c r="P4" s="5" t="str">
        <f t="shared" si="1"/>
        <v>ANO</v>
      </c>
      <c r="Q4" s="143"/>
      <c r="S4" s="5"/>
      <c r="X4" s="5"/>
      <c r="Y4" s="5"/>
      <c r="Z4" s="5"/>
    </row>
    <row r="5" spans="1:26" s="4" customFormat="1" x14ac:dyDescent="0.25">
      <c r="A5" s="53">
        <v>4</v>
      </c>
      <c r="B5" s="4" t="s">
        <v>578</v>
      </c>
      <c r="D5" s="5"/>
      <c r="E5" s="5">
        <v>17</v>
      </c>
      <c r="F5" s="5">
        <v>15</v>
      </c>
      <c r="G5" s="5">
        <v>5</v>
      </c>
      <c r="H5" s="5">
        <v>0</v>
      </c>
      <c r="I5" s="5">
        <v>8</v>
      </c>
      <c r="J5" s="5">
        <v>23</v>
      </c>
      <c r="K5" s="5">
        <v>4</v>
      </c>
      <c r="L5" s="5">
        <v>43</v>
      </c>
      <c r="M5" s="5">
        <v>31</v>
      </c>
      <c r="N5" s="5">
        <v>12</v>
      </c>
      <c r="O5" s="167" t="str">
        <f t="shared" si="0"/>
        <v>17 OZ , 23 (15+8), +12 ±</v>
      </c>
      <c r="P5" s="5" t="str">
        <f t="shared" si="1"/>
        <v>ANO</v>
      </c>
      <c r="Q5" s="143"/>
      <c r="S5" s="5"/>
      <c r="X5" s="5"/>
      <c r="Y5" s="5"/>
      <c r="Z5" s="5"/>
    </row>
    <row r="6" spans="1:26" x14ac:dyDescent="0.25">
      <c r="A6" s="54">
        <v>5</v>
      </c>
      <c r="B6" s="1" t="s">
        <v>579</v>
      </c>
      <c r="D6" s="181"/>
      <c r="E6" s="181">
        <v>16</v>
      </c>
      <c r="F6" s="181">
        <v>14</v>
      </c>
      <c r="G6" s="181">
        <v>8</v>
      </c>
      <c r="H6" s="181">
        <v>0</v>
      </c>
      <c r="I6" s="181">
        <v>3</v>
      </c>
      <c r="J6" s="181">
        <v>17</v>
      </c>
      <c r="K6" s="181">
        <v>2</v>
      </c>
      <c r="L6" s="181">
        <v>28</v>
      </c>
      <c r="M6" s="181">
        <v>19</v>
      </c>
      <c r="N6" s="181">
        <v>9</v>
      </c>
      <c r="O6" s="167" t="str">
        <f t="shared" si="0"/>
        <v>16 OZ , 17 (14+3), +9 ±</v>
      </c>
      <c r="P6" s="5" t="str">
        <f t="shared" si="1"/>
        <v>ANO</v>
      </c>
    </row>
    <row r="7" spans="1:26" x14ac:dyDescent="0.25">
      <c r="A7" s="54">
        <v>6</v>
      </c>
      <c r="B7" s="1" t="s">
        <v>580</v>
      </c>
      <c r="D7" s="181"/>
      <c r="E7" s="181">
        <v>17</v>
      </c>
      <c r="F7" s="181">
        <v>12</v>
      </c>
      <c r="G7" s="181">
        <v>0</v>
      </c>
      <c r="H7" s="181">
        <v>1</v>
      </c>
      <c r="I7" s="181">
        <v>5</v>
      </c>
      <c r="J7" s="181">
        <v>17</v>
      </c>
      <c r="K7" s="181">
        <v>4</v>
      </c>
      <c r="L7" s="181">
        <v>32</v>
      </c>
      <c r="M7" s="181">
        <v>32</v>
      </c>
      <c r="N7" s="181">
        <v>0</v>
      </c>
      <c r="O7" s="167" t="str">
        <f t="shared" si="0"/>
        <v>17 OZ , 17 (12+5), 0 ±</v>
      </c>
      <c r="P7" s="5" t="str">
        <f t="shared" si="1"/>
        <v>ANO</v>
      </c>
    </row>
    <row r="8" spans="1:26" x14ac:dyDescent="0.25">
      <c r="A8" s="54">
        <v>7</v>
      </c>
      <c r="B8" s="1" t="s">
        <v>581</v>
      </c>
      <c r="D8" s="181" t="s">
        <v>49</v>
      </c>
      <c r="E8" s="181">
        <v>17</v>
      </c>
      <c r="F8" s="181">
        <v>10</v>
      </c>
      <c r="G8" s="181">
        <v>0</v>
      </c>
      <c r="H8" s="181">
        <v>0</v>
      </c>
      <c r="I8" s="181">
        <v>4</v>
      </c>
      <c r="J8" s="181">
        <v>14</v>
      </c>
      <c r="K8" s="181">
        <v>2</v>
      </c>
      <c r="L8" s="181">
        <v>36</v>
      </c>
      <c r="M8" s="181">
        <v>27</v>
      </c>
      <c r="N8" s="181">
        <v>9</v>
      </c>
      <c r="O8" s="167" t="str">
        <f t="shared" si="0"/>
        <v>17 OZ , 14 (10+4), +9 ±</v>
      </c>
      <c r="P8" s="5" t="str">
        <f t="shared" si="1"/>
        <v>ANO</v>
      </c>
    </row>
    <row r="9" spans="1:26" x14ac:dyDescent="0.25">
      <c r="A9" s="54">
        <v>8</v>
      </c>
      <c r="B9" s="1" t="s">
        <v>582</v>
      </c>
      <c r="D9" s="181" t="s">
        <v>52</v>
      </c>
      <c r="E9" s="181">
        <v>16</v>
      </c>
      <c r="F9" s="181">
        <v>7</v>
      </c>
      <c r="G9" s="181">
        <v>0</v>
      </c>
      <c r="H9" s="181">
        <v>0</v>
      </c>
      <c r="I9" s="181">
        <v>6</v>
      </c>
      <c r="J9" s="181">
        <v>13</v>
      </c>
      <c r="K9" s="181">
        <v>2</v>
      </c>
      <c r="L9" s="181">
        <v>37</v>
      </c>
      <c r="M9" s="181">
        <v>29</v>
      </c>
      <c r="N9" s="181">
        <v>8</v>
      </c>
      <c r="O9" s="167" t="str">
        <f t="shared" si="0"/>
        <v>16 OZ , 13 (7+6), +8 ±</v>
      </c>
      <c r="P9" s="5" t="str">
        <f t="shared" si="1"/>
        <v>ANO</v>
      </c>
    </row>
    <row r="10" spans="1:26" x14ac:dyDescent="0.25">
      <c r="A10" s="54">
        <v>9</v>
      </c>
      <c r="B10" s="1" t="s">
        <v>583</v>
      </c>
      <c r="D10" s="181"/>
      <c r="E10" s="181">
        <v>15</v>
      </c>
      <c r="F10" s="181">
        <v>7</v>
      </c>
      <c r="G10" s="181">
        <v>0</v>
      </c>
      <c r="H10" s="181">
        <v>0</v>
      </c>
      <c r="I10" s="181">
        <v>4</v>
      </c>
      <c r="J10" s="181">
        <v>11</v>
      </c>
      <c r="K10" s="181">
        <v>2</v>
      </c>
      <c r="L10" s="181">
        <v>16</v>
      </c>
      <c r="M10" s="181">
        <v>13</v>
      </c>
      <c r="N10" s="181">
        <v>3</v>
      </c>
      <c r="O10" s="167" t="str">
        <f t="shared" si="0"/>
        <v>15 OZ , 11 (7+4), +3 ±</v>
      </c>
      <c r="P10" s="5" t="str">
        <f t="shared" si="1"/>
        <v>ANO</v>
      </c>
    </row>
    <row r="11" spans="1:26" x14ac:dyDescent="0.25">
      <c r="A11" s="54">
        <v>10</v>
      </c>
      <c r="B11" s="1" t="s">
        <v>584</v>
      </c>
      <c r="D11" s="181" t="s">
        <v>49</v>
      </c>
      <c r="E11" s="181">
        <v>14</v>
      </c>
      <c r="F11" s="181">
        <v>6</v>
      </c>
      <c r="G11" s="181">
        <v>0</v>
      </c>
      <c r="H11" s="181">
        <v>0</v>
      </c>
      <c r="I11" s="181">
        <v>3</v>
      </c>
      <c r="J11" s="181">
        <v>9</v>
      </c>
      <c r="K11" s="181">
        <v>2</v>
      </c>
      <c r="L11" s="181">
        <v>12</v>
      </c>
      <c r="M11" s="181">
        <v>9</v>
      </c>
      <c r="N11" s="181">
        <v>3</v>
      </c>
      <c r="O11" s="167" t="str">
        <f t="shared" si="0"/>
        <v>14 OZ , 9 (6+3), +3 ±</v>
      </c>
      <c r="P11" s="5" t="str">
        <f t="shared" si="1"/>
        <v>ANO</v>
      </c>
    </row>
    <row r="12" spans="1:26" x14ac:dyDescent="0.25">
      <c r="A12" s="54">
        <v>11</v>
      </c>
      <c r="B12" s="1" t="s">
        <v>585</v>
      </c>
      <c r="D12" s="181" t="s">
        <v>52</v>
      </c>
      <c r="E12" s="181">
        <v>11</v>
      </c>
      <c r="F12" s="181">
        <v>4</v>
      </c>
      <c r="G12" s="181">
        <v>0</v>
      </c>
      <c r="H12" s="181">
        <v>0</v>
      </c>
      <c r="I12" s="181">
        <v>5</v>
      </c>
      <c r="J12" s="181">
        <v>9</v>
      </c>
      <c r="K12" s="181">
        <v>0</v>
      </c>
      <c r="L12" s="181">
        <v>17</v>
      </c>
      <c r="M12" s="181">
        <v>14</v>
      </c>
      <c r="N12" s="181">
        <v>3</v>
      </c>
      <c r="O12" s="167" t="str">
        <f t="shared" si="0"/>
        <v>11 OZ , 9 (4+5), +3 ±</v>
      </c>
      <c r="P12" s="5" t="str">
        <f t="shared" si="1"/>
        <v>ANO</v>
      </c>
    </row>
    <row r="13" spans="1:26" x14ac:dyDescent="0.25">
      <c r="A13" s="54">
        <v>12</v>
      </c>
      <c r="B13" s="1" t="s">
        <v>588</v>
      </c>
      <c r="D13" s="181" t="s">
        <v>49</v>
      </c>
      <c r="E13" s="181">
        <v>16</v>
      </c>
      <c r="F13" s="181">
        <v>2</v>
      </c>
      <c r="G13" s="181">
        <v>0</v>
      </c>
      <c r="H13" s="181">
        <v>0</v>
      </c>
      <c r="I13" s="181">
        <v>5</v>
      </c>
      <c r="J13" s="181">
        <v>7</v>
      </c>
      <c r="K13" s="181">
        <v>2</v>
      </c>
      <c r="L13" s="181">
        <v>17</v>
      </c>
      <c r="M13" s="181">
        <v>23</v>
      </c>
      <c r="N13" s="181">
        <v>-6</v>
      </c>
      <c r="O13" s="167" t="str">
        <f t="shared" si="0"/>
        <v>16 OZ , 7 (2+5), -6 ±</v>
      </c>
      <c r="P13" s="5" t="str">
        <f t="shared" si="1"/>
        <v>ANO</v>
      </c>
    </row>
    <row r="14" spans="1:26" x14ac:dyDescent="0.25">
      <c r="A14" s="54">
        <v>13</v>
      </c>
      <c r="B14" s="1" t="s">
        <v>586</v>
      </c>
      <c r="D14" s="181" t="s">
        <v>49</v>
      </c>
      <c r="E14" s="181">
        <v>17</v>
      </c>
      <c r="F14" s="181">
        <v>4</v>
      </c>
      <c r="G14" s="181">
        <v>1</v>
      </c>
      <c r="H14" s="181">
        <v>0</v>
      </c>
      <c r="I14" s="181">
        <v>2</v>
      </c>
      <c r="J14" s="181">
        <v>6</v>
      </c>
      <c r="K14" s="181">
        <v>0</v>
      </c>
      <c r="L14" s="181">
        <v>26</v>
      </c>
      <c r="M14" s="181">
        <v>23</v>
      </c>
      <c r="N14" s="181">
        <v>3</v>
      </c>
      <c r="O14" s="167" t="str">
        <f t="shared" si="0"/>
        <v>17 OZ , 6 (4+2), +3 ±</v>
      </c>
      <c r="P14" s="5" t="str">
        <f t="shared" si="1"/>
        <v>ANO</v>
      </c>
    </row>
    <row r="15" spans="1:26" x14ac:dyDescent="0.25">
      <c r="A15" s="54">
        <v>14</v>
      </c>
      <c r="B15" s="1" t="s">
        <v>587</v>
      </c>
      <c r="D15" s="181" t="s">
        <v>52</v>
      </c>
      <c r="E15" s="181">
        <v>15</v>
      </c>
      <c r="F15" s="181">
        <v>4</v>
      </c>
      <c r="G15" s="181">
        <v>0</v>
      </c>
      <c r="H15" s="181">
        <v>0</v>
      </c>
      <c r="I15" s="181">
        <v>1</v>
      </c>
      <c r="J15" s="181">
        <v>5</v>
      </c>
      <c r="K15" s="181">
        <v>0</v>
      </c>
      <c r="L15" s="181">
        <v>20</v>
      </c>
      <c r="M15" s="181">
        <v>10</v>
      </c>
      <c r="N15" s="181">
        <v>10</v>
      </c>
      <c r="O15" s="167" t="str">
        <f t="shared" si="0"/>
        <v>15 OZ , 5 (4+1), +10 ±</v>
      </c>
      <c r="P15" s="5" t="str">
        <f t="shared" si="1"/>
        <v>ANO</v>
      </c>
    </row>
    <row r="16" spans="1:26" x14ac:dyDescent="0.25">
      <c r="A16" s="54">
        <v>15</v>
      </c>
      <c r="B16" s="1" t="s">
        <v>589</v>
      </c>
      <c r="D16" s="181" t="s">
        <v>49</v>
      </c>
      <c r="E16" s="181">
        <v>17</v>
      </c>
      <c r="F16" s="181">
        <v>1</v>
      </c>
      <c r="G16" s="181">
        <v>0</v>
      </c>
      <c r="H16" s="181">
        <v>1</v>
      </c>
      <c r="I16" s="181">
        <v>4</v>
      </c>
      <c r="J16" s="181">
        <v>5</v>
      </c>
      <c r="K16" s="181">
        <v>2</v>
      </c>
      <c r="L16" s="181">
        <v>35</v>
      </c>
      <c r="M16" s="181">
        <v>33</v>
      </c>
      <c r="N16" s="181">
        <v>2</v>
      </c>
      <c r="O16" s="167" t="str">
        <f t="shared" si="0"/>
        <v>17 OZ , 5 (1+4), +2 ±</v>
      </c>
      <c r="P16" s="5" t="str">
        <f t="shared" si="1"/>
        <v>ANO</v>
      </c>
    </row>
    <row r="17" spans="1:16" x14ac:dyDescent="0.25">
      <c r="A17" s="54">
        <v>16</v>
      </c>
      <c r="B17" s="1" t="s">
        <v>593</v>
      </c>
      <c r="D17" s="181"/>
      <c r="E17" s="181">
        <v>7</v>
      </c>
      <c r="F17" s="181">
        <v>2</v>
      </c>
      <c r="G17" s="181">
        <v>0</v>
      </c>
      <c r="H17" s="181">
        <v>0</v>
      </c>
      <c r="I17" s="181">
        <v>0</v>
      </c>
      <c r="J17" s="181">
        <v>2</v>
      </c>
      <c r="K17" s="181">
        <v>0</v>
      </c>
      <c r="L17" s="181">
        <v>3</v>
      </c>
      <c r="M17" s="181">
        <v>4</v>
      </c>
      <c r="N17" s="181">
        <v>-1</v>
      </c>
      <c r="O17" s="167" t="str">
        <f t="shared" si="0"/>
        <v>7 OZ , 2 (2+0), -1 ±</v>
      </c>
      <c r="P17" s="5" t="str">
        <f t="shared" si="1"/>
        <v>ANO</v>
      </c>
    </row>
    <row r="18" spans="1:16" x14ac:dyDescent="0.25">
      <c r="A18" s="54">
        <v>17</v>
      </c>
      <c r="B18" s="1" t="s">
        <v>590</v>
      </c>
      <c r="D18" s="181"/>
      <c r="E18" s="181">
        <v>2</v>
      </c>
      <c r="F18" s="181">
        <v>1</v>
      </c>
      <c r="G18" s="181">
        <v>0</v>
      </c>
      <c r="H18" s="181">
        <v>0</v>
      </c>
      <c r="I18" s="181">
        <v>1</v>
      </c>
      <c r="J18" s="181">
        <v>2</v>
      </c>
      <c r="K18" s="181">
        <v>0</v>
      </c>
      <c r="L18" s="181">
        <v>6</v>
      </c>
      <c r="M18" s="181">
        <v>3</v>
      </c>
      <c r="N18" s="181">
        <v>3</v>
      </c>
      <c r="O18" s="167" t="str">
        <f t="shared" si="0"/>
        <v>2 OZ , 2 (1+1), +3 ±</v>
      </c>
      <c r="P18" s="5" t="str">
        <f t="shared" si="1"/>
        <v>ANO</v>
      </c>
    </row>
    <row r="19" spans="1:16" x14ac:dyDescent="0.25">
      <c r="A19" s="54">
        <v>18</v>
      </c>
      <c r="B19" s="1" t="s">
        <v>591</v>
      </c>
      <c r="D19" s="181"/>
      <c r="E19" s="181">
        <v>6</v>
      </c>
      <c r="F19" s="181">
        <v>1</v>
      </c>
      <c r="G19" s="181">
        <v>0</v>
      </c>
      <c r="H19" s="181">
        <v>0</v>
      </c>
      <c r="I19" s="181">
        <v>1</v>
      </c>
      <c r="J19" s="181">
        <v>2</v>
      </c>
      <c r="K19" s="181">
        <v>0</v>
      </c>
      <c r="L19" s="181">
        <v>6</v>
      </c>
      <c r="M19" s="181">
        <v>3</v>
      </c>
      <c r="N19" s="181">
        <v>3</v>
      </c>
      <c r="O19" s="167" t="str">
        <f t="shared" si="0"/>
        <v>6 OZ , 2 (1+1), +3 ±</v>
      </c>
      <c r="P19" s="5" t="str">
        <f t="shared" si="1"/>
        <v>ANO</v>
      </c>
    </row>
    <row r="20" spans="1:16" x14ac:dyDescent="0.25">
      <c r="A20" s="54">
        <v>19</v>
      </c>
      <c r="B20" s="1" t="s">
        <v>592</v>
      </c>
      <c r="D20" s="181" t="s">
        <v>49</v>
      </c>
      <c r="E20" s="181">
        <v>1</v>
      </c>
      <c r="F20" s="181">
        <v>1</v>
      </c>
      <c r="G20" s="181">
        <v>0</v>
      </c>
      <c r="H20" s="181">
        <v>0</v>
      </c>
      <c r="I20" s="181">
        <v>0</v>
      </c>
      <c r="J20" s="181">
        <v>1</v>
      </c>
      <c r="K20" s="181">
        <v>0</v>
      </c>
      <c r="L20" s="181">
        <v>5</v>
      </c>
      <c r="M20" s="181">
        <v>2</v>
      </c>
      <c r="N20" s="181">
        <v>3</v>
      </c>
      <c r="O20" s="167" t="str">
        <f t="shared" si="0"/>
        <v>1 OZ , 1 (1+0), +3 ±</v>
      </c>
      <c r="P20" s="5" t="str">
        <f t="shared" si="1"/>
        <v>ANO</v>
      </c>
    </row>
    <row r="21" spans="1:16" x14ac:dyDescent="0.25">
      <c r="A21" s="54">
        <v>20</v>
      </c>
      <c r="B21" s="1" t="s">
        <v>594</v>
      </c>
      <c r="D21" s="181"/>
      <c r="E21" s="181">
        <v>14</v>
      </c>
      <c r="F21" s="181">
        <v>1</v>
      </c>
      <c r="G21" s="181">
        <v>0</v>
      </c>
      <c r="H21" s="181">
        <v>0</v>
      </c>
      <c r="I21" s="181">
        <v>0</v>
      </c>
      <c r="J21" s="181">
        <v>1</v>
      </c>
      <c r="K21" s="181">
        <v>2</v>
      </c>
      <c r="L21" s="181">
        <v>2</v>
      </c>
      <c r="M21" s="181">
        <v>3</v>
      </c>
      <c r="N21" s="181">
        <v>-1</v>
      </c>
      <c r="O21" s="167" t="str">
        <f t="shared" si="0"/>
        <v>14 OZ , 1 (1+0), -1 ±</v>
      </c>
      <c r="P21" s="5" t="str">
        <f t="shared" si="1"/>
        <v>ANO</v>
      </c>
    </row>
    <row r="22" spans="1:16" x14ac:dyDescent="0.25">
      <c r="A22" s="54">
        <v>21</v>
      </c>
      <c r="B22" s="1" t="s">
        <v>595</v>
      </c>
      <c r="D22" s="181"/>
      <c r="E22" s="181">
        <v>0</v>
      </c>
      <c r="F22" s="181">
        <v>0</v>
      </c>
      <c r="G22" s="181">
        <v>0</v>
      </c>
      <c r="H22" s="181">
        <v>0</v>
      </c>
      <c r="I22" s="181">
        <v>1</v>
      </c>
      <c r="J22" s="181">
        <v>1</v>
      </c>
      <c r="K22" s="181">
        <v>0</v>
      </c>
      <c r="L22" s="181">
        <v>0</v>
      </c>
      <c r="M22" s="181">
        <v>0</v>
      </c>
      <c r="N22" s="181">
        <v>0</v>
      </c>
      <c r="O22" s="167" t="str">
        <f t="shared" si="0"/>
        <v>0 OZ , 1 (0+1), 0 ±</v>
      </c>
      <c r="P22" s="5" t="str">
        <f t="shared" si="1"/>
        <v>ANO</v>
      </c>
    </row>
    <row r="23" spans="1:16" x14ac:dyDescent="0.25">
      <c r="A23" s="54">
        <v>22</v>
      </c>
      <c r="B23" s="1" t="s">
        <v>0</v>
      </c>
      <c r="D23" s="181" t="s">
        <v>49</v>
      </c>
      <c r="E23" s="181">
        <v>4</v>
      </c>
      <c r="F23" s="181">
        <v>0</v>
      </c>
      <c r="G23" s="181">
        <v>0</v>
      </c>
      <c r="H23" s="181">
        <v>0</v>
      </c>
      <c r="I23" s="181">
        <v>1</v>
      </c>
      <c r="J23" s="181">
        <v>1</v>
      </c>
      <c r="K23" s="181">
        <v>0</v>
      </c>
      <c r="L23" s="181">
        <v>1</v>
      </c>
      <c r="M23" s="181">
        <v>0</v>
      </c>
      <c r="N23" s="181">
        <v>1</v>
      </c>
      <c r="O23" s="167" t="str">
        <f t="shared" si="0"/>
        <v>4 OZ , 1 (0+1), +1 ±</v>
      </c>
      <c r="P23" s="5" t="str">
        <f t="shared" si="1"/>
        <v>ANO</v>
      </c>
    </row>
    <row r="24" spans="1:16" x14ac:dyDescent="0.25">
      <c r="A24" s="53">
        <v>23</v>
      </c>
      <c r="B24" s="4" t="s">
        <v>596</v>
      </c>
      <c r="C24" s="4"/>
      <c r="D24" s="5" t="s">
        <v>52</v>
      </c>
      <c r="E24" s="5">
        <v>13</v>
      </c>
      <c r="F24" s="5">
        <v>0</v>
      </c>
      <c r="G24" s="5">
        <v>0</v>
      </c>
      <c r="H24" s="5">
        <v>0</v>
      </c>
      <c r="I24" s="5">
        <v>1</v>
      </c>
      <c r="J24" s="5">
        <v>1</v>
      </c>
      <c r="K24" s="5">
        <v>0</v>
      </c>
      <c r="L24" s="5">
        <v>6</v>
      </c>
      <c r="M24" s="5">
        <v>6</v>
      </c>
      <c r="N24" s="5">
        <v>0</v>
      </c>
      <c r="O24" s="167" t="str">
        <f t="shared" si="0"/>
        <v>13 OZ , 1 (0+1), 0 ±</v>
      </c>
      <c r="P24" s="5" t="str">
        <f t="shared" si="1"/>
        <v>ANO</v>
      </c>
    </row>
    <row r="25" spans="1:16" x14ac:dyDescent="0.25">
      <c r="A25" s="53">
        <v>24</v>
      </c>
      <c r="B25" s="4" t="s">
        <v>597</v>
      </c>
      <c r="C25" s="4"/>
      <c r="D25" s="5"/>
      <c r="E25" s="5">
        <v>1</v>
      </c>
      <c r="F25" s="5">
        <v>0</v>
      </c>
      <c r="G25" s="5">
        <v>0</v>
      </c>
      <c r="H25" s="5">
        <v>0</v>
      </c>
      <c r="I25" s="5">
        <v>0</v>
      </c>
      <c r="J25" s="5">
        <v>0</v>
      </c>
      <c r="K25" s="5">
        <v>0</v>
      </c>
      <c r="L25" s="5">
        <v>0</v>
      </c>
      <c r="M25" s="5">
        <v>0</v>
      </c>
      <c r="N25" s="5">
        <v>0</v>
      </c>
      <c r="O25" s="167" t="str">
        <f t="shared" si="0"/>
        <v>1 OZ , 0 (0+0), 0 ±</v>
      </c>
      <c r="P25" s="5" t="str">
        <f t="shared" si="1"/>
        <v>ANO</v>
      </c>
    </row>
    <row r="26" spans="1:16" x14ac:dyDescent="0.25">
      <c r="A26" s="53">
        <v>25</v>
      </c>
      <c r="B26" s="4" t="s">
        <v>598</v>
      </c>
      <c r="C26" s="4"/>
      <c r="D26" s="5"/>
      <c r="E26" s="5">
        <v>1</v>
      </c>
      <c r="F26" s="5">
        <v>0</v>
      </c>
      <c r="G26" s="5">
        <v>0</v>
      </c>
      <c r="H26" s="5">
        <v>0</v>
      </c>
      <c r="I26" s="5">
        <v>0</v>
      </c>
      <c r="J26" s="5">
        <v>0</v>
      </c>
      <c r="K26" s="5">
        <v>0</v>
      </c>
      <c r="L26" s="5">
        <v>0</v>
      </c>
      <c r="M26" s="5">
        <v>0</v>
      </c>
      <c r="N26" s="5">
        <v>0</v>
      </c>
      <c r="O26" s="167" t="str">
        <f t="shared" si="0"/>
        <v>1 OZ , 0 (0+0), 0 ±</v>
      </c>
      <c r="P26" s="5" t="str">
        <f t="shared" si="1"/>
        <v>ANO</v>
      </c>
    </row>
    <row r="27" spans="1:16" x14ac:dyDescent="0.25">
      <c r="A27" s="53">
        <v>26</v>
      </c>
      <c r="B27" s="4" t="s">
        <v>600</v>
      </c>
      <c r="C27" s="4"/>
      <c r="D27" s="5"/>
      <c r="E27" s="5">
        <v>0</v>
      </c>
      <c r="F27" s="5">
        <v>0</v>
      </c>
      <c r="G27" s="5">
        <v>0</v>
      </c>
      <c r="H27" s="5">
        <v>0</v>
      </c>
      <c r="I27" s="5">
        <v>0</v>
      </c>
      <c r="J27" s="5">
        <v>0</v>
      </c>
      <c r="K27" s="5">
        <v>0</v>
      </c>
      <c r="L27" s="5">
        <v>0</v>
      </c>
      <c r="M27" s="5">
        <v>0</v>
      </c>
      <c r="N27" s="5">
        <v>0</v>
      </c>
      <c r="O27" s="167" t="str">
        <f t="shared" si="0"/>
        <v>0 OZ , 0 (0+0), 0 ±</v>
      </c>
      <c r="P27" s="5" t="str">
        <f t="shared" si="1"/>
        <v>ANO</v>
      </c>
    </row>
    <row r="28" spans="1:16" x14ac:dyDescent="0.25">
      <c r="A28" s="53">
        <v>27</v>
      </c>
      <c r="B28" s="4" t="s">
        <v>599</v>
      </c>
      <c r="C28" s="4"/>
      <c r="D28" s="5" t="s">
        <v>49</v>
      </c>
      <c r="E28" s="5">
        <v>15</v>
      </c>
      <c r="F28" s="5">
        <v>0</v>
      </c>
      <c r="G28" s="5">
        <v>0</v>
      </c>
      <c r="H28" s="5">
        <v>0</v>
      </c>
      <c r="I28" s="5">
        <v>0</v>
      </c>
      <c r="J28" s="5">
        <v>0</v>
      </c>
      <c r="K28" s="5">
        <v>4</v>
      </c>
      <c r="L28" s="5">
        <v>7</v>
      </c>
      <c r="M28" s="5">
        <v>6</v>
      </c>
      <c r="N28" s="5">
        <v>1</v>
      </c>
      <c r="O28" s="167" t="str">
        <f t="shared" si="0"/>
        <v>15 OZ , 0 (0+0), +1 ±</v>
      </c>
      <c r="P28" s="5" t="str">
        <f t="shared" si="1"/>
        <v>ANO</v>
      </c>
    </row>
    <row r="29" spans="1:16" ht="15" customHeight="1" x14ac:dyDescent="0.25">
      <c r="A29" s="53">
        <v>28</v>
      </c>
      <c r="B29" s="4" t="s">
        <v>601</v>
      </c>
      <c r="C29" s="4"/>
      <c r="D29" s="5" t="s">
        <v>35</v>
      </c>
      <c r="E29" s="5">
        <v>0</v>
      </c>
      <c r="F29" s="5">
        <v>0</v>
      </c>
      <c r="G29" s="5">
        <v>0</v>
      </c>
      <c r="H29" s="5">
        <v>0</v>
      </c>
      <c r="I29" s="5">
        <v>0</v>
      </c>
      <c r="J29" s="5">
        <v>0</v>
      </c>
      <c r="K29" s="5">
        <v>0</v>
      </c>
      <c r="L29" s="5">
        <v>0</v>
      </c>
      <c r="M29" s="5">
        <v>0</v>
      </c>
      <c r="N29" s="5">
        <v>0</v>
      </c>
      <c r="O29" s="167" t="str">
        <f t="shared" si="0"/>
        <v>0 OZ , 0 (0+0), 0 ±</v>
      </c>
      <c r="P29" s="5" t="str">
        <f t="shared" si="1"/>
        <v>ANO</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59</v>
      </c>
      <c r="B38" s="168" t="s">
        <v>60</v>
      </c>
      <c r="D38" s="168" t="s">
        <v>84</v>
      </c>
      <c r="E38" s="168" t="s">
        <v>85</v>
      </c>
      <c r="F38" s="168" t="s">
        <v>86</v>
      </c>
      <c r="G38" s="168" t="s">
        <v>40</v>
      </c>
      <c r="H38" s="168" t="s">
        <v>87</v>
      </c>
      <c r="I38" s="168" t="s">
        <v>88</v>
      </c>
      <c r="J38" s="168" t="s">
        <v>89</v>
      </c>
      <c r="K38" s="168" t="s">
        <v>80</v>
      </c>
      <c r="L38" s="168" t="s">
        <v>41</v>
      </c>
      <c r="M38" s="168" t="s">
        <v>90</v>
      </c>
      <c r="N38" s="3" t="s">
        <v>37</v>
      </c>
      <c r="O38" s="168" t="s">
        <v>38</v>
      </c>
      <c r="P38" s="168" t="s">
        <v>91</v>
      </c>
      <c r="Q38" s="168" t="s">
        <v>92</v>
      </c>
      <c r="R38" s="168" t="s">
        <v>93</v>
      </c>
    </row>
    <row r="39" spans="1:27" x14ac:dyDescent="0.25">
      <c r="A39" s="54">
        <v>1</v>
      </c>
      <c r="B39" t="s">
        <v>601</v>
      </c>
      <c r="C39"/>
      <c r="D39" s="122">
        <v>16</v>
      </c>
      <c r="E39" s="122">
        <v>16</v>
      </c>
      <c r="F39" s="122">
        <v>952.04</v>
      </c>
      <c r="G39" s="122">
        <v>10</v>
      </c>
      <c r="H39" s="122">
        <v>83</v>
      </c>
      <c r="I39" s="122">
        <v>0</v>
      </c>
      <c r="J39" s="122">
        <v>404</v>
      </c>
      <c r="K39" s="122">
        <v>0</v>
      </c>
      <c r="L39" s="122">
        <v>6</v>
      </c>
      <c r="M39" s="122">
        <v>321</v>
      </c>
      <c r="N39" s="122">
        <v>0</v>
      </c>
      <c r="O39" s="122">
        <v>0</v>
      </c>
      <c r="P39" s="11">
        <f>IF(B39&lt;&gt;0,IFERROR(H39/(F39/60),0),"")</f>
        <v>5.2308726524095626</v>
      </c>
      <c r="Q39" s="11">
        <f>IF(B39&lt;&gt;0,IFERROR((M39/J39)*100,0),"")</f>
        <v>79.455445544554465</v>
      </c>
      <c r="R39" s="167" t="str">
        <f>IF(B39&lt;&gt;0,CONCATENATE(G39, " V, ",L39," P"),"")</f>
        <v>10 V, 6 P</v>
      </c>
    </row>
    <row r="40" spans="1:27" x14ac:dyDescent="0.25">
      <c r="A40" s="54">
        <v>2</v>
      </c>
      <c r="B40" t="s">
        <v>595</v>
      </c>
      <c r="C40"/>
      <c r="D40" s="122">
        <v>3</v>
      </c>
      <c r="E40" s="122">
        <v>1</v>
      </c>
      <c r="F40" s="122">
        <v>21.6</v>
      </c>
      <c r="G40" s="122">
        <v>1</v>
      </c>
      <c r="H40" s="122">
        <v>2</v>
      </c>
      <c r="I40" s="122">
        <v>0</v>
      </c>
      <c r="J40" s="122">
        <v>5</v>
      </c>
      <c r="K40" s="122">
        <v>0</v>
      </c>
      <c r="L40" s="122">
        <v>0</v>
      </c>
      <c r="M40" s="122">
        <v>3</v>
      </c>
      <c r="N40" s="122">
        <v>1</v>
      </c>
      <c r="O40" s="122">
        <v>0</v>
      </c>
      <c r="P40" s="11">
        <f t="shared" ref="P40:P45" si="2">IF(B40&lt;&gt;0,IFERROR(H40/(F40/60),0),"")</f>
        <v>5.5555555555555545</v>
      </c>
      <c r="Q40" s="11">
        <f t="shared" ref="Q40:Q45" si="3">IF(B40&lt;&gt;0,IFERROR((M40/J40)*100,0),"")</f>
        <v>60</v>
      </c>
      <c r="R40" s="167" t="str">
        <f t="shared" ref="R40:R45" si="4">IF(B40&lt;&gt;0,CONCATENATE(G40, " V, ",L40," P"),"")</f>
        <v>1 V, 0 P</v>
      </c>
    </row>
    <row r="41" spans="1:27" x14ac:dyDescent="0.25">
      <c r="A41" s="54">
        <v>3</v>
      </c>
      <c r="B41" t="s">
        <v>600</v>
      </c>
      <c r="C41"/>
      <c r="D41" s="122">
        <v>15</v>
      </c>
      <c r="E41" s="122">
        <v>3</v>
      </c>
      <c r="F41" s="122">
        <v>39.32</v>
      </c>
      <c r="G41" s="122">
        <v>2</v>
      </c>
      <c r="H41" s="122">
        <v>9</v>
      </c>
      <c r="I41" s="122">
        <v>0</v>
      </c>
      <c r="J41" s="122">
        <v>19</v>
      </c>
      <c r="K41" s="122">
        <v>0</v>
      </c>
      <c r="L41" s="122">
        <v>1</v>
      </c>
      <c r="M41" s="122">
        <v>10</v>
      </c>
      <c r="N41" s="122">
        <v>0</v>
      </c>
      <c r="O41" s="122">
        <v>0</v>
      </c>
      <c r="P41" s="11">
        <f t="shared" si="2"/>
        <v>13.733468972533062</v>
      </c>
      <c r="Q41" s="11">
        <f t="shared" si="3"/>
        <v>52.631578947368418</v>
      </c>
      <c r="R41" s="167"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45" t="s">
        <v>295</v>
      </c>
      <c r="Y46" s="345"/>
      <c r="Z46" s="345"/>
      <c r="AA46" s="345"/>
    </row>
    <row r="47" spans="1:27" s="168" customFormat="1" ht="15" customHeight="1" x14ac:dyDescent="0.25">
      <c r="A47" s="7">
        <f ca="1">TODAY()</f>
        <v>44214</v>
      </c>
      <c r="B47" s="168" t="s">
        <v>60</v>
      </c>
      <c r="C47" s="168" t="s">
        <v>67</v>
      </c>
      <c r="D47" s="168" t="s">
        <v>68</v>
      </c>
      <c r="E47" s="168" t="s">
        <v>71</v>
      </c>
      <c r="F47" s="168" t="s">
        <v>72</v>
      </c>
      <c r="G47" s="168" t="s">
        <v>73</v>
      </c>
      <c r="H47" s="168" t="s">
        <v>74</v>
      </c>
      <c r="I47" s="168" t="s">
        <v>46</v>
      </c>
      <c r="J47" s="168" t="s">
        <v>59</v>
      </c>
      <c r="K47" s="168" t="s">
        <v>160</v>
      </c>
      <c r="L47" s="168" t="s">
        <v>78</v>
      </c>
      <c r="M47" s="168" t="s">
        <v>69</v>
      </c>
      <c r="N47" s="168" t="s">
        <v>70</v>
      </c>
      <c r="O47" s="168" t="s">
        <v>82</v>
      </c>
      <c r="P47" s="168" t="s">
        <v>83</v>
      </c>
      <c r="Q47" s="168" t="s">
        <v>75</v>
      </c>
      <c r="R47" s="168" t="s">
        <v>76</v>
      </c>
      <c r="S47" s="168" t="s">
        <v>94</v>
      </c>
      <c r="T47" s="168" t="s">
        <v>159</v>
      </c>
      <c r="U47" s="168" t="s">
        <v>287</v>
      </c>
      <c r="V47" s="168" t="s">
        <v>288</v>
      </c>
      <c r="W47" s="168" t="s">
        <v>289</v>
      </c>
      <c r="X47" s="168" t="s">
        <v>294</v>
      </c>
      <c r="Y47" s="168" t="s">
        <v>292</v>
      </c>
      <c r="Z47" s="168" t="s">
        <v>293</v>
      </c>
      <c r="AA47" s="168" t="s">
        <v>554</v>
      </c>
    </row>
    <row r="48" spans="1:27" ht="15" customHeight="1" x14ac:dyDescent="0.25">
      <c r="B48" s="4" t="s">
        <v>596</v>
      </c>
      <c r="C48" s="138">
        <v>33400</v>
      </c>
      <c r="D48" s="167">
        <f t="shared" ref="D48:D75" ca="1" si="5">IF(C48 &lt;&gt; 0,ROUNDDOWN(($A$47-C48)/365.25,0),"")</f>
        <v>29</v>
      </c>
      <c r="E48" s="140">
        <v>188</v>
      </c>
      <c r="F48" s="140">
        <v>42</v>
      </c>
      <c r="G48" s="140">
        <v>55</v>
      </c>
      <c r="H48" s="167">
        <f t="shared" ref="H48:H75" si="6">IF(B48&lt;&gt;0,F48+G48,"")</f>
        <v>97</v>
      </c>
      <c r="I48" s="140">
        <v>13</v>
      </c>
      <c r="J48" s="140">
        <v>88</v>
      </c>
      <c r="K48" s="140"/>
      <c r="L48" s="140" t="s">
        <v>41</v>
      </c>
      <c r="M48" s="140">
        <v>175</v>
      </c>
      <c r="N48" s="140">
        <v>85</v>
      </c>
      <c r="O48" s="167" t="str">
        <f t="shared" ref="O48:O75" si="7">IF(B48&lt;&gt;0,CONCATENATE(E48+IFERROR(VLOOKUP(B48,$B$2:$N$36,4,FALSE),0) + X48, " OZ, ", H48+IFERROR(VLOOKUP(B48,$B$2:$N$36,9,FALSE),0) + Y48+Z48, " (", F48+IFERROR(VLOOKUP(B48,$B$2:$N$36,5,FALSE),0) + Y48, "+",G48+IFERROR(VLOOKUP(B48,$B$2:$N$36,8,FALSE),0) +  Z48, ")"), "")</f>
        <v>201 OZ, 98 (42+56)</v>
      </c>
      <c r="P48" s="167" t="str">
        <f t="shared" ref="P48:P75" si="8">IF(M48&lt;&gt;0,CONCATENATE(M48,"/",N48),"")</f>
        <v>175/85</v>
      </c>
      <c r="Q48" s="141" t="s">
        <v>758</v>
      </c>
      <c r="R48" s="140" t="s">
        <v>30</v>
      </c>
      <c r="S48" s="167" t="str">
        <f t="shared" ref="S48:S75" si="9">IFERROR(CONCATENATE(E48+VLOOKUP(B48,$B$39:$R$42,4,FALSE), " OZ, ",G48+VLOOKUP(B48,$B$39:$R$42,13,FALSE), " A"),"")</f>
        <v/>
      </c>
      <c r="T48" s="1" t="str">
        <f t="shared" ref="T48:T75" si="10">IF(B48&lt;&gt;0,IF(V48=1,U48,CONCATENATE(U48," ",W48,".")),"")</f>
        <v>Růžek</v>
      </c>
      <c r="U48" s="1" t="str">
        <f t="shared" ref="U48:U75" si="11">IFERROR(RIGHT(B48,LEN(B48)-SEARCH(" ", B48,1)),"")</f>
        <v>Růžek</v>
      </c>
      <c r="V48" s="167">
        <f t="shared" ref="V48:V75" si="12">IF(B48&lt;&gt;0,COUNTIF($U$48:$U$82,U48),"")</f>
        <v>1</v>
      </c>
      <c r="W48" s="167" t="str">
        <f t="shared" ref="W48:W75" si="13">IFERROR(LEFT(LEFT(B48,SEARCH(" ",B48,1)),1),"")</f>
        <v>A</v>
      </c>
      <c r="X48" s="140"/>
      <c r="Y48" s="140"/>
      <c r="Z48" s="140"/>
      <c r="AA48" s="139"/>
    </row>
    <row r="49" spans="2:27" ht="15" customHeight="1" x14ac:dyDescent="0.25">
      <c r="B49" s="1" t="s">
        <v>0</v>
      </c>
      <c r="C49" s="138">
        <v>36257</v>
      </c>
      <c r="D49" s="167">
        <f t="shared" ca="1" si="5"/>
        <v>21</v>
      </c>
      <c r="E49" s="140">
        <v>93</v>
      </c>
      <c r="F49" s="140">
        <v>35</v>
      </c>
      <c r="G49" s="140">
        <v>25</v>
      </c>
      <c r="H49" s="167">
        <f t="shared" si="6"/>
        <v>60</v>
      </c>
      <c r="I49" s="140">
        <v>5</v>
      </c>
      <c r="J49" s="140">
        <v>77</v>
      </c>
      <c r="K49" s="140"/>
      <c r="L49" s="140" t="s">
        <v>79</v>
      </c>
      <c r="M49" s="140">
        <v>184</v>
      </c>
      <c r="N49" s="140">
        <v>81</v>
      </c>
      <c r="O49" s="167" t="str">
        <f t="shared" si="7"/>
        <v>97 OZ, 61 (35+26)</v>
      </c>
      <c r="P49" s="167" t="str">
        <f t="shared" si="8"/>
        <v>184/81</v>
      </c>
      <c r="Q49" s="141" t="s">
        <v>1</v>
      </c>
      <c r="R49" s="140">
        <v>2008</v>
      </c>
      <c r="S49" s="167" t="str">
        <f t="shared" si="9"/>
        <v/>
      </c>
      <c r="T49" s="1" t="str">
        <f t="shared" si="10"/>
        <v>Cabejšek</v>
      </c>
      <c r="U49" s="1" t="str">
        <f t="shared" si="11"/>
        <v>Cabejšek</v>
      </c>
      <c r="V49" s="167">
        <f t="shared" si="12"/>
        <v>1</v>
      </c>
      <c r="W49" s="167" t="str">
        <f t="shared" si="13"/>
        <v>D</v>
      </c>
      <c r="X49" s="140"/>
      <c r="Y49" s="140"/>
      <c r="Z49" s="140"/>
      <c r="AA49" s="139"/>
    </row>
    <row r="50" spans="2:27" ht="15" customHeight="1" x14ac:dyDescent="0.25">
      <c r="B50" s="4" t="s">
        <v>598</v>
      </c>
      <c r="C50" s="138">
        <v>37464</v>
      </c>
      <c r="D50" s="167">
        <f t="shared" ca="1" si="5"/>
        <v>18</v>
      </c>
      <c r="E50" s="140">
        <v>13</v>
      </c>
      <c r="F50" s="140">
        <v>1</v>
      </c>
      <c r="G50" s="140">
        <v>0</v>
      </c>
      <c r="H50" s="167">
        <f t="shared" si="6"/>
        <v>1</v>
      </c>
      <c r="I50" s="140">
        <v>2</v>
      </c>
      <c r="J50" s="140">
        <v>23</v>
      </c>
      <c r="K50" s="140"/>
      <c r="L50" s="140" t="s">
        <v>41</v>
      </c>
      <c r="M50" s="140" t="s">
        <v>30</v>
      </c>
      <c r="N50" s="140" t="s">
        <v>30</v>
      </c>
      <c r="O50" s="167" t="str">
        <f t="shared" si="7"/>
        <v>14 OZ, 1 (1+0)</v>
      </c>
      <c r="P50" s="167" t="str">
        <f t="shared" si="8"/>
        <v>-/-</v>
      </c>
      <c r="Q50" s="141" t="s">
        <v>1</v>
      </c>
      <c r="R50" s="140">
        <v>2011</v>
      </c>
      <c r="S50" s="167" t="str">
        <f t="shared" si="9"/>
        <v/>
      </c>
      <c r="T50" s="1" t="str">
        <f t="shared" si="10"/>
        <v>Folauf</v>
      </c>
      <c r="U50" s="1" t="str">
        <f t="shared" si="11"/>
        <v>Folauf</v>
      </c>
      <c r="V50" s="167">
        <f t="shared" si="12"/>
        <v>1</v>
      </c>
      <c r="W50" s="167" t="str">
        <f t="shared" si="13"/>
        <v>F</v>
      </c>
      <c r="X50" s="140"/>
      <c r="Y50" s="140"/>
      <c r="Z50" s="140"/>
      <c r="AA50" s="139"/>
    </row>
    <row r="51" spans="2:27" ht="15" customHeight="1" x14ac:dyDescent="0.25">
      <c r="B51" s="4" t="s">
        <v>575</v>
      </c>
      <c r="C51" s="138">
        <v>34968</v>
      </c>
      <c r="D51" s="167">
        <f t="shared" ca="1" si="5"/>
        <v>25</v>
      </c>
      <c r="E51" s="140">
        <v>116</v>
      </c>
      <c r="F51" s="140">
        <v>17</v>
      </c>
      <c r="G51" s="140">
        <v>8</v>
      </c>
      <c r="H51" s="167">
        <f t="shared" si="6"/>
        <v>25</v>
      </c>
      <c r="I51" s="140">
        <v>8</v>
      </c>
      <c r="J51" s="140">
        <v>12</v>
      </c>
      <c r="K51" s="140"/>
      <c r="L51" s="140" t="s">
        <v>41</v>
      </c>
      <c r="M51" s="140">
        <v>175</v>
      </c>
      <c r="N51" s="140">
        <v>72</v>
      </c>
      <c r="O51" s="167" t="str">
        <f t="shared" si="7"/>
        <v>133 OZ, 62 (28+34)</v>
      </c>
      <c r="P51" s="167" t="str">
        <f t="shared" si="8"/>
        <v>175/72</v>
      </c>
      <c r="Q51" s="141" t="s">
        <v>108</v>
      </c>
      <c r="R51" s="140">
        <v>2010</v>
      </c>
      <c r="S51" s="167" t="str">
        <f t="shared" si="9"/>
        <v/>
      </c>
      <c r="T51" s="1" t="str">
        <f t="shared" si="10"/>
        <v>Forman F.</v>
      </c>
      <c r="U51" s="1" t="str">
        <f t="shared" si="11"/>
        <v>Forman</v>
      </c>
      <c r="V51" s="167">
        <f t="shared" si="12"/>
        <v>2</v>
      </c>
      <c r="W51" s="167" t="str">
        <f t="shared" si="13"/>
        <v>F</v>
      </c>
      <c r="X51" s="140"/>
      <c r="Y51" s="140"/>
      <c r="Z51" s="140"/>
      <c r="AA51" s="139"/>
    </row>
    <row r="52" spans="2:27" ht="15" customHeight="1" x14ac:dyDescent="0.25">
      <c r="B52" s="1" t="s">
        <v>583</v>
      </c>
      <c r="C52" s="138">
        <v>37331</v>
      </c>
      <c r="D52" s="167">
        <f t="shared" ca="1" si="5"/>
        <v>18</v>
      </c>
      <c r="E52" s="140">
        <v>13</v>
      </c>
      <c r="F52" s="140">
        <v>1</v>
      </c>
      <c r="G52" s="140">
        <v>1</v>
      </c>
      <c r="H52" s="167">
        <f t="shared" si="6"/>
        <v>2</v>
      </c>
      <c r="I52" s="140">
        <v>2</v>
      </c>
      <c r="J52" s="140">
        <v>99</v>
      </c>
      <c r="K52" s="140"/>
      <c r="L52" s="140" t="s">
        <v>79</v>
      </c>
      <c r="M52" s="140">
        <v>180</v>
      </c>
      <c r="N52" s="140">
        <v>71</v>
      </c>
      <c r="O52" s="167" t="str">
        <f t="shared" si="7"/>
        <v>28 OZ, 13 (8+5)</v>
      </c>
      <c r="P52" s="167" t="str">
        <f t="shared" si="8"/>
        <v>180/71</v>
      </c>
      <c r="Q52" s="141" t="s">
        <v>759</v>
      </c>
      <c r="R52" s="140" t="s">
        <v>30</v>
      </c>
      <c r="S52" s="167" t="str">
        <f t="shared" si="9"/>
        <v/>
      </c>
      <c r="T52" s="1" t="str">
        <f t="shared" si="10"/>
        <v>Tomčo</v>
      </c>
      <c r="U52" s="1" t="str">
        <f t="shared" si="11"/>
        <v>Tomčo</v>
      </c>
      <c r="V52" s="167">
        <f t="shared" si="12"/>
        <v>1</v>
      </c>
      <c r="W52" s="167" t="str">
        <f t="shared" si="13"/>
        <v>I</v>
      </c>
      <c r="X52" s="140"/>
      <c r="Y52" s="140"/>
      <c r="Z52" s="140"/>
      <c r="AA52" s="139"/>
    </row>
    <row r="53" spans="2:27" ht="15" customHeight="1" x14ac:dyDescent="0.25">
      <c r="B53" s="1" t="s">
        <v>580</v>
      </c>
      <c r="C53" s="138">
        <v>36990</v>
      </c>
      <c r="D53" s="167">
        <f t="shared" ca="1" si="5"/>
        <v>19</v>
      </c>
      <c r="E53" s="140">
        <v>46</v>
      </c>
      <c r="F53" s="140">
        <v>43</v>
      </c>
      <c r="G53" s="140">
        <v>22</v>
      </c>
      <c r="H53" s="167">
        <f t="shared" si="6"/>
        <v>65</v>
      </c>
      <c r="I53" s="140">
        <v>3</v>
      </c>
      <c r="J53" s="140">
        <v>21</v>
      </c>
      <c r="K53" s="140"/>
      <c r="L53" s="140" t="s">
        <v>79</v>
      </c>
      <c r="M53" s="140">
        <v>183</v>
      </c>
      <c r="N53" s="140">
        <v>67</v>
      </c>
      <c r="O53" s="167" t="str">
        <f t="shared" si="7"/>
        <v>63 OZ, 82 (55+27)</v>
      </c>
      <c r="P53" s="167" t="str">
        <f t="shared" si="8"/>
        <v>183/67</v>
      </c>
      <c r="Q53" s="141" t="s">
        <v>108</v>
      </c>
      <c r="R53" s="140">
        <v>2006</v>
      </c>
      <c r="S53" s="167" t="str">
        <f t="shared" si="9"/>
        <v/>
      </c>
      <c r="T53" s="1" t="str">
        <f t="shared" si="10"/>
        <v>Buršík</v>
      </c>
      <c r="U53" s="1" t="str">
        <f t="shared" si="11"/>
        <v>Buršík</v>
      </c>
      <c r="V53" s="167">
        <f t="shared" si="12"/>
        <v>1</v>
      </c>
      <c r="W53" s="167" t="str">
        <f t="shared" si="13"/>
        <v>J</v>
      </c>
      <c r="X53" s="140"/>
      <c r="Y53" s="140"/>
      <c r="Z53" s="140"/>
      <c r="AA53" s="139"/>
    </row>
    <row r="54" spans="2:27" ht="15" customHeight="1" x14ac:dyDescent="0.25">
      <c r="B54" s="1" t="s">
        <v>579</v>
      </c>
      <c r="C54" s="138">
        <v>34443</v>
      </c>
      <c r="D54" s="167">
        <f t="shared" ca="1" si="5"/>
        <v>26</v>
      </c>
      <c r="E54" s="140">
        <v>163</v>
      </c>
      <c r="F54" s="140">
        <v>135</v>
      </c>
      <c r="G54" s="140">
        <v>84</v>
      </c>
      <c r="H54" s="167">
        <f t="shared" si="6"/>
        <v>219</v>
      </c>
      <c r="I54" s="140">
        <v>9</v>
      </c>
      <c r="J54" s="140">
        <v>91</v>
      </c>
      <c r="K54" s="140"/>
      <c r="L54" s="140" t="s">
        <v>41</v>
      </c>
      <c r="M54" s="140">
        <v>185</v>
      </c>
      <c r="N54" s="140">
        <v>82</v>
      </c>
      <c r="O54" s="167" t="str">
        <f t="shared" si="7"/>
        <v>179 OZ, 236 (149+87)</v>
      </c>
      <c r="P54" s="167" t="str">
        <f t="shared" si="8"/>
        <v>185/82</v>
      </c>
      <c r="Q54" s="141" t="s">
        <v>212</v>
      </c>
      <c r="R54" s="140">
        <v>2007</v>
      </c>
      <c r="S54" s="167" t="str">
        <f t="shared" si="9"/>
        <v/>
      </c>
      <c r="T54" s="1" t="str">
        <f t="shared" si="10"/>
        <v>Šárka</v>
      </c>
      <c r="U54" s="1" t="str">
        <f t="shared" si="11"/>
        <v>Šárka</v>
      </c>
      <c r="V54" s="167">
        <f t="shared" si="12"/>
        <v>1</v>
      </c>
      <c r="W54" s="167" t="str">
        <f t="shared" si="13"/>
        <v>J</v>
      </c>
      <c r="X54" s="140"/>
      <c r="Y54" s="140"/>
      <c r="Z54" s="140"/>
      <c r="AA54" s="139"/>
    </row>
    <row r="55" spans="2:27" ht="15" customHeight="1" x14ac:dyDescent="0.25">
      <c r="B55" s="1" t="s">
        <v>595</v>
      </c>
      <c r="C55" s="138">
        <v>37384</v>
      </c>
      <c r="D55" s="167">
        <f t="shared" ca="1" si="5"/>
        <v>18</v>
      </c>
      <c r="E55" s="140">
        <v>7</v>
      </c>
      <c r="F55" s="140">
        <v>0</v>
      </c>
      <c r="G55" s="140">
        <v>1</v>
      </c>
      <c r="H55" s="167">
        <f t="shared" si="6"/>
        <v>1</v>
      </c>
      <c r="I55" s="140">
        <v>2</v>
      </c>
      <c r="J55" s="140">
        <v>94</v>
      </c>
      <c r="K55" s="140"/>
      <c r="L55" s="140" t="s">
        <v>30</v>
      </c>
      <c r="M55" s="140">
        <v>173</v>
      </c>
      <c r="N55" s="140">
        <v>70</v>
      </c>
      <c r="O55" s="167" t="str">
        <f t="shared" si="7"/>
        <v>7 OZ, 2 (0+2)</v>
      </c>
      <c r="P55" s="167" t="str">
        <f t="shared" si="8"/>
        <v>173/70</v>
      </c>
      <c r="Q55" s="141" t="s">
        <v>108</v>
      </c>
      <c r="R55" s="140" t="s">
        <v>30</v>
      </c>
      <c r="S55" s="167" t="str">
        <f t="shared" si="9"/>
        <v>8 OZ, 2 A</v>
      </c>
      <c r="T55" s="1" t="str">
        <f t="shared" si="10"/>
        <v>Zavřel</v>
      </c>
      <c r="U55" s="1" t="str">
        <f t="shared" si="11"/>
        <v>Zavřel</v>
      </c>
      <c r="V55" s="167">
        <f t="shared" si="12"/>
        <v>1</v>
      </c>
      <c r="W55" s="167" t="str">
        <f t="shared" si="13"/>
        <v>J</v>
      </c>
      <c r="X55" s="140"/>
      <c r="Y55" s="140"/>
      <c r="Z55" s="140"/>
      <c r="AA55" s="139"/>
    </row>
    <row r="56" spans="2:27" ht="15" customHeight="1" x14ac:dyDescent="0.25">
      <c r="B56" s="1" t="s">
        <v>587</v>
      </c>
      <c r="C56" s="138">
        <v>36370</v>
      </c>
      <c r="D56" s="167">
        <f t="shared" ca="1" si="5"/>
        <v>21</v>
      </c>
      <c r="E56" s="140">
        <v>84</v>
      </c>
      <c r="F56" s="140">
        <v>11</v>
      </c>
      <c r="G56" s="140">
        <v>14</v>
      </c>
      <c r="H56" s="167">
        <f t="shared" si="6"/>
        <v>25</v>
      </c>
      <c r="I56" s="140">
        <v>5</v>
      </c>
      <c r="J56" s="140">
        <v>8</v>
      </c>
      <c r="K56" s="140"/>
      <c r="L56" s="140" t="s">
        <v>79</v>
      </c>
      <c r="M56" s="140">
        <v>186</v>
      </c>
      <c r="N56" s="140">
        <v>73</v>
      </c>
      <c r="O56" s="167" t="str">
        <f t="shared" si="7"/>
        <v>99 OZ, 30 (15+15)</v>
      </c>
      <c r="P56" s="167" t="str">
        <f t="shared" si="8"/>
        <v>186/73</v>
      </c>
      <c r="Q56" s="141" t="s">
        <v>108</v>
      </c>
      <c r="R56" s="140">
        <v>2009</v>
      </c>
      <c r="S56" s="167" t="str">
        <f t="shared" si="9"/>
        <v/>
      </c>
      <c r="T56" s="1" t="str">
        <f t="shared" si="10"/>
        <v>Dobisík</v>
      </c>
      <c r="U56" s="1" t="str">
        <f t="shared" si="11"/>
        <v>Dobisík</v>
      </c>
      <c r="V56" s="167">
        <f t="shared" si="12"/>
        <v>1</v>
      </c>
      <c r="W56" s="167" t="str">
        <f t="shared" si="13"/>
        <v>J</v>
      </c>
      <c r="X56" s="140"/>
      <c r="Y56" s="140"/>
      <c r="Z56" s="140"/>
      <c r="AA56" s="139"/>
    </row>
    <row r="57" spans="2:27" ht="15" customHeight="1" x14ac:dyDescent="0.25">
      <c r="B57" s="4" t="s">
        <v>576</v>
      </c>
      <c r="C57" s="138">
        <v>37650</v>
      </c>
      <c r="D57" s="167">
        <f t="shared" ca="1" si="5"/>
        <v>17</v>
      </c>
      <c r="E57" s="140">
        <v>0</v>
      </c>
      <c r="F57" s="140">
        <v>0</v>
      </c>
      <c r="G57" s="140">
        <v>0</v>
      </c>
      <c r="H57" s="167">
        <f t="shared" si="6"/>
        <v>0</v>
      </c>
      <c r="I57" s="140">
        <v>1</v>
      </c>
      <c r="J57" s="140">
        <v>38</v>
      </c>
      <c r="K57" s="140"/>
      <c r="L57" s="140" t="s">
        <v>79</v>
      </c>
      <c r="M57" s="140">
        <v>175</v>
      </c>
      <c r="N57" s="140">
        <v>65</v>
      </c>
      <c r="O57" s="167" t="str">
        <f t="shared" si="7"/>
        <v>17 OZ, 27 (11+16)</v>
      </c>
      <c r="P57" s="167" t="str">
        <f t="shared" si="8"/>
        <v>175/65</v>
      </c>
      <c r="Q57" s="141" t="s">
        <v>1</v>
      </c>
      <c r="R57" s="140">
        <v>2009</v>
      </c>
      <c r="S57" s="167" t="str">
        <f t="shared" si="9"/>
        <v/>
      </c>
      <c r="T57" s="1" t="str">
        <f t="shared" si="10"/>
        <v>Malič</v>
      </c>
      <c r="U57" s="1" t="str">
        <f t="shared" si="11"/>
        <v>Malič</v>
      </c>
      <c r="V57" s="167">
        <f t="shared" si="12"/>
        <v>1</v>
      </c>
      <c r="W57" s="167" t="str">
        <f t="shared" si="13"/>
        <v>J</v>
      </c>
      <c r="X57" s="140"/>
      <c r="Y57" s="140"/>
      <c r="Z57" s="140"/>
      <c r="AA57" s="139"/>
    </row>
    <row r="58" spans="2:27" ht="15" customHeight="1" x14ac:dyDescent="0.25">
      <c r="B58" s="1" t="s">
        <v>594</v>
      </c>
      <c r="C58" s="138">
        <v>37049</v>
      </c>
      <c r="D58" s="167">
        <f t="shared" ca="1" si="5"/>
        <v>19</v>
      </c>
      <c r="E58" s="140">
        <v>0</v>
      </c>
      <c r="F58" s="140">
        <v>0</v>
      </c>
      <c r="G58" s="140">
        <v>0</v>
      </c>
      <c r="H58" s="167">
        <f t="shared" si="6"/>
        <v>0</v>
      </c>
      <c r="I58" s="140">
        <v>1</v>
      </c>
      <c r="J58" s="140">
        <v>74</v>
      </c>
      <c r="K58" s="140"/>
      <c r="L58" s="140" t="s">
        <v>30</v>
      </c>
      <c r="M58" s="140" t="s">
        <v>30</v>
      </c>
      <c r="N58" s="140" t="s">
        <v>30</v>
      </c>
      <c r="O58" s="167" t="str">
        <f t="shared" si="7"/>
        <v>14 OZ, 1 (1+0)</v>
      </c>
      <c r="P58" s="167" t="str">
        <f t="shared" si="8"/>
        <v>-/-</v>
      </c>
      <c r="Q58" s="141" t="s">
        <v>108</v>
      </c>
      <c r="R58" s="140">
        <v>2009</v>
      </c>
      <c r="S58" s="167" t="str">
        <f t="shared" si="9"/>
        <v/>
      </c>
      <c r="T58" s="1" t="str">
        <f t="shared" si="10"/>
        <v>Kratina</v>
      </c>
      <c r="U58" s="1" t="str">
        <f t="shared" si="11"/>
        <v>Kratina</v>
      </c>
      <c r="V58" s="167">
        <f t="shared" si="12"/>
        <v>1</v>
      </c>
      <c r="W58" s="167" t="str">
        <f t="shared" si="13"/>
        <v>J</v>
      </c>
      <c r="X58" s="140"/>
      <c r="Y58" s="140"/>
      <c r="Z58" s="140"/>
      <c r="AA58" s="139"/>
    </row>
    <row r="59" spans="2:27" ht="15" customHeight="1" x14ac:dyDescent="0.25">
      <c r="B59" s="1" t="s">
        <v>589</v>
      </c>
      <c r="C59" s="138">
        <v>36111</v>
      </c>
      <c r="D59" s="167">
        <f t="shared" ca="1" si="5"/>
        <v>22</v>
      </c>
      <c r="E59" s="140">
        <v>118</v>
      </c>
      <c r="F59" s="140">
        <v>22</v>
      </c>
      <c r="G59" s="140">
        <v>24</v>
      </c>
      <c r="H59" s="167">
        <f t="shared" si="6"/>
        <v>46</v>
      </c>
      <c r="I59" s="140">
        <v>6</v>
      </c>
      <c r="J59" s="140">
        <v>98</v>
      </c>
      <c r="K59" s="140"/>
      <c r="L59" s="140" t="s">
        <v>79</v>
      </c>
      <c r="M59" s="140">
        <v>183</v>
      </c>
      <c r="N59" s="140">
        <v>73</v>
      </c>
      <c r="O59" s="167" t="str">
        <f t="shared" si="7"/>
        <v>135 OZ, 51 (23+28)</v>
      </c>
      <c r="P59" s="167" t="str">
        <f t="shared" si="8"/>
        <v>183/73</v>
      </c>
      <c r="Q59" s="141" t="s">
        <v>108</v>
      </c>
      <c r="R59" s="140">
        <v>2006</v>
      </c>
      <c r="S59" s="167" t="str">
        <f t="shared" si="9"/>
        <v/>
      </c>
      <c r="T59" s="1" t="str">
        <f t="shared" si="10"/>
        <v>Krbec</v>
      </c>
      <c r="U59" s="1" t="str">
        <f t="shared" si="11"/>
        <v>Krbec</v>
      </c>
      <c r="V59" s="167">
        <f t="shared" si="12"/>
        <v>1</v>
      </c>
      <c r="W59" s="167" t="str">
        <f t="shared" si="13"/>
        <v>K</v>
      </c>
      <c r="X59" s="140"/>
      <c r="Y59" s="140"/>
      <c r="Z59" s="140"/>
      <c r="AA59" s="139"/>
    </row>
    <row r="60" spans="2:27" ht="15" customHeight="1" x14ac:dyDescent="0.25">
      <c r="B60" s="4" t="s">
        <v>599</v>
      </c>
      <c r="C60" s="138">
        <v>32940</v>
      </c>
      <c r="D60" s="167">
        <f t="shared" ca="1" si="5"/>
        <v>30</v>
      </c>
      <c r="E60" s="140">
        <v>155</v>
      </c>
      <c r="F60" s="140">
        <v>32</v>
      </c>
      <c r="G60" s="140">
        <v>36</v>
      </c>
      <c r="H60" s="167">
        <f t="shared" si="6"/>
        <v>68</v>
      </c>
      <c r="I60" s="140">
        <v>10</v>
      </c>
      <c r="J60" s="140">
        <v>39</v>
      </c>
      <c r="K60" s="140"/>
      <c r="L60" s="140" t="s">
        <v>41</v>
      </c>
      <c r="M60" s="140">
        <v>184</v>
      </c>
      <c r="N60" s="140">
        <v>90</v>
      </c>
      <c r="O60" s="167" t="str">
        <f t="shared" si="7"/>
        <v>170 OZ, 68 (32+36)</v>
      </c>
      <c r="P60" s="167" t="str">
        <f t="shared" si="8"/>
        <v>184/90</v>
      </c>
      <c r="Q60" s="141" t="s">
        <v>108</v>
      </c>
      <c r="R60" s="140" t="s">
        <v>30</v>
      </c>
      <c r="S60" s="167" t="str">
        <f t="shared" si="9"/>
        <v/>
      </c>
      <c r="T60" s="1" t="str">
        <f t="shared" si="10"/>
        <v>Kuncman</v>
      </c>
      <c r="U60" s="1" t="str">
        <f t="shared" si="11"/>
        <v>Kuncman</v>
      </c>
      <c r="V60" s="167">
        <f t="shared" si="12"/>
        <v>1</v>
      </c>
      <c r="W60" s="167" t="str">
        <f t="shared" si="13"/>
        <v>L</v>
      </c>
      <c r="X60" s="140"/>
      <c r="Y60" s="140"/>
      <c r="Z60" s="140"/>
      <c r="AA60" s="139"/>
    </row>
    <row r="61" spans="2:27" ht="15" customHeight="1" x14ac:dyDescent="0.25">
      <c r="B61" s="1" t="s">
        <v>591</v>
      </c>
      <c r="C61" s="138">
        <v>37578</v>
      </c>
      <c r="D61" s="167">
        <f t="shared" ca="1" si="5"/>
        <v>18</v>
      </c>
      <c r="E61" s="140">
        <v>0</v>
      </c>
      <c r="F61" s="140">
        <v>0</v>
      </c>
      <c r="G61" s="140">
        <v>0</v>
      </c>
      <c r="H61" s="167">
        <f t="shared" si="6"/>
        <v>0</v>
      </c>
      <c r="I61" s="140">
        <v>1</v>
      </c>
      <c r="J61" s="140">
        <v>80</v>
      </c>
      <c r="K61" s="140"/>
      <c r="L61" s="140" t="s">
        <v>79</v>
      </c>
      <c r="M61" s="140">
        <v>187</v>
      </c>
      <c r="N61" s="140">
        <v>73</v>
      </c>
      <c r="O61" s="167" t="str">
        <f t="shared" si="7"/>
        <v>6 OZ, 2 (1+1)</v>
      </c>
      <c r="P61" s="167" t="str">
        <f t="shared" si="8"/>
        <v>187/73</v>
      </c>
      <c r="Q61" s="141" t="s">
        <v>27</v>
      </c>
      <c r="R61" s="140">
        <v>2014</v>
      </c>
      <c r="S61" s="167" t="str">
        <f t="shared" si="9"/>
        <v/>
      </c>
      <c r="T61" s="1" t="str">
        <f t="shared" si="10"/>
        <v>Punčochář</v>
      </c>
      <c r="U61" s="1" t="str">
        <f t="shared" si="11"/>
        <v>Punčochář</v>
      </c>
      <c r="V61" s="167">
        <f t="shared" si="12"/>
        <v>1</v>
      </c>
      <c r="W61" s="167" t="str">
        <f t="shared" si="13"/>
        <v>L</v>
      </c>
      <c r="X61" s="140"/>
      <c r="Y61" s="140"/>
      <c r="Z61" s="140"/>
      <c r="AA61" s="139"/>
    </row>
    <row r="62" spans="2:27" ht="15" customHeight="1" x14ac:dyDescent="0.25">
      <c r="B62" s="1" t="s">
        <v>592</v>
      </c>
      <c r="C62" s="138">
        <v>34316</v>
      </c>
      <c r="D62" s="167">
        <f t="shared" ca="1" si="5"/>
        <v>27</v>
      </c>
      <c r="E62" s="140">
        <v>188</v>
      </c>
      <c r="F62" s="140">
        <v>48</v>
      </c>
      <c r="G62" s="140">
        <v>81</v>
      </c>
      <c r="H62" s="167">
        <f t="shared" si="6"/>
        <v>129</v>
      </c>
      <c r="I62" s="140">
        <v>10</v>
      </c>
      <c r="J62" s="140">
        <v>84</v>
      </c>
      <c r="K62" s="140"/>
      <c r="L62" s="140" t="s">
        <v>41</v>
      </c>
      <c r="M62" s="140">
        <v>188</v>
      </c>
      <c r="N62" s="140">
        <v>86</v>
      </c>
      <c r="O62" s="167" t="str">
        <f t="shared" si="7"/>
        <v>189 OZ, 130 (49+81)</v>
      </c>
      <c r="P62" s="167" t="str">
        <f t="shared" si="8"/>
        <v>188/86</v>
      </c>
      <c r="Q62" s="141" t="s">
        <v>760</v>
      </c>
      <c r="R62" s="140" t="s">
        <v>30</v>
      </c>
      <c r="S62" s="167" t="str">
        <f t="shared" si="9"/>
        <v/>
      </c>
      <c r="T62" s="1" t="str">
        <f t="shared" si="10"/>
        <v>Ďopan</v>
      </c>
      <c r="U62" s="1" t="str">
        <f t="shared" si="11"/>
        <v>Ďopan</v>
      </c>
      <c r="V62" s="167">
        <f t="shared" si="12"/>
        <v>1</v>
      </c>
      <c r="W62" s="167" t="str">
        <f t="shared" si="13"/>
        <v>M</v>
      </c>
      <c r="X62" s="140"/>
      <c r="Y62" s="140"/>
      <c r="Z62" s="140"/>
      <c r="AA62" s="139"/>
    </row>
    <row r="63" spans="2:27" ht="15" customHeight="1" x14ac:dyDescent="0.25">
      <c r="B63" s="1" t="s">
        <v>590</v>
      </c>
      <c r="C63" s="138">
        <v>34592</v>
      </c>
      <c r="D63" s="167">
        <f t="shared" ca="1" si="5"/>
        <v>26</v>
      </c>
      <c r="E63" s="140">
        <v>96</v>
      </c>
      <c r="F63" s="140">
        <v>39</v>
      </c>
      <c r="G63" s="140">
        <v>57</v>
      </c>
      <c r="H63" s="167">
        <f t="shared" si="6"/>
        <v>96</v>
      </c>
      <c r="I63" s="140">
        <v>6</v>
      </c>
      <c r="J63" s="140">
        <v>5</v>
      </c>
      <c r="K63" s="140"/>
      <c r="L63" s="140" t="s">
        <v>79</v>
      </c>
      <c r="M63" s="140">
        <v>184</v>
      </c>
      <c r="N63" s="140">
        <v>85</v>
      </c>
      <c r="O63" s="167" t="str">
        <f t="shared" si="7"/>
        <v>98 OZ, 98 (40+58)</v>
      </c>
      <c r="P63" s="167" t="str">
        <f t="shared" si="8"/>
        <v>184/85</v>
      </c>
      <c r="Q63" s="141" t="s">
        <v>108</v>
      </c>
      <c r="R63" s="140">
        <v>2008</v>
      </c>
      <c r="S63" s="167" t="str">
        <f t="shared" si="9"/>
        <v/>
      </c>
      <c r="T63" s="1" t="str">
        <f t="shared" si="10"/>
        <v>Kisugite</v>
      </c>
      <c r="U63" s="1" t="str">
        <f t="shared" si="11"/>
        <v>Kisugite</v>
      </c>
      <c r="V63" s="167">
        <f t="shared" si="12"/>
        <v>1</v>
      </c>
      <c r="W63" s="167" t="str">
        <f t="shared" si="13"/>
        <v>M</v>
      </c>
      <c r="X63" s="140"/>
      <c r="Y63" s="140"/>
      <c r="Z63" s="140"/>
      <c r="AA63" s="139"/>
    </row>
    <row r="64" spans="2:27" ht="15" customHeight="1" x14ac:dyDescent="0.25">
      <c r="B64" s="4" t="s">
        <v>578</v>
      </c>
      <c r="C64" s="138">
        <v>37358</v>
      </c>
      <c r="D64" s="167">
        <f t="shared" ca="1" si="5"/>
        <v>18</v>
      </c>
      <c r="E64" s="140">
        <v>7</v>
      </c>
      <c r="F64" s="140">
        <v>1</v>
      </c>
      <c r="G64" s="140">
        <v>0</v>
      </c>
      <c r="H64" s="167">
        <f t="shared" si="6"/>
        <v>1</v>
      </c>
      <c r="I64" s="140">
        <v>2</v>
      </c>
      <c r="J64" s="140">
        <v>41</v>
      </c>
      <c r="K64" s="140"/>
      <c r="L64" s="140" t="s">
        <v>41</v>
      </c>
      <c r="M64" s="140">
        <v>168</v>
      </c>
      <c r="N64" s="140">
        <v>70</v>
      </c>
      <c r="O64" s="167" t="str">
        <f t="shared" si="7"/>
        <v>24 OZ, 24 (16+8)</v>
      </c>
      <c r="P64" s="167" t="str">
        <f t="shared" si="8"/>
        <v>168/70</v>
      </c>
      <c r="Q64" s="141" t="s">
        <v>214</v>
      </c>
      <c r="R64" s="140" t="s">
        <v>30</v>
      </c>
      <c r="S64" s="167" t="str">
        <f t="shared" si="9"/>
        <v/>
      </c>
      <c r="T64" s="1" t="str">
        <f t="shared" si="10"/>
        <v>Pěnička</v>
      </c>
      <c r="U64" s="1" t="str">
        <f t="shared" si="11"/>
        <v>Pěnička</v>
      </c>
      <c r="V64" s="167">
        <f t="shared" si="12"/>
        <v>1</v>
      </c>
      <c r="W64" s="167" t="str">
        <f t="shared" si="13"/>
        <v>M</v>
      </c>
      <c r="X64" s="140"/>
      <c r="Y64" s="140"/>
      <c r="Z64" s="140"/>
      <c r="AA64" s="139"/>
    </row>
    <row r="65" spans="2:27" ht="15" customHeight="1" x14ac:dyDescent="0.25">
      <c r="B65" s="4" t="s">
        <v>577</v>
      </c>
      <c r="C65" s="138">
        <v>36331</v>
      </c>
      <c r="D65" s="167">
        <f t="shared" ca="1" si="5"/>
        <v>21</v>
      </c>
      <c r="E65" s="140">
        <v>91</v>
      </c>
      <c r="F65" s="140">
        <v>62</v>
      </c>
      <c r="G65" s="140">
        <v>62</v>
      </c>
      <c r="H65" s="167">
        <f t="shared" si="6"/>
        <v>124</v>
      </c>
      <c r="I65" s="140">
        <v>5</v>
      </c>
      <c r="J65" s="140">
        <v>9</v>
      </c>
      <c r="K65" s="140"/>
      <c r="L65" s="140" t="s">
        <v>79</v>
      </c>
      <c r="M65" s="140">
        <v>186</v>
      </c>
      <c r="N65" s="140">
        <v>95</v>
      </c>
      <c r="O65" s="167" t="str">
        <f t="shared" si="7"/>
        <v>108 OZ, 149 (71+78)</v>
      </c>
      <c r="P65" s="167" t="str">
        <f t="shared" si="8"/>
        <v>186/95</v>
      </c>
      <c r="Q65" s="141" t="s">
        <v>108</v>
      </c>
      <c r="R65" s="140">
        <v>2008</v>
      </c>
      <c r="S65" s="167" t="str">
        <f t="shared" si="9"/>
        <v/>
      </c>
      <c r="T65" s="1" t="str">
        <f t="shared" si="10"/>
        <v>Krebner</v>
      </c>
      <c r="U65" s="1" t="str">
        <f t="shared" si="11"/>
        <v>Krebner</v>
      </c>
      <c r="V65" s="167">
        <f t="shared" si="12"/>
        <v>1</v>
      </c>
      <c r="W65" s="167" t="str">
        <f t="shared" si="13"/>
        <v>M</v>
      </c>
      <c r="X65" s="140"/>
      <c r="Y65" s="140"/>
      <c r="Z65" s="140"/>
      <c r="AA65" s="139"/>
    </row>
    <row r="66" spans="2:27" ht="15" customHeight="1" x14ac:dyDescent="0.25">
      <c r="B66" s="1" t="s">
        <v>581</v>
      </c>
      <c r="C66" s="138">
        <v>37356</v>
      </c>
      <c r="D66" s="167">
        <f t="shared" ca="1" si="5"/>
        <v>18</v>
      </c>
      <c r="E66" s="140">
        <v>22</v>
      </c>
      <c r="F66" s="140">
        <v>2</v>
      </c>
      <c r="G66" s="140">
        <v>2</v>
      </c>
      <c r="H66" s="167">
        <f t="shared" si="6"/>
        <v>4</v>
      </c>
      <c r="I66" s="140">
        <v>2</v>
      </c>
      <c r="J66" s="140">
        <v>13</v>
      </c>
      <c r="K66" s="140"/>
      <c r="L66" s="140" t="s">
        <v>41</v>
      </c>
      <c r="M66" s="140">
        <v>179</v>
      </c>
      <c r="N66" s="140">
        <v>73</v>
      </c>
      <c r="O66" s="167" t="str">
        <f t="shared" si="7"/>
        <v>39 OZ, 18 (12+6)</v>
      </c>
      <c r="P66" s="167" t="str">
        <f t="shared" si="8"/>
        <v>179/73</v>
      </c>
      <c r="Q66" s="141" t="s">
        <v>290</v>
      </c>
      <c r="R66" s="140" t="s">
        <v>30</v>
      </c>
      <c r="S66" s="167" t="str">
        <f t="shared" si="9"/>
        <v/>
      </c>
      <c r="T66" s="1" t="str">
        <f t="shared" si="10"/>
        <v>Vojtíšek</v>
      </c>
      <c r="U66" s="1" t="str">
        <f t="shared" si="11"/>
        <v>Vojtíšek</v>
      </c>
      <c r="V66" s="167">
        <f t="shared" si="12"/>
        <v>1</v>
      </c>
      <c r="W66" s="167" t="str">
        <f t="shared" si="13"/>
        <v>M</v>
      </c>
      <c r="X66" s="140"/>
      <c r="Y66" s="140"/>
      <c r="Z66" s="140"/>
      <c r="AA66" s="139"/>
    </row>
    <row r="67" spans="2:27" ht="15" customHeight="1" x14ac:dyDescent="0.25">
      <c r="B67" s="1" t="s">
        <v>584</v>
      </c>
      <c r="C67" s="138">
        <v>34968</v>
      </c>
      <c r="D67" s="167">
        <f t="shared" ca="1" si="5"/>
        <v>25</v>
      </c>
      <c r="E67" s="140">
        <v>116</v>
      </c>
      <c r="F67" s="140">
        <v>17</v>
      </c>
      <c r="G67" s="140">
        <v>8</v>
      </c>
      <c r="H67" s="167">
        <f t="shared" si="6"/>
        <v>25</v>
      </c>
      <c r="I67" s="140">
        <v>8</v>
      </c>
      <c r="J67" s="140">
        <v>12</v>
      </c>
      <c r="K67" s="140"/>
      <c r="L67" s="140" t="s">
        <v>41</v>
      </c>
      <c r="M67" s="140">
        <v>175</v>
      </c>
      <c r="N67" s="140">
        <v>72</v>
      </c>
      <c r="O67" s="167" t="str">
        <f t="shared" si="7"/>
        <v>130 OZ, 34 (23+11)</v>
      </c>
      <c r="P67" s="167" t="str">
        <f t="shared" si="8"/>
        <v>175/72</v>
      </c>
      <c r="Q67" s="141" t="s">
        <v>108</v>
      </c>
      <c r="R67" s="140" t="s">
        <v>30</v>
      </c>
      <c r="S67" s="167" t="str">
        <f t="shared" si="9"/>
        <v/>
      </c>
      <c r="T67" s="1" t="str">
        <f t="shared" si="10"/>
        <v>Forman M.</v>
      </c>
      <c r="U67" s="1" t="str">
        <f t="shared" si="11"/>
        <v>Forman</v>
      </c>
      <c r="V67" s="167">
        <f t="shared" si="12"/>
        <v>2</v>
      </c>
      <c r="W67" s="167" t="str">
        <f t="shared" si="13"/>
        <v>M</v>
      </c>
      <c r="X67" s="140"/>
      <c r="Y67" s="140"/>
      <c r="Z67" s="140"/>
      <c r="AA67" s="139"/>
    </row>
    <row r="68" spans="2:27" ht="15" customHeight="1" x14ac:dyDescent="0.25">
      <c r="B68" s="1" t="s">
        <v>593</v>
      </c>
      <c r="C68" s="138">
        <v>37548</v>
      </c>
      <c r="D68" s="167">
        <f t="shared" ca="1" si="5"/>
        <v>18</v>
      </c>
      <c r="E68" s="140">
        <v>0</v>
      </c>
      <c r="F68" s="140">
        <v>0</v>
      </c>
      <c r="G68" s="140">
        <v>0</v>
      </c>
      <c r="H68" s="167">
        <f t="shared" si="6"/>
        <v>0</v>
      </c>
      <c r="I68" s="140">
        <v>1</v>
      </c>
      <c r="J68" s="140">
        <v>50</v>
      </c>
      <c r="K68" s="140"/>
      <c r="L68" s="140" t="s">
        <v>41</v>
      </c>
      <c r="M68" s="140">
        <v>180</v>
      </c>
      <c r="N68" s="140">
        <v>65</v>
      </c>
      <c r="O68" s="167" t="str">
        <f t="shared" si="7"/>
        <v>7 OZ, 2 (2+0)</v>
      </c>
      <c r="P68" s="167" t="str">
        <f t="shared" si="8"/>
        <v>180/65</v>
      </c>
      <c r="Q68" s="141" t="s">
        <v>761</v>
      </c>
      <c r="R68" s="140">
        <v>2011</v>
      </c>
      <c r="S68" s="167" t="str">
        <f t="shared" si="9"/>
        <v/>
      </c>
      <c r="T68" s="1" t="str">
        <f t="shared" si="10"/>
        <v>Kawulok</v>
      </c>
      <c r="U68" s="1" t="str">
        <f t="shared" si="11"/>
        <v>Kawulok</v>
      </c>
      <c r="V68" s="167">
        <f t="shared" si="12"/>
        <v>1</v>
      </c>
      <c r="W68" s="167" t="str">
        <f t="shared" si="13"/>
        <v>O</v>
      </c>
      <c r="X68" s="140"/>
      <c r="Y68" s="140"/>
      <c r="Z68" s="140"/>
      <c r="AA68" s="139"/>
    </row>
    <row r="69" spans="2:27" ht="15" customHeight="1" x14ac:dyDescent="0.25">
      <c r="B69" s="1" t="s">
        <v>582</v>
      </c>
      <c r="C69" s="138">
        <v>36777</v>
      </c>
      <c r="D69" s="167">
        <f t="shared" ca="1" si="5"/>
        <v>20</v>
      </c>
      <c r="E69" s="140">
        <v>70</v>
      </c>
      <c r="F69" s="140">
        <v>37</v>
      </c>
      <c r="G69" s="140">
        <v>34</v>
      </c>
      <c r="H69" s="167">
        <f t="shared" si="6"/>
        <v>71</v>
      </c>
      <c r="I69" s="140">
        <v>4</v>
      </c>
      <c r="J69" s="140">
        <v>7</v>
      </c>
      <c r="K69" s="140"/>
      <c r="L69" s="140" t="s">
        <v>41</v>
      </c>
      <c r="M69" s="140">
        <v>190</v>
      </c>
      <c r="N69" s="140">
        <v>76</v>
      </c>
      <c r="O69" s="167" t="str">
        <f t="shared" si="7"/>
        <v>86 OZ, 84 (44+40)</v>
      </c>
      <c r="P69" s="167" t="str">
        <f t="shared" si="8"/>
        <v>190/76</v>
      </c>
      <c r="Q69" s="141" t="s">
        <v>108</v>
      </c>
      <c r="R69" s="140">
        <v>2011</v>
      </c>
      <c r="S69" s="167" t="str">
        <f t="shared" si="9"/>
        <v/>
      </c>
      <c r="T69" s="1" t="str">
        <f t="shared" si="10"/>
        <v>Šebek</v>
      </c>
      <c r="U69" s="1" t="str">
        <f t="shared" si="11"/>
        <v>Šebek</v>
      </c>
      <c r="V69" s="167">
        <f t="shared" si="12"/>
        <v>1</v>
      </c>
      <c r="W69" s="167" t="str">
        <f t="shared" si="13"/>
        <v>P</v>
      </c>
      <c r="X69" s="140"/>
      <c r="Y69" s="140"/>
      <c r="Z69" s="140"/>
      <c r="AA69" s="139"/>
    </row>
    <row r="70" spans="2:27" ht="15" customHeight="1" x14ac:dyDescent="0.25">
      <c r="B70" s="1" t="s">
        <v>588</v>
      </c>
      <c r="C70" s="138">
        <v>33767</v>
      </c>
      <c r="D70" s="167">
        <f t="shared" ca="1" si="5"/>
        <v>28</v>
      </c>
      <c r="E70" s="140">
        <v>220</v>
      </c>
      <c r="F70" s="140">
        <v>66</v>
      </c>
      <c r="G70" s="140">
        <v>56</v>
      </c>
      <c r="H70" s="167">
        <f t="shared" si="6"/>
        <v>122</v>
      </c>
      <c r="I70" s="140">
        <v>11</v>
      </c>
      <c r="J70" s="140">
        <v>44</v>
      </c>
      <c r="K70" s="140"/>
      <c r="L70" s="140" t="s">
        <v>41</v>
      </c>
      <c r="M70" s="140">
        <v>184</v>
      </c>
      <c r="N70" s="140">
        <v>84</v>
      </c>
      <c r="O70" s="167" t="str">
        <f t="shared" si="7"/>
        <v>236 OZ, 129 (68+61)</v>
      </c>
      <c r="P70" s="167" t="str">
        <f t="shared" si="8"/>
        <v>184/84</v>
      </c>
      <c r="Q70" s="141" t="s">
        <v>762</v>
      </c>
      <c r="R70" s="140">
        <v>2002</v>
      </c>
      <c r="S70" s="167" t="str">
        <f t="shared" si="9"/>
        <v/>
      </c>
      <c r="T70" s="1" t="str">
        <f t="shared" si="10"/>
        <v>Čihák</v>
      </c>
      <c r="U70" s="1" t="str">
        <f t="shared" si="11"/>
        <v>Čihák</v>
      </c>
      <c r="V70" s="167">
        <f t="shared" si="12"/>
        <v>1</v>
      </c>
      <c r="W70" s="167" t="str">
        <f t="shared" si="13"/>
        <v>P</v>
      </c>
      <c r="X70" s="140"/>
      <c r="Y70" s="140"/>
      <c r="Z70" s="140"/>
      <c r="AA70" s="139"/>
    </row>
    <row r="71" spans="2:27" ht="15" customHeight="1" x14ac:dyDescent="0.25">
      <c r="B71" s="4" t="s">
        <v>601</v>
      </c>
      <c r="C71" s="138">
        <v>31624</v>
      </c>
      <c r="D71" s="167">
        <f t="shared" ca="1" si="5"/>
        <v>34</v>
      </c>
      <c r="E71" s="140">
        <v>172</v>
      </c>
      <c r="F71" s="140">
        <v>0</v>
      </c>
      <c r="G71" s="140">
        <v>4</v>
      </c>
      <c r="H71" s="167">
        <f t="shared" si="6"/>
        <v>4</v>
      </c>
      <c r="I71" s="140">
        <v>10</v>
      </c>
      <c r="J71" s="140">
        <v>1</v>
      </c>
      <c r="K71" s="140"/>
      <c r="L71" s="140" t="s">
        <v>30</v>
      </c>
      <c r="M71" s="140">
        <v>175</v>
      </c>
      <c r="N71" s="140">
        <v>75</v>
      </c>
      <c r="O71" s="167" t="str">
        <f t="shared" si="7"/>
        <v>172 OZ, 4 (0+4)</v>
      </c>
      <c r="P71" s="167" t="str">
        <f t="shared" si="8"/>
        <v>175/75</v>
      </c>
      <c r="Q71" s="141" t="s">
        <v>763</v>
      </c>
      <c r="R71" s="140">
        <v>2000</v>
      </c>
      <c r="S71" s="167" t="str">
        <f t="shared" si="9"/>
        <v>188 OZ, 4 A</v>
      </c>
      <c r="T71" s="1" t="str">
        <f t="shared" si="10"/>
        <v>Michajlovič</v>
      </c>
      <c r="U71" s="1" t="str">
        <f t="shared" si="11"/>
        <v>Michajlovič</v>
      </c>
      <c r="V71" s="167">
        <f t="shared" si="12"/>
        <v>1</v>
      </c>
      <c r="W71" s="167" t="str">
        <f t="shared" si="13"/>
        <v>R</v>
      </c>
      <c r="X71" s="140"/>
      <c r="Y71" s="140"/>
      <c r="Z71" s="140"/>
      <c r="AA71" s="139"/>
    </row>
    <row r="72" spans="2:27" ht="15" customHeight="1" x14ac:dyDescent="0.25">
      <c r="B72" s="4" t="s">
        <v>600</v>
      </c>
      <c r="C72" s="138">
        <v>34531</v>
      </c>
      <c r="D72" s="167">
        <f t="shared" ca="1" si="5"/>
        <v>26</v>
      </c>
      <c r="E72" s="140">
        <v>23</v>
      </c>
      <c r="F72" s="140">
        <v>0</v>
      </c>
      <c r="G72" s="140">
        <v>0</v>
      </c>
      <c r="H72" s="167">
        <f t="shared" si="6"/>
        <v>0</v>
      </c>
      <c r="I72" s="140">
        <v>6</v>
      </c>
      <c r="J72" s="140">
        <v>30</v>
      </c>
      <c r="K72" s="140"/>
      <c r="L72" s="140" t="s">
        <v>30</v>
      </c>
      <c r="M72" s="140">
        <v>185</v>
      </c>
      <c r="N72" s="140">
        <v>75</v>
      </c>
      <c r="O72" s="167" t="str">
        <f t="shared" si="7"/>
        <v>23 OZ, 0 (0+0)</v>
      </c>
      <c r="P72" s="167" t="str">
        <f t="shared" si="8"/>
        <v>185/75</v>
      </c>
      <c r="Q72" s="141" t="s">
        <v>108</v>
      </c>
      <c r="R72" s="140" t="s">
        <v>30</v>
      </c>
      <c r="S72" s="167" t="str">
        <f t="shared" si="9"/>
        <v>26 OZ, 0 A</v>
      </c>
      <c r="T72" s="1" t="str">
        <f t="shared" si="10"/>
        <v>Hyršl</v>
      </c>
      <c r="U72" s="1" t="str">
        <f t="shared" si="11"/>
        <v>Hyršl</v>
      </c>
      <c r="V72" s="167">
        <f t="shared" si="12"/>
        <v>1</v>
      </c>
      <c r="W72" s="167" t="str">
        <f t="shared" si="13"/>
        <v>T</v>
      </c>
      <c r="X72" s="140"/>
      <c r="Y72" s="140"/>
      <c r="Z72" s="140"/>
      <c r="AA72" s="139"/>
    </row>
    <row r="73" spans="2:27" ht="15" customHeight="1" x14ac:dyDescent="0.25">
      <c r="B73" s="4" t="s">
        <v>597</v>
      </c>
      <c r="C73" s="138">
        <v>37315</v>
      </c>
      <c r="D73" s="167">
        <f t="shared" ca="1" si="5"/>
        <v>18</v>
      </c>
      <c r="E73" s="140">
        <v>0</v>
      </c>
      <c r="F73" s="140">
        <v>0</v>
      </c>
      <c r="G73" s="140">
        <v>0</v>
      </c>
      <c r="H73" s="167">
        <f t="shared" si="6"/>
        <v>0</v>
      </c>
      <c r="I73" s="140">
        <v>1</v>
      </c>
      <c r="J73" s="140">
        <v>71</v>
      </c>
      <c r="K73" s="140"/>
      <c r="L73" s="140" t="s">
        <v>79</v>
      </c>
      <c r="M73" s="140" t="s">
        <v>30</v>
      </c>
      <c r="N73" s="140" t="s">
        <v>30</v>
      </c>
      <c r="O73" s="167" t="str">
        <f t="shared" si="7"/>
        <v>1 OZ, 0 (0+0)</v>
      </c>
      <c r="P73" s="167" t="str">
        <f t="shared" si="8"/>
        <v>-/-</v>
      </c>
      <c r="Q73" s="141" t="s">
        <v>764</v>
      </c>
      <c r="R73" s="140">
        <v>2010</v>
      </c>
      <c r="S73" s="167" t="str">
        <f t="shared" si="9"/>
        <v/>
      </c>
      <c r="T73" s="1" t="str">
        <f t="shared" si="10"/>
        <v>Otcovský</v>
      </c>
      <c r="U73" s="1" t="str">
        <f t="shared" si="11"/>
        <v>Otcovský</v>
      </c>
      <c r="V73" s="167">
        <f t="shared" si="12"/>
        <v>1</v>
      </c>
      <c r="W73" s="167" t="str">
        <f t="shared" si="13"/>
        <v>T</v>
      </c>
      <c r="X73" s="140"/>
      <c r="Y73" s="140"/>
      <c r="Z73" s="140"/>
      <c r="AA73" s="139"/>
    </row>
    <row r="74" spans="2:27" ht="15" customHeight="1" x14ac:dyDescent="0.25">
      <c r="B74" s="1" t="s">
        <v>585</v>
      </c>
      <c r="C74" s="138">
        <v>34883</v>
      </c>
      <c r="D74" s="167">
        <f t="shared" ca="1" si="5"/>
        <v>25</v>
      </c>
      <c r="E74" s="140">
        <v>81</v>
      </c>
      <c r="F74" s="140">
        <v>55</v>
      </c>
      <c r="G74" s="140">
        <v>26</v>
      </c>
      <c r="H74" s="167">
        <f t="shared" si="6"/>
        <v>81</v>
      </c>
      <c r="I74" s="140">
        <v>7</v>
      </c>
      <c r="J74" s="140">
        <v>61</v>
      </c>
      <c r="K74" s="140"/>
      <c r="L74" s="140" t="s">
        <v>79</v>
      </c>
      <c r="M74" s="140">
        <v>191</v>
      </c>
      <c r="N74" s="140">
        <v>78</v>
      </c>
      <c r="O74" s="167" t="str">
        <f t="shared" si="7"/>
        <v>92 OZ, 90 (59+31)</v>
      </c>
      <c r="P74" s="167" t="str">
        <f t="shared" si="8"/>
        <v>191/78</v>
      </c>
      <c r="Q74" s="141" t="s">
        <v>761</v>
      </c>
      <c r="R74" s="140" t="s">
        <v>30</v>
      </c>
      <c r="S74" s="167" t="str">
        <f t="shared" si="9"/>
        <v/>
      </c>
      <c r="T74" s="1" t="str">
        <f t="shared" si="10"/>
        <v>Kopecký</v>
      </c>
      <c r="U74" s="1" t="str">
        <f t="shared" si="11"/>
        <v>Kopecký</v>
      </c>
      <c r="V74" s="167">
        <f t="shared" si="12"/>
        <v>1</v>
      </c>
      <c r="W74" s="167" t="str">
        <f t="shared" si="13"/>
        <v>V</v>
      </c>
      <c r="X74" s="140"/>
      <c r="Y74" s="140"/>
      <c r="Z74" s="140"/>
      <c r="AA74" s="139"/>
    </row>
    <row r="75" spans="2:27" ht="15" customHeight="1" x14ac:dyDescent="0.25">
      <c r="B75" s="1" t="s">
        <v>586</v>
      </c>
      <c r="C75" s="138">
        <v>33195</v>
      </c>
      <c r="D75" s="167">
        <f t="shared" ca="1" si="5"/>
        <v>30</v>
      </c>
      <c r="E75" s="140">
        <v>250</v>
      </c>
      <c r="F75" s="140">
        <v>23</v>
      </c>
      <c r="G75" s="140">
        <v>47</v>
      </c>
      <c r="H75" s="167">
        <f t="shared" si="6"/>
        <v>70</v>
      </c>
      <c r="I75" s="140">
        <v>13</v>
      </c>
      <c r="J75" s="140">
        <v>3</v>
      </c>
      <c r="K75" s="140" t="s">
        <v>223</v>
      </c>
      <c r="L75" s="140" t="s">
        <v>79</v>
      </c>
      <c r="M75" s="140">
        <v>186</v>
      </c>
      <c r="N75" s="140">
        <v>88</v>
      </c>
      <c r="O75" s="167" t="str">
        <f t="shared" si="7"/>
        <v>267 OZ, 76 (27+49)</v>
      </c>
      <c r="P75" s="167" t="str">
        <f t="shared" si="8"/>
        <v>186/88</v>
      </c>
      <c r="Q75" s="141" t="s">
        <v>765</v>
      </c>
      <c r="R75" s="140" t="s">
        <v>30</v>
      </c>
      <c r="S75" s="167" t="str">
        <f t="shared" si="9"/>
        <v/>
      </c>
      <c r="T75" s="1" t="str">
        <f t="shared" si="10"/>
        <v>Zezulka</v>
      </c>
      <c r="U75" s="1" t="str">
        <f t="shared" si="11"/>
        <v>Zezulka</v>
      </c>
      <c r="V75" s="167">
        <f t="shared" si="12"/>
        <v>1</v>
      </c>
      <c r="W75" s="167" t="str">
        <f t="shared" si="13"/>
        <v>V</v>
      </c>
      <c r="X75" s="140"/>
      <c r="Y75" s="140"/>
      <c r="Z75" s="140"/>
      <c r="AA75" s="139"/>
    </row>
    <row r="76" spans="2:27" ht="15" customHeight="1" x14ac:dyDescent="0.25">
      <c r="B76" s="142"/>
      <c r="C76" s="138"/>
      <c r="D76" s="167" t="str">
        <f t="shared" ref="D76:D82" si="14">IF(C76 &lt;&gt; 0,ROUNDDOWN(($A$47-C76)/365.25,0),"")</f>
        <v/>
      </c>
      <c r="E76" s="140"/>
      <c r="F76" s="140"/>
      <c r="G76" s="140"/>
      <c r="H76" s="167" t="str">
        <f t="shared" ref="H76:H82" si="15">IF(B76&lt;&gt;0,F76+G76,"")</f>
        <v/>
      </c>
      <c r="I76" s="140"/>
      <c r="J76" s="140"/>
      <c r="K76" s="140"/>
      <c r="L76" s="140"/>
      <c r="M76" s="140"/>
      <c r="N76" s="140"/>
      <c r="O76" s="167" t="str">
        <f t="shared" ref="O76:O82" si="16">IF(B76&lt;&gt;0,CONCATENATE(E76+IFERROR(VLOOKUP(B76,$B$2:$N$36,4,FALSE),0) + X76, " OZ, ", H76+IFERROR(VLOOKUP(B76,$B$2:$N$36,9,FALSE),0) + Y76+Z76, " (", F76+IFERROR(VLOOKUP(B76,$B$2:$N$36,5,FALSE),0) + Y76, "+",G76+IFERROR(VLOOKUP(B76,$B$2:$N$36,8,FALSE),0) +  Z76, ")"), "")</f>
        <v/>
      </c>
      <c r="P76" s="167" t="str">
        <f t="shared" ref="P76:P82" si="17">IF(M76&lt;&gt;0,CONCATENATE(M76,"/",N76),"")</f>
        <v/>
      </c>
      <c r="Q76" s="141"/>
      <c r="R76" s="140"/>
      <c r="S76" s="167"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7" t="str">
        <f t="shared" ref="V76:V82" si="21">IF(B76&lt;&gt;0,COUNTIF($U$48:$U$82,U76),"")</f>
        <v/>
      </c>
      <c r="W76" s="167" t="str">
        <f t="shared" ref="W76:W82" si="22">IFERROR(LEFT(LEFT(B76,SEARCH(" ",B76,1)),1),"")</f>
        <v/>
      </c>
      <c r="X76" s="140"/>
      <c r="Y76" s="140"/>
      <c r="Z76" s="140"/>
      <c r="AA76" s="139"/>
    </row>
    <row r="77" spans="2:27" ht="15" customHeight="1" x14ac:dyDescent="0.25">
      <c r="B77" s="139"/>
      <c r="C77" s="138"/>
      <c r="D77" s="167" t="str">
        <f t="shared" si="14"/>
        <v/>
      </c>
      <c r="E77" s="140"/>
      <c r="F77" s="140"/>
      <c r="G77" s="140"/>
      <c r="H77" s="167" t="str">
        <f t="shared" si="15"/>
        <v/>
      </c>
      <c r="I77" s="140"/>
      <c r="J77" s="140"/>
      <c r="K77" s="140"/>
      <c r="L77" s="140"/>
      <c r="M77" s="140"/>
      <c r="N77" s="140"/>
      <c r="O77" s="167" t="str">
        <f t="shared" si="16"/>
        <v/>
      </c>
      <c r="P77" s="167" t="str">
        <f t="shared" si="17"/>
        <v/>
      </c>
      <c r="Q77" s="141"/>
      <c r="R77" s="140"/>
      <c r="S77" s="167" t="str">
        <f t="shared" si="18"/>
        <v/>
      </c>
      <c r="T77" s="1" t="str">
        <f t="shared" si="19"/>
        <v/>
      </c>
      <c r="U77" s="1" t="str">
        <f t="shared" si="20"/>
        <v/>
      </c>
      <c r="V77" s="167" t="str">
        <f t="shared" si="21"/>
        <v/>
      </c>
      <c r="W77" s="167" t="str">
        <f t="shared" si="22"/>
        <v/>
      </c>
      <c r="X77" s="140"/>
      <c r="Y77" s="140"/>
      <c r="Z77" s="140"/>
      <c r="AA77" s="139"/>
    </row>
    <row r="78" spans="2:27" ht="15" customHeight="1" x14ac:dyDescent="0.25">
      <c r="B78" s="139"/>
      <c r="C78" s="138"/>
      <c r="D78" s="167" t="str">
        <f t="shared" si="14"/>
        <v/>
      </c>
      <c r="E78" s="140"/>
      <c r="F78" s="140"/>
      <c r="G78" s="140"/>
      <c r="H78" s="167" t="str">
        <f t="shared" si="15"/>
        <v/>
      </c>
      <c r="I78" s="140"/>
      <c r="J78" s="140"/>
      <c r="K78" s="140"/>
      <c r="L78" s="140"/>
      <c r="M78" s="140"/>
      <c r="N78" s="140"/>
      <c r="O78" s="167" t="str">
        <f t="shared" si="16"/>
        <v/>
      </c>
      <c r="P78" s="167" t="str">
        <f t="shared" si="17"/>
        <v/>
      </c>
      <c r="Q78" s="141"/>
      <c r="R78" s="140"/>
      <c r="S78" s="167" t="str">
        <f t="shared" si="18"/>
        <v/>
      </c>
      <c r="T78" s="1" t="str">
        <f t="shared" si="19"/>
        <v/>
      </c>
      <c r="U78" s="1" t="str">
        <f t="shared" si="20"/>
        <v/>
      </c>
      <c r="V78" s="167" t="str">
        <f t="shared" si="21"/>
        <v/>
      </c>
      <c r="W78" s="167" t="str">
        <f t="shared" si="22"/>
        <v/>
      </c>
      <c r="X78" s="140"/>
      <c r="Y78" s="140"/>
      <c r="Z78" s="140"/>
      <c r="AA78" s="139"/>
    </row>
    <row r="79" spans="2:27" ht="15" customHeight="1" x14ac:dyDescent="0.25">
      <c r="B79" s="139"/>
      <c r="C79" s="138"/>
      <c r="D79" s="167" t="str">
        <f t="shared" si="14"/>
        <v/>
      </c>
      <c r="E79" s="140"/>
      <c r="F79" s="140"/>
      <c r="G79" s="140"/>
      <c r="H79" s="167" t="str">
        <f t="shared" si="15"/>
        <v/>
      </c>
      <c r="I79" s="140"/>
      <c r="J79" s="140"/>
      <c r="K79" s="140"/>
      <c r="L79" s="140"/>
      <c r="M79" s="140"/>
      <c r="N79" s="140"/>
      <c r="O79" s="167" t="str">
        <f t="shared" si="16"/>
        <v/>
      </c>
      <c r="P79" s="167" t="str">
        <f t="shared" si="17"/>
        <v/>
      </c>
      <c r="Q79" s="141"/>
      <c r="R79" s="140"/>
      <c r="S79" s="167" t="str">
        <f t="shared" si="18"/>
        <v/>
      </c>
      <c r="T79" s="1" t="str">
        <f t="shared" si="19"/>
        <v/>
      </c>
      <c r="U79" s="1" t="str">
        <f t="shared" si="20"/>
        <v/>
      </c>
      <c r="V79" s="167" t="str">
        <f t="shared" si="21"/>
        <v/>
      </c>
      <c r="W79" s="167" t="str">
        <f t="shared" si="22"/>
        <v/>
      </c>
      <c r="X79" s="140"/>
      <c r="Y79" s="140"/>
      <c r="Z79" s="140"/>
      <c r="AA79" s="139"/>
    </row>
    <row r="80" spans="2:27" ht="15" customHeight="1" x14ac:dyDescent="0.25">
      <c r="B80" s="139"/>
      <c r="C80" s="138"/>
      <c r="D80" s="167" t="str">
        <f t="shared" si="14"/>
        <v/>
      </c>
      <c r="E80" s="140"/>
      <c r="F80" s="140"/>
      <c r="G80" s="140"/>
      <c r="H80" s="167" t="str">
        <f t="shared" si="15"/>
        <v/>
      </c>
      <c r="I80" s="140"/>
      <c r="J80" s="140"/>
      <c r="K80" s="140"/>
      <c r="L80" s="140"/>
      <c r="M80" s="140"/>
      <c r="N80" s="140"/>
      <c r="O80" s="167" t="str">
        <f t="shared" si="16"/>
        <v/>
      </c>
      <c r="P80" s="167" t="str">
        <f t="shared" si="17"/>
        <v/>
      </c>
      <c r="Q80" s="141"/>
      <c r="R80" s="140"/>
      <c r="S80" s="167" t="str">
        <f t="shared" si="18"/>
        <v/>
      </c>
      <c r="T80" s="1" t="str">
        <f t="shared" si="19"/>
        <v/>
      </c>
      <c r="U80" s="1" t="str">
        <f t="shared" si="20"/>
        <v/>
      </c>
      <c r="V80" s="167" t="str">
        <f t="shared" si="21"/>
        <v/>
      </c>
      <c r="W80" s="167" t="str">
        <f t="shared" si="22"/>
        <v/>
      </c>
      <c r="X80" s="140"/>
      <c r="Y80" s="140"/>
      <c r="Z80" s="140"/>
      <c r="AA80" s="139"/>
    </row>
    <row r="81" spans="1:27" ht="15" customHeight="1" x14ac:dyDescent="0.25">
      <c r="B81" s="139"/>
      <c r="C81" s="138"/>
      <c r="D81" s="167" t="str">
        <f t="shared" si="14"/>
        <v/>
      </c>
      <c r="E81" s="140"/>
      <c r="F81" s="140"/>
      <c r="G81" s="140"/>
      <c r="H81" s="167" t="str">
        <f t="shared" si="15"/>
        <v/>
      </c>
      <c r="I81" s="140"/>
      <c r="J81" s="140"/>
      <c r="K81" s="140"/>
      <c r="L81" s="140"/>
      <c r="M81" s="140"/>
      <c r="N81" s="140"/>
      <c r="O81" s="167" t="str">
        <f t="shared" si="16"/>
        <v/>
      </c>
      <c r="P81" s="167" t="str">
        <f t="shared" si="17"/>
        <v/>
      </c>
      <c r="Q81" s="141"/>
      <c r="R81" s="140"/>
      <c r="S81" s="167" t="str">
        <f t="shared" si="18"/>
        <v/>
      </c>
      <c r="T81" s="1" t="str">
        <f t="shared" si="19"/>
        <v/>
      </c>
      <c r="U81" s="1" t="str">
        <f t="shared" si="20"/>
        <v/>
      </c>
      <c r="V81" s="167" t="str">
        <f t="shared" si="21"/>
        <v/>
      </c>
      <c r="W81" s="167" t="str">
        <f t="shared" si="22"/>
        <v/>
      </c>
      <c r="X81" s="140"/>
      <c r="Y81" s="140"/>
      <c r="Z81" s="140"/>
      <c r="AA81" s="139"/>
    </row>
    <row r="82" spans="1:27" ht="15" customHeight="1" x14ac:dyDescent="0.25">
      <c r="B82" s="139"/>
      <c r="C82" s="138"/>
      <c r="D82" s="167" t="str">
        <f t="shared" si="14"/>
        <v/>
      </c>
      <c r="E82" s="140"/>
      <c r="F82" s="140"/>
      <c r="G82" s="140"/>
      <c r="H82" s="167" t="str">
        <f t="shared" si="15"/>
        <v/>
      </c>
      <c r="I82" s="140"/>
      <c r="J82" s="140"/>
      <c r="K82" s="140"/>
      <c r="L82" s="140"/>
      <c r="M82" s="140"/>
      <c r="N82" s="140"/>
      <c r="O82" s="167" t="str">
        <f t="shared" si="16"/>
        <v/>
      </c>
      <c r="P82" s="167" t="str">
        <f t="shared" si="17"/>
        <v/>
      </c>
      <c r="Q82" s="141"/>
      <c r="R82" s="140"/>
      <c r="S82" s="167" t="str">
        <f t="shared" si="18"/>
        <v/>
      </c>
      <c r="T82" s="1" t="str">
        <f t="shared" si="19"/>
        <v/>
      </c>
      <c r="U82" s="1" t="str">
        <f t="shared" si="20"/>
        <v/>
      </c>
      <c r="V82" s="167" t="str">
        <f t="shared" si="21"/>
        <v/>
      </c>
      <c r="W82" s="167" t="str">
        <f t="shared" si="22"/>
        <v/>
      </c>
      <c r="X82" s="140"/>
      <c r="Y82" s="140"/>
      <c r="Z82" s="140"/>
      <c r="AA82" s="139"/>
    </row>
    <row r="84" spans="1:27" s="168" customFormat="1" ht="15" customHeight="1" x14ac:dyDescent="0.25">
      <c r="A84" s="7">
        <f ca="1">TODAY()</f>
        <v>44214</v>
      </c>
      <c r="B84" s="168" t="s">
        <v>60</v>
      </c>
      <c r="C84" s="168" t="s">
        <v>67</v>
      </c>
      <c r="D84" s="168" t="s">
        <v>68</v>
      </c>
      <c r="E84" s="346" t="s">
        <v>95</v>
      </c>
      <c r="F84" s="346"/>
      <c r="G84" s="346" t="s">
        <v>101</v>
      </c>
      <c r="H84" s="346"/>
      <c r="I84" s="346"/>
      <c r="J84" s="346"/>
      <c r="K84" s="346"/>
      <c r="Q84" s="9"/>
    </row>
    <row r="85" spans="1:27" ht="30" customHeight="1" x14ac:dyDescent="0.25">
      <c r="B85" s="139" t="s">
        <v>767</v>
      </c>
      <c r="C85" s="138">
        <v>29350</v>
      </c>
      <c r="D85" s="167">
        <f ca="1">IF(B85&lt;&gt;0,ROUNDDOWN(($A$84-C85)/365.25,0),"")</f>
        <v>40</v>
      </c>
      <c r="E85" s="344" t="s">
        <v>189</v>
      </c>
      <c r="F85" s="344"/>
      <c r="G85" s="344" t="s">
        <v>768</v>
      </c>
      <c r="H85" s="344"/>
      <c r="I85" s="344"/>
      <c r="J85" s="344"/>
      <c r="K85" s="344"/>
    </row>
    <row r="86" spans="1:27" ht="30" customHeight="1" x14ac:dyDescent="0.25">
      <c r="B86" s="139" t="s">
        <v>769</v>
      </c>
      <c r="C86" s="138">
        <v>33849</v>
      </c>
      <c r="D86" s="167">
        <f t="shared" ref="D86:D92" ca="1" si="23">IF(B86&lt;&gt;0,ROUNDDOWN(($A$84-C86)/365.25,0),"")</f>
        <v>28</v>
      </c>
      <c r="E86" s="344" t="s">
        <v>192</v>
      </c>
      <c r="F86" s="344"/>
      <c r="G86" s="344" t="s">
        <v>770</v>
      </c>
      <c r="H86" s="344"/>
      <c r="I86" s="344"/>
      <c r="J86" s="344"/>
      <c r="K86" s="344"/>
    </row>
    <row r="87" spans="1:27" ht="30" customHeight="1" x14ac:dyDescent="0.25">
      <c r="B87" s="139" t="s">
        <v>771</v>
      </c>
      <c r="C87" s="138">
        <v>28301</v>
      </c>
      <c r="D87" s="167">
        <f t="shared" ca="1" si="23"/>
        <v>43</v>
      </c>
      <c r="E87" s="344" t="s">
        <v>192</v>
      </c>
      <c r="F87" s="344"/>
      <c r="G87" s="344" t="s">
        <v>30</v>
      </c>
      <c r="H87" s="344"/>
      <c r="I87" s="344"/>
      <c r="J87" s="344"/>
      <c r="K87" s="344"/>
    </row>
    <row r="88" spans="1:27" ht="30" customHeight="1" x14ac:dyDescent="0.25">
      <c r="B88" s="139" t="s">
        <v>772</v>
      </c>
      <c r="C88" s="138">
        <v>24059</v>
      </c>
      <c r="D88" s="167">
        <f t="shared" ca="1" si="23"/>
        <v>55</v>
      </c>
      <c r="E88" s="344" t="s">
        <v>283</v>
      </c>
      <c r="F88" s="344"/>
      <c r="G88" s="344" t="s">
        <v>30</v>
      </c>
      <c r="H88" s="344"/>
      <c r="I88" s="344"/>
      <c r="J88" s="344"/>
      <c r="K88" s="344"/>
    </row>
    <row r="89" spans="1:27" ht="30" customHeight="1" x14ac:dyDescent="0.25">
      <c r="B89" s="139" t="s">
        <v>773</v>
      </c>
      <c r="C89" s="138">
        <v>33657</v>
      </c>
      <c r="D89" s="167">
        <f t="shared" ca="1" si="23"/>
        <v>28</v>
      </c>
      <c r="E89" s="344" t="s">
        <v>331</v>
      </c>
      <c r="F89" s="344"/>
      <c r="G89" s="344" t="s">
        <v>30</v>
      </c>
      <c r="H89" s="344"/>
      <c r="I89" s="344"/>
      <c r="J89" s="344"/>
      <c r="K89" s="344"/>
    </row>
    <row r="90" spans="1:27" ht="30" customHeight="1" x14ac:dyDescent="0.25">
      <c r="B90" s="139"/>
      <c r="C90" s="139"/>
      <c r="D90" s="167" t="str">
        <f t="shared" si="23"/>
        <v/>
      </c>
      <c r="E90" s="344"/>
      <c r="F90" s="344"/>
      <c r="G90" s="344"/>
      <c r="H90" s="344"/>
      <c r="I90" s="344"/>
      <c r="J90" s="344"/>
      <c r="K90" s="344"/>
    </row>
    <row r="91" spans="1:27" ht="30" customHeight="1" x14ac:dyDescent="0.25">
      <c r="B91" s="139"/>
      <c r="C91" s="139"/>
      <c r="D91" s="167" t="str">
        <f t="shared" si="23"/>
        <v/>
      </c>
      <c r="E91" s="344"/>
      <c r="F91" s="344"/>
      <c r="G91" s="344"/>
      <c r="H91" s="344"/>
      <c r="I91" s="344"/>
      <c r="J91" s="344"/>
      <c r="K91" s="344"/>
    </row>
    <row r="92" spans="1:27" ht="30" customHeight="1" x14ac:dyDescent="0.25">
      <c r="B92" s="139"/>
      <c r="C92" s="139"/>
      <c r="D92" s="167" t="str">
        <f t="shared" si="23"/>
        <v/>
      </c>
      <c r="E92" s="344"/>
      <c r="F92" s="344"/>
      <c r="G92" s="344"/>
      <c r="H92" s="344"/>
      <c r="I92" s="344"/>
      <c r="J92" s="344"/>
      <c r="K92" s="344"/>
    </row>
  </sheetData>
  <sheetProtection algorithmName="SHA-512" hashValue="KLzm9TyYwfuKGebKKg01EBE5FruVZ7N90UbfHsWv9vicmqPcqdTCutFWUTJ/n2k/ZTKMUc5QJWwj0mVXt4OlkQ==" saltValue="QyXXnmzXaoEo/ZDqqkLxyw==" spinCount="100000" sheet="1" objects="1" scenarios="1" selectLockedCells="1"/>
  <sortState ref="B48:AA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E31" sqref="E31:E40"/>
    </sheetView>
  </sheetViews>
  <sheetFormatPr defaultRowHeight="15" x14ac:dyDescent="0.25"/>
  <cols>
    <col min="2" max="2" width="18.85546875" bestFit="1" customWidth="1"/>
  </cols>
  <sheetData>
    <row r="1" spans="1:6" x14ac:dyDescent="0.25">
      <c r="A1" s="346" t="s">
        <v>36</v>
      </c>
      <c r="B1" s="1" t="s">
        <v>602</v>
      </c>
      <c r="C1" s="181">
        <v>37</v>
      </c>
      <c r="D1" s="347" t="str">
        <f t="shared" ref="D1:D30" si="0">IFERROR(RIGHT(B1,LEN(B1)-SEARCH(" ",B1)),"")</f>
        <v>Filip Forman</v>
      </c>
      <c r="E1" s="347"/>
      <c r="F1" s="167"/>
    </row>
    <row r="2" spans="1:6" x14ac:dyDescent="0.25">
      <c r="A2" s="346"/>
      <c r="B2" s="1" t="s">
        <v>603</v>
      </c>
      <c r="C2" s="181">
        <v>27</v>
      </c>
      <c r="D2" s="347" t="str">
        <f t="shared" si="0"/>
        <v>Jan Malič</v>
      </c>
      <c r="E2" s="347"/>
      <c r="F2" s="167"/>
    </row>
    <row r="3" spans="1:6" x14ac:dyDescent="0.25">
      <c r="A3" s="346"/>
      <c r="B3" s="1" t="s">
        <v>604</v>
      </c>
      <c r="C3" s="181">
        <v>25</v>
      </c>
      <c r="D3" s="347" t="str">
        <f t="shared" si="0"/>
        <v>Matyáš Krebner</v>
      </c>
      <c r="E3" s="347"/>
      <c r="F3" s="167"/>
    </row>
    <row r="4" spans="1:6" x14ac:dyDescent="0.25">
      <c r="A4" s="346"/>
      <c r="B4" s="1" t="s">
        <v>605</v>
      </c>
      <c r="C4" s="181">
        <v>23</v>
      </c>
      <c r="D4" s="347" t="str">
        <f t="shared" si="0"/>
        <v>Matěj Pěnička</v>
      </c>
      <c r="E4" s="347"/>
      <c r="F4" s="167"/>
    </row>
    <row r="5" spans="1:6" x14ac:dyDescent="0.25">
      <c r="A5" s="346"/>
      <c r="B5" s="1" t="s">
        <v>606</v>
      </c>
      <c r="C5" s="181">
        <v>17</v>
      </c>
      <c r="D5" s="347" t="str">
        <f t="shared" si="0"/>
        <v>Jakub Šárka</v>
      </c>
      <c r="E5" s="347"/>
      <c r="F5" s="167"/>
    </row>
    <row r="6" spans="1:6" x14ac:dyDescent="0.25">
      <c r="A6" s="346" t="s">
        <v>244</v>
      </c>
      <c r="B6" s="1" t="s">
        <v>607</v>
      </c>
      <c r="C6" s="181" t="s">
        <v>757</v>
      </c>
      <c r="D6" s="347" t="str">
        <f t="shared" si="0"/>
        <v>Radovan Michajlovič</v>
      </c>
      <c r="E6" s="347"/>
      <c r="F6" s="167">
        <f t="shared" ref="F6:F10" si="1">IF(B6&lt;&gt;0,_xlfn.NUMBERVALUE(C6,","),"")</f>
        <v>5.23</v>
      </c>
    </row>
    <row r="7" spans="1:6" x14ac:dyDescent="0.25">
      <c r="A7" s="346"/>
      <c r="B7" s="1" t="s">
        <v>608</v>
      </c>
      <c r="C7" s="181" t="s">
        <v>609</v>
      </c>
      <c r="D7" s="347" t="str">
        <f t="shared" si="0"/>
        <v>Jakub Zavřel</v>
      </c>
      <c r="E7" s="347"/>
      <c r="F7" s="167">
        <f t="shared" si="1"/>
        <v>5.56</v>
      </c>
    </row>
    <row r="8" spans="1:6" x14ac:dyDescent="0.25">
      <c r="A8" s="346"/>
      <c r="B8" s="1" t="s">
        <v>610</v>
      </c>
      <c r="C8" s="181" t="s">
        <v>611</v>
      </c>
      <c r="D8" s="347" t="str">
        <f t="shared" si="0"/>
        <v>Tomáš Hyršl</v>
      </c>
      <c r="E8" s="347"/>
      <c r="F8" s="167">
        <f t="shared" si="1"/>
        <v>13.73</v>
      </c>
    </row>
    <row r="9" spans="1:6" x14ac:dyDescent="0.25">
      <c r="A9" s="346"/>
      <c r="B9" s="1"/>
      <c r="C9" s="181"/>
      <c r="D9" s="347" t="str">
        <f t="shared" si="0"/>
        <v/>
      </c>
      <c r="E9" s="347"/>
      <c r="F9" s="167" t="str">
        <f t="shared" si="1"/>
        <v/>
      </c>
    </row>
    <row r="10" spans="1:6" x14ac:dyDescent="0.25">
      <c r="A10" s="346"/>
      <c r="B10" s="1"/>
      <c r="C10" s="181"/>
      <c r="D10" s="347" t="str">
        <f t="shared" si="0"/>
        <v/>
      </c>
      <c r="E10" s="347"/>
      <c r="F10" s="167" t="str">
        <f t="shared" si="1"/>
        <v/>
      </c>
    </row>
    <row r="11" spans="1:6" x14ac:dyDescent="0.25">
      <c r="A11" s="346" t="s">
        <v>35</v>
      </c>
      <c r="B11" s="1" t="s">
        <v>612</v>
      </c>
      <c r="C11" s="181">
        <v>15</v>
      </c>
      <c r="D11" s="347" t="str">
        <f t="shared" si="0"/>
        <v>Matěj Pěnička</v>
      </c>
      <c r="E11" s="347"/>
      <c r="F11" s="167"/>
    </row>
    <row r="12" spans="1:6" x14ac:dyDescent="0.25">
      <c r="A12" s="346"/>
      <c r="B12" s="1" t="s">
        <v>613</v>
      </c>
      <c r="C12" s="181">
        <v>14</v>
      </c>
      <c r="D12" s="347" t="str">
        <f t="shared" si="0"/>
        <v>Jakub Šárka</v>
      </c>
      <c r="E12" s="347"/>
      <c r="F12" s="167"/>
    </row>
    <row r="13" spans="1:6" x14ac:dyDescent="0.25">
      <c r="A13" s="346"/>
      <c r="B13" s="1" t="s">
        <v>619</v>
      </c>
      <c r="C13" s="181">
        <v>12</v>
      </c>
      <c r="D13" s="347" t="str">
        <f t="shared" si="0"/>
        <v>Jakub Buršík</v>
      </c>
      <c r="E13" s="347"/>
      <c r="F13" s="167"/>
    </row>
    <row r="14" spans="1:6" x14ac:dyDescent="0.25">
      <c r="A14" s="346"/>
      <c r="B14" s="1" t="s">
        <v>701</v>
      </c>
      <c r="C14" s="181">
        <v>11</v>
      </c>
      <c r="D14" s="347" t="str">
        <f t="shared" si="0"/>
        <v>Filip Forman</v>
      </c>
      <c r="E14" s="347"/>
      <c r="F14" s="167"/>
    </row>
    <row r="15" spans="1:6" x14ac:dyDescent="0.25">
      <c r="A15" s="346"/>
      <c r="B15" s="1" t="s">
        <v>614</v>
      </c>
      <c r="C15" s="181">
        <v>11</v>
      </c>
      <c r="D15" s="347" t="str">
        <f t="shared" si="0"/>
        <v>Jan Malič</v>
      </c>
      <c r="E15" s="347"/>
      <c r="F15" s="167"/>
    </row>
    <row r="16" spans="1:6" x14ac:dyDescent="0.25">
      <c r="A16" s="346" t="s">
        <v>231</v>
      </c>
      <c r="B16" s="1" t="s">
        <v>607</v>
      </c>
      <c r="C16" s="181">
        <v>10</v>
      </c>
      <c r="D16" s="347" t="str">
        <f t="shared" si="0"/>
        <v>Radovan Michajlovič</v>
      </c>
      <c r="E16" s="347"/>
      <c r="F16" s="167">
        <f t="shared" ref="F16:F20" si="2">IF(B16&lt;&gt;0,_xlfn.NUMBERVALUE(C16,","),"")</f>
        <v>10</v>
      </c>
    </row>
    <row r="17" spans="1:6" x14ac:dyDescent="0.25">
      <c r="A17" s="346"/>
      <c r="B17" s="1" t="s">
        <v>615</v>
      </c>
      <c r="C17" s="181">
        <v>2</v>
      </c>
      <c r="D17" s="347" t="str">
        <f t="shared" si="0"/>
        <v>Tomáš Hyršl</v>
      </c>
      <c r="E17" s="347"/>
      <c r="F17" s="167">
        <f t="shared" si="2"/>
        <v>2</v>
      </c>
    </row>
    <row r="18" spans="1:6" x14ac:dyDescent="0.25">
      <c r="A18" s="346"/>
      <c r="B18" s="1" t="s">
        <v>616</v>
      </c>
      <c r="C18" s="181">
        <v>1</v>
      </c>
      <c r="D18" s="347" t="str">
        <f t="shared" si="0"/>
        <v>Jakub Zavřel</v>
      </c>
      <c r="E18" s="347"/>
      <c r="F18" s="167">
        <f t="shared" si="2"/>
        <v>1</v>
      </c>
    </row>
    <row r="19" spans="1:6" x14ac:dyDescent="0.25">
      <c r="A19" s="346"/>
      <c r="B19" s="1"/>
      <c r="C19" s="181"/>
      <c r="D19" s="347" t="str">
        <f t="shared" si="0"/>
        <v/>
      </c>
      <c r="E19" s="347"/>
      <c r="F19" s="167" t="str">
        <f t="shared" si="2"/>
        <v/>
      </c>
    </row>
    <row r="20" spans="1:6" x14ac:dyDescent="0.25">
      <c r="A20" s="346"/>
      <c r="B20" s="1"/>
      <c r="C20" s="181"/>
      <c r="D20" s="347" t="str">
        <f t="shared" si="0"/>
        <v/>
      </c>
      <c r="E20" s="347"/>
      <c r="F20" s="167" t="str">
        <f t="shared" si="2"/>
        <v/>
      </c>
    </row>
    <row r="21" spans="1:6" x14ac:dyDescent="0.25">
      <c r="A21" s="346" t="s">
        <v>37</v>
      </c>
      <c r="B21" s="1" t="s">
        <v>602</v>
      </c>
      <c r="C21" s="181">
        <v>26</v>
      </c>
      <c r="D21" s="347" t="str">
        <f t="shared" si="0"/>
        <v>Filip Forman</v>
      </c>
      <c r="E21" s="347"/>
      <c r="F21" s="167"/>
    </row>
    <row r="22" spans="1:6" x14ac:dyDescent="0.25">
      <c r="A22" s="346"/>
      <c r="B22" s="1" t="s">
        <v>603</v>
      </c>
      <c r="C22" s="181">
        <v>16</v>
      </c>
      <c r="D22" s="347" t="str">
        <f t="shared" si="0"/>
        <v>Jan Malič</v>
      </c>
      <c r="E22" s="347"/>
      <c r="F22" s="167"/>
    </row>
    <row r="23" spans="1:6" x14ac:dyDescent="0.25">
      <c r="A23" s="346"/>
      <c r="B23" s="1" t="s">
        <v>604</v>
      </c>
      <c r="C23" s="181">
        <v>16</v>
      </c>
      <c r="D23" s="347" t="str">
        <f t="shared" si="0"/>
        <v>Matyáš Krebner</v>
      </c>
      <c r="E23" s="347"/>
      <c r="F23" s="167"/>
    </row>
    <row r="24" spans="1:6" x14ac:dyDescent="0.25">
      <c r="A24" s="346"/>
      <c r="B24" s="1" t="s">
        <v>605</v>
      </c>
      <c r="C24" s="181">
        <v>8</v>
      </c>
      <c r="D24" s="347" t="str">
        <f t="shared" si="0"/>
        <v>Matěj Pěnička</v>
      </c>
      <c r="E24" s="347"/>
      <c r="F24" s="167"/>
    </row>
    <row r="25" spans="1:6" x14ac:dyDescent="0.25">
      <c r="A25" s="346"/>
      <c r="B25" s="1" t="s">
        <v>702</v>
      </c>
      <c r="C25" s="181">
        <v>6</v>
      </c>
      <c r="D25" s="347" t="str">
        <f t="shared" si="0"/>
        <v>Patrik Šebek</v>
      </c>
      <c r="E25" s="347"/>
      <c r="F25" s="167"/>
    </row>
    <row r="26" spans="1:6" x14ac:dyDescent="0.25">
      <c r="A26" s="346" t="s">
        <v>38</v>
      </c>
      <c r="B26" s="1" t="s">
        <v>617</v>
      </c>
      <c r="C26" s="181">
        <v>20</v>
      </c>
      <c r="D26" s="347" t="str">
        <f t="shared" si="0"/>
        <v>Jan Malič</v>
      </c>
      <c r="E26" s="347"/>
      <c r="F26" s="167"/>
    </row>
    <row r="27" spans="1:6" x14ac:dyDescent="0.25">
      <c r="A27" s="346"/>
      <c r="B27" s="1" t="s">
        <v>618</v>
      </c>
      <c r="C27" s="181">
        <v>8</v>
      </c>
      <c r="D27" s="347" t="str">
        <f t="shared" si="0"/>
        <v>Filip Forman</v>
      </c>
      <c r="E27" s="347"/>
      <c r="F27" s="167"/>
    </row>
    <row r="28" spans="1:6" x14ac:dyDescent="0.25">
      <c r="A28" s="346"/>
      <c r="B28" s="1" t="s">
        <v>619</v>
      </c>
      <c r="C28" s="181">
        <v>4</v>
      </c>
      <c r="D28" s="347" t="str">
        <f t="shared" si="0"/>
        <v>Jakub Buršík</v>
      </c>
      <c r="E28" s="347"/>
      <c r="F28" s="167"/>
    </row>
    <row r="29" spans="1:6" x14ac:dyDescent="0.25">
      <c r="A29" s="346"/>
      <c r="B29" s="1" t="s">
        <v>620</v>
      </c>
      <c r="C29" s="181">
        <v>4</v>
      </c>
      <c r="D29" s="347" t="str">
        <f t="shared" si="0"/>
        <v>Lukáš Kuncman</v>
      </c>
      <c r="E29" s="347"/>
      <c r="F29" s="167"/>
    </row>
    <row r="30" spans="1:6" x14ac:dyDescent="0.25">
      <c r="A30" s="346"/>
      <c r="B30" s="1" t="s">
        <v>621</v>
      </c>
      <c r="C30" s="181">
        <v>4</v>
      </c>
      <c r="D30" s="347" t="str">
        <f t="shared" si="0"/>
        <v>Matyáš Krebner</v>
      </c>
      <c r="E30" s="347"/>
      <c r="F30" s="167"/>
    </row>
    <row r="31" spans="1:6" x14ac:dyDescent="0.25">
      <c r="A31" s="346" t="s">
        <v>339</v>
      </c>
      <c r="B31" s="122" t="s">
        <v>725</v>
      </c>
      <c r="C31" s="122" t="s">
        <v>151</v>
      </c>
      <c r="D31" s="122" t="s">
        <v>755</v>
      </c>
      <c r="E31" s="179" t="str">
        <f>IFERROR(RIGHT(LEFT(D31,LEN(D31)-1),LEN(D31)-2),"")</f>
        <v>1:7</v>
      </c>
    </row>
    <row r="32" spans="1:6" x14ac:dyDescent="0.25">
      <c r="A32" s="346"/>
      <c r="B32" s="122" t="s">
        <v>684</v>
      </c>
      <c r="C32" s="122" t="s">
        <v>151</v>
      </c>
      <c r="D32" s="122" t="s">
        <v>699</v>
      </c>
      <c r="E32" s="179" t="str">
        <f t="shared" ref="E32:E40" si="3">IFERROR(RIGHT(LEFT(D32,LEN(D32)-1),LEN(D32)-2),"")</f>
        <v>3:6</v>
      </c>
    </row>
    <row r="33" spans="1:5" x14ac:dyDescent="0.25">
      <c r="A33" s="346"/>
      <c r="B33" s="122" t="s">
        <v>343</v>
      </c>
      <c r="C33" s="122" t="s">
        <v>146</v>
      </c>
      <c r="D33" s="122" t="s">
        <v>700</v>
      </c>
      <c r="E33" s="179" t="str">
        <f t="shared" si="3"/>
        <v>4:3</v>
      </c>
    </row>
    <row r="34" spans="1:5" x14ac:dyDescent="0.25">
      <c r="A34" s="346"/>
      <c r="B34" s="122" t="s">
        <v>344</v>
      </c>
      <c r="C34" s="122" t="s">
        <v>148</v>
      </c>
      <c r="D34" s="122" t="s">
        <v>622</v>
      </c>
      <c r="E34" s="179" t="str">
        <f t="shared" si="3"/>
        <v>11:10p</v>
      </c>
    </row>
    <row r="35" spans="1:5" x14ac:dyDescent="0.25">
      <c r="A35" s="346"/>
      <c r="B35" s="122" t="s">
        <v>345</v>
      </c>
      <c r="C35" s="122" t="s">
        <v>145</v>
      </c>
      <c r="D35" s="122" t="s">
        <v>623</v>
      </c>
      <c r="E35" s="179" t="str">
        <f t="shared" si="3"/>
        <v>7:5</v>
      </c>
    </row>
    <row r="36" spans="1:5" x14ac:dyDescent="0.25">
      <c r="A36" s="346" t="s">
        <v>340</v>
      </c>
      <c r="B36" s="122" t="s">
        <v>347</v>
      </c>
      <c r="C36" s="122" t="s">
        <v>29</v>
      </c>
      <c r="D36" s="122" t="s">
        <v>353</v>
      </c>
      <c r="E36" s="179" t="str">
        <f t="shared" si="3"/>
        <v>-:-</v>
      </c>
    </row>
    <row r="37" spans="1:5" x14ac:dyDescent="0.25">
      <c r="A37" s="346"/>
      <c r="B37" s="122" t="s">
        <v>348</v>
      </c>
      <c r="C37" s="122" t="s">
        <v>29</v>
      </c>
      <c r="D37" s="122" t="s">
        <v>353</v>
      </c>
      <c r="E37" s="179" t="str">
        <f t="shared" si="3"/>
        <v>-:-</v>
      </c>
    </row>
    <row r="38" spans="1:5" x14ac:dyDescent="0.25">
      <c r="A38" s="346"/>
      <c r="B38" s="122" t="s">
        <v>372</v>
      </c>
      <c r="C38" s="122" t="s">
        <v>153</v>
      </c>
      <c r="D38" s="122" t="s">
        <v>353</v>
      </c>
      <c r="E38" s="179" t="str">
        <f t="shared" si="3"/>
        <v>-:-</v>
      </c>
    </row>
    <row r="39" spans="1:5" x14ac:dyDescent="0.25">
      <c r="A39" s="346"/>
      <c r="B39" s="122" t="s">
        <v>473</v>
      </c>
      <c r="C39" s="122" t="s">
        <v>143</v>
      </c>
      <c r="D39" s="122" t="s">
        <v>353</v>
      </c>
      <c r="E39" s="179" t="str">
        <f t="shared" si="3"/>
        <v>-:-</v>
      </c>
    </row>
    <row r="40" spans="1:5" x14ac:dyDescent="0.25">
      <c r="A40" s="346"/>
      <c r="B40" s="122" t="s">
        <v>678</v>
      </c>
      <c r="C40" s="122" t="s">
        <v>154</v>
      </c>
      <c r="D40" s="122" t="s">
        <v>353</v>
      </c>
      <c r="E40" s="179" t="str">
        <f t="shared" si="3"/>
        <v>-:-</v>
      </c>
    </row>
    <row r="41" spans="1:5" x14ac:dyDescent="0.25">
      <c r="A41" s="168" t="s">
        <v>341</v>
      </c>
      <c r="B41" t="s">
        <v>756</v>
      </c>
    </row>
  </sheetData>
  <sheetProtection algorithmName="SHA-512" hashValue="A1wkE8k7AxWsh8pivAtdHLWpyZ4XXq/0K3Z0pSzwEC2TJ9radJZU+y3wI0ofRz4Mrt5XcsUqAyfUhwNwT7Ctlg==" saltValue="kkjrnwPJPJcYyyfJTBECp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I82" sqref="I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59</v>
      </c>
      <c r="B1" s="168" t="s">
        <v>60</v>
      </c>
      <c r="D1" s="168" t="s">
        <v>61</v>
      </c>
      <c r="E1" s="168" t="s">
        <v>62</v>
      </c>
      <c r="F1" s="168" t="s">
        <v>35</v>
      </c>
      <c r="G1" s="168" t="s">
        <v>63</v>
      </c>
      <c r="H1" s="168" t="s">
        <v>64</v>
      </c>
      <c r="I1" s="168" t="s">
        <v>37</v>
      </c>
      <c r="J1" s="168" t="s">
        <v>36</v>
      </c>
      <c r="K1" s="168" t="s">
        <v>38</v>
      </c>
      <c r="L1" s="168" t="s">
        <v>65</v>
      </c>
      <c r="M1" s="168" t="s">
        <v>30</v>
      </c>
      <c r="N1" s="3" t="s">
        <v>66</v>
      </c>
      <c r="O1" s="168" t="s">
        <v>81</v>
      </c>
      <c r="P1" s="168" t="s">
        <v>531</v>
      </c>
      <c r="Q1" s="115" t="s">
        <v>48</v>
      </c>
    </row>
    <row r="2" spans="1:26" s="4" customFormat="1" x14ac:dyDescent="0.25">
      <c r="A2" s="53">
        <v>1</v>
      </c>
      <c r="B2" s="4" t="s">
        <v>624</v>
      </c>
      <c r="D2" s="5" t="s">
        <v>52</v>
      </c>
      <c r="E2" s="5">
        <v>14</v>
      </c>
      <c r="F2" s="5">
        <v>12</v>
      </c>
      <c r="G2" s="5">
        <v>1</v>
      </c>
      <c r="H2" s="5">
        <v>0</v>
      </c>
      <c r="I2" s="5">
        <v>15</v>
      </c>
      <c r="J2" s="5">
        <v>27</v>
      </c>
      <c r="K2" s="5">
        <v>4</v>
      </c>
      <c r="L2" s="5">
        <v>40</v>
      </c>
      <c r="M2" s="5">
        <v>28</v>
      </c>
      <c r="N2" s="5">
        <v>12</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14 OZ , 27 (12+15), +12 ±</v>
      </c>
      <c r="P2" s="5" t="str">
        <f>IF(B2&lt;&gt;0,IF(VLOOKUP(B2,$B$48:$B$82,1,FALSE)=B2,"ANO","NE"),"")</f>
        <v>ANO</v>
      </c>
      <c r="Q2" s="143"/>
      <c r="S2" s="5"/>
      <c r="X2" s="5"/>
      <c r="Y2" s="5"/>
      <c r="Z2" s="5"/>
    </row>
    <row r="3" spans="1:26" s="4" customFormat="1" x14ac:dyDescent="0.25">
      <c r="A3" s="53">
        <v>2</v>
      </c>
      <c r="B3" s="4" t="s">
        <v>625</v>
      </c>
      <c r="D3" s="5" t="s">
        <v>52</v>
      </c>
      <c r="E3" s="5">
        <v>13</v>
      </c>
      <c r="F3" s="5">
        <v>17</v>
      </c>
      <c r="G3" s="5">
        <v>4</v>
      </c>
      <c r="H3" s="5">
        <v>2</v>
      </c>
      <c r="I3" s="5">
        <v>7</v>
      </c>
      <c r="J3" s="5">
        <v>24</v>
      </c>
      <c r="K3" s="5">
        <v>0</v>
      </c>
      <c r="L3" s="5">
        <v>38</v>
      </c>
      <c r="M3" s="5">
        <v>23</v>
      </c>
      <c r="N3" s="5">
        <v>15</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13 OZ , 24 (17+7), +15 ±</v>
      </c>
      <c r="P3" s="5" t="str">
        <f t="shared" ref="P3:P36" si="1">IF(B3&lt;&gt;0,IF(VLOOKUP(B3,$B$48:$B$82,1,FALSE)=B3,"ANO","NE"),"")</f>
        <v>ANO</v>
      </c>
      <c r="Q3" s="143"/>
      <c r="S3" s="5"/>
      <c r="X3" s="5"/>
      <c r="Y3" s="5"/>
      <c r="Z3" s="5"/>
    </row>
    <row r="4" spans="1:26" s="4" customFormat="1" x14ac:dyDescent="0.25">
      <c r="A4" s="53">
        <v>3</v>
      </c>
      <c r="B4" s="4" t="s">
        <v>626</v>
      </c>
      <c r="D4" s="5"/>
      <c r="E4" s="5">
        <v>14</v>
      </c>
      <c r="F4" s="5">
        <v>8</v>
      </c>
      <c r="G4" s="5">
        <v>0</v>
      </c>
      <c r="H4" s="5">
        <v>0</v>
      </c>
      <c r="I4" s="5">
        <v>10</v>
      </c>
      <c r="J4" s="5">
        <v>18</v>
      </c>
      <c r="K4" s="5">
        <v>4</v>
      </c>
      <c r="L4" s="5">
        <v>29</v>
      </c>
      <c r="M4" s="5">
        <v>19</v>
      </c>
      <c r="N4" s="5">
        <v>10</v>
      </c>
      <c r="O4" s="167" t="str">
        <f t="shared" si="0"/>
        <v>14 OZ , 18 (8+10), +10 ±</v>
      </c>
      <c r="P4" s="5" t="str">
        <f t="shared" si="1"/>
        <v>ANO</v>
      </c>
      <c r="Q4" s="143"/>
      <c r="S4" s="5"/>
      <c r="X4" s="5"/>
      <c r="Y4" s="5"/>
      <c r="Z4" s="5"/>
    </row>
    <row r="5" spans="1:26" s="4" customFormat="1" x14ac:dyDescent="0.25">
      <c r="A5" s="53">
        <v>4</v>
      </c>
      <c r="B5" s="4" t="s">
        <v>627</v>
      </c>
      <c r="D5" s="5" t="s">
        <v>52</v>
      </c>
      <c r="E5" s="5">
        <v>14</v>
      </c>
      <c r="F5" s="5">
        <v>11</v>
      </c>
      <c r="G5" s="5">
        <v>1</v>
      </c>
      <c r="H5" s="5">
        <v>0</v>
      </c>
      <c r="I5" s="5">
        <v>5</v>
      </c>
      <c r="J5" s="5">
        <v>16</v>
      </c>
      <c r="K5" s="5">
        <v>2</v>
      </c>
      <c r="L5" s="5">
        <v>40</v>
      </c>
      <c r="M5" s="5">
        <v>20</v>
      </c>
      <c r="N5" s="5">
        <v>20</v>
      </c>
      <c r="O5" s="167" t="str">
        <f t="shared" si="0"/>
        <v>14 OZ , 16 (11+5), +20 ±</v>
      </c>
      <c r="P5" s="5" t="str">
        <f t="shared" si="1"/>
        <v>ANO</v>
      </c>
      <c r="Q5" s="143"/>
      <c r="S5" s="5"/>
      <c r="X5" s="5"/>
      <c r="Y5" s="5"/>
      <c r="Z5" s="5"/>
    </row>
    <row r="6" spans="1:26" x14ac:dyDescent="0.25">
      <c r="A6" s="54">
        <v>5</v>
      </c>
      <c r="B6" s="1" t="s">
        <v>628</v>
      </c>
      <c r="D6" s="181"/>
      <c r="E6" s="181">
        <v>12</v>
      </c>
      <c r="F6" s="181">
        <v>7</v>
      </c>
      <c r="G6" s="181">
        <v>0</v>
      </c>
      <c r="H6" s="181">
        <v>0</v>
      </c>
      <c r="I6" s="181">
        <v>7</v>
      </c>
      <c r="J6" s="181">
        <v>14</v>
      </c>
      <c r="K6" s="181">
        <v>4</v>
      </c>
      <c r="L6" s="181">
        <v>16</v>
      </c>
      <c r="M6" s="181">
        <v>20</v>
      </c>
      <c r="N6" s="181">
        <v>-4</v>
      </c>
      <c r="O6" s="167" t="str">
        <f t="shared" si="0"/>
        <v>12 OZ , 14 (7+7), -4 ±</v>
      </c>
      <c r="P6" s="5" t="str">
        <f t="shared" si="1"/>
        <v>ANO</v>
      </c>
    </row>
    <row r="7" spans="1:26" x14ac:dyDescent="0.25">
      <c r="A7" s="54">
        <v>6</v>
      </c>
      <c r="B7" s="1" t="s">
        <v>629</v>
      </c>
      <c r="D7" s="181" t="s">
        <v>52</v>
      </c>
      <c r="E7" s="181">
        <v>14</v>
      </c>
      <c r="F7" s="181">
        <v>3</v>
      </c>
      <c r="G7" s="181">
        <v>0</v>
      </c>
      <c r="H7" s="181">
        <v>0</v>
      </c>
      <c r="I7" s="181">
        <v>11</v>
      </c>
      <c r="J7" s="181">
        <v>14</v>
      </c>
      <c r="K7" s="181">
        <v>2</v>
      </c>
      <c r="L7" s="181">
        <v>29</v>
      </c>
      <c r="M7" s="181">
        <v>18</v>
      </c>
      <c r="N7" s="181">
        <v>11</v>
      </c>
      <c r="O7" s="167" t="str">
        <f t="shared" si="0"/>
        <v>14 OZ , 14 (3+11), +11 ±</v>
      </c>
      <c r="P7" s="5" t="str">
        <f t="shared" si="1"/>
        <v>ANO</v>
      </c>
    </row>
    <row r="8" spans="1:26" x14ac:dyDescent="0.25">
      <c r="A8" s="54">
        <v>7</v>
      </c>
      <c r="B8" s="1" t="s">
        <v>630</v>
      </c>
      <c r="D8" s="181" t="s">
        <v>49</v>
      </c>
      <c r="E8" s="181">
        <v>14</v>
      </c>
      <c r="F8" s="181">
        <v>5</v>
      </c>
      <c r="G8" s="181">
        <v>2</v>
      </c>
      <c r="H8" s="181">
        <v>0</v>
      </c>
      <c r="I8" s="181">
        <v>7</v>
      </c>
      <c r="J8" s="181">
        <v>12</v>
      </c>
      <c r="K8" s="181">
        <v>4</v>
      </c>
      <c r="L8" s="181">
        <v>41</v>
      </c>
      <c r="M8" s="181">
        <v>21</v>
      </c>
      <c r="N8" s="181">
        <v>20</v>
      </c>
      <c r="O8" s="167" t="str">
        <f t="shared" si="0"/>
        <v>14 OZ , 12 (5+7), +20 ±</v>
      </c>
      <c r="P8" s="5" t="str">
        <f t="shared" si="1"/>
        <v>ANO</v>
      </c>
    </row>
    <row r="9" spans="1:26" x14ac:dyDescent="0.25">
      <c r="A9" s="54">
        <v>8</v>
      </c>
      <c r="B9" s="1" t="s">
        <v>631</v>
      </c>
      <c r="D9" s="181"/>
      <c r="E9" s="181">
        <v>9</v>
      </c>
      <c r="F9" s="181">
        <v>7</v>
      </c>
      <c r="G9" s="181">
        <v>1</v>
      </c>
      <c r="H9" s="181">
        <v>0</v>
      </c>
      <c r="I9" s="181">
        <v>1</v>
      </c>
      <c r="J9" s="181">
        <v>8</v>
      </c>
      <c r="K9" s="181">
        <v>0</v>
      </c>
      <c r="L9" s="181">
        <v>23</v>
      </c>
      <c r="M9" s="181">
        <v>10</v>
      </c>
      <c r="N9" s="181">
        <v>13</v>
      </c>
      <c r="O9" s="167" t="str">
        <f t="shared" si="0"/>
        <v>9 OZ , 8 (7+1), +13 ±</v>
      </c>
      <c r="P9" s="5" t="str">
        <f t="shared" si="1"/>
        <v>ANO</v>
      </c>
    </row>
    <row r="10" spans="1:26" x14ac:dyDescent="0.25">
      <c r="A10" s="54">
        <v>9</v>
      </c>
      <c r="B10" s="1" t="s">
        <v>632</v>
      </c>
      <c r="D10" s="181"/>
      <c r="E10" s="181">
        <v>9</v>
      </c>
      <c r="F10" s="181">
        <v>5</v>
      </c>
      <c r="G10" s="181">
        <v>0</v>
      </c>
      <c r="H10" s="181">
        <v>0</v>
      </c>
      <c r="I10" s="181">
        <v>2</v>
      </c>
      <c r="J10" s="181">
        <v>7</v>
      </c>
      <c r="K10" s="181">
        <v>2</v>
      </c>
      <c r="L10" s="181">
        <v>18</v>
      </c>
      <c r="M10" s="181">
        <v>12</v>
      </c>
      <c r="N10" s="181">
        <v>6</v>
      </c>
      <c r="O10" s="167" t="str">
        <f t="shared" si="0"/>
        <v>9 OZ , 7 (5+2), +6 ±</v>
      </c>
      <c r="P10" s="5" t="str">
        <f t="shared" si="1"/>
        <v>ANO</v>
      </c>
    </row>
    <row r="11" spans="1:26" x14ac:dyDescent="0.25">
      <c r="A11" s="54">
        <v>10</v>
      </c>
      <c r="B11" s="1" t="s">
        <v>633</v>
      </c>
      <c r="D11" s="181" t="s">
        <v>49</v>
      </c>
      <c r="E11" s="181">
        <v>14</v>
      </c>
      <c r="F11" s="181">
        <v>3</v>
      </c>
      <c r="G11" s="181">
        <v>0</v>
      </c>
      <c r="H11" s="181">
        <v>0</v>
      </c>
      <c r="I11" s="181">
        <v>3</v>
      </c>
      <c r="J11" s="181">
        <v>6</v>
      </c>
      <c r="K11" s="181">
        <v>6</v>
      </c>
      <c r="L11" s="181">
        <v>32</v>
      </c>
      <c r="M11" s="181">
        <v>18</v>
      </c>
      <c r="N11" s="181">
        <v>14</v>
      </c>
      <c r="O11" s="167" t="str">
        <f t="shared" si="0"/>
        <v>14 OZ , 6 (3+3), +14 ±</v>
      </c>
      <c r="P11" s="5" t="str">
        <f t="shared" si="1"/>
        <v>ANO</v>
      </c>
    </row>
    <row r="12" spans="1:26" x14ac:dyDescent="0.25">
      <c r="A12" s="54">
        <v>11</v>
      </c>
      <c r="B12" s="1" t="s">
        <v>634</v>
      </c>
      <c r="D12" s="181" t="s">
        <v>49</v>
      </c>
      <c r="E12" s="181">
        <v>8</v>
      </c>
      <c r="F12" s="181">
        <v>2</v>
      </c>
      <c r="G12" s="181">
        <v>0</v>
      </c>
      <c r="H12" s="181">
        <v>0</v>
      </c>
      <c r="I12" s="181">
        <v>3</v>
      </c>
      <c r="J12" s="181">
        <v>5</v>
      </c>
      <c r="K12" s="181">
        <v>4</v>
      </c>
      <c r="L12" s="181">
        <v>12</v>
      </c>
      <c r="M12" s="181">
        <v>10</v>
      </c>
      <c r="N12" s="181">
        <v>2</v>
      </c>
      <c r="O12" s="167" t="str">
        <f t="shared" si="0"/>
        <v>8 OZ , 5 (2+3), +2 ±</v>
      </c>
      <c r="P12" s="5" t="str">
        <f t="shared" si="1"/>
        <v>ANO</v>
      </c>
    </row>
    <row r="13" spans="1:26" x14ac:dyDescent="0.25">
      <c r="A13" s="54">
        <v>12</v>
      </c>
      <c r="B13" s="1" t="s">
        <v>635</v>
      </c>
      <c r="D13" s="181"/>
      <c r="E13" s="181">
        <v>13</v>
      </c>
      <c r="F13" s="181">
        <v>3</v>
      </c>
      <c r="G13" s="181">
        <v>2</v>
      </c>
      <c r="H13" s="181">
        <v>0</v>
      </c>
      <c r="I13" s="181">
        <v>1</v>
      </c>
      <c r="J13" s="181">
        <v>4</v>
      </c>
      <c r="K13" s="181">
        <v>8</v>
      </c>
      <c r="L13" s="181">
        <v>10</v>
      </c>
      <c r="M13" s="181">
        <v>14</v>
      </c>
      <c r="N13" s="181">
        <v>-4</v>
      </c>
      <c r="O13" s="167" t="str">
        <f t="shared" si="0"/>
        <v>13 OZ , 4 (3+1), -4 ±</v>
      </c>
      <c r="P13" s="5" t="str">
        <f t="shared" si="1"/>
        <v>ANO</v>
      </c>
    </row>
    <row r="14" spans="1:26" x14ac:dyDescent="0.25">
      <c r="A14" s="54">
        <v>13</v>
      </c>
      <c r="B14" s="1" t="s">
        <v>636</v>
      </c>
      <c r="D14" s="181"/>
      <c r="E14" s="181">
        <v>10</v>
      </c>
      <c r="F14" s="181">
        <v>2</v>
      </c>
      <c r="G14" s="181">
        <v>0</v>
      </c>
      <c r="H14" s="181">
        <v>0</v>
      </c>
      <c r="I14" s="181">
        <v>2</v>
      </c>
      <c r="J14" s="181">
        <v>4</v>
      </c>
      <c r="K14" s="181">
        <v>0</v>
      </c>
      <c r="L14" s="181">
        <v>8</v>
      </c>
      <c r="M14" s="181">
        <v>5</v>
      </c>
      <c r="N14" s="181">
        <v>3</v>
      </c>
      <c r="O14" s="167" t="str">
        <f t="shared" si="0"/>
        <v>10 OZ , 4 (2+2), +3 ±</v>
      </c>
      <c r="P14" s="5" t="str">
        <f t="shared" si="1"/>
        <v>ANO</v>
      </c>
    </row>
    <row r="15" spans="1:26" x14ac:dyDescent="0.25">
      <c r="A15" s="54">
        <v>14</v>
      </c>
      <c r="B15" s="1" t="s">
        <v>637</v>
      </c>
      <c r="D15" s="181" t="s">
        <v>52</v>
      </c>
      <c r="E15" s="181">
        <v>13</v>
      </c>
      <c r="F15" s="181">
        <v>2</v>
      </c>
      <c r="G15" s="181">
        <v>0</v>
      </c>
      <c r="H15" s="181">
        <v>0</v>
      </c>
      <c r="I15" s="181">
        <v>2</v>
      </c>
      <c r="J15" s="181">
        <v>4</v>
      </c>
      <c r="K15" s="181">
        <v>24</v>
      </c>
      <c r="L15" s="181">
        <v>20</v>
      </c>
      <c r="M15" s="181">
        <v>20</v>
      </c>
      <c r="N15" s="181">
        <v>0</v>
      </c>
      <c r="O15" s="167" t="str">
        <f t="shared" si="0"/>
        <v>13 OZ , 4 (2+2), 0 ±</v>
      </c>
      <c r="P15" s="5" t="str">
        <f t="shared" si="1"/>
        <v>ANO</v>
      </c>
    </row>
    <row r="16" spans="1:26" x14ac:dyDescent="0.25">
      <c r="A16" s="54">
        <v>15</v>
      </c>
      <c r="B16" s="1" t="s">
        <v>638</v>
      </c>
      <c r="D16" s="181" t="s">
        <v>49</v>
      </c>
      <c r="E16" s="181">
        <v>14</v>
      </c>
      <c r="F16" s="181">
        <v>2</v>
      </c>
      <c r="G16" s="181">
        <v>0</v>
      </c>
      <c r="H16" s="181">
        <v>0</v>
      </c>
      <c r="I16" s="181">
        <v>2</v>
      </c>
      <c r="J16" s="181">
        <v>4</v>
      </c>
      <c r="K16" s="181">
        <v>4</v>
      </c>
      <c r="L16" s="181">
        <v>24</v>
      </c>
      <c r="M16" s="181">
        <v>20</v>
      </c>
      <c r="N16" s="181">
        <v>4</v>
      </c>
      <c r="O16" s="167" t="str">
        <f t="shared" si="0"/>
        <v>14 OZ , 4 (2+2), +4 ±</v>
      </c>
      <c r="P16" s="5" t="str">
        <f t="shared" si="1"/>
        <v>ANO</v>
      </c>
    </row>
    <row r="17" spans="1:16" x14ac:dyDescent="0.25">
      <c r="A17" s="54">
        <v>16</v>
      </c>
      <c r="B17" s="1" t="s">
        <v>639</v>
      </c>
      <c r="D17" s="181"/>
      <c r="E17" s="181">
        <v>5</v>
      </c>
      <c r="F17" s="181">
        <v>2</v>
      </c>
      <c r="G17" s="181">
        <v>0</v>
      </c>
      <c r="H17" s="181">
        <v>0</v>
      </c>
      <c r="I17" s="181">
        <v>1</v>
      </c>
      <c r="J17" s="181">
        <v>3</v>
      </c>
      <c r="K17" s="181">
        <v>0</v>
      </c>
      <c r="L17" s="181">
        <v>4</v>
      </c>
      <c r="M17" s="181">
        <v>4</v>
      </c>
      <c r="N17" s="181">
        <v>0</v>
      </c>
      <c r="O17" s="167" t="str">
        <f t="shared" si="0"/>
        <v>5 OZ , 3 (2+1), 0 ±</v>
      </c>
      <c r="P17" s="5" t="str">
        <f t="shared" si="1"/>
        <v>ANO</v>
      </c>
    </row>
    <row r="18" spans="1:16" x14ac:dyDescent="0.25">
      <c r="A18" s="54">
        <v>17</v>
      </c>
      <c r="B18" s="1" t="s">
        <v>640</v>
      </c>
      <c r="D18" s="181" t="s">
        <v>52</v>
      </c>
      <c r="E18" s="181">
        <v>9</v>
      </c>
      <c r="F18" s="181">
        <v>2</v>
      </c>
      <c r="G18" s="181">
        <v>0</v>
      </c>
      <c r="H18" s="181">
        <v>0</v>
      </c>
      <c r="I18" s="181">
        <v>1</v>
      </c>
      <c r="J18" s="181">
        <v>3</v>
      </c>
      <c r="K18" s="181">
        <v>0</v>
      </c>
      <c r="L18" s="181">
        <v>13</v>
      </c>
      <c r="M18" s="181">
        <v>10</v>
      </c>
      <c r="N18" s="181">
        <v>3</v>
      </c>
      <c r="O18" s="167" t="str">
        <f t="shared" si="0"/>
        <v>9 OZ , 3 (2+1), +3 ±</v>
      </c>
      <c r="P18" s="5" t="str">
        <f t="shared" si="1"/>
        <v>ANO</v>
      </c>
    </row>
    <row r="19" spans="1:16" x14ac:dyDescent="0.25">
      <c r="A19" s="54">
        <v>18</v>
      </c>
      <c r="B19" s="1" t="s">
        <v>641</v>
      </c>
      <c r="D19" s="181" t="s">
        <v>52</v>
      </c>
      <c r="E19" s="181">
        <v>3</v>
      </c>
      <c r="F19" s="181">
        <v>1</v>
      </c>
      <c r="G19" s="181">
        <v>0</v>
      </c>
      <c r="H19" s="181">
        <v>0</v>
      </c>
      <c r="I19" s="181">
        <v>2</v>
      </c>
      <c r="J19" s="181">
        <v>3</v>
      </c>
      <c r="K19" s="181">
        <v>0</v>
      </c>
      <c r="L19" s="181">
        <v>10</v>
      </c>
      <c r="M19" s="181">
        <v>6</v>
      </c>
      <c r="N19" s="181">
        <v>4</v>
      </c>
      <c r="O19" s="167" t="str">
        <f t="shared" si="0"/>
        <v>3 OZ , 3 (1+2), +4 ±</v>
      </c>
      <c r="P19" s="5" t="str">
        <f t="shared" si="1"/>
        <v>ANO</v>
      </c>
    </row>
    <row r="20" spans="1:16" x14ac:dyDescent="0.25">
      <c r="A20" s="54">
        <v>19</v>
      </c>
      <c r="B20" s="1" t="s">
        <v>642</v>
      </c>
      <c r="D20" s="181"/>
      <c r="E20" s="181">
        <v>6</v>
      </c>
      <c r="F20" s="181">
        <v>1</v>
      </c>
      <c r="G20" s="181">
        <v>0</v>
      </c>
      <c r="H20" s="181">
        <v>0</v>
      </c>
      <c r="I20" s="181">
        <v>1</v>
      </c>
      <c r="J20" s="181">
        <v>2</v>
      </c>
      <c r="K20" s="181">
        <v>2</v>
      </c>
      <c r="L20" s="181">
        <v>3</v>
      </c>
      <c r="M20" s="181">
        <v>3</v>
      </c>
      <c r="N20" s="181">
        <v>0</v>
      </c>
      <c r="O20" s="167" t="str">
        <f t="shared" si="0"/>
        <v>6 OZ , 2 (1+1), 0 ±</v>
      </c>
      <c r="P20" s="5" t="str">
        <f t="shared" si="1"/>
        <v>ANO</v>
      </c>
    </row>
    <row r="21" spans="1:16" x14ac:dyDescent="0.25">
      <c r="A21" s="54">
        <v>20</v>
      </c>
      <c r="B21" s="1" t="s">
        <v>643</v>
      </c>
      <c r="D21" s="181"/>
      <c r="E21" s="181">
        <v>12</v>
      </c>
      <c r="F21" s="181">
        <v>1</v>
      </c>
      <c r="G21" s="181">
        <v>0</v>
      </c>
      <c r="H21" s="181">
        <v>0</v>
      </c>
      <c r="I21" s="181">
        <v>1</v>
      </c>
      <c r="J21" s="181">
        <v>2</v>
      </c>
      <c r="K21" s="181">
        <v>0</v>
      </c>
      <c r="L21" s="181">
        <v>5</v>
      </c>
      <c r="M21" s="181">
        <v>8</v>
      </c>
      <c r="N21" s="181">
        <v>-3</v>
      </c>
      <c r="O21" s="167" t="str">
        <f t="shared" si="0"/>
        <v>12 OZ , 2 (1+1), -3 ±</v>
      </c>
      <c r="P21" s="5" t="str">
        <f t="shared" si="1"/>
        <v>ANO</v>
      </c>
    </row>
    <row r="22" spans="1:16" x14ac:dyDescent="0.25">
      <c r="A22" s="54">
        <v>21</v>
      </c>
      <c r="B22" s="1" t="s">
        <v>644</v>
      </c>
      <c r="D22" s="181" t="s">
        <v>52</v>
      </c>
      <c r="E22" s="181">
        <v>7</v>
      </c>
      <c r="F22" s="181">
        <v>0</v>
      </c>
      <c r="G22" s="181">
        <v>0</v>
      </c>
      <c r="H22" s="181">
        <v>0</v>
      </c>
      <c r="I22" s="181">
        <v>2</v>
      </c>
      <c r="J22" s="181">
        <v>2</v>
      </c>
      <c r="K22" s="181">
        <v>8</v>
      </c>
      <c r="L22" s="181">
        <v>16</v>
      </c>
      <c r="M22" s="181">
        <v>11</v>
      </c>
      <c r="N22" s="181">
        <v>5</v>
      </c>
      <c r="O22" s="167" t="str">
        <f t="shared" si="0"/>
        <v>7 OZ , 2 (0+2), +5 ±</v>
      </c>
      <c r="P22" s="5" t="str">
        <f t="shared" si="1"/>
        <v>ANO</v>
      </c>
    </row>
    <row r="23" spans="1:16" x14ac:dyDescent="0.25">
      <c r="A23" s="54">
        <v>22</v>
      </c>
      <c r="B23" s="1" t="s">
        <v>645</v>
      </c>
      <c r="D23" s="181" t="s">
        <v>52</v>
      </c>
      <c r="E23" s="181">
        <v>9</v>
      </c>
      <c r="F23" s="181">
        <v>0</v>
      </c>
      <c r="G23" s="181">
        <v>0</v>
      </c>
      <c r="H23" s="181">
        <v>0</v>
      </c>
      <c r="I23" s="181">
        <v>2</v>
      </c>
      <c r="J23" s="181">
        <v>2</v>
      </c>
      <c r="K23" s="181">
        <v>2</v>
      </c>
      <c r="L23" s="181">
        <v>11</v>
      </c>
      <c r="M23" s="181">
        <v>8</v>
      </c>
      <c r="N23" s="181">
        <v>3</v>
      </c>
      <c r="O23" s="167" t="str">
        <f t="shared" si="0"/>
        <v>9 OZ , 2 (0+2), +3 ±</v>
      </c>
      <c r="P23" s="5" t="str">
        <f t="shared" si="1"/>
        <v>ANO</v>
      </c>
    </row>
    <row r="24" spans="1:16" x14ac:dyDescent="0.25">
      <c r="A24" s="53">
        <v>23</v>
      </c>
      <c r="B24" s="4" t="s">
        <v>646</v>
      </c>
      <c r="C24" s="4"/>
      <c r="D24" s="5" t="s">
        <v>35</v>
      </c>
      <c r="E24" s="5">
        <v>0</v>
      </c>
      <c r="F24" s="5">
        <v>0</v>
      </c>
      <c r="G24" s="5">
        <v>0</v>
      </c>
      <c r="H24" s="5">
        <v>0</v>
      </c>
      <c r="I24" s="5">
        <v>1</v>
      </c>
      <c r="J24" s="5">
        <v>1</v>
      </c>
      <c r="K24" s="5">
        <v>4</v>
      </c>
      <c r="L24" s="5">
        <v>0</v>
      </c>
      <c r="M24" s="5">
        <v>0</v>
      </c>
      <c r="N24" s="5">
        <v>0</v>
      </c>
      <c r="O24" s="167" t="str">
        <f t="shared" si="0"/>
        <v>0 OZ , 1 (0+1), 0 ±</v>
      </c>
      <c r="P24" s="5" t="str">
        <f t="shared" si="1"/>
        <v>ANO</v>
      </c>
    </row>
    <row r="25" spans="1:16" x14ac:dyDescent="0.25">
      <c r="A25" s="53">
        <v>24</v>
      </c>
      <c r="B25" s="4" t="s">
        <v>647</v>
      </c>
      <c r="C25" s="4"/>
      <c r="D25" s="5"/>
      <c r="E25" s="5">
        <v>0</v>
      </c>
      <c r="F25" s="5">
        <v>0</v>
      </c>
      <c r="G25" s="5">
        <v>0</v>
      </c>
      <c r="H25" s="5">
        <v>0</v>
      </c>
      <c r="I25" s="5">
        <v>0</v>
      </c>
      <c r="J25" s="5">
        <v>0</v>
      </c>
      <c r="K25" s="5">
        <v>0</v>
      </c>
      <c r="L25" s="5">
        <v>0</v>
      </c>
      <c r="M25" s="5">
        <v>0</v>
      </c>
      <c r="N25" s="5">
        <v>0</v>
      </c>
      <c r="O25" s="167" t="str">
        <f t="shared" si="0"/>
        <v>0 OZ , 0 (0+0), 0 ±</v>
      </c>
      <c r="P25" s="5" t="str">
        <f t="shared" si="1"/>
        <v>ANO</v>
      </c>
    </row>
    <row r="26" spans="1:16" x14ac:dyDescent="0.25">
      <c r="A26" s="53">
        <v>25</v>
      </c>
      <c r="B26" s="4" t="s">
        <v>648</v>
      </c>
      <c r="C26" s="4"/>
      <c r="D26" s="5"/>
      <c r="E26" s="5">
        <v>4</v>
      </c>
      <c r="F26" s="5">
        <v>0</v>
      </c>
      <c r="G26" s="5">
        <v>0</v>
      </c>
      <c r="H26" s="5">
        <v>0</v>
      </c>
      <c r="I26" s="5">
        <v>0</v>
      </c>
      <c r="J26" s="5">
        <v>0</v>
      </c>
      <c r="K26" s="5">
        <v>0</v>
      </c>
      <c r="L26" s="5">
        <v>0</v>
      </c>
      <c r="M26" s="5">
        <v>0</v>
      </c>
      <c r="N26" s="5">
        <v>0</v>
      </c>
      <c r="O26" s="167" t="str">
        <f t="shared" si="0"/>
        <v>4 OZ , 0 (0+0), 0 ±</v>
      </c>
      <c r="P26" s="5" t="str">
        <f t="shared" si="1"/>
        <v>ANO</v>
      </c>
    </row>
    <row r="27" spans="1:16" x14ac:dyDescent="0.25">
      <c r="A27" s="53">
        <v>26</v>
      </c>
      <c r="B27" s="4" t="s">
        <v>649</v>
      </c>
      <c r="C27" s="4"/>
      <c r="D27" s="5"/>
      <c r="E27" s="5">
        <v>7</v>
      </c>
      <c r="F27" s="5">
        <v>0</v>
      </c>
      <c r="G27" s="5">
        <v>0</v>
      </c>
      <c r="H27" s="5">
        <v>0</v>
      </c>
      <c r="I27" s="5">
        <v>0</v>
      </c>
      <c r="J27" s="5">
        <v>0</v>
      </c>
      <c r="K27" s="5">
        <v>0</v>
      </c>
      <c r="L27" s="5">
        <v>3</v>
      </c>
      <c r="M27" s="5">
        <v>7</v>
      </c>
      <c r="N27" s="5">
        <v>-4</v>
      </c>
      <c r="O27" s="167" t="str">
        <f t="shared" si="0"/>
        <v>7 OZ , 0 (0+0), -4 ±</v>
      </c>
      <c r="P27" s="5" t="str">
        <f t="shared" si="1"/>
        <v>ANO</v>
      </c>
    </row>
    <row r="28" spans="1:16" x14ac:dyDescent="0.25">
      <c r="A28" s="53">
        <v>27</v>
      </c>
      <c r="B28" s="4" t="s">
        <v>650</v>
      </c>
      <c r="C28" s="4"/>
      <c r="D28" s="5" t="s">
        <v>35</v>
      </c>
      <c r="E28" s="5">
        <v>0</v>
      </c>
      <c r="F28" s="5">
        <v>0</v>
      </c>
      <c r="G28" s="5">
        <v>0</v>
      </c>
      <c r="H28" s="5">
        <v>0</v>
      </c>
      <c r="I28" s="5">
        <v>0</v>
      </c>
      <c r="J28" s="5">
        <v>0</v>
      </c>
      <c r="K28" s="5">
        <v>0</v>
      </c>
      <c r="L28" s="5">
        <v>0</v>
      </c>
      <c r="M28" s="5">
        <v>0</v>
      </c>
      <c r="N28" s="5">
        <v>0</v>
      </c>
      <c r="O28" s="167"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167" t="str">
        <f t="shared" si="0"/>
        <v/>
      </c>
      <c r="P29" s="5" t="str">
        <f t="shared" si="1"/>
        <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59</v>
      </c>
      <c r="B38" s="168" t="s">
        <v>60</v>
      </c>
      <c r="D38" s="168" t="s">
        <v>84</v>
      </c>
      <c r="E38" s="168" t="s">
        <v>85</v>
      </c>
      <c r="F38" s="168" t="s">
        <v>86</v>
      </c>
      <c r="G38" s="168" t="s">
        <v>40</v>
      </c>
      <c r="H38" s="168" t="s">
        <v>87</v>
      </c>
      <c r="I38" s="168" t="s">
        <v>88</v>
      </c>
      <c r="J38" s="168" t="s">
        <v>89</v>
      </c>
      <c r="K38" s="168" t="s">
        <v>80</v>
      </c>
      <c r="L38" s="168" t="s">
        <v>41</v>
      </c>
      <c r="M38" s="168" t="s">
        <v>90</v>
      </c>
      <c r="N38" s="3" t="s">
        <v>37</v>
      </c>
      <c r="O38" s="168" t="s">
        <v>38</v>
      </c>
      <c r="P38" s="168" t="s">
        <v>91</v>
      </c>
      <c r="Q38" s="168" t="s">
        <v>92</v>
      </c>
      <c r="R38" s="168" t="s">
        <v>93</v>
      </c>
    </row>
    <row r="39" spans="1:27" x14ac:dyDescent="0.25">
      <c r="A39" s="54">
        <v>1</v>
      </c>
      <c r="B39" t="s">
        <v>646</v>
      </c>
      <c r="C39"/>
      <c r="D39" s="122">
        <v>14</v>
      </c>
      <c r="E39" s="122">
        <v>14</v>
      </c>
      <c r="F39" s="122">
        <v>827.53</v>
      </c>
      <c r="G39" s="122">
        <v>9</v>
      </c>
      <c r="H39" s="122">
        <v>74</v>
      </c>
      <c r="I39" s="122">
        <v>0</v>
      </c>
      <c r="J39" s="122">
        <v>321</v>
      </c>
      <c r="K39" s="122">
        <v>0</v>
      </c>
      <c r="L39" s="122">
        <v>5</v>
      </c>
      <c r="M39" s="122">
        <v>247</v>
      </c>
      <c r="N39" s="122">
        <v>1</v>
      </c>
      <c r="O39" s="122">
        <v>4</v>
      </c>
      <c r="P39" s="11">
        <f>IF(B39&lt;&gt;0,IFERROR(H39/(F39/60),0),"")</f>
        <v>5.3653643976653411</v>
      </c>
      <c r="Q39" s="11">
        <f>IF(B39&lt;&gt;0,IFERROR((M39/J39)*100,0),"")</f>
        <v>76.947040498442362</v>
      </c>
      <c r="R39" s="167" t="str">
        <f>IF(B39&lt;&gt;0,CONCATENATE(G39, " V, ",L39," P"),"")</f>
        <v>9 V, 5 P</v>
      </c>
    </row>
    <row r="40" spans="1:27" x14ac:dyDescent="0.25">
      <c r="A40" s="54">
        <v>2</v>
      </c>
      <c r="B40" t="s">
        <v>650</v>
      </c>
      <c r="C40"/>
      <c r="D40" s="122">
        <v>12</v>
      </c>
      <c r="E40" s="122">
        <v>1</v>
      </c>
      <c r="F40" s="122">
        <v>9.8699999999999992</v>
      </c>
      <c r="G40" s="122">
        <v>1</v>
      </c>
      <c r="H40" s="122">
        <v>0</v>
      </c>
      <c r="I40" s="122">
        <v>0</v>
      </c>
      <c r="J40" s="122">
        <v>2</v>
      </c>
      <c r="K40" s="122">
        <v>0</v>
      </c>
      <c r="L40" s="122">
        <v>0</v>
      </c>
      <c r="M40" s="122">
        <v>2</v>
      </c>
      <c r="N40" s="122">
        <v>0</v>
      </c>
      <c r="O40" s="122">
        <v>0</v>
      </c>
      <c r="P40" s="11">
        <f t="shared" ref="P40:P45" si="2">IF(B40&lt;&gt;0,IFERROR(H40/(F40/60),0),"")</f>
        <v>0</v>
      </c>
      <c r="Q40" s="11">
        <f t="shared" ref="Q40:Q45" si="3">IF(B40&lt;&gt;0,IFERROR((M40/J40)*100,0),"")</f>
        <v>100</v>
      </c>
      <c r="R40" s="167" t="str">
        <f t="shared" ref="R40:R45" si="4">IF(B40&lt;&gt;0,CONCATENATE(G40, " V, ",L40," P"),"")</f>
        <v>1 V, 0 P</v>
      </c>
    </row>
    <row r="41" spans="1:27" x14ac:dyDescent="0.25">
      <c r="A41" s="54">
        <v>3</v>
      </c>
      <c r="B41" t="s">
        <v>647</v>
      </c>
      <c r="C41"/>
      <c r="D41" s="122">
        <v>2</v>
      </c>
      <c r="E41" s="122">
        <v>0</v>
      </c>
      <c r="F41" s="122">
        <v>0</v>
      </c>
      <c r="G41" s="122">
        <v>0</v>
      </c>
      <c r="H41" s="122">
        <v>0</v>
      </c>
      <c r="I41" s="122">
        <v>0</v>
      </c>
      <c r="J41" s="122">
        <v>0</v>
      </c>
      <c r="K41" s="122">
        <v>0</v>
      </c>
      <c r="L41" s="122">
        <v>0</v>
      </c>
      <c r="M41" s="122">
        <v>0</v>
      </c>
      <c r="N41" s="122">
        <v>0</v>
      </c>
      <c r="O41" s="122">
        <v>0</v>
      </c>
      <c r="P41" s="11">
        <f t="shared" si="2"/>
        <v>0</v>
      </c>
      <c r="Q41" s="11">
        <f t="shared" si="3"/>
        <v>0</v>
      </c>
      <c r="R41" s="167"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45" t="s">
        <v>295</v>
      </c>
      <c r="Y46" s="345"/>
      <c r="Z46" s="345"/>
      <c r="AA46" s="345"/>
    </row>
    <row r="47" spans="1:27" s="168" customFormat="1" ht="15" customHeight="1" x14ac:dyDescent="0.25">
      <c r="A47" s="7">
        <f ca="1">TODAY()</f>
        <v>44214</v>
      </c>
      <c r="B47" s="168" t="s">
        <v>60</v>
      </c>
      <c r="C47" s="168" t="s">
        <v>67</v>
      </c>
      <c r="D47" s="168" t="s">
        <v>68</v>
      </c>
      <c r="E47" s="168" t="s">
        <v>71</v>
      </c>
      <c r="F47" s="168" t="s">
        <v>72</v>
      </c>
      <c r="G47" s="168" t="s">
        <v>73</v>
      </c>
      <c r="H47" s="168" t="s">
        <v>74</v>
      </c>
      <c r="I47" s="168" t="s">
        <v>46</v>
      </c>
      <c r="J47" s="168" t="s">
        <v>59</v>
      </c>
      <c r="K47" s="168" t="s">
        <v>160</v>
      </c>
      <c r="L47" s="168" t="s">
        <v>78</v>
      </c>
      <c r="M47" s="168" t="s">
        <v>69</v>
      </c>
      <c r="N47" s="168" t="s">
        <v>70</v>
      </c>
      <c r="O47" s="168" t="s">
        <v>82</v>
      </c>
      <c r="P47" s="168" t="s">
        <v>83</v>
      </c>
      <c r="Q47" s="168" t="s">
        <v>75</v>
      </c>
      <c r="R47" s="168" t="s">
        <v>76</v>
      </c>
      <c r="S47" s="168" t="s">
        <v>94</v>
      </c>
      <c r="T47" s="168" t="s">
        <v>159</v>
      </c>
      <c r="U47" s="168" t="s">
        <v>287</v>
      </c>
      <c r="V47" s="168" t="s">
        <v>288</v>
      </c>
      <c r="W47" s="168" t="s">
        <v>289</v>
      </c>
      <c r="X47" s="168" t="s">
        <v>294</v>
      </c>
      <c r="Y47" s="168" t="s">
        <v>292</v>
      </c>
      <c r="Z47" s="168" t="s">
        <v>293</v>
      </c>
      <c r="AA47" s="168" t="s">
        <v>554</v>
      </c>
    </row>
    <row r="48" spans="1:27" ht="15" customHeight="1" x14ac:dyDescent="0.25">
      <c r="B48" s="4" t="s">
        <v>624</v>
      </c>
      <c r="C48" s="138"/>
      <c r="D48" s="167" t="str">
        <f t="shared" ref="D48:D75" si="5">IF(C48 &lt;&gt; 0,ROUNDDOWN(($A$47-C48)/365.25,0),"")</f>
        <v/>
      </c>
      <c r="E48" s="140"/>
      <c r="F48" s="140"/>
      <c r="G48" s="140"/>
      <c r="H48" s="167">
        <f t="shared" ref="H48:H75" si="6">IF(B48&lt;&gt;0,F48+G48,"")</f>
        <v>0</v>
      </c>
      <c r="I48" s="140"/>
      <c r="J48" s="140"/>
      <c r="K48" s="140"/>
      <c r="L48" s="140"/>
      <c r="M48" s="140"/>
      <c r="N48" s="140"/>
      <c r="O48" s="167" t="str">
        <f t="shared" ref="O48:O75" si="7">IF(B48&lt;&gt;0,CONCATENATE(E48+IFERROR(VLOOKUP(B48,$B$2:$N$36,4,FALSE),0) + X48, " OZ, ", H48+IFERROR(VLOOKUP(B48,$B$2:$N$36,9,FALSE),0) + Y48+Z48, " (", F48+IFERROR(VLOOKUP(B48,$B$2:$N$36,5,FALSE),0) + Y48, "+",G48+IFERROR(VLOOKUP(B48,$B$2:$N$36,8,FALSE),0) +  Z48, ")"), "")</f>
        <v>14 OZ, 27 (12+15)</v>
      </c>
      <c r="P48" s="167" t="str">
        <f t="shared" ref="P48:P75" si="8">IF(M48&lt;&gt;0,CONCATENATE(M48,"/",N48),"")</f>
        <v/>
      </c>
      <c r="Q48" s="141"/>
      <c r="R48" s="140"/>
      <c r="S48" s="167" t="str">
        <f t="shared" ref="S48:S75" si="9">IFERROR(CONCATENATE(E48+VLOOKUP(B48,$B$39:$R$42,4,FALSE), " OZ, ",G48+VLOOKUP(B48,$B$39:$R$42,13,FALSE), " A"),"")</f>
        <v/>
      </c>
      <c r="T48" s="1" t="str">
        <f t="shared" ref="T48:T75" si="10">IF(B48&lt;&gt;0,IF(V48=1,U48,CONCATENATE(U48," ",W48,".")),"")</f>
        <v>Krbec</v>
      </c>
      <c r="U48" s="1" t="str">
        <f t="shared" ref="U48:U75" si="11">IFERROR(RIGHT(B48,LEN(B48)-SEARCH(" ", B48,1)),"")</f>
        <v>Krbec</v>
      </c>
      <c r="V48" s="167">
        <f t="shared" ref="V48:V75" si="12">IF(B48&lt;&gt;0,COUNTIF($U$48:$U$82,U48),"")</f>
        <v>1</v>
      </c>
      <c r="W48" s="167" t="str">
        <f t="shared" ref="W48:W75" si="13">IFERROR(LEFT(LEFT(B48,SEARCH(" ",B48,1)),1),"")</f>
        <v>M</v>
      </c>
      <c r="X48" s="140"/>
      <c r="Y48" s="140"/>
      <c r="Z48" s="140"/>
      <c r="AA48" s="139"/>
    </row>
    <row r="49" spans="2:27" ht="15" customHeight="1" x14ac:dyDescent="0.25">
      <c r="B49" s="4" t="s">
        <v>625</v>
      </c>
      <c r="C49" s="138"/>
      <c r="D49" s="167" t="str">
        <f t="shared" si="5"/>
        <v/>
      </c>
      <c r="E49" s="140"/>
      <c r="F49" s="140"/>
      <c r="G49" s="140"/>
      <c r="H49" s="167">
        <f t="shared" si="6"/>
        <v>0</v>
      </c>
      <c r="I49" s="140"/>
      <c r="J49" s="140"/>
      <c r="K49" s="140"/>
      <c r="L49" s="140"/>
      <c r="M49" s="140"/>
      <c r="N49" s="140"/>
      <c r="O49" s="167" t="str">
        <f t="shared" si="7"/>
        <v>13 OZ, 24 (17+7)</v>
      </c>
      <c r="P49" s="167" t="str">
        <f t="shared" si="8"/>
        <v/>
      </c>
      <c r="Q49" s="141"/>
      <c r="R49" s="140"/>
      <c r="S49" s="167" t="str">
        <f t="shared" si="9"/>
        <v/>
      </c>
      <c r="T49" s="1" t="str">
        <f t="shared" si="10"/>
        <v>Ujhelyi</v>
      </c>
      <c r="U49" s="1" t="str">
        <f t="shared" si="11"/>
        <v>Ujhelyi</v>
      </c>
      <c r="V49" s="167">
        <f t="shared" si="12"/>
        <v>1</v>
      </c>
      <c r="W49" s="167" t="str">
        <f t="shared" si="13"/>
        <v>L</v>
      </c>
      <c r="X49" s="140"/>
      <c r="Y49" s="140"/>
      <c r="Z49" s="140"/>
      <c r="AA49" s="139"/>
    </row>
    <row r="50" spans="2:27" ht="15" customHeight="1" x14ac:dyDescent="0.25">
      <c r="B50" s="4" t="s">
        <v>626</v>
      </c>
      <c r="C50" s="138"/>
      <c r="D50" s="167" t="str">
        <f t="shared" si="5"/>
        <v/>
      </c>
      <c r="E50" s="140"/>
      <c r="F50" s="140"/>
      <c r="G50" s="140"/>
      <c r="H50" s="167">
        <f t="shared" si="6"/>
        <v>0</v>
      </c>
      <c r="I50" s="140"/>
      <c r="J50" s="140"/>
      <c r="K50" s="140"/>
      <c r="L50" s="140"/>
      <c r="M50" s="140"/>
      <c r="N50" s="140"/>
      <c r="O50" s="167" t="str">
        <f t="shared" si="7"/>
        <v>14 OZ, 18 (8+10)</v>
      </c>
      <c r="P50" s="167" t="str">
        <f t="shared" si="8"/>
        <v/>
      </c>
      <c r="Q50" s="141"/>
      <c r="R50" s="140"/>
      <c r="S50" s="167" t="str">
        <f t="shared" si="9"/>
        <v/>
      </c>
      <c r="T50" s="1" t="str">
        <f t="shared" si="10"/>
        <v>Čermák</v>
      </c>
      <c r="U50" s="1" t="str">
        <f t="shared" si="11"/>
        <v>Čermák</v>
      </c>
      <c r="V50" s="167">
        <f t="shared" si="12"/>
        <v>1</v>
      </c>
      <c r="W50" s="167" t="str">
        <f t="shared" si="13"/>
        <v>M</v>
      </c>
      <c r="X50" s="140"/>
      <c r="Y50" s="140"/>
      <c r="Z50" s="140"/>
      <c r="AA50" s="139"/>
    </row>
    <row r="51" spans="2:27" ht="15" customHeight="1" x14ac:dyDescent="0.25">
      <c r="B51" s="4" t="s">
        <v>627</v>
      </c>
      <c r="C51" s="138"/>
      <c r="D51" s="167" t="str">
        <f t="shared" si="5"/>
        <v/>
      </c>
      <c r="E51" s="140"/>
      <c r="F51" s="140"/>
      <c r="G51" s="140"/>
      <c r="H51" s="167">
        <f t="shared" si="6"/>
        <v>0</v>
      </c>
      <c r="I51" s="140"/>
      <c r="J51" s="140"/>
      <c r="K51" s="140"/>
      <c r="L51" s="140"/>
      <c r="M51" s="140"/>
      <c r="N51" s="140"/>
      <c r="O51" s="167" t="str">
        <f t="shared" si="7"/>
        <v>14 OZ, 16 (11+5)</v>
      </c>
      <c r="P51" s="167" t="str">
        <f t="shared" si="8"/>
        <v/>
      </c>
      <c r="Q51" s="141"/>
      <c r="R51" s="140"/>
      <c r="S51" s="167" t="str">
        <f t="shared" si="9"/>
        <v/>
      </c>
      <c r="T51" s="1" t="str">
        <f t="shared" si="10"/>
        <v>Kolstrunk</v>
      </c>
      <c r="U51" s="1" t="str">
        <f t="shared" si="11"/>
        <v>Kolstrunk</v>
      </c>
      <c r="V51" s="167">
        <f t="shared" si="12"/>
        <v>1</v>
      </c>
      <c r="W51" s="167" t="str">
        <f t="shared" si="13"/>
        <v>J</v>
      </c>
      <c r="X51" s="140"/>
      <c r="Y51" s="140"/>
      <c r="Z51" s="140"/>
      <c r="AA51" s="139"/>
    </row>
    <row r="52" spans="2:27" ht="15" customHeight="1" x14ac:dyDescent="0.25">
      <c r="B52" s="1" t="s">
        <v>628</v>
      </c>
      <c r="C52" s="138"/>
      <c r="D52" s="167" t="str">
        <f t="shared" si="5"/>
        <v/>
      </c>
      <c r="E52" s="140"/>
      <c r="F52" s="140"/>
      <c r="G52" s="140"/>
      <c r="H52" s="167">
        <f t="shared" si="6"/>
        <v>0</v>
      </c>
      <c r="I52" s="140"/>
      <c r="J52" s="140"/>
      <c r="K52" s="140"/>
      <c r="L52" s="140"/>
      <c r="M52" s="140"/>
      <c r="N52" s="140"/>
      <c r="O52" s="167" t="str">
        <f t="shared" si="7"/>
        <v>12 OZ, 14 (7+7)</v>
      </c>
      <c r="P52" s="167" t="str">
        <f t="shared" si="8"/>
        <v/>
      </c>
      <c r="Q52" s="141"/>
      <c r="R52" s="140"/>
      <c r="S52" s="167" t="str">
        <f t="shared" si="9"/>
        <v/>
      </c>
      <c r="T52" s="1" t="str">
        <f t="shared" si="10"/>
        <v>Juha</v>
      </c>
      <c r="U52" s="1" t="str">
        <f t="shared" si="11"/>
        <v>Juha</v>
      </c>
      <c r="V52" s="167">
        <f t="shared" si="12"/>
        <v>1</v>
      </c>
      <c r="W52" s="167" t="str">
        <f t="shared" si="13"/>
        <v>J</v>
      </c>
      <c r="X52" s="140"/>
      <c r="Y52" s="140"/>
      <c r="Z52" s="140"/>
      <c r="AA52" s="139"/>
    </row>
    <row r="53" spans="2:27" ht="15" customHeight="1" x14ac:dyDescent="0.25">
      <c r="B53" s="1" t="s">
        <v>629</v>
      </c>
      <c r="C53" s="138"/>
      <c r="D53" s="167" t="str">
        <f t="shared" si="5"/>
        <v/>
      </c>
      <c r="E53" s="140"/>
      <c r="F53" s="140"/>
      <c r="G53" s="140"/>
      <c r="H53" s="167">
        <f t="shared" si="6"/>
        <v>0</v>
      </c>
      <c r="I53" s="140"/>
      <c r="J53" s="140"/>
      <c r="K53" s="140"/>
      <c r="L53" s="140"/>
      <c r="M53" s="140"/>
      <c r="N53" s="140"/>
      <c r="O53" s="167" t="str">
        <f t="shared" si="7"/>
        <v>14 OZ, 14 (3+11)</v>
      </c>
      <c r="P53" s="167" t="str">
        <f t="shared" si="8"/>
        <v/>
      </c>
      <c r="Q53" s="141"/>
      <c r="R53" s="140"/>
      <c r="S53" s="167" t="str">
        <f t="shared" si="9"/>
        <v/>
      </c>
      <c r="T53" s="1" t="str">
        <f t="shared" si="10"/>
        <v>Zouzal</v>
      </c>
      <c r="U53" s="1" t="str">
        <f t="shared" si="11"/>
        <v>Zouzal</v>
      </c>
      <c r="V53" s="167">
        <f t="shared" si="12"/>
        <v>1</v>
      </c>
      <c r="W53" s="167" t="str">
        <f t="shared" si="13"/>
        <v>M</v>
      </c>
      <c r="X53" s="140"/>
      <c r="Y53" s="140"/>
      <c r="Z53" s="140"/>
      <c r="AA53" s="139"/>
    </row>
    <row r="54" spans="2:27" ht="15" customHeight="1" x14ac:dyDescent="0.25">
      <c r="B54" s="1" t="s">
        <v>630</v>
      </c>
      <c r="C54" s="138"/>
      <c r="D54" s="167" t="str">
        <f t="shared" si="5"/>
        <v/>
      </c>
      <c r="E54" s="140"/>
      <c r="F54" s="140"/>
      <c r="G54" s="140"/>
      <c r="H54" s="167">
        <f t="shared" si="6"/>
        <v>0</v>
      </c>
      <c r="I54" s="140"/>
      <c r="J54" s="140"/>
      <c r="K54" s="140"/>
      <c r="L54" s="140"/>
      <c r="M54" s="140"/>
      <c r="N54" s="140"/>
      <c r="O54" s="167" t="str">
        <f t="shared" si="7"/>
        <v>14 OZ, 12 (5+7)</v>
      </c>
      <c r="P54" s="167" t="str">
        <f t="shared" si="8"/>
        <v/>
      </c>
      <c r="Q54" s="141"/>
      <c r="R54" s="140"/>
      <c r="S54" s="167" t="str">
        <f t="shared" si="9"/>
        <v/>
      </c>
      <c r="T54" s="1" t="str">
        <f t="shared" si="10"/>
        <v>Křenek</v>
      </c>
      <c r="U54" s="1" t="str">
        <f t="shared" si="11"/>
        <v>Křenek</v>
      </c>
      <c r="V54" s="167">
        <f t="shared" si="12"/>
        <v>1</v>
      </c>
      <c r="W54" s="167" t="str">
        <f t="shared" si="13"/>
        <v>R</v>
      </c>
      <c r="X54" s="140"/>
      <c r="Y54" s="140"/>
      <c r="Z54" s="140"/>
      <c r="AA54" s="139"/>
    </row>
    <row r="55" spans="2:27" ht="15" customHeight="1" x14ac:dyDescent="0.25">
      <c r="B55" s="1" t="s">
        <v>631</v>
      </c>
      <c r="C55" s="138"/>
      <c r="D55" s="167" t="str">
        <f t="shared" si="5"/>
        <v/>
      </c>
      <c r="E55" s="140"/>
      <c r="F55" s="140"/>
      <c r="G55" s="140"/>
      <c r="H55" s="167">
        <f t="shared" si="6"/>
        <v>0</v>
      </c>
      <c r="I55" s="140"/>
      <c r="J55" s="140"/>
      <c r="K55" s="140"/>
      <c r="L55" s="140"/>
      <c r="M55" s="140"/>
      <c r="N55" s="140"/>
      <c r="O55" s="167" t="str">
        <f t="shared" si="7"/>
        <v>9 OZ, 8 (7+1)</v>
      </c>
      <c r="P55" s="167" t="str">
        <f t="shared" si="8"/>
        <v/>
      </c>
      <c r="Q55" s="141"/>
      <c r="R55" s="140"/>
      <c r="S55" s="167" t="str">
        <f t="shared" si="9"/>
        <v/>
      </c>
      <c r="T55" s="1" t="str">
        <f t="shared" si="10"/>
        <v>Beneš D.</v>
      </c>
      <c r="U55" s="1" t="str">
        <f t="shared" si="11"/>
        <v>Beneš</v>
      </c>
      <c r="V55" s="167">
        <f t="shared" si="12"/>
        <v>2</v>
      </c>
      <c r="W55" s="167" t="str">
        <f t="shared" si="13"/>
        <v>D</v>
      </c>
      <c r="X55" s="140"/>
      <c r="Y55" s="140"/>
      <c r="Z55" s="140"/>
      <c r="AA55" s="139"/>
    </row>
    <row r="56" spans="2:27" ht="15" customHeight="1" x14ac:dyDescent="0.25">
      <c r="B56" s="1" t="s">
        <v>632</v>
      </c>
      <c r="C56" s="138"/>
      <c r="D56" s="167" t="str">
        <f t="shared" si="5"/>
        <v/>
      </c>
      <c r="E56" s="140"/>
      <c r="F56" s="140"/>
      <c r="G56" s="140"/>
      <c r="H56" s="167">
        <f t="shared" si="6"/>
        <v>0</v>
      </c>
      <c r="I56" s="140"/>
      <c r="J56" s="140"/>
      <c r="K56" s="140"/>
      <c r="L56" s="140"/>
      <c r="M56" s="140"/>
      <c r="N56" s="140"/>
      <c r="O56" s="167" t="str">
        <f t="shared" si="7"/>
        <v>9 OZ, 7 (5+2)</v>
      </c>
      <c r="P56" s="167" t="str">
        <f t="shared" si="8"/>
        <v/>
      </c>
      <c r="Q56" s="141"/>
      <c r="R56" s="140"/>
      <c r="S56" s="167" t="str">
        <f t="shared" si="9"/>
        <v/>
      </c>
      <c r="T56" s="1" t="str">
        <f t="shared" si="10"/>
        <v>Bachmaier</v>
      </c>
      <c r="U56" s="1" t="str">
        <f t="shared" si="11"/>
        <v>Bachmaier</v>
      </c>
      <c r="V56" s="167">
        <f t="shared" si="12"/>
        <v>1</v>
      </c>
      <c r="W56" s="167" t="str">
        <f t="shared" si="13"/>
        <v>M</v>
      </c>
      <c r="X56" s="140"/>
      <c r="Y56" s="140"/>
      <c r="Z56" s="140"/>
      <c r="AA56" s="139"/>
    </row>
    <row r="57" spans="2:27" ht="15" customHeight="1" x14ac:dyDescent="0.25">
      <c r="B57" s="1" t="s">
        <v>633</v>
      </c>
      <c r="C57" s="138"/>
      <c r="D57" s="167" t="str">
        <f t="shared" si="5"/>
        <v/>
      </c>
      <c r="E57" s="140"/>
      <c r="F57" s="140"/>
      <c r="G57" s="140"/>
      <c r="H57" s="167">
        <f t="shared" si="6"/>
        <v>0</v>
      </c>
      <c r="I57" s="140"/>
      <c r="J57" s="140"/>
      <c r="K57" s="140"/>
      <c r="L57" s="140"/>
      <c r="M57" s="140"/>
      <c r="N57" s="140"/>
      <c r="O57" s="167" t="str">
        <f t="shared" si="7"/>
        <v>14 OZ, 6 (3+3)</v>
      </c>
      <c r="P57" s="167" t="str">
        <f t="shared" si="8"/>
        <v/>
      </c>
      <c r="Q57" s="141"/>
      <c r="R57" s="140"/>
      <c r="S57" s="167" t="str">
        <f t="shared" si="9"/>
        <v/>
      </c>
      <c r="T57" s="1" t="str">
        <f t="shared" si="10"/>
        <v>Zeman</v>
      </c>
      <c r="U57" s="1" t="str">
        <f t="shared" si="11"/>
        <v>Zeman</v>
      </c>
      <c r="V57" s="167">
        <f t="shared" si="12"/>
        <v>1</v>
      </c>
      <c r="W57" s="167" t="str">
        <f t="shared" si="13"/>
        <v>M</v>
      </c>
      <c r="X57" s="140"/>
      <c r="Y57" s="140"/>
      <c r="Z57" s="140"/>
      <c r="AA57" s="139"/>
    </row>
    <row r="58" spans="2:27" ht="15" customHeight="1" x14ac:dyDescent="0.25">
      <c r="B58" s="1" t="s">
        <v>634</v>
      </c>
      <c r="C58" s="138"/>
      <c r="D58" s="167" t="str">
        <f t="shared" si="5"/>
        <v/>
      </c>
      <c r="E58" s="140"/>
      <c r="F58" s="140"/>
      <c r="G58" s="140"/>
      <c r="H58" s="167">
        <f t="shared" si="6"/>
        <v>0</v>
      </c>
      <c r="I58" s="140"/>
      <c r="J58" s="140"/>
      <c r="K58" s="140"/>
      <c r="L58" s="140"/>
      <c r="M58" s="140"/>
      <c r="N58" s="140"/>
      <c r="O58" s="167" t="str">
        <f t="shared" si="7"/>
        <v>8 OZ, 5 (2+3)</v>
      </c>
      <c r="P58" s="167" t="str">
        <f t="shared" si="8"/>
        <v/>
      </c>
      <c r="Q58" s="141"/>
      <c r="R58" s="140"/>
      <c r="S58" s="167" t="str">
        <f t="shared" si="9"/>
        <v/>
      </c>
      <c r="T58" s="1" t="str">
        <f t="shared" si="10"/>
        <v>Garčar</v>
      </c>
      <c r="U58" s="1" t="str">
        <f t="shared" si="11"/>
        <v>Garčar</v>
      </c>
      <c r="V58" s="167">
        <f t="shared" si="12"/>
        <v>1</v>
      </c>
      <c r="W58" s="167" t="str">
        <f t="shared" si="13"/>
        <v>M</v>
      </c>
      <c r="X58" s="140"/>
      <c r="Y58" s="140"/>
      <c r="Z58" s="140"/>
      <c r="AA58" s="139"/>
    </row>
    <row r="59" spans="2:27" ht="15" customHeight="1" x14ac:dyDescent="0.25">
      <c r="B59" s="1" t="s">
        <v>635</v>
      </c>
      <c r="C59" s="138"/>
      <c r="D59" s="167" t="str">
        <f t="shared" si="5"/>
        <v/>
      </c>
      <c r="E59" s="140"/>
      <c r="F59" s="140"/>
      <c r="G59" s="140"/>
      <c r="H59" s="167">
        <f t="shared" si="6"/>
        <v>0</v>
      </c>
      <c r="I59" s="140"/>
      <c r="J59" s="140"/>
      <c r="K59" s="140"/>
      <c r="L59" s="140"/>
      <c r="M59" s="140"/>
      <c r="N59" s="140"/>
      <c r="O59" s="167" t="str">
        <f t="shared" si="7"/>
        <v>13 OZ, 4 (3+1)</v>
      </c>
      <c r="P59" s="167" t="str">
        <f t="shared" si="8"/>
        <v/>
      </c>
      <c r="Q59" s="141"/>
      <c r="R59" s="140"/>
      <c r="S59" s="167" t="str">
        <f t="shared" si="9"/>
        <v/>
      </c>
      <c r="T59" s="1" t="str">
        <f t="shared" si="10"/>
        <v>Kozák</v>
      </c>
      <c r="U59" s="1" t="str">
        <f t="shared" si="11"/>
        <v>Kozák</v>
      </c>
      <c r="V59" s="167">
        <f t="shared" si="12"/>
        <v>1</v>
      </c>
      <c r="W59" s="167" t="str">
        <f t="shared" si="13"/>
        <v>K</v>
      </c>
      <c r="X59" s="140"/>
      <c r="Y59" s="140"/>
      <c r="Z59" s="140"/>
      <c r="AA59" s="139"/>
    </row>
    <row r="60" spans="2:27" ht="15" customHeight="1" x14ac:dyDescent="0.25">
      <c r="B60" s="1" t="s">
        <v>636</v>
      </c>
      <c r="C60" s="138"/>
      <c r="D60" s="167" t="str">
        <f t="shared" si="5"/>
        <v/>
      </c>
      <c r="E60" s="140"/>
      <c r="F60" s="140"/>
      <c r="G60" s="140"/>
      <c r="H60" s="167">
        <f t="shared" si="6"/>
        <v>0</v>
      </c>
      <c r="I60" s="140"/>
      <c r="J60" s="140"/>
      <c r="K60" s="140"/>
      <c r="L60" s="140"/>
      <c r="M60" s="140"/>
      <c r="N60" s="140"/>
      <c r="O60" s="167" t="str">
        <f t="shared" si="7"/>
        <v>10 OZ, 4 (2+2)</v>
      </c>
      <c r="P60" s="167" t="str">
        <f t="shared" si="8"/>
        <v/>
      </c>
      <c r="Q60" s="141"/>
      <c r="R60" s="140"/>
      <c r="S60" s="167" t="str">
        <f t="shared" si="9"/>
        <v/>
      </c>
      <c r="T60" s="1" t="str">
        <f t="shared" si="10"/>
        <v>Hurt</v>
      </c>
      <c r="U60" s="1" t="str">
        <f t="shared" si="11"/>
        <v>Hurt</v>
      </c>
      <c r="V60" s="167">
        <f t="shared" si="12"/>
        <v>1</v>
      </c>
      <c r="W60" s="167" t="str">
        <f t="shared" si="13"/>
        <v>O</v>
      </c>
      <c r="X60" s="140"/>
      <c r="Y60" s="140"/>
      <c r="Z60" s="140"/>
      <c r="AA60" s="139"/>
    </row>
    <row r="61" spans="2:27" ht="15" customHeight="1" x14ac:dyDescent="0.25">
      <c r="B61" s="1" t="s">
        <v>637</v>
      </c>
      <c r="C61" s="138"/>
      <c r="D61" s="167" t="str">
        <f t="shared" si="5"/>
        <v/>
      </c>
      <c r="E61" s="140"/>
      <c r="F61" s="140"/>
      <c r="G61" s="140"/>
      <c r="H61" s="167">
        <f t="shared" si="6"/>
        <v>0</v>
      </c>
      <c r="I61" s="140"/>
      <c r="J61" s="140"/>
      <c r="K61" s="140"/>
      <c r="L61" s="140"/>
      <c r="M61" s="140"/>
      <c r="N61" s="140"/>
      <c r="O61" s="167" t="str">
        <f t="shared" si="7"/>
        <v>13 OZ, 4 (2+2)</v>
      </c>
      <c r="P61" s="167" t="str">
        <f t="shared" si="8"/>
        <v/>
      </c>
      <c r="Q61" s="141"/>
      <c r="R61" s="140"/>
      <c r="S61" s="167" t="str">
        <f t="shared" si="9"/>
        <v/>
      </c>
      <c r="T61" s="1" t="str">
        <f t="shared" si="10"/>
        <v>Pruner</v>
      </c>
      <c r="U61" s="1" t="str">
        <f t="shared" si="11"/>
        <v>Pruner</v>
      </c>
      <c r="V61" s="167">
        <f t="shared" si="12"/>
        <v>1</v>
      </c>
      <c r="W61" s="167" t="str">
        <f t="shared" si="13"/>
        <v>M</v>
      </c>
      <c r="X61" s="140"/>
      <c r="Y61" s="140"/>
      <c r="Z61" s="140"/>
      <c r="AA61" s="139"/>
    </row>
    <row r="62" spans="2:27" ht="15" customHeight="1" x14ac:dyDescent="0.25">
      <c r="B62" s="1" t="s">
        <v>638</v>
      </c>
      <c r="C62" s="138"/>
      <c r="D62" s="167" t="str">
        <f t="shared" si="5"/>
        <v/>
      </c>
      <c r="E62" s="140"/>
      <c r="F62" s="140"/>
      <c r="G62" s="140"/>
      <c r="H62" s="167">
        <f t="shared" si="6"/>
        <v>0</v>
      </c>
      <c r="I62" s="140"/>
      <c r="J62" s="140"/>
      <c r="K62" s="140"/>
      <c r="L62" s="140"/>
      <c r="M62" s="140"/>
      <c r="N62" s="140"/>
      <c r="O62" s="167" t="str">
        <f t="shared" si="7"/>
        <v>14 OZ, 4 (2+2)</v>
      </c>
      <c r="P62" s="167" t="str">
        <f t="shared" si="8"/>
        <v/>
      </c>
      <c r="Q62" s="141"/>
      <c r="R62" s="140"/>
      <c r="S62" s="167" t="str">
        <f t="shared" si="9"/>
        <v/>
      </c>
      <c r="T62" s="1" t="str">
        <f t="shared" si="10"/>
        <v>Bartoš</v>
      </c>
      <c r="U62" s="1" t="str">
        <f t="shared" si="11"/>
        <v>Bartoš</v>
      </c>
      <c r="V62" s="167">
        <f t="shared" si="12"/>
        <v>1</v>
      </c>
      <c r="W62" s="167" t="str">
        <f t="shared" si="13"/>
        <v>D</v>
      </c>
      <c r="X62" s="140"/>
      <c r="Y62" s="140"/>
      <c r="Z62" s="140"/>
      <c r="AA62" s="139"/>
    </row>
    <row r="63" spans="2:27" ht="15" customHeight="1" x14ac:dyDescent="0.25">
      <c r="B63" s="1" t="s">
        <v>639</v>
      </c>
      <c r="C63" s="138"/>
      <c r="D63" s="167" t="str">
        <f t="shared" si="5"/>
        <v/>
      </c>
      <c r="E63" s="140"/>
      <c r="F63" s="140"/>
      <c r="G63" s="140"/>
      <c r="H63" s="167">
        <f t="shared" si="6"/>
        <v>0</v>
      </c>
      <c r="I63" s="140"/>
      <c r="J63" s="140"/>
      <c r="K63" s="140"/>
      <c r="L63" s="140"/>
      <c r="M63" s="140"/>
      <c r="N63" s="140"/>
      <c r="O63" s="167" t="str">
        <f t="shared" si="7"/>
        <v>5 OZ, 3 (2+1)</v>
      </c>
      <c r="P63" s="167" t="str">
        <f t="shared" si="8"/>
        <v/>
      </c>
      <c r="Q63" s="141"/>
      <c r="R63" s="140"/>
      <c r="S63" s="167" t="str">
        <f t="shared" si="9"/>
        <v/>
      </c>
      <c r="T63" s="1" t="str">
        <f t="shared" si="10"/>
        <v>Dibelka</v>
      </c>
      <c r="U63" s="1" t="str">
        <f t="shared" si="11"/>
        <v>Dibelka</v>
      </c>
      <c r="V63" s="167">
        <f t="shared" si="12"/>
        <v>1</v>
      </c>
      <c r="W63" s="167" t="str">
        <f t="shared" si="13"/>
        <v>T</v>
      </c>
      <c r="X63" s="140"/>
      <c r="Y63" s="140"/>
      <c r="Z63" s="140"/>
      <c r="AA63" s="139"/>
    </row>
    <row r="64" spans="2:27" ht="15" customHeight="1" x14ac:dyDescent="0.25">
      <c r="B64" s="1" t="s">
        <v>640</v>
      </c>
      <c r="C64" s="138"/>
      <c r="D64" s="167" t="str">
        <f t="shared" si="5"/>
        <v/>
      </c>
      <c r="E64" s="140"/>
      <c r="F64" s="140"/>
      <c r="G64" s="140"/>
      <c r="H64" s="167">
        <f t="shared" si="6"/>
        <v>0</v>
      </c>
      <c r="I64" s="140"/>
      <c r="J64" s="140"/>
      <c r="K64" s="140"/>
      <c r="L64" s="140"/>
      <c r="M64" s="140"/>
      <c r="N64" s="140"/>
      <c r="O64" s="167" t="str">
        <f t="shared" si="7"/>
        <v>9 OZ, 3 (2+1)</v>
      </c>
      <c r="P64" s="167" t="str">
        <f t="shared" si="8"/>
        <v/>
      </c>
      <c r="Q64" s="141"/>
      <c r="R64" s="140"/>
      <c r="S64" s="167" t="str">
        <f t="shared" si="9"/>
        <v/>
      </c>
      <c r="T64" s="1" t="str">
        <f t="shared" si="10"/>
        <v>Dolejš</v>
      </c>
      <c r="U64" s="1" t="str">
        <f t="shared" si="11"/>
        <v>Dolejš</v>
      </c>
      <c r="V64" s="167">
        <f t="shared" si="12"/>
        <v>1</v>
      </c>
      <c r="W64" s="167" t="str">
        <f t="shared" si="13"/>
        <v>M</v>
      </c>
      <c r="X64" s="140"/>
      <c r="Y64" s="140"/>
      <c r="Z64" s="140"/>
      <c r="AA64" s="139"/>
    </row>
    <row r="65" spans="2:27" ht="15" customHeight="1" x14ac:dyDescent="0.25">
      <c r="B65" s="1" t="s">
        <v>641</v>
      </c>
      <c r="C65" s="138"/>
      <c r="D65" s="167" t="str">
        <f t="shared" si="5"/>
        <v/>
      </c>
      <c r="E65" s="140"/>
      <c r="F65" s="140"/>
      <c r="G65" s="140"/>
      <c r="H65" s="167">
        <f t="shared" si="6"/>
        <v>0</v>
      </c>
      <c r="I65" s="140"/>
      <c r="J65" s="140"/>
      <c r="K65" s="140"/>
      <c r="L65" s="140"/>
      <c r="M65" s="140"/>
      <c r="N65" s="140"/>
      <c r="O65" s="167" t="str">
        <f t="shared" si="7"/>
        <v>3 OZ, 3 (1+2)</v>
      </c>
      <c r="P65" s="167" t="str">
        <f t="shared" si="8"/>
        <v/>
      </c>
      <c r="Q65" s="141"/>
      <c r="R65" s="140"/>
      <c r="S65" s="167" t="str">
        <f t="shared" si="9"/>
        <v/>
      </c>
      <c r="T65" s="1" t="str">
        <f t="shared" si="10"/>
        <v>Riebauer</v>
      </c>
      <c r="U65" s="1" t="str">
        <f t="shared" si="11"/>
        <v>Riebauer</v>
      </c>
      <c r="V65" s="167">
        <f t="shared" si="12"/>
        <v>1</v>
      </c>
      <c r="W65" s="167" t="str">
        <f t="shared" si="13"/>
        <v>O</v>
      </c>
      <c r="X65" s="140"/>
      <c r="Y65" s="140"/>
      <c r="Z65" s="140"/>
      <c r="AA65" s="139"/>
    </row>
    <row r="66" spans="2:27" ht="15" customHeight="1" x14ac:dyDescent="0.25">
      <c r="B66" s="1" t="s">
        <v>642</v>
      </c>
      <c r="C66" s="138"/>
      <c r="D66" s="167" t="str">
        <f t="shared" si="5"/>
        <v/>
      </c>
      <c r="E66" s="140"/>
      <c r="F66" s="140"/>
      <c r="G66" s="140"/>
      <c r="H66" s="167">
        <f t="shared" si="6"/>
        <v>0</v>
      </c>
      <c r="I66" s="140"/>
      <c r="J66" s="140"/>
      <c r="K66" s="140"/>
      <c r="L66" s="140"/>
      <c r="M66" s="140"/>
      <c r="N66" s="140"/>
      <c r="O66" s="167" t="str">
        <f t="shared" si="7"/>
        <v>6 OZ, 2 (1+1)</v>
      </c>
      <c r="P66" s="167" t="str">
        <f t="shared" si="8"/>
        <v/>
      </c>
      <c r="Q66" s="141"/>
      <c r="R66" s="140"/>
      <c r="S66" s="167" t="str">
        <f t="shared" si="9"/>
        <v/>
      </c>
      <c r="T66" s="1" t="str">
        <f t="shared" si="10"/>
        <v>Velc</v>
      </c>
      <c r="U66" s="1" t="str">
        <f t="shared" si="11"/>
        <v>Velc</v>
      </c>
      <c r="V66" s="167">
        <f t="shared" si="12"/>
        <v>1</v>
      </c>
      <c r="W66" s="167" t="str">
        <f t="shared" si="13"/>
        <v>M</v>
      </c>
      <c r="X66" s="140"/>
      <c r="Y66" s="140"/>
      <c r="Z66" s="140"/>
      <c r="AA66" s="139"/>
    </row>
    <row r="67" spans="2:27" ht="15" customHeight="1" x14ac:dyDescent="0.25">
      <c r="B67" s="1" t="s">
        <v>643</v>
      </c>
      <c r="C67" s="138"/>
      <c r="D67" s="167" t="str">
        <f t="shared" si="5"/>
        <v/>
      </c>
      <c r="E67" s="140"/>
      <c r="F67" s="140"/>
      <c r="G67" s="140"/>
      <c r="H67" s="167">
        <f t="shared" si="6"/>
        <v>0</v>
      </c>
      <c r="I67" s="140"/>
      <c r="J67" s="140"/>
      <c r="K67" s="140"/>
      <c r="L67" s="140"/>
      <c r="M67" s="140"/>
      <c r="N67" s="140"/>
      <c r="O67" s="167" t="str">
        <f t="shared" si="7"/>
        <v>12 OZ, 2 (1+1)</v>
      </c>
      <c r="P67" s="167" t="str">
        <f t="shared" si="8"/>
        <v/>
      </c>
      <c r="Q67" s="141"/>
      <c r="R67" s="140"/>
      <c r="S67" s="167" t="str">
        <f t="shared" si="9"/>
        <v/>
      </c>
      <c r="T67" s="1" t="str">
        <f t="shared" si="10"/>
        <v>Koščo</v>
      </c>
      <c r="U67" s="1" t="str">
        <f t="shared" si="11"/>
        <v>Koščo</v>
      </c>
      <c r="V67" s="167">
        <f t="shared" si="12"/>
        <v>1</v>
      </c>
      <c r="W67" s="167" t="str">
        <f t="shared" si="13"/>
        <v>M</v>
      </c>
      <c r="X67" s="140"/>
      <c r="Y67" s="140"/>
      <c r="Z67" s="140"/>
      <c r="AA67" s="139"/>
    </row>
    <row r="68" spans="2:27" ht="15" customHeight="1" x14ac:dyDescent="0.25">
      <c r="B68" s="1" t="s">
        <v>644</v>
      </c>
      <c r="C68" s="138"/>
      <c r="D68" s="167" t="str">
        <f t="shared" si="5"/>
        <v/>
      </c>
      <c r="E68" s="140"/>
      <c r="F68" s="140"/>
      <c r="G68" s="140"/>
      <c r="H68" s="167">
        <f t="shared" si="6"/>
        <v>0</v>
      </c>
      <c r="I68" s="140"/>
      <c r="J68" s="140"/>
      <c r="K68" s="140"/>
      <c r="L68" s="140"/>
      <c r="M68" s="140"/>
      <c r="N68" s="140"/>
      <c r="O68" s="167" t="str">
        <f t="shared" si="7"/>
        <v>7 OZ, 2 (0+2)</v>
      </c>
      <c r="P68" s="167" t="str">
        <f t="shared" si="8"/>
        <v/>
      </c>
      <c r="Q68" s="141"/>
      <c r="R68" s="140"/>
      <c r="S68" s="167" t="str">
        <f t="shared" si="9"/>
        <v/>
      </c>
      <c r="T68" s="1" t="str">
        <f t="shared" si="10"/>
        <v>Pažák</v>
      </c>
      <c r="U68" s="1" t="str">
        <f t="shared" si="11"/>
        <v>Pažák</v>
      </c>
      <c r="V68" s="167">
        <f t="shared" si="12"/>
        <v>1</v>
      </c>
      <c r="W68" s="167" t="str">
        <f t="shared" si="13"/>
        <v>M</v>
      </c>
      <c r="X68" s="140"/>
      <c r="Y68" s="140"/>
      <c r="Z68" s="140"/>
      <c r="AA68" s="139"/>
    </row>
    <row r="69" spans="2:27" ht="15" customHeight="1" x14ac:dyDescent="0.25">
      <c r="B69" s="1" t="s">
        <v>645</v>
      </c>
      <c r="C69" s="138"/>
      <c r="D69" s="167" t="str">
        <f t="shared" si="5"/>
        <v/>
      </c>
      <c r="E69" s="140"/>
      <c r="F69" s="140"/>
      <c r="G69" s="140"/>
      <c r="H69" s="167">
        <f t="shared" si="6"/>
        <v>0</v>
      </c>
      <c r="I69" s="140"/>
      <c r="J69" s="140"/>
      <c r="K69" s="140"/>
      <c r="L69" s="140"/>
      <c r="M69" s="140"/>
      <c r="N69" s="140"/>
      <c r="O69" s="167" t="str">
        <f t="shared" si="7"/>
        <v>9 OZ, 2 (0+2)</v>
      </c>
      <c r="P69" s="167" t="str">
        <f t="shared" si="8"/>
        <v/>
      </c>
      <c r="Q69" s="141"/>
      <c r="R69" s="140"/>
      <c r="S69" s="167" t="str">
        <f t="shared" si="9"/>
        <v/>
      </c>
      <c r="T69" s="1" t="str">
        <f t="shared" si="10"/>
        <v>Kareš</v>
      </c>
      <c r="U69" s="1" t="str">
        <f t="shared" si="11"/>
        <v>Kareš</v>
      </c>
      <c r="V69" s="167">
        <f t="shared" si="12"/>
        <v>1</v>
      </c>
      <c r="W69" s="167" t="str">
        <f t="shared" si="13"/>
        <v>M</v>
      </c>
      <c r="X69" s="140"/>
      <c r="Y69" s="140"/>
      <c r="Z69" s="140"/>
      <c r="AA69" s="139"/>
    </row>
    <row r="70" spans="2:27" ht="15" customHeight="1" x14ac:dyDescent="0.25">
      <c r="B70" s="4" t="s">
        <v>646</v>
      </c>
      <c r="C70" s="138"/>
      <c r="D70" s="167" t="str">
        <f t="shared" si="5"/>
        <v/>
      </c>
      <c r="E70" s="140"/>
      <c r="F70" s="140"/>
      <c r="G70" s="140"/>
      <c r="H70" s="167">
        <f t="shared" si="6"/>
        <v>0</v>
      </c>
      <c r="I70" s="140"/>
      <c r="J70" s="140"/>
      <c r="K70" s="140"/>
      <c r="L70" s="140"/>
      <c r="M70" s="140"/>
      <c r="N70" s="140"/>
      <c r="O70" s="167" t="str">
        <f t="shared" si="7"/>
        <v>0 OZ, 1 (0+1)</v>
      </c>
      <c r="P70" s="167" t="str">
        <f t="shared" si="8"/>
        <v/>
      </c>
      <c r="Q70" s="141"/>
      <c r="R70" s="140"/>
      <c r="S70" s="167" t="str">
        <f t="shared" si="9"/>
        <v>14 OZ, 1 A</v>
      </c>
      <c r="T70" s="1" t="str">
        <f t="shared" si="10"/>
        <v>Beneš M.</v>
      </c>
      <c r="U70" s="1" t="str">
        <f t="shared" si="11"/>
        <v>Beneš</v>
      </c>
      <c r="V70" s="167">
        <f t="shared" si="12"/>
        <v>2</v>
      </c>
      <c r="W70" s="167" t="str">
        <f t="shared" si="13"/>
        <v>M</v>
      </c>
      <c r="X70" s="140"/>
      <c r="Y70" s="140"/>
      <c r="Z70" s="140"/>
      <c r="AA70" s="139"/>
    </row>
    <row r="71" spans="2:27" ht="15" customHeight="1" x14ac:dyDescent="0.25">
      <c r="B71" s="4" t="s">
        <v>647</v>
      </c>
      <c r="C71" s="138"/>
      <c r="D71" s="167" t="str">
        <f t="shared" si="5"/>
        <v/>
      </c>
      <c r="E71" s="140"/>
      <c r="F71" s="140"/>
      <c r="G71" s="140"/>
      <c r="H71" s="167">
        <f t="shared" si="6"/>
        <v>0</v>
      </c>
      <c r="I71" s="140"/>
      <c r="J71" s="140"/>
      <c r="K71" s="140"/>
      <c r="L71" s="140"/>
      <c r="M71" s="140"/>
      <c r="N71" s="140"/>
      <c r="O71" s="167" t="str">
        <f t="shared" si="7"/>
        <v>0 OZ, 0 (0+0)</v>
      </c>
      <c r="P71" s="167" t="str">
        <f t="shared" si="8"/>
        <v/>
      </c>
      <c r="Q71" s="141"/>
      <c r="R71" s="140"/>
      <c r="S71" s="167" t="str">
        <f t="shared" si="9"/>
        <v>0 OZ, 0 A</v>
      </c>
      <c r="T71" s="1" t="str">
        <f t="shared" si="10"/>
        <v>Pelech</v>
      </c>
      <c r="U71" s="1" t="str">
        <f t="shared" si="11"/>
        <v>Pelech</v>
      </c>
      <c r="V71" s="167">
        <f t="shared" si="12"/>
        <v>1</v>
      </c>
      <c r="W71" s="167" t="str">
        <f t="shared" si="13"/>
        <v>O</v>
      </c>
      <c r="X71" s="140"/>
      <c r="Y71" s="140"/>
      <c r="Z71" s="140"/>
      <c r="AA71" s="139"/>
    </row>
    <row r="72" spans="2:27" ht="15" customHeight="1" x14ac:dyDescent="0.25">
      <c r="B72" s="4" t="s">
        <v>648</v>
      </c>
      <c r="C72" s="138"/>
      <c r="D72" s="167" t="str">
        <f t="shared" si="5"/>
        <v/>
      </c>
      <c r="E72" s="140"/>
      <c r="F72" s="140"/>
      <c r="G72" s="140"/>
      <c r="H72" s="167">
        <f t="shared" si="6"/>
        <v>0</v>
      </c>
      <c r="I72" s="140"/>
      <c r="J72" s="140"/>
      <c r="K72" s="140"/>
      <c r="L72" s="140"/>
      <c r="M72" s="140"/>
      <c r="N72" s="140"/>
      <c r="O72" s="167" t="str">
        <f t="shared" si="7"/>
        <v>4 OZ, 0 (0+0)</v>
      </c>
      <c r="P72" s="167" t="str">
        <f t="shared" si="8"/>
        <v/>
      </c>
      <c r="Q72" s="141"/>
      <c r="R72" s="140"/>
      <c r="S72" s="167" t="str">
        <f t="shared" si="9"/>
        <v/>
      </c>
      <c r="T72" s="1" t="str">
        <f t="shared" si="10"/>
        <v>Masár</v>
      </c>
      <c r="U72" s="1" t="str">
        <f t="shared" si="11"/>
        <v>Masár</v>
      </c>
      <c r="V72" s="167">
        <f t="shared" si="12"/>
        <v>1</v>
      </c>
      <c r="W72" s="167" t="str">
        <f t="shared" si="13"/>
        <v>Š</v>
      </c>
      <c r="X72" s="140"/>
      <c r="Y72" s="140"/>
      <c r="Z72" s="140"/>
      <c r="AA72" s="139"/>
    </row>
    <row r="73" spans="2:27" ht="15" customHeight="1" x14ac:dyDescent="0.25">
      <c r="B73" s="4" t="s">
        <v>649</v>
      </c>
      <c r="C73" s="138"/>
      <c r="D73" s="167" t="str">
        <f t="shared" si="5"/>
        <v/>
      </c>
      <c r="E73" s="140"/>
      <c r="F73" s="140"/>
      <c r="G73" s="140"/>
      <c r="H73" s="167">
        <f t="shared" si="6"/>
        <v>0</v>
      </c>
      <c r="I73" s="140"/>
      <c r="J73" s="140"/>
      <c r="K73" s="140"/>
      <c r="L73" s="140"/>
      <c r="M73" s="140"/>
      <c r="N73" s="140"/>
      <c r="O73" s="167" t="str">
        <f t="shared" si="7"/>
        <v>7 OZ, 0 (0+0)</v>
      </c>
      <c r="P73" s="167" t="str">
        <f t="shared" si="8"/>
        <v/>
      </c>
      <c r="Q73" s="141"/>
      <c r="R73" s="140"/>
      <c r="S73" s="167" t="str">
        <f t="shared" si="9"/>
        <v/>
      </c>
      <c r="T73" s="1" t="str">
        <f t="shared" si="10"/>
        <v>Veselý</v>
      </c>
      <c r="U73" s="1" t="str">
        <f t="shared" si="11"/>
        <v>Veselý</v>
      </c>
      <c r="V73" s="167">
        <f t="shared" si="12"/>
        <v>1</v>
      </c>
      <c r="W73" s="167" t="str">
        <f t="shared" si="13"/>
        <v>M</v>
      </c>
      <c r="X73" s="140"/>
      <c r="Y73" s="140"/>
      <c r="Z73" s="140"/>
      <c r="AA73" s="139"/>
    </row>
    <row r="74" spans="2:27" ht="15" customHeight="1" x14ac:dyDescent="0.25">
      <c r="B74" s="4" t="s">
        <v>650</v>
      </c>
      <c r="C74" s="138"/>
      <c r="D74" s="167" t="str">
        <f t="shared" si="5"/>
        <v/>
      </c>
      <c r="E74" s="140"/>
      <c r="F74" s="140"/>
      <c r="G74" s="140"/>
      <c r="H74" s="167">
        <f t="shared" si="6"/>
        <v>0</v>
      </c>
      <c r="I74" s="140"/>
      <c r="J74" s="140"/>
      <c r="K74" s="140"/>
      <c r="L74" s="140"/>
      <c r="M74" s="140"/>
      <c r="N74" s="140"/>
      <c r="O74" s="167" t="str">
        <f t="shared" si="7"/>
        <v>0 OZ, 0 (0+0)</v>
      </c>
      <c r="P74" s="167" t="str">
        <f t="shared" si="8"/>
        <v/>
      </c>
      <c r="Q74" s="141"/>
      <c r="R74" s="140"/>
      <c r="S74" s="167" t="str">
        <f t="shared" si="9"/>
        <v>1 OZ, 0 A</v>
      </c>
      <c r="T74" s="1" t="str">
        <f t="shared" si="10"/>
        <v>Zítka</v>
      </c>
      <c r="U74" s="1" t="str">
        <f t="shared" si="11"/>
        <v>Zítka</v>
      </c>
      <c r="V74" s="167">
        <f t="shared" si="12"/>
        <v>1</v>
      </c>
      <c r="W74" s="167" t="str">
        <f t="shared" si="13"/>
        <v>P</v>
      </c>
      <c r="X74" s="140"/>
      <c r="Y74" s="140"/>
      <c r="Z74" s="140"/>
      <c r="AA74" s="139"/>
    </row>
    <row r="75" spans="2:27" ht="15" customHeight="1" x14ac:dyDescent="0.25">
      <c r="C75" s="138"/>
      <c r="D75" s="167" t="str">
        <f t="shared" si="5"/>
        <v/>
      </c>
      <c r="E75" s="140"/>
      <c r="F75" s="140"/>
      <c r="G75" s="140"/>
      <c r="H75" s="167" t="str">
        <f t="shared" si="6"/>
        <v/>
      </c>
      <c r="I75" s="140"/>
      <c r="J75" s="140"/>
      <c r="K75" s="140"/>
      <c r="L75" s="140"/>
      <c r="M75" s="140"/>
      <c r="N75" s="140"/>
      <c r="O75" s="167" t="str">
        <f t="shared" si="7"/>
        <v/>
      </c>
      <c r="P75" s="167" t="str">
        <f t="shared" si="8"/>
        <v/>
      </c>
      <c r="Q75" s="141"/>
      <c r="R75" s="140"/>
      <c r="S75" s="167" t="str">
        <f t="shared" si="9"/>
        <v/>
      </c>
      <c r="T75" s="1" t="str">
        <f t="shared" si="10"/>
        <v/>
      </c>
      <c r="U75" s="1" t="str">
        <f t="shared" si="11"/>
        <v/>
      </c>
      <c r="V75" s="167" t="str">
        <f t="shared" si="12"/>
        <v/>
      </c>
      <c r="W75" s="167" t="str">
        <f t="shared" si="13"/>
        <v/>
      </c>
      <c r="X75" s="140"/>
      <c r="Y75" s="140"/>
      <c r="Z75" s="140"/>
      <c r="AA75" s="139"/>
    </row>
    <row r="76" spans="2:27" ht="15" customHeight="1" x14ac:dyDescent="0.25">
      <c r="B76" s="142"/>
      <c r="C76" s="138"/>
      <c r="D76" s="167" t="str">
        <f t="shared" ref="D76:D82" si="14">IF(C76 &lt;&gt; 0,ROUNDDOWN(($A$47-C76)/365.25,0),"")</f>
        <v/>
      </c>
      <c r="E76" s="140"/>
      <c r="F76" s="140"/>
      <c r="G76" s="140"/>
      <c r="H76" s="167" t="str">
        <f t="shared" ref="H76:H82" si="15">IF(B76&lt;&gt;0,F76+G76,"")</f>
        <v/>
      </c>
      <c r="I76" s="140"/>
      <c r="J76" s="140"/>
      <c r="K76" s="140"/>
      <c r="L76" s="140"/>
      <c r="M76" s="140"/>
      <c r="N76" s="140"/>
      <c r="O76" s="167" t="str">
        <f t="shared" ref="O76:O82" si="16">IF(B76&lt;&gt;0,CONCATENATE(E76+IFERROR(VLOOKUP(B76,$B$2:$N$36,4,FALSE),0) + X76, " OZ, ", H76+IFERROR(VLOOKUP(B76,$B$2:$N$36,9,FALSE),0) + Y76+Z76, " (", F76+IFERROR(VLOOKUP(B76,$B$2:$N$36,5,FALSE),0) + Y76, "+",G76+IFERROR(VLOOKUP(B76,$B$2:$N$36,8,FALSE),0) +  Z76, ")"), "")</f>
        <v/>
      </c>
      <c r="P76" s="167" t="str">
        <f t="shared" ref="P76:P82" si="17">IF(M76&lt;&gt;0,CONCATENATE(M76,"/",N76),"")</f>
        <v/>
      </c>
      <c r="Q76" s="141"/>
      <c r="R76" s="140"/>
      <c r="S76" s="167"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7" t="str">
        <f t="shared" ref="V76:V82" si="21">IF(B76&lt;&gt;0,COUNTIF($U$48:$U$82,U76),"")</f>
        <v/>
      </c>
      <c r="W76" s="167" t="str">
        <f t="shared" ref="W76:W82" si="22">IFERROR(LEFT(LEFT(B76,SEARCH(" ",B76,1)),1),"")</f>
        <v/>
      </c>
      <c r="X76" s="140"/>
      <c r="Y76" s="140"/>
      <c r="Z76" s="140"/>
      <c r="AA76" s="139"/>
    </row>
    <row r="77" spans="2:27" ht="15" customHeight="1" x14ac:dyDescent="0.25">
      <c r="B77" s="139"/>
      <c r="C77" s="138"/>
      <c r="D77" s="167" t="str">
        <f t="shared" si="14"/>
        <v/>
      </c>
      <c r="E77" s="140"/>
      <c r="F77" s="140"/>
      <c r="G77" s="140"/>
      <c r="H77" s="167" t="str">
        <f t="shared" si="15"/>
        <v/>
      </c>
      <c r="I77" s="140"/>
      <c r="J77" s="140"/>
      <c r="K77" s="140"/>
      <c r="L77" s="140"/>
      <c r="M77" s="140"/>
      <c r="N77" s="140"/>
      <c r="O77" s="167" t="str">
        <f t="shared" si="16"/>
        <v/>
      </c>
      <c r="P77" s="167" t="str">
        <f t="shared" si="17"/>
        <v/>
      </c>
      <c r="Q77" s="141"/>
      <c r="R77" s="140"/>
      <c r="S77" s="167" t="str">
        <f t="shared" si="18"/>
        <v/>
      </c>
      <c r="T77" s="1" t="str">
        <f t="shared" si="19"/>
        <v/>
      </c>
      <c r="U77" s="1" t="str">
        <f t="shared" si="20"/>
        <v/>
      </c>
      <c r="V77" s="167" t="str">
        <f t="shared" si="21"/>
        <v/>
      </c>
      <c r="W77" s="167" t="str">
        <f t="shared" si="22"/>
        <v/>
      </c>
      <c r="X77" s="140"/>
      <c r="Y77" s="140"/>
      <c r="Z77" s="140"/>
      <c r="AA77" s="139"/>
    </row>
    <row r="78" spans="2:27" ht="15" customHeight="1" x14ac:dyDescent="0.25">
      <c r="B78" s="139"/>
      <c r="C78" s="138"/>
      <c r="D78" s="167" t="str">
        <f t="shared" si="14"/>
        <v/>
      </c>
      <c r="E78" s="140"/>
      <c r="F78" s="140"/>
      <c r="G78" s="140"/>
      <c r="H78" s="167" t="str">
        <f t="shared" si="15"/>
        <v/>
      </c>
      <c r="I78" s="140"/>
      <c r="J78" s="140"/>
      <c r="K78" s="140"/>
      <c r="L78" s="140"/>
      <c r="M78" s="140"/>
      <c r="N78" s="140"/>
      <c r="O78" s="167" t="str">
        <f t="shared" si="16"/>
        <v/>
      </c>
      <c r="P78" s="167" t="str">
        <f t="shared" si="17"/>
        <v/>
      </c>
      <c r="Q78" s="141"/>
      <c r="R78" s="140"/>
      <c r="S78" s="167" t="str">
        <f t="shared" si="18"/>
        <v/>
      </c>
      <c r="T78" s="1" t="str">
        <f t="shared" si="19"/>
        <v/>
      </c>
      <c r="U78" s="1" t="str">
        <f t="shared" si="20"/>
        <v/>
      </c>
      <c r="V78" s="167" t="str">
        <f t="shared" si="21"/>
        <v/>
      </c>
      <c r="W78" s="167" t="str">
        <f t="shared" si="22"/>
        <v/>
      </c>
      <c r="X78" s="140"/>
      <c r="Y78" s="140"/>
      <c r="Z78" s="140"/>
      <c r="AA78" s="139"/>
    </row>
    <row r="79" spans="2:27" ht="15" customHeight="1" x14ac:dyDescent="0.25">
      <c r="B79" s="139"/>
      <c r="C79" s="138"/>
      <c r="D79" s="167" t="str">
        <f t="shared" si="14"/>
        <v/>
      </c>
      <c r="E79" s="140"/>
      <c r="F79" s="140"/>
      <c r="G79" s="140"/>
      <c r="H79" s="167" t="str">
        <f t="shared" si="15"/>
        <v/>
      </c>
      <c r="I79" s="140"/>
      <c r="J79" s="140"/>
      <c r="K79" s="140"/>
      <c r="L79" s="140"/>
      <c r="M79" s="140"/>
      <c r="N79" s="140"/>
      <c r="O79" s="167" t="str">
        <f t="shared" si="16"/>
        <v/>
      </c>
      <c r="P79" s="167" t="str">
        <f t="shared" si="17"/>
        <v/>
      </c>
      <c r="Q79" s="141"/>
      <c r="R79" s="140"/>
      <c r="S79" s="167" t="str">
        <f t="shared" si="18"/>
        <v/>
      </c>
      <c r="T79" s="1" t="str">
        <f t="shared" si="19"/>
        <v/>
      </c>
      <c r="U79" s="1" t="str">
        <f t="shared" si="20"/>
        <v/>
      </c>
      <c r="V79" s="167" t="str">
        <f t="shared" si="21"/>
        <v/>
      </c>
      <c r="W79" s="167" t="str">
        <f t="shared" si="22"/>
        <v/>
      </c>
      <c r="X79" s="140"/>
      <c r="Y79" s="140"/>
      <c r="Z79" s="140"/>
      <c r="AA79" s="139"/>
    </row>
    <row r="80" spans="2:27" ht="15" customHeight="1" x14ac:dyDescent="0.25">
      <c r="B80" s="139"/>
      <c r="C80" s="138"/>
      <c r="D80" s="167" t="str">
        <f t="shared" si="14"/>
        <v/>
      </c>
      <c r="E80" s="140"/>
      <c r="F80" s="140"/>
      <c r="G80" s="140"/>
      <c r="H80" s="167" t="str">
        <f t="shared" si="15"/>
        <v/>
      </c>
      <c r="I80" s="140"/>
      <c r="J80" s="140"/>
      <c r="K80" s="140"/>
      <c r="L80" s="140"/>
      <c r="M80" s="140"/>
      <c r="N80" s="140"/>
      <c r="O80" s="167" t="str">
        <f t="shared" si="16"/>
        <v/>
      </c>
      <c r="P80" s="167" t="str">
        <f t="shared" si="17"/>
        <v/>
      </c>
      <c r="Q80" s="141"/>
      <c r="R80" s="140"/>
      <c r="S80" s="167" t="str">
        <f t="shared" si="18"/>
        <v/>
      </c>
      <c r="T80" s="1" t="str">
        <f t="shared" si="19"/>
        <v/>
      </c>
      <c r="U80" s="1" t="str">
        <f t="shared" si="20"/>
        <v/>
      </c>
      <c r="V80" s="167" t="str">
        <f t="shared" si="21"/>
        <v/>
      </c>
      <c r="W80" s="167" t="str">
        <f t="shared" si="22"/>
        <v/>
      </c>
      <c r="X80" s="140"/>
      <c r="Y80" s="140"/>
      <c r="Z80" s="140"/>
      <c r="AA80" s="139"/>
    </row>
    <row r="81" spans="1:27" ht="15" customHeight="1" x14ac:dyDescent="0.25">
      <c r="B81" s="139"/>
      <c r="C81" s="138"/>
      <c r="D81" s="167" t="str">
        <f t="shared" si="14"/>
        <v/>
      </c>
      <c r="E81" s="140"/>
      <c r="F81" s="140"/>
      <c r="G81" s="140"/>
      <c r="H81" s="167" t="str">
        <f t="shared" si="15"/>
        <v/>
      </c>
      <c r="I81" s="140"/>
      <c r="J81" s="140"/>
      <c r="K81" s="140"/>
      <c r="L81" s="140"/>
      <c r="M81" s="140"/>
      <c r="N81" s="140"/>
      <c r="O81" s="167" t="str">
        <f t="shared" si="16"/>
        <v/>
      </c>
      <c r="P81" s="167" t="str">
        <f t="shared" si="17"/>
        <v/>
      </c>
      <c r="Q81" s="141"/>
      <c r="R81" s="140"/>
      <c r="S81" s="167" t="str">
        <f t="shared" si="18"/>
        <v/>
      </c>
      <c r="T81" s="1" t="str">
        <f t="shared" si="19"/>
        <v/>
      </c>
      <c r="U81" s="1" t="str">
        <f t="shared" si="20"/>
        <v/>
      </c>
      <c r="V81" s="167" t="str">
        <f t="shared" si="21"/>
        <v/>
      </c>
      <c r="W81" s="167" t="str">
        <f t="shared" si="22"/>
        <v/>
      </c>
      <c r="X81" s="140"/>
      <c r="Y81" s="140"/>
      <c r="Z81" s="140"/>
      <c r="AA81" s="139"/>
    </row>
    <row r="82" spans="1:27" ht="15" customHeight="1" x14ac:dyDescent="0.25">
      <c r="B82" s="139"/>
      <c r="C82" s="138"/>
      <c r="D82" s="167" t="str">
        <f t="shared" si="14"/>
        <v/>
      </c>
      <c r="E82" s="140"/>
      <c r="F82" s="140"/>
      <c r="G82" s="140"/>
      <c r="H82" s="167" t="str">
        <f t="shared" si="15"/>
        <v/>
      </c>
      <c r="I82" s="140"/>
      <c r="J82" s="140"/>
      <c r="K82" s="140"/>
      <c r="L82" s="140"/>
      <c r="M82" s="140"/>
      <c r="N82" s="140"/>
      <c r="O82" s="167" t="str">
        <f t="shared" si="16"/>
        <v/>
      </c>
      <c r="P82" s="167" t="str">
        <f t="shared" si="17"/>
        <v/>
      </c>
      <c r="Q82" s="141"/>
      <c r="R82" s="140"/>
      <c r="S82" s="167" t="str">
        <f t="shared" si="18"/>
        <v/>
      </c>
      <c r="T82" s="1" t="str">
        <f t="shared" si="19"/>
        <v/>
      </c>
      <c r="U82" s="1" t="str">
        <f t="shared" si="20"/>
        <v/>
      </c>
      <c r="V82" s="167" t="str">
        <f t="shared" si="21"/>
        <v/>
      </c>
      <c r="W82" s="167" t="str">
        <f t="shared" si="22"/>
        <v/>
      </c>
      <c r="X82" s="140"/>
      <c r="Y82" s="140"/>
      <c r="Z82" s="140"/>
      <c r="AA82" s="139"/>
    </row>
    <row r="84" spans="1:27" s="168" customFormat="1" ht="15" customHeight="1" x14ac:dyDescent="0.25">
      <c r="A84" s="7">
        <f ca="1">TODAY()</f>
        <v>44214</v>
      </c>
      <c r="B84" s="168" t="s">
        <v>60</v>
      </c>
      <c r="C84" s="168" t="s">
        <v>67</v>
      </c>
      <c r="D84" s="168" t="s">
        <v>68</v>
      </c>
      <c r="E84" s="346" t="s">
        <v>95</v>
      </c>
      <c r="F84" s="346"/>
      <c r="G84" s="346" t="s">
        <v>101</v>
      </c>
      <c r="H84" s="346"/>
      <c r="I84" s="346"/>
      <c r="J84" s="346"/>
      <c r="K84" s="346"/>
      <c r="Q84" s="9"/>
    </row>
    <row r="85" spans="1:27" ht="30" customHeight="1" x14ac:dyDescent="0.25">
      <c r="B85" s="139"/>
      <c r="C85" s="138"/>
      <c r="D85" s="167" t="str">
        <f>IF(B85&lt;&gt;0,ROUNDDOWN(($A$84-C85)/365.25,0),"")</f>
        <v/>
      </c>
      <c r="E85" s="344"/>
      <c r="F85" s="344"/>
      <c r="G85" s="344"/>
      <c r="H85" s="344"/>
      <c r="I85" s="344"/>
      <c r="J85" s="344"/>
      <c r="K85" s="344"/>
    </row>
    <row r="86" spans="1:27" ht="30" customHeight="1" x14ac:dyDescent="0.25">
      <c r="B86" s="139"/>
      <c r="C86" s="138"/>
      <c r="D86" s="167" t="str">
        <f t="shared" ref="D86:D92" si="23">IF(B86&lt;&gt;0,ROUNDDOWN(($A$84-C86)/365.25,0),"")</f>
        <v/>
      </c>
      <c r="E86" s="344"/>
      <c r="F86" s="344"/>
      <c r="G86" s="344"/>
      <c r="H86" s="344"/>
      <c r="I86" s="344"/>
      <c r="J86" s="344"/>
      <c r="K86" s="344"/>
    </row>
    <row r="87" spans="1:27" ht="30" customHeight="1" x14ac:dyDescent="0.25">
      <c r="B87" s="139"/>
      <c r="C87" s="138"/>
      <c r="D87" s="167" t="str">
        <f t="shared" si="23"/>
        <v/>
      </c>
      <c r="E87" s="344"/>
      <c r="F87" s="344"/>
      <c r="G87" s="344"/>
      <c r="H87" s="344"/>
      <c r="I87" s="344"/>
      <c r="J87" s="344"/>
      <c r="K87" s="344"/>
    </row>
    <row r="88" spans="1:27" ht="30" customHeight="1" x14ac:dyDescent="0.25">
      <c r="B88" s="139"/>
      <c r="C88" s="138"/>
      <c r="D88" s="167" t="str">
        <f t="shared" si="23"/>
        <v/>
      </c>
      <c r="E88" s="344"/>
      <c r="F88" s="344"/>
      <c r="G88" s="344"/>
      <c r="H88" s="344"/>
      <c r="I88" s="344"/>
      <c r="J88" s="344"/>
      <c r="K88" s="344"/>
    </row>
    <row r="89" spans="1:27" ht="30" customHeight="1" x14ac:dyDescent="0.25">
      <c r="B89" s="139"/>
      <c r="C89" s="138"/>
      <c r="D89" s="167" t="str">
        <f t="shared" si="23"/>
        <v/>
      </c>
      <c r="E89" s="344"/>
      <c r="F89" s="344"/>
      <c r="G89" s="344"/>
      <c r="H89" s="344"/>
      <c r="I89" s="344"/>
      <c r="J89" s="344"/>
      <c r="K89" s="344"/>
    </row>
    <row r="90" spans="1:27" ht="30" customHeight="1" x14ac:dyDescent="0.25">
      <c r="B90" s="139"/>
      <c r="C90" s="139"/>
      <c r="D90" s="167" t="str">
        <f t="shared" si="23"/>
        <v/>
      </c>
      <c r="E90" s="344"/>
      <c r="F90" s="344"/>
      <c r="G90" s="344"/>
      <c r="H90" s="344"/>
      <c r="I90" s="344"/>
      <c r="J90" s="344"/>
      <c r="K90" s="344"/>
    </row>
    <row r="91" spans="1:27" ht="30" customHeight="1" x14ac:dyDescent="0.25">
      <c r="B91" s="139"/>
      <c r="C91" s="139"/>
      <c r="D91" s="167" t="str">
        <f t="shared" si="23"/>
        <v/>
      </c>
      <c r="E91" s="344"/>
      <c r="F91" s="344"/>
      <c r="G91" s="344"/>
      <c r="H91" s="344"/>
      <c r="I91" s="344"/>
      <c r="J91" s="344"/>
      <c r="K91" s="344"/>
    </row>
    <row r="92" spans="1:27" ht="30" customHeight="1" x14ac:dyDescent="0.25">
      <c r="B92" s="139"/>
      <c r="C92" s="139"/>
      <c r="D92" s="167" t="str">
        <f t="shared" si="23"/>
        <v/>
      </c>
      <c r="E92" s="344"/>
      <c r="F92" s="344"/>
      <c r="G92" s="344"/>
      <c r="H92" s="344"/>
      <c r="I92" s="344"/>
      <c r="J92" s="344"/>
      <c r="K92" s="344"/>
    </row>
  </sheetData>
  <sheetProtection algorithmName="SHA-512" hashValue="rGwAeCA8A4QYPu4Ln1WWqcIdhRSEnsrqPWfSf6U3QI3p8XVE5+rdOu/irAaz3gUYacrGVrck7CrWdvbDTmYExQ==" saltValue="Oj0jZCoGBeEIZxgElZQZlw==" spinCount="100000" sheet="1" objects="1" scenarios="1" selectLockedCells="1"/>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E40" sqref="E40"/>
    </sheetView>
  </sheetViews>
  <sheetFormatPr defaultRowHeight="15" x14ac:dyDescent="0.25"/>
  <cols>
    <col min="2" max="2" width="18.85546875" bestFit="1" customWidth="1"/>
  </cols>
  <sheetData>
    <row r="1" spans="1:6" x14ac:dyDescent="0.25">
      <c r="A1" s="346" t="s">
        <v>36</v>
      </c>
      <c r="B1" s="1" t="s">
        <v>651</v>
      </c>
      <c r="C1" s="181">
        <v>27</v>
      </c>
      <c r="D1" s="347" t="str">
        <f t="shared" ref="D1:D30" si="0">IFERROR(RIGHT(B1,LEN(B1)-SEARCH(" ",B1)),"")</f>
        <v>Mikuláš Krbec</v>
      </c>
      <c r="E1" s="347"/>
      <c r="F1" s="167"/>
    </row>
    <row r="2" spans="1:6" x14ac:dyDescent="0.25">
      <c r="A2" s="346"/>
      <c r="B2" s="1" t="s">
        <v>652</v>
      </c>
      <c r="C2" s="181">
        <v>24</v>
      </c>
      <c r="D2" s="347" t="str">
        <f t="shared" si="0"/>
        <v>Lukáš Ujhelyi</v>
      </c>
      <c r="E2" s="347"/>
      <c r="F2" s="167"/>
    </row>
    <row r="3" spans="1:6" x14ac:dyDescent="0.25">
      <c r="A3" s="346"/>
      <c r="B3" s="1" t="s">
        <v>653</v>
      </c>
      <c r="C3" s="181">
        <v>18</v>
      </c>
      <c r="D3" s="347" t="str">
        <f t="shared" si="0"/>
        <v>Matěj Čermák</v>
      </c>
      <c r="E3" s="347"/>
      <c r="F3" s="167"/>
    </row>
    <row r="4" spans="1:6" x14ac:dyDescent="0.25">
      <c r="A4" s="346"/>
      <c r="B4" s="1" t="s">
        <v>654</v>
      </c>
      <c r="C4" s="181">
        <v>16</v>
      </c>
      <c r="D4" s="347" t="str">
        <f t="shared" si="0"/>
        <v>Jakub Kolstrunk</v>
      </c>
      <c r="E4" s="347"/>
      <c r="F4" s="167"/>
    </row>
    <row r="5" spans="1:6" x14ac:dyDescent="0.25">
      <c r="A5" s="346"/>
      <c r="B5" s="1" t="s">
        <v>655</v>
      </c>
      <c r="C5" s="181">
        <v>14</v>
      </c>
      <c r="D5" s="347" t="str">
        <f t="shared" si="0"/>
        <v>Josef Juha</v>
      </c>
      <c r="E5" s="347"/>
      <c r="F5" s="167"/>
    </row>
    <row r="6" spans="1:6" x14ac:dyDescent="0.25">
      <c r="A6" s="346" t="s">
        <v>244</v>
      </c>
      <c r="B6" s="1" t="s">
        <v>656</v>
      </c>
      <c r="C6" s="181" t="s">
        <v>657</v>
      </c>
      <c r="D6" s="347" t="str">
        <f t="shared" si="0"/>
        <v>Martin Beneš</v>
      </c>
      <c r="E6" s="347"/>
      <c r="F6" s="167">
        <f t="shared" ref="F6:F10" si="1">IF(B6&lt;&gt;0,_xlfn.NUMBERVALUE(C6,","),"")</f>
        <v>5.37</v>
      </c>
    </row>
    <row r="7" spans="1:6" x14ac:dyDescent="0.25">
      <c r="A7" s="346"/>
      <c r="B7" s="1" t="s">
        <v>658</v>
      </c>
      <c r="C7" s="181" t="s">
        <v>336</v>
      </c>
      <c r="D7" s="347" t="str">
        <f t="shared" si="0"/>
        <v>Ondřej Pelech</v>
      </c>
      <c r="E7" s="347"/>
      <c r="F7" s="167">
        <f t="shared" si="1"/>
        <v>0</v>
      </c>
    </row>
    <row r="8" spans="1:6" x14ac:dyDescent="0.25">
      <c r="A8" s="346"/>
      <c r="B8" s="1" t="s">
        <v>659</v>
      </c>
      <c r="C8" s="181" t="s">
        <v>336</v>
      </c>
      <c r="D8" s="347" t="str">
        <f t="shared" si="0"/>
        <v>Patrik Zítka</v>
      </c>
      <c r="E8" s="347"/>
      <c r="F8" s="167">
        <f t="shared" si="1"/>
        <v>0</v>
      </c>
    </row>
    <row r="9" spans="1:6" x14ac:dyDescent="0.25">
      <c r="A9" s="346"/>
      <c r="B9" s="1"/>
      <c r="C9" s="181"/>
      <c r="D9" s="347" t="str">
        <f t="shared" si="0"/>
        <v/>
      </c>
      <c r="E9" s="347"/>
      <c r="F9" s="167" t="str">
        <f t="shared" si="1"/>
        <v/>
      </c>
    </row>
    <row r="10" spans="1:6" x14ac:dyDescent="0.25">
      <c r="A10" s="346"/>
      <c r="B10" s="1"/>
      <c r="C10" s="181"/>
      <c r="D10" s="347" t="str">
        <f t="shared" si="0"/>
        <v/>
      </c>
      <c r="E10" s="347"/>
      <c r="F10" s="167" t="str">
        <f t="shared" si="1"/>
        <v/>
      </c>
    </row>
    <row r="11" spans="1:6" x14ac:dyDescent="0.25">
      <c r="A11" s="346" t="s">
        <v>35</v>
      </c>
      <c r="B11" s="1" t="s">
        <v>660</v>
      </c>
      <c r="C11" s="181">
        <v>17</v>
      </c>
      <c r="D11" s="347" t="str">
        <f t="shared" si="0"/>
        <v>Lukáš Ujhelyi</v>
      </c>
      <c r="E11" s="347"/>
      <c r="F11" s="167"/>
    </row>
    <row r="12" spans="1:6" x14ac:dyDescent="0.25">
      <c r="A12" s="346"/>
      <c r="B12" s="1" t="s">
        <v>661</v>
      </c>
      <c r="C12" s="181">
        <v>12</v>
      </c>
      <c r="D12" s="347" t="str">
        <f t="shared" si="0"/>
        <v>Mikuláš Krbec</v>
      </c>
      <c r="E12" s="347"/>
      <c r="F12" s="167"/>
    </row>
    <row r="13" spans="1:6" x14ac:dyDescent="0.25">
      <c r="A13" s="346"/>
      <c r="B13" s="1" t="s">
        <v>662</v>
      </c>
      <c r="C13" s="181">
        <v>11</v>
      </c>
      <c r="D13" s="347" t="str">
        <f t="shared" si="0"/>
        <v>Jakub Kolstrunk</v>
      </c>
      <c r="E13" s="347"/>
      <c r="F13" s="167"/>
    </row>
    <row r="14" spans="1:6" x14ac:dyDescent="0.25">
      <c r="A14" s="346"/>
      <c r="B14" s="1" t="s">
        <v>663</v>
      </c>
      <c r="C14" s="181">
        <v>8</v>
      </c>
      <c r="D14" s="347" t="str">
        <f t="shared" si="0"/>
        <v>Matěj Čermák</v>
      </c>
      <c r="E14" s="347"/>
      <c r="F14" s="167"/>
    </row>
    <row r="15" spans="1:6" x14ac:dyDescent="0.25">
      <c r="A15" s="346"/>
      <c r="B15" s="1" t="s">
        <v>664</v>
      </c>
      <c r="C15" s="181">
        <v>7</v>
      </c>
      <c r="D15" s="347" t="str">
        <f t="shared" si="0"/>
        <v>Dominik Beneš</v>
      </c>
      <c r="E15" s="347"/>
      <c r="F15" s="167"/>
    </row>
    <row r="16" spans="1:6" x14ac:dyDescent="0.25">
      <c r="A16" s="346" t="s">
        <v>231</v>
      </c>
      <c r="B16" s="1" t="s">
        <v>656</v>
      </c>
      <c r="C16" s="181">
        <v>9</v>
      </c>
      <c r="D16" s="347" t="str">
        <f t="shared" si="0"/>
        <v>Martin Beneš</v>
      </c>
      <c r="E16" s="347"/>
      <c r="F16" s="167">
        <f t="shared" ref="F16:F20" si="2">IF(B16&lt;&gt;0,_xlfn.NUMBERVALUE(C16,","),"")</f>
        <v>9</v>
      </c>
    </row>
    <row r="17" spans="1:6" x14ac:dyDescent="0.25">
      <c r="A17" s="346"/>
      <c r="B17" s="1" t="s">
        <v>665</v>
      </c>
      <c r="C17" s="181">
        <v>1</v>
      </c>
      <c r="D17" s="347" t="str">
        <f t="shared" si="0"/>
        <v>Patrik Zítka</v>
      </c>
      <c r="E17" s="347"/>
      <c r="F17" s="167">
        <f t="shared" si="2"/>
        <v>1</v>
      </c>
    </row>
    <row r="18" spans="1:6" x14ac:dyDescent="0.25">
      <c r="A18" s="346"/>
      <c r="B18" s="1" t="s">
        <v>666</v>
      </c>
      <c r="C18" s="181">
        <v>0</v>
      </c>
      <c r="D18" s="347" t="str">
        <f t="shared" si="0"/>
        <v>Ondřej Pelech</v>
      </c>
      <c r="E18" s="347"/>
      <c r="F18" s="167">
        <f t="shared" si="2"/>
        <v>0</v>
      </c>
    </row>
    <row r="19" spans="1:6" x14ac:dyDescent="0.25">
      <c r="A19" s="346"/>
      <c r="B19" s="1"/>
      <c r="C19" s="181"/>
      <c r="D19" s="347" t="str">
        <f t="shared" si="0"/>
        <v/>
      </c>
      <c r="E19" s="347"/>
      <c r="F19" s="167" t="str">
        <f t="shared" si="2"/>
        <v/>
      </c>
    </row>
    <row r="20" spans="1:6" x14ac:dyDescent="0.25">
      <c r="A20" s="346"/>
      <c r="B20" s="1"/>
      <c r="C20" s="181"/>
      <c r="D20" s="347" t="str">
        <f t="shared" si="0"/>
        <v/>
      </c>
      <c r="E20" s="347"/>
      <c r="F20" s="167" t="str">
        <f t="shared" si="2"/>
        <v/>
      </c>
    </row>
    <row r="21" spans="1:6" x14ac:dyDescent="0.25">
      <c r="A21" s="346" t="s">
        <v>37</v>
      </c>
      <c r="B21" s="1" t="s">
        <v>651</v>
      </c>
      <c r="C21" s="181">
        <v>15</v>
      </c>
      <c r="D21" s="347" t="str">
        <f t="shared" si="0"/>
        <v>Mikuláš Krbec</v>
      </c>
      <c r="E21" s="347"/>
      <c r="F21" s="167"/>
    </row>
    <row r="22" spans="1:6" x14ac:dyDescent="0.25">
      <c r="A22" s="346"/>
      <c r="B22" s="1" t="s">
        <v>667</v>
      </c>
      <c r="C22" s="181">
        <v>11</v>
      </c>
      <c r="D22" s="347" t="str">
        <f t="shared" si="0"/>
        <v>Marek Zouzal</v>
      </c>
      <c r="E22" s="347"/>
      <c r="F22" s="167"/>
    </row>
    <row r="23" spans="1:6" x14ac:dyDescent="0.25">
      <c r="A23" s="346"/>
      <c r="B23" s="1" t="s">
        <v>653</v>
      </c>
      <c r="C23" s="181">
        <v>10</v>
      </c>
      <c r="D23" s="347" t="str">
        <f t="shared" si="0"/>
        <v>Matěj Čermák</v>
      </c>
      <c r="E23" s="347"/>
      <c r="F23" s="167"/>
    </row>
    <row r="24" spans="1:6" x14ac:dyDescent="0.25">
      <c r="A24" s="346"/>
      <c r="B24" s="1" t="s">
        <v>668</v>
      </c>
      <c r="C24" s="181">
        <v>7</v>
      </c>
      <c r="D24" s="347" t="str">
        <f t="shared" si="0"/>
        <v>Josef Juha</v>
      </c>
      <c r="E24" s="347"/>
      <c r="F24" s="167"/>
    </row>
    <row r="25" spans="1:6" x14ac:dyDescent="0.25">
      <c r="A25" s="346"/>
      <c r="B25" s="1" t="s">
        <v>669</v>
      </c>
      <c r="C25" s="181">
        <v>7</v>
      </c>
      <c r="D25" s="347" t="str">
        <f t="shared" si="0"/>
        <v>Lukáš Ujhelyi</v>
      </c>
      <c r="E25" s="347"/>
      <c r="F25" s="167"/>
    </row>
    <row r="26" spans="1:6" x14ac:dyDescent="0.25">
      <c r="A26" s="346" t="s">
        <v>38</v>
      </c>
      <c r="B26" s="1" t="s">
        <v>670</v>
      </c>
      <c r="C26" s="181">
        <v>24</v>
      </c>
      <c r="D26" s="347" t="str">
        <f t="shared" si="0"/>
        <v>Matěj Pruner</v>
      </c>
      <c r="E26" s="347"/>
      <c r="F26" s="167"/>
    </row>
    <row r="27" spans="1:6" x14ac:dyDescent="0.25">
      <c r="A27" s="346"/>
      <c r="B27" s="1" t="s">
        <v>671</v>
      </c>
      <c r="C27" s="181">
        <v>8</v>
      </c>
      <c r="D27" s="347" t="str">
        <f t="shared" si="0"/>
        <v>Kristián Kozák</v>
      </c>
      <c r="E27" s="347"/>
      <c r="F27" s="167"/>
    </row>
    <row r="28" spans="1:6" x14ac:dyDescent="0.25">
      <c r="A28" s="346"/>
      <c r="B28" s="1" t="s">
        <v>672</v>
      </c>
      <c r="C28" s="181">
        <v>8</v>
      </c>
      <c r="D28" s="347" t="str">
        <f t="shared" si="0"/>
        <v>Michal Pažák</v>
      </c>
      <c r="E28" s="347"/>
      <c r="F28" s="167"/>
    </row>
    <row r="29" spans="1:6" x14ac:dyDescent="0.25">
      <c r="A29" s="346"/>
      <c r="B29" s="1" t="s">
        <v>673</v>
      </c>
      <c r="C29" s="181">
        <v>6</v>
      </c>
      <c r="D29" s="347" t="str">
        <f t="shared" si="0"/>
        <v>Michal Zeman</v>
      </c>
      <c r="E29" s="347"/>
      <c r="F29" s="167"/>
    </row>
    <row r="30" spans="1:6" x14ac:dyDescent="0.25">
      <c r="A30" s="346"/>
      <c r="B30" s="1" t="s">
        <v>674</v>
      </c>
      <c r="C30" s="181">
        <v>4</v>
      </c>
      <c r="D30" s="347" t="str">
        <f t="shared" si="0"/>
        <v>Dominik Bartoš</v>
      </c>
      <c r="E30" s="347"/>
      <c r="F30" s="167"/>
    </row>
    <row r="31" spans="1:6" x14ac:dyDescent="0.25">
      <c r="A31" s="346" t="s">
        <v>339</v>
      </c>
      <c r="B31" s="122" t="s">
        <v>343</v>
      </c>
      <c r="C31" s="122" t="s">
        <v>143</v>
      </c>
      <c r="D31" s="122" t="s">
        <v>675</v>
      </c>
      <c r="E31" s="179" t="str">
        <f>IFERROR(RIGHT(LEFT(D31,LEN(D31)-1),LEN(D31)-2),"")</f>
        <v>9:6</v>
      </c>
    </row>
    <row r="32" spans="1:6" x14ac:dyDescent="0.25">
      <c r="A32" s="346"/>
      <c r="B32" s="122" t="s">
        <v>344</v>
      </c>
      <c r="C32" s="122" t="s">
        <v>145</v>
      </c>
      <c r="D32" s="122" t="s">
        <v>623</v>
      </c>
      <c r="E32" s="179" t="str">
        <f t="shared" ref="E32:E40" si="3">IFERROR(RIGHT(LEFT(D32,LEN(D32)-1),LEN(D32)-2),"")</f>
        <v>7:5</v>
      </c>
    </row>
    <row r="33" spans="1:5" x14ac:dyDescent="0.25">
      <c r="A33" s="346"/>
      <c r="B33" s="122" t="s">
        <v>345</v>
      </c>
      <c r="C33" s="122" t="s">
        <v>150</v>
      </c>
      <c r="D33" s="122" t="s">
        <v>675</v>
      </c>
      <c r="E33" s="179" t="str">
        <f t="shared" si="3"/>
        <v>9:6</v>
      </c>
    </row>
    <row r="34" spans="1:5" x14ac:dyDescent="0.25">
      <c r="A34" s="346"/>
      <c r="B34" s="122" t="s">
        <v>346</v>
      </c>
      <c r="C34" s="122" t="s">
        <v>146</v>
      </c>
      <c r="D34" s="122" t="s">
        <v>471</v>
      </c>
      <c r="E34" s="179" t="str">
        <f t="shared" si="3"/>
        <v>6:8</v>
      </c>
    </row>
    <row r="35" spans="1:5" x14ac:dyDescent="0.25">
      <c r="A35" s="346"/>
      <c r="B35" s="122" t="s">
        <v>676</v>
      </c>
      <c r="C35" s="122" t="s">
        <v>150</v>
      </c>
      <c r="D35" s="122" t="s">
        <v>677</v>
      </c>
      <c r="E35" s="179" t="str">
        <f t="shared" si="3"/>
        <v>18:7</v>
      </c>
    </row>
    <row r="36" spans="1:5" x14ac:dyDescent="0.25">
      <c r="A36" s="346" t="s">
        <v>340</v>
      </c>
      <c r="B36" s="122" t="s">
        <v>371</v>
      </c>
      <c r="C36" s="122" t="s">
        <v>147</v>
      </c>
      <c r="D36" s="122" t="s">
        <v>353</v>
      </c>
      <c r="E36" s="179" t="str">
        <f t="shared" si="3"/>
        <v>-:-</v>
      </c>
    </row>
    <row r="37" spans="1:5" x14ac:dyDescent="0.25">
      <c r="A37" s="346"/>
      <c r="B37" s="122" t="s">
        <v>372</v>
      </c>
      <c r="C37" s="122" t="s">
        <v>152</v>
      </c>
      <c r="D37" s="122" t="s">
        <v>353</v>
      </c>
      <c r="E37" s="179" t="str">
        <f t="shared" si="3"/>
        <v>-:-</v>
      </c>
    </row>
    <row r="38" spans="1:5" x14ac:dyDescent="0.25">
      <c r="A38" s="346"/>
      <c r="B38" s="122" t="s">
        <v>401</v>
      </c>
      <c r="C38" s="122" t="s">
        <v>153</v>
      </c>
      <c r="D38" s="122" t="s">
        <v>353</v>
      </c>
      <c r="E38" s="179" t="str">
        <f t="shared" si="3"/>
        <v>-:-</v>
      </c>
    </row>
    <row r="39" spans="1:5" x14ac:dyDescent="0.25">
      <c r="A39" s="346"/>
      <c r="B39" s="122" t="s">
        <v>678</v>
      </c>
      <c r="C39" s="122" t="s">
        <v>154</v>
      </c>
      <c r="D39" s="122" t="s">
        <v>353</v>
      </c>
      <c r="E39" s="179" t="str">
        <f t="shared" si="3"/>
        <v>-:-</v>
      </c>
    </row>
    <row r="40" spans="1:5" x14ac:dyDescent="0.25">
      <c r="A40" s="346"/>
      <c r="B40" s="122" t="s">
        <v>573</v>
      </c>
      <c r="C40" s="122" t="s">
        <v>142</v>
      </c>
      <c r="D40" s="122" t="s">
        <v>353</v>
      </c>
      <c r="E40" s="179" t="str">
        <f t="shared" si="3"/>
        <v>-:-</v>
      </c>
    </row>
    <row r="41" spans="1:5" x14ac:dyDescent="0.25">
      <c r="A41" s="168" t="s">
        <v>341</v>
      </c>
      <c r="B41" t="s">
        <v>679</v>
      </c>
    </row>
  </sheetData>
  <sheetProtection algorithmName="SHA-512" hashValue="sVyzrmRx4X9MLkm8OeDAD6F2VUjn4z5T8kaGKso4TIs6IavIG1pg3uEuS03Hkkc17ErPuRGaUHmE8xVDeA+CzQ==" saltValue="b8jCgn21jIGIG1aPgOGu8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18</vt:i4>
      </vt:variant>
      <vt:variant>
        <vt:lpstr>Pojmenované oblasti</vt:lpstr>
      </vt:variant>
      <vt:variant>
        <vt:i4>34</vt:i4>
      </vt:variant>
    </vt:vector>
  </HeadingPairs>
  <TitlesOfParts>
    <vt:vector size="52"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BOH_nej!BOH_bestof</vt:lpstr>
      <vt:lpstr>BOH!BOH_goalies</vt:lpstr>
      <vt:lpstr>BOH!BOH_players</vt:lpstr>
      <vt:lpstr>BOH_nej!BOH_zapasy</vt:lpstr>
      <vt:lpstr>CHO_nej!CHO_bestof</vt:lpstr>
      <vt:lpstr>CHO!CHO_goalies</vt:lpstr>
      <vt:lpstr>CHO_players</vt:lpstr>
      <vt:lpstr>CHO!CHO_players_1</vt:lpstr>
      <vt:lpstr>CHO_nej!CHO_zapasy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2021-01-17T11:17:44Z</cp:lastPrinted>
  <dcterms:created xsi:type="dcterms:W3CDTF">2021-01-02T13:16:40Z</dcterms:created>
  <dcterms:modified xsi:type="dcterms:W3CDTF">2021-01-18T14:24:38Z</dcterms:modified>
</cp:coreProperties>
</file>