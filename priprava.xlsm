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15" i="2" l="1"/>
  <c r="BD14" i="2"/>
  <c r="BD13" i="2"/>
  <c r="BD12" i="2"/>
  <c r="BD11" i="2"/>
  <c r="BD10" i="2"/>
  <c r="BD9" i="2"/>
  <c r="BD8" i="2"/>
  <c r="BD7" i="2"/>
  <c r="BD6" i="2"/>
  <c r="BD5" i="2"/>
  <c r="BD4" i="2"/>
  <c r="BD3" i="2"/>
  <c r="BD2" i="2"/>
  <c r="BG3" i="2"/>
  <c r="BG4" i="2"/>
  <c r="BG5" i="2"/>
  <c r="BG6" i="2"/>
  <c r="BG7" i="2"/>
  <c r="BG8" i="2"/>
  <c r="BG9" i="2"/>
  <c r="BG10" i="2"/>
  <c r="BG11" i="2"/>
  <c r="BG12" i="2"/>
  <c r="BG13" i="2"/>
  <c r="BG14" i="2"/>
  <c r="BG15" i="2"/>
  <c r="BE2" i="2"/>
  <c r="BE3" i="2"/>
  <c r="BE4" i="2"/>
  <c r="BE5" i="2"/>
  <c r="BE6" i="2"/>
  <c r="BE7" i="2"/>
  <c r="BE8" i="2"/>
  <c r="BE9" i="2"/>
  <c r="BE10" i="2"/>
  <c r="BE11" i="2"/>
  <c r="BE12" i="2"/>
  <c r="BE13" i="2"/>
  <c r="BE14" i="2"/>
  <c r="BE15" i="2"/>
  <c r="BF2" i="2"/>
  <c r="BF3" i="2"/>
  <c r="BF4" i="2"/>
  <c r="BF5" i="2"/>
  <c r="BF6" i="2"/>
  <c r="BF7" i="2"/>
  <c r="BF8" i="2"/>
  <c r="BF9" i="2"/>
  <c r="BF10" i="2"/>
  <c r="BF11" i="2"/>
  <c r="BF12" i="2"/>
  <c r="BF13" i="2"/>
  <c r="BF14" i="2"/>
  <c r="BF15" i="2"/>
  <c r="BG2" i="2"/>
  <c r="BH3" i="2"/>
  <c r="BH4" i="2"/>
  <c r="BH5" i="2"/>
  <c r="BH6" i="2"/>
  <c r="BH7" i="2"/>
  <c r="BH8" i="2"/>
  <c r="BH9" i="2"/>
  <c r="BH10" i="2"/>
  <c r="BH11" i="2"/>
  <c r="BH12" i="2"/>
  <c r="BH13" i="2"/>
  <c r="BH14" i="2"/>
  <c r="BH15" i="2"/>
  <c r="BH2" i="2"/>
  <c r="BI4" i="2"/>
  <c r="BI5" i="2"/>
  <c r="BI6" i="2"/>
  <c r="BI7" i="2"/>
  <c r="BI8" i="2"/>
  <c r="BI9" i="2"/>
  <c r="BI10" i="2"/>
  <c r="BI11" i="2"/>
  <c r="BI12" i="2"/>
  <c r="BI13" i="2"/>
  <c r="BI14" i="2"/>
  <c r="BI15" i="2"/>
  <c r="BI2" i="2"/>
  <c r="BI3" i="2"/>
  <c r="R42" i="11" l="1"/>
  <c r="R38" i="11"/>
  <c r="Q44" i="11"/>
  <c r="N44" i="11"/>
  <c r="J44" i="11"/>
  <c r="K43" i="11"/>
  <c r="J43" i="11"/>
  <c r="Q40" i="11"/>
  <c r="N40" i="11"/>
  <c r="J40" i="11"/>
  <c r="K39" i="11"/>
  <c r="J39" i="11"/>
  <c r="D47" i="3" l="1"/>
  <c r="E47" i="3"/>
  <c r="I46" i="3"/>
  <c r="H46" i="3"/>
  <c r="G46" i="3"/>
  <c r="F46" i="3"/>
  <c r="E46" i="3"/>
  <c r="D46" i="3"/>
  <c r="B47" i="3"/>
  <c r="F47" i="3" s="1"/>
  <c r="B46" i="3"/>
  <c r="F34" i="3"/>
  <c r="B34" i="3"/>
  <c r="I47" i="3" l="1"/>
  <c r="G47" i="3"/>
  <c r="H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25" i="19"/>
  <c r="A11" i="19"/>
  <c r="G27" i="19"/>
  <c r="G20" i="19"/>
  <c r="A13" i="19"/>
  <c r="G19" i="19"/>
  <c r="A30" i="19"/>
  <c r="G9" i="19"/>
  <c r="G30" i="19"/>
  <c r="G12" i="19"/>
  <c r="A26" i="19"/>
  <c r="A23" i="19"/>
  <c r="A25" i="19"/>
  <c r="G14" i="19"/>
  <c r="A27" i="19"/>
  <c r="A21" i="19"/>
  <c r="G21" i="19"/>
  <c r="G15" i="19"/>
  <c r="G11" i="19"/>
  <c r="G18" i="19"/>
  <c r="G13" i="19"/>
  <c r="A29" i="19"/>
  <c r="G26" i="19"/>
  <c r="G24" i="19"/>
  <c r="G23" i="19"/>
  <c r="G22" i="19"/>
  <c r="G17" i="19"/>
  <c r="G8" i="19"/>
  <c r="G29" i="19"/>
  <c r="G10" i="19"/>
  <c r="A24" i="19"/>
  <c r="G31" i="19"/>
  <c r="A8" i="19"/>
  <c r="A31" i="19"/>
  <c r="A16" i="19"/>
  <c r="G16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B25" i="19"/>
  <c r="D31" i="19"/>
  <c r="E21" i="19"/>
  <c r="D30" i="19"/>
  <c r="J31" i="19"/>
  <c r="K18" i="19"/>
  <c r="L17" i="19"/>
  <c r="L31" i="19"/>
  <c r="H18" i="19"/>
  <c r="J17" i="19"/>
  <c r="F27" i="19"/>
  <c r="D25" i="19"/>
  <c r="K14" i="19"/>
  <c r="D8" i="19"/>
  <c r="K24" i="19"/>
  <c r="B11" i="19"/>
  <c r="D24" i="19"/>
  <c r="C16" i="19"/>
  <c r="H21" i="19"/>
  <c r="J26" i="19"/>
  <c r="I24" i="19"/>
  <c r="H26" i="19"/>
  <c r="I14" i="19"/>
  <c r="B27" i="19"/>
  <c r="A14" i="19"/>
  <c r="I16" i="19"/>
  <c r="A9" i="19"/>
  <c r="I12" i="19"/>
  <c r="J10" i="19"/>
  <c r="K29" i="19"/>
  <c r="L24" i="19"/>
  <c r="L29" i="19"/>
  <c r="A18" i="19"/>
  <c r="B8" i="19"/>
  <c r="C30" i="19"/>
  <c r="J14" i="19"/>
  <c r="L27" i="19"/>
  <c r="C21" i="19"/>
  <c r="C26" i="19"/>
  <c r="F30" i="19"/>
  <c r="L12" i="19"/>
  <c r="H13" i="19"/>
  <c r="C8" i="19"/>
  <c r="K11" i="19"/>
  <c r="B29" i="19"/>
  <c r="K15" i="19"/>
  <c r="J21" i="19"/>
  <c r="I21" i="19"/>
  <c r="A15" i="19"/>
  <c r="K30" i="19"/>
  <c r="L13" i="19"/>
  <c r="E26" i="19"/>
  <c r="I18" i="19"/>
  <c r="J18" i="19"/>
  <c r="L23" i="19"/>
  <c r="B21" i="19"/>
  <c r="F25" i="19"/>
  <c r="H29" i="19"/>
  <c r="J20" i="19"/>
  <c r="F21" i="19"/>
  <c r="F16" i="19"/>
  <c r="H31" i="19"/>
  <c r="E11" i="19"/>
  <c r="L21" i="19"/>
  <c r="L25" i="19"/>
  <c r="D23" i="19"/>
  <c r="D29" i="19"/>
  <c r="I17" i="19"/>
  <c r="H23" i="19"/>
  <c r="C25" i="19"/>
  <c r="E30" i="19"/>
  <c r="J29" i="19"/>
  <c r="L19" i="19"/>
  <c r="H17" i="19"/>
  <c r="C11" i="19"/>
  <c r="H20" i="19"/>
  <c r="D13" i="19"/>
  <c r="E8" i="19"/>
  <c r="J22" i="19"/>
  <c r="I8" i="19"/>
  <c r="H11" i="19"/>
  <c r="J24" i="19"/>
  <c r="I23" i="19"/>
  <c r="B16" i="19"/>
  <c r="H22" i="19"/>
  <c r="A17" i="19"/>
  <c r="D16" i="19"/>
  <c r="E27" i="19"/>
  <c r="F23" i="19"/>
  <c r="J16" i="19"/>
  <c r="I27" i="19"/>
  <c r="B26" i="19"/>
  <c r="F8" i="19"/>
  <c r="C13" i="19"/>
  <c r="L15" i="19"/>
  <c r="A19" i="19"/>
  <c r="H24" i="19"/>
  <c r="K23" i="19"/>
  <c r="J8" i="19"/>
  <c r="K17" i="19"/>
  <c r="C31" i="19"/>
  <c r="E31" i="19"/>
  <c r="J25" i="19"/>
  <c r="J23" i="19"/>
  <c r="H27" i="19"/>
  <c r="K13" i="19"/>
  <c r="B13" i="19"/>
  <c r="L14" i="19"/>
  <c r="I22" i="19"/>
  <c r="L16" i="19"/>
  <c r="K26" i="19"/>
  <c r="H25" i="19"/>
  <c r="K20" i="19"/>
  <c r="J11" i="19"/>
  <c r="J12" i="19"/>
  <c r="L30" i="19"/>
  <c r="C24" i="19"/>
  <c r="L22" i="19"/>
  <c r="H16" i="19"/>
  <c r="B30" i="19"/>
  <c r="J13" i="19"/>
  <c r="I11" i="19"/>
  <c r="K9" i="19"/>
  <c r="J27" i="19"/>
  <c r="D27" i="19"/>
  <c r="H10" i="19"/>
  <c r="L26" i="19"/>
  <c r="I15" i="19"/>
  <c r="E23" i="19"/>
  <c r="I10" i="19"/>
  <c r="H15" i="19"/>
  <c r="I29" i="19"/>
  <c r="I26" i="19"/>
  <c r="J30" i="19"/>
  <c r="K22" i="19"/>
  <c r="K12" i="19"/>
  <c r="F11" i="19"/>
  <c r="E25" i="19"/>
  <c r="C27" i="19"/>
  <c r="F29" i="19"/>
  <c r="I31" i="19"/>
  <c r="K25" i="19"/>
  <c r="F31" i="19"/>
  <c r="H14" i="19"/>
  <c r="B24" i="19"/>
  <c r="B23" i="19"/>
  <c r="K31" i="19"/>
  <c r="I30" i="19"/>
  <c r="J15" i="19"/>
  <c r="E29" i="19"/>
  <c r="K8" i="19"/>
  <c r="A20" i="19"/>
  <c r="L11" i="19"/>
  <c r="L20" i="19"/>
  <c r="K16" i="19"/>
  <c r="D11" i="19"/>
  <c r="I9" i="19"/>
  <c r="I13" i="19"/>
  <c r="J19" i="19"/>
  <c r="L8" i="19"/>
  <c r="H12" i="19"/>
  <c r="E24" i="19"/>
  <c r="I19" i="19"/>
  <c r="K10" i="19"/>
  <c r="B31" i="19"/>
  <c r="I25" i="19"/>
  <c r="K19" i="19"/>
  <c r="L9" i="19"/>
  <c r="H9" i="19"/>
  <c r="E13" i="19"/>
  <c r="C29" i="19"/>
  <c r="A12" i="19"/>
  <c r="H30" i="19"/>
  <c r="H19" i="19"/>
  <c r="J9" i="19"/>
  <c r="A22" i="19"/>
  <c r="D21" i="19"/>
  <c r="H8" i="19"/>
  <c r="F26" i="19"/>
  <c r="D26" i="19"/>
  <c r="C23" i="19"/>
  <c r="E16" i="19"/>
  <c r="K27" i="19"/>
  <c r="K21" i="19"/>
  <c r="F13" i="19"/>
  <c r="L10" i="19"/>
  <c r="A10" i="19"/>
  <c r="I20" i="19"/>
  <c r="L18" i="19"/>
  <c r="F24" i="19"/>
  <c r="K45" i="3" l="1"/>
  <c r="O45" i="3"/>
  <c r="P45" i="3"/>
  <c r="K46" i="3"/>
  <c r="O46" i="3"/>
  <c r="P46" i="3"/>
  <c r="K47" i="3"/>
  <c r="O47" i="3"/>
  <c r="P47" i="3"/>
  <c r="K48" i="3"/>
  <c r="O48" i="3"/>
  <c r="P48" i="3"/>
  <c r="C17" i="19"/>
  <c r="F10" i="19"/>
  <c r="E17" i="19"/>
  <c r="D10" i="19"/>
  <c r="E12" i="19"/>
  <c r="D14" i="19"/>
  <c r="D20" i="19"/>
  <c r="E14" i="19"/>
  <c r="F17" i="19"/>
  <c r="B18" i="19"/>
  <c r="D22" i="19"/>
  <c r="E22" i="19"/>
  <c r="B15" i="19"/>
  <c r="E9" i="19"/>
  <c r="B20" i="19"/>
  <c r="D15" i="19"/>
  <c r="D12" i="19"/>
  <c r="B14" i="19"/>
  <c r="E10" i="19"/>
  <c r="F19" i="19"/>
  <c r="C10" i="19"/>
  <c r="B12" i="19"/>
  <c r="D17" i="19"/>
  <c r="B19" i="19"/>
  <c r="F14" i="19"/>
  <c r="E19" i="19"/>
  <c r="C14" i="19"/>
  <c r="B10" i="19"/>
  <c r="B22" i="19"/>
  <c r="B17" i="19"/>
  <c r="B9" i="19"/>
  <c r="C22" i="19"/>
  <c r="D9" i="19"/>
  <c r="D19" i="19"/>
  <c r="C9" i="19"/>
  <c r="F12" i="19"/>
  <c r="D18" i="19"/>
  <c r="C15" i="19"/>
  <c r="C19" i="19"/>
  <c r="C20" i="19"/>
  <c r="F18" i="19"/>
  <c r="F20" i="19"/>
  <c r="E20" i="19"/>
  <c r="F15" i="19"/>
  <c r="E18" i="19"/>
  <c r="C18" i="19"/>
  <c r="F9" i="19"/>
  <c r="F22" i="19"/>
  <c r="C12" i="19"/>
  <c r="E15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F36" i="14" s="1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F42" i="14" l="1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Q24" i="11"/>
  <c r="N24" i="11"/>
  <c r="M24" i="11"/>
  <c r="B24" i="11"/>
  <c r="A24" i="11"/>
  <c r="BW23" i="11"/>
  <c r="BV23" i="11"/>
  <c r="BF23" i="11"/>
  <c r="BD23" i="11"/>
  <c r="AX23" i="11"/>
  <c r="AV26" i="1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Y22" i="11" s="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AU19" i="11"/>
  <c r="D7" i="11" s="1"/>
  <c r="AL19" i="11"/>
  <c r="AC18" i="11"/>
  <c r="Q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Y13" i="11" s="1"/>
  <c r="AC13" i="11"/>
  <c r="N13" i="11"/>
  <c r="M13" i="11"/>
  <c r="E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E7" i="11"/>
  <c r="B7" i="11"/>
  <c r="A7" i="11"/>
  <c r="BW6" i="11"/>
  <c r="BV6" i="11"/>
  <c r="BR6" i="11"/>
  <c r="BF6" i="11"/>
  <c r="BD6" i="11"/>
  <c r="AX6" i="11"/>
  <c r="A30" i="11" s="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AU5" i="11"/>
  <c r="P2" i="11" s="1"/>
  <c r="AL5" i="11"/>
  <c r="AY2" i="11" s="1"/>
  <c r="D25" i="11" s="1"/>
  <c r="AC2" i="11"/>
  <c r="Q2" i="11"/>
  <c r="N2" i="11"/>
  <c r="M2" i="11"/>
  <c r="E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Y5" i="8" s="1"/>
  <c r="AL6" i="8"/>
  <c r="AL7" i="8"/>
  <c r="AL8" i="8"/>
  <c r="AY8" i="8" s="1"/>
  <c r="AL9" i="8"/>
  <c r="AY9" i="8" s="1"/>
  <c r="AL10" i="8"/>
  <c r="AY10" i="8" s="1"/>
  <c r="AL11" i="8"/>
  <c r="AL12" i="8"/>
  <c r="AY12" i="8" s="1"/>
  <c r="AL13" i="8"/>
  <c r="AL14" i="8"/>
  <c r="AL15" i="8"/>
  <c r="AL16" i="8"/>
  <c r="AY16" i="8" s="1"/>
  <c r="AL17" i="8"/>
  <c r="AY17" i="8" s="1"/>
  <c r="AL18" i="8"/>
  <c r="AY18" i="8" s="1"/>
  <c r="AL19" i="8"/>
  <c r="AL20" i="8"/>
  <c r="AL21" i="8"/>
  <c r="AL22" i="8"/>
  <c r="AL23" i="8"/>
  <c r="AL24" i="8"/>
  <c r="AY24" i="8" s="1"/>
  <c r="AL25" i="8"/>
  <c r="AY25" i="8" s="1"/>
  <c r="AL26" i="8"/>
  <c r="AY26" i="8" s="1"/>
  <c r="AL27" i="8"/>
  <c r="AL28" i="8"/>
  <c r="AY28" i="8" s="1"/>
  <c r="AL29" i="8"/>
  <c r="AL30" i="8"/>
  <c r="AL31" i="8"/>
  <c r="AL32" i="8"/>
  <c r="AY32" i="8" s="1"/>
  <c r="AL33" i="8"/>
  <c r="AY33" i="8" s="1"/>
  <c r="AL34" i="8"/>
  <c r="AY34" i="8" s="1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F8" i="5"/>
  <c r="B3" i="5"/>
  <c r="D8" i="5"/>
  <c r="N8" i="5"/>
  <c r="G8" i="5"/>
  <c r="O8" i="5"/>
  <c r="B8" i="5"/>
  <c r="I8" i="5"/>
  <c r="M8" i="5"/>
  <c r="K8" i="5"/>
  <c r="E8" i="5"/>
  <c r="C8" i="5"/>
  <c r="H8" i="5"/>
  <c r="J8" i="5"/>
  <c r="L8" i="5"/>
  <c r="A3" i="11" l="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J27" i="11" s="1"/>
  <c r="AY30" i="11"/>
  <c r="AY32" i="11"/>
  <c r="AY34" i="11"/>
  <c r="AY37" i="11"/>
  <c r="AY38" i="11"/>
  <c r="AY8" i="11"/>
  <c r="AY9" i="11"/>
  <c r="AY11" i="11"/>
  <c r="AY21" i="11"/>
  <c r="K44" i="11" s="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J16" i="11" s="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E37" i="11" l="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AW26" i="8" l="1"/>
  <c r="AW22" i="8"/>
  <c r="AW25" i="8"/>
  <c r="AW27" i="8"/>
  <c r="AW30" i="8"/>
  <c r="AW28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33" i="11" l="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33" i="11" l="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BK33" i="11" l="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32" i="11" l="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M4" i="5"/>
  <c r="L4" i="5"/>
  <c r="K4" i="5"/>
  <c r="H4" i="5"/>
  <c r="O6" i="5"/>
  <c r="B4" i="5"/>
  <c r="E6" i="5"/>
  <c r="J6" i="5"/>
  <c r="N6" i="5"/>
  <c r="N4" i="5"/>
  <c r="D6" i="5"/>
  <c r="F4" i="5"/>
  <c r="K6" i="5"/>
  <c r="H6" i="5"/>
  <c r="O4" i="5"/>
  <c r="E4" i="5"/>
  <c r="J4" i="5"/>
  <c r="I6" i="5"/>
  <c r="I4" i="5"/>
  <c r="F6" i="5"/>
  <c r="D4" i="5"/>
  <c r="G6" i="5"/>
  <c r="C6" i="5"/>
  <c r="C4" i="5"/>
  <c r="B6" i="5"/>
  <c r="L6" i="5"/>
  <c r="M6" i="5"/>
  <c r="G4" i="5"/>
  <c r="BM32" i="11" l="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AU26" i="4"/>
  <c r="P13" i="4" s="1"/>
  <c r="BW20" i="4"/>
  <c r="BV20" i="4"/>
  <c r="BF20" i="4"/>
  <c r="BD20" i="4"/>
  <c r="AY20" i="4"/>
  <c r="P3" i="4" s="1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H5" i="5"/>
  <c r="E3" i="5"/>
  <c r="J5" i="5"/>
  <c r="G3" i="5"/>
  <c r="F7" i="5"/>
  <c r="B5" i="5"/>
  <c r="G7" i="5"/>
  <c r="C7" i="5"/>
  <c r="N2" i="5"/>
  <c r="N7" i="5"/>
  <c r="F5" i="5"/>
  <c r="D5" i="5"/>
  <c r="E7" i="5"/>
  <c r="K5" i="5"/>
  <c r="I7" i="5"/>
  <c r="I2" i="5"/>
  <c r="D3" i="5"/>
  <c r="M2" i="5"/>
  <c r="K2" i="5"/>
  <c r="I3" i="5"/>
  <c r="G5" i="5"/>
  <c r="K3" i="5"/>
  <c r="L3" i="5"/>
  <c r="H3" i="5"/>
  <c r="D2" i="5"/>
  <c r="F2" i="5"/>
  <c r="H2" i="5"/>
  <c r="K7" i="5"/>
  <c r="O3" i="5"/>
  <c r="J2" i="5"/>
  <c r="F3" i="5"/>
  <c r="C5" i="5"/>
  <c r="M5" i="5"/>
  <c r="C3" i="5"/>
  <c r="H7" i="5"/>
  <c r="L2" i="5"/>
  <c r="L5" i="5"/>
  <c r="O7" i="5"/>
  <c r="J7" i="5"/>
  <c r="N5" i="5"/>
  <c r="M7" i="5"/>
  <c r="L7" i="5"/>
  <c r="C2" i="5"/>
  <c r="I5" i="5"/>
  <c r="N3" i="5"/>
  <c r="B2" i="5"/>
  <c r="G2" i="5"/>
  <c r="M3" i="5"/>
  <c r="O5" i="5"/>
  <c r="E2" i="5"/>
  <c r="B7" i="5"/>
  <c r="O2" i="5"/>
  <c r="D7" i="5"/>
  <c r="J3" i="5"/>
  <c r="E5" i="5"/>
  <c r="M3" i="4" l="1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P35" i="1" s="1"/>
  <c r="AX23" i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K36" i="1" s="1"/>
  <c r="AY23" i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AV5" i="1"/>
  <c r="E2" i="1" s="1"/>
  <c r="AV6" i="1"/>
  <c r="E7" i="1" s="1"/>
  <c r="AV7" i="1"/>
  <c r="AV8" i="1"/>
  <c r="AV9" i="1"/>
  <c r="Q29" i="1" s="1"/>
  <c r="AV11" i="1"/>
  <c r="AV14" i="1"/>
  <c r="E13" i="1" s="1"/>
  <c r="AV16" i="1"/>
  <c r="AV17" i="1"/>
  <c r="AV18" i="1"/>
  <c r="AV19" i="1"/>
  <c r="AV20" i="1"/>
  <c r="E35" i="1" s="1"/>
  <c r="AV22" i="1"/>
  <c r="AV24" i="1"/>
  <c r="Q2" i="1" s="1"/>
  <c r="AV26" i="1"/>
  <c r="AV27" i="1"/>
  <c r="E41" i="1" s="1"/>
  <c r="AV28" i="1"/>
  <c r="AV29" i="1"/>
  <c r="AV30" i="1"/>
  <c r="AV31" i="1"/>
  <c r="AV32" i="1"/>
  <c r="AV15" i="1"/>
  <c r="AV33" i="1"/>
  <c r="AV25" i="1"/>
  <c r="Q7" i="1" s="1"/>
  <c r="AV21" i="1"/>
  <c r="N35" i="1" s="1"/>
  <c r="AV23" i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6" i="1"/>
  <c r="AU17" i="1"/>
  <c r="AU18" i="1"/>
  <c r="AU19" i="1"/>
  <c r="AU20" i="1"/>
  <c r="AU22" i="1"/>
  <c r="AU24" i="1"/>
  <c r="AU26" i="1"/>
  <c r="AU27" i="1"/>
  <c r="AU28" i="1"/>
  <c r="AU29" i="1"/>
  <c r="AU30" i="1"/>
  <c r="AU31" i="1"/>
  <c r="AU32" i="1"/>
  <c r="AU15" i="1"/>
  <c r="AU33" i="1"/>
  <c r="AU25" i="1"/>
  <c r="AU21" i="1"/>
  <c r="M35" i="1" s="1"/>
  <c r="AU23" i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E12" i="3"/>
  <c r="N15" i="3"/>
  <c r="C8" i="3"/>
  <c r="N13" i="3"/>
  <c r="A15" i="3"/>
  <c r="E13" i="3"/>
  <c r="A14" i="3"/>
  <c r="A13" i="3"/>
  <c r="E11" i="3"/>
  <c r="D29" i="3"/>
  <c r="J14" i="3"/>
  <c r="G29" i="3"/>
  <c r="P29" i="3"/>
  <c r="G28" i="3"/>
  <c r="J13" i="3"/>
  <c r="E15" i="3"/>
  <c r="M30" i="3"/>
  <c r="J15" i="3"/>
  <c r="J12" i="3"/>
  <c r="P30" i="3"/>
  <c r="M29" i="3"/>
  <c r="D30" i="3"/>
  <c r="G30" i="3"/>
  <c r="A11" i="3"/>
  <c r="J11" i="3"/>
  <c r="E14" i="3"/>
  <c r="N12" i="3"/>
  <c r="N14" i="3"/>
  <c r="N11" i="3"/>
  <c r="A12" i="3"/>
  <c r="D28" i="3"/>
  <c r="L8" i="3"/>
  <c r="Q24" i="1" l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J23" i="3"/>
  <c r="C13" i="3"/>
  <c r="P15" i="3"/>
  <c r="G12" i="3"/>
  <c r="C11" i="3"/>
  <c r="C15" i="3"/>
  <c r="P12" i="3"/>
  <c r="L14" i="3"/>
  <c r="L11" i="3"/>
  <c r="P13" i="3"/>
  <c r="G15" i="3"/>
  <c r="C12" i="3"/>
  <c r="P26" i="3"/>
  <c r="L13" i="3"/>
  <c r="L12" i="3"/>
  <c r="M26" i="3"/>
  <c r="M23" i="3"/>
  <c r="L15" i="3"/>
  <c r="J30" i="3"/>
  <c r="G13" i="3"/>
  <c r="M22" i="3"/>
  <c r="C14" i="3"/>
  <c r="G11" i="3"/>
  <c r="G14" i="3"/>
  <c r="J28" i="3"/>
  <c r="P14" i="3"/>
  <c r="P23" i="3"/>
  <c r="P22" i="3"/>
  <c r="P11" i="3"/>
  <c r="BC2" i="2" l="1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H6" i="3"/>
  <c r="P6" i="3"/>
  <c r="G6" i="3"/>
  <c r="I6" i="3"/>
  <c r="BC3" i="2"/>
  <c r="BC10" i="2"/>
  <c r="BC13" i="2"/>
  <c r="BC9" i="2"/>
  <c r="BC5" i="2"/>
  <c r="BC14" i="2"/>
  <c r="BC6" i="2"/>
  <c r="BC12" i="2"/>
  <c r="BC8" i="2"/>
  <c r="BC4" i="2"/>
  <c r="BC15" i="2"/>
  <c r="A5" i="3" s="1"/>
  <c r="BC11" i="2"/>
  <c r="BC7" i="2"/>
  <c r="L28" i="3"/>
  <c r="R23" i="3"/>
  <c r="R26" i="3"/>
  <c r="R22" i="3"/>
  <c r="L30" i="3"/>
  <c r="A30" i="3"/>
  <c r="G19" i="3"/>
  <c r="L23" i="3"/>
  <c r="O22" i="3"/>
  <c r="O23" i="3"/>
  <c r="O26" i="3"/>
  <c r="Q6" i="3" l="1"/>
  <c r="J5" i="3"/>
  <c r="R6" i="3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M19" i="3"/>
  <c r="P19" i="3"/>
  <c r="D20" i="3"/>
  <c r="G20" i="3"/>
  <c r="M21" i="3"/>
  <c r="A20" i="3"/>
  <c r="J22" i="3"/>
  <c r="D21" i="3"/>
  <c r="A26" i="3"/>
  <c r="C30" i="3"/>
  <c r="M20" i="3"/>
  <c r="P20" i="3"/>
  <c r="I19" i="3"/>
  <c r="J29" i="3"/>
  <c r="A27" i="3"/>
  <c r="A22" i="3"/>
  <c r="J20" i="3"/>
  <c r="J19" i="3"/>
  <c r="J26" i="3"/>
  <c r="J21" i="3"/>
  <c r="A21" i="3"/>
  <c r="J27" i="3"/>
  <c r="G23" i="3"/>
  <c r="P21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C26" i="3"/>
  <c r="R19" i="3"/>
  <c r="R20" i="3"/>
  <c r="L21" i="3"/>
  <c r="F21" i="3"/>
  <c r="I20" i="3"/>
  <c r="F20" i="3"/>
  <c r="L20" i="3"/>
  <c r="C21" i="3"/>
  <c r="L22" i="3"/>
  <c r="A23" i="3"/>
  <c r="L27" i="3"/>
  <c r="A19" i="3"/>
  <c r="G26" i="3"/>
  <c r="I23" i="3"/>
  <c r="O20" i="3"/>
  <c r="L29" i="3"/>
  <c r="D22" i="3"/>
  <c r="C27" i="3"/>
  <c r="L26" i="3"/>
  <c r="D26" i="3"/>
  <c r="G21" i="3"/>
  <c r="A29" i="3"/>
  <c r="G22" i="3"/>
  <c r="D19" i="3"/>
  <c r="C20" i="3"/>
  <c r="R21" i="3"/>
  <c r="C22" i="3"/>
  <c r="D23" i="3"/>
  <c r="O19" i="3"/>
  <c r="A28" i="3"/>
  <c r="O21" i="3"/>
  <c r="L19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I26" i="3"/>
  <c r="C28" i="3"/>
  <c r="F23" i="3"/>
  <c r="I22" i="3"/>
  <c r="C19" i="3"/>
  <c r="C29" i="3"/>
  <c r="F26" i="3"/>
  <c r="C23" i="3"/>
  <c r="F19" i="3"/>
  <c r="F22" i="3"/>
  <c r="I21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P28" i="3"/>
  <c r="M27" i="3"/>
  <c r="P27" i="3"/>
  <c r="M28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<sst xmlns="http://schemas.openxmlformats.org/spreadsheetml/2006/main" count="4185" uniqueCount="1392">
  <si>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</si>
  <si>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</si>
  <si>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</si>
  <si>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</si>
  <si>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</si>
  <si>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</si>
  <si>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</si>
  <si>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</si>
  <si>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</si>
  <si>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</si>
  <si>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</si>
  <si>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</si>
  <si>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</si>
  <si>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</si>
  <si>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</si>
  <si>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</si>
  <si>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</si>
  <si>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</si>
  <si>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</si>
  <si>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</si>
  <si>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</si>
  <si>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</si>
  <si>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</si>
  <si>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</si>
  <si>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</si>
  <si>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</si>
  <si>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</si>
  <si>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</si>
  <si>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</si>
  <si>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</si>
  <si>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</si>
  <si>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</si>
  <si>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</si>
  <si>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</si>
  <si>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</si>
  <si>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</si>
  <si>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</si>
  <si>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</si>
  <si>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</si>
  <si>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</si>
  <si>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</si>
  <si>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</si>
  <si>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</si>
  <si>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</si>
  <si>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</si>
  <si>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</si>
  <si>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</si>
  <si>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</si>
  <si>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</si>
  <si>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</si>
  <si>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</si>
  <si>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</si>
  <si>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</si>
  <si>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</si>
  <si>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</si>
  <si>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</si>
  <si>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</si>
  <si>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</si>
  <si>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</si>
  <si>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</si>
  <si>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</si>
  <si>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</si>
  <si>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</si>
  <si>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</si>
  <si>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</si>
  <si>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</si>
  <si>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</si>
  <si>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</si>
  <si>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</si>
  <si>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</si>
  <si>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</si>
  <si>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</si>
  <si>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</si>
  <si>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</si>
  <si>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</si>
  <si>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</si>
  <si>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</si>
  <si>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</si>
  <si>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</si>
  <si>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</si>
  <si>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</si>
  <si>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</si>
  <si>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</si>
  <si>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</si>
  <si>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</si>
  <si>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</si>
  <si>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</si>
  <si>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</si>
  <si>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</si>
  <si>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</si>
  <si>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</si>
  <si>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</si>
  <si>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</si>
  <si>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</si>
  <si>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</si>
  <si>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</si>
  <si>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</si>
  <si>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</si>
  <si>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</si>
  <si>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</si>
  <si>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</si>
  <si>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</si>
  <si>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</si>
  <si>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</si>
  <si>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</si>
  <si>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</si>
  <si>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</si>
  <si>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</si>
  <si>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</si>
  <si>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</si>
  <si>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</si>
  <si>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</si>
  <si>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</si>
  <si>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</si>
  <si>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</si>
  <si>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</si>
  <si>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</si>
  <si>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</si>
  <si>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</si>
  <si>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</si>
  <si>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</si>
  <si>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</si>
  <si>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</si>
  <si>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</si>
  <si>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</si>
  <si>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</si>
  <si>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</si>
  <si>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</si>
  <si>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</si>
  <si>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</si>
  <si>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</si>
  <si>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</si>
  <si>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</si>
  <si>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</si>
  <si>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</si>
  <si>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</si>
  <si>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</si>
  <si>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</si>
  <si>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</si>
  <si>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</si>
  <si>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</si>
  <si>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</si>
  <si>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</si>
  <si>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</si>
  <si>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</si>
  <si>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</si>
  <si>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</si>
  <si>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</si>
  <si>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</si>
  <si>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</si>
  <si>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</si>
  <si>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</si>
  <si>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</si>
  <si>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</si>
  <si>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</si>
  <si>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</si>
  <si>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</si>
  <si>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</si>
  <si>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</si>
  <si>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</si>
  <si>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</si>
  <si>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</si>
  <si>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</si>
  <si>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</si>
  <si>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</si>
  <si>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</si>
  <si>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</si>
  <si>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</si>
  <si>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</si>
  <si>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</si>
  <si>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</si>
  <si>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</si>
  <si>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</si>
  <si>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</si>
  <si>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</si>
  <si>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</si>
  <si>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</si>
  <si>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</si>
  <si>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</si>
  <si>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</si>
  <si>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</si>
  <si>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</si>
  <si>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</si>
  <si>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</si>
  <si>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</si>
  <si>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</si>
  <si>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</si>
  <si>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</si>
  <si>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</si>
  <si>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</si>
  <si>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</si>
  <si>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</si>
  <si>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</si>
  <si>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</si>
  <si>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</si>
  <si>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</si>
  <si>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</si>
  <si>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</si>
  <si>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</si>
  <si>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</si>
  <si>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</si>
  <si>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</si>
  <si>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</si>
  <si>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</si>
  <si>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</si>
  <si>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</si>
  <si>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</si>
  <si>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</si>
  <si>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</si>
  <si>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</si>
  <si>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</si>
  <si>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</si>
  <si>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</si>
  <si>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</si>
  <si>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</si>
  <si>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</si>
  <si>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</si>
  <si>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</si>
  <si>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</si>
  <si>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</si>
  <si>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</si>
  <si>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</si>
  <si>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</si>
  <si>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</si>
  <si>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</si>
  <si>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</si>
  <si>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</si>
  <si>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</si>
  <si>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</si>
  <si>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</si>
  <si>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</si>
  <si>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</si>
  <si>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</si>
  <si>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</si>
  <si>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</si>
  <si>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</si>
  <si>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</si>
  <si>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</si>
  <si>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</si>
  <si>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</si>
  <si>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</si>
  <si>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</si>
  <si>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</si>
  <si>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</si>
  <si>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</si>
  <si>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</si>
  <si>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</si>
  <si>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</si>
  <si>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</si>
  <si>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</si>
  <si>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</si>
  <si>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</si>
  <si>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</si>
  <si>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</si>
  <si>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</si>
  <si>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</si>
  <si>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</si>
  <si>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</si>
  <si>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</si>
  <si>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</si>
  <si>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</si>
  <si>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</si>
  <si>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</si>
  <si>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</si>
  <si>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</si>
  <si>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</si>
  <si>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</si>
  <si>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</si>
  <si>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</si>
  <si>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</si>
  <si>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</si>
  <si>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</si>
  <si>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</si>
  <si>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</si>
  <si>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</si>
  <si>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</si>
  <si>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</si>
  <si>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</si>
  <si>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</si>
  <si>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</si>
  <si>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</si>
  <si>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</si>
  <si>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</si>
  <si>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</si>
  <si>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</si>
  <si>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</si>
  <si>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</si>
  <si>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</si>
  <si>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</si>
  <si>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</si>
  <si>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</si>
  <si>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</si>
  <si>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</si>
  <si>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</si>
  <si>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</si>
  <si>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</si>
  <si>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</si>
  <si>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</si>
  <si>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</si>
  <si>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</si>
  <si>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</si>
  <si>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</si>
  <si>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</si>
  <si>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</si>
  <si>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</si>
  <si>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</si>
  <si>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</si>
  <si>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</si>
  <si>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</si>
  <si>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</si>
  <si>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</si>
  <si>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</si>
  <si>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</si>
  <si>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</si>
  <si>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</si>
  <si>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</si>
  <si>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</si>
  <si>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</si>
  <si>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</si>
  <si>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</si>
  <si>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</si>
  <si>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</si>
  <si>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</si>
  <si>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</si>
  <si>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</si>
  <si>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</si>
  <si>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</si>
  <si>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</si>
  <si>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</si>
  <si>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</si>
  <si>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</si>
  <si>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</si>
  <si>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</si>
  <si>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</si>
  <si>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</si>
  <si>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</si>
  <si>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</si>
  <si>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</si>
  <si>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</si>
  <si>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</si>
  <si>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</si>
  <si>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</si>
  <si>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</si>
  <si>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</si>
  <si>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</si>
  <si>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</si>
  <si>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</si>
  <si>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</si>
  <si>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</si>
  <si>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</si>
  <si>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</si>
  <si>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</si>
  <si>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</si>
  <si>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</si>
  <si>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</si>
  <si>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</si>
  <si>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</si>
  <si>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</si>
  <si>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</si>
  <si>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</si>
  <si>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</si>
  <si>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</si>
  <si>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</si>
  <si>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</si>
  <si>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</si>
  <si>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</si>
  <si>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</si>
  <si>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</si>
  <si>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</si>
  <si>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</si>
  <si>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</si>
  <si>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</si>
  <si>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</si>
  <si>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</si>
  <si>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</si>
  <si>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</si>
  <si>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</si>
  <si>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</si>
  <si>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</si>
  <si>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</si>
  <si>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</si>
  <si>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</si>
  <si>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</si>
  <si>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</si>
  <si>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</si>
  <si>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</si>
  <si>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</si>
  <si>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</si>
  <si>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</si>
  <si>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</si>
  <si>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</si>
  <si>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</si>
  <si>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</si>
  <si>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</si>
  <si>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</si>
  <si>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</si>
  <si>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</si>
  <si>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</si>
  <si>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</si>
  <si>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</si>
  <si>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</si>
  <si>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</si>
  <si>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</si>
  <si>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</si>
  <si>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</si>
  <si>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</si>
  <si>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</si>
  <si>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</si>
  <si>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</si>
  <si>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</si>
  <si>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</si>
  <si>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</si>
  <si>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</si>
  <si>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</si>
  <si>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</si>
  <si>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</si>
  <si>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</si>
  <si>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</si>
  <si>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</si>
  <si>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</si>
  <si>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</si>
  <si>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</si>
  <si>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</si>
  <si>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</si>
  <si>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</si>
  <si>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</si>
  <si>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</si>
  <si>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</si>
  <si>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</si>
  <si>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</si>
  <si>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</si>
  <si>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</si>
  <si>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</si>
  <si>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</si>
  <si>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</si>
  <si>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</si>
  <si>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</si>
  <si>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</si>
  <si>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</si>
  <si>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</si>
  <si>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</si>
  <si>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</si>
  <si>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</si>
  <si>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</si>
  <si>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</si>
  <si>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</si>
  <si>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</si>
  <si>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</si>
  <si>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</si>
  <si>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</si>
  <si>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</si>
  <si>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</si>
  <si>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</si>
  <si>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</si>
  <si>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</si>
  <si>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</si>
  <si>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</si>
  <si>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</si>
  <si>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</si>
  <si>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</si>
  <si>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</si>
  <si>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</si>
  <si>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</si>
  <si>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</si>
  <si>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</si>
  <si>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</si>
  <si>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</si>
  <si>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</si>
  <si>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</si>
  <si>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</si>
  <si>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</si>
  <si>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</si>
  <si>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</si>
  <si>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</si>
  <si>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</si>
  <si>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</si>
  <si>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</si>
  <si>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</si>
  <si>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</si>
  <si>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</si>
  <si>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</si>
  <si>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</si>
  <si>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</si>
  <si>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</si>
  <si>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</si>
  <si>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</si>
  <si>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</si>
  <si>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</si>
  <si>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</si>
  <si>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</si>
  <si>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</si>
  <si>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</si>
  <si>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</si>
  <si>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</si>
  <si>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</si>
  <si>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</si>
  <si>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</si>
  <si>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</si>
  <si>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</si>
  <si>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</si>
  <si>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</si>
  <si>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</si>
  <si>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</si>
  <si>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</si>
  <si>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</si>
  <si>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</si>
  <si>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</si>
  <si>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</si>
  <si>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</si>
  <si>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</si>
  <si>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</si>
  <si>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</si>
  <si>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</si>
  <si>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</si>
  <si>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</si>
  <si>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</si>
  <si>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</si>
  <si>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</si>
  <si>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</si>
  <si>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</si>
  <si>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</si>
  <si>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</si>
  <si>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</si>
  <si>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</si>
  <si>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</si>
  <si>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</si>
  <si>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</si>
  <si>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</si>
  <si>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</si>
  <si>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</si>
  <si>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</si>
  <si>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</si>
  <si>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</si>
  <si>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</si>
  <si>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</si>
  <si>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</si>
  <si>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</si>
  <si>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</si>
  <si>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</si>
  <si>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</si>
  <si>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</si>
  <si>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</si>
  <si>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</si>
  <si>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</si>
  <si>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</si>
  <si>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</si>
  <si>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</si>
  <si>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</si>
  <si>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</si>
  <si>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</si>
  <si>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</si>
  <si>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</si>
  <si>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</si>
  <si>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</si>
  <si>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</si>
  <si>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</si>
  <si>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</si>
  <si>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</si>
  <si>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</si>
  <si>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</si>
  <si>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</si>
  <si>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</si>
  <si>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</si>
  <si>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</si>
  <si>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</si>
  <si>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</si>
  <si>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</si>
  <si>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</si>
  <si>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</si>
  <si>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</si>
  <si>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</si>
  <si>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</si>
  <si>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</si>
  <si>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</si>
  <si>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</si>
  <si>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</si>
  <si>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</si>
  <si>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</si>
  <si>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</si>
  <si>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</si>
  <si>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</si>
  <si>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</si>
  <si>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</si>
  <si>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</si>
  <si>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</si>
  <si>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</si>
  <si>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</si>
  <si>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</si>
  <si>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</si>
  <si>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</si>
  <si>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</si>
  <si>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</si>
  <si>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</si>
  <si>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</si>
  <si>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</si>
  <si>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</si>
  <si>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</si>
  <si>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</si>
  <si>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</si>
  <si>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</si>
  <si>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</si>
  <si>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</si>
  <si>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</si>
  <si>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</si>
  <si>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</si>
  <si>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</si>
  <si>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</si>
  <si>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</si>
  <si>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</si>
  <si>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</si>
  <si>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</si>
  <si>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</si>
  <si>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</si>
  <si>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</si>
  <si>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</si>
  <si>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</si>
  <si>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</si>
  <si>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</si>
  <si>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</si>
  <si>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</si>
  <si>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</si>
  <si>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</si>
  <si>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</si>
  <si>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</si>
  <si>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</si>
  <si>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</si>
  <si>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</si>
  <si>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</si>
  <si>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</si>
  <si>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</si>
  <si>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</si>
  <si>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</si>
  <si>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</si>
  <si>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</si>
  <si>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</si>
  <si>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</si>
  <si>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</si>
  <si>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</si>
  <si>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</si>
  <si>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</si>
  <si>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</si>
  <si>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</si>
  <si>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</si>
  <si>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</si>
  <si>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</si>
  <si>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</si>
  <si>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</si>
  <si>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</si>
  <si>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</si>
  <si>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</si>
  <si>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</si>
  <si>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</si>
  <si>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</si>
  <si>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</si>
  <si>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</si>
  <si>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</si>
  <si>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</si>
  <si>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</si>
  <si>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</si>
  <si>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</si>
  <si>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</si>
  <si>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</si>
  <si>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</si>
  <si>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</si>
  <si>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</si>
  <si>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</si>
  <si>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</si>
  <si>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</si>
  <si>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</si>
  <si>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</si>
  <si>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</si>
  <si>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</si>
  <si>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</si>
  <si>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</si>
  <si>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</si>
  <si>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</si>
  <si>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</si>
  <si>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</si>
  <si>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</si>
  <si>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</si>
  <si>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</si>
  <si>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</si>
  <si>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</si>
  <si>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</si>
  <si>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</si>
  <si>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</si>
  <si>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</si>
  <si>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</si>
  <si>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</si>
  <si>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</si>
  <si>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</si>
  <si>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</si>
  <si>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</si>
  <si>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</si>
  <si>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</si>
  <si>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</si>
  <si>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</si>
  <si>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</si>
  <si>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</si>
  <si>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</si>
  <si>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</si>
  <si>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</si>
  <si>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</si>
  <si>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</si>
  <si>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</si>
  <si>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</si>
  <si>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</si>
  <si>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</si>
  <si>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</si>
  <si>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</si>
  <si>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</si>
  <si>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</si>
  <si>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</si>
  <si>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</si>
  <si>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</si>
  <si>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</si>
  <si>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</si>
  <si>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</si>
  <si>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</si>
  <si>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</si>
  <si>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</si>
  <si>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</si>
  <si>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</si>
  <si>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</si>
  <si>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</si>
  <si>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</si>
  <si>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</si>
  <si>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</si>
  <si>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</si>
  <si>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</si>
  <si>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</si>
  <si>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</si>
  <si>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</si>
  <si>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</si>
  <si>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</si>
  <si>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</si>
  <si>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</si>
  <si>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</si>
  <si>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</si>
  <si>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</si>
  <si>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</si>
  <si>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</si>
  <si>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</si>
  <si>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</si>
  <si>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</si>
  <si>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</si>
  <si>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</si>
  <si>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</si>
  <si>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</si>
  <si>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</si>
  <si>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</si>
  <si>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</si>
  <si>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</si>
  <si>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</si>
  <si>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</si>
  <si>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</si>
  <si>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</si>
  <si>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</si>
  <si>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</si>
  <si>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</si>
  <si>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</si>
  <si>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</si>
  <si>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</si>
  <si>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</si>
  <si>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</si>
  <si>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</si>
  <si>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</si>
  <si>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</si>
  <si>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</si>
  <si>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</si>
  <si>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</si>
  <si>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</si>
  <si>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</si>
  <si>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</si>
  <si>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</si>
  <si>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</si>
  <si>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</si>
  <si>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</si>
  <si>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</si>
  <si>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</si>
  <si>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</si>
  <si>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</si>
  <si>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</si>
  <si>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</si>
  <si>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</si>
  <si>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</si>
  <si>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</si>
  <si>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</si>
  <si>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</si>
  <si>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</si>
  <si>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</si>
  <si>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</si>
  <si>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</si>
  <si>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</si>
  <si>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</si>
  <si>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</si>
  <si>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</si>
  <si>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</si>
  <si>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</si>
  <si>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</si>
  <si>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</si>
  <si>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</si>
  <si>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</si>
  <si>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</si>
  <si>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</si>
  <si>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</si>
  <si>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</si>
  <si>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</si>
  <si>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</si>
  <si>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</si>
  <si>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</si>
  <si>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</si>
  <si>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</si>
  <si>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</si>
  <si>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</si>
  <si>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</si>
  <si>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</si>
  <si>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</si>
  <si>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</si>
  <si>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</si>
  <si>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</si>
  <si>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</si>
  <si>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</si>
  <si>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</si>
  <si>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</si>
  <si>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</si>
  <si>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</si>
  <si>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</si>
  <si>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</si>
  <si>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</si>
  <si>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</si>
  <si>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</si>
  <si>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</si>
  <si>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</si>
  <si>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</si>
  <si>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</si>
  <si>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</si>
  <si>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</si>
  <si>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</si>
  <si>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</si>
  <si>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</si>
  <si>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</si>
  <si>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</si>
  <si>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</si>
  <si>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</si>
  <si>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</si>
  <si>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</si>
  <si>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</si>
  <si>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</si>
  <si>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</si>
  <si>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</si>
  <si>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</si>
  <si>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</si>
  <si>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</si>
  <si>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</si>
  <si>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</si>
  <si>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</si>
  <si>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</si>
  <si>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</si>
  <si>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</si>
  <si>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</si>
  <si>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</si>
  <si>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</si>
  <si>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</si>
  <si>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</si>
  <si>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</si>
  <si>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</si>
  <si>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</si>
  <si>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</si>
  <si>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</si>
  <si>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</si>
  <si>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</si>
  <si>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</si>
  <si>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</si>
  <si>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</si>
  <si>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</si>
  <si>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</si>
  <si>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</si>
  <si>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</si>
  <si>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</si>
  <si>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</si>
  <si>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</si>
  <si>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</si>
  <si>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</si>
  <si>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</si>
  <si>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</si>
  <si>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</si>
  <si>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</si>
  <si>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</si>
  <si>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</si>
  <si>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</si>
  <si>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</si>
  <si>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</si>
  <si>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</si>
  <si>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</si>
  <si>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</si>
  <si>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</si>
  <si>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</si>
  <si>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</si>
  <si>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</si>
  <si>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</si>
  <si>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</si>
  <si>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</si>
  <si>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</si>
  <si>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</si>
  <si>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</si>
  <si>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</si>
  <si>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</si>
  <si>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</si>
  <si>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</si>
  <si>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</si>
  <si>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</si>
  <si>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</si>
  <si>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</si>
  <si>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</si>
  <si>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</si>
  <si>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</si>
  <si>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</si>
  <si>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</si>
  <si>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</si>
  <si>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</si>
  <si>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</si>
  <si>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</si>
  <si>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</si>
  <si>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</si>
  <si>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</si>
  <si>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</si>
  <si>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</si>
  <si>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</si>
  <si>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</si>
  <si>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</si>
  <si>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</si>
  <si>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</si>
  <si>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</si>
  <si>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</si>
  <si>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</si>
  <si>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</si>
  <si>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</si>
  <si>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</si>
  <si>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</si>
  <si>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</si>
  <si>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</si>
  <si>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</si>
  <si>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</si>
  <si>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</si>
  <si>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</si>
  <si>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</si>
  <si>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</si>
  <si>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</si>
  <si>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</si>
  <si>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</si>
  <si>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</si>
  <si>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</si>
  <si>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</si>
  <si>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</si>
  <si>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</si>
  <si>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</si>
  <si>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</si>
  <si>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</si>
  <si>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</si>
  <si>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</si>
  <si>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</si>
  <si>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</si>
  <si>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</si>
  <si>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</si>
  <si>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</si>
  <si>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</si>
  <si>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</si>
  <si>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</si>
  <si>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</si>
  <si>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</si>
  <si>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</si>
  <si>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</si>
  <si>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</si>
  <si>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</si>
  <si>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</si>
  <si>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</si>
  <si>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</si>
  <si>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</si>
  <si>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</si>
  <si>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</si>
  <si>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</si>
  <si>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</si>
  <si>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</si>
  <si>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</si>
  <si>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31. 10.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</si>
  <si>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</si>
  <si>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</si>
  <si>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</si>
  <si>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</si>
  <si>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</si>
  <si>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</si>
  <si>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</si>
  <si>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</si>
  <si>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</si>
  <si>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</si>
  <si>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</si>
  <si>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</si>
  <si>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</si>
  <si>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</si>
  <si>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</si>
  <si>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</si>
  <si>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</si>
  <si>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</si>
  <si>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</si>
  <si>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</si>
  <si>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</si>
  <si>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</si>
  <si>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</si>
  <si>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</si>
  <si>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</si>
  <si>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</si>
  <si>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</si>
  <si>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</si>
  <si>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</si>
  <si>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</si>
  <si>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</si>
  <si>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</si>
  <si>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</si>
  <si>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</si>
  <si>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</si>
  <si>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</si>
  <si>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</si>
  <si>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</si>
  <si>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</si>
  <si>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</si>
  <si>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</si>
  <si>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</si>
  <si>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</si>
  <si>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</si>
  <si>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</si>
  <si>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</si>
  <si>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</si>
  <si>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</si>
  <si>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</si>
  <si>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</si>
  <si>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</si>
  <si>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</si>
  <si>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</si>
  <si>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</si>
  <si>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</si>
  <si>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</si>
  <si>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</si>
  <si>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</si>
  <si>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</si>
  <si>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</si>
  <si>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</si>
  <si>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</si>
  <si>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</si>
  <si>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</si>
  <si>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</si>
  <si>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</si>
  <si>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</si>
  <si>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</si>
  <si>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</si>
  <si>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</si>
  <si>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</si>
  <si>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</si>
  <si>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</si>
  <si>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</si>
  <si>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</si>
  <si>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</si>
  <si>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</si>
  <si>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proti CLP první výhra od 30. 1.</t>
  </si>
  <si>
    <t>proti CLP 5 využitých PP ze 6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</si>
  <si>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</si>
  <si>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</si>
  <si>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</si>
  <si>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</si>
  <si>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</si>
  <si>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</si>
  <si>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</si>
  <si>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</si>
  <si>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</si>
  <si>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</si>
  <si>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</si>
  <si>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</si>
  <si>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</si>
  <si>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</si>
  <si>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</si>
  <si>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</si>
  <si>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</si>
  <si>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</si>
  <si>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</si>
  <si>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</si>
  <si>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</si>
  <si>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</si>
  <si>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</si>
  <si>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</si>
  <si>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</si>
  <si>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</si>
  <si>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</si>
  <si>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</si>
  <si>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</si>
  <si>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</si>
  <si>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</si>
  <si>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</si>
  <si>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</si>
  <si>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</si>
  <si>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4:5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</si>
  <si>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</si>
  <si>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</si>
  <si>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</si>
  <si>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</si>
  <si>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</si>
  <si>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</si>
  <si>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</si>
  <si>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</si>
  <si>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</si>
  <si>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</si>
  <si>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</si>
  <si>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</si>
  <si>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</si>
  <si>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</si>
  <si>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</si>
  <si>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</si>
  <si>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</si>
  <si>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</si>
  <si>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</si>
  <si>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</si>
  <si>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</si>
  <si>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</si>
  <si>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</si>
  <si>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</si>
  <si>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</si>
  <si>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</si>
  <si>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Z_pom_STATS_find_two_teams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</si>
  <si>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</si>
  <si>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</si>
  <si>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</si>
  <si>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</si>
  <si>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</si>
  <si>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</si>
  <si>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</si>
  <si>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</si>
  <si>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</si>
  <si>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</si>
  <si>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</si>
  <si>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</si>
  <si>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</si>
  <si>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</si>
  <si>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</si>
  <si>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</si>
  <si>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</si>
  <si>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</si>
  <si>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</si>
  <si>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</si>
  <si>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</si>
  <si>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</si>
  <si>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</si>
  <si>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</si>
  <si>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</si>
  <si>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</si>
  <si>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</si>
  <si>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</si>
  <si>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</si>
  <si>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</si>
  <si>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</si>
  <si>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</si>
  <si>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</si>
  <si>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</si>
  <si>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</si>
  <si>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</si>
  <si>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</si>
  <si>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</si>
  <si>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</si>
  <si>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</si>
  <si>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</si>
  <si>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</si>
  <si>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</si>
  <si>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</si>
  <si>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</si>
  <si>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</si>
  <si>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</si>
  <si>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</si>
  <si>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</si>
  <si>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</si>
  <si>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</si>
  <si>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</si>
  <si>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</si>
  <si>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</si>
  <si>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</si>
  <si>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</si>
  <si>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</si>
  <si>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</si>
  <si>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</si>
  <si>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</si>
  <si>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</si>
  <si>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</si>
  <si>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</si>
  <si>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</si>
  <si>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</si>
  <si>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</si>
  <si>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</si>
  <si>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</si>
  <si>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</si>
  <si>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</si>
  <si>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</si>
  <si>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</si>
  <si>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</si>
  <si>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</si>
  <si>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</si>
  <si>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</si>
  <si>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</si>
  <si>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</si>
  <si>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</si>
  <si>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</si>
  <si>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</si>
  <si>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</si>
  <si>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</si>
  <si>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</si>
  <si>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</si>
  <si>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</si>
  <si>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</si>
  <si>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</si>
  <si>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</si>
  <si>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</si>
  <si>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</si>
  <si>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5. Šimon Hronek</t>
  </si>
  <si>
    <t>1. Zdeněk Raška</t>
  </si>
  <si>
    <t>6,90</t>
  </si>
  <si>
    <t>2. Filip Létal</t>
  </si>
  <si>
    <t>3. Ondřej Kolajta</t>
  </si>
  <si>
    <t>3. Marek Fuchs</t>
  </si>
  <si>
    <t>4. Lukáš Jalový</t>
  </si>
  <si>
    <t>5. Matěj Kostka</t>
  </si>
  <si>
    <t>2. Jiří Juhaňák</t>
  </si>
  <si>
    <t>3. Lukáš Vlach</t>
  </si>
  <si>
    <t>4. Tomáš Brom</t>
  </si>
  <si>
    <t>5. David Sládeček</t>
  </si>
  <si>
    <t>1. Matěj Hronek</t>
  </si>
  <si>
    <t>2. René Slezák</t>
  </si>
  <si>
    <t>3. Lukáš Lhota</t>
  </si>
  <si>
    <t>Martin Umlášek</t>
  </si>
  <si>
    <t>Jiří Hájek</t>
  </si>
  <si>
    <t>Nikolas Zouhar</t>
  </si>
  <si>
    <t>Štěpán Musil</t>
  </si>
  <si>
    <t>2:5</t>
  </si>
  <si>
    <t>2:6</t>
  </si>
  <si>
    <t>1:12</t>
  </si>
  <si>
    <t>26. 11.</t>
  </si>
  <si>
    <t>P - P - P - PP - P - P - P - P - V - P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</si>
  <si>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</si>
  <si>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</si>
  <si>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</si>
  <si>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</si>
  <si>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</si>
  <si>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</si>
  <si>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</si>
  <si>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</si>
  <si>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</si>
  <si>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</si>
  <si>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</si>
  <si>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</si>
  <si>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</si>
  <si>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</si>
  <si>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</si>
  <si>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</si>
  <si>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</si>
  <si>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</si>
  <si>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</si>
  <si>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</si>
  <si>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</si>
  <si>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</si>
  <si>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</si>
  <si>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</si>
  <si>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</si>
  <si>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</si>
  <si>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</si>
  <si>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</si>
  <si>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</si>
  <si>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</si>
  <si>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</si>
  <si>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</si>
  <si>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</si>
  <si>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</si>
  <si>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</si>
  <si>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</si>
  <si>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</si>
  <si>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</si>
  <si>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</si>
  <si>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</si>
  <si>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</si>
  <si>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</si>
  <si>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</si>
  <si>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</si>
  <si>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</si>
  <si>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</si>
  <si>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</si>
  <si>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</si>
  <si>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</si>
  <si>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</si>
  <si>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</si>
  <si>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V - P - V - PP - P - P - V - P - P - V</t>
  </si>
  <si>
    <t>1. Michal Sládek</t>
  </si>
  <si>
    <t>2. Lukáš Pešat</t>
  </si>
  <si>
    <t>3. Wojciech Malajka</t>
  </si>
  <si>
    <t>4. Šimon Kuczera</t>
  </si>
  <si>
    <t>4,97</t>
  </si>
  <si>
    <t>4,37</t>
  </si>
  <si>
    <t>5,01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</si>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</sst>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0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3" fillId="0" borderId="0"/>
  </cellStyleXfs>
  <cellXfs count="421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0" fontId="2" fillId="0" borderId="102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" vertical="center"/>
      <protection locked="0"/>
    </xf>
    <xf numFmtId="0" fontId="2" fillId="0" borderId="104" xfId="0" applyFont="1" applyBorder="1" applyAlignment="1" applyProtection="1">
      <alignment horizontal="center" vertical="center"/>
      <protection locked="0"/>
    </xf>
    <xf numFmtId="0" fontId="1" fillId="0" borderId="105" xfId="0" applyFont="1" applyBorder="1" applyAlignment="1" applyProtection="1">
      <alignment horizontal="center" vertical="center"/>
      <protection locked="0"/>
    </xf>
    <xf numFmtId="0" fontId="1" fillId="0" borderId="96" xfId="0" applyFont="1" applyBorder="1" applyAlignment="1" applyProtection="1">
      <alignment horizontal="center" vertical="center"/>
      <protection locked="0"/>
    </xf>
    <xf numFmtId="0" fontId="1" fillId="0" borderId="95" xfId="0" applyFont="1" applyBorder="1" applyAlignment="1" applyProtection="1">
      <alignment horizontal="center" vertical="center"/>
      <protection locked="0"/>
    </xf>
    <xf numFmtId="0" fontId="8" fillId="0" borderId="80" xfId="0" applyFont="1" applyBorder="1" applyAlignment="1" applyProtection="1">
      <alignment horizontal="center" vertical="center"/>
      <protection locked="0"/>
    </xf>
    <xf numFmtId="2" fontId="2" fillId="0" borderId="106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7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Normální" xfId="0" builtinId="0"/>
    <cellStyle name="Normální 2" xfId="1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95</v>
      </c>
      <c r="D1" s="63" t="s">
        <v>96</v>
      </c>
      <c r="E1" s="63" t="s">
        <v>100</v>
      </c>
      <c r="F1" s="63" t="s">
        <v>101</v>
      </c>
      <c r="G1" s="63" t="s">
        <v>24</v>
      </c>
      <c r="H1" s="63" t="s">
        <v>103</v>
      </c>
      <c r="I1" s="63" t="s">
        <v>23</v>
      </c>
      <c r="J1" s="63" t="s">
        <v>97</v>
      </c>
      <c r="K1" s="63" t="s">
        <v>98</v>
      </c>
      <c r="L1" s="63" t="s">
        <v>102</v>
      </c>
      <c r="M1" s="63" t="s">
        <v>99</v>
      </c>
      <c r="N1" s="63" t="s">
        <v>92</v>
      </c>
      <c r="O1" s="63" t="s">
        <v>94</v>
      </c>
    </row>
    <row r="2" spans="1:15" s="71" customFormat="1" x14ac:dyDescent="0.25">
      <c r="A2" s="108" t="s">
        <v>251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256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252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5</v>
      </c>
      <c r="D4" s="71">
        <f t="shared" ca="1" si="2"/>
        <v>3</v>
      </c>
      <c r="E4" s="71">
        <f t="shared" ca="1" si="2"/>
        <v>2</v>
      </c>
      <c r="F4" s="71">
        <f t="shared" ca="1" si="2"/>
        <v>6</v>
      </c>
      <c r="G4" s="71">
        <f t="shared" ca="1" si="2"/>
        <v>7</v>
      </c>
      <c r="H4" s="71">
        <f t="shared" ca="1" si="2"/>
        <v>2</v>
      </c>
      <c r="I4" s="71">
        <f t="shared" ca="1" si="2"/>
        <v>7</v>
      </c>
      <c r="J4" s="71">
        <f t="shared" ca="1" si="2"/>
        <v>7</v>
      </c>
      <c r="K4" s="71">
        <f t="shared" ca="1" si="2"/>
        <v>12</v>
      </c>
      <c r="L4" s="71">
        <f t="shared" ca="1" si="2"/>
        <v>3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253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254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255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547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51</v>
      </c>
      <c r="B1" s="66" t="s">
        <v>52</v>
      </c>
      <c r="C1" s="75" t="s">
        <v>53</v>
      </c>
      <c r="D1" s="75" t="s">
        <v>26</v>
      </c>
      <c r="E1" s="75" t="s">
        <v>54</v>
      </c>
      <c r="F1" s="75" t="s">
        <v>55</v>
      </c>
      <c r="G1" s="75" t="s">
        <v>27</v>
      </c>
      <c r="H1" s="77" t="s">
        <v>42</v>
      </c>
      <c r="I1" s="75" t="s">
        <v>56</v>
      </c>
      <c r="J1" s="75" t="s">
        <v>57</v>
      </c>
      <c r="K1" s="75" t="s">
        <v>58</v>
      </c>
      <c r="L1" s="75" t="s">
        <v>55</v>
      </c>
      <c r="M1" s="75" t="s">
        <v>59</v>
      </c>
      <c r="N1" s="75" t="s">
        <v>60</v>
      </c>
      <c r="O1" s="74" t="s">
        <v>61</v>
      </c>
      <c r="P1" s="75" t="s">
        <v>62</v>
      </c>
      <c r="Q1" s="75" t="s">
        <v>63</v>
      </c>
      <c r="R1" s="75" t="s">
        <v>64</v>
      </c>
      <c r="S1" s="74" t="s">
        <v>65</v>
      </c>
      <c r="T1" s="75" t="s">
        <v>31</v>
      </c>
      <c r="U1" s="75" t="s">
        <v>66</v>
      </c>
      <c r="V1" s="73" t="s">
        <v>67</v>
      </c>
      <c r="W1" s="69" t="s">
        <v>90</v>
      </c>
      <c r="X1" s="71" t="s">
        <v>82</v>
      </c>
      <c r="Y1" s="71" t="s">
        <v>26</v>
      </c>
      <c r="Z1" s="71" t="s">
        <v>54</v>
      </c>
      <c r="AA1" s="71" t="s">
        <v>55</v>
      </c>
      <c r="AB1" s="71" t="s">
        <v>27</v>
      </c>
      <c r="AC1" s="71" t="s">
        <v>42</v>
      </c>
      <c r="AD1" s="71" t="s">
        <v>56</v>
      </c>
      <c r="AE1" s="71" t="s">
        <v>57</v>
      </c>
      <c r="AF1" s="71" t="s">
        <v>58</v>
      </c>
      <c r="AG1" s="71" t="s">
        <v>55</v>
      </c>
      <c r="AH1" s="71" t="s">
        <v>59</v>
      </c>
      <c r="AI1" s="71" t="s">
        <v>60</v>
      </c>
      <c r="AJ1" s="70" t="s">
        <v>61</v>
      </c>
      <c r="AK1" s="71" t="s">
        <v>62</v>
      </c>
      <c r="AL1" s="71" t="s">
        <v>63</v>
      </c>
      <c r="AM1" s="71" t="s">
        <v>64</v>
      </c>
      <c r="AN1" s="70" t="s">
        <v>65</v>
      </c>
      <c r="AO1" s="71">
        <v>2</v>
      </c>
      <c r="AP1" s="71">
        <v>5</v>
      </c>
      <c r="AQ1" s="71">
        <v>10</v>
      </c>
      <c r="AR1" s="71" t="s">
        <v>84</v>
      </c>
      <c r="AS1" s="71" t="s">
        <v>85</v>
      </c>
      <c r="AT1" s="71" t="s">
        <v>86</v>
      </c>
      <c r="AU1" s="71" t="s">
        <v>31</v>
      </c>
      <c r="AV1" s="71" t="s">
        <v>66</v>
      </c>
      <c r="AW1" s="70" t="s">
        <v>67</v>
      </c>
      <c r="AX1" s="71" t="s">
        <v>87</v>
      </c>
      <c r="AY1" s="71" t="s">
        <v>88</v>
      </c>
      <c r="AZ1" s="71" t="s">
        <v>89</v>
      </c>
      <c r="BA1" s="3" t="s">
        <v>90</v>
      </c>
      <c r="BB1" s="62" t="s">
        <v>91</v>
      </c>
      <c r="BC1" s="62" t="s">
        <v>1388</v>
      </c>
      <c r="BD1" s="62" t="s">
        <v>1389</v>
      </c>
      <c r="BE1" s="62" t="s">
        <v>1390</v>
      </c>
      <c r="BF1" s="62" t="s">
        <v>1391</v>
      </c>
      <c r="BG1" s="62" t="s">
        <v>104</v>
      </c>
      <c r="BH1" s="62" t="s">
        <v>105</v>
      </c>
      <c r="BI1" s="62" t="s">
        <v>106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68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70</v>
      </c>
      <c r="BB2" s="62" t="s">
        <v>94</v>
      </c>
      <c r="BC2" s="62">
        <f>MATCH(BA2,$B$2:$B$15,0)</f>
        <v>3</v>
      </c>
      <c r="BD2" s="62" t="str">
        <f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2">W3</f>
        <v>Předvýběr.CZ Florbal MB</v>
      </c>
      <c r="C3" s="76">
        <f t="shared" ref="C3:C15" si="3">X3</f>
        <v>11</v>
      </c>
      <c r="D3" s="76">
        <f t="shared" ref="D3:D15" si="4">Y3</f>
        <v>8</v>
      </c>
      <c r="E3" s="76">
        <f t="shared" ref="E3:E15" si="5">Z3</f>
        <v>2</v>
      </c>
      <c r="F3" s="76">
        <f t="shared" ref="F3:F15" si="6">AA3</f>
        <v>0</v>
      </c>
      <c r="G3" s="76">
        <f t="shared" ref="G3:G15" si="7">AB3</f>
        <v>1</v>
      </c>
      <c r="H3" s="78">
        <f t="shared" ref="H3:H15" si="8">AC3</f>
        <v>28</v>
      </c>
      <c r="I3" s="76">
        <f t="shared" ref="I3:I15" si="9">AD3</f>
        <v>84</v>
      </c>
      <c r="J3" s="76">
        <f t="shared" ref="J3:J15" si="10">AE3</f>
        <v>32</v>
      </c>
      <c r="K3" s="76">
        <f t="shared" ref="K3:K15" si="11">AF3</f>
        <v>52</v>
      </c>
      <c r="L3" s="76">
        <f t="shared" ref="L3:L15" si="12">AG3</f>
        <v>14</v>
      </c>
      <c r="M3" s="76">
        <f t="shared" ref="M3:M15" si="13">AH3</f>
        <v>5</v>
      </c>
      <c r="N3" s="76">
        <f t="shared" ref="N3:N15" si="14">AI3</f>
        <v>1</v>
      </c>
      <c r="O3" s="67">
        <f t="shared" ref="O3:O15" si="15">AJ3</f>
        <v>35.71</v>
      </c>
      <c r="P3" s="76">
        <f t="shared" ref="P3:P15" si="16">AK3</f>
        <v>18</v>
      </c>
      <c r="Q3" s="76">
        <f t="shared" ref="Q3:Q15" si="17">AL3</f>
        <v>3</v>
      </c>
      <c r="R3" s="76">
        <f t="shared" ref="R3:R15" si="18">AM3</f>
        <v>0</v>
      </c>
      <c r="S3" s="67">
        <f t="shared" ref="S3:S15" si="19">AN3</f>
        <v>83.33</v>
      </c>
      <c r="T3" s="76">
        <f t="shared" ref="T3:T15" si="20">AU3</f>
        <v>38</v>
      </c>
      <c r="U3" s="76">
        <f t="shared" ref="U3:U15" si="21">AV3</f>
        <v>291</v>
      </c>
      <c r="V3" s="68">
        <f t="shared" ref="V3:V15" si="22">AW3</f>
        <v>28.87</v>
      </c>
      <c r="W3" s="72" t="s">
        <v>69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76</v>
      </c>
      <c r="BB3" s="62" t="s">
        <v>99</v>
      </c>
      <c r="BC3" s="62">
        <f t="shared" ref="BC3:BC15" si="23">MATCH(BA3,$B$2:$B$15,0)</f>
        <v>6</v>
      </c>
      <c r="BD3" s="62" t="str">
        <f>CONCATENATE(IF(COUNTIF($BG$2:$BG$15,_xlfn.RANK.EQ(VLOOKUP(BA3,$B$2:$V$16,14,FALSE),$O$2:$O$15,0))=1,_xlfn.RANK.EQ(VLOOKUP(BA3,$B$2:$V$16,14,FALSE),$O$2:$O$15,0),CONCATENATE(_xlfn.RANK.EQ(VLOOKUP(BA3,$B$2:$V$16,14,FALSE),$O$2:$O$15,0),".-",_xlfn.RANK.EQ(VLOOKUP(BA3,$B$2:$V$16,14,FALSE),$O$2:$O$15,0)+COUNTIF($BG$2:$BG$15,_xlfn.RANK.EQ(VLOOKUP(BA3,$B$2:$V$16,14,FALSE),$O$2:$O$15,0)))),".")</f>
        <v>10.</v>
      </c>
      <c r="BE3" s="62" t="str">
        <f t="shared" ref="BE3:BE15" si="24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10.</v>
      </c>
      <c r="BF3" s="62" t="str">
        <f t="shared" ref="BF3:BF15" si="25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6">_xlfn.RANK.EQ(VLOOKUP(BA3,$B$2:$V$15,14,FALSE),$O$2:$O$15,0)</f>
        <v>10</v>
      </c>
      <c r="BH3" s="62">
        <f t="shared" ref="BH3:BH15" si="27">_xlfn.RANK.EQ(VLOOKUP(BA3,$B$2:$V$15,18,FALSE),$S$2:$S$15,0)</f>
        <v>10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2"/>
        <v>1. SC TEMPISH Vítkovice</v>
      </c>
      <c r="C4" s="76">
        <f t="shared" si="3"/>
        <v>11</v>
      </c>
      <c r="D4" s="76">
        <f t="shared" si="4"/>
        <v>8</v>
      </c>
      <c r="E4" s="76">
        <f t="shared" si="5"/>
        <v>0</v>
      </c>
      <c r="F4" s="76">
        <f t="shared" si="6"/>
        <v>0</v>
      </c>
      <c r="G4" s="76">
        <f t="shared" si="7"/>
        <v>3</v>
      </c>
      <c r="H4" s="78">
        <f t="shared" si="8"/>
        <v>24</v>
      </c>
      <c r="I4" s="76">
        <f t="shared" si="9"/>
        <v>90</v>
      </c>
      <c r="J4" s="76">
        <f t="shared" si="10"/>
        <v>48</v>
      </c>
      <c r="K4" s="76">
        <f t="shared" si="11"/>
        <v>42</v>
      </c>
      <c r="L4" s="76">
        <f t="shared" si="12"/>
        <v>15</v>
      </c>
      <c r="M4" s="76">
        <f t="shared" si="13"/>
        <v>7</v>
      </c>
      <c r="N4" s="76">
        <f t="shared" si="14"/>
        <v>0</v>
      </c>
      <c r="O4" s="67">
        <f t="shared" si="15"/>
        <v>46.67</v>
      </c>
      <c r="P4" s="76">
        <f t="shared" si="16"/>
        <v>10</v>
      </c>
      <c r="Q4" s="76">
        <f t="shared" si="17"/>
        <v>2</v>
      </c>
      <c r="R4" s="76">
        <f t="shared" si="18"/>
        <v>1</v>
      </c>
      <c r="S4" s="67">
        <f t="shared" si="19"/>
        <v>80</v>
      </c>
      <c r="T4" s="76">
        <f t="shared" si="20"/>
        <v>22</v>
      </c>
      <c r="U4" s="76">
        <f t="shared" si="21"/>
        <v>305</v>
      </c>
      <c r="V4" s="68">
        <f t="shared" si="22"/>
        <v>29.51</v>
      </c>
      <c r="W4" s="72" t="s">
        <v>70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71</v>
      </c>
      <c r="BB4" s="62" t="s">
        <v>95</v>
      </c>
      <c r="BC4" s="62">
        <f t="shared" si="23"/>
        <v>7</v>
      </c>
      <c r="BD4" s="62" t="str">
        <f>CONCATENATE(IF(COUNTIF($BG$2:$BG$15,_xlfn.RANK.EQ(VLOOKUP(BA4,$B$2:$V$16,14,FALSE),$O$2:$O$15,0))=1,_xlfn.RANK.EQ(VLOOKUP(BA4,$B$2:$V$16,14,FALSE),$O$2:$O$15,0),CONCATENATE(_xlfn.RANK.EQ(VLOOKUP(BA4,$B$2:$V$16,14,FALSE),$O$2:$O$15,0),".-",_xlfn.RANK.EQ(VLOOKUP(BA4,$B$2:$V$16,14,FALSE),$O$2:$O$15,0)+COUNTIF($BG$2:$BG$15,_xlfn.RANK.EQ(VLOOKUP(BA4,$B$2:$V$16,14,FALSE),$O$2:$O$15,0)))),".")</f>
        <v>3.</v>
      </c>
      <c r="BE4" s="62" t="str">
        <f t="shared" si="24"/>
        <v>6.</v>
      </c>
      <c r="BF4" s="62" t="str">
        <f t="shared" si="25"/>
        <v>13.</v>
      </c>
      <c r="BG4" s="62">
        <f t="shared" si="26"/>
        <v>3</v>
      </c>
      <c r="BH4" s="62">
        <f t="shared" si="27"/>
        <v>6</v>
      </c>
      <c r="BI4" s="62">
        <f t="shared" ref="BI4:BI15" si="28">_xlfn.RANK.EQ(VLOOKUP(BA4,$B$2:$V$16,19,FALSE),$T$2:$T$15,1)</f>
        <v>13</v>
      </c>
    </row>
    <row r="5" spans="1:61" ht="24" customHeight="1" x14ac:dyDescent="0.25">
      <c r="A5" s="138">
        <v>4</v>
      </c>
      <c r="B5" s="25" t="str">
        <f t="shared" si="2"/>
        <v>FbŠ Bohemians</v>
      </c>
      <c r="C5" s="76">
        <f t="shared" si="3"/>
        <v>11</v>
      </c>
      <c r="D5" s="76">
        <f t="shared" si="4"/>
        <v>8</v>
      </c>
      <c r="E5" s="76">
        <f t="shared" si="5"/>
        <v>0</v>
      </c>
      <c r="F5" s="76">
        <f t="shared" si="6"/>
        <v>0</v>
      </c>
      <c r="G5" s="76">
        <f t="shared" si="7"/>
        <v>3</v>
      </c>
      <c r="H5" s="78">
        <f t="shared" si="8"/>
        <v>24</v>
      </c>
      <c r="I5" s="76">
        <f t="shared" si="9"/>
        <v>68</v>
      </c>
      <c r="J5" s="76">
        <f t="shared" si="10"/>
        <v>53</v>
      </c>
      <c r="K5" s="76">
        <f t="shared" si="11"/>
        <v>15</v>
      </c>
      <c r="L5" s="76">
        <f t="shared" si="12"/>
        <v>34</v>
      </c>
      <c r="M5" s="76">
        <f t="shared" si="13"/>
        <v>9</v>
      </c>
      <c r="N5" s="76">
        <f t="shared" si="14"/>
        <v>2</v>
      </c>
      <c r="O5" s="67">
        <f t="shared" si="15"/>
        <v>26.47</v>
      </c>
      <c r="P5" s="76">
        <f t="shared" si="16"/>
        <v>16</v>
      </c>
      <c r="Q5" s="76">
        <f t="shared" si="17"/>
        <v>4</v>
      </c>
      <c r="R5" s="76">
        <f t="shared" si="18"/>
        <v>0</v>
      </c>
      <c r="S5" s="67">
        <f t="shared" si="19"/>
        <v>75</v>
      </c>
      <c r="T5" s="76">
        <f t="shared" si="20"/>
        <v>34</v>
      </c>
      <c r="U5" s="76">
        <f t="shared" si="21"/>
        <v>307</v>
      </c>
      <c r="V5" s="68">
        <f t="shared" si="22"/>
        <v>22.15</v>
      </c>
      <c r="W5" s="72" t="s">
        <v>72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74</v>
      </c>
      <c r="BB5" s="62" t="s">
        <v>24</v>
      </c>
      <c r="BC5" s="62">
        <f t="shared" si="23"/>
        <v>5</v>
      </c>
      <c r="BD5" s="62" t="str">
        <f>CONCATENATE(IF(COUNTIF($BG$2:$BG$15,_xlfn.RANK.EQ(VLOOKUP(BA5,$B$2:$V$16,14,FALSE),$O$2:$O$15,0))=1,_xlfn.RANK.EQ(VLOOKUP(BA5,$B$2:$V$16,14,FALSE),$O$2:$O$15,0),CONCATENATE(_xlfn.RANK.EQ(VLOOKUP(BA5,$B$2:$V$16,14,FALSE),$O$2:$O$15,0),".-",_xlfn.RANK.EQ(VLOOKUP(BA5,$B$2:$V$16,14,FALSE),$O$2:$O$15,0)+COUNTIF($BG$2:$BG$15,_xlfn.RANK.EQ(VLOOKUP(BA5,$B$2:$V$16,14,FALSE),$O$2:$O$15,0)))),".")</f>
        <v>7.</v>
      </c>
      <c r="BE5" s="62" t="str">
        <f t="shared" si="24"/>
        <v>7.</v>
      </c>
      <c r="BF5" s="62" t="str">
        <f t="shared" si="25"/>
        <v>9.</v>
      </c>
      <c r="BG5" s="62">
        <f t="shared" si="26"/>
        <v>7</v>
      </c>
      <c r="BH5" s="62">
        <f t="shared" si="27"/>
        <v>7</v>
      </c>
      <c r="BI5" s="62">
        <f t="shared" si="28"/>
        <v>9</v>
      </c>
    </row>
    <row r="6" spans="1:61" ht="24" customHeight="1" x14ac:dyDescent="0.25">
      <c r="A6" s="138">
        <v>5</v>
      </c>
      <c r="B6" s="25" t="str">
        <f t="shared" si="2"/>
        <v>FAT PIPE FLORBAL CHODOV</v>
      </c>
      <c r="C6" s="76">
        <f t="shared" si="3"/>
        <v>11</v>
      </c>
      <c r="D6" s="76">
        <f t="shared" si="4"/>
        <v>7</v>
      </c>
      <c r="E6" s="76">
        <f t="shared" si="5"/>
        <v>0</v>
      </c>
      <c r="F6" s="76">
        <f t="shared" si="6"/>
        <v>2</v>
      </c>
      <c r="G6" s="76">
        <f t="shared" si="7"/>
        <v>2</v>
      </c>
      <c r="H6" s="78">
        <f t="shared" si="8"/>
        <v>23</v>
      </c>
      <c r="I6" s="76">
        <f t="shared" si="9"/>
        <v>84</v>
      </c>
      <c r="J6" s="76">
        <f t="shared" si="10"/>
        <v>61</v>
      </c>
      <c r="K6" s="76">
        <f t="shared" si="11"/>
        <v>23</v>
      </c>
      <c r="L6" s="76">
        <f t="shared" si="12"/>
        <v>25</v>
      </c>
      <c r="M6" s="76">
        <f t="shared" si="13"/>
        <v>10</v>
      </c>
      <c r="N6" s="76">
        <f t="shared" si="14"/>
        <v>0</v>
      </c>
      <c r="O6" s="67">
        <f t="shared" si="15"/>
        <v>40</v>
      </c>
      <c r="P6" s="76">
        <f t="shared" si="16"/>
        <v>23</v>
      </c>
      <c r="Q6" s="76">
        <f t="shared" si="17"/>
        <v>9</v>
      </c>
      <c r="R6" s="76">
        <f t="shared" si="18"/>
        <v>3</v>
      </c>
      <c r="S6" s="67">
        <f t="shared" si="19"/>
        <v>60.87</v>
      </c>
      <c r="T6" s="76">
        <f t="shared" si="20"/>
        <v>46</v>
      </c>
      <c r="U6" s="76">
        <f t="shared" si="21"/>
        <v>309</v>
      </c>
      <c r="V6" s="68">
        <f t="shared" si="22"/>
        <v>27.18</v>
      </c>
      <c r="W6" s="72" t="s">
        <v>74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77</v>
      </c>
      <c r="BB6" s="62" t="s">
        <v>100</v>
      </c>
      <c r="BC6" s="62">
        <f t="shared" si="23"/>
        <v>13</v>
      </c>
      <c r="BD6" s="62" t="str">
        <f>CONCATENATE(IF(COUNTIF($BG$2:$BG$15,_xlfn.RANK.EQ(VLOOKUP(BA6,$B$2:$V$16,14,FALSE),$O$2:$O$15,0))=1,_xlfn.RANK.EQ(VLOOKUP(BA6,$B$2:$V$16,14,FALSE),$O$2:$O$15,0),CONCATENATE(_xlfn.RANK.EQ(VLOOKUP(BA6,$B$2:$V$16,14,FALSE),$O$2:$O$15,0),".-",_xlfn.RANK.EQ(VLOOKUP(BA6,$B$2:$V$16,14,FALSE),$O$2:$O$15,0)+COUNTIF($BG$2:$BG$15,_xlfn.RANK.EQ(VLOOKUP(BA6,$B$2:$V$16,14,FALSE),$O$2:$O$15,0)))),".")</f>
        <v>6.</v>
      </c>
      <c r="BE6" s="62" t="str">
        <f t="shared" si="24"/>
        <v>14.</v>
      </c>
      <c r="BF6" s="62" t="str">
        <f t="shared" si="25"/>
        <v>14.</v>
      </c>
      <c r="BG6" s="62">
        <f t="shared" si="26"/>
        <v>6</v>
      </c>
      <c r="BH6" s="62">
        <f t="shared" si="27"/>
        <v>14</v>
      </c>
      <c r="BI6" s="62">
        <f t="shared" si="28"/>
        <v>14</v>
      </c>
    </row>
    <row r="7" spans="1:61" ht="24" customHeight="1" x14ac:dyDescent="0.25">
      <c r="A7" s="138">
        <v>6</v>
      </c>
      <c r="B7" s="25" t="str">
        <f t="shared" si="2"/>
        <v>ACEMA Sparta Praha</v>
      </c>
      <c r="C7" s="76">
        <f t="shared" si="3"/>
        <v>11</v>
      </c>
      <c r="D7" s="76">
        <f t="shared" si="4"/>
        <v>6</v>
      </c>
      <c r="E7" s="76">
        <f t="shared" si="5"/>
        <v>1</v>
      </c>
      <c r="F7" s="76">
        <f t="shared" si="6"/>
        <v>0</v>
      </c>
      <c r="G7" s="76">
        <f t="shared" si="7"/>
        <v>4</v>
      </c>
      <c r="H7" s="78">
        <f t="shared" si="8"/>
        <v>20</v>
      </c>
      <c r="I7" s="76">
        <f t="shared" si="9"/>
        <v>64</v>
      </c>
      <c r="J7" s="76">
        <f t="shared" si="10"/>
        <v>58</v>
      </c>
      <c r="K7" s="76">
        <f t="shared" si="11"/>
        <v>6</v>
      </c>
      <c r="L7" s="76">
        <f t="shared" si="12"/>
        <v>16</v>
      </c>
      <c r="M7" s="76">
        <f t="shared" si="13"/>
        <v>5</v>
      </c>
      <c r="N7" s="76">
        <f t="shared" si="14"/>
        <v>0</v>
      </c>
      <c r="O7" s="67">
        <f t="shared" si="15"/>
        <v>31.25</v>
      </c>
      <c r="P7" s="76">
        <f t="shared" si="16"/>
        <v>22</v>
      </c>
      <c r="Q7" s="76">
        <f t="shared" si="17"/>
        <v>10</v>
      </c>
      <c r="R7" s="76">
        <f t="shared" si="18"/>
        <v>1</v>
      </c>
      <c r="S7" s="67">
        <f t="shared" si="19"/>
        <v>54.55</v>
      </c>
      <c r="T7" s="76">
        <f t="shared" si="20"/>
        <v>48</v>
      </c>
      <c r="U7" s="76">
        <f t="shared" si="21"/>
        <v>270</v>
      </c>
      <c r="V7" s="68">
        <f t="shared" si="22"/>
        <v>23.7</v>
      </c>
      <c r="W7" s="72" t="s">
        <v>76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73</v>
      </c>
      <c r="BB7" s="62" t="s">
        <v>97</v>
      </c>
      <c r="BC7" s="62">
        <f t="shared" si="23"/>
        <v>9</v>
      </c>
      <c r="BD7" s="62" t="str">
        <f>CONCATENATE(IF(COUNTIF($BG$2:$BG$15,_xlfn.RANK.EQ(VLOOKUP(BA7,$B$2:$V$16,14,FALSE),$O$2:$O$15,0))=1,_xlfn.RANK.EQ(VLOOKUP(BA7,$B$2:$V$16,14,FALSE),$O$2:$O$15,0),CONCATENATE(_xlfn.RANK.EQ(VLOOKUP(BA7,$B$2:$V$16,14,FALSE),$O$2:$O$15,0),".-",_xlfn.RANK.EQ(VLOOKUP(BA7,$B$2:$V$16,14,FALSE),$O$2:$O$15,0)+COUNTIF($BG$2:$BG$15,_xlfn.RANK.EQ(VLOOKUP(BA7,$B$2:$V$16,14,FALSE),$O$2:$O$15,0)))),".")</f>
        <v>1.</v>
      </c>
      <c r="BE7" s="62" t="str">
        <f t="shared" si="24"/>
        <v>2.</v>
      </c>
      <c r="BF7" s="62" t="str">
        <f t="shared" si="25"/>
        <v>5.-9.</v>
      </c>
      <c r="BG7" s="62">
        <f t="shared" si="26"/>
        <v>1</v>
      </c>
      <c r="BH7" s="62">
        <f t="shared" si="27"/>
        <v>2</v>
      </c>
      <c r="BI7" s="62">
        <f t="shared" si="28"/>
        <v>5</v>
      </c>
    </row>
    <row r="8" spans="1:61" ht="24" customHeight="1" x14ac:dyDescent="0.25">
      <c r="A8" s="138">
        <v>7</v>
      </c>
      <c r="B8" s="25" t="str">
        <f t="shared" si="2"/>
        <v>BLACK ANGELS</v>
      </c>
      <c r="C8" s="76">
        <f t="shared" si="3"/>
        <v>11</v>
      </c>
      <c r="D8" s="76">
        <f t="shared" si="4"/>
        <v>5</v>
      </c>
      <c r="E8" s="76">
        <f t="shared" si="5"/>
        <v>1</v>
      </c>
      <c r="F8" s="76">
        <f t="shared" si="6"/>
        <v>1</v>
      </c>
      <c r="G8" s="76">
        <f t="shared" si="7"/>
        <v>4</v>
      </c>
      <c r="H8" s="78">
        <f t="shared" si="8"/>
        <v>18</v>
      </c>
      <c r="I8" s="76">
        <f t="shared" si="9"/>
        <v>68</v>
      </c>
      <c r="J8" s="76">
        <f t="shared" si="10"/>
        <v>64</v>
      </c>
      <c r="K8" s="76">
        <f t="shared" si="11"/>
        <v>4</v>
      </c>
      <c r="L8" s="76">
        <f t="shared" si="12"/>
        <v>27</v>
      </c>
      <c r="M8" s="76">
        <f t="shared" si="13"/>
        <v>13</v>
      </c>
      <c r="N8" s="76">
        <f t="shared" si="14"/>
        <v>0</v>
      </c>
      <c r="O8" s="67">
        <f t="shared" si="15"/>
        <v>48.15</v>
      </c>
      <c r="P8" s="76">
        <f t="shared" si="16"/>
        <v>27</v>
      </c>
      <c r="Q8" s="76">
        <f t="shared" si="17"/>
        <v>8</v>
      </c>
      <c r="R8" s="76">
        <f t="shared" si="18"/>
        <v>0</v>
      </c>
      <c r="S8" s="67">
        <f t="shared" si="19"/>
        <v>70.37</v>
      </c>
      <c r="T8" s="76">
        <f t="shared" si="20"/>
        <v>56</v>
      </c>
      <c r="U8" s="76">
        <f t="shared" si="21"/>
        <v>251</v>
      </c>
      <c r="V8" s="68">
        <f t="shared" si="22"/>
        <v>27.09</v>
      </c>
      <c r="W8" s="72" t="s">
        <v>71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80</v>
      </c>
      <c r="BB8" s="62" t="s">
        <v>103</v>
      </c>
      <c r="BC8" s="62">
        <f t="shared" si="23"/>
        <v>8</v>
      </c>
      <c r="BD8" s="62" t="str">
        <f>CONCATENATE(IF(COUNTIF($BG$2:$BG$15,_xlfn.RANK.EQ(VLOOKUP(BA8,$B$2:$V$16,14,FALSE),$O$2:$O$15,0))=1,_xlfn.RANK.EQ(VLOOKUP(BA8,$B$2:$V$16,14,FALSE),$O$2:$O$15,0),CONCATENATE(_xlfn.RANK.EQ(VLOOKUP(BA8,$B$2:$V$16,14,FALSE),$O$2:$O$15,0),".-",_xlfn.RANK.EQ(VLOOKUP(BA8,$B$2:$V$16,14,FALSE),$O$2:$O$15,0)+COUNTIF($BG$2:$BG$15,_xlfn.RANK.EQ(VLOOKUP(BA8,$B$2:$V$16,14,FALSE),$O$2:$O$15,0)))),".")</f>
        <v>11.</v>
      </c>
      <c r="BE8" s="62" t="str">
        <f t="shared" si="24"/>
        <v>11.-13.</v>
      </c>
      <c r="BF8" s="62" t="str">
        <f t="shared" si="25"/>
        <v>4.</v>
      </c>
      <c r="BG8" s="62">
        <f t="shared" si="26"/>
        <v>11</v>
      </c>
      <c r="BH8" s="62">
        <f t="shared" si="27"/>
        <v>11</v>
      </c>
      <c r="BI8" s="62">
        <f t="shared" si="28"/>
        <v>4</v>
      </c>
    </row>
    <row r="9" spans="1:61" ht="24" customHeight="1" x14ac:dyDescent="0.25">
      <c r="A9" s="138">
        <v>8</v>
      </c>
      <c r="B9" s="25" t="str">
        <f t="shared" si="2"/>
        <v>FBC Liberec</v>
      </c>
      <c r="C9" s="76">
        <f t="shared" si="3"/>
        <v>11</v>
      </c>
      <c r="D9" s="76">
        <f t="shared" si="4"/>
        <v>5</v>
      </c>
      <c r="E9" s="76">
        <f t="shared" si="5"/>
        <v>1</v>
      </c>
      <c r="F9" s="76">
        <f t="shared" si="6"/>
        <v>0</v>
      </c>
      <c r="G9" s="76">
        <f t="shared" si="7"/>
        <v>5</v>
      </c>
      <c r="H9" s="78">
        <f t="shared" si="8"/>
        <v>17</v>
      </c>
      <c r="I9" s="76">
        <f t="shared" si="9"/>
        <v>61</v>
      </c>
      <c r="J9" s="76">
        <f t="shared" si="10"/>
        <v>64</v>
      </c>
      <c r="K9" s="76">
        <f t="shared" si="11"/>
        <v>-3</v>
      </c>
      <c r="L9" s="76">
        <f t="shared" si="12"/>
        <v>13</v>
      </c>
      <c r="M9" s="76">
        <f t="shared" si="13"/>
        <v>4</v>
      </c>
      <c r="N9" s="76">
        <f t="shared" si="14"/>
        <v>0</v>
      </c>
      <c r="O9" s="67">
        <f t="shared" si="15"/>
        <v>30.77</v>
      </c>
      <c r="P9" s="76">
        <f t="shared" si="16"/>
        <v>18</v>
      </c>
      <c r="Q9" s="76">
        <f t="shared" si="17"/>
        <v>9</v>
      </c>
      <c r="R9" s="76">
        <f t="shared" si="18"/>
        <v>0</v>
      </c>
      <c r="S9" s="67">
        <f t="shared" si="19"/>
        <v>50</v>
      </c>
      <c r="T9" s="76">
        <f t="shared" si="20"/>
        <v>36</v>
      </c>
      <c r="U9" s="76">
        <f t="shared" si="21"/>
        <v>201</v>
      </c>
      <c r="V9" s="68">
        <f t="shared" si="22"/>
        <v>30.35</v>
      </c>
      <c r="W9" s="72" t="s">
        <v>80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72</v>
      </c>
      <c r="BB9" s="62" t="s">
        <v>96</v>
      </c>
      <c r="BC9" s="62">
        <f t="shared" si="23"/>
        <v>4</v>
      </c>
      <c r="BD9" s="62" t="str">
        <f>CONCATENATE(IF(COUNTIF($BG$2:$BG$15,_xlfn.RANK.EQ(VLOOKUP(BA9,$B$2:$V$16,14,FALSE),$O$2:$O$15,0))=1,_xlfn.RANK.EQ(VLOOKUP(BA9,$B$2:$V$16,14,FALSE),$O$2:$O$15,0),CONCATENATE(_xlfn.RANK.EQ(VLOOKUP(BA9,$B$2:$V$16,14,FALSE),$O$2:$O$15,0),".-",_xlfn.RANK.EQ(VLOOKUP(BA9,$B$2:$V$16,14,FALSE),$O$2:$O$15,0)+COUNTIF($BG$2:$BG$15,_xlfn.RANK.EQ(VLOOKUP(BA9,$B$2:$V$16,14,FALSE),$O$2:$O$15,0)))),".")</f>
        <v>12.</v>
      </c>
      <c r="BE9" s="62" t="str">
        <f t="shared" si="24"/>
        <v>4.</v>
      </c>
      <c r="BF9" s="62" t="str">
        <f t="shared" si="25"/>
        <v>3.</v>
      </c>
      <c r="BG9" s="62">
        <f t="shared" si="26"/>
        <v>12</v>
      </c>
      <c r="BH9" s="62">
        <f t="shared" si="27"/>
        <v>4</v>
      </c>
      <c r="BI9" s="62">
        <f t="shared" si="28"/>
        <v>3</v>
      </c>
    </row>
    <row r="10" spans="1:61" ht="24" customHeight="1" x14ac:dyDescent="0.25">
      <c r="A10" s="138">
        <v>9</v>
      </c>
      <c r="B10" s="25" t="str">
        <f t="shared" si="2"/>
        <v>FBC ČPP OSTRAVA</v>
      </c>
      <c r="C10" s="76">
        <f t="shared" si="3"/>
        <v>11</v>
      </c>
      <c r="D10" s="76">
        <f t="shared" si="4"/>
        <v>5</v>
      </c>
      <c r="E10" s="76">
        <f t="shared" si="5"/>
        <v>0</v>
      </c>
      <c r="F10" s="76">
        <f t="shared" si="6"/>
        <v>1</v>
      </c>
      <c r="G10" s="76">
        <f t="shared" si="7"/>
        <v>5</v>
      </c>
      <c r="H10" s="78">
        <f t="shared" si="8"/>
        <v>16</v>
      </c>
      <c r="I10" s="76">
        <f t="shared" si="9"/>
        <v>63</v>
      </c>
      <c r="J10" s="76">
        <f t="shared" si="10"/>
        <v>59</v>
      </c>
      <c r="K10" s="76">
        <f t="shared" si="11"/>
        <v>4</v>
      </c>
      <c r="L10" s="76">
        <f t="shared" si="12"/>
        <v>18</v>
      </c>
      <c r="M10" s="76">
        <f t="shared" si="13"/>
        <v>12</v>
      </c>
      <c r="N10" s="76">
        <f t="shared" si="14"/>
        <v>0</v>
      </c>
      <c r="O10" s="67">
        <f t="shared" si="15"/>
        <v>66.67</v>
      </c>
      <c r="P10" s="76">
        <f t="shared" si="16"/>
        <v>17</v>
      </c>
      <c r="Q10" s="76">
        <f t="shared" si="17"/>
        <v>3</v>
      </c>
      <c r="R10" s="76">
        <f t="shared" si="18"/>
        <v>0</v>
      </c>
      <c r="S10" s="67">
        <f t="shared" si="19"/>
        <v>82.35</v>
      </c>
      <c r="T10" s="76">
        <f t="shared" si="20"/>
        <v>38</v>
      </c>
      <c r="U10" s="76">
        <f t="shared" si="21"/>
        <v>237</v>
      </c>
      <c r="V10" s="68">
        <f t="shared" si="22"/>
        <v>26.58</v>
      </c>
      <c r="W10" s="72" t="s">
        <v>73</v>
      </c>
      <c r="X10" s="71">
        <v>11</v>
      </c>
      <c r="Y10" s="71">
        <v>5</v>
      </c>
      <c r="Z10" s="71">
        <v>0</v>
      </c>
      <c r="AA10" s="71">
        <v>1</v>
      </c>
      <c r="AB10" s="71">
        <v>5</v>
      </c>
      <c r="AC10" s="71">
        <v>16</v>
      </c>
      <c r="AD10" s="71">
        <v>63</v>
      </c>
      <c r="AE10" s="71">
        <v>59</v>
      </c>
      <c r="AF10" s="71">
        <v>4</v>
      </c>
      <c r="AG10" s="71">
        <v>18</v>
      </c>
      <c r="AH10" s="71">
        <v>12</v>
      </c>
      <c r="AI10" s="71">
        <v>0</v>
      </c>
      <c r="AJ10" s="70">
        <v>66.67</v>
      </c>
      <c r="AK10" s="71">
        <v>17</v>
      </c>
      <c r="AL10" s="71">
        <v>3</v>
      </c>
      <c r="AM10" s="71">
        <v>0</v>
      </c>
      <c r="AN10" s="70">
        <v>82.35</v>
      </c>
      <c r="AO10" s="71">
        <v>19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38</v>
      </c>
      <c r="AV10" s="71">
        <v>237</v>
      </c>
      <c r="AW10" s="70">
        <v>26.58</v>
      </c>
      <c r="AX10" s="71">
        <v>664</v>
      </c>
      <c r="AY10" s="71">
        <v>1324</v>
      </c>
      <c r="AZ10" s="71">
        <v>181</v>
      </c>
      <c r="BA10" s="3" t="s">
        <v>78</v>
      </c>
      <c r="BB10" s="62" t="s">
        <v>101</v>
      </c>
      <c r="BC10" s="62">
        <f t="shared" si="23"/>
        <v>14</v>
      </c>
      <c r="BD10" s="62" t="str">
        <f>CONCATENATE(IF(COUNTIF($BG$2:$BG$15,_xlfn.RANK.EQ(VLOOKUP(BA10,$B$2:$V$16,14,FALSE),$O$2:$O$15,0))=1,_xlfn.RANK.EQ(VLOOKUP(BA10,$B$2:$V$16,14,FALSE),$O$2:$O$15,0),CONCATENATE(_xlfn.RANK.EQ(VLOOKUP(BA10,$B$2:$V$16,14,FALSE),$O$2:$O$15,0),".-",_xlfn.RANK.EQ(VLOOKUP(BA10,$B$2:$V$16,14,FALSE),$O$2:$O$15,0)+COUNTIF($BG$2:$BG$15,_xlfn.RANK.EQ(VLOOKUP(BA10,$B$2:$V$16,14,FALSE),$O$2:$O$15,0)))),".")</f>
        <v>9.</v>
      </c>
      <c r="BE10" s="62" t="str">
        <f t="shared" si="24"/>
        <v>11.-13.</v>
      </c>
      <c r="BF10" s="62" t="str">
        <f t="shared" si="25"/>
        <v>12.</v>
      </c>
      <c r="BG10" s="62">
        <f t="shared" si="26"/>
        <v>9</v>
      </c>
      <c r="BH10" s="62">
        <f t="shared" si="27"/>
        <v>11</v>
      </c>
      <c r="BI10" s="62">
        <f t="shared" si="28"/>
        <v>12</v>
      </c>
    </row>
    <row r="11" spans="1:61" ht="24" customHeight="1" x14ac:dyDescent="0.25">
      <c r="A11" s="138">
        <v>10</v>
      </c>
      <c r="B11" s="25" t="str">
        <f t="shared" si="2"/>
        <v>TJ Sokol Královské Vinohrady</v>
      </c>
      <c r="C11" s="76">
        <f t="shared" si="3"/>
        <v>11</v>
      </c>
      <c r="D11" s="76">
        <f t="shared" si="4"/>
        <v>3</v>
      </c>
      <c r="E11" s="76">
        <f t="shared" si="5"/>
        <v>0</v>
      </c>
      <c r="F11" s="76">
        <f t="shared" si="6"/>
        <v>0</v>
      </c>
      <c r="G11" s="76">
        <f t="shared" si="7"/>
        <v>8</v>
      </c>
      <c r="H11" s="78">
        <f t="shared" si="8"/>
        <v>9</v>
      </c>
      <c r="I11" s="76">
        <f t="shared" si="9"/>
        <v>50</v>
      </c>
      <c r="J11" s="76">
        <f t="shared" si="10"/>
        <v>81</v>
      </c>
      <c r="K11" s="76">
        <f t="shared" si="11"/>
        <v>-31</v>
      </c>
      <c r="L11" s="76">
        <f t="shared" si="12"/>
        <v>25</v>
      </c>
      <c r="M11" s="76">
        <f t="shared" si="13"/>
        <v>12</v>
      </c>
      <c r="N11" s="76">
        <f t="shared" si="14"/>
        <v>2</v>
      </c>
      <c r="O11" s="67">
        <f t="shared" si="15"/>
        <v>48</v>
      </c>
      <c r="P11" s="76">
        <f t="shared" si="16"/>
        <v>18</v>
      </c>
      <c r="Q11" s="76">
        <f t="shared" si="17"/>
        <v>10</v>
      </c>
      <c r="R11" s="76">
        <f t="shared" si="18"/>
        <v>0</v>
      </c>
      <c r="S11" s="67">
        <f t="shared" si="19"/>
        <v>44.44</v>
      </c>
      <c r="T11" s="76">
        <f t="shared" si="20"/>
        <v>48</v>
      </c>
      <c r="U11" s="76">
        <f t="shared" si="21"/>
        <v>220</v>
      </c>
      <c r="V11" s="68">
        <f t="shared" si="22"/>
        <v>22.73</v>
      </c>
      <c r="W11" s="72" t="s">
        <v>81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75</v>
      </c>
      <c r="BB11" s="62" t="s">
        <v>98</v>
      </c>
      <c r="BC11" s="62">
        <f t="shared" si="23"/>
        <v>11</v>
      </c>
      <c r="BD11" s="62" t="str">
        <f>CONCATENATE(IF(COUNTIF($BG$2:$BG$15,_xlfn.RANK.EQ(VLOOKUP(BA11,$B$2:$V$16,14,FALSE),$O$2:$O$15,0))=1,_xlfn.RANK.EQ(VLOOKUP(BA11,$B$2:$V$16,14,FALSE),$O$2:$O$15,0),CONCATENATE(_xlfn.RANK.EQ(VLOOKUP(BA11,$B$2:$V$16,14,FALSE),$O$2:$O$15,0),".-",_xlfn.RANK.EQ(VLOOKUP(BA11,$B$2:$V$16,14,FALSE),$O$2:$O$15,0)+COUNTIF($BG$2:$BG$15,_xlfn.RANK.EQ(VLOOKUP(BA11,$B$2:$V$16,14,FALSE),$O$2:$O$15,0)))),".")</f>
        <v>14.</v>
      </c>
      <c r="BE11" s="62" t="str">
        <f t="shared" si="24"/>
        <v>8.</v>
      </c>
      <c r="BF11" s="62" t="str">
        <f t="shared" si="25"/>
        <v>2.</v>
      </c>
      <c r="BG11" s="62">
        <f t="shared" si="26"/>
        <v>14</v>
      </c>
      <c r="BH11" s="62">
        <f t="shared" si="27"/>
        <v>8</v>
      </c>
      <c r="BI11" s="62">
        <f t="shared" si="28"/>
        <v>2</v>
      </c>
    </row>
    <row r="12" spans="1:61" ht="24" customHeight="1" x14ac:dyDescent="0.25">
      <c r="A12" s="138">
        <v>11</v>
      </c>
      <c r="B12" s="25" t="str">
        <f t="shared" si="2"/>
        <v>Navláčil PANTHERS OTROKOVICE</v>
      </c>
      <c r="C12" s="76">
        <f t="shared" si="3"/>
        <v>11</v>
      </c>
      <c r="D12" s="76">
        <f t="shared" si="4"/>
        <v>2</v>
      </c>
      <c r="E12" s="76">
        <f t="shared" si="5"/>
        <v>0</v>
      </c>
      <c r="F12" s="76">
        <f t="shared" si="6"/>
        <v>1</v>
      </c>
      <c r="G12" s="76">
        <f t="shared" si="7"/>
        <v>8</v>
      </c>
      <c r="H12" s="78">
        <f t="shared" si="8"/>
        <v>7</v>
      </c>
      <c r="I12" s="76">
        <f t="shared" si="9"/>
        <v>58</v>
      </c>
      <c r="J12" s="76">
        <f t="shared" si="10"/>
        <v>79</v>
      </c>
      <c r="K12" s="76">
        <f t="shared" si="11"/>
        <v>-21</v>
      </c>
      <c r="L12" s="76">
        <f t="shared" si="12"/>
        <v>23</v>
      </c>
      <c r="M12" s="76">
        <f t="shared" si="13"/>
        <v>5</v>
      </c>
      <c r="N12" s="76">
        <f t="shared" si="14"/>
        <v>0</v>
      </c>
      <c r="O12" s="67">
        <f t="shared" si="15"/>
        <v>21.74</v>
      </c>
      <c r="P12" s="76">
        <f t="shared" si="16"/>
        <v>16</v>
      </c>
      <c r="Q12" s="76">
        <f t="shared" si="17"/>
        <v>7</v>
      </c>
      <c r="R12" s="76">
        <f t="shared" si="18"/>
        <v>0</v>
      </c>
      <c r="S12" s="67">
        <f t="shared" si="19"/>
        <v>56.25</v>
      </c>
      <c r="T12" s="76">
        <f t="shared" si="20"/>
        <v>32</v>
      </c>
      <c r="U12" s="76">
        <f t="shared" si="21"/>
        <v>228</v>
      </c>
      <c r="V12" s="68">
        <f t="shared" si="22"/>
        <v>25.44</v>
      </c>
      <c r="W12" s="72" t="s">
        <v>75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69</v>
      </c>
      <c r="BB12" s="62" t="s">
        <v>23</v>
      </c>
      <c r="BC12" s="62">
        <f t="shared" si="23"/>
        <v>2</v>
      </c>
      <c r="BD12" s="62" t="str">
        <f>CONCATENATE(IF(COUNTIF($BG$2:$BG$15,_xlfn.RANK.EQ(VLOOKUP(BA12,$B$2:$V$16,14,FALSE),$O$2:$O$15,0))=1,_xlfn.RANK.EQ(VLOOKUP(BA12,$B$2:$V$16,14,FALSE),$O$2:$O$15,0),CONCATENATE(_xlfn.RANK.EQ(VLOOKUP(BA12,$B$2:$V$16,14,FALSE),$O$2:$O$15,0),".-",_xlfn.RANK.EQ(VLOOKUP(BA12,$B$2:$V$16,14,FALSE),$O$2:$O$15,0)+COUNTIF($BG$2:$BG$15,_xlfn.RANK.EQ(VLOOKUP(BA12,$B$2:$V$16,14,FALSE),$O$2:$O$15,0)))),".")</f>
        <v>8.</v>
      </c>
      <c r="BE12" s="62" t="str">
        <f t="shared" si="24"/>
        <v>1.</v>
      </c>
      <c r="BF12" s="62" t="str">
        <f t="shared" si="25"/>
        <v>5.-9.</v>
      </c>
      <c r="BG12" s="62">
        <f t="shared" si="26"/>
        <v>8</v>
      </c>
      <c r="BH12" s="62">
        <f t="shared" si="27"/>
        <v>1</v>
      </c>
      <c r="BI12" s="62">
        <f t="shared" si="28"/>
        <v>5</v>
      </c>
    </row>
    <row r="13" spans="1:61" ht="24" customHeight="1" x14ac:dyDescent="0.25">
      <c r="A13" s="138">
        <v>12</v>
      </c>
      <c r="B13" s="25" t="str">
        <f t="shared" si="2"/>
        <v>SOKOLI Pardubice</v>
      </c>
      <c r="C13" s="76">
        <f t="shared" si="3"/>
        <v>11</v>
      </c>
      <c r="D13" s="76">
        <f t="shared" si="4"/>
        <v>2</v>
      </c>
      <c r="E13" s="76">
        <f t="shared" si="5"/>
        <v>0</v>
      </c>
      <c r="F13" s="76">
        <f t="shared" si="6"/>
        <v>0</v>
      </c>
      <c r="G13" s="76">
        <f t="shared" si="7"/>
        <v>9</v>
      </c>
      <c r="H13" s="78">
        <f t="shared" si="8"/>
        <v>6</v>
      </c>
      <c r="I13" s="76">
        <f t="shared" si="9"/>
        <v>43</v>
      </c>
      <c r="J13" s="76">
        <f t="shared" si="10"/>
        <v>94</v>
      </c>
      <c r="K13" s="76">
        <f t="shared" si="11"/>
        <v>-51</v>
      </c>
      <c r="L13" s="76">
        <f t="shared" si="12"/>
        <v>12</v>
      </c>
      <c r="M13" s="76">
        <f t="shared" si="13"/>
        <v>3</v>
      </c>
      <c r="N13" s="76">
        <f t="shared" si="14"/>
        <v>1</v>
      </c>
      <c r="O13" s="67">
        <f t="shared" si="15"/>
        <v>25</v>
      </c>
      <c r="P13" s="76">
        <f t="shared" si="16"/>
        <v>18</v>
      </c>
      <c r="Q13" s="76">
        <f t="shared" si="17"/>
        <v>8</v>
      </c>
      <c r="R13" s="76">
        <f t="shared" si="18"/>
        <v>0</v>
      </c>
      <c r="S13" s="67">
        <f t="shared" si="19"/>
        <v>55.56</v>
      </c>
      <c r="T13" s="76">
        <f t="shared" si="20"/>
        <v>38</v>
      </c>
      <c r="U13" s="76">
        <f t="shared" si="21"/>
        <v>224</v>
      </c>
      <c r="V13" s="68">
        <f t="shared" si="22"/>
        <v>19.2</v>
      </c>
      <c r="W13" s="72" t="s">
        <v>79</v>
      </c>
      <c r="X13" s="71">
        <v>11</v>
      </c>
      <c r="Y13" s="71">
        <v>2</v>
      </c>
      <c r="Z13" s="71">
        <v>0</v>
      </c>
      <c r="AA13" s="71">
        <v>0</v>
      </c>
      <c r="AB13" s="71">
        <v>9</v>
      </c>
      <c r="AC13" s="71">
        <v>6</v>
      </c>
      <c r="AD13" s="71">
        <v>43</v>
      </c>
      <c r="AE13" s="71">
        <v>94</v>
      </c>
      <c r="AF13" s="71">
        <v>-51</v>
      </c>
      <c r="AG13" s="71">
        <v>12</v>
      </c>
      <c r="AH13" s="71">
        <v>3</v>
      </c>
      <c r="AI13" s="71">
        <v>1</v>
      </c>
      <c r="AJ13" s="70">
        <v>25</v>
      </c>
      <c r="AK13" s="71">
        <v>18</v>
      </c>
      <c r="AL13" s="71">
        <v>8</v>
      </c>
      <c r="AM13" s="71">
        <v>0</v>
      </c>
      <c r="AN13" s="70">
        <v>55.56</v>
      </c>
      <c r="AO13" s="71">
        <v>19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38</v>
      </c>
      <c r="AV13" s="71">
        <v>224</v>
      </c>
      <c r="AW13" s="70">
        <v>19.2</v>
      </c>
      <c r="AX13" s="71">
        <v>951</v>
      </c>
      <c r="AY13" s="71">
        <v>1097</v>
      </c>
      <c r="AZ13" s="71">
        <v>186</v>
      </c>
      <c r="BA13" s="3" t="s">
        <v>79</v>
      </c>
      <c r="BB13" s="62" t="s">
        <v>102</v>
      </c>
      <c r="BC13" s="62">
        <f t="shared" si="23"/>
        <v>12</v>
      </c>
      <c r="BD13" s="62" t="str">
        <f>CONCATENATE(IF(COUNTIF($BG$2:$BG$15,_xlfn.RANK.EQ(VLOOKUP(BA13,$B$2:$V$16,14,FALSE),$O$2:$O$15,0))=1,_xlfn.RANK.EQ(VLOOKUP(BA13,$B$2:$V$16,14,FALSE),$O$2:$O$15,0),CONCATENATE(_xlfn.RANK.EQ(VLOOKUP(BA13,$B$2:$V$16,14,FALSE),$O$2:$O$15,0),".-",_xlfn.RANK.EQ(VLOOKUP(BA13,$B$2:$V$16,14,FALSE),$O$2:$O$15,0)+COUNTIF($BG$2:$BG$15,_xlfn.RANK.EQ(VLOOKUP(BA13,$B$2:$V$16,14,FALSE),$O$2:$O$15,0)))),".")</f>
        <v>13.</v>
      </c>
      <c r="BE13" s="62" t="str">
        <f t="shared" si="24"/>
        <v>9.</v>
      </c>
      <c r="BF13" s="62" t="str">
        <f t="shared" si="25"/>
        <v>5.-9.</v>
      </c>
      <c r="BG13" s="62">
        <f t="shared" si="26"/>
        <v>13</v>
      </c>
      <c r="BH13" s="62">
        <f t="shared" si="27"/>
        <v>9</v>
      </c>
      <c r="BI13" s="62">
        <f t="shared" si="28"/>
        <v>5</v>
      </c>
    </row>
    <row r="14" spans="1:61" ht="24" customHeight="1" x14ac:dyDescent="0.25">
      <c r="A14" s="138">
        <v>13</v>
      </c>
      <c r="B14" s="25" t="str">
        <f t="shared" si="2"/>
        <v>FBC 4CLEAN Česká Lípa</v>
      </c>
      <c r="C14" s="76">
        <f t="shared" si="3"/>
        <v>11</v>
      </c>
      <c r="D14" s="76">
        <f t="shared" si="4"/>
        <v>1</v>
      </c>
      <c r="E14" s="76">
        <f t="shared" si="5"/>
        <v>1</v>
      </c>
      <c r="F14" s="76">
        <f t="shared" si="6"/>
        <v>0</v>
      </c>
      <c r="G14" s="76">
        <f t="shared" si="7"/>
        <v>9</v>
      </c>
      <c r="H14" s="78">
        <f t="shared" si="8"/>
        <v>5</v>
      </c>
      <c r="I14" s="76">
        <f t="shared" si="9"/>
        <v>58</v>
      </c>
      <c r="J14" s="76">
        <f t="shared" si="10"/>
        <v>96</v>
      </c>
      <c r="K14" s="76">
        <f t="shared" si="11"/>
        <v>-38</v>
      </c>
      <c r="L14" s="76">
        <f t="shared" si="12"/>
        <v>14</v>
      </c>
      <c r="M14" s="76">
        <f t="shared" si="13"/>
        <v>6</v>
      </c>
      <c r="N14" s="76">
        <f t="shared" si="14"/>
        <v>0</v>
      </c>
      <c r="O14" s="67">
        <f t="shared" si="15"/>
        <v>42.86</v>
      </c>
      <c r="P14" s="76">
        <f t="shared" si="16"/>
        <v>32</v>
      </c>
      <c r="Q14" s="76">
        <f t="shared" si="17"/>
        <v>19</v>
      </c>
      <c r="R14" s="76">
        <f t="shared" si="18"/>
        <v>1</v>
      </c>
      <c r="S14" s="67">
        <f t="shared" si="19"/>
        <v>40.619999999999997</v>
      </c>
      <c r="T14" s="76">
        <f t="shared" si="20"/>
        <v>87</v>
      </c>
      <c r="U14" s="76">
        <f t="shared" si="21"/>
        <v>267</v>
      </c>
      <c r="V14" s="68">
        <f t="shared" si="22"/>
        <v>21.72</v>
      </c>
      <c r="W14" s="72" t="s">
        <v>77</v>
      </c>
      <c r="X14" s="71">
        <v>11</v>
      </c>
      <c r="Y14" s="71">
        <v>1</v>
      </c>
      <c r="Z14" s="71">
        <v>1</v>
      </c>
      <c r="AA14" s="71">
        <v>0</v>
      </c>
      <c r="AB14" s="71">
        <v>9</v>
      </c>
      <c r="AC14" s="71">
        <v>5</v>
      </c>
      <c r="AD14" s="71">
        <v>58</v>
      </c>
      <c r="AE14" s="71">
        <v>96</v>
      </c>
      <c r="AF14" s="71">
        <v>-38</v>
      </c>
      <c r="AG14" s="71">
        <v>14</v>
      </c>
      <c r="AH14" s="71">
        <v>6</v>
      </c>
      <c r="AI14" s="71">
        <v>0</v>
      </c>
      <c r="AJ14" s="70">
        <v>42.86</v>
      </c>
      <c r="AK14" s="71">
        <v>32</v>
      </c>
      <c r="AL14" s="71">
        <v>19</v>
      </c>
      <c r="AM14" s="71">
        <v>1</v>
      </c>
      <c r="AN14" s="70">
        <v>40.619999999999997</v>
      </c>
      <c r="AO14" s="71">
        <v>31</v>
      </c>
      <c r="AP14" s="71">
        <v>1</v>
      </c>
      <c r="AQ14" s="71">
        <v>0</v>
      </c>
      <c r="AR14" s="71">
        <v>1</v>
      </c>
      <c r="AS14" s="71">
        <v>0</v>
      </c>
      <c r="AT14" s="71">
        <v>0</v>
      </c>
      <c r="AU14" s="71">
        <v>87</v>
      </c>
      <c r="AV14" s="71">
        <v>267</v>
      </c>
      <c r="AW14" s="70">
        <v>21.72</v>
      </c>
      <c r="AX14" s="71">
        <v>1117</v>
      </c>
      <c r="AY14" s="71">
        <v>905</v>
      </c>
      <c r="AZ14" s="71">
        <v>184</v>
      </c>
      <c r="BA14" s="3" t="s">
        <v>68</v>
      </c>
      <c r="BB14" s="62" t="s">
        <v>92</v>
      </c>
      <c r="BC14" s="62">
        <f t="shared" si="23"/>
        <v>1</v>
      </c>
      <c r="BD14" s="62" t="str">
        <f>CONCATENATE(IF(COUNTIF($BG$2:$BG$15,_xlfn.RANK.EQ(VLOOKUP(BA14,$B$2:$V$16,14,FALSE),$O$2:$O$15,0))=1,_xlfn.RANK.EQ(VLOOKUP(BA14,$B$2:$V$16,14,FALSE),$O$2:$O$15,0),CONCATENATE(_xlfn.RANK.EQ(VLOOKUP(BA14,$B$2:$V$16,14,FALSE),$O$2:$O$15,0),".-",_xlfn.RANK.EQ(VLOOKUP(BA14,$B$2:$V$16,14,FALSE),$O$2:$O$15,0)+COUNTIF($BG$2:$BG$15,_xlfn.RANK.EQ(VLOOKUP(BA14,$B$2:$V$16,14,FALSE),$O$2:$O$15,0)))),".")</f>
        <v>2.</v>
      </c>
      <c r="BE14" s="62" t="str">
        <f t="shared" si="24"/>
        <v>5.</v>
      </c>
      <c r="BF14" s="62" t="str">
        <f t="shared" si="25"/>
        <v>5.-9.</v>
      </c>
      <c r="BG14" s="62">
        <f t="shared" si="26"/>
        <v>2</v>
      </c>
      <c r="BH14" s="62">
        <f t="shared" si="27"/>
        <v>5</v>
      </c>
      <c r="BI14" s="62">
        <f t="shared" si="28"/>
        <v>5</v>
      </c>
    </row>
    <row r="15" spans="1:61" ht="24" customHeight="1" thickBot="1" x14ac:dyDescent="0.3">
      <c r="A15" s="139">
        <v>14</v>
      </c>
      <c r="B15" s="134" t="str">
        <f t="shared" si="2"/>
        <v>FBŠ Hummel Hattrick Brno</v>
      </c>
      <c r="C15" s="135">
        <f t="shared" si="3"/>
        <v>11</v>
      </c>
      <c r="D15" s="135">
        <f t="shared" si="4"/>
        <v>1</v>
      </c>
      <c r="E15" s="135">
        <f t="shared" si="5"/>
        <v>0</v>
      </c>
      <c r="F15" s="135">
        <f t="shared" si="6"/>
        <v>1</v>
      </c>
      <c r="G15" s="135">
        <f t="shared" si="7"/>
        <v>9</v>
      </c>
      <c r="H15" s="79">
        <f t="shared" si="8"/>
        <v>4</v>
      </c>
      <c r="I15" s="135">
        <f t="shared" si="9"/>
        <v>39</v>
      </c>
      <c r="J15" s="135">
        <f t="shared" si="10"/>
        <v>86</v>
      </c>
      <c r="K15" s="135">
        <f t="shared" si="11"/>
        <v>-47</v>
      </c>
      <c r="L15" s="135">
        <f t="shared" si="12"/>
        <v>15</v>
      </c>
      <c r="M15" s="135">
        <f t="shared" si="13"/>
        <v>5</v>
      </c>
      <c r="N15" s="135">
        <f t="shared" si="14"/>
        <v>2</v>
      </c>
      <c r="O15" s="136">
        <f t="shared" si="15"/>
        <v>33.33</v>
      </c>
      <c r="P15" s="135">
        <f t="shared" si="16"/>
        <v>24</v>
      </c>
      <c r="Q15" s="135">
        <f t="shared" si="17"/>
        <v>12</v>
      </c>
      <c r="R15" s="135">
        <f t="shared" si="18"/>
        <v>0</v>
      </c>
      <c r="S15" s="136">
        <f t="shared" si="19"/>
        <v>50</v>
      </c>
      <c r="T15" s="135">
        <f t="shared" si="20"/>
        <v>53</v>
      </c>
      <c r="U15" s="135">
        <f t="shared" si="21"/>
        <v>197</v>
      </c>
      <c r="V15" s="137">
        <f t="shared" si="22"/>
        <v>19.8</v>
      </c>
      <c r="W15" s="72" t="s">
        <v>78</v>
      </c>
      <c r="X15" s="71">
        <v>11</v>
      </c>
      <c r="Y15" s="71">
        <v>1</v>
      </c>
      <c r="Z15" s="71">
        <v>0</v>
      </c>
      <c r="AA15" s="71">
        <v>1</v>
      </c>
      <c r="AB15" s="71">
        <v>9</v>
      </c>
      <c r="AC15" s="71">
        <v>4</v>
      </c>
      <c r="AD15" s="71">
        <v>39</v>
      </c>
      <c r="AE15" s="71">
        <v>86</v>
      </c>
      <c r="AF15" s="71">
        <v>-47</v>
      </c>
      <c r="AG15" s="71">
        <v>15</v>
      </c>
      <c r="AH15" s="71">
        <v>5</v>
      </c>
      <c r="AI15" s="71">
        <v>2</v>
      </c>
      <c r="AJ15" s="70">
        <v>33.33</v>
      </c>
      <c r="AK15" s="71">
        <v>24</v>
      </c>
      <c r="AL15" s="71">
        <v>12</v>
      </c>
      <c r="AM15" s="71">
        <v>0</v>
      </c>
      <c r="AN15" s="70">
        <v>50</v>
      </c>
      <c r="AO15" s="71">
        <v>24</v>
      </c>
      <c r="AP15" s="71">
        <v>1</v>
      </c>
      <c r="AQ15" s="71">
        <v>0</v>
      </c>
      <c r="AR15" s="71">
        <v>0</v>
      </c>
      <c r="AS15" s="71">
        <v>0</v>
      </c>
      <c r="AT15" s="71">
        <v>0</v>
      </c>
      <c r="AU15" s="71">
        <v>53</v>
      </c>
      <c r="AV15" s="71">
        <v>197</v>
      </c>
      <c r="AW15" s="70">
        <v>19.8</v>
      </c>
      <c r="AX15" s="71">
        <v>1016</v>
      </c>
      <c r="AY15" s="71">
        <v>575</v>
      </c>
      <c r="AZ15" s="71">
        <v>145</v>
      </c>
      <c r="BA15" s="3" t="s">
        <v>81</v>
      </c>
      <c r="BB15" s="62" t="s">
        <v>5</v>
      </c>
      <c r="BC15" s="62">
        <f t="shared" si="23"/>
        <v>10</v>
      </c>
      <c r="BD15" s="62" t="str">
        <f>CONCATENATE(IF(COUNTIF($BG$2:$BG$15,_xlfn.RANK.EQ(VLOOKUP(BA15,$B$2:$V$16,14,FALSE),$O$2:$O$15,0))=1,_xlfn.RANK.EQ(VLOOKUP(BA15,$B$2:$V$16,14,FALSE),$O$2:$O$15,0),CONCATENATE(_xlfn.RANK.EQ(VLOOKUP(BA15,$B$2:$V$16,14,FALSE),$O$2:$O$15,0),".-",_xlfn.RANK.EQ(VLOOKUP(BA15,$B$2:$V$16,14,FALSE),$O$2:$O$15,0)+COUNTIF($BG$2:$BG$15,_xlfn.RANK.EQ(VLOOKUP(BA15,$B$2:$V$16,14,FALSE),$O$2:$O$15,0)))),".")</f>
        <v>4.</v>
      </c>
      <c r="BE15" s="62" t="str">
        <f t="shared" si="24"/>
        <v>13.</v>
      </c>
      <c r="BF15" s="62" t="str">
        <f t="shared" si="25"/>
        <v>10.-12.</v>
      </c>
      <c r="BG15" s="62">
        <f t="shared" si="26"/>
        <v>4</v>
      </c>
      <c r="BH15" s="62">
        <f t="shared" si="27"/>
        <v>13</v>
      </c>
      <c r="BI15" s="62">
        <f t="shared" si="28"/>
        <v>10</v>
      </c>
    </row>
    <row r="16" spans="1:61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45" t="s">
        <v>5</v>
      </c>
      <c r="B1" s="345"/>
      <c r="C1" s="345"/>
      <c r="D1" s="345"/>
      <c r="E1" s="345"/>
      <c r="F1" s="345"/>
      <c r="G1" s="345"/>
      <c r="H1" s="345"/>
      <c r="I1" s="345"/>
      <c r="J1" s="345" t="s">
        <v>23</v>
      </c>
      <c r="K1" s="345"/>
      <c r="L1" s="345"/>
      <c r="M1" s="345"/>
      <c r="N1" s="345"/>
      <c r="O1" s="345"/>
      <c r="P1" s="345"/>
      <c r="Q1" s="345"/>
      <c r="R1" s="345"/>
      <c r="S1" s="228" t="s">
        <v>50</v>
      </c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30"/>
    </row>
    <row r="2" spans="1:31" ht="15" customHeight="1" thickBot="1" x14ac:dyDescent="0.3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155" t="s">
        <v>45</v>
      </c>
      <c r="T2" s="156" t="s">
        <v>46</v>
      </c>
      <c r="U2" s="156" t="s">
        <v>28</v>
      </c>
      <c r="V2" s="157" t="s">
        <v>47</v>
      </c>
      <c r="W2" s="158" t="s">
        <v>197</v>
      </c>
      <c r="X2" s="303" t="s">
        <v>48</v>
      </c>
      <c r="Y2" s="304"/>
      <c r="Z2" s="304"/>
      <c r="AA2" s="304"/>
      <c r="AB2" s="64" t="s">
        <v>28</v>
      </c>
      <c r="AC2" s="304" t="s">
        <v>47</v>
      </c>
      <c r="AD2" s="304"/>
      <c r="AE2" s="305"/>
    </row>
    <row r="3" spans="1:31" ht="15" customHeight="1" thickTop="1" thickBot="1" x14ac:dyDescent="0.3">
      <c r="A3" s="347" t="str">
        <f>INDEX(tabulka!$BA$2:$BA$15,MATCH($A$1,tabulka!$BB$2:$BB$15,0))</f>
        <v>TJ Sokol Královské Vinohrady</v>
      </c>
      <c r="B3" s="347"/>
      <c r="C3" s="347"/>
      <c r="D3" s="347"/>
      <c r="E3" s="347"/>
      <c r="F3" s="347"/>
      <c r="G3" s="347"/>
      <c r="H3" s="347"/>
      <c r="I3" s="347"/>
      <c r="J3" s="347" t="str">
        <f>INDEX(tabulka!$BA$2:$BA$15,MATCH($J$1,tabulka!$BB$2:$BB$15,0))</f>
        <v>Předvýběr.CZ Florbal MB</v>
      </c>
      <c r="K3" s="347"/>
      <c r="L3" s="347"/>
      <c r="M3" s="347"/>
      <c r="N3" s="347"/>
      <c r="O3" s="347"/>
      <c r="P3" s="347"/>
      <c r="Q3" s="347"/>
      <c r="R3" s="347"/>
      <c r="S3" s="159"/>
      <c r="T3" s="160"/>
      <c r="U3" s="160"/>
      <c r="V3" s="161"/>
      <c r="W3" s="162"/>
      <c r="X3" s="262" t="str">
        <f>IF(S3&lt;&gt;"",CONCATENATE(S3, " - ",T3),"")</f>
        <v/>
      </c>
      <c r="Y3" s="262"/>
      <c r="Z3" s="262"/>
      <c r="AA3" s="306"/>
      <c r="AB3" s="171" t="str">
        <f>IF(U3&lt;&gt;"",U3,"")</f>
        <v/>
      </c>
      <c r="AC3" s="261" t="str">
        <f>IF(AND(V3&lt;&gt;"",W3&lt;&gt;""),CONCATENATE(V3," (",W3,")"),IF(V3&lt;&gt;"",V3,""))</f>
        <v/>
      </c>
      <c r="AD3" s="262"/>
      <c r="AE3" s="263"/>
    </row>
    <row r="4" spans="1:31" ht="15" customHeight="1" thickTop="1" thickBot="1" x14ac:dyDescent="0.3">
      <c r="A4" s="312" t="s">
        <v>25</v>
      </c>
      <c r="B4" s="313"/>
      <c r="C4" s="28" t="s">
        <v>26</v>
      </c>
      <c r="D4" s="28" t="s">
        <v>27</v>
      </c>
      <c r="E4" s="313" t="s">
        <v>28</v>
      </c>
      <c r="F4" s="313"/>
      <c r="G4" s="28" t="s">
        <v>29</v>
      </c>
      <c r="H4" s="28" t="s">
        <v>30</v>
      </c>
      <c r="I4" s="29" t="s">
        <v>31</v>
      </c>
      <c r="J4" s="319" t="s">
        <v>25</v>
      </c>
      <c r="K4" s="320"/>
      <c r="L4" s="30" t="s">
        <v>26</v>
      </c>
      <c r="M4" s="30" t="s">
        <v>27</v>
      </c>
      <c r="N4" s="320" t="s">
        <v>28</v>
      </c>
      <c r="O4" s="320"/>
      <c r="P4" s="30" t="s">
        <v>29</v>
      </c>
      <c r="Q4" s="30" t="s">
        <v>30</v>
      </c>
      <c r="R4" s="181" t="s">
        <v>31</v>
      </c>
      <c r="S4" s="163"/>
      <c r="T4" s="164"/>
      <c r="U4" s="164"/>
      <c r="V4" s="165"/>
      <c r="W4" s="166"/>
      <c r="X4" s="265" t="str">
        <f t="shared" ref="X4:X14" si="0">IF(S4&lt;&gt;"",CONCATENATE(S4, " - ",T4),"")</f>
        <v/>
      </c>
      <c r="Y4" s="265"/>
      <c r="Z4" s="265"/>
      <c r="AA4" s="274"/>
      <c r="AB4" s="148" t="str">
        <f t="shared" ref="AB4:AB14" si="1">IF(U4&lt;&gt;"",U4,"")</f>
        <v/>
      </c>
      <c r="AC4" s="264" t="str">
        <f t="shared" ref="AC4:AC14" si="2">IF(AND(V4&lt;&gt;"",W4&lt;&gt;""),CONCATENATE(V4," (",W4,")"),IF(V4&lt;&gt;"",V4,""))</f>
        <v/>
      </c>
      <c r="AD4" s="265"/>
      <c r="AE4" s="266"/>
    </row>
    <row r="5" spans="1:31" ht="15" customHeight="1" thickBot="1" x14ac:dyDescent="0.3">
      <c r="A5" s="352" t="str">
        <f>IFERROR(CONCATENATE(VLOOKUP($A$1,tabulka!$BB$2:$BF$15,2,FALSE),". místo"),"")</f>
        <v>10. místo</v>
      </c>
      <c r="B5" s="353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8</v>
      </c>
      <c r="E5" s="353" t="str">
        <f>IFERROR(CONCATENATE(VLOOKUP($A$3,tabulka!$B$2:$V$15,8,FALSE),":",VLOOKUP($A$3,tabulka!$B$2:$V$15,9,FALSE)),"")</f>
        <v>50:81</v>
      </c>
      <c r="F5" s="353"/>
      <c r="G5" s="82">
        <f>IFERROR(VLOOKUP($A$3,tabulka!$B$2:$V$15,14,FALSE),"")</f>
        <v>48</v>
      </c>
      <c r="H5" s="82">
        <f>IFERROR(VLOOKUP($A$3,tabulka!$B$2:$V$15,18,FALSE),"")</f>
        <v>44.44</v>
      </c>
      <c r="I5" s="33">
        <f>IFERROR(VLOOKUP($A$3,tabulka!$B$2:$V$15,19,FALSE),"")</f>
        <v>48</v>
      </c>
      <c r="J5" s="354" t="str">
        <f>IFERROR(CONCATENATE(VLOOKUP($J$1,tabulka!$BB$2:$BF$15,2,FALSE),". místo"),"")</f>
        <v>2. místo</v>
      </c>
      <c r="K5" s="355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1</v>
      </c>
      <c r="N5" s="355" t="str">
        <f>IFERROR(CONCATENATE(VLOOKUP($J$3,tabulka!$B$2:$V$15,8,FALSE),":",VLOOKUP($J$3,tabulka!$B$2:$V$15,9,FALSE)),"")</f>
        <v>84:32</v>
      </c>
      <c r="O5" s="355"/>
      <c r="P5" s="83">
        <f>IFERROR(VLOOKUP($J$3,tabulka!$B$2:$V$15,14,FALSE),"")</f>
        <v>35.71</v>
      </c>
      <c r="Q5" s="83">
        <f>IFERROR(VLOOKUP($J$3,tabulka!$B$2:$V$15,18,FALSE),"")</f>
        <v>83.33</v>
      </c>
      <c r="R5" s="182">
        <f>IFERROR(VLOOKUP($J$3,tabulka!$B$2:$V$15,19,FALSE),"")</f>
        <v>38</v>
      </c>
      <c r="S5" s="163"/>
      <c r="T5" s="164"/>
      <c r="U5" s="164"/>
      <c r="V5" s="165"/>
      <c r="W5" s="166"/>
      <c r="X5" s="265" t="str">
        <f t="shared" si="0"/>
        <v/>
      </c>
      <c r="Y5" s="265"/>
      <c r="Z5" s="265"/>
      <c r="AA5" s="274"/>
      <c r="AB5" s="148" t="str">
        <f t="shared" si="1"/>
        <v/>
      </c>
      <c r="AC5" s="264" t="str">
        <f t="shared" si="2"/>
        <v/>
      </c>
      <c r="AD5" s="265"/>
      <c r="AE5" s="266"/>
    </row>
    <row r="6" spans="1:31" ht="15" customHeight="1" thickTop="1" x14ac:dyDescent="0.25">
      <c r="A6" s="26"/>
      <c r="B6" s="26"/>
      <c r="C6" s="26"/>
      <c r="D6" s="26"/>
      <c r="E6" s="267" t="s">
        <v>107</v>
      </c>
      <c r="F6" s="267"/>
      <c r="G6" s="36" t="str">
        <f>IFERROR(VLOOKUP($A$1,tabulka!$BB$2:$BF$15,3,FALSE),"")</f>
        <v>4.</v>
      </c>
      <c r="H6" s="36" t="str">
        <f>IFERROR(VLOOKUP($A$1,tabulka!$BB$2:$BF$15,4,FALSE),"")</f>
        <v>13.</v>
      </c>
      <c r="I6" s="36" t="str">
        <f>IFERROR(VLOOKUP($A$1,tabulka!$BB$2:$BF$15,5,FALSE),"")</f>
        <v>10.-12.</v>
      </c>
      <c r="J6" s="26"/>
      <c r="K6" s="26"/>
      <c r="L6" s="26"/>
      <c r="N6" s="267" t="s">
        <v>107</v>
      </c>
      <c r="O6" s="267"/>
      <c r="P6" s="36" t="str">
        <f>IFERROR(VLOOKUP($J$1,tabulka!$BB$2:$BF$15,3,FALSE),"")</f>
        <v>8.</v>
      </c>
      <c r="Q6" s="36" t="str">
        <f>IFERROR(VLOOKUP($J$1,tabulka!$BB$2:$BF$15,4,FALSE),"")</f>
        <v>1.</v>
      </c>
      <c r="R6" s="36" t="str">
        <f>IFERROR(VLOOKUP($J$1,tabulka!$BB$2:$BF$15,5,FALSE),"")</f>
        <v>5.-9.</v>
      </c>
      <c r="S6" s="163"/>
      <c r="T6" s="164"/>
      <c r="U6" s="164"/>
      <c r="V6" s="165"/>
      <c r="W6" s="166"/>
      <c r="X6" s="265" t="str">
        <f t="shared" si="0"/>
        <v/>
      </c>
      <c r="Y6" s="265"/>
      <c r="Z6" s="265"/>
      <c r="AA6" s="274"/>
      <c r="AB6" s="148" t="str">
        <f t="shared" si="1"/>
        <v/>
      </c>
      <c r="AC6" s="264" t="str">
        <f t="shared" si="2"/>
        <v/>
      </c>
      <c r="AD6" s="265"/>
      <c r="AE6" s="26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3"/>
      <c r="T7" s="164"/>
      <c r="U7" s="164"/>
      <c r="V7" s="165"/>
      <c r="W7" s="166"/>
      <c r="X7" s="265" t="str">
        <f t="shared" si="0"/>
        <v/>
      </c>
      <c r="Y7" s="265"/>
      <c r="Z7" s="265"/>
      <c r="AA7" s="274"/>
      <c r="AB7" s="148" t="str">
        <f t="shared" si="1"/>
        <v/>
      </c>
      <c r="AC7" s="264" t="str">
        <f t="shared" si="2"/>
        <v/>
      </c>
      <c r="AD7" s="265"/>
      <c r="AE7" s="266"/>
    </row>
    <row r="8" spans="1:31" ht="15" customHeight="1" thickTop="1" thickBot="1" x14ac:dyDescent="0.3">
      <c r="A8" s="356" t="s">
        <v>32</v>
      </c>
      <c r="B8" s="357"/>
      <c r="C8" s="358" t="str">
        <f ca="1">IFERROR(IF(INDIRECT("priprava_" &amp; A1 &amp; "!BY12")&lt;&gt;0,INDIRECT("priprava_" &amp; A1 &amp; "!BY12"),""),"")</f>
        <v>P - P - P - P - V - V - P - P - P - V</v>
      </c>
      <c r="D8" s="358"/>
      <c r="E8" s="358"/>
      <c r="F8" s="358"/>
      <c r="G8" s="358"/>
      <c r="H8" s="359"/>
      <c r="I8" s="25"/>
      <c r="J8" s="360" t="s">
        <v>32</v>
      </c>
      <c r="K8" s="361"/>
      <c r="L8" s="362" t="str">
        <f ca="1">IFERROR(IF(INDIRECT("priprava_" &amp; J1 &amp; "!BY12")&lt;&gt;0,INDIRECT("priprava_" &amp; J1 &amp; "!BY12"),""),"")</f>
        <v>VP - VP - V - V - V - P - V - V - V - V</v>
      </c>
      <c r="M8" s="362"/>
      <c r="N8" s="362"/>
      <c r="O8" s="362"/>
      <c r="P8" s="362"/>
      <c r="Q8" s="363"/>
      <c r="R8" s="25"/>
      <c r="S8" s="163"/>
      <c r="T8" s="164"/>
      <c r="U8" s="164"/>
      <c r="V8" s="165"/>
      <c r="W8" s="166"/>
      <c r="X8" s="265" t="str">
        <f t="shared" si="0"/>
        <v/>
      </c>
      <c r="Y8" s="265"/>
      <c r="Z8" s="265"/>
      <c r="AA8" s="274"/>
      <c r="AB8" s="148" t="str">
        <f t="shared" si="1"/>
        <v/>
      </c>
      <c r="AC8" s="264" t="str">
        <f t="shared" si="2"/>
        <v/>
      </c>
      <c r="AD8" s="265"/>
      <c r="AE8" s="26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3"/>
      <c r="T9" s="164"/>
      <c r="U9" s="164"/>
      <c r="V9" s="165"/>
      <c r="W9" s="166"/>
      <c r="X9" s="265" t="str">
        <f t="shared" si="0"/>
        <v/>
      </c>
      <c r="Y9" s="265"/>
      <c r="Z9" s="265"/>
      <c r="AA9" s="274"/>
      <c r="AB9" s="148" t="str">
        <f t="shared" si="1"/>
        <v/>
      </c>
      <c r="AC9" s="264" t="str">
        <f t="shared" si="2"/>
        <v/>
      </c>
      <c r="AD9" s="265"/>
      <c r="AE9" s="266"/>
    </row>
    <row r="10" spans="1:31" ht="15" customHeight="1" thickTop="1" thickBot="1" x14ac:dyDescent="0.3">
      <c r="A10" s="312" t="s">
        <v>33</v>
      </c>
      <c r="B10" s="313"/>
      <c r="C10" s="313"/>
      <c r="D10" s="318"/>
      <c r="E10" s="317" t="s">
        <v>34</v>
      </c>
      <c r="F10" s="313"/>
      <c r="G10" s="313"/>
      <c r="H10" s="318"/>
      <c r="I10" s="25"/>
      <c r="J10" s="312" t="s">
        <v>33</v>
      </c>
      <c r="K10" s="313"/>
      <c r="L10" s="313"/>
      <c r="M10" s="318"/>
      <c r="N10" s="317" t="s">
        <v>34</v>
      </c>
      <c r="O10" s="313"/>
      <c r="P10" s="313"/>
      <c r="Q10" s="318"/>
      <c r="R10" s="37"/>
      <c r="S10" s="163"/>
      <c r="T10" s="164"/>
      <c r="U10" s="164"/>
      <c r="V10" s="165"/>
      <c r="W10" s="166"/>
      <c r="X10" s="265" t="str">
        <f t="shared" si="0"/>
        <v/>
      </c>
      <c r="Y10" s="265"/>
      <c r="Z10" s="265"/>
      <c r="AA10" s="274"/>
      <c r="AB10" s="148" t="str">
        <f t="shared" si="1"/>
        <v/>
      </c>
      <c r="AC10" s="264" t="str">
        <f t="shared" si="2"/>
        <v/>
      </c>
      <c r="AD10" s="265"/>
      <c r="AE10" s="266"/>
    </row>
    <row r="11" spans="1:31" ht="15" customHeight="1" x14ac:dyDescent="0.25">
      <c r="A11" s="364" t="str">
        <f ca="1">IFERROR(IF(INDIRECT("priprava_" &amp; A$1 &amp; "!BZ2")&lt;&gt;"",INDIRECT("priprava_" &amp; A$1 &amp; "!BZ2"),""),"")</f>
        <v>OTR (h)</v>
      </c>
      <c r="B11" s="280"/>
      <c r="C11" s="365" t="str">
        <f ca="1">IFERROR(IF(A11&lt;&gt;"",INDIRECT("priprava_" &amp; A$1 &amp; "!CA2"),""),"")</f>
        <v>9:8</v>
      </c>
      <c r="D11" s="366"/>
      <c r="E11" s="279" t="str">
        <f ca="1">IFERROR(IF(INDIRECT("priprava_" &amp; A$1 &amp; "!BZ7")&lt;&gt;"",INDIRECT("priprava_" &amp; A$1 &amp; "!BZ7"),""),"")</f>
        <v>MB (d)</v>
      </c>
      <c r="F11" s="280"/>
      <c r="G11" s="365" t="str">
        <f ca="1">IFERROR(IF(E11&lt;&gt;"",INDIRECT("priprava_" &amp; A$1 &amp; "!BY7"),""),"")</f>
        <v>31. 10.</v>
      </c>
      <c r="H11" s="366"/>
      <c r="I11" s="25"/>
      <c r="J11" s="364" t="str">
        <f ca="1">IFERROR(IF(INDIRECT("priprava_" &amp; J$1 &amp; "!BZ2")&lt;&gt;"",INDIRECT("priprava_" &amp; J$1 &amp; "!BZ2"),""),"")</f>
        <v>SPA (d)</v>
      </c>
      <c r="K11" s="280"/>
      <c r="L11" s="365" t="str">
        <f ca="1">IFERROR(IF(J11&lt;&gt;"",INDIRECT("priprava_" &amp; J$1 &amp; "!CA2"),""),"")</f>
        <v>7:2</v>
      </c>
      <c r="M11" s="366"/>
      <c r="N11" s="279" t="str">
        <f ca="1">IFERROR(IF(INDIRECT("priprava_" &amp; J$1 &amp; "!BZ7")&lt;&gt;"",INDIRECT("priprava_" &amp; J$1 &amp; "!BZ7"),""),"")</f>
        <v>SKV (h)</v>
      </c>
      <c r="O11" s="280"/>
      <c r="P11" s="365" t="str">
        <f ca="1">IFERROR(IF(N11&lt;&gt;"",INDIRECT("priprava_" &amp; J$1 &amp; "!BY7"),""),"")</f>
        <v>31. 10.</v>
      </c>
      <c r="Q11" s="366"/>
      <c r="R11" s="38"/>
      <c r="S11" s="163"/>
      <c r="T11" s="164"/>
      <c r="U11" s="164"/>
      <c r="V11" s="165"/>
      <c r="W11" s="166"/>
      <c r="X11" s="265" t="str">
        <f t="shared" si="0"/>
        <v/>
      </c>
      <c r="Y11" s="265"/>
      <c r="Z11" s="265"/>
      <c r="AA11" s="274"/>
      <c r="AB11" s="148" t="str">
        <f t="shared" si="1"/>
        <v/>
      </c>
      <c r="AC11" s="264" t="str">
        <f t="shared" si="2"/>
        <v/>
      </c>
      <c r="AD11" s="265"/>
      <c r="AE11" s="266"/>
    </row>
    <row r="12" spans="1:31" ht="15" customHeight="1" x14ac:dyDescent="0.25">
      <c r="A12" s="343" t="str">
        <f ca="1">IFERROR(IF(INDIRECT("priprava_" &amp; A$1 &amp; "!BZ3")&lt;&gt;"",INDIRECT("priprava_" &amp; A$1 &amp; "!BZ3"),""),"")</f>
        <v>HAT (d)</v>
      </c>
      <c r="B12" s="342"/>
      <c r="C12" s="340" t="str">
        <f ca="1">IFERROR(IF(A12&lt;&gt;"",INDIRECT("priprava_" &amp; A$1 &amp; "!CA3"),""),"")</f>
        <v>5:6</v>
      </c>
      <c r="D12" s="341"/>
      <c r="E12" s="274" t="str">
        <f ca="1">IFERROR(IF(INDIRECT("priprava_" &amp; A$1 &amp; "!BZ8")&lt;&gt;"",INDIRECT("priprava_" &amp; A$1 &amp; "!BZ8"),""),"")</f>
        <v>SPA (h)</v>
      </c>
      <c r="F12" s="342"/>
      <c r="G12" s="340" t="str">
        <f ca="1">IFERROR(IF(E12&lt;&gt;"",INDIRECT("priprava_" &amp; A$1 &amp; "!BY8"),""),"")</f>
        <v>7. 11.</v>
      </c>
      <c r="H12" s="341"/>
      <c r="I12" s="26"/>
      <c r="J12" s="343" t="str">
        <f ca="1">IFERROR(IF(INDIRECT("priprava_" &amp; J$1 &amp; "!BZ3")&lt;&gt;"",INDIRECT("priprava_" &amp; J$1 &amp; "!BZ3"),""),"")</f>
        <v>CLP (d)</v>
      </c>
      <c r="K12" s="342"/>
      <c r="L12" s="340" t="str">
        <f ca="1">IFERROR(IF(J12&lt;&gt;"",INDIRECT("priprava_" &amp; J$1 &amp; "!CA3"),""),"")</f>
        <v>7:3</v>
      </c>
      <c r="M12" s="341"/>
      <c r="N12" s="274" t="str">
        <f ca="1">IFERROR(IF(INDIRECT("priprava_" &amp; J$1 &amp; "!BZ8")&lt;&gt;"",INDIRECT("priprava_" &amp; J$1 &amp; "!BZ8"),""),"")</f>
        <v>TAT (d)</v>
      </c>
      <c r="O12" s="342"/>
      <c r="P12" s="340" t="str">
        <f ca="1">IFERROR(IF(N12&lt;&gt;"",INDIRECT("priprava_" &amp; J$1 &amp; "!BY8"),""),"")</f>
        <v>6. 11.</v>
      </c>
      <c r="Q12" s="341"/>
      <c r="R12" s="25"/>
      <c r="S12" s="163"/>
      <c r="T12" s="164"/>
      <c r="U12" s="164"/>
      <c r="V12" s="165"/>
      <c r="W12" s="166"/>
      <c r="X12" s="265" t="str">
        <f t="shared" si="0"/>
        <v/>
      </c>
      <c r="Y12" s="265"/>
      <c r="Z12" s="265"/>
      <c r="AA12" s="274"/>
      <c r="AB12" s="148" t="str">
        <f t="shared" si="1"/>
        <v/>
      </c>
      <c r="AC12" s="264" t="str">
        <f t="shared" si="2"/>
        <v/>
      </c>
      <c r="AD12" s="265"/>
      <c r="AE12" s="266"/>
    </row>
    <row r="13" spans="1:31" ht="15" customHeight="1" x14ac:dyDescent="0.25">
      <c r="A13" s="344" t="str">
        <f ca="1">IFERROR(IF(INDIRECT("priprava_" &amp; A$1 &amp; "!BZ4")&lt;&gt;"",INDIRECT("priprava_" &amp; A$1 &amp; "!BZ4"),""),"")</f>
        <v>VIT (h)</v>
      </c>
      <c r="B13" s="276"/>
      <c r="C13" s="277" t="str">
        <f ca="1">IFERROR(IF(A13&lt;&gt;"",INDIRECT("priprava_" &amp; A$1 &amp; "!CA4"),""),"")</f>
        <v>4:9</v>
      </c>
      <c r="D13" s="278"/>
      <c r="E13" s="275" t="str">
        <f ca="1">IFERROR(IF(INDIRECT("priprava_" &amp; A$1 &amp; "!BZ9")&lt;&gt;"",INDIRECT("priprava_" &amp; A$1 &amp; "!BZ9"),""),"")</f>
        <v>TAT (h)</v>
      </c>
      <c r="F13" s="276"/>
      <c r="G13" s="277" t="str">
        <f ca="1">IFERROR(IF(E13&lt;&gt;"",INDIRECT("priprava_" &amp; A$1 &amp; "!BY9"),""),"")</f>
        <v>15. 11.</v>
      </c>
      <c r="H13" s="278"/>
      <c r="I13" s="25"/>
      <c r="J13" s="344" t="str">
        <f ca="1">IFERROR(IF(INDIRECT("priprava_" &amp; J$1 &amp; "!BZ4")&lt;&gt;"",INDIRECT("priprava_" &amp; J$1 &amp; "!BZ4"),""),"")</f>
        <v>OTR (h)</v>
      </c>
      <c r="K13" s="276"/>
      <c r="L13" s="277" t="str">
        <f ca="1">IFERROR(IF(J13&lt;&gt;"",INDIRECT("priprava_" &amp; J$1 &amp; "!CA4"),""),"")</f>
        <v>7:2</v>
      </c>
      <c r="M13" s="278"/>
      <c r="N13" s="275" t="str">
        <f ca="1">IFERROR(IF(INDIRECT("priprava_" &amp; J$1 &amp; "!BZ9")&lt;&gt;"",INDIRECT("priprava_" &amp; J$1 &amp; "!BZ9"),""),"")</f>
        <v>LIB (h)</v>
      </c>
      <c r="O13" s="276"/>
      <c r="P13" s="277" t="str">
        <f ca="1">IFERROR(IF(N13&lt;&gt;"",INDIRECT("priprava_" &amp; J$1 &amp; "!BY9"),""),"")</f>
        <v>14. 11.</v>
      </c>
      <c r="Q13" s="278"/>
      <c r="R13" s="27"/>
      <c r="S13" s="163"/>
      <c r="T13" s="164"/>
      <c r="U13" s="164"/>
      <c r="V13" s="165"/>
      <c r="W13" s="166"/>
      <c r="X13" s="265" t="str">
        <f t="shared" si="0"/>
        <v/>
      </c>
      <c r="Y13" s="265"/>
      <c r="Z13" s="265"/>
      <c r="AA13" s="274"/>
      <c r="AB13" s="148" t="str">
        <f t="shared" si="1"/>
        <v/>
      </c>
      <c r="AC13" s="264" t="str">
        <f t="shared" si="2"/>
        <v/>
      </c>
      <c r="AD13" s="265"/>
      <c r="AE13" s="266"/>
    </row>
    <row r="14" spans="1:31" ht="15" customHeight="1" x14ac:dyDescent="0.25">
      <c r="A14" s="343" t="str">
        <f ca="1">IFERROR(IF(INDIRECT("priprava_" &amp; A$1 &amp; "!BZ5")&lt;&gt;"",INDIRECT("priprava_" &amp; A$1 &amp; "!BZ5"),""),"")</f>
        <v>BOH (d)</v>
      </c>
      <c r="B14" s="342"/>
      <c r="C14" s="340" t="str">
        <f ca="1">IFERROR(IF(A14&lt;&gt;"",INDIRECT("priprava_" &amp; A$1 &amp; "!CA5"),""),"")</f>
        <v>4:6</v>
      </c>
      <c r="D14" s="341"/>
      <c r="E14" s="274" t="str">
        <f ca="1">IFERROR(IF(INDIRECT("priprava_" &amp; A$1 &amp; "!BZ10")&lt;&gt;"",INDIRECT("priprava_" &amp; A$1 &amp; "!BZ10"),""),"")</f>
        <v>OST (d)</v>
      </c>
      <c r="F14" s="342"/>
      <c r="G14" s="340" t="str">
        <f ca="1">IFERROR(IF(E14&lt;&gt;"",INDIRECT("priprava_" &amp; A$1 &amp; "!BY10"),""),"")</f>
        <v>17. 11.</v>
      </c>
      <c r="H14" s="341"/>
      <c r="I14" s="26"/>
      <c r="J14" s="343" t="str">
        <f ca="1">IFERROR(IF(INDIRECT("priprava_" &amp; J$1 &amp; "!BZ5")&lt;&gt;"",INDIRECT("priprava_" &amp; J$1 &amp; "!BZ5"),""),"")</f>
        <v>HAT (d)</v>
      </c>
      <c r="K14" s="342"/>
      <c r="L14" s="340" t="str">
        <f ca="1">IFERROR(IF(J14&lt;&gt;"",INDIRECT("priprava_" &amp; J$1 &amp; "!CA5"),""),"")</f>
        <v>12:1</v>
      </c>
      <c r="M14" s="341"/>
      <c r="N14" s="274" t="str">
        <f ca="1">IFERROR(IF(INDIRECT("priprava_" &amp; J$1 &amp; "!BZ10")&lt;&gt;"",INDIRECT("priprava_" &amp; J$1 &amp; "!BZ10"),""),"")</f>
        <v>CHO (d)</v>
      </c>
      <c r="O14" s="342"/>
      <c r="P14" s="340" t="str">
        <f ca="1">IFERROR(IF(N14&lt;&gt;"",INDIRECT("priprava_" &amp; J$1 &amp; "!BY10"),""),"")</f>
        <v>17. 11.</v>
      </c>
      <c r="Q14" s="341"/>
      <c r="R14" s="25"/>
      <c r="S14" s="163"/>
      <c r="T14" s="164"/>
      <c r="U14" s="164"/>
      <c r="V14" s="165"/>
      <c r="W14" s="166"/>
      <c r="X14" s="265" t="str">
        <f t="shared" si="0"/>
        <v/>
      </c>
      <c r="Y14" s="265"/>
      <c r="Z14" s="265"/>
      <c r="AA14" s="274"/>
      <c r="AB14" s="148" t="str">
        <f t="shared" si="1"/>
        <v/>
      </c>
      <c r="AC14" s="264" t="str">
        <f t="shared" si="2"/>
        <v/>
      </c>
      <c r="AD14" s="265"/>
      <c r="AE14" s="266"/>
    </row>
    <row r="15" spans="1:31" ht="15" customHeight="1" thickBot="1" x14ac:dyDescent="0.3">
      <c r="A15" s="290" t="str">
        <f ca="1">IFERROR(IF(INDIRECT("priprava_" &amp; A$1 &amp; "!BZ6")&lt;&gt;"",INDIRECT("priprava_" &amp; A$1 &amp; "!BZ6"),""),"")</f>
        <v>PAR (d)</v>
      </c>
      <c r="B15" s="289"/>
      <c r="C15" s="272" t="str">
        <f ca="1">IFERROR(IF(A15&lt;&gt;"",INDIRECT("priprava_" &amp; A$1 &amp; "!CA6"),""),"")</f>
        <v>6:5</v>
      </c>
      <c r="D15" s="273"/>
      <c r="E15" s="288" t="str">
        <f ca="1">IFERROR(IF(INDIRECT("priprava_" &amp; A$1 &amp; "!BZ11")&lt;&gt;"",INDIRECT("priprava_" &amp; A$1 &amp; "!BZ11"),""),"")</f>
        <v>LIB (h)</v>
      </c>
      <c r="F15" s="289"/>
      <c r="G15" s="272" t="str">
        <f ca="1">IFERROR(IF(E15&lt;&gt;"",INDIRECT("priprava_" &amp; A$1 &amp; "!BY11"),""),"")</f>
        <v>21. 11.</v>
      </c>
      <c r="H15" s="273"/>
      <c r="I15" s="25"/>
      <c r="J15" s="290" t="str">
        <f ca="1">IFERROR(IF(INDIRECT("priprava_" &amp; J$1 &amp; "!BZ6")&lt;&gt;"",INDIRECT("priprava_" &amp; J$1 &amp; "!BZ6"),""),"")</f>
        <v>VIT (h)</v>
      </c>
      <c r="K15" s="289"/>
      <c r="L15" s="272" t="str">
        <f ca="1">IFERROR(IF(J15&lt;&gt;"",INDIRECT("priprava_" &amp; J$1 &amp; "!CA6"),""),"")</f>
        <v>4:6</v>
      </c>
      <c r="M15" s="273"/>
      <c r="N15" s="288" t="str">
        <f ca="1">IFERROR(IF(INDIRECT("priprava_" &amp; J$1 &amp; "!BZ11")&lt;&gt;"",INDIRECT("priprava_" &amp; J$1 &amp; "!BZ11"),""),"")</f>
        <v>BA (h)</v>
      </c>
      <c r="O15" s="289"/>
      <c r="P15" s="272" t="str">
        <f ca="1">IFERROR(IF(N15&lt;&gt;"",INDIRECT("priprava_" &amp; J$1 &amp; "!BY11"),""),"")</f>
        <v>20. 11.</v>
      </c>
      <c r="Q15" s="273"/>
      <c r="R15" s="25"/>
      <c r="S15" s="163"/>
      <c r="T15" s="164"/>
      <c r="U15" s="164"/>
      <c r="V15" s="165"/>
      <c r="W15" s="166"/>
      <c r="X15" s="265" t="str">
        <f t="shared" ref="X15:X18" si="3">IF(S15&lt;&gt;"",CONCATENATE(S15, " - ",T15),"")</f>
        <v/>
      </c>
      <c r="Y15" s="265"/>
      <c r="Z15" s="265"/>
      <c r="AA15" s="274"/>
      <c r="AB15" s="148" t="str">
        <f t="shared" ref="AB15:AB18" si="4">IF(U15&lt;&gt;"",U15,"")</f>
        <v/>
      </c>
      <c r="AC15" s="264" t="str">
        <f t="shared" ref="AC15:AC18" si="5">IF(AND(V15&lt;&gt;"",W15&lt;&gt;""),CONCATENATE(V15," (",W15,")"),IF(V15&lt;&gt;"",V15,""))</f>
        <v/>
      </c>
      <c r="AD15" s="265"/>
      <c r="AE15" s="266"/>
    </row>
    <row r="16" spans="1:31" ht="15" customHeight="1" thickTop="1" x14ac:dyDescent="0.25">
      <c r="R16" s="37"/>
      <c r="S16" s="163"/>
      <c r="T16" s="164"/>
      <c r="U16" s="164"/>
      <c r="V16" s="165"/>
      <c r="W16" s="166"/>
      <c r="X16" s="265" t="str">
        <f t="shared" si="3"/>
        <v/>
      </c>
      <c r="Y16" s="265"/>
      <c r="Z16" s="265"/>
      <c r="AA16" s="274"/>
      <c r="AB16" s="148" t="str">
        <f t="shared" si="4"/>
        <v/>
      </c>
      <c r="AC16" s="264" t="str">
        <f t="shared" si="5"/>
        <v/>
      </c>
      <c r="AD16" s="265"/>
      <c r="AE16" s="266"/>
    </row>
    <row r="17" spans="1:31" ht="15" customHeight="1" thickBot="1" x14ac:dyDescent="0.3">
      <c r="A17" s="311" t="s">
        <v>35</v>
      </c>
      <c r="B17" s="311"/>
      <c r="C17" s="311"/>
      <c r="D17" s="311"/>
      <c r="E17" s="311"/>
      <c r="F17" s="311"/>
      <c r="G17" s="311"/>
      <c r="H17" s="311"/>
      <c r="I17" s="311"/>
      <c r="J17" s="311"/>
      <c r="K17" s="311"/>
      <c r="L17" s="311"/>
      <c r="M17" s="311"/>
      <c r="N17" s="311"/>
      <c r="O17" s="311"/>
      <c r="P17" s="311"/>
      <c r="Q17" s="311"/>
      <c r="R17" s="311"/>
      <c r="S17" s="163"/>
      <c r="T17" s="164"/>
      <c r="U17" s="164"/>
      <c r="V17" s="165"/>
      <c r="W17" s="166"/>
      <c r="X17" s="265" t="str">
        <f t="shared" si="3"/>
        <v/>
      </c>
      <c r="Y17" s="265"/>
      <c r="Z17" s="265"/>
      <c r="AA17" s="274"/>
      <c r="AB17" s="148" t="str">
        <f t="shared" si="4"/>
        <v/>
      </c>
      <c r="AC17" s="264" t="str">
        <f t="shared" si="5"/>
        <v/>
      </c>
      <c r="AD17" s="265"/>
      <c r="AE17" s="266"/>
    </row>
    <row r="18" spans="1:31" ht="15" customHeight="1" thickTop="1" thickBot="1" x14ac:dyDescent="0.3">
      <c r="A18" s="312" t="s">
        <v>36</v>
      </c>
      <c r="B18" s="313"/>
      <c r="C18" s="314"/>
      <c r="D18" s="315" t="s">
        <v>37</v>
      </c>
      <c r="E18" s="313"/>
      <c r="F18" s="316"/>
      <c r="G18" s="317" t="s">
        <v>38</v>
      </c>
      <c r="H18" s="313"/>
      <c r="I18" s="318"/>
      <c r="J18" s="319" t="s">
        <v>36</v>
      </c>
      <c r="K18" s="320"/>
      <c r="L18" s="321"/>
      <c r="M18" s="322" t="s">
        <v>37</v>
      </c>
      <c r="N18" s="320"/>
      <c r="O18" s="323"/>
      <c r="P18" s="324" t="s">
        <v>38</v>
      </c>
      <c r="Q18" s="320"/>
      <c r="R18" s="325"/>
      <c r="S18" s="167"/>
      <c r="T18" s="168"/>
      <c r="U18" s="168"/>
      <c r="V18" s="169"/>
      <c r="W18" s="170"/>
      <c r="X18" s="348" t="str">
        <f t="shared" si="3"/>
        <v/>
      </c>
      <c r="Y18" s="348"/>
      <c r="Z18" s="348"/>
      <c r="AA18" s="349"/>
      <c r="AB18" s="172" t="str">
        <f t="shared" si="4"/>
        <v/>
      </c>
      <c r="AC18" s="350" t="str">
        <f t="shared" si="5"/>
        <v/>
      </c>
      <c r="AD18" s="348"/>
      <c r="AE18" s="351"/>
    </row>
    <row r="19" spans="1:31" ht="15" customHeight="1" x14ac:dyDescent="0.25">
      <c r="A19" s="334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335"/>
      <c r="C19" s="39">
        <f ca="1">IFERROR(IF(A19&lt;&gt;"",INDIRECT("priprava_" &amp; A$1 &amp; "!BW2"),""),"")</f>
        <v>22</v>
      </c>
      <c r="D19" s="336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335"/>
      <c r="F19" s="39">
        <f ca="1">IFERROR(IF(D19&lt;&gt;"",INDIRECT("priprava_" &amp; A$1 &amp; "!BW12"),""),"")</f>
        <v>12</v>
      </c>
      <c r="G19" s="336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335"/>
      <c r="I19" s="39">
        <f ca="1">IFERROR(IF(G19&lt;&gt;"",INDIRECT("priprava_" &amp; A$1 &amp; "!BW22"),""),"")</f>
        <v>10</v>
      </c>
      <c r="J19" s="337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Curney</v>
      </c>
      <c r="K19" s="338"/>
      <c r="L19" s="40">
        <f ca="1">IFERROR(IF(J19&lt;&gt;"",INDIRECT("priprava_" &amp; J$1 &amp; "!BW2"),""),"")</f>
        <v>22</v>
      </c>
      <c r="M19" s="339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/>
      </c>
      <c r="N19" s="338"/>
      <c r="O19" s="40" t="str">
        <f ca="1">IFERROR(IF(M19&lt;&gt;"",INDIRECT("priprava_" &amp; J$1 &amp; "!BW12"),""),"")</f>
        <v/>
      </c>
      <c r="P19" s="339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Curney</v>
      </c>
      <c r="Q19" s="338"/>
      <c r="R19" s="41">
        <f ca="1">IFERROR(IF(P19&lt;&gt;"",INDIRECT("priprava_" &amp; J$1 &amp; "!BW22"),""),"")</f>
        <v>12</v>
      </c>
    </row>
    <row r="20" spans="1:31" ht="15" customHeight="1" thickBot="1" x14ac:dyDescent="0.3">
      <c r="A20" s="291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292"/>
      <c r="C20" s="42">
        <f ca="1">IFERROR(IF(A20&lt;&gt;"",INDIRECT("priprava_" &amp; A$1 &amp; "!BW3"),""),"")</f>
        <v>14</v>
      </c>
      <c r="D20" s="293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292"/>
      <c r="F20" s="43">
        <f ca="1">IFERROR(IF(D20&lt;&gt;"",INDIRECT("priprava_" &amp; A$1 &amp; "!BW13"),""),"")</f>
        <v>8</v>
      </c>
      <c r="G20" s="294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92"/>
      <c r="I20" s="44">
        <f ca="1">IFERROR(IF(G20&lt;&gt;"",INDIRECT("priprava_" &amp; A$1 &amp; "!BW23"),""),"")</f>
        <v>8</v>
      </c>
      <c r="J20" s="295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/>
      </c>
      <c r="K20" s="296"/>
      <c r="L20" s="45" t="str">
        <f ca="1">IFERROR(IF(J20&lt;&gt;"",INDIRECT("priprava_" &amp; J$1 &amp; "!BW3"),""),"")</f>
        <v/>
      </c>
      <c r="M20" s="297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Bína</v>
      </c>
      <c r="N20" s="296"/>
      <c r="O20" s="46">
        <f ca="1">IFERROR(IF(M20&lt;&gt;"",INDIRECT("priprava_" &amp; J$1 &amp; "!BW13"),""),"")</f>
        <v>11</v>
      </c>
      <c r="P20" s="298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/>
      </c>
      <c r="Q20" s="296"/>
      <c r="R20" s="47" t="str">
        <f ca="1">IFERROR(IF(P20&lt;&gt;"",INDIRECT("priprava_" &amp; J$1 &amp; "!BW23"),""),"")</f>
        <v/>
      </c>
    </row>
    <row r="21" spans="1:31" ht="15" customHeight="1" thickTop="1" x14ac:dyDescent="0.25">
      <c r="A21" s="291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92"/>
      <c r="C21" s="42">
        <f ca="1">IFERROR(IF(A21&lt;&gt;"",INDIRECT("priprava_" &amp; A$1 &amp; "!BW4"),""),"")</f>
        <v>12</v>
      </c>
      <c r="D21" s="293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292"/>
      <c r="F21" s="43">
        <f ca="1">IFERROR(IF(D21&lt;&gt;"",INDIRECT("priprava_" &amp; A$1 &amp; "!BW14"),""),"")</f>
        <v>6</v>
      </c>
      <c r="G21" s="294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Pergler</v>
      </c>
      <c r="H21" s="292"/>
      <c r="I21" s="44">
        <f ca="1">IFERROR(IF(G21&lt;&gt;"",INDIRECT("priprava_" &amp; A$1 &amp; "!BW24"),""),"")</f>
        <v>6</v>
      </c>
      <c r="J21" s="295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Bína</v>
      </c>
      <c r="K21" s="296"/>
      <c r="L21" s="45">
        <f ca="1">IFERROR(IF(J21&lt;&gt;"",INDIRECT("priprava_" &amp; J$1 &amp; "!BW4"),""),"")</f>
        <v>13</v>
      </c>
      <c r="M21" s="297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Curney</v>
      </c>
      <c r="N21" s="296"/>
      <c r="O21" s="46">
        <f ca="1">IFERROR(IF(M21&lt;&gt;"",INDIRECT("priprava_" &amp; J$1 &amp; "!BW14"),""),"")</f>
        <v>10</v>
      </c>
      <c r="P21" s="298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Suchánek</v>
      </c>
      <c r="Q21" s="296"/>
      <c r="R21" s="47">
        <f ca="1">IFERROR(IF(P21&lt;&gt;"",INDIRECT("priprava_" &amp; J$1 &amp; "!BW24"),""),"")</f>
        <v>7</v>
      </c>
      <c r="Y21" s="231" t="s">
        <v>1125</v>
      </c>
      <c r="Z21" s="232"/>
      <c r="AA21" s="232"/>
      <c r="AB21" s="232"/>
      <c r="AC21" s="232"/>
      <c r="AD21" s="232"/>
      <c r="AE21" s="233"/>
    </row>
    <row r="22" spans="1:31" ht="15" customHeight="1" thickBot="1" x14ac:dyDescent="0.3">
      <c r="A22" s="291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292"/>
      <c r="C22" s="42">
        <f ca="1">IFERROR(IF(A22&lt;&gt;"",INDIRECT("priprava_" &amp; A$1 &amp; "!BW5"),""),"")</f>
        <v>12</v>
      </c>
      <c r="D22" s="293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292"/>
      <c r="F22" s="43">
        <f ca="1">IFERROR(IF(D22&lt;&gt;"",INDIRECT("priprava_" &amp; A$1 &amp; "!BW15"),""),"")</f>
        <v>6</v>
      </c>
      <c r="G22" s="294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Stuchlík O.</v>
      </c>
      <c r="H22" s="292"/>
      <c r="I22" s="44">
        <f ca="1">IFERROR(IF(G22&lt;&gt;"",INDIRECT("priprava_" &amp; A$1 &amp; "!BW25"),""),"")</f>
        <v>5</v>
      </c>
      <c r="J22" s="295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Tokoš</v>
      </c>
      <c r="K22" s="296"/>
      <c r="L22" s="45">
        <f ca="1">IFERROR(IF(J22&lt;&gt;"",INDIRECT("priprava_" &amp; J$1 &amp; "!BW5"),""),"")</f>
        <v>12</v>
      </c>
      <c r="M22" s="297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Tokoš</v>
      </c>
      <c r="N22" s="296"/>
      <c r="O22" s="46">
        <f ca="1">IFERROR(IF(M22&lt;&gt;"",INDIRECT("priprava_" &amp; J$1 &amp; "!BW15"),""),"")</f>
        <v>8</v>
      </c>
      <c r="P22" s="298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Tomašík</v>
      </c>
      <c r="Q22" s="296"/>
      <c r="R22" s="47">
        <f ca="1">IFERROR(IF(P22&lt;&gt;"",INDIRECT("priprava_" &amp; J$1 &amp; "!BW25"),""),"")</f>
        <v>6</v>
      </c>
      <c r="Y22" s="202" t="s">
        <v>1126</v>
      </c>
      <c r="Z22" s="203"/>
      <c r="AA22" s="203"/>
      <c r="AB22" s="203"/>
      <c r="AC22" s="203"/>
      <c r="AD22" s="203"/>
      <c r="AE22" s="204"/>
    </row>
    <row r="23" spans="1:31" ht="15" customHeight="1" thickBot="1" x14ac:dyDescent="0.3">
      <c r="A23" s="281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Z.</v>
      </c>
      <c r="B23" s="282"/>
      <c r="C23" s="48">
        <f ca="1">IFERROR(IF(A23&lt;&gt;"",INDIRECT("priprava_" &amp; A$1 &amp; "!BW6"),""),"")</f>
        <v>6</v>
      </c>
      <c r="D23" s="283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Procházka</v>
      </c>
      <c r="E23" s="282"/>
      <c r="F23" s="49">
        <f ca="1">IFERROR(IF(D23&lt;&gt;"",INDIRECT("priprava_" &amp; A$1 &amp; "!BW16"),""),"")</f>
        <v>5</v>
      </c>
      <c r="G23" s="284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Klápa</v>
      </c>
      <c r="H23" s="282"/>
      <c r="I23" s="50">
        <f ca="1">IFERROR(IF(G23&lt;&gt;"",INDIRECT("priprava_" &amp; A$1 &amp; "!BW26"),""),"")</f>
        <v>4</v>
      </c>
      <c r="J23" s="285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Šebek</v>
      </c>
      <c r="K23" s="286"/>
      <c r="L23" s="51">
        <f ca="1">IFERROR(IF(J23&lt;&gt;"",INDIRECT("priprava_" &amp; J$1 &amp; "!BW6"),""),"")</f>
        <v>11</v>
      </c>
      <c r="M23" s="287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Chroust Ta.</v>
      </c>
      <c r="N23" s="286"/>
      <c r="O23" s="52">
        <f ca="1">IFERROR(IF(M23&lt;&gt;"",INDIRECT("priprava_" &amp; J$1 &amp; "!BW16"),""),"")</f>
        <v>7</v>
      </c>
      <c r="P23" s="310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Hemerka</v>
      </c>
      <c r="Q23" s="286"/>
      <c r="R23" s="53">
        <f ca="1">IFERROR(IF(P23&lt;&gt;"",INDIRECT("priprava_" &amp; J$1 &amp; "!BW26"),""),"")</f>
        <v>5</v>
      </c>
      <c r="Y23" s="205" t="s">
        <v>1124</v>
      </c>
      <c r="Z23" s="206" t="s">
        <v>82</v>
      </c>
      <c r="AA23" s="207" t="s">
        <v>1121</v>
      </c>
      <c r="AB23" s="207" t="s">
        <v>126</v>
      </c>
      <c r="AC23" s="207" t="s">
        <v>1122</v>
      </c>
      <c r="AD23" s="207" t="s">
        <v>42</v>
      </c>
      <c r="AE23" s="208" t="s">
        <v>1123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  <c r="Y24" s="209"/>
      <c r="Z24" s="210"/>
      <c r="AA24" s="211"/>
      <c r="AB24" s="211"/>
      <c r="AC24" s="211"/>
      <c r="AD24" s="211"/>
      <c r="AE24" s="212"/>
    </row>
    <row r="25" spans="1:31" ht="15" customHeight="1" thickTop="1" thickBot="1" x14ac:dyDescent="0.3">
      <c r="A25" s="312" t="s">
        <v>39</v>
      </c>
      <c r="B25" s="313"/>
      <c r="C25" s="314"/>
      <c r="D25" s="315" t="s">
        <v>40</v>
      </c>
      <c r="E25" s="313"/>
      <c r="F25" s="316"/>
      <c r="G25" s="317" t="s">
        <v>41</v>
      </c>
      <c r="H25" s="313"/>
      <c r="I25" s="318"/>
      <c r="J25" s="319" t="s">
        <v>39</v>
      </c>
      <c r="K25" s="320"/>
      <c r="L25" s="321"/>
      <c r="M25" s="322" t="s">
        <v>40</v>
      </c>
      <c r="N25" s="320"/>
      <c r="O25" s="323"/>
      <c r="P25" s="324" t="s">
        <v>41</v>
      </c>
      <c r="Q25" s="320"/>
      <c r="R25" s="325"/>
      <c r="Y25" s="213"/>
      <c r="Z25" s="214"/>
      <c r="AA25" s="215"/>
      <c r="AB25" s="215"/>
      <c r="AC25" s="215"/>
      <c r="AD25" s="215"/>
      <c r="AE25" s="216"/>
    </row>
    <row r="26" spans="1:31" ht="15" customHeight="1" x14ac:dyDescent="0.25">
      <c r="A26" s="334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335"/>
      <c r="C26" s="39">
        <f ca="1">IFERROR(IF(A26&lt;&gt;"",INDIRECT("priprava_" &amp; A$1 &amp; "!BW27"),""),"")</f>
        <v>14</v>
      </c>
      <c r="D26" s="336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335"/>
      <c r="F26" s="54">
        <f ca="1">IFERROR(IF(D26&lt;&gt;"",INDIRECT("priprava_" &amp; A$1 &amp; "!BW7"),""),"")</f>
        <v>6.43</v>
      </c>
      <c r="G26" s="336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335"/>
      <c r="I26" s="39">
        <f ca="1">IFERROR(IF(G26&lt;&gt;"",INDIRECT("priprava_" &amp; A$1 &amp; "!BW17"),""),"")</f>
        <v>2</v>
      </c>
      <c r="J26" s="337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Tokoš</v>
      </c>
      <c r="K26" s="338"/>
      <c r="L26" s="40">
        <f ca="1">IFERROR(IF(J26&lt;&gt;"",INDIRECT("priprava_" &amp; J$1 &amp; "!BW27"),""),"")</f>
        <v>10</v>
      </c>
      <c r="M26" s="339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Bauer</v>
      </c>
      <c r="N26" s="338"/>
      <c r="O26" s="55">
        <f ca="1">IFERROR(IF(M26&lt;&gt;"",INDIRECT("priprava_" &amp; J$1 &amp; "!BW7"),""),"")</f>
        <v>2.98</v>
      </c>
      <c r="P26" s="339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Bauer</v>
      </c>
      <c r="Q26" s="338"/>
      <c r="R26" s="41">
        <f ca="1">IFERROR(IF(P26&lt;&gt;"",INDIRECT("priprava_" &amp; J$1 &amp; "!BW17"),""),"")</f>
        <v>9</v>
      </c>
    </row>
    <row r="27" spans="1:31" ht="15" customHeight="1" x14ac:dyDescent="0.25">
      <c r="A27" s="291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Fiala</v>
      </c>
      <c r="B27" s="292"/>
      <c r="C27" s="42">
        <f ca="1">IFERROR(IF(A27&lt;&gt;"",INDIRECT("priprava_" &amp; A$1 &amp; "!BW28"),""),"")</f>
        <v>6</v>
      </c>
      <c r="D27" s="293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92"/>
      <c r="F27" s="56">
        <f ca="1">IFERROR(IF(D27&lt;&gt;"",INDIRECT("priprava_" &amp; A$1 &amp; "!BW8"),""),"")</f>
        <v>8.11</v>
      </c>
      <c r="G27" s="294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92"/>
      <c r="I27" s="44">
        <f ca="1">IFERROR(IF(G27&lt;&gt;"",INDIRECT("priprava_" &amp; A$1 &amp; "!BW18"),""),"")</f>
        <v>1</v>
      </c>
      <c r="J27" s="295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Suchánek</v>
      </c>
      <c r="K27" s="296"/>
      <c r="L27" s="45">
        <f ca="1">IFERROR(IF(J27&lt;&gt;"",INDIRECT("priprava_" &amp; J$1 &amp; "!BW28"),""),"")</f>
        <v>8</v>
      </c>
      <c r="M27" s="297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/>
      </c>
      <c r="N27" s="296"/>
      <c r="O27" s="57" t="str">
        <f ca="1">IFERROR(IF(M27&lt;&gt;"",INDIRECT("priprava_" &amp; J$1 &amp; "!BW8"),""),"")</f>
        <v/>
      </c>
      <c r="P27" s="298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Tomšík</v>
      </c>
      <c r="Q27" s="296"/>
      <c r="R27" s="47">
        <f ca="1">IFERROR(IF(P27&lt;&gt;"",INDIRECT("priprava_" &amp; J$1 &amp; "!BW18"),""),"")</f>
        <v>1</v>
      </c>
    </row>
    <row r="28" spans="1:31" ht="15" customHeight="1" x14ac:dyDescent="0.25">
      <c r="A28" s="291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292"/>
      <c r="C28" s="42">
        <f ca="1">IFERROR(IF(A28&lt;&gt;"",INDIRECT("priprava_" &amp; A$1 &amp; "!BW29"),""),"")</f>
        <v>6</v>
      </c>
      <c r="D28" s="293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92"/>
      <c r="F28" s="56" t="str">
        <f ca="1">IFERROR(IF(D28&lt;&gt;"",INDIRECT("priprava_" &amp; A$1 &amp; "!BW9"),""),"")</f>
        <v/>
      </c>
      <c r="G28" s="294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92"/>
      <c r="I28" s="44" t="str">
        <f ca="1">IFERROR(IF(G28&lt;&gt;"",INDIRECT("priprava_" &amp; A$1 &amp; "!BW19"),""),"")</f>
        <v/>
      </c>
      <c r="J28" s="295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/>
      </c>
      <c r="K28" s="296"/>
      <c r="L28" s="45" t="str">
        <f ca="1">IFERROR(IF(J28&lt;&gt;"",INDIRECT("priprava_" &amp; J$1 &amp; "!BW29"),""),"")</f>
        <v/>
      </c>
      <c r="M28" s="297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Tomšík</v>
      </c>
      <c r="N28" s="296"/>
      <c r="O28" s="57">
        <f ca="1">IFERROR(IF(M28&lt;&gt;"",INDIRECT("priprava_" &amp; J$1 &amp; "!BW9"),""),"")</f>
        <v>1</v>
      </c>
      <c r="P28" s="298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96"/>
      <c r="R28" s="47" t="str">
        <f ca="1">IFERROR(IF(P28&lt;&gt;"",INDIRECT("priprava_" &amp; J$1 &amp; "!BW19"),""),"")</f>
        <v/>
      </c>
    </row>
    <row r="29" spans="1:31" ht="15" customHeight="1" x14ac:dyDescent="0.25">
      <c r="A29" s="291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Z.</v>
      </c>
      <c r="B29" s="292"/>
      <c r="C29" s="42">
        <f ca="1">IFERROR(IF(A29&lt;&gt;"",INDIRECT("priprava_" &amp; A$1 &amp; "!BW30"),""),"")</f>
        <v>4</v>
      </c>
      <c r="D29" s="293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92"/>
      <c r="F29" s="56" t="str">
        <f ca="1">IFERROR(IF(D29&lt;&gt;"",INDIRECT("priprava_" &amp; A$1 &amp; "!BW10"),""),"")</f>
        <v/>
      </c>
      <c r="G29" s="294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92"/>
      <c r="I29" s="44" t="str">
        <f ca="1">IFERROR(IF(G29&lt;&gt;"",INDIRECT("priprava_" &amp; A$1 &amp; "!BW20"),""),"")</f>
        <v/>
      </c>
      <c r="J29" s="295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Hemerka</v>
      </c>
      <c r="K29" s="296"/>
      <c r="L29" s="45">
        <f ca="1">IFERROR(IF(J29&lt;&gt;"",INDIRECT("priprava_" &amp; J$1 &amp; "!BW30"),""),"")</f>
        <v>4</v>
      </c>
      <c r="M29" s="297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96"/>
      <c r="O29" s="57" t="str">
        <f ca="1">IFERROR(IF(M29&lt;&gt;"",INDIRECT("priprava_" &amp; J$1 &amp; "!BW10"),""),"")</f>
        <v/>
      </c>
      <c r="P29" s="298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96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81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Cabejšek</v>
      </c>
      <c r="B30" s="282"/>
      <c r="C30" s="48">
        <f ca="1">IFERROR(IF(A30&lt;&gt;"",INDIRECT("priprava_" &amp; A$1 &amp; "!BW31"),""),"")</f>
        <v>2</v>
      </c>
      <c r="D30" s="283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82"/>
      <c r="F30" s="58" t="str">
        <f ca="1">IFERROR(IF(D30&lt;&gt;"",INDIRECT("priprava_" &amp; A$1 &amp; "!BW11"),""),"")</f>
        <v/>
      </c>
      <c r="G30" s="284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82"/>
      <c r="I30" s="50" t="str">
        <f ca="1">IFERROR(IF(G30&lt;&gt;"",INDIRECT("priprava_" &amp; A$1 &amp; "!BW21"),""),"")</f>
        <v/>
      </c>
      <c r="J30" s="285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Šebek</v>
      </c>
      <c r="K30" s="286"/>
      <c r="L30" s="51">
        <f ca="1">IFERROR(IF(J30&lt;&gt;"",INDIRECT("priprava_" &amp; J$1 &amp; "!BW31"),""),"")</f>
        <v>4</v>
      </c>
      <c r="M30" s="287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86"/>
      <c r="O30" s="59" t="str">
        <f ca="1">IFERROR(IF(M30&lt;&gt;"",INDIRECT("priprava_" &amp; J$1 &amp; "!BW11"),""),"")</f>
        <v/>
      </c>
      <c r="P30" s="310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86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307" t="s">
        <v>44</v>
      </c>
      <c r="L32" s="308"/>
      <c r="M32" s="308"/>
      <c r="N32" s="308"/>
      <c r="O32" s="308"/>
      <c r="P32" s="308"/>
      <c r="Q32" s="308"/>
      <c r="R32" s="309"/>
    </row>
    <row r="33" spans="1:18" ht="15" customHeight="1" thickTop="1" thickBot="1" x14ac:dyDescent="0.3">
      <c r="B33" s="252" t="s">
        <v>43</v>
      </c>
      <c r="C33" s="253"/>
      <c r="D33" s="253"/>
      <c r="E33" s="253"/>
      <c r="F33" s="253"/>
      <c r="G33" s="253"/>
      <c r="H33" s="253"/>
      <c r="I33" s="254"/>
      <c r="J33" s="141"/>
      <c r="K33" s="250" t="str">
        <f t="shared" ref="K33:K44" si="6">X3</f>
        <v/>
      </c>
      <c r="L33" s="251"/>
      <c r="M33" s="251"/>
      <c r="N33" s="251"/>
      <c r="O33" s="142" t="str">
        <f t="shared" ref="O33:O44" si="7">AB3</f>
        <v/>
      </c>
      <c r="P33" s="268" t="str">
        <f t="shared" ref="P33:P44" si="8">AC3</f>
        <v/>
      </c>
      <c r="Q33" s="251"/>
      <c r="R33" s="269"/>
    </row>
    <row r="34" spans="1:18" ht="15" customHeight="1" x14ac:dyDescent="0.25">
      <c r="B34" s="244" t="str">
        <f>$A$1</f>
        <v>SKV</v>
      </c>
      <c r="C34" s="245"/>
      <c r="D34" s="245"/>
      <c r="E34" s="246"/>
      <c r="F34" s="247" t="str">
        <f>$J$1</f>
        <v>MB</v>
      </c>
      <c r="G34" s="248"/>
      <c r="H34" s="248"/>
      <c r="I34" s="249"/>
      <c r="J34" s="141"/>
      <c r="K34" s="255" t="str">
        <f t="shared" si="6"/>
        <v/>
      </c>
      <c r="L34" s="256"/>
      <c r="M34" s="256"/>
      <c r="N34" s="256"/>
      <c r="O34" s="143" t="str">
        <f t="shared" si="7"/>
        <v/>
      </c>
      <c r="P34" s="270" t="str">
        <f t="shared" si="8"/>
        <v/>
      </c>
      <c r="Q34" s="256"/>
      <c r="R34" s="271"/>
    </row>
    <row r="35" spans="1:18" ht="15" customHeight="1" x14ac:dyDescent="0.25">
      <c r="B35" s="238"/>
      <c r="C35" s="239"/>
      <c r="D35" s="299"/>
      <c r="E35" s="299"/>
      <c r="F35" s="299"/>
      <c r="G35" s="299"/>
      <c r="H35" s="299"/>
      <c r="I35" s="300"/>
      <c r="J35" s="144"/>
      <c r="K35" s="255" t="str">
        <f t="shared" si="6"/>
        <v/>
      </c>
      <c r="L35" s="256"/>
      <c r="M35" s="256"/>
      <c r="N35" s="256"/>
      <c r="O35" s="143" t="str">
        <f t="shared" si="7"/>
        <v/>
      </c>
      <c r="P35" s="270" t="str">
        <f t="shared" si="8"/>
        <v/>
      </c>
      <c r="Q35" s="256"/>
      <c r="R35" s="271"/>
    </row>
    <row r="36" spans="1:18" ht="15" customHeight="1" x14ac:dyDescent="0.25">
      <c r="B36" s="240"/>
      <c r="C36" s="241"/>
      <c r="D36" s="301"/>
      <c r="E36" s="301"/>
      <c r="F36" s="301"/>
      <c r="G36" s="301"/>
      <c r="H36" s="301"/>
      <c r="I36" s="302"/>
      <c r="J36" s="144"/>
      <c r="K36" s="237" t="str">
        <f t="shared" si="6"/>
        <v/>
      </c>
      <c r="L36" s="235"/>
      <c r="M36" s="235"/>
      <c r="N36" s="235"/>
      <c r="O36" s="145" t="str">
        <f t="shared" si="7"/>
        <v/>
      </c>
      <c r="P36" s="234" t="str">
        <f t="shared" si="8"/>
        <v/>
      </c>
      <c r="Q36" s="235"/>
      <c r="R36" s="236"/>
    </row>
    <row r="37" spans="1:18" ht="15" customHeight="1" x14ac:dyDescent="0.25">
      <c r="B37" s="238"/>
      <c r="C37" s="239"/>
      <c r="D37" s="299"/>
      <c r="E37" s="299"/>
      <c r="F37" s="299"/>
      <c r="G37" s="299"/>
      <c r="H37" s="299"/>
      <c r="I37" s="300"/>
      <c r="J37" s="144"/>
      <c r="K37" s="237" t="str">
        <f t="shared" si="6"/>
        <v/>
      </c>
      <c r="L37" s="235"/>
      <c r="M37" s="235"/>
      <c r="N37" s="235"/>
      <c r="O37" s="145" t="str">
        <f t="shared" si="7"/>
        <v/>
      </c>
      <c r="P37" s="234" t="str">
        <f t="shared" si="8"/>
        <v/>
      </c>
      <c r="Q37" s="235"/>
      <c r="R37" s="236"/>
    </row>
    <row r="38" spans="1:18" ht="15" customHeight="1" x14ac:dyDescent="0.25">
      <c r="B38" s="240"/>
      <c r="C38" s="241"/>
      <c r="D38" s="301"/>
      <c r="E38" s="301"/>
      <c r="F38" s="301"/>
      <c r="G38" s="301"/>
      <c r="H38" s="301"/>
      <c r="I38" s="302"/>
      <c r="J38" s="146"/>
      <c r="K38" s="328" t="str">
        <f t="shared" si="6"/>
        <v/>
      </c>
      <c r="L38" s="329"/>
      <c r="M38" s="329"/>
      <c r="N38" s="329"/>
      <c r="O38" s="147" t="str">
        <f t="shared" si="7"/>
        <v/>
      </c>
      <c r="P38" s="330" t="str">
        <f t="shared" si="8"/>
        <v/>
      </c>
      <c r="Q38" s="329"/>
      <c r="R38" s="331"/>
    </row>
    <row r="39" spans="1:18" ht="15" customHeight="1" x14ac:dyDescent="0.25">
      <c r="B39" s="238"/>
      <c r="C39" s="239"/>
      <c r="D39" s="299"/>
      <c r="E39" s="299"/>
      <c r="F39" s="299"/>
      <c r="G39" s="299"/>
      <c r="H39" s="299"/>
      <c r="I39" s="300"/>
      <c r="J39" s="146"/>
      <c r="K39" s="237" t="str">
        <f t="shared" si="6"/>
        <v/>
      </c>
      <c r="L39" s="235"/>
      <c r="M39" s="235"/>
      <c r="N39" s="235"/>
      <c r="O39" s="145" t="str">
        <f t="shared" si="7"/>
        <v/>
      </c>
      <c r="P39" s="234" t="str">
        <f t="shared" si="8"/>
        <v/>
      </c>
      <c r="Q39" s="235"/>
      <c r="R39" s="236"/>
    </row>
    <row r="40" spans="1:18" ht="15" customHeight="1" x14ac:dyDescent="0.25">
      <c r="B40" s="240"/>
      <c r="C40" s="241"/>
      <c r="D40" s="301"/>
      <c r="E40" s="301"/>
      <c r="F40" s="301"/>
      <c r="G40" s="301"/>
      <c r="H40" s="301"/>
      <c r="I40" s="302"/>
      <c r="J40" s="144"/>
      <c r="K40" s="237" t="str">
        <f t="shared" si="6"/>
        <v/>
      </c>
      <c r="L40" s="235"/>
      <c r="M40" s="235"/>
      <c r="N40" s="235"/>
      <c r="O40" s="145" t="str">
        <f t="shared" si="7"/>
        <v/>
      </c>
      <c r="P40" s="234" t="str">
        <f t="shared" si="8"/>
        <v/>
      </c>
      <c r="Q40" s="235"/>
      <c r="R40" s="236"/>
    </row>
    <row r="41" spans="1:18" ht="15" customHeight="1" x14ac:dyDescent="0.25">
      <c r="B41" s="238"/>
      <c r="C41" s="239"/>
      <c r="D41" s="299"/>
      <c r="E41" s="299"/>
      <c r="F41" s="299"/>
      <c r="G41" s="299"/>
      <c r="H41" s="299"/>
      <c r="I41" s="300"/>
      <c r="J41" s="144"/>
      <c r="K41" s="328" t="str">
        <f t="shared" si="6"/>
        <v/>
      </c>
      <c r="L41" s="329"/>
      <c r="M41" s="329"/>
      <c r="N41" s="329"/>
      <c r="O41" s="147" t="str">
        <f t="shared" si="7"/>
        <v/>
      </c>
      <c r="P41" s="330" t="str">
        <f t="shared" si="8"/>
        <v/>
      </c>
      <c r="Q41" s="329"/>
      <c r="R41" s="331"/>
    </row>
    <row r="42" spans="1:18" ht="15" customHeight="1" thickBot="1" x14ac:dyDescent="0.3">
      <c r="B42" s="242"/>
      <c r="C42" s="243"/>
      <c r="D42" s="332"/>
      <c r="E42" s="332"/>
      <c r="F42" s="332"/>
      <c r="G42" s="332"/>
      <c r="H42" s="332"/>
      <c r="I42" s="333"/>
      <c r="J42" s="144"/>
      <c r="K42" s="237" t="str">
        <f t="shared" si="6"/>
        <v/>
      </c>
      <c r="L42" s="235"/>
      <c r="M42" s="235"/>
      <c r="N42" s="235"/>
      <c r="O42" s="145" t="str">
        <f t="shared" si="7"/>
        <v/>
      </c>
      <c r="P42" s="234" t="str">
        <f t="shared" si="8"/>
        <v/>
      </c>
      <c r="Q42" s="235"/>
      <c r="R42" s="236"/>
    </row>
    <row r="43" spans="1:18" ht="15" customHeight="1" thickTop="1" thickBot="1" x14ac:dyDescent="0.3">
      <c r="I43" s="144"/>
      <c r="J43" s="144"/>
      <c r="K43" s="237" t="str">
        <f t="shared" si="6"/>
        <v/>
      </c>
      <c r="L43" s="235"/>
      <c r="M43" s="235"/>
      <c r="N43" s="235"/>
      <c r="O43" s="145" t="str">
        <f t="shared" si="7"/>
        <v/>
      </c>
      <c r="P43" s="234" t="str">
        <f t="shared" si="8"/>
        <v/>
      </c>
      <c r="Q43" s="235"/>
      <c r="R43" s="236"/>
    </row>
    <row r="44" spans="1:18" ht="15" customHeight="1" thickTop="1" thickBot="1" x14ac:dyDescent="0.3">
      <c r="B44" s="228" t="s">
        <v>1120</v>
      </c>
      <c r="C44" s="229"/>
      <c r="D44" s="229"/>
      <c r="E44" s="229"/>
      <c r="F44" s="229"/>
      <c r="G44" s="229"/>
      <c r="H44" s="229"/>
      <c r="I44" s="230"/>
      <c r="J44" s="144"/>
      <c r="K44" s="237" t="str">
        <f t="shared" si="6"/>
        <v/>
      </c>
      <c r="L44" s="235"/>
      <c r="M44" s="235"/>
      <c r="N44" s="235"/>
      <c r="O44" s="145" t="str">
        <f t="shared" si="7"/>
        <v/>
      </c>
      <c r="P44" s="234" t="str">
        <f t="shared" si="8"/>
        <v/>
      </c>
      <c r="Q44" s="235"/>
      <c r="R44" s="236"/>
    </row>
    <row r="45" spans="1:18" ht="15" customHeight="1" thickBot="1" x14ac:dyDescent="0.3">
      <c r="A45" s="144"/>
      <c r="B45" s="226" t="s">
        <v>90</v>
      </c>
      <c r="C45" s="227"/>
      <c r="D45" s="199" t="s">
        <v>82</v>
      </c>
      <c r="E45" s="197" t="s">
        <v>1121</v>
      </c>
      <c r="F45" s="197" t="s">
        <v>126</v>
      </c>
      <c r="G45" s="197" t="s">
        <v>1122</v>
      </c>
      <c r="H45" s="197" t="s">
        <v>42</v>
      </c>
      <c r="I45" s="198" t="s">
        <v>1123</v>
      </c>
      <c r="J45" s="144"/>
      <c r="K45" s="237" t="str">
        <f t="shared" ref="K45:K48" si="9">X15</f>
        <v/>
      </c>
      <c r="L45" s="235"/>
      <c r="M45" s="235"/>
      <c r="N45" s="235"/>
      <c r="O45" s="145" t="str">
        <f t="shared" ref="O45:P45" si="10">AB15</f>
        <v/>
      </c>
      <c r="P45" s="234" t="str">
        <f t="shared" si="10"/>
        <v/>
      </c>
      <c r="Q45" s="235"/>
      <c r="R45" s="236"/>
    </row>
    <row r="46" spans="1:18" ht="15" customHeight="1" x14ac:dyDescent="0.25">
      <c r="A46" s="140"/>
      <c r="B46" s="222" t="str">
        <f>$A$1</f>
        <v>SKV</v>
      </c>
      <c r="C46" s="223"/>
      <c r="D46" s="200" t="e">
        <f>VLOOKUP($B46,$Y$24:$AE$25,2,FALSE)</f>
        <v>#N/A</v>
      </c>
      <c r="E46" s="195" t="e">
        <f>VLOOKUP($B46,$Y$24:$AE$25,3,FALSE)</f>
        <v>#N/A</v>
      </c>
      <c r="F46" s="196" t="e">
        <f>VLOOKUP($B46,$Y$24:$AE$25,4,FALSE)</f>
        <v>#N/A</v>
      </c>
      <c r="G46" s="196" t="e">
        <f>VLOOKUP($B46,$Y$24:$AE$25,5,FALSE)</f>
        <v>#N/A</v>
      </c>
      <c r="H46" s="218" t="e">
        <f>VLOOKUP($B46,$Y$24:$AE$25,6,FALSE)</f>
        <v>#N/A</v>
      </c>
      <c r="I46" s="220" t="e">
        <f>VLOOKUP($B46,$Y$24:$AE$25,7,FALSE)</f>
        <v>#N/A</v>
      </c>
      <c r="J46" s="144"/>
      <c r="K46" s="237" t="str">
        <f t="shared" si="9"/>
        <v/>
      </c>
      <c r="L46" s="235"/>
      <c r="M46" s="235"/>
      <c r="N46" s="235"/>
      <c r="O46" s="145" t="str">
        <f t="shared" ref="O46:P46" si="11">AB16</f>
        <v/>
      </c>
      <c r="P46" s="234" t="str">
        <f t="shared" si="11"/>
        <v/>
      </c>
      <c r="Q46" s="235"/>
      <c r="R46" s="236"/>
    </row>
    <row r="47" spans="1:18" ht="15" customHeight="1" thickBot="1" x14ac:dyDescent="0.3">
      <c r="A47" s="140"/>
      <c r="B47" s="224" t="str">
        <f>$J$1</f>
        <v>MB</v>
      </c>
      <c r="C47" s="225"/>
      <c r="D47" s="201" t="e">
        <f>VLOOKUP($B47,$Y$24:$AE$25,2,FALSE)</f>
        <v>#N/A</v>
      </c>
      <c r="E47" s="193" t="e">
        <f>VLOOKUP($B47,$Y$24:$AE$25,3,FALSE)</f>
        <v>#N/A</v>
      </c>
      <c r="F47" s="194" t="e">
        <f>VLOOKUP($B47,$Y$24:$AE$25,4,FALSE)</f>
        <v>#N/A</v>
      </c>
      <c r="G47" s="194" t="e">
        <f>VLOOKUP($B47,$Y$24:$AE$25,5,FALSE)</f>
        <v>#N/A</v>
      </c>
      <c r="H47" s="219" t="e">
        <f>VLOOKUP($B47,$Y$24:$AE$25,6,FALSE)</f>
        <v>#N/A</v>
      </c>
      <c r="I47" s="221" t="e">
        <f>VLOOKUP($B47,$Y$24:$AE$25,7,FALSE)</f>
        <v>#N/A</v>
      </c>
      <c r="J47" s="144"/>
      <c r="K47" s="237" t="str">
        <f t="shared" si="9"/>
        <v/>
      </c>
      <c r="L47" s="235"/>
      <c r="M47" s="235"/>
      <c r="N47" s="235"/>
      <c r="O47" s="145" t="str">
        <f t="shared" ref="O47:P47" si="12">AB17</f>
        <v/>
      </c>
      <c r="P47" s="234" t="str">
        <f t="shared" si="12"/>
        <v/>
      </c>
      <c r="Q47" s="235"/>
      <c r="R47" s="236"/>
    </row>
    <row r="48" spans="1:18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257" t="str">
        <f t="shared" si="9"/>
        <v/>
      </c>
      <c r="L48" s="258"/>
      <c r="M48" s="258"/>
      <c r="N48" s="258"/>
      <c r="O48" s="149" t="str">
        <f t="shared" ref="O48:P48" si="13">AB18</f>
        <v/>
      </c>
      <c r="P48" s="259" t="str">
        <f t="shared" si="13"/>
        <v/>
      </c>
      <c r="Q48" s="258"/>
      <c r="R48" s="260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26">
        <f ca="1">TODAY()</f>
        <v>44499</v>
      </c>
      <c r="H50" s="327"/>
      <c r="I50" s="327"/>
      <c r="J50" s="327"/>
      <c r="K50" s="327"/>
      <c r="L50" s="327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8"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M28:N28"/>
    <mergeCell ref="P28:Q28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D35:I35"/>
    <mergeCell ref="D36:I36"/>
    <mergeCell ref="D37:I37"/>
    <mergeCell ref="D38:I3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B46:C46"/>
    <mergeCell ref="B47:C47"/>
    <mergeCell ref="B45:C45"/>
    <mergeCell ref="B44:I44"/>
    <mergeCell ref="Y21:AE21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4:Y25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7" customWidth="1"/>
    <col min="7" max="7" width="21.28515625" style="3" customWidth="1"/>
    <col min="8" max="12" width="21.28515625" style="187" customWidth="1"/>
    <col min="13" max="16384" width="9.140625" style="3"/>
  </cols>
  <sheetData>
    <row r="1" spans="1:12" x14ac:dyDescent="0.25">
      <c r="A1" s="367" t="str">
        <f>prehled!A1</f>
        <v>SKV</v>
      </c>
      <c r="B1" s="367"/>
      <c r="C1" s="367"/>
      <c r="D1" s="367"/>
      <c r="E1" s="367"/>
      <c r="F1" s="367"/>
      <c r="G1" s="367" t="str">
        <f>prehled!J1</f>
        <v>MB</v>
      </c>
      <c r="H1" s="367"/>
      <c r="I1" s="367"/>
      <c r="J1" s="367"/>
      <c r="K1" s="367"/>
      <c r="L1" s="367"/>
    </row>
    <row r="2" spans="1:12" x14ac:dyDescent="0.25">
      <c r="A2" s="367"/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</row>
    <row r="3" spans="1:12" s="153" customFormat="1" ht="19.5" x14ac:dyDescent="0.25">
      <c r="A3" s="368" t="s">
        <v>90</v>
      </c>
      <c r="B3" s="368"/>
      <c r="C3" s="368"/>
      <c r="D3" s="368"/>
      <c r="E3" s="368"/>
      <c r="F3" s="368"/>
      <c r="G3" s="368" t="s">
        <v>90</v>
      </c>
      <c r="H3" s="368"/>
      <c r="I3" s="368"/>
      <c r="J3" s="368"/>
      <c r="K3" s="368"/>
      <c r="L3" s="368"/>
    </row>
    <row r="4" spans="1:12" ht="14.25" customHeight="1" x14ac:dyDescent="0.25">
      <c r="A4" s="367" t="str">
        <f>A1</f>
        <v>SKV</v>
      </c>
      <c r="B4" s="189" t="str">
        <f ca="1">IF($A$4&lt;&gt;0,IFERROR(INDEX(zajimavosti_tymy!B:B,MATCH(prehled!$A$3,OFFSET(zajimavosti_tymy!$A$2,,,(COUNTA(zajimavosti_tymy!$A:$A)-1)*3),0)+1),""),"")</f>
        <v>proti CLP první výhra od 30. 1.</v>
      </c>
      <c r="C4" s="190" t="str">
        <f ca="1">IF($A$4&lt;&gt;0,IFERROR(INDEX(zajimavosti_tymy!C:C,MATCH(prehled!$A$3,OFFSET(zajimavosti_tymy!$A$2,,,(COUNTA(zajimavosti_tymy!$A:$A)-1)*3),0)+1),""),"")</f>
        <v>proti CLP 5 využitých PP ze 6</v>
      </c>
      <c r="D4" s="190" t="str">
        <f ca="1">IF($A$4&lt;&gt;0,IFERROR(INDEX(zajimavosti_tymy!D:D,MATCH(prehled!$A$3,OFFSET(zajimavosti_tymy!$A$2,,,(COUNTA(zajimavosti_tymy!$A:$A)-1)*3),0)+1),""),"")</f>
        <v>klub založen 1997</v>
      </c>
      <c r="E4" s="190" t="str">
        <f ca="1">IF($A$4&lt;&gt;0,IFERROR(INDEX(zajimavosti_tymy!E:E,MATCH(prehled!$A$3,OFFSET(zajimavosti_tymy!$A$2,,,(COUNTA(zajimavosti_tymy!$A:$A)-1)*3),0)+1),""),"")</f>
        <v>v sezóně 06/07 poprvé v extralize</v>
      </c>
      <c r="F4" s="191" t="str">
        <f ca="1">IF($A$4&lt;&gt;0,IFERROR(INDEX(zajimavosti_tymy!F:F,MATCH(prehled!$A$3,OFFSET(zajimavosti_tymy!$A$2,,,(COUNTA(zajimavosti_tymy!$A:$A)-1)*3),0)+1),""),"")</f>
        <v>jediná účast v PO (19/20)</v>
      </c>
      <c r="G4" s="367" t="str">
        <f>G1</f>
        <v>MB</v>
      </c>
      <c r="H4" s="189">
        <f ca="1">IF($G$4&lt;&gt;0,IFERROR(INDEX(zajimavosti_tymy!B:B,MATCH(prehled!$J$3,OFFSET(zajimavosti_tymy!$A$2,,,(COUNTA(zajimavosti_tymy!$A:$A)-1)*3),0)+1),""),"")</f>
        <v>0</v>
      </c>
      <c r="I4" s="190">
        <f ca="1">IF($G$4&lt;&gt;0,IFERROR(INDEX(zajimavosti_tymy!C:C,MATCH(prehled!$J$3,OFFSET(zajimavosti_tymy!$A$2,,,(COUNTA(zajimavosti_tymy!$A:$A)-1)*3),0)+1),""),"")</f>
        <v>0</v>
      </c>
      <c r="J4" s="190">
        <f ca="1">IF($G$4&lt;&gt;0,IFERROR(INDEX(zajimavosti_tymy!D:D,MATCH(prehled!$J$3,OFFSET(zajimavosti_tymy!$A$2,,,(COUNTA(zajimavosti_tymy!$A:$A)-1)*3),0)+1),""),"")</f>
        <v>0</v>
      </c>
      <c r="K4" s="190">
        <f ca="1">IF($G$4&lt;&gt;0,IFERROR(INDEX(zajimavosti_tymy!E:E,MATCH(prehled!$J$3,OFFSET(zajimavosti_tymy!$A$2,,,(COUNTA(zajimavosti_tymy!$A:$A)-1)*3),0)+1),""),"")</f>
        <v>0</v>
      </c>
      <c r="L4" s="191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67"/>
      <c r="B5" s="189">
        <f ca="1">IF($A$4&lt;&gt;0,IFERROR(INDEX(zajimavosti_tymy!B:B,MATCH(prehled!$A$3,OFFSET(zajimavosti_tymy!$A$2,,,(COUNTA(zajimavosti_tymy!$A:$A)-1)*3),0)+2),""),"")</f>
        <v>0</v>
      </c>
      <c r="C5" s="190">
        <f ca="1">IF($A$4&lt;&gt;0,IFERROR(INDEX(zajimavosti_tymy!C:C,MATCH(prehled!$A$3,OFFSET(zajimavosti_tymy!$A$2,,,(COUNTA(zajimavosti_tymy!$A:$A)-1)*3),0)+2),""),"")</f>
        <v>0</v>
      </c>
      <c r="D5" s="190">
        <f ca="1">IF($A$4&lt;&gt;0,IFERROR(INDEX(zajimavosti_tymy!D:D,MATCH(prehled!$A$3,OFFSET(zajimavosti_tymy!$A$2,,,(COUNTA(zajimavosti_tymy!$A:$A)-1)*3),0)+2),""),"")</f>
        <v>0</v>
      </c>
      <c r="E5" s="190">
        <f ca="1">IF($A$4&lt;&gt;0,IFERROR(INDEX(zajimavosti_tymy!E:E,MATCH(prehled!$A$3,OFFSET(zajimavosti_tymy!$A$2,,,(COUNTA(zajimavosti_tymy!$A:$A)-1)*3),0)+2),""),"")</f>
        <v>0</v>
      </c>
      <c r="F5" s="191">
        <f ca="1">IF($A$4&lt;&gt;0,IFERROR(INDEX(zajimavosti_tymy!F:F,MATCH(prehled!$A$3,OFFSET(zajimavosti_tymy!$A$2,,,(COUNTA(zajimavosti_tymy!$A:$A)-1)*3),0)+2),""),"")</f>
        <v>0</v>
      </c>
      <c r="G5" s="367"/>
      <c r="H5" s="189">
        <f ca="1">IF($G$4&lt;&gt;0,IFERROR(INDEX(zajimavosti_tymy!B:B,MATCH(prehled!$J$3,OFFSET(zajimavosti_tymy!$A$2,,,(COUNTA(zajimavosti_tymy!$A:$A)-1)*3),0)+2),""),"")</f>
        <v>0</v>
      </c>
      <c r="I5" s="190">
        <f ca="1">IF($G$4&lt;&gt;0,IFERROR(INDEX(zajimavosti_tymy!C:C,MATCH(prehled!$J$3,OFFSET(zajimavosti_tymy!$A$2,,,(COUNTA(zajimavosti_tymy!$A:$A)-1)*3),0)+2),""),"")</f>
        <v>0</v>
      </c>
      <c r="J5" s="190">
        <f ca="1">IF($G$4&lt;&gt;0,IFERROR(INDEX(zajimavosti_tymy!D:D,MATCH(prehled!$J$3,OFFSET(zajimavosti_tymy!$A$2,,,(COUNTA(zajimavosti_tymy!$A:$A)-1)*3),0)+2),""),"")</f>
        <v>0</v>
      </c>
      <c r="K5" s="190">
        <f ca="1">IF($G$4&lt;&gt;0,IFERROR(INDEX(zajimavosti_tymy!E:E,MATCH(prehled!$J$3,OFFSET(zajimavosti_tymy!$A$2,,,(COUNTA(zajimavosti_tymy!$A:$A)-1)*3),0)+2),""),"")</f>
        <v>0</v>
      </c>
      <c r="L5" s="191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67"/>
      <c r="B6" s="189">
        <f ca="1">IF($A$4&lt;&gt;0,IFERROR(INDEX(zajimavosti_tymy!B:B,MATCH(prehled!$A$3,OFFSET(zajimavosti_tymy!$A$2,,,(COUNTA(zajimavosti_tymy!$A:$A)-1)*3),0)+3),""),"")</f>
        <v>0</v>
      </c>
      <c r="C6" s="190">
        <f ca="1">IF($A$4&lt;&gt;0,IFERROR(INDEX(zajimavosti_tymy!C:C,MATCH(prehled!$A$3,OFFSET(zajimavosti_tymy!$A$2,,,(COUNTA(zajimavosti_tymy!$A:$A)-1)*3),0)+3),""),"")</f>
        <v>0</v>
      </c>
      <c r="D6" s="190">
        <f ca="1">IF($A$4&lt;&gt;0,IFERROR(INDEX(zajimavosti_tymy!D:D,MATCH(prehled!$A$3,OFFSET(zajimavosti_tymy!$A$2,,,(COUNTA(zajimavosti_tymy!$A:$A)-1)*3),0)+3),""),"")</f>
        <v>0</v>
      </c>
      <c r="E6" s="190">
        <f ca="1">IF($A$4&lt;&gt;0,IFERROR(INDEX(zajimavosti_tymy!E:E,MATCH(prehled!$A$3,OFFSET(zajimavosti_tymy!$A$2,,,(COUNTA(zajimavosti_tymy!$A:$A)-1)*3),0)+3),""),"")</f>
        <v>0</v>
      </c>
      <c r="F6" s="191">
        <f ca="1">IF($A$4&lt;&gt;0,IFERROR(INDEX(zajimavosti_tymy!F:F,MATCH(prehled!$A$3,OFFSET(zajimavosti_tymy!$A$2,,,(COUNTA(zajimavosti_tymy!$A:$A)-1)*3),0)+3),""),"")</f>
        <v>0</v>
      </c>
      <c r="G6" s="367"/>
      <c r="H6" s="189">
        <f ca="1">IF($G$4&lt;&gt;0,IFERROR(INDEX(zajimavosti_tymy!B:B,MATCH(prehled!$J$3,OFFSET(zajimavosti_tymy!$A$2,,,(COUNTA(zajimavosti_tymy!$A:$A)-1)*3),0)+3),""),"")</f>
        <v>0</v>
      </c>
      <c r="I6" s="190">
        <f ca="1">IF($G$4&lt;&gt;0,IFERROR(INDEX(zajimavosti_tymy!C:C,MATCH(prehled!$J$3,OFFSET(zajimavosti_tymy!$A$2,,,(COUNTA(zajimavosti_tymy!$A:$A)-1)*3),0)+3),""),"")</f>
        <v>0</v>
      </c>
      <c r="J6" s="190">
        <f ca="1">IF($G$4&lt;&gt;0,IFERROR(INDEX(zajimavosti_tymy!D:D,MATCH(prehled!$J$3,OFFSET(zajimavosti_tymy!$A$2,,,(COUNTA(zajimavosti_tymy!$A:$A)-1)*3),0)+3),""),"")</f>
        <v>0</v>
      </c>
      <c r="K6" s="190">
        <f ca="1">IF($G$4&lt;&gt;0,IFERROR(INDEX(zajimavosti_tymy!E:E,MATCH(prehled!$J$3,OFFSET(zajimavosti_tymy!$A$2,,,(COUNTA(zajimavosti_tymy!$A:$A)-1)*3),0)+3),""),"")</f>
        <v>0</v>
      </c>
      <c r="L6" s="191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68" t="s">
        <v>806</v>
      </c>
      <c r="B7" s="368"/>
      <c r="C7" s="368"/>
      <c r="D7" s="368"/>
      <c r="E7" s="368"/>
      <c r="F7" s="368"/>
      <c r="G7" s="368" t="s">
        <v>806</v>
      </c>
      <c r="H7" s="368"/>
      <c r="I7" s="368"/>
      <c r="J7" s="368"/>
      <c r="K7" s="368"/>
      <c r="L7" s="368"/>
    </row>
    <row r="8" spans="1:12" x14ac:dyDescent="0.25">
      <c r="A8" s="192" t="str">
        <f ca="1">IF(INDIRECT("priprava_" &amp; A$1 &amp; "!A1")&lt;&gt;0,INDIRECT("priprava_" &amp; A$1 &amp; "!A1"),"")</f>
        <v>Jan Fiala</v>
      </c>
      <c r="B8" s="18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9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9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9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9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92" t="str">
        <f ca="1">IF(INDIRECT("priprava_" &amp; G$1 &amp; "!A1")&lt;&gt;0,INDIRECT("priprava_" &amp; G$1 &amp; "!A1"),"")</f>
        <v/>
      </c>
      <c r="H8" s="19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9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9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9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91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92" t="str">
        <f ca="1">IF(INDIRECT("priprava_" &amp; A$1 &amp; "!M1")&lt;&gt;0,INDIRECT("priprava_" &amp; A$1 &amp; "!M1"),"")</f>
        <v>Jan Procházka</v>
      </c>
      <c r="B9" s="18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9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9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9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9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92" t="str">
        <f ca="1">IF(INDIRECT("priprava_" &amp; G$1 &amp; "!M1")&lt;&gt;0,INDIRECT("priprava_" &amp; G$1 &amp; "!M1"),"")</f>
        <v/>
      </c>
      <c r="H9" s="19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9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9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9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91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92" t="str">
        <f ca="1">IF(INDIRECT("priprava_" &amp; A$1 &amp; "!G3")&lt;&gt;0,INDIRECT("priprava_" &amp; A$1 &amp; "!G3"),"")</f>
        <v>Vojtěch Máca</v>
      </c>
      <c r="B10" s="18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0" s="190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0" s="190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0" s="19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9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92" t="str">
        <f ca="1">IF(INDIRECT("priprava_" &amp; G$1 &amp; "!G3")&lt;&gt;0,INDIRECT("priprava_" &amp; G$1 &amp; "!G3"),"")</f>
        <v/>
      </c>
      <c r="H10" s="19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9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9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90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91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92" t="str">
        <f ca="1">IF(INDIRECT("priprava_" &amp; A$1 &amp; "!A6")&lt;&gt;0,INDIRECT("priprava_" &amp; A$1 &amp; "!A6"),"")</f>
        <v>Ondřej Stuchlík</v>
      </c>
      <c r="B11" s="18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90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9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9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9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92" t="str">
        <f ca="1">IF(INDIRECT("priprava_" &amp; G$1 &amp; "!A6")&lt;&gt;0,INDIRECT("priprava_" &amp; G$1 &amp; "!A6"),"")</f>
        <v/>
      </c>
      <c r="H11" s="19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9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9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9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91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92" t="str">
        <f ca="1">IF(INDIRECT("priprava_" &amp; A$1 &amp; "!M6")&lt;&gt;0,INDIRECT("priprava_" &amp; A$1 &amp; "!M6"),"")</f>
        <v>Štěpán Čuda</v>
      </c>
      <c r="B12" s="18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90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90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90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9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92" t="str">
        <f ca="1">IF(INDIRECT("priprava_" &amp; G$1 &amp; "!M6")&lt;&gt;0,INDIRECT("priprava_" &amp; G$1 &amp; "!M6"),"")</f>
        <v/>
      </c>
      <c r="H12" s="19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9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9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9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9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92" t="str">
        <f ca="1">IF(INDIRECT("priprava_" &amp; A$1 &amp; "!A12")&lt;&gt;0,INDIRECT("priprava_" &amp; A$1 &amp; "!A12"),"")</f>
        <v>Viktor Kopecký</v>
      </c>
      <c r="B13" s="18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90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90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9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9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92" t="str">
        <f ca="1">IF(INDIRECT("priprava_" &amp; G$1 &amp; "!A12")&lt;&gt;0,INDIRECT("priprava_" &amp; G$1 &amp; "!A12"),"")</f>
        <v/>
      </c>
      <c r="H13" s="19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9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9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90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91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92" t="str">
        <f ca="1">IF(INDIRECT("priprava_" &amp; A$1 &amp; "!M12")&lt;&gt;0,INDIRECT("priprava_" &amp; A$1 &amp; "!M12"),"")</f>
        <v>Vojtěch Klápa</v>
      </c>
      <c r="B14" s="18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90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90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9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9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92" t="str">
        <f ca="1">IF(INDIRECT("priprava_" &amp; G$1 &amp; "!M12")&lt;&gt;0,INDIRECT("priprava_" &amp; G$1 &amp; "!M12"),"")</f>
        <v/>
      </c>
      <c r="H14" s="19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9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9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90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91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92" t="str">
        <f ca="1">IF(INDIRECT("priprava_" &amp; A$1 &amp; "!G14")&lt;&gt;0,INDIRECT("priprava_" &amp; A$1 &amp; "!G14"),"")</f>
        <v>Ivan Pergler</v>
      </c>
      <c r="B15" s="18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15" s="19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15" s="19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15" s="190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15" s="19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92" t="str">
        <f ca="1">IF(INDIRECT("priprava_" &amp; G$1 &amp; "!G14")&lt;&gt;0,INDIRECT("priprava_" &amp; G$1 &amp; "!G14"),"")</f>
        <v/>
      </c>
      <c r="H15" s="19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9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9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9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91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92" t="str">
        <f ca="1">IF(INDIRECT("priprava_" &amp; A$1 &amp; "!A17")&lt;&gt;0,INDIRECT("priprava_" &amp; A$1 &amp; "!A17"),"")</f>
        <v>Lukáš Lanc</v>
      </c>
      <c r="B16" s="18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16" s="19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16" s="19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16" s="190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6" s="191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92" t="str">
        <f ca="1">IF(INDIRECT("priprava_" &amp; G$1 &amp; "!A17")&lt;&gt;0,INDIRECT("priprava_" &amp; G$1 &amp; "!A17"),"")</f>
        <v/>
      </c>
      <c r="H16" s="19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9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9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9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91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92" t="str">
        <f ca="1">IF(INDIRECT("priprava_" &amp; A$1 &amp; "!M17")&lt;&gt;0,INDIRECT("priprava_" &amp; A$1 &amp; "!M17"),"")</f>
        <v>Petr Hartman</v>
      </c>
      <c r="B17" s="18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9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9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90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91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92" t="str">
        <f ca="1">IF(INDIRECT("priprava_" &amp; G$1 &amp; "!M17")&lt;&gt;0,INDIRECT("priprava_" &amp; G$1 &amp; "!M17"),"")</f>
        <v/>
      </c>
      <c r="H17" s="19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9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9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90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91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92" t="str">
        <f ca="1">IF(INDIRECT("priprava_" &amp; A$1 &amp; "!A23")&lt;&gt;0,INDIRECT("priprava_" &amp; A$1 &amp; "!A23"),"")</f>
        <v>Pavel Hájek</v>
      </c>
      <c r="B18" s="18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8" s="19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8" s="19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8" s="190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91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92" t="str">
        <f ca="1">IF(INDIRECT("priprava_" &amp; G$1 &amp; "!A23")&lt;&gt;0,INDIRECT("priprava_" &amp; G$1 &amp; "!A23"),"")</f>
        <v/>
      </c>
      <c r="H18" s="19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9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9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90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91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92" t="str">
        <f ca="1">IF(INDIRECT("priprava_" &amp; A$1 &amp; "!M23")&lt;&gt;0,INDIRECT("priprava_" &amp; A$1 &amp; "!M23"),"")</f>
        <v>Štepán Švejda</v>
      </c>
      <c r="B19" s="18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9" s="19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9" s="19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9" s="190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9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92" t="str">
        <f ca="1">IF(INDIRECT("priprava_" &amp; G$1 &amp; "!M23")&lt;&gt;0,INDIRECT("priprava_" &amp; G$1 &amp; "!M23"),"")</f>
        <v/>
      </c>
      <c r="H19" s="19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9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9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9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91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92" t="str">
        <f ca="1">IF(INDIRECT("priprava_" &amp; A$1 &amp; "!G25")&lt;&gt;0,INDIRECT("priprava_" &amp; A$1 &amp; "!G25"),"")</f>
        <v>Jan Pinkas</v>
      </c>
      <c r="B20" s="18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9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9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9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9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92" t="str">
        <f ca="1">IF(INDIRECT("priprava_" &amp; G$1 &amp; "!G25")&lt;&gt;0,INDIRECT("priprava_" &amp; G$1 &amp; "!G25"),"")</f>
        <v/>
      </c>
      <c r="H20" s="19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9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9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9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91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92" t="str">
        <f ca="1">IF(INDIRECT("priprava_" &amp; A$1 &amp; "!A28")&lt;&gt;0,INDIRECT("priprava_" &amp; A$1 &amp; "!A28"),"")</f>
        <v>Oliver Gold</v>
      </c>
      <c r="B21" s="18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21" s="19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21" s="190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90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91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92" t="str">
        <f ca="1">IF(INDIRECT("priprava_" &amp; G$1 &amp; "!A28")&lt;&gt;0,INDIRECT("priprava_" &amp; G$1 &amp; "!A28"),"")</f>
        <v/>
      </c>
      <c r="H21" s="19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9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9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90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91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92" t="str">
        <f ca="1">IF(INDIRECT("priprava_" &amp; A$1 &amp; "!M28")&lt;&gt;0,INDIRECT("priprava_" &amp; A$1 &amp; "!M28"),"")</f>
        <v>David Ježek</v>
      </c>
      <c r="B22" s="18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9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90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90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91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92" t="str">
        <f ca="1">IF(INDIRECT("priprava_" &amp; G$1 &amp; "!M28")&lt;&gt;0,INDIRECT("priprava_" &amp; G$1 &amp; "!M28"),"")</f>
        <v/>
      </c>
      <c r="H22" s="19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9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9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90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91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92" t="str">
        <f ca="1">IF(INDIRECT("priprava_" &amp; A$1 &amp; "!J34")&lt;&gt;0,INDIRECT("priprava_" &amp; A$1 &amp; "!J34"),"")</f>
        <v>Marek Paštika</v>
      </c>
      <c r="B23" s="18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9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9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90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91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92" t="str">
        <f ca="1">IF(INDIRECT("priprava_" &amp; G$1 &amp; "!J34")&lt;&gt;0,INDIRECT("priprava_" &amp; G$1 &amp; "!J34"),"")</f>
        <v/>
      </c>
      <c r="H23" s="19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9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9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9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9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92" t="str">
        <f ca="1">IF(INDIRECT("priprava_" &amp; A$1 &amp; "!J38")&lt;&gt;0,INDIRECT("priprava_" &amp; A$1 &amp; "!J38"),"")</f>
        <v>Matěj Horák</v>
      </c>
      <c r="B24" s="18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9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9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9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9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92" t="str">
        <f ca="1">IF(INDIRECT("priprava_" &amp; G$1 &amp; "!J38")&lt;&gt;0,INDIRECT("priprava_" &amp; G$1 &amp; "!J38"),"")</f>
        <v/>
      </c>
      <c r="H24" s="19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9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90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90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91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92" t="str">
        <f ca="1">IF(INDIRECT("priprava_" &amp; A$1 &amp; "!J42")&lt;&gt;0,INDIRECT("priprava_" &amp; A$1 &amp; "!J42"),"")</f>
        <v>Lukáš Gregor</v>
      </c>
      <c r="B25" s="18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5" s="190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5" s="190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5" s="190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5" s="191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5" s="192" t="str">
        <f ca="1">IF(INDIRECT("priprava_" &amp; G$1 &amp; "!J42")&lt;&gt;0,INDIRECT("priprava_" &amp; G$1 &amp; "!J42"),"")</f>
        <v/>
      </c>
      <c r="H25" s="19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9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9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9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9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92" t="str">
        <f ca="1">IF(INDIRECT("priprava_" &amp; A$1 &amp; "!A34")&lt;&gt;0,INDIRECT("priprava_" &amp; A$1 &amp; "!A34"),"")</f>
        <v>Petr Musil</v>
      </c>
      <c r="B26" s="18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9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9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9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91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92" t="str">
        <f ca="1">IF(INDIRECT("priprava_" &amp; G$1 &amp; "!A34")&lt;&gt;0,INDIRECT("priprava_" &amp; G$1 &amp; "!A34"),"")</f>
        <v/>
      </c>
      <c r="H26" s="19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9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90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90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91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92" t="str">
        <f ca="1">IF(INDIRECT("priprava_" &amp; A$1 &amp; "!A40")&lt;&gt;0,INDIRECT("priprava_" &amp; A$1 &amp; "!A40"),"")</f>
        <v>Karel Šantora</v>
      </c>
      <c r="B27" s="18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9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9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9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91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92" t="str">
        <f ca="1">IF(INDIRECT("priprava_" &amp; G$1 &amp; "!A40")&lt;&gt;0,INDIRECT("priprava_" &amp; G$1 &amp; "!A40"),"")</f>
        <v/>
      </c>
      <c r="H27" s="19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9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90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90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91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68" t="s">
        <v>807</v>
      </c>
      <c r="B28" s="368"/>
      <c r="C28" s="368"/>
      <c r="D28" s="368"/>
      <c r="E28" s="368"/>
      <c r="F28" s="368"/>
      <c r="G28" s="368" t="s">
        <v>807</v>
      </c>
      <c r="H28" s="368"/>
      <c r="I28" s="368"/>
      <c r="J28" s="368"/>
      <c r="K28" s="368"/>
      <c r="L28" s="368"/>
    </row>
    <row r="29" spans="1:12" x14ac:dyDescent="0.25">
      <c r="A29" s="192" t="str">
        <f ca="1">IF(INDIRECT("priprava_" &amp; A$1 &amp; "!A47")&lt;&gt;0,INDIRECT("priprava_" &amp; A$1 &amp; "!A47"),"")</f>
        <v>Michal Kotlas</v>
      </c>
      <c r="B29" s="19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9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9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9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9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92" t="str">
        <f ca="1">IF(INDIRECT("priprava_" &amp; G$1 &amp; "!A47")&lt;&gt;0,INDIRECT("priprava_" &amp; G$1 &amp; "!A47"),"")</f>
        <v/>
      </c>
      <c r="H29" s="19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9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9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90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91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92" t="str">
        <f ca="1">IF(INDIRECT("priprava_" &amp; A$1 &amp; "!J47")&lt;&gt;0,INDIRECT("priprava_" &amp; A$1 &amp; "!J47"),"")</f>
        <v>David Bouša</v>
      </c>
      <c r="B30" s="19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9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9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9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9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92" t="str">
        <f ca="1">IF(INDIRECT("priprava_" &amp; G$1 &amp; "!J47")&lt;&gt;0,INDIRECT("priprava_" &amp; G$1 &amp; "!J47"),"")</f>
        <v/>
      </c>
      <c r="H30" s="19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9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9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9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9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92" t="str">
        <f ca="1">IF(INDIRECT("priprava_" &amp; A$1 &amp; "!J49")&lt;&gt;0,INDIRECT("priprava_" &amp; A$1 &amp; "!J49"),"")</f>
        <v>Boleslav Kytka</v>
      </c>
      <c r="B31" s="19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9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9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9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9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92" t="str">
        <f ca="1">IF(INDIRECT("priprava_" &amp; G$1 &amp; "!J49")&lt;&gt;0,INDIRECT("priprava_" &amp; G$1 &amp; "!J49"),"")</f>
        <v/>
      </c>
      <c r="H31" s="19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9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9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9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9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activeCell="F50" sqref="F50"/>
    </sheetView>
  </sheetViews>
  <sheetFormatPr defaultColWidth="9.140625" defaultRowHeight="14.25" x14ac:dyDescent="0.25"/>
  <cols>
    <col min="1" max="1" width="21.28515625" style="175" customWidth="1"/>
    <col min="2" max="2" width="8.7109375" style="174" customWidth="1"/>
    <col min="3" max="7" width="21.28515625" style="186" customWidth="1"/>
    <col min="8" max="8" width="17.5703125" style="173" hidden="1" customWidth="1"/>
    <col min="9" max="16384" width="9.140625" style="173"/>
  </cols>
  <sheetData>
    <row r="1" spans="1:8" s="178" customFormat="1" ht="19.5" x14ac:dyDescent="0.25">
      <c r="A1" s="369" t="s">
        <v>818</v>
      </c>
      <c r="B1" s="369"/>
      <c r="C1" s="370" t="s">
        <v>817</v>
      </c>
      <c r="D1" s="370"/>
      <c r="E1" s="370"/>
      <c r="F1" s="370"/>
      <c r="G1" s="370"/>
      <c r="H1" s="178" t="s">
        <v>816</v>
      </c>
    </row>
    <row r="2" spans="1:8" x14ac:dyDescent="0.25">
      <c r="A2" s="176" t="s">
        <v>218</v>
      </c>
      <c r="B2" s="177">
        <v>37276</v>
      </c>
      <c r="C2" s="185" t="s">
        <v>813</v>
      </c>
      <c r="D2" s="185"/>
      <c r="E2" s="185"/>
      <c r="F2" s="185"/>
      <c r="G2" s="185"/>
      <c r="H2" s="173" t="str">
        <f t="shared" ref="H2:H33" si="0">IF(A2&lt;&gt;"",CONCATENATE(A2," (",B2,")"),"")</f>
        <v>Jakub Pařízek (37276)</v>
      </c>
    </row>
    <row r="3" spans="1:8" x14ac:dyDescent="0.25">
      <c r="A3" s="176" t="s">
        <v>152</v>
      </c>
      <c r="B3" s="177">
        <v>32379</v>
      </c>
      <c r="C3" s="185" t="s">
        <v>812</v>
      </c>
      <c r="D3" s="185" t="s">
        <v>934</v>
      </c>
      <c r="E3" s="185" t="s">
        <v>935</v>
      </c>
      <c r="F3" s="185"/>
      <c r="G3" s="185"/>
      <c r="H3" s="173" t="str">
        <f t="shared" si="0"/>
        <v>Lukáš Lanc (32379)</v>
      </c>
    </row>
    <row r="4" spans="1:8" x14ac:dyDescent="0.25">
      <c r="A4" s="176" t="s">
        <v>209</v>
      </c>
      <c r="B4" s="177">
        <v>37818</v>
      </c>
      <c r="C4" s="185" t="s">
        <v>815</v>
      </c>
      <c r="D4" s="185"/>
      <c r="E4" s="185"/>
      <c r="F4" s="185"/>
      <c r="G4" s="185"/>
      <c r="H4" s="173" t="str">
        <f t="shared" si="0"/>
        <v>Šimon Stránský (37818)</v>
      </c>
    </row>
    <row r="5" spans="1:8" x14ac:dyDescent="0.25">
      <c r="A5" s="176" t="s">
        <v>239</v>
      </c>
      <c r="B5" s="177">
        <v>24850</v>
      </c>
      <c r="C5" s="185" t="s">
        <v>814</v>
      </c>
      <c r="D5" s="185"/>
      <c r="E5" s="185"/>
      <c r="F5" s="185"/>
      <c r="G5" s="185"/>
      <c r="H5" s="173" t="str">
        <f t="shared" si="0"/>
        <v>Zdeněk Skružný (24850)</v>
      </c>
    </row>
    <row r="6" spans="1:8" x14ac:dyDescent="0.25">
      <c r="A6" s="176" t="s">
        <v>11</v>
      </c>
      <c r="B6" s="177">
        <v>37000</v>
      </c>
      <c r="C6" s="185" t="s">
        <v>936</v>
      </c>
      <c r="D6" s="185" t="s">
        <v>937</v>
      </c>
      <c r="E6" s="185"/>
      <c r="F6" s="185"/>
      <c r="G6" s="185"/>
      <c r="H6" s="173" t="str">
        <f t="shared" si="0"/>
        <v>Oliver Gold (37000)</v>
      </c>
    </row>
    <row r="7" spans="1:8" x14ac:dyDescent="0.25">
      <c r="A7" s="176" t="s">
        <v>117</v>
      </c>
      <c r="B7" s="177">
        <v>36658</v>
      </c>
      <c r="C7" s="185" t="s">
        <v>979</v>
      </c>
      <c r="D7" s="185" t="s">
        <v>980</v>
      </c>
      <c r="E7" s="185" t="s">
        <v>981</v>
      </c>
      <c r="F7" s="185"/>
      <c r="G7" s="185"/>
      <c r="H7" s="173" t="str">
        <f t="shared" si="0"/>
        <v>Jan Procházka (36658)</v>
      </c>
    </row>
    <row r="8" spans="1:8" x14ac:dyDescent="0.25">
      <c r="A8" s="176" t="s">
        <v>18</v>
      </c>
      <c r="B8" s="177">
        <v>37561</v>
      </c>
      <c r="C8" s="185" t="s">
        <v>938</v>
      </c>
      <c r="D8" s="185" t="s">
        <v>939</v>
      </c>
      <c r="E8" s="185"/>
      <c r="F8" s="185"/>
      <c r="G8" s="185"/>
      <c r="H8" s="173" t="str">
        <f t="shared" si="0"/>
        <v>Matyáš Lorenc (37561)</v>
      </c>
    </row>
    <row r="9" spans="1:8" x14ac:dyDescent="0.25">
      <c r="A9" s="176" t="s">
        <v>4</v>
      </c>
      <c r="B9" s="177">
        <v>36364</v>
      </c>
      <c r="C9" s="185" t="s">
        <v>940</v>
      </c>
      <c r="D9" s="185" t="s">
        <v>941</v>
      </c>
      <c r="E9" s="185" t="s">
        <v>942</v>
      </c>
      <c r="F9" s="185" t="s">
        <v>943</v>
      </c>
      <c r="G9" s="185"/>
      <c r="H9" s="173" t="str">
        <f t="shared" si="0"/>
        <v>Štěpán Čuda (36364)</v>
      </c>
    </row>
    <row r="10" spans="1:8" x14ac:dyDescent="0.25">
      <c r="A10" s="176" t="s">
        <v>15</v>
      </c>
      <c r="B10" s="177">
        <v>35171</v>
      </c>
      <c r="C10" s="185" t="s">
        <v>944</v>
      </c>
      <c r="D10" s="185" t="s">
        <v>945</v>
      </c>
      <c r="E10" s="185" t="s">
        <v>942</v>
      </c>
      <c r="F10" s="185" t="s">
        <v>946</v>
      </c>
      <c r="G10" s="185"/>
      <c r="H10" s="173" t="str">
        <f t="shared" si="0"/>
        <v>Karel Šantora (35171)</v>
      </c>
    </row>
    <row r="11" spans="1:8" x14ac:dyDescent="0.25">
      <c r="A11" s="176" t="s">
        <v>10</v>
      </c>
      <c r="B11" s="177">
        <v>34200</v>
      </c>
      <c r="C11" s="185" t="s">
        <v>947</v>
      </c>
      <c r="D11" s="185"/>
      <c r="E11" s="185"/>
      <c r="F11" s="185"/>
      <c r="G11" s="185"/>
      <c r="H11" s="173" t="str">
        <f t="shared" si="0"/>
        <v>Ondřej Stuchlík (34200)</v>
      </c>
    </row>
    <row r="12" spans="1:8" x14ac:dyDescent="0.25">
      <c r="A12" s="176" t="s">
        <v>113</v>
      </c>
      <c r="B12" s="177">
        <v>36650</v>
      </c>
      <c r="C12" s="185" t="s">
        <v>948</v>
      </c>
      <c r="D12" s="185"/>
      <c r="E12" s="185"/>
      <c r="F12" s="185"/>
      <c r="G12" s="185"/>
      <c r="H12" s="173" t="str">
        <f t="shared" si="0"/>
        <v>Vojtěch Máca (36650)</v>
      </c>
    </row>
    <row r="13" spans="1:8" x14ac:dyDescent="0.25">
      <c r="A13" s="176" t="s">
        <v>19</v>
      </c>
      <c r="B13" s="177">
        <v>37455</v>
      </c>
      <c r="C13" s="185" t="s">
        <v>949</v>
      </c>
      <c r="D13" s="185" t="s">
        <v>950</v>
      </c>
      <c r="E13" s="185" t="s">
        <v>951</v>
      </c>
      <c r="F13" s="185"/>
      <c r="G13" s="185"/>
      <c r="H13" s="173" t="str">
        <f t="shared" si="0"/>
        <v>Marek Paštika (37455)</v>
      </c>
    </row>
    <row r="14" spans="1:8" x14ac:dyDescent="0.25">
      <c r="A14" s="176" t="s">
        <v>108</v>
      </c>
      <c r="B14" s="177">
        <v>34883</v>
      </c>
      <c r="C14" s="185" t="s">
        <v>952</v>
      </c>
      <c r="D14" s="185"/>
      <c r="E14" s="185"/>
      <c r="F14" s="185"/>
      <c r="G14" s="185"/>
      <c r="H14" s="173" t="str">
        <f t="shared" si="0"/>
        <v>Viktor Kopecký (34883)</v>
      </c>
    </row>
    <row r="15" spans="1:8" x14ac:dyDescent="0.25">
      <c r="A15" s="176" t="s">
        <v>14</v>
      </c>
      <c r="B15" s="177">
        <v>33357</v>
      </c>
      <c r="C15" s="185" t="s">
        <v>953</v>
      </c>
      <c r="D15" s="185" t="s">
        <v>954</v>
      </c>
      <c r="E15" s="185" t="s">
        <v>955</v>
      </c>
      <c r="F15" s="185"/>
      <c r="G15" s="185"/>
      <c r="H15" s="173" t="str">
        <f t="shared" si="0"/>
        <v>Petr Hartman (33357)</v>
      </c>
    </row>
    <row r="16" spans="1:8" x14ac:dyDescent="0.25">
      <c r="A16" s="176" t="s">
        <v>17</v>
      </c>
      <c r="B16" s="177">
        <v>37402</v>
      </c>
      <c r="C16" s="185" t="s">
        <v>949</v>
      </c>
      <c r="D16" s="185" t="s">
        <v>951</v>
      </c>
      <c r="E16" s="185" t="s">
        <v>956</v>
      </c>
      <c r="F16" s="185" t="s">
        <v>957</v>
      </c>
      <c r="G16" s="185"/>
      <c r="H16" s="173" t="str">
        <f t="shared" si="0"/>
        <v>Jan Pinkas (37402)</v>
      </c>
    </row>
    <row r="17" spans="1:8" x14ac:dyDescent="0.25">
      <c r="A17" s="176" t="s">
        <v>8</v>
      </c>
      <c r="B17" s="177">
        <v>34105</v>
      </c>
      <c r="C17" s="185" t="s">
        <v>958</v>
      </c>
      <c r="D17" s="185" t="s">
        <v>959</v>
      </c>
      <c r="E17" s="185" t="s">
        <v>960</v>
      </c>
      <c r="F17" s="185"/>
      <c r="G17" s="185"/>
      <c r="H17" s="173" t="str">
        <f t="shared" si="0"/>
        <v>Lukáš Gregor (34105)</v>
      </c>
    </row>
    <row r="18" spans="1:8" x14ac:dyDescent="0.25">
      <c r="A18" s="176" t="s">
        <v>6</v>
      </c>
      <c r="B18" s="177">
        <v>34880</v>
      </c>
      <c r="C18" s="185" t="s">
        <v>944</v>
      </c>
      <c r="D18" s="185" t="s">
        <v>961</v>
      </c>
      <c r="E18" s="185" t="s">
        <v>962</v>
      </c>
      <c r="F18" s="185"/>
      <c r="G18" s="185"/>
      <c r="H18" s="173" t="str">
        <f t="shared" si="0"/>
        <v>Jan Fiala (34880)</v>
      </c>
    </row>
    <row r="19" spans="1:8" x14ac:dyDescent="0.25">
      <c r="A19" s="176" t="s">
        <v>147</v>
      </c>
      <c r="B19" s="177">
        <v>36825</v>
      </c>
      <c r="C19" s="185" t="s">
        <v>963</v>
      </c>
      <c r="D19" s="185" t="s">
        <v>964</v>
      </c>
      <c r="E19" s="185" t="s">
        <v>965</v>
      </c>
      <c r="F19" s="185"/>
      <c r="G19" s="185"/>
      <c r="H19" s="173" t="str">
        <f t="shared" si="0"/>
        <v>Pavel Hájek (36825)</v>
      </c>
    </row>
    <row r="20" spans="1:8" x14ac:dyDescent="0.25">
      <c r="A20" s="175" t="s">
        <v>110</v>
      </c>
      <c r="B20" s="184">
        <v>37297</v>
      </c>
      <c r="C20" s="186" t="s">
        <v>966</v>
      </c>
      <c r="D20" s="186" t="s">
        <v>967</v>
      </c>
      <c r="E20" s="186" t="s">
        <v>968</v>
      </c>
      <c r="H20" s="173" t="str">
        <f t="shared" si="0"/>
        <v>Štepán Švejda (37297)</v>
      </c>
    </row>
    <row r="21" spans="1:8" x14ac:dyDescent="0.25">
      <c r="A21" s="175" t="s">
        <v>9</v>
      </c>
      <c r="B21" s="184">
        <v>34200</v>
      </c>
      <c r="C21" s="186" t="s">
        <v>969</v>
      </c>
      <c r="D21" s="186" t="s">
        <v>970</v>
      </c>
      <c r="E21" s="186" t="s">
        <v>971</v>
      </c>
      <c r="H21" s="173" t="str">
        <f t="shared" si="0"/>
        <v>Zbyněk Stuchlík (34200)</v>
      </c>
    </row>
    <row r="22" spans="1:8" x14ac:dyDescent="0.25">
      <c r="A22" s="175" t="s">
        <v>112</v>
      </c>
      <c r="B22" s="184">
        <v>36551</v>
      </c>
      <c r="C22" s="186" t="s">
        <v>972</v>
      </c>
      <c r="D22" s="186" t="s">
        <v>973</v>
      </c>
      <c r="E22" s="186" t="s">
        <v>974</v>
      </c>
      <c r="F22" s="186" t="s">
        <v>975</v>
      </c>
      <c r="H22" s="173" t="str">
        <f t="shared" si="0"/>
        <v>Ivan Pergler (36551)</v>
      </c>
    </row>
    <row r="23" spans="1:8" x14ac:dyDescent="0.25">
      <c r="A23" s="175" t="s">
        <v>0</v>
      </c>
      <c r="B23" s="184">
        <v>37777</v>
      </c>
      <c r="C23" s="186" t="s">
        <v>976</v>
      </c>
      <c r="D23" s="186" t="s">
        <v>977</v>
      </c>
      <c r="E23" s="186" t="s">
        <v>978</v>
      </c>
      <c r="H23" s="173" t="str">
        <f t="shared" si="0"/>
        <v>Vojtěch Klápa (37777)</v>
      </c>
    </row>
    <row r="24" spans="1:8" x14ac:dyDescent="0.25">
      <c r="A24" s="175" t="s">
        <v>656</v>
      </c>
      <c r="B24" s="184">
        <v>30929</v>
      </c>
      <c r="C24" s="186" t="s">
        <v>992</v>
      </c>
      <c r="D24" s="186" t="s">
        <v>993</v>
      </c>
      <c r="H24" s="173" t="str">
        <f t="shared" si="0"/>
        <v>Ivan Ponomarev (30929)</v>
      </c>
    </row>
    <row r="25" spans="1:8" x14ac:dyDescent="0.25">
      <c r="A25" s="175" t="s">
        <v>665</v>
      </c>
      <c r="B25" s="184">
        <v>35663</v>
      </c>
      <c r="C25" s="186" t="s">
        <v>994</v>
      </c>
      <c r="D25" s="186" t="s">
        <v>995</v>
      </c>
      <c r="H25" s="173" t="str">
        <f t="shared" si="0"/>
        <v>Lukáš Chyna (35663)</v>
      </c>
    </row>
    <row r="26" spans="1:8" x14ac:dyDescent="0.25">
      <c r="A26" s="175" t="s">
        <v>405</v>
      </c>
      <c r="B26" s="184">
        <v>33976</v>
      </c>
      <c r="C26" s="186" t="s">
        <v>996</v>
      </c>
      <c r="D26" s="186" t="s">
        <v>997</v>
      </c>
      <c r="E26" s="186" t="s">
        <v>998</v>
      </c>
      <c r="F26" s="186" t="s">
        <v>999</v>
      </c>
      <c r="H26" s="173" t="str">
        <f t="shared" si="0"/>
        <v>Milan Tichý (33976)</v>
      </c>
    </row>
    <row r="27" spans="1:8" x14ac:dyDescent="0.25">
      <c r="A27" s="175" t="s">
        <v>660</v>
      </c>
      <c r="B27" s="184">
        <v>31959</v>
      </c>
      <c r="C27" s="186" t="s">
        <v>1000</v>
      </c>
      <c r="D27" s="186" t="s">
        <v>1001</v>
      </c>
      <c r="E27" s="186" t="s">
        <v>1002</v>
      </c>
      <c r="F27" s="186" t="s">
        <v>1003</v>
      </c>
      <c r="H27" s="173" t="str">
        <f t="shared" si="0"/>
        <v>Lukáš Mlejnek (31959)</v>
      </c>
    </row>
    <row r="28" spans="1:8" x14ac:dyDescent="0.25">
      <c r="A28" s="175" t="s">
        <v>674</v>
      </c>
      <c r="B28" s="184">
        <v>36660</v>
      </c>
      <c r="C28" s="186" t="s">
        <v>1004</v>
      </c>
      <c r="D28" s="186" t="s">
        <v>1005</v>
      </c>
      <c r="E28" s="186" t="s">
        <v>1006</v>
      </c>
      <c r="H28" s="173" t="str">
        <f t="shared" si="0"/>
        <v>Jan Spilka (36660)</v>
      </c>
    </row>
    <row r="29" spans="1:8" x14ac:dyDescent="0.25">
      <c r="A29" s="175" t="s">
        <v>670</v>
      </c>
      <c r="B29" s="184">
        <v>33176</v>
      </c>
      <c r="C29" s="186" t="s">
        <v>1007</v>
      </c>
      <c r="D29" s="186" t="s">
        <v>1008</v>
      </c>
      <c r="E29" s="186" t="s">
        <v>1009</v>
      </c>
      <c r="H29" s="173" t="str">
        <f t="shared" si="0"/>
        <v>Tomáš Kadlec (33176)</v>
      </c>
    </row>
    <row r="30" spans="1:8" x14ac:dyDescent="0.25">
      <c r="A30" s="175" t="s">
        <v>655</v>
      </c>
      <c r="B30" s="184">
        <v>30346</v>
      </c>
      <c r="C30" s="186" t="s">
        <v>1010</v>
      </c>
      <c r="D30" s="186" t="s">
        <v>1011</v>
      </c>
      <c r="E30" s="186" t="s">
        <v>316</v>
      </c>
      <c r="H30" s="173" t="str">
        <f t="shared" si="0"/>
        <v>Štěpán Slaný (30346)</v>
      </c>
    </row>
    <row r="31" spans="1:8" x14ac:dyDescent="0.25">
      <c r="A31" s="175" t="s">
        <v>653</v>
      </c>
      <c r="B31" s="184">
        <v>35199</v>
      </c>
      <c r="C31" s="186" t="s">
        <v>1012</v>
      </c>
      <c r="D31" s="186" t="s">
        <v>1013</v>
      </c>
      <c r="H31" s="173" t="str">
        <f t="shared" si="0"/>
        <v>Daniel Štěrba (35199)</v>
      </c>
    </row>
    <row r="32" spans="1:8" x14ac:dyDescent="0.25">
      <c r="A32" s="175" t="s">
        <v>1014</v>
      </c>
      <c r="B32" s="184">
        <v>35852</v>
      </c>
      <c r="C32" s="186" t="s">
        <v>1015</v>
      </c>
      <c r="D32" s="186" t="s">
        <v>1016</v>
      </c>
      <c r="H32" s="173" t="str">
        <f t="shared" si="0"/>
        <v>Vojtěch Hrůza (35852)</v>
      </c>
    </row>
    <row r="33" spans="1:8" x14ac:dyDescent="0.25">
      <c r="A33" s="175" t="s">
        <v>671</v>
      </c>
      <c r="B33" s="184">
        <v>34046</v>
      </c>
      <c r="C33" s="186" t="s">
        <v>1017</v>
      </c>
      <c r="D33" s="186" t="s">
        <v>1018</v>
      </c>
      <c r="E33" s="186" t="s">
        <v>999</v>
      </c>
      <c r="H33" s="173" t="str">
        <f t="shared" si="0"/>
        <v>Tomáš Novák (34046)</v>
      </c>
    </row>
    <row r="34" spans="1:8" x14ac:dyDescent="0.25">
      <c r="A34" s="175" t="s">
        <v>659</v>
      </c>
      <c r="B34" s="184">
        <v>37722</v>
      </c>
      <c r="C34" s="186" t="s">
        <v>1019</v>
      </c>
      <c r="D34" s="186" t="s">
        <v>1020</v>
      </c>
      <c r="E34" s="186" t="s">
        <v>1021</v>
      </c>
      <c r="H34" s="173" t="str">
        <f t="shared" ref="H34:H65" si="1">IF(A34&lt;&gt;"",CONCATENATE(A34," (",B34,")"),"")</f>
        <v>Antonín Stárek (37722)</v>
      </c>
    </row>
    <row r="35" spans="1:8" x14ac:dyDescent="0.25">
      <c r="A35" s="175" t="s">
        <v>661</v>
      </c>
      <c r="B35" s="184">
        <v>37697</v>
      </c>
      <c r="C35" s="186" t="s">
        <v>1022</v>
      </c>
      <c r="D35" s="186" t="s">
        <v>1023</v>
      </c>
      <c r="H35" s="173" t="str">
        <f t="shared" si="1"/>
        <v>Oliver Brodský (37697)</v>
      </c>
    </row>
    <row r="36" spans="1:8" x14ac:dyDescent="0.25">
      <c r="A36" s="175" t="s">
        <v>657</v>
      </c>
      <c r="B36" s="184">
        <v>35758</v>
      </c>
      <c r="C36" s="186" t="s">
        <v>1024</v>
      </c>
      <c r="D36" s="186" t="s">
        <v>1025</v>
      </c>
      <c r="E36" s="186" t="s">
        <v>1026</v>
      </c>
      <c r="H36" s="173" t="str">
        <f t="shared" si="1"/>
        <v>Jiří Vlček (35758)</v>
      </c>
    </row>
    <row r="37" spans="1:8" x14ac:dyDescent="0.25">
      <c r="A37" s="175" t="s">
        <v>652</v>
      </c>
      <c r="B37" s="184">
        <v>31655</v>
      </c>
      <c r="C37" s="186" t="s">
        <v>1027</v>
      </c>
      <c r="D37" s="186" t="s">
        <v>1028</v>
      </c>
      <c r="E37" s="186" t="s">
        <v>1029</v>
      </c>
      <c r="F37" s="186" t="s">
        <v>1030</v>
      </c>
      <c r="H37" s="173" t="str">
        <f t="shared" si="1"/>
        <v>Marek Dzierža (31655)</v>
      </c>
    </row>
    <row r="38" spans="1:8" x14ac:dyDescent="0.25">
      <c r="A38" s="175" t="s">
        <v>658</v>
      </c>
      <c r="B38" s="184">
        <v>37944</v>
      </c>
      <c r="C38" s="186" t="s">
        <v>1031</v>
      </c>
      <c r="D38" s="186" t="s">
        <v>1032</v>
      </c>
      <c r="E38" s="186" t="s">
        <v>1033</v>
      </c>
      <c r="H38" s="173" t="str">
        <f t="shared" si="1"/>
        <v>Albert Kouba (37944)</v>
      </c>
    </row>
    <row r="39" spans="1:8" x14ac:dyDescent="0.25">
      <c r="A39" s="175" t="s">
        <v>654</v>
      </c>
      <c r="B39" s="184">
        <v>33030</v>
      </c>
      <c r="C39" s="186" t="s">
        <v>1034</v>
      </c>
      <c r="D39" s="186" t="s">
        <v>1035</v>
      </c>
      <c r="E39" s="186" t="s">
        <v>1036</v>
      </c>
      <c r="H39" s="173" t="str">
        <f t="shared" si="1"/>
        <v>Jakub Karel (33030)</v>
      </c>
    </row>
    <row r="40" spans="1:8" x14ac:dyDescent="0.25">
      <c r="A40" s="175" t="s">
        <v>650</v>
      </c>
      <c r="B40" s="184">
        <v>37951</v>
      </c>
      <c r="C40" s="186" t="s">
        <v>1037</v>
      </c>
      <c r="D40" s="186" t="s">
        <v>1038</v>
      </c>
      <c r="E40" s="186" t="s">
        <v>1039</v>
      </c>
      <c r="F40" s="186" t="s">
        <v>1040</v>
      </c>
      <c r="H40" s="173" t="str">
        <f t="shared" si="1"/>
        <v>Ondřej Kopič (37951)</v>
      </c>
    </row>
    <row r="41" spans="1:8" x14ac:dyDescent="0.25">
      <c r="A41" s="175" t="s">
        <v>419</v>
      </c>
      <c r="B41" s="184">
        <v>34592</v>
      </c>
      <c r="C41" s="186" t="s">
        <v>1041</v>
      </c>
      <c r="D41" s="186" t="s">
        <v>1042</v>
      </c>
      <c r="E41" s="186" t="s">
        <v>1043</v>
      </c>
      <c r="F41" s="186" t="s">
        <v>1044</v>
      </c>
      <c r="H41" s="173" t="str">
        <f t="shared" si="1"/>
        <v>Petr Novotný (34592)</v>
      </c>
    </row>
    <row r="42" spans="1:8" x14ac:dyDescent="0.25">
      <c r="A42" s="175" t="s">
        <v>662</v>
      </c>
      <c r="B42" s="184">
        <v>33522</v>
      </c>
      <c r="C42" s="186" t="s">
        <v>1045</v>
      </c>
      <c r="D42" s="186" t="s">
        <v>1046</v>
      </c>
      <c r="E42" s="186" t="s">
        <v>1047</v>
      </c>
      <c r="F42" s="186" t="s">
        <v>1048</v>
      </c>
      <c r="H42" s="173" t="str">
        <f t="shared" si="1"/>
        <v>Jakub Jirsa (33522)</v>
      </c>
    </row>
    <row r="43" spans="1:8" x14ac:dyDescent="0.25">
      <c r="A43" s="175" t="s">
        <v>649</v>
      </c>
      <c r="B43" s="184">
        <v>33970</v>
      </c>
      <c r="C43" s="186" t="s">
        <v>1049</v>
      </c>
      <c r="D43" s="186" t="s">
        <v>1050</v>
      </c>
      <c r="E43" s="186" t="s">
        <v>1051</v>
      </c>
      <c r="H43" s="173" t="str">
        <f t="shared" si="1"/>
        <v>Radek Krajcigr (33970)</v>
      </c>
    </row>
    <row r="44" spans="1:8" x14ac:dyDescent="0.25">
      <c r="A44" s="175" t="s">
        <v>651</v>
      </c>
      <c r="B44" s="184">
        <v>32150</v>
      </c>
      <c r="C44" s="186" t="s">
        <v>1052</v>
      </c>
      <c r="D44" s="186" t="s">
        <v>1053</v>
      </c>
      <c r="E44" s="186" t="s">
        <v>1054</v>
      </c>
      <c r="F44" s="186" t="s">
        <v>999</v>
      </c>
      <c r="H44" s="173" t="str">
        <f t="shared" si="1"/>
        <v>Jaromír Ekl (32150)</v>
      </c>
    </row>
    <row r="45" spans="1:8" x14ac:dyDescent="0.25">
      <c r="A45" s="175" t="s">
        <v>686</v>
      </c>
      <c r="B45" s="184">
        <v>31211</v>
      </c>
      <c r="C45" s="186" t="s">
        <v>1055</v>
      </c>
      <c r="D45" s="186" t="s">
        <v>1056</v>
      </c>
      <c r="E45" s="186" t="s">
        <v>1057</v>
      </c>
      <c r="H45" s="173" t="str">
        <f t="shared" si="1"/>
        <v>David Derka (31211)</v>
      </c>
    </row>
    <row r="46" spans="1:8" x14ac:dyDescent="0.25">
      <c r="A46" s="175" t="s">
        <v>556</v>
      </c>
      <c r="B46" s="184">
        <v>33195</v>
      </c>
      <c r="C46" s="186" t="s">
        <v>1127</v>
      </c>
      <c r="D46" s="186" t="s">
        <v>1128</v>
      </c>
      <c r="E46" s="186" t="s">
        <v>1129</v>
      </c>
      <c r="H46" s="173" t="str">
        <f t="shared" si="1"/>
        <v>Vojtěch Zezulka (33195)</v>
      </c>
    </row>
    <row r="47" spans="1:8" x14ac:dyDescent="0.25">
      <c r="A47" s="175" t="s">
        <v>561</v>
      </c>
      <c r="B47" s="184">
        <v>33767</v>
      </c>
      <c r="C47" s="186" t="s">
        <v>1130</v>
      </c>
      <c r="D47" s="186" t="s">
        <v>1131</v>
      </c>
      <c r="H47" s="173" t="str">
        <f t="shared" si="1"/>
        <v>Pavel Čihák (33767)</v>
      </c>
    </row>
    <row r="48" spans="1:8" x14ac:dyDescent="0.25">
      <c r="A48" s="175" t="s">
        <v>560</v>
      </c>
      <c r="B48" s="184">
        <v>34316</v>
      </c>
      <c r="C48" s="186" t="s">
        <v>1132</v>
      </c>
      <c r="H48" s="173" t="str">
        <f t="shared" si="1"/>
        <v>Marek Ďopan (34316)</v>
      </c>
    </row>
    <row r="49" spans="1:8" x14ac:dyDescent="0.25">
      <c r="A49" s="175" t="s">
        <v>563</v>
      </c>
      <c r="B49" s="184">
        <v>38057</v>
      </c>
      <c r="C49" s="186" t="s">
        <v>1133</v>
      </c>
      <c r="H49" s="173" t="str">
        <f t="shared" si="1"/>
        <v>Vojtěch Bílek (38057)</v>
      </c>
    </row>
    <row r="50" spans="1:8" x14ac:dyDescent="0.25">
      <c r="A50" s="175" t="s">
        <v>554</v>
      </c>
      <c r="B50" s="184">
        <v>37455</v>
      </c>
      <c r="C50" s="186" t="s">
        <v>1134</v>
      </c>
      <c r="D50" s="186" t="s">
        <v>1135</v>
      </c>
      <c r="E50" s="186" t="s">
        <v>1136</v>
      </c>
      <c r="H50" s="173" t="str">
        <f t="shared" si="1"/>
        <v>Matúš Gajdoš (37455)</v>
      </c>
    </row>
    <row r="51" spans="1:8" x14ac:dyDescent="0.25">
      <c r="A51" s="175" t="s">
        <v>565</v>
      </c>
      <c r="B51" s="184">
        <v>36370</v>
      </c>
      <c r="C51" s="186" t="s">
        <v>1137</v>
      </c>
      <c r="H51" s="173" t="str">
        <f t="shared" si="1"/>
        <v>Jan Dobisík (36370)</v>
      </c>
    </row>
    <row r="52" spans="1:8" x14ac:dyDescent="0.25">
      <c r="A52" s="175" t="s">
        <v>549</v>
      </c>
      <c r="B52" s="184">
        <v>36990</v>
      </c>
      <c r="C52" s="186" t="s">
        <v>1138</v>
      </c>
      <c r="D52" s="186" t="s">
        <v>1139</v>
      </c>
      <c r="H52" s="173" t="str">
        <f t="shared" si="1"/>
        <v>Jakub Buršík (36990)</v>
      </c>
    </row>
    <row r="53" spans="1:8" x14ac:dyDescent="0.25">
      <c r="A53" s="175" t="s">
        <v>553</v>
      </c>
      <c r="B53" s="184">
        <v>33400</v>
      </c>
      <c r="C53" s="186" t="s">
        <v>1140</v>
      </c>
      <c r="D53" s="186" t="s">
        <v>1141</v>
      </c>
      <c r="H53" s="173" t="str">
        <f t="shared" si="1"/>
        <v>Adam Růžek (33400)</v>
      </c>
    </row>
    <row r="54" spans="1:8" x14ac:dyDescent="0.25">
      <c r="A54" s="175" t="s">
        <v>548</v>
      </c>
      <c r="B54" s="184">
        <v>37353</v>
      </c>
      <c r="C54" s="186" t="s">
        <v>1142</v>
      </c>
      <c r="H54" s="173" t="str">
        <f t="shared" si="1"/>
        <v>Karel Petrák (37353)</v>
      </c>
    </row>
    <row r="55" spans="1:8" x14ac:dyDescent="0.25">
      <c r="A55" s="175" t="s">
        <v>581</v>
      </c>
      <c r="B55" s="184">
        <v>29350</v>
      </c>
      <c r="C55" s="186" t="s">
        <v>1143</v>
      </c>
      <c r="D55" s="186" t="s">
        <v>1144</v>
      </c>
      <c r="H55" s="173" t="str">
        <f t="shared" si="1"/>
        <v>Michal Jedlička (29350)</v>
      </c>
    </row>
    <row r="56" spans="1:8" x14ac:dyDescent="0.25">
      <c r="H56" s="173" t="str">
        <f t="shared" si="1"/>
        <v/>
      </c>
    </row>
    <row r="57" spans="1:8" x14ac:dyDescent="0.25">
      <c r="H57" s="173" t="str">
        <f t="shared" si="1"/>
        <v/>
      </c>
    </row>
    <row r="58" spans="1:8" x14ac:dyDescent="0.25">
      <c r="H58" s="173" t="str">
        <f t="shared" si="1"/>
        <v/>
      </c>
    </row>
    <row r="59" spans="1:8" x14ac:dyDescent="0.25">
      <c r="H59" s="173" t="str">
        <f t="shared" si="1"/>
        <v/>
      </c>
    </row>
    <row r="60" spans="1:8" x14ac:dyDescent="0.25">
      <c r="H60" s="173" t="str">
        <f t="shared" si="1"/>
        <v/>
      </c>
    </row>
    <row r="61" spans="1:8" x14ac:dyDescent="0.25">
      <c r="H61" s="173" t="str">
        <f t="shared" si="1"/>
        <v/>
      </c>
    </row>
    <row r="62" spans="1:8" x14ac:dyDescent="0.25">
      <c r="H62" s="173" t="str">
        <f t="shared" si="1"/>
        <v/>
      </c>
    </row>
    <row r="63" spans="1:8" x14ac:dyDescent="0.25">
      <c r="H63" s="173" t="str">
        <f t="shared" si="1"/>
        <v/>
      </c>
    </row>
    <row r="64" spans="1:8" x14ac:dyDescent="0.25">
      <c r="H64" s="173" t="str">
        <f t="shared" si="1"/>
        <v/>
      </c>
    </row>
    <row r="65" spans="8:8" x14ac:dyDescent="0.25">
      <c r="H65" s="173" t="str">
        <f t="shared" si="1"/>
        <v/>
      </c>
    </row>
    <row r="66" spans="8:8" x14ac:dyDescent="0.25">
      <c r="H66" s="173" t="str">
        <f t="shared" ref="H66:H97" si="2">IF(A66&lt;&gt;"",CONCATENATE(A66," (",B66,")"),"")</f>
        <v/>
      </c>
    </row>
    <row r="67" spans="8:8" x14ac:dyDescent="0.25">
      <c r="H67" s="173" t="str">
        <f t="shared" si="2"/>
        <v/>
      </c>
    </row>
    <row r="68" spans="8:8" x14ac:dyDescent="0.25">
      <c r="H68" s="173" t="str">
        <f t="shared" si="2"/>
        <v/>
      </c>
    </row>
    <row r="69" spans="8:8" x14ac:dyDescent="0.25">
      <c r="H69" s="173" t="str">
        <f t="shared" si="2"/>
        <v/>
      </c>
    </row>
    <row r="70" spans="8:8" x14ac:dyDescent="0.25">
      <c r="H70" s="173" t="str">
        <f t="shared" si="2"/>
        <v/>
      </c>
    </row>
    <row r="71" spans="8:8" x14ac:dyDescent="0.25">
      <c r="H71" s="173" t="str">
        <f t="shared" si="2"/>
        <v/>
      </c>
    </row>
    <row r="72" spans="8:8" x14ac:dyDescent="0.25">
      <c r="H72" s="173" t="str">
        <f t="shared" si="2"/>
        <v/>
      </c>
    </row>
    <row r="73" spans="8:8" x14ac:dyDescent="0.25">
      <c r="H73" s="173" t="str">
        <f t="shared" si="2"/>
        <v/>
      </c>
    </row>
    <row r="74" spans="8:8" x14ac:dyDescent="0.25">
      <c r="H74" s="173" t="str">
        <f t="shared" si="2"/>
        <v/>
      </c>
    </row>
    <row r="75" spans="8:8" x14ac:dyDescent="0.25">
      <c r="H75" s="173" t="str">
        <f t="shared" si="2"/>
        <v/>
      </c>
    </row>
    <row r="76" spans="8:8" x14ac:dyDescent="0.25">
      <c r="H76" s="173" t="str">
        <f t="shared" si="2"/>
        <v/>
      </c>
    </row>
    <row r="77" spans="8:8" x14ac:dyDescent="0.25">
      <c r="H77" s="173" t="str">
        <f t="shared" si="2"/>
        <v/>
      </c>
    </row>
    <row r="78" spans="8:8" x14ac:dyDescent="0.25">
      <c r="H78" s="173" t="str">
        <f t="shared" si="2"/>
        <v/>
      </c>
    </row>
    <row r="79" spans="8:8" x14ac:dyDescent="0.25">
      <c r="H79" s="173" t="str">
        <f t="shared" si="2"/>
        <v/>
      </c>
    </row>
    <row r="80" spans="8:8" x14ac:dyDescent="0.25">
      <c r="H80" s="173" t="str">
        <f t="shared" si="2"/>
        <v/>
      </c>
    </row>
    <row r="81" spans="8:8" x14ac:dyDescent="0.25">
      <c r="H81" s="173" t="str">
        <f t="shared" si="2"/>
        <v/>
      </c>
    </row>
    <row r="82" spans="8:8" x14ac:dyDescent="0.25">
      <c r="H82" s="173" t="str">
        <f t="shared" si="2"/>
        <v/>
      </c>
    </row>
    <row r="83" spans="8:8" x14ac:dyDescent="0.25">
      <c r="H83" s="173" t="str">
        <f t="shared" si="2"/>
        <v/>
      </c>
    </row>
    <row r="84" spans="8:8" x14ac:dyDescent="0.25">
      <c r="H84" s="173" t="str">
        <f t="shared" si="2"/>
        <v/>
      </c>
    </row>
    <row r="85" spans="8:8" x14ac:dyDescent="0.25">
      <c r="H85" s="173" t="str">
        <f t="shared" si="2"/>
        <v/>
      </c>
    </row>
    <row r="86" spans="8:8" x14ac:dyDescent="0.25">
      <c r="H86" s="173" t="str">
        <f t="shared" si="2"/>
        <v/>
      </c>
    </row>
    <row r="87" spans="8:8" x14ac:dyDescent="0.25">
      <c r="H87" s="173" t="str">
        <f t="shared" si="2"/>
        <v/>
      </c>
    </row>
    <row r="88" spans="8:8" x14ac:dyDescent="0.25">
      <c r="H88" s="173" t="str">
        <f t="shared" si="2"/>
        <v/>
      </c>
    </row>
    <row r="89" spans="8:8" x14ac:dyDescent="0.25">
      <c r="H89" s="173" t="str">
        <f t="shared" si="2"/>
        <v/>
      </c>
    </row>
    <row r="90" spans="8:8" x14ac:dyDescent="0.25">
      <c r="H90" s="173" t="str">
        <f t="shared" si="2"/>
        <v/>
      </c>
    </row>
    <row r="91" spans="8:8" x14ac:dyDescent="0.25">
      <c r="H91" s="173" t="str">
        <f t="shared" si="2"/>
        <v/>
      </c>
    </row>
    <row r="92" spans="8:8" x14ac:dyDescent="0.25">
      <c r="H92" s="173" t="str">
        <f t="shared" si="2"/>
        <v/>
      </c>
    </row>
    <row r="93" spans="8:8" x14ac:dyDescent="0.25">
      <c r="H93" s="173" t="str">
        <f t="shared" si="2"/>
        <v/>
      </c>
    </row>
    <row r="94" spans="8:8" x14ac:dyDescent="0.25">
      <c r="H94" s="173" t="str">
        <f t="shared" si="2"/>
        <v/>
      </c>
    </row>
    <row r="95" spans="8:8" x14ac:dyDescent="0.25">
      <c r="H95" s="173" t="str">
        <f t="shared" si="2"/>
        <v/>
      </c>
    </row>
    <row r="96" spans="8:8" x14ac:dyDescent="0.25">
      <c r="H96" s="173" t="str">
        <f t="shared" si="2"/>
        <v/>
      </c>
    </row>
    <row r="97" spans="8:8" x14ac:dyDescent="0.25">
      <c r="H97" s="173" t="str">
        <f t="shared" si="2"/>
        <v/>
      </c>
    </row>
    <row r="98" spans="8:8" x14ac:dyDescent="0.25">
      <c r="H98" s="173" t="str">
        <f t="shared" ref="H98:H129" si="3">IF(A98&lt;&gt;"",CONCATENATE(A98," (",B98,")"),"")</f>
        <v/>
      </c>
    </row>
    <row r="99" spans="8:8" x14ac:dyDescent="0.25">
      <c r="H99" s="173" t="str">
        <f t="shared" si="3"/>
        <v/>
      </c>
    </row>
    <row r="100" spans="8:8" x14ac:dyDescent="0.25">
      <c r="H100" s="173" t="str">
        <f t="shared" si="3"/>
        <v/>
      </c>
    </row>
    <row r="101" spans="8:8" x14ac:dyDescent="0.25">
      <c r="H101" s="173" t="str">
        <f t="shared" si="3"/>
        <v/>
      </c>
    </row>
    <row r="102" spans="8:8" x14ac:dyDescent="0.25">
      <c r="H102" s="173" t="str">
        <f t="shared" si="3"/>
        <v/>
      </c>
    </row>
    <row r="103" spans="8:8" x14ac:dyDescent="0.25">
      <c r="H103" s="173" t="str">
        <f t="shared" si="3"/>
        <v/>
      </c>
    </row>
    <row r="104" spans="8:8" x14ac:dyDescent="0.25">
      <c r="H104" s="173" t="str">
        <f t="shared" si="3"/>
        <v/>
      </c>
    </row>
    <row r="105" spans="8:8" x14ac:dyDescent="0.25">
      <c r="H105" s="173" t="str">
        <f t="shared" si="3"/>
        <v/>
      </c>
    </row>
    <row r="106" spans="8:8" x14ac:dyDescent="0.25">
      <c r="H106" s="173" t="str">
        <f t="shared" si="3"/>
        <v/>
      </c>
    </row>
    <row r="107" spans="8:8" x14ac:dyDescent="0.25">
      <c r="H107" s="173" t="str">
        <f t="shared" si="3"/>
        <v/>
      </c>
    </row>
    <row r="108" spans="8:8" x14ac:dyDescent="0.25">
      <c r="H108" s="173" t="str">
        <f t="shared" si="3"/>
        <v/>
      </c>
    </row>
    <row r="109" spans="8:8" x14ac:dyDescent="0.25">
      <c r="H109" s="173" t="str">
        <f t="shared" si="3"/>
        <v/>
      </c>
    </row>
    <row r="110" spans="8:8" x14ac:dyDescent="0.25">
      <c r="H110" s="173" t="str">
        <f t="shared" si="3"/>
        <v/>
      </c>
    </row>
    <row r="111" spans="8:8" x14ac:dyDescent="0.25">
      <c r="H111" s="173" t="str">
        <f t="shared" si="3"/>
        <v/>
      </c>
    </row>
    <row r="112" spans="8:8" x14ac:dyDescent="0.25">
      <c r="H112" s="173" t="str">
        <f t="shared" si="3"/>
        <v/>
      </c>
    </row>
    <row r="113" spans="8:8" x14ac:dyDescent="0.25">
      <c r="H113" s="173" t="str">
        <f t="shared" si="3"/>
        <v/>
      </c>
    </row>
    <row r="114" spans="8:8" x14ac:dyDescent="0.25">
      <c r="H114" s="173" t="str">
        <f t="shared" si="3"/>
        <v/>
      </c>
    </row>
    <row r="115" spans="8:8" x14ac:dyDescent="0.25">
      <c r="H115" s="173" t="str">
        <f t="shared" si="3"/>
        <v/>
      </c>
    </row>
    <row r="116" spans="8:8" x14ac:dyDescent="0.25">
      <c r="H116" s="173" t="str">
        <f t="shared" si="3"/>
        <v/>
      </c>
    </row>
    <row r="117" spans="8:8" x14ac:dyDescent="0.25">
      <c r="H117" s="173" t="str">
        <f t="shared" si="3"/>
        <v/>
      </c>
    </row>
    <row r="118" spans="8:8" x14ac:dyDescent="0.25">
      <c r="H118" s="173" t="str">
        <f t="shared" si="3"/>
        <v/>
      </c>
    </row>
    <row r="119" spans="8:8" x14ac:dyDescent="0.25">
      <c r="H119" s="173" t="str">
        <f t="shared" si="3"/>
        <v/>
      </c>
    </row>
    <row r="120" spans="8:8" x14ac:dyDescent="0.25">
      <c r="H120" s="173" t="str">
        <f t="shared" si="3"/>
        <v/>
      </c>
    </row>
    <row r="121" spans="8:8" x14ac:dyDescent="0.25">
      <c r="H121" s="173" t="str">
        <f t="shared" si="3"/>
        <v/>
      </c>
    </row>
    <row r="122" spans="8:8" x14ac:dyDescent="0.25">
      <c r="H122" s="173" t="str">
        <f t="shared" si="3"/>
        <v/>
      </c>
    </row>
    <row r="123" spans="8:8" x14ac:dyDescent="0.25">
      <c r="H123" s="173" t="str">
        <f t="shared" si="3"/>
        <v/>
      </c>
    </row>
    <row r="124" spans="8:8" x14ac:dyDescent="0.25">
      <c r="H124" s="173" t="str">
        <f t="shared" si="3"/>
        <v/>
      </c>
    </row>
    <row r="125" spans="8:8" x14ac:dyDescent="0.25">
      <c r="H125" s="173" t="str">
        <f t="shared" si="3"/>
        <v/>
      </c>
    </row>
    <row r="126" spans="8:8" x14ac:dyDescent="0.25">
      <c r="H126" s="173" t="str">
        <f t="shared" si="3"/>
        <v/>
      </c>
    </row>
    <row r="127" spans="8:8" x14ac:dyDescent="0.25">
      <c r="H127" s="173" t="str">
        <f t="shared" si="3"/>
        <v/>
      </c>
    </row>
    <row r="128" spans="8:8" x14ac:dyDescent="0.25">
      <c r="H128" s="173" t="str">
        <f t="shared" si="3"/>
        <v/>
      </c>
    </row>
    <row r="129" spans="8:8" x14ac:dyDescent="0.25">
      <c r="H129" s="173" t="str">
        <f t="shared" si="3"/>
        <v/>
      </c>
    </row>
    <row r="130" spans="8:8" x14ac:dyDescent="0.25">
      <c r="H130" s="173" t="str">
        <f t="shared" ref="H130:H139" si="4">IF(A130&lt;&gt;"",CONCATENATE(A130," (",B130,")"),"")</f>
        <v/>
      </c>
    </row>
    <row r="131" spans="8:8" x14ac:dyDescent="0.25">
      <c r="H131" s="173" t="str">
        <f t="shared" si="4"/>
        <v/>
      </c>
    </row>
    <row r="132" spans="8:8" x14ac:dyDescent="0.25">
      <c r="H132" s="173" t="str">
        <f t="shared" si="4"/>
        <v/>
      </c>
    </row>
    <row r="133" spans="8:8" x14ac:dyDescent="0.25">
      <c r="H133" s="173" t="str">
        <f t="shared" si="4"/>
        <v/>
      </c>
    </row>
    <row r="134" spans="8:8" x14ac:dyDescent="0.25">
      <c r="H134" s="173" t="str">
        <f t="shared" si="4"/>
        <v/>
      </c>
    </row>
    <row r="135" spans="8:8" x14ac:dyDescent="0.25">
      <c r="H135" s="173" t="str">
        <f t="shared" si="4"/>
        <v/>
      </c>
    </row>
    <row r="136" spans="8:8" x14ac:dyDescent="0.25">
      <c r="H136" s="173" t="str">
        <f t="shared" si="4"/>
        <v/>
      </c>
    </row>
    <row r="137" spans="8:8" x14ac:dyDescent="0.25">
      <c r="H137" s="173" t="str">
        <f t="shared" si="4"/>
        <v/>
      </c>
    </row>
    <row r="138" spans="8:8" x14ac:dyDescent="0.25">
      <c r="H138" s="173" t="str">
        <f t="shared" si="4"/>
        <v/>
      </c>
    </row>
    <row r="139" spans="8:8" x14ac:dyDescent="0.25">
      <c r="H139" s="173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6"/>
  <sheetViews>
    <sheetView view="pageLayout" zoomScaleNormal="100" workbookViewId="0">
      <selection activeCell="B17" sqref="B17"/>
    </sheetView>
  </sheetViews>
  <sheetFormatPr defaultRowHeight="16.5" x14ac:dyDescent="0.25"/>
  <cols>
    <col min="1" max="1" width="21.28515625" style="179" customWidth="1"/>
    <col min="2" max="6" width="21.28515625" style="188" customWidth="1"/>
    <col min="7" max="16384" width="9.140625" style="173"/>
  </cols>
  <sheetData>
    <row r="1" spans="1:6" ht="19.5" x14ac:dyDescent="0.25">
      <c r="A1" s="180" t="s">
        <v>90</v>
      </c>
      <c r="B1" s="370" t="s">
        <v>817</v>
      </c>
      <c r="C1" s="370"/>
      <c r="D1" s="370"/>
      <c r="E1" s="370"/>
      <c r="F1" s="370"/>
    </row>
    <row r="2" spans="1:6" ht="14.25" customHeight="1" x14ac:dyDescent="0.25">
      <c r="A2" s="371" t="s">
        <v>81</v>
      </c>
      <c r="B2" s="185" t="s">
        <v>1063</v>
      </c>
      <c r="C2" s="185" t="s">
        <v>1064</v>
      </c>
      <c r="D2" s="185" t="s">
        <v>982</v>
      </c>
      <c r="E2" s="185" t="s">
        <v>983</v>
      </c>
      <c r="F2" s="185" t="s">
        <v>1065</v>
      </c>
    </row>
    <row r="3" spans="1:6" ht="14.25" x14ac:dyDescent="0.25">
      <c r="A3" s="371"/>
      <c r="B3" s="185"/>
      <c r="C3" s="185"/>
      <c r="D3" s="185"/>
      <c r="E3" s="185"/>
      <c r="F3" s="185"/>
    </row>
    <row r="4" spans="1:6" ht="14.25" x14ac:dyDescent="0.25">
      <c r="A4" s="371"/>
      <c r="B4" s="185"/>
      <c r="C4" s="185"/>
      <c r="D4" s="185"/>
      <c r="E4" s="185"/>
      <c r="F4" s="185"/>
    </row>
    <row r="5" spans="1:6" ht="14.25" x14ac:dyDescent="0.25">
      <c r="A5" s="372" t="s">
        <v>80</v>
      </c>
    </row>
    <row r="6" spans="1:6" ht="14.25" x14ac:dyDescent="0.25">
      <c r="A6" s="372"/>
    </row>
    <row r="7" spans="1:6" ht="14.25" x14ac:dyDescent="0.25">
      <c r="A7" s="372"/>
    </row>
    <row r="8" spans="1:6" ht="14.25" x14ac:dyDescent="0.25">
      <c r="A8" s="372" t="s">
        <v>77</v>
      </c>
      <c r="B8" s="188" t="s">
        <v>1058</v>
      </c>
      <c r="C8" s="188" t="s">
        <v>1059</v>
      </c>
      <c r="D8" s="188" t="s">
        <v>1060</v>
      </c>
      <c r="E8" s="188" t="s">
        <v>1061</v>
      </c>
      <c r="F8" s="188" t="s">
        <v>1062</v>
      </c>
    </row>
    <row r="9" spans="1:6" ht="14.25" x14ac:dyDescent="0.25">
      <c r="A9" s="372"/>
    </row>
    <row r="10" spans="1:6" ht="14.25" x14ac:dyDescent="0.25">
      <c r="A10" s="372"/>
    </row>
    <row r="11" spans="1:6" ht="16.5" customHeight="1" x14ac:dyDescent="0.25">
      <c r="A11" s="372" t="s">
        <v>72</v>
      </c>
      <c r="B11" s="188" t="s">
        <v>1145</v>
      </c>
      <c r="C11" s="188" t="s">
        <v>1146</v>
      </c>
      <c r="D11" s="188" t="s">
        <v>1147</v>
      </c>
      <c r="E11" s="188" t="s">
        <v>1148</v>
      </c>
    </row>
    <row r="12" spans="1:6" ht="16.5" customHeight="1" x14ac:dyDescent="0.25">
      <c r="A12" s="372"/>
      <c r="B12" s="188" t="s">
        <v>1149</v>
      </c>
      <c r="C12" s="188" t="s">
        <v>1150</v>
      </c>
      <c r="D12" s="188" t="s">
        <v>1151</v>
      </c>
      <c r="E12" s="188" t="s">
        <v>1152</v>
      </c>
    </row>
    <row r="13" spans="1:6" ht="16.5" customHeight="1" x14ac:dyDescent="0.25">
      <c r="A13" s="372"/>
      <c r="B13" s="188" t="s">
        <v>1153</v>
      </c>
      <c r="C13" s="188" t="s">
        <v>1154</v>
      </c>
      <c r="D13" s="188" t="s">
        <v>1155</v>
      </c>
    </row>
    <row r="14" spans="1:6" ht="16.5" customHeight="1" x14ac:dyDescent="0.25">
      <c r="A14" s="372" t="s">
        <v>69</v>
      </c>
    </row>
    <row r="15" spans="1:6" ht="16.5" customHeight="1" x14ac:dyDescent="0.25">
      <c r="A15" s="372"/>
    </row>
    <row r="16" spans="1:6" ht="16.5" customHeight="1" x14ac:dyDescent="0.25">
      <c r="A16" s="372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6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20" t="s">
        <v>1</v>
      </c>
      <c r="I1" s="420"/>
      <c r="J1" s="420"/>
      <c r="K1" s="420"/>
      <c r="M1" s="386" t="s">
        <v>117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79">
        <f ca="1">IFERROR(IF(VLOOKUP(A1,OFFSET($AG$2,,,COUNTIF($AG$2:$AG$50,"?*"),23),2,FALSE)&lt;&gt;0,YEAR(VLOOKUP(A1,OFFSET($AG$2,,,COUNTIF($AG$2:$AG$50,"?*"),23),2,FALSE)),""),"")</f>
        <v>1995</v>
      </c>
      <c r="C2" s="380"/>
      <c r="D2" s="5">
        <f ca="1">IFERROR(VLOOKUP(A1,OFFSET($AG$2,,,COUNTIF($AG$2:$AG$50,"?*"),23),15,FALSE),"")</f>
        <v>26</v>
      </c>
      <c r="E2" s="381" t="str">
        <f ca="1">IFERROR(VLOOKUP(A1,OFFSET($AG$2,,,COUNTIF($AG$2:$AG$50,"?*"),23),16,FALSE),"")</f>
        <v>183/76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2000</v>
      </c>
      <c r="O2" s="380"/>
      <c r="P2" s="6">
        <f ca="1">IFERROR(VLOOKUP(M1,OFFSET($AG$2,,,COUNTIF($AG$2:$AG$50,"?*"),23),15,FALSE),"")</f>
        <v>21</v>
      </c>
      <c r="Q2" s="381" t="str">
        <f ca="1">IFERROR(VLOOKUP(M1,OFFSET($AG$2,,,COUNTIF($AG$2:$AG$50,"?*"),23),16,FALSE),"")</f>
        <v>186/80</v>
      </c>
      <c r="R2" s="382"/>
      <c r="S2" s="110" t="s">
        <v>108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141</v>
      </c>
      <c r="AQ2" s="123">
        <v>181</v>
      </c>
      <c r="AR2" s="123">
        <v>78</v>
      </c>
      <c r="AS2" s="126" t="s">
        <v>142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183</v>
      </c>
      <c r="BQ2" s="132" t="s">
        <v>186</v>
      </c>
      <c r="BR2" s="127">
        <f ca="1">IF(BN2&lt;&gt;"",IF(BO2&lt;&gt;"",INT((TODAY()-BO2)/365),"?"),"")</f>
        <v>38</v>
      </c>
      <c r="BS2" s="374" t="s">
        <v>36</v>
      </c>
      <c r="BT2" s="104" t="s">
        <v>190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373" t="s">
        <v>200</v>
      </c>
      <c r="BY2" s="103" t="s">
        <v>874</v>
      </c>
      <c r="BZ2" s="103" t="s">
        <v>872</v>
      </c>
      <c r="CA2" s="115" t="s">
        <v>1156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14 (6+8), -13 ±</v>
      </c>
      <c r="B3" s="416"/>
      <c r="C3" s="416"/>
      <c r="D3" s="417" t="str">
        <f ca="1">IFERROR(VLOOKUP(A1,OFFSET($AG$2,,,COUNTIF($AG$2:$AG$50,"?*"),23),19,FALSE),"")</f>
        <v>114 OZ, 54 (32+22)</v>
      </c>
      <c r="E3" s="417"/>
      <c r="F3" s="418"/>
      <c r="G3" s="386" t="s">
        <v>113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78</v>
      </c>
      <c r="M3" s="415" t="str">
        <f ca="1">IFERROR(VLOOKUP(M1,OFFSET($AG$2,,,COUNTIF($AG$2:$AG$50,"?*"),23),18,FALSE),"")</f>
        <v>11 OZ, 5 (5+0), -10 ±</v>
      </c>
      <c r="N3" s="416"/>
      <c r="O3" s="416"/>
      <c r="P3" s="417" t="str">
        <f ca="1">IFERROR(VLOOKUP(M1,OFFSET($AG$2,,,COUNTIF($AG$2:$AG$50,"?*"),23),19,FALSE),"")</f>
        <v>32 OZ, 18 (9+9)</v>
      </c>
      <c r="Q3" s="417"/>
      <c r="R3" s="418"/>
      <c r="S3" s="110" t="s">
        <v>6</v>
      </c>
      <c r="T3" s="102" t="s">
        <v>62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141</v>
      </c>
      <c r="AQ3" s="123">
        <v>184</v>
      </c>
      <c r="AR3" s="123">
        <v>81</v>
      </c>
      <c r="AS3" s="126" t="s">
        <v>143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183</v>
      </c>
      <c r="BQ3" s="132" t="s">
        <v>187</v>
      </c>
      <c r="BR3" s="127">
        <f t="shared" ref="BR3:BR11" ca="1" si="13">IF(BN3&lt;&gt;"",IF(BO3&lt;&gt;"",INT((TODAY()-BO3)/365),"?"),"")</f>
        <v>35</v>
      </c>
      <c r="BS3" s="374"/>
      <c r="BT3" s="104" t="s">
        <v>1162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373"/>
      <c r="BY3" s="103" t="s">
        <v>854</v>
      </c>
      <c r="BZ3" s="103" t="s">
        <v>855</v>
      </c>
      <c r="CA3" s="115" t="s">
        <v>1106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Chodov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2006</v>
      </c>
      <c r="E4" s="407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79">
        <f ca="1">IFERROR(IF(VLOOKUP(G3,OFFSET($AG$2,,,COUNTIF($AG$2:$AG$50,"?*"),23),2,FALSE)&lt;&gt;0,YEAR(VLOOKUP(G3,OFFSET($AG$2,,,COUNTIF($AG$2:$AG$50,"?*"),23),2,FALSE)),""),"")</f>
        <v>2000</v>
      </c>
      <c r="I4" s="380"/>
      <c r="J4" s="5">
        <f ca="1">IFERROR(VLOOKUP(G3,OFFSET($AG$2,,,COUNTIF($AG$2:$AG$50,"?*"),23),15,FALSE),"")</f>
        <v>21</v>
      </c>
      <c r="K4" s="381" t="str">
        <f ca="1">IFERROR(VLOOKUP(G3,OFFSET($AG$2,,,COUNTIF($AG$2:$AG$50,"?*"),23),16,FALSE),"")</f>
        <v>191/86</v>
      </c>
      <c r="L4" s="382"/>
      <c r="M4" s="403" t="str">
        <f ca="1">IFERROR(IF(VLOOKUP(M1,OFFSET($AG$2,,,COUNTIF($AG$2:$AG$50,"?*"),23),13,FALSE)&lt;&gt;0,VLOOKUP(M1,OFFSET($AG$2,,,COUNTIF($AG$2:$AG$50,"?*"),23),13,FALSE),"?"),"")</f>
        <v>Slovan J. Hradec</v>
      </c>
      <c r="N4" s="404"/>
      <c r="O4" s="405"/>
      <c r="P4" s="406">
        <f ca="1">IFERROR(IF(VLOOKUP(M1,OFFSET($AG$2,,,COUNTIF($AG$2:$AG$50,"?*"),23),14,FALSE)&lt;&gt;0,VLOOKUP(M1,OFFSET($AG$2,,,COUNTIF($AG$2:$AG$50,"?*"),23),14,FALSE),"?"),"")</f>
        <v>2014</v>
      </c>
      <c r="Q4" s="407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141</v>
      </c>
      <c r="AQ4" s="123">
        <v>181</v>
      </c>
      <c r="AR4" s="123">
        <v>82</v>
      </c>
      <c r="AS4" s="126" t="s">
        <v>93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182</v>
      </c>
      <c r="BO4" s="122">
        <v>35465</v>
      </c>
      <c r="BP4" s="131" t="s">
        <v>185</v>
      </c>
      <c r="BQ4" s="132" t="s">
        <v>188</v>
      </c>
      <c r="BR4" s="127">
        <f t="shared" ca="1" si="13"/>
        <v>24</v>
      </c>
      <c r="BS4" s="374"/>
      <c r="BT4" s="104" t="s">
        <v>1163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373"/>
      <c r="BY4" s="103" t="s">
        <v>852</v>
      </c>
      <c r="BZ4" s="103" t="s">
        <v>853</v>
      </c>
      <c r="CA4" s="115" t="s">
        <v>867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8 OZ, 3 (1+2), -4 ±</v>
      </c>
      <c r="H5" s="416"/>
      <c r="I5" s="416"/>
      <c r="J5" s="417" t="str">
        <f ca="1">IFERROR(VLOOKUP(G3,OFFSET($AG$2,,,COUNTIF($AG$2:$AG$50,"?*"),23),19,FALSE),"")</f>
        <v>21 OZ, 4 (1+3)</v>
      </c>
      <c r="K5" s="417"/>
      <c r="L5" s="418"/>
      <c r="R5" s="13"/>
      <c r="S5" s="110" t="s">
        <v>112</v>
      </c>
      <c r="T5" s="102" t="s">
        <v>111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184</v>
      </c>
      <c r="BQ5" s="132" t="s">
        <v>189</v>
      </c>
      <c r="BR5" s="127">
        <f t="shared" ca="1" si="13"/>
        <v>31</v>
      </c>
      <c r="BS5" s="374"/>
      <c r="BT5" s="104" t="s">
        <v>1072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373"/>
      <c r="BY5" s="103" t="s">
        <v>1157</v>
      </c>
      <c r="BZ5" s="103" t="s">
        <v>851</v>
      </c>
      <c r="CA5" s="115" t="s">
        <v>782</v>
      </c>
    </row>
    <row r="6" spans="1:79" ht="15" customHeight="1" thickTop="1" thickBot="1" x14ac:dyDescent="0.25">
      <c r="A6" s="386" t="s">
        <v>10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03" t="str">
        <f ca="1">IFERROR(IF(VLOOKUP(G3,OFFSET($AG$2,,,COUNTIF($AG$2:$AG$50,"?*"),23),13,FALSE)&lt;&gt;0,VLOOKUP(G3,OFFSET($AG$2,,,COUNTIF($AG$2:$AG$50,"?*"),23),13,FALSE),"?"),"")</f>
        <v>SKV</v>
      </c>
      <c r="H6" s="404"/>
      <c r="I6" s="405"/>
      <c r="J6" s="406">
        <f ca="1">IFERROR(IF(VLOOKUP(G3,OFFSET($AG$2,,,COUNTIF($AG$2:$AG$50,"?*"),23),14,FALSE)&lt;&gt;0,VLOOKUP(G3,OFFSET($AG$2,,,COUNTIF($AG$2:$AG$50,"?*"),23),14,FALSE),"?"),"")</f>
        <v>2014</v>
      </c>
      <c r="K6" s="407"/>
      <c r="L6" s="7">
        <f ca="1">IFERROR(IF(VLOOKUP(G3,OFFSET($AG$2,,,COUNTIF($AG$2:$AG$50,"?*"),23),7,FALSE)&lt;&gt;0,VLOOKUP(G3,OFFSET($AG$2,,,COUNTIF($AG$2:$AG$50,"?*"),23),7,FALSE),"?"),"")</f>
        <v>3</v>
      </c>
      <c r="M6" s="386" t="s">
        <v>4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141</v>
      </c>
      <c r="AQ6" s="123">
        <v>181</v>
      </c>
      <c r="AR6" s="123">
        <v>80</v>
      </c>
      <c r="AS6" s="126" t="s">
        <v>145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768</v>
      </c>
      <c r="BO6" s="122">
        <v>32155</v>
      </c>
      <c r="BP6" s="131" t="s">
        <v>426</v>
      </c>
      <c r="BQ6" s="132" t="s">
        <v>189</v>
      </c>
      <c r="BR6" s="127">
        <f t="shared" ca="1" si="13"/>
        <v>33</v>
      </c>
      <c r="BS6" s="374"/>
      <c r="BT6" s="104" t="s">
        <v>1164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373"/>
      <c r="BY6" s="103" t="s">
        <v>771</v>
      </c>
      <c r="BZ6" s="103" t="s">
        <v>850</v>
      </c>
      <c r="CA6" s="115" t="s">
        <v>1066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79">
        <f ca="1">IFERROR(IF(VLOOKUP(A6,OFFSET($AG$2,,,COUNTIF($AG$2:$AG$50,"?*"),23),2,FALSE)&lt;&gt;0,YEAR(VLOOKUP(A6,OFFSET($AG$2,,,COUNTIF($AG$2:$AG$50,"?*"),23),2,FALSE)),""),"")</f>
        <v>1993</v>
      </c>
      <c r="C7" s="380"/>
      <c r="D7" s="5">
        <f ca="1">IFERROR(VLOOKUP(A6,OFFSET($AG$2,,,COUNTIF($AG$2:$AG$50,"?*"),23),15,FALSE),"")</f>
        <v>28</v>
      </c>
      <c r="E7" s="381" t="str">
        <f ca="1">IFERROR(VLOOKUP(A6,OFFSET($AG$2,,,COUNTIF($AG$2:$AG$50,"?*"),23),16,FALSE),"")</f>
        <v>169/65</v>
      </c>
      <c r="F7" s="382"/>
      <c r="M7" s="4" t="str">
        <f ca="1">IFERROR(IF(VLOOKUP(M6,OFFSET($AG$2,,,COUNTIF($AG$2:$AG$50,"?*"),23),10,FALSE)&lt;&gt;0,VLOOKUP(M6,OFFSET($AG$2,,,COUNTIF($AG$2:$AG$50,"?*"),23),10,FALSE),""),"")</f>
        <v>L</v>
      </c>
      <c r="N7" s="379">
        <f ca="1">IFERROR(IF(VLOOKUP(M6,OFFSET($AG$2,,,COUNTIF($AG$2:$AG$50,"?*"),23),2,FALSE)&lt;&gt;0,YEAR(VLOOKUP(M6,OFFSET($AG$2,,,COUNTIF($AG$2:$AG$50,"?*"),23),2,FALSE)),""),"")</f>
        <v>1999</v>
      </c>
      <c r="O7" s="380"/>
      <c r="P7" s="6">
        <f ca="1">IFERROR(VLOOKUP(M6,OFFSET($AG$2,,,COUNTIF($AG$2:$AG$50,"?*"),23),15,FALSE),"")</f>
        <v>22</v>
      </c>
      <c r="Q7" s="381" t="str">
        <f ca="1">IFERROR(VLOOKUP(M6,OFFSET($AG$2,,,COUNTIF($AG$2:$AG$50,"?*"),23),16,FALSE),"")</f>
        <v>181/82</v>
      </c>
      <c r="R7" s="382"/>
      <c r="S7" s="110" t="s">
        <v>10</v>
      </c>
      <c r="T7" s="102" t="s">
        <v>62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141</v>
      </c>
      <c r="AQ7" s="123">
        <v>180</v>
      </c>
      <c r="AR7" s="123">
        <v>78</v>
      </c>
      <c r="AS7" s="126" t="s">
        <v>146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4" t="s">
        <v>40</v>
      </c>
      <c r="BT7" s="104" t="s">
        <v>772</v>
      </c>
      <c r="BU7" s="103" t="s">
        <v>1165</v>
      </c>
      <c r="BV7" s="104" t="str">
        <f t="shared" si="14"/>
        <v>Karel Šantora</v>
      </c>
      <c r="BW7" s="112">
        <f t="shared" si="15"/>
        <v>6.43</v>
      </c>
      <c r="BX7" s="373" t="s">
        <v>201</v>
      </c>
      <c r="BY7" s="103" t="s">
        <v>985</v>
      </c>
      <c r="BZ7" s="103" t="s">
        <v>884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>10 OZ, 6 (1+5), -3 ±</v>
      </c>
      <c r="B8" s="416"/>
      <c r="C8" s="416"/>
      <c r="D8" s="417" t="str">
        <f ca="1">IFERROR(VLOOKUP(A6,OFFSET($AG$2,,,COUNTIF($AG$2:$AG$50,"?*"),23),19,FALSE),"")</f>
        <v>119 OZ, 62 (33+29)</v>
      </c>
      <c r="E8" s="417"/>
      <c r="F8" s="418"/>
      <c r="H8" s="419" t="s">
        <v>5</v>
      </c>
      <c r="I8" s="419"/>
      <c r="J8" s="419"/>
      <c r="K8" s="419"/>
      <c r="M8" s="415" t="str">
        <f ca="1">IFERROR(VLOOKUP(M6,OFFSET($AG$2,,,COUNTIF($AG$2:$AG$50,"?*"),23),18,FALSE),"")</f>
        <v>11 OZ, 3 (1+2), -9 ±</v>
      </c>
      <c r="N8" s="416"/>
      <c r="O8" s="416"/>
      <c r="P8" s="417" t="str">
        <f ca="1">IFERROR(VLOOKUP(M6,OFFSET($AG$2,,,COUNTIF($AG$2:$AG$50,"?*"),23),19,FALSE),"")</f>
        <v>35 OZ, 4 (1+3)</v>
      </c>
      <c r="Q8" s="417"/>
      <c r="R8" s="418"/>
      <c r="S8" s="110" t="s">
        <v>117</v>
      </c>
      <c r="T8" s="102" t="s">
        <v>111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141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4"/>
      <c r="BT8" s="104" t="s">
        <v>773</v>
      </c>
      <c r="BU8" s="103" t="s">
        <v>1166</v>
      </c>
      <c r="BV8" s="104" t="str">
        <f t="shared" si="14"/>
        <v>Petr Musil</v>
      </c>
      <c r="BW8" s="112">
        <f t="shared" si="15"/>
        <v>8.11</v>
      </c>
      <c r="BX8" s="373"/>
      <c r="BY8" s="103" t="s">
        <v>1068</v>
      </c>
      <c r="BZ8" s="103" t="s">
        <v>883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Lhokamo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2004</v>
      </c>
      <c r="E9" s="407"/>
      <c r="F9" s="7">
        <f ca="1">IFERROR(IF(VLOOKUP(A6,OFFSET($AG$2,,,COUNTIF($AG$2:$AG$50,"?*"),23),7,FALSE)&lt;&gt;0,VLOOKUP(A6,OFFSET($AG$2,,,COUNTIF($AG$2:$AG$50,"?*"),23),7,FALSE),"?"),"")</f>
        <v>7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Bohemians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2009</v>
      </c>
      <c r="Q9" s="407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111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141</v>
      </c>
      <c r="AQ9" s="123">
        <v>180</v>
      </c>
      <c r="AR9" s="123">
        <v>78</v>
      </c>
      <c r="AS9" s="126" t="s">
        <v>148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4"/>
      <c r="BV9" s="104" t="str">
        <f t="shared" si="14"/>
        <v/>
      </c>
      <c r="BW9" s="112" t="str">
        <f t="shared" si="15"/>
        <v/>
      </c>
      <c r="BX9" s="373"/>
      <c r="BY9" s="103" t="s">
        <v>1158</v>
      </c>
      <c r="BZ9" s="103" t="s">
        <v>881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113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68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4"/>
      <c r="BV10" s="104" t="str">
        <f t="shared" si="14"/>
        <v/>
      </c>
      <c r="BW10" s="112" t="str">
        <f t="shared" si="15"/>
        <v/>
      </c>
      <c r="BX10" s="373"/>
      <c r="BY10" s="103" t="s">
        <v>1159</v>
      </c>
      <c r="BZ10" s="103" t="s">
        <v>870</v>
      </c>
      <c r="CA10" s="115" t="s">
        <v>196</v>
      </c>
    </row>
    <row r="11" spans="1:79" ht="15" customHeight="1" thickTop="1" thickBot="1" x14ac:dyDescent="0.25">
      <c r="R11" s="13"/>
      <c r="S11" s="110" t="s">
        <v>4</v>
      </c>
      <c r="T11" s="102" t="s">
        <v>62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141</v>
      </c>
      <c r="AQ11" s="123">
        <v>169</v>
      </c>
      <c r="AR11" s="123">
        <v>70</v>
      </c>
      <c r="AS11" s="126" t="s">
        <v>767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4"/>
      <c r="BV11" s="104" t="str">
        <f t="shared" si="14"/>
        <v/>
      </c>
      <c r="BW11" s="112" t="str">
        <f t="shared" si="15"/>
        <v/>
      </c>
      <c r="BX11" s="373"/>
      <c r="BY11" s="103" t="s">
        <v>1160</v>
      </c>
      <c r="BZ11" s="103" t="s">
        <v>900</v>
      </c>
      <c r="CA11" s="115" t="s">
        <v>196</v>
      </c>
    </row>
    <row r="12" spans="1:79" ht="15" customHeight="1" thickTop="1" thickBot="1" x14ac:dyDescent="0.25">
      <c r="A12" s="386" t="s">
        <v>108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20" t="s">
        <v>7</v>
      </c>
      <c r="I12" s="420"/>
      <c r="J12" s="420"/>
      <c r="K12" s="420"/>
      <c r="M12" s="386" t="s">
        <v>0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152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4" t="s">
        <v>37</v>
      </c>
      <c r="BT12" s="104" t="s">
        <v>190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199</v>
      </c>
      <c r="BY12" s="100" t="s">
        <v>1161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79">
        <f ca="1">IFERROR(IF(VLOOKUP(A12,OFFSET($AG$2,,,COUNTIF($AG$2:$AG$50,"?*"),23),2,FALSE)&lt;&gt;0,YEAR(VLOOKUP(A12,OFFSET($AG$2,,,COUNTIF($AG$2:$AG$50,"?*"),23),2,FALSE)),""),"")</f>
        <v>1995</v>
      </c>
      <c r="C13" s="380"/>
      <c r="D13" s="5">
        <f ca="1">IFERROR(VLOOKUP(A12,OFFSET($AG$2,,,COUNTIF($AG$2:$AG$50,"?*"),23),15,FALSE),"")</f>
        <v>26</v>
      </c>
      <c r="E13" s="381" t="str">
        <f ca="1">IFERROR(VLOOKUP(A12,OFFSET($AG$2,,,COUNTIF($AG$2:$AG$50,"?*"),23),16,FALSE),"")</f>
        <v>191/78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2003</v>
      </c>
      <c r="O13" s="380"/>
      <c r="P13" s="6">
        <f ca="1">IFERROR(VLOOKUP(M12,OFFSET($AG$2,,,COUNTIF($AG$2:$AG$50,"?*"),23),15,FALSE),"")</f>
        <v>18</v>
      </c>
      <c r="Q13" s="381" t="str">
        <f ca="1">IFERROR(VLOOKUP(M12,OFFSET($AG$2,,,COUNTIF($AG$2:$AG$50,"?*"),23),16,FALSE),"")</f>
        <v>185/71</v>
      </c>
      <c r="R13" s="382"/>
      <c r="S13" s="110" t="s">
        <v>8</v>
      </c>
      <c r="T13" s="102" t="s">
        <v>111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141</v>
      </c>
      <c r="AQ13" s="123">
        <v>185</v>
      </c>
      <c r="AR13" s="123">
        <v>71</v>
      </c>
      <c r="AS13" s="126" t="s">
        <v>149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4"/>
      <c r="BT13" s="104" t="s">
        <v>1167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15" t="str">
        <f ca="1">IFERROR(VLOOKUP(A12,OFFSET($AG$2,,,COUNTIF($AG$2:$AG$50,"?*"),23),18,FALSE),"")</f>
        <v>10 OZ, 22 (12+10), -8 ±</v>
      </c>
      <c r="B14" s="416"/>
      <c r="C14" s="416"/>
      <c r="D14" s="417" t="str">
        <f ca="1">IFERROR(VLOOKUP(A12,OFFSET($AG$2,,,COUNTIF($AG$2:$AG$50,"?*"),23),19,FALSE),"")</f>
        <v>113 OZ, 146 (96+50)</v>
      </c>
      <c r="E14" s="417"/>
      <c r="F14" s="418"/>
      <c r="G14" s="386" t="s">
        <v>112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84</v>
      </c>
      <c r="M14" s="415" t="str">
        <f ca="1">IFERROR(VLOOKUP(M12,OFFSET($AG$2,,,COUNTIF($AG$2:$AG$50,"?*"),23),18,FALSE),"")</f>
        <v>11 OZ, 12 (8+4), -14 ±</v>
      </c>
      <c r="N14" s="416"/>
      <c r="O14" s="416"/>
      <c r="P14" s="417" t="str">
        <f ca="1">IFERROR(VLOOKUP(M12,OFFSET($AG$2,,,COUNTIF($AG$2:$AG$50,"?*"),23),19,FALSE),"")</f>
        <v>31 OZ, 17 (12+5)</v>
      </c>
      <c r="Q14" s="417"/>
      <c r="R14" s="418"/>
      <c r="S14" s="110" t="s">
        <v>110</v>
      </c>
      <c r="T14" s="102" t="s">
        <v>111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141</v>
      </c>
      <c r="AQ14" s="123">
        <v>191</v>
      </c>
      <c r="AR14" s="123">
        <v>78</v>
      </c>
      <c r="AS14" s="126" t="s">
        <v>258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4"/>
      <c r="BT14" s="104" t="s">
        <v>1069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Florbal Ústí</v>
      </c>
      <c r="B15" s="404"/>
      <c r="C15" s="405"/>
      <c r="D15" s="406">
        <f ca="1">IFERROR(IF(VLOOKUP(A12,OFFSET($AG$2,,,COUNTIF($AG$2:$AG$50,"?*"),23),14,FALSE)&lt;&gt;0,VLOOKUP(A12,OFFSET($AG$2,,,COUNTIF($AG$2:$AG$50,"?*"),23),14,FALSE),"?"),"")</f>
        <v>2008</v>
      </c>
      <c r="E15" s="407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P</v>
      </c>
      <c r="H15" s="379">
        <f ca="1">IFERROR(IF(VLOOKUP(G14,OFFSET($AG$2,,,COUNTIF($AG$2:$AG$50,"?*"),23),2,FALSE)&lt;&gt;0,YEAR(VLOOKUP(G14,OFFSET($AG$2,,,COUNTIF($AG$2:$AG$50,"?*"),23),2,FALSE)),""),"")</f>
        <v>2000</v>
      </c>
      <c r="I15" s="380"/>
      <c r="J15" s="5">
        <f ca="1">IFERROR(VLOOKUP(G14,OFFSET($AG$2,,,COUNTIF($AG$2:$AG$50,"?*"),23),15,FALSE),"")</f>
        <v>21</v>
      </c>
      <c r="K15" s="381" t="str">
        <f ca="1">IFERROR(VLOOKUP(G14,OFFSET($AG$2,,,COUNTIF($AG$2:$AG$50,"?*"),23),16,FALSE),"")</f>
        <v>180/72</v>
      </c>
      <c r="L15" s="382"/>
      <c r="M15" s="403" t="str">
        <f ca="1">IFERROR(IF(VLOOKUP(M12,OFFSET($AG$2,,,COUNTIF($AG$2:$AG$50,"?*"),23),13,FALSE)&lt;&gt;0,VLOOKUP(M12,OFFSET($AG$2,,,COUNTIF($AG$2:$AG$50,"?*"),23),13,FALSE),"?"),"")</f>
        <v>SK Florbal Benešov</v>
      </c>
      <c r="N15" s="404"/>
      <c r="O15" s="405"/>
      <c r="P15" s="406">
        <f ca="1">IFERROR(IF(VLOOKUP(M12,OFFSET($AG$2,,,COUNTIF($AG$2:$AG$50,"?*"),23),14,FALSE)&lt;&gt;0,VLOOKUP(M12,OFFSET($AG$2,,,COUNTIF($AG$2:$AG$50,"?*"),23),14,FALSE),"?"),"")</f>
        <v>2009</v>
      </c>
      <c r="Q15" s="40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150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141</v>
      </c>
      <c r="AQ15" s="123">
        <v>173</v>
      </c>
      <c r="AR15" s="123">
        <v>70</v>
      </c>
      <c r="AS15" s="126" t="s">
        <v>151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4"/>
      <c r="BT15" s="104" t="s">
        <v>1071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11 OZ, 12 (6+6), -13 ±</v>
      </c>
      <c r="H16" s="416"/>
      <c r="I16" s="416"/>
      <c r="J16" s="417" t="str">
        <f ca="1">IFERROR(VLOOKUP(G14,OFFSET($AG$2,,,COUNTIF($AG$2:$AG$50,"?*"),23),19,FALSE),"")</f>
        <v>23 OZ, 13 (6+7)</v>
      </c>
      <c r="K16" s="417"/>
      <c r="L16" s="418"/>
      <c r="R16" s="13"/>
      <c r="S16" s="110" t="s">
        <v>115</v>
      </c>
      <c r="T16" s="102" t="s">
        <v>62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152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158</v>
      </c>
      <c r="AP16" s="125" t="s">
        <v>27</v>
      </c>
      <c r="AQ16" s="123">
        <v>187</v>
      </c>
      <c r="AR16" s="123">
        <v>92</v>
      </c>
      <c r="AS16" s="126" t="s">
        <v>153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8 OZ, 2 (2+0), -5 ±</v>
      </c>
      <c r="AY16" s="129" t="str">
        <f t="shared" ca="1" si="2"/>
        <v>104 OZ, 20 (12+8)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4"/>
      <c r="BT16" s="104" t="s">
        <v>1070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386" t="s">
        <v>152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>C</v>
      </c>
      <c r="F17" s="2">
        <f ca="1">IFERROR(IF(VLOOKUP(A17,OFFSET($AG$2,,,COUNTIF($AG$2:$AG$50,"?*"),23),8,FALSE)&lt;&gt;0,VLOOKUP(A17,OFFSET($AG$2,,,COUNTIF($AG$2:$AG$50,"?*"),23),8,FALSE),""),"")</f>
        <v>19</v>
      </c>
      <c r="G17" s="403" t="str">
        <f ca="1">IFERROR(IF(VLOOKUP(G14,OFFSET($AG$2,,,COUNTIF($AG$2:$AG$50,"?*"),23),13,FALSE)&lt;&gt;0,VLOOKUP(G14,OFFSET($AG$2,,,COUNTIF($AG$2:$AG$50,"?*"),23),13,FALSE),"?"),"")</f>
        <v>Vosy Praha</v>
      </c>
      <c r="H17" s="404"/>
      <c r="I17" s="405"/>
      <c r="J17" s="406">
        <f ca="1">IFERROR(IF(VLOOKUP(G14,OFFSET($AG$2,,,COUNTIF($AG$2:$AG$50,"?*"),23),14,FALSE)&lt;&gt;0,VLOOKUP(G14,OFFSET($AG$2,,,COUNTIF($AG$2:$AG$50,"?*"),23),14,FALSE),"?"),"")</f>
        <v>2010</v>
      </c>
      <c r="K17" s="407"/>
      <c r="L17" s="7">
        <f ca="1">IFERROR(IF(VLOOKUP(G14,OFFSET($AG$2,,,COUNTIF($AG$2:$AG$50,"?*"),23),7,FALSE)&lt;&gt;0,VLOOKUP(G14,OFFSET($AG$2,,,COUNTIF($AG$2:$AG$50,"?*"),23),7,FALSE),"?"),"")</f>
        <v>4</v>
      </c>
      <c r="M17" s="386" t="s">
        <v>14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3</v>
      </c>
      <c r="T17" s="102" t="s">
        <v>62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154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155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4" t="s">
        <v>41</v>
      </c>
      <c r="BT17" s="104" t="s">
        <v>772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79">
        <f ca="1">IFERROR(IF(VLOOKUP(A17,OFFSET($AG$2,,,COUNTIF($AG$2:$AG$50,"?*"),23),2,FALSE)&lt;&gt;0,YEAR(VLOOKUP(A17,OFFSET($AG$2,,,COUNTIF($AG$2:$AG$50,"?*"),23),2,FALSE)),""),"")</f>
        <v>1988</v>
      </c>
      <c r="C18" s="380"/>
      <c r="D18" s="150">
        <f ca="1">IFERROR(VLOOKUP(A17,OFFSET($AG$2,,,COUNTIF($AG$2:$AG$50,"?*"),23),15,FALSE),"")</f>
        <v>33</v>
      </c>
      <c r="E18" s="381" t="str">
        <f ca="1">IFERROR(VLOOKUP(A17,OFFSET($AG$2,,,COUNTIF($AG$2:$AG$50,"?*"),23),16,FALSE),"")</f>
        <v>187/92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1991</v>
      </c>
      <c r="O18" s="380"/>
      <c r="P18" s="6">
        <f ca="1">IFERROR(VLOOKUP(M17,OFFSET($AG$2,,,COUNTIF($AG$2:$AG$50,"?*"),23),15,FALSE),"")</f>
        <v>30</v>
      </c>
      <c r="Q18" s="381" t="str">
        <f ca="1">IFERROR(VLOOKUP(M17,OFFSET($AG$2,,,COUNTIF($AG$2:$AG$50,"?*"),23),16,FALSE),"")</f>
        <v>180/78</v>
      </c>
      <c r="R18" s="382"/>
      <c r="S18" s="110" t="s">
        <v>118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19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4"/>
      <c r="BT18" s="104" t="s">
        <v>773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15" t="str">
        <f ca="1">IFERROR(VLOOKUP(A17,OFFSET($AG$2,,,COUNTIF($AG$2:$AG$50,"?*"),23),18,FALSE),"")</f>
        <v>8 OZ, 2 (2+0), -5 ±</v>
      </c>
      <c r="B19" s="416"/>
      <c r="C19" s="416"/>
      <c r="D19" s="417" t="str">
        <f ca="1">IFERROR(VLOOKUP(A17,OFFSET($AG$2,,,COUNTIF($AG$2:$AG$50,"?*"),23),19,FALSE),"")</f>
        <v>104 OZ, 20 (12+8)</v>
      </c>
      <c r="E19" s="417"/>
      <c r="F19" s="418"/>
      <c r="H19" s="419" t="str">
        <f>H$8</f>
        <v>SKV</v>
      </c>
      <c r="I19" s="419"/>
      <c r="J19" s="419"/>
      <c r="K19" s="419"/>
      <c r="M19" s="415" t="str">
        <f ca="1">IFERROR(VLOOKUP(M17,OFFSET($AG$2,,,COUNTIF($AG$2:$AG$50,"?*"),23),18,FALSE),"")</f>
        <v>9 OZ, 4 (1+3), -8 ±</v>
      </c>
      <c r="N19" s="416"/>
      <c r="O19" s="416"/>
      <c r="P19" s="417" t="str">
        <f ca="1">IFERROR(VLOOKUP(M17,OFFSET($AG$2,,,COUNTIF($AG$2:$AG$50,"?*"),23),19,FALSE),"")</f>
        <v>91 OZ, 71 (46+25)</v>
      </c>
      <c r="Q19" s="417"/>
      <c r="R19" s="418"/>
      <c r="S19" s="110" t="s">
        <v>147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113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141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8 OZ, 3 (1+2), -4 ±</v>
      </c>
      <c r="AY19" s="129" t="str">
        <f t="shared" ca="1" si="2"/>
        <v>21 OZ, 4 (1+3)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4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SC Sportcentrum</v>
      </c>
      <c r="B20" s="404"/>
      <c r="C20" s="405"/>
      <c r="D20" s="406">
        <f ca="1">IFERROR(IF(VLOOKUP(A17,OFFSET($AG$2,,,COUNTIF($AG$2:$AG$50,"?*"),23),14,FALSE)&lt;&gt;0,VLOOKUP(A17,OFFSET($AG$2,,,COUNTIF($AG$2:$AG$50,"?*"),23),14,FALSE),"?"),"")</f>
        <v>2000</v>
      </c>
      <c r="E20" s="407"/>
      <c r="F20" s="7">
        <f ca="1">IFERROR(IF(VLOOKUP(A17,OFFSET($AG$2,,,COUNTIF($AG$2:$AG$50,"?*"),23),7,FALSE)&lt;&gt;0,VLOOKUP(A17,OFFSET($AG$2,,,COUNTIF($AG$2:$AG$50,"?*"),23),7,FALSE),"?"),"")</f>
        <v>7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FBK Kunovští Orli</v>
      </c>
      <c r="N20" s="404"/>
      <c r="O20" s="405"/>
      <c r="P20" s="406">
        <f ca="1">IFERROR(IF(VLOOKUP(M17,OFFSET($AG$2,,,COUNTIF($AG$2:$AG$50,"?*"),23),14,FALSE)&lt;&gt;0,VLOOKUP(M17,OFFSET($AG$2,,,COUNTIF($AG$2:$AG$50,"?*"),23),14,FALSE),"?"),"")</f>
        <v>2008</v>
      </c>
      <c r="Q20" s="407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2</v>
      </c>
      <c r="T20" s="102" t="s">
        <v>111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114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259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1 V, 6 P</v>
      </c>
      <c r="AY20" s="129" t="str">
        <f t="shared" ca="1" si="2"/>
        <v>44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4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161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141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9 OZ, 0 (0+0), -2 ±</v>
      </c>
      <c r="AY21" s="129" t="str">
        <f t="shared" ca="1" si="2"/>
        <v>27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4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116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412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11 OZ, 12 (6+6), -13 ±</v>
      </c>
      <c r="AY22" s="129" t="str">
        <f t="shared" ca="1" si="2"/>
        <v>23 OZ, 13 (6+7)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74" t="s">
        <v>38</v>
      </c>
      <c r="BT22" s="104" t="s">
        <v>190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386" t="s">
        <v>147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32</v>
      </c>
      <c r="H23" s="420" t="s">
        <v>13</v>
      </c>
      <c r="I23" s="420"/>
      <c r="J23" s="420"/>
      <c r="K23" s="420"/>
      <c r="M23" s="386" t="s">
        <v>110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37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141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11 OZ, 1 (1+0), -8 ±</v>
      </c>
      <c r="AY23" s="129" t="str">
        <f t="shared" ca="1" si="2"/>
        <v>34 OZ, 1 (1+0)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74"/>
      <c r="BT23" s="104" t="s">
        <v>1162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79">
        <f ca="1">IFERROR(IF(VLOOKUP(A23,OFFSET($AG$2,,,COUNTIF($AG$2:$AG$50,"?*"),23),2,FALSE)&lt;&gt;0,YEAR(VLOOKUP(A23,OFFSET($AG$2,,,COUNTIF($AG$2:$AG$50,"?*"),23),2,FALSE)),""),"")</f>
        <v>2000</v>
      </c>
      <c r="C24" s="380"/>
      <c r="D24" s="5">
        <f ca="1">IFERROR(VLOOKUP(A23,OFFSET($AG$2,,,COUNTIF($AG$2:$AG$50,"?*"),23),15,FALSE),"")</f>
        <v>21</v>
      </c>
      <c r="E24" s="381" t="str">
        <f ca="1">IFERROR(VLOOKUP(A23,OFFSET($AG$2,,,COUNTIF($AG$2:$AG$50,"?*"),23),16,FALSE),"")</f>
        <v>175/70</v>
      </c>
      <c r="F24" s="382"/>
      <c r="M24" s="4" t="str">
        <f ca="1">IFERROR(IF(VLOOKUP(M23,OFFSET($AG$2,,,COUNTIF($AG$2:$AG$50,"?*"),23),10,FALSE)&lt;&gt;0,VLOOKUP(M23,OFFSET($AG$2,,,COUNTIF($AG$2:$AG$50,"?*"),23),10,FALSE),""),"")</f>
        <v>P</v>
      </c>
      <c r="N24" s="379">
        <f ca="1">IFERROR(IF(VLOOKUP(M23,OFFSET($AG$2,,,COUNTIF($AG$2:$AG$50,"?*"),23),2,FALSE)&lt;&gt;0,YEAR(VLOOKUP(M23,OFFSET($AG$2,,,COUNTIF($AG$2:$AG$50,"?*"),23),2,FALSE)),""),"")</f>
        <v>2002</v>
      </c>
      <c r="O24" s="380"/>
      <c r="P24" s="6">
        <f ca="1">IFERROR(VLOOKUP(M23,OFFSET($AG$2,,,COUNTIF($AG$2:$AG$50,"?*"),23),15,FALSE),"")</f>
        <v>19</v>
      </c>
      <c r="Q24" s="381" t="str">
        <f ca="1">IFERROR(VLOOKUP(M23,OFFSET($AG$2,,,COUNTIF($AG$2:$AG$50,"?*"),23),16,FALSE),"")</f>
        <v>182/75</v>
      </c>
      <c r="R24" s="382"/>
      <c r="S24" s="110" t="s">
        <v>11</v>
      </c>
      <c r="T24" s="102" t="s">
        <v>62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117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141</v>
      </c>
      <c r="AQ24" s="123">
        <v>186</v>
      </c>
      <c r="AR24" s="123">
        <v>80</v>
      </c>
      <c r="AS24" s="126" t="s">
        <v>156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11 OZ, 5 (5+0), -10 ±</v>
      </c>
      <c r="AY24" s="129" t="str">
        <f t="shared" ca="1" si="2"/>
        <v>32 OZ, 18 (9+9)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74"/>
      <c r="BT24" s="104" t="s">
        <v>1069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15" t="str">
        <f ca="1">IFERROR(VLOOKUP(A23,OFFSET($AG$2,,,COUNTIF($AG$2:$AG$50,"?*"),23),18,FALSE),"")</f>
        <v>6 OZ, 1 (0+1), 0 ±</v>
      </c>
      <c r="B25" s="416"/>
      <c r="C25" s="416"/>
      <c r="D25" s="417" t="str">
        <f ca="1">IFERROR(VLOOKUP(A23,OFFSET($AG$2,,,COUNTIF($AG$2:$AG$50,"?*"),23),19,FALSE),"")</f>
        <v>60 OZ, 17 (2+15)</v>
      </c>
      <c r="E25" s="417"/>
      <c r="F25" s="418"/>
      <c r="G25" s="386" t="s">
        <v>17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15" t="str">
        <f ca="1">IFERROR(VLOOKUP(M23,OFFSET($AG$2,,,COUNTIF($AG$2:$AG$50,"?*"),23),18,FALSE),"")</f>
        <v>9 OZ, 1 (1+0), -8 ±</v>
      </c>
      <c r="N25" s="416"/>
      <c r="O25" s="416"/>
      <c r="P25" s="417" t="str">
        <f ca="1">IFERROR(VLOOKUP(M23,OFFSET($AG$2,,,COUNTIF($AG$2:$AG$50,"?*"),23),19,FALSE),"")</f>
        <v>26 OZ, 3 (2+1)</v>
      </c>
      <c r="Q25" s="417"/>
      <c r="R25" s="418"/>
      <c r="S25" s="110" t="s">
        <v>114</v>
      </c>
      <c r="T25" s="102" t="s">
        <v>109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159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10 OZ, 6 (1+5), -3 ±</v>
      </c>
      <c r="AY25" s="129" t="str">
        <f t="shared" ca="1" si="2"/>
        <v>119 OZ, 62 (33+29)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74"/>
      <c r="BT25" s="104" t="s">
        <v>842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SKV</v>
      </c>
      <c r="B26" s="404"/>
      <c r="C26" s="405"/>
      <c r="D26" s="406">
        <f ca="1">IFERROR(IF(VLOOKUP(A23,OFFSET($AG$2,,,COUNTIF($AG$2:$AG$50,"?*"),23),14,FALSE)&lt;&gt;0,VLOOKUP(A23,OFFSET($AG$2,,,COUNTIF($AG$2:$AG$50,"?*"),23),14,FALSE),"?"),"")</f>
        <v>2015</v>
      </c>
      <c r="E26" s="407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2002</v>
      </c>
      <c r="I26" s="380"/>
      <c r="J26" s="5">
        <f ca="1">IFERROR(VLOOKUP(G25,OFFSET($AG$2,,,COUNTIF($AG$2:$AG$50,"?*"),23),15,FALSE),"")</f>
        <v>19</v>
      </c>
      <c r="K26" s="381" t="str">
        <f ca="1">IFERROR(VLOOKUP(G25,OFFSET($AG$2,,,COUNTIF($AG$2:$AG$50,"?*"),23),16,FALSE),"")</f>
        <v>181/66</v>
      </c>
      <c r="L26" s="382"/>
      <c r="M26" s="403" t="str">
        <f ca="1">IFERROR(IF(VLOOKUP(M23,OFFSET($AG$2,,,COUNTIF($AG$2:$AG$50,"?*"),23),13,FALSE)&lt;&gt;0,VLOOKUP(M23,OFFSET($AG$2,,,COUNTIF($AG$2:$AG$50,"?*"),23),13,FALSE),"?"),"")</f>
        <v>FA Mladá Boleslav</v>
      </c>
      <c r="N26" s="404"/>
      <c r="O26" s="405"/>
      <c r="P26" s="406">
        <f ca="1">IFERROR(IF(VLOOKUP(M23,OFFSET($AG$2,,,COUNTIF($AG$2:$AG$50,"?*"),23),14,FALSE)&lt;&gt;0,VLOOKUP(M23,OFFSET($AG$2,,,COUNTIF($AG$2:$AG$50,"?*"),23),14,FALSE),"?"),"")</f>
        <v>2010</v>
      </c>
      <c r="Q26" s="407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15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141</v>
      </c>
      <c r="AQ26" s="123">
        <v>173</v>
      </c>
      <c r="AR26" s="123">
        <v>68</v>
      </c>
      <c r="AS26" s="126" t="s">
        <v>157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8 OZ, 6 (3+3), -8 ±</v>
      </c>
      <c r="AY26" s="129" t="str">
        <f t="shared" ca="1" si="2"/>
        <v>105 OZ, 92 (29+63)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74"/>
      <c r="BT26" s="104" t="s">
        <v>843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11 OZ, 1 (1+0), -8 ±</v>
      </c>
      <c r="H27" s="416"/>
      <c r="I27" s="416"/>
      <c r="J27" s="417" t="str">
        <f ca="1">IFERROR(VLOOKUP(G25,OFFSET($AG$2,,,COUNTIF($AG$2:$AG$50,"?*"),23),19,FALSE),"")</f>
        <v>34 OZ, 1 (1+0)</v>
      </c>
      <c r="K27" s="417"/>
      <c r="L27" s="418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144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2 V, 3 P</v>
      </c>
      <c r="AY27" s="129" t="str">
        <f t="shared" ca="1" si="2"/>
        <v>45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74" t="s">
        <v>39</v>
      </c>
      <c r="BT27" s="104" t="s">
        <v>1168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386" t="s">
        <v>11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11</v>
      </c>
      <c r="G28" s="403" t="str">
        <f ca="1">IFERROR(IF(VLOOKUP(G25,OFFSET($AG$2,,,COUNTIF($AG$2:$AG$50,"?*"),23),13,FALSE)&lt;&gt;0,VLOOKUP(G25,OFFSET($AG$2,,,COUNTIF($AG$2:$AG$50,"?*"),23),13,FALSE),"?"),"")</f>
        <v>SKV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2012</v>
      </c>
      <c r="K28" s="407"/>
      <c r="L28" s="7">
        <f ca="1">IFERROR(IF(VLOOKUP(G25,OFFSET($AG$2,,,COUNTIF($AG$2:$AG$50,"?*"),23),7,FALSE)&lt;&gt;0,VLOOKUP(G25,OFFSET($AG$2,,,COUNTIF($AG$2:$AG$50,"?*"),23),7,FALSE),"?"),"")</f>
        <v>2</v>
      </c>
      <c r="M28" s="386" t="s">
        <v>115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</v>
      </c>
      <c r="S28" s="111"/>
      <c r="AC28" s="102" t="str">
        <f t="shared" ca="1" si="16"/>
        <v/>
      </c>
      <c r="AG28" s="121" t="s">
        <v>160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74"/>
      <c r="BT28" s="104" t="s">
        <v>1162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79">
        <f ca="1">IFERROR(IF(VLOOKUP(A28,OFFSET($AG$2,,,COUNTIF($AG$2:$AG$50,"?*"),23),2,FALSE)&lt;&gt;0,YEAR(VLOOKUP(A28,OFFSET($AG$2,,,COUNTIF($AG$2:$AG$50,"?*"),23),2,FALSE)),""),"")</f>
        <v>2001</v>
      </c>
      <c r="C29" s="380"/>
      <c r="D29" s="5">
        <f ca="1">IFERROR(VLOOKUP(A28,OFFSET($AG$2,,,COUNTIF($AG$2:$AG$50,"?*"),23),15,FALSE),"")</f>
        <v>20</v>
      </c>
      <c r="E29" s="381" t="str">
        <f ca="1">IFERROR(VLOOKUP(A28,OFFSET($AG$2,,,COUNTIF($AG$2:$AG$50,"?*"),23),16,FALSE),"")</f>
        <v>181/80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1993</v>
      </c>
      <c r="O29" s="380"/>
      <c r="P29" s="6">
        <f ca="1">IFERROR(VLOOKUP(M28,OFFSET($AG$2,,,COUNTIF($AG$2:$AG$50,"?*"),23),15,FALSE),"")</f>
        <v>28</v>
      </c>
      <c r="Q29" s="381" t="str">
        <f ca="1">IFERROR(VLOOKUP(M28,OFFSET($AG$2,,,COUNTIF($AG$2:$AG$50,"?*"),23),16,FALSE),"")</f>
        <v>169/70</v>
      </c>
      <c r="R29" s="382"/>
      <c r="S29" s="111"/>
      <c r="AC29" s="102" t="str">
        <f t="shared" ca="1" si="16"/>
        <v/>
      </c>
      <c r="AG29" s="121" t="s">
        <v>161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141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3 OZ, 0 (0+0), -1 ±</v>
      </c>
      <c r="AY29" s="129" t="str">
        <f t="shared" ca="1" si="2"/>
        <v>5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74"/>
      <c r="BT29" s="104" t="s">
        <v>1169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15" t="str">
        <f ca="1">IFERROR(VLOOKUP(A28,OFFSET($AG$2,,,COUNTIF($AG$2:$AG$50,"?*"),23),18,FALSE),"")</f>
        <v>10 OZ, 0 (0+0), -11 ±</v>
      </c>
      <c r="B30" s="416"/>
      <c r="C30" s="416"/>
      <c r="D30" s="417" t="str">
        <f ca="1">IFERROR(VLOOKUP(A28,OFFSET($AG$2,,,COUNTIF($AG$2:$AG$50,"?*"),23),19,FALSE),"")</f>
        <v>68 OZ, 16 (9+7)</v>
      </c>
      <c r="E30" s="417"/>
      <c r="F30" s="418"/>
      <c r="H30" s="419" t="str">
        <f>H$8</f>
        <v>SKV</v>
      </c>
      <c r="I30" s="419"/>
      <c r="J30" s="419"/>
      <c r="K30" s="419"/>
      <c r="M30" s="415" t="str">
        <f ca="1">IFERROR(VLOOKUP(M28,OFFSET($AG$2,,,COUNTIF($AG$2:$AG$50,"?*"),23),18,FALSE),"")</f>
        <v>11 OZ, 1 (1+0), -10 ±</v>
      </c>
      <c r="N30" s="416"/>
      <c r="O30" s="416"/>
      <c r="P30" s="417" t="str">
        <f ca="1">IFERROR(VLOOKUP(M28,OFFSET($AG$2,,,COUNTIF($AG$2:$AG$50,"?*"),23),19,FALSE),"")</f>
        <v>213 OZ, 68 (37+31)</v>
      </c>
      <c r="Q30" s="417"/>
      <c r="R30" s="418"/>
      <c r="S30" s="111"/>
      <c r="AC30" s="102" t="str">
        <f t="shared" ca="1" si="16"/>
        <v/>
      </c>
      <c r="AG30" s="121" t="s">
        <v>110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229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9 OZ, 1 (1+0), -8 ±</v>
      </c>
      <c r="AY30" s="129" t="str">
        <f t="shared" ca="1" si="2"/>
        <v>26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74"/>
      <c r="BT30" s="104" t="s">
        <v>1170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Bulldogs Brno</v>
      </c>
      <c r="B31" s="404"/>
      <c r="C31" s="405"/>
      <c r="D31" s="406">
        <f ca="1">IFERROR(IF(VLOOKUP(A28,OFFSET($AG$2,,,COUNTIF($AG$2:$AG$50,"?*"),23),14,FALSE)&lt;&gt;0,VLOOKUP(A28,OFFSET($AG$2,,,COUNTIF($AG$2:$AG$50,"?*"),23),14,FALSE),"?"),"")</f>
        <v>2013</v>
      </c>
      <c r="E31" s="407"/>
      <c r="F31" s="7">
        <f ca="1">IFERROR(IF(VLOOKUP(A28,OFFSET($AG$2,,,COUNTIF($AG$2:$AG$50,"?*"),23),7,FALSE)&lt;&gt;0,VLOOKUP(A28,OFFSET($AG$2,,,COUNTIF($AG$2:$AG$50,"?*"),23),7,FALSE),"?"),"")</f>
        <v>4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SKF Draci 99 Liberec</v>
      </c>
      <c r="N31" s="404"/>
      <c r="O31" s="405"/>
      <c r="P31" s="406">
        <f ca="1">IFERROR(IF(VLOOKUP(M28,OFFSET($AG$2,,,COUNTIF($AG$2:$AG$50,"?*"),23),14,FALSE)&lt;&gt;0,VLOOKUP(M28,OFFSET($AG$2,,,COUNTIF($AG$2:$AG$50,"?*"),23),14,FALSE),"?"),"")</f>
        <v>1998</v>
      </c>
      <c r="Q31" s="407"/>
      <c r="R31" s="7">
        <f ca="1">IFERROR(IF(VLOOKUP(M28,OFFSET($AG$2,,,COUNTIF($AG$2:$AG$50,"?*"),23),7,FALSE)&lt;&gt;0,VLOOKUP(M28,OFFSET($AG$2,,,COUNTIF($AG$2:$AG$50,"?*"),23),7,FALSE),"?"),"")</f>
        <v>11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4"/>
      <c r="BT31" s="104" t="s">
        <v>1171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86" t="s">
        <v>114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14" t="s">
        <v>16</v>
      </c>
      <c r="J34" s="386" t="s">
        <v>19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79">
        <f ca="1">IFERROR(IF(VLOOKUP(A34,OFFSET($AG$2,,,COUNTIF($AG$2:$AG$50,"?*"),23),2,FALSE)&lt;&gt;0,YEAR(VLOOKUP(A34,OFFSET($AG$2,,,COUNTIF($AG$2:$AG$50,"?*"),23),2,FALSE)),""),"")</f>
        <v>1998</v>
      </c>
      <c r="C35" s="380"/>
      <c r="D35" s="5">
        <f ca="1">IFERROR(VLOOKUP(A34,OFFSET($AG$2,,,COUNTIF($AG$2:$AG$50,"?*"),23),15,FALSE),"")</f>
        <v>23</v>
      </c>
      <c r="E35" s="381" t="str">
        <f ca="1">IFERROR(VLOOKUP(A34,OFFSET($AG$2,,,COUNTIF($AG$2:$AG$50,"?*"),23),16,FALSE),"")</f>
        <v>175/69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>L</v>
      </c>
      <c r="K35" s="380">
        <f ca="1">IFERROR(IF(VLOOKUP(J34,OFFSET($AG$2,,,COUNTIF($AG$2:$AG$50,"?*"),23),2,FALSE)&lt;&gt;0,YEAR(VLOOKUP(J34,OFFSET($AG$2,,,COUNTIF($AG$2:$AG$50,"?*"),23),2,FALSE)),""),"")</f>
        <v>2002</v>
      </c>
      <c r="L35" s="388"/>
      <c r="M35" s="15">
        <f ca="1">IFERROR(VLOOKUP(J34,OFFSET($AG$2,,,COUNTIF($AG$2:$AG$50,"?*"),23),15,FALSE),"")</f>
        <v>19</v>
      </c>
      <c r="N35" s="388" t="str">
        <f ca="1">IFERROR(VLOOKUP(J34,OFFSET($AG$2,,,COUNTIF($AG$2:$AG$50,"?*"),23),16,FALSE),"")</f>
        <v>187/61</v>
      </c>
      <c r="O35" s="388"/>
      <c r="P35" s="388" t="str">
        <f ca="1">IFERROR(VLOOKUP(J34,OFFSET($AG$2,,,COUNTIF($AG$2:$AG$50,"?*"),23),18,FALSE),"")</f>
        <v>9 OZ, 0 (0+0), -2 ±</v>
      </c>
      <c r="Q35" s="388"/>
      <c r="R35" s="389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383" t="str">
        <f ca="1">IFERROR(VLOOKUP(A34,OFFSET($AG$2,,,COUNTIF($AG$2:$AG$50,"?*"),23),18,FALSE),"")</f>
        <v>1 V, 6 P</v>
      </c>
      <c r="C36" s="383"/>
      <c r="D36" s="384">
        <f ca="1">IFERROR(VLOOKUP(A34,OFFSET($S$45,,,COUNTIF($S$45:$S$50,"?*"),14),5,FALSE),"")</f>
        <v>51</v>
      </c>
      <c r="E36" s="385"/>
      <c r="F36" s="17">
        <f ca="1">IFERROR(VLOOKUP(A34,OFFSET($S$45,,,COUNTIF($S$45:$S$50,"?*"),14),14,FALSE),"")</f>
        <v>75.829383886255926</v>
      </c>
      <c r="H36" s="414"/>
      <c r="J36" s="18">
        <f ca="1">IFERROR(IF(VLOOKUP(J34,OFFSET($AG$2,,,COUNTIF($AG$2:$AG$50,"?*"),23),7,FALSE)&lt;&gt;0,VLOOKUP(J34,OFFSET($AG$2,,,COUNTIF($AG$2:$AG$50,"?*"),23),7,FALSE),"?"),"")</f>
        <v>2</v>
      </c>
      <c r="K36" s="390" t="str">
        <f ca="1">IFERROR(VLOOKUP(J34,OFFSET($AG$2,,,COUNTIF($AG$2:$AG$50,"?*"),23),19,FALSE),"")</f>
        <v>27 OZ, 3 (2+1)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SKV</v>
      </c>
      <c r="O36" s="391"/>
      <c r="P36" s="391"/>
      <c r="Q36" s="390">
        <f ca="1">IFERROR(IF(VLOOKUP(J34,OFFSET($AG$2,,,COUNTIF($AG$2:$AG$50,"?*"),23),14,FALSE)&lt;&gt;0,VLOOKUP(J34,OFFSET($AG$2,,,COUNTIF($AG$2:$AG$50,"?*"),23),14,FALSE),"?"),"")</f>
        <v>2013</v>
      </c>
      <c r="R36" s="39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377.11</v>
      </c>
      <c r="B37" s="409"/>
      <c r="C37" s="410">
        <f ca="1">IFERROR(VLOOKUP(A34,OFFSET($S$45,,,COUNTIF($S$45:$S$50,"?*"),14),13,FALSE),"")</f>
        <v>8.1143432950597969</v>
      </c>
      <c r="D37" s="411"/>
      <c r="E37" s="412" t="str">
        <f ca="1">IFERROR(VLOOKUP(A34,OFFSET($AG$2,,,COUNTIF($AG$2:$AG$50,"?*"),23),19,FALSE),"")</f>
        <v>44 OZ, 0 A</v>
      </c>
      <c r="F37" s="413"/>
      <c r="H37" s="414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FTC Vysoké Mýto</v>
      </c>
      <c r="B38" s="404"/>
      <c r="C38" s="405"/>
      <c r="D38" s="406">
        <f ca="1">IFERROR(IF(VLOOKUP(A34,OFFSET($AG$2,,,COUNTIF($AG$2:$AG$50,"?*"),23),14,FALSE)&lt;&gt;0,VLOOKUP(A34,OFFSET($AG$2,,,COUNTIF($AG$2:$AG$50,"?*"),23),14,FALSE),"?"),"")</f>
        <v>2012</v>
      </c>
      <c r="E38" s="407"/>
      <c r="F38" s="19">
        <f ca="1">IFERROR(VLOOKUP(A34,OFFSET($S$45,,,COUNTIF($S$45:$S$50,"?*"),14),6,FALSE),"")</f>
        <v>0</v>
      </c>
      <c r="H38" s="414"/>
      <c r="J38" s="386" t="s">
        <v>116</v>
      </c>
      <c r="K38" s="387"/>
      <c r="L38" s="387"/>
      <c r="M38" s="387"/>
      <c r="N38" s="387"/>
      <c r="O38" s="387"/>
      <c r="P38" s="38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>
        <f ca="1">IFERROR(IF(VLOOKUP(J38,OFFSET($AG$2,,,COUNTIF($AG$2:$AG$50,"?*"),23),2,FALSE)&lt;&gt;0,YEAR(VLOOKUP(J38,OFFSET($AG$2,,,COUNTIF($AG$2:$AG$50,"?*"),23),2,FALSE)),""),"")</f>
        <v>2002</v>
      </c>
      <c r="L39" s="388"/>
      <c r="M39" s="151">
        <f ca="1">IFERROR(VLOOKUP(J38,OFFSET($AG$2,,,COUNTIF($AG$2:$AG$50,"?*"),23),15,FALSE),"")</f>
        <v>19</v>
      </c>
      <c r="N39" s="388" t="str">
        <f ca="1">IFERROR(VLOOKUP(J38,OFFSET($AG$2,,,COUNTIF($AG$2:$AG$50,"?*"),23),16,FALSE),"")</f>
        <v>? / ?</v>
      </c>
      <c r="O39" s="388"/>
      <c r="P39" s="388" t="str">
        <f ca="1">IFERROR(VLOOKUP(J38,OFFSET($AG$2,,,COUNTIF($AG$2:$AG$50,"?*"),23),18,FALSE),"")</f>
        <v>8 OZ, 0 (0+0), -4 ±</v>
      </c>
      <c r="Q39" s="388"/>
      <c r="R39" s="389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86" t="s">
        <v>15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14"/>
      <c r="J40" s="18">
        <f ca="1">IFERROR(IF(VLOOKUP(J38,OFFSET($AG$2,,,COUNTIF($AG$2:$AG$50,"?*"),23),7,FALSE)&lt;&gt;0,VLOOKUP(J38,OFFSET($AG$2,,,COUNTIF($AG$2:$AG$50,"?*"),23),7,FALSE),"?"),"")</f>
        <v>1</v>
      </c>
      <c r="K40" s="390" t="str">
        <f ca="1">IFERROR(VLOOKUP(J38,OFFSET($AG$2,,,COUNTIF($AG$2:$AG$50,"?*"),23),19,FALSE),"")</f>
        <v>8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Tatran Střešovice</v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>?</v>
      </c>
      <c r="R40" s="39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79">
        <f ca="1">IFERROR(IF(VLOOKUP(A40,OFFSET($AG$2,,,COUNTIF($AG$2:$AG$50,"?*"),23),2,FALSE)&lt;&gt;0,YEAR(VLOOKUP(A40,OFFSET($AG$2,,,COUNTIF($AG$2:$AG$50,"?*"),23),2,FALSE)),""),"")</f>
        <v>1996</v>
      </c>
      <c r="C41" s="380"/>
      <c r="D41" s="5">
        <f ca="1">IFERROR(VLOOKUP(A40,OFFSET($AG$2,,,COUNTIF($AG$2:$AG$50,"?*"),23),15,FALSE),"")</f>
        <v>25</v>
      </c>
      <c r="E41" s="381" t="str">
        <f ca="1">IFERROR(VLOOKUP(A40,OFFSET($AG$2,,,COUNTIF($AG$2:$AG$50,"?*"),23),16,FALSE),"")</f>
        <v>187/88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383" t="str">
        <f ca="1">IFERROR(VLOOKUP(A40,OFFSET($AG$2,,,COUNTIF($AG$2:$AG$50,"?*"),23),18,FALSE),"")</f>
        <v>2 V, 3 P</v>
      </c>
      <c r="C42" s="383"/>
      <c r="D42" s="384">
        <f ca="1">IFERROR(VLOOKUP(A40,OFFSET($S$45,,,COUNTIF($S$45:$S$50,"?*"),14),5,FALSE),"")</f>
        <v>29</v>
      </c>
      <c r="E42" s="385"/>
      <c r="F42" s="17">
        <f ca="1">IFERROR(VLOOKUP(A40,OFFSET($S$45,,,COUNTIF($S$45:$S$50,"?*"),14),14,FALSE),"")</f>
        <v>68.817204301075279</v>
      </c>
      <c r="H42" s="414"/>
      <c r="J42" s="386" t="s">
        <v>8</v>
      </c>
      <c r="K42" s="387"/>
      <c r="L42" s="387"/>
      <c r="M42" s="387"/>
      <c r="N42" s="387"/>
      <c r="O42" s="387"/>
      <c r="P42" s="387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27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408">
        <f ca="1">IFERROR(VLOOKUP(A40,OFFSET($S$45,,,COUNTIF($S$45:$S$50,"?*"),14),3,FALSE),"")</f>
        <v>270.69</v>
      </c>
      <c r="B43" s="409"/>
      <c r="C43" s="410">
        <f ca="1">IFERROR(VLOOKUP(A40,OFFSET($S$45,,,COUNTIF($S$45:$S$50,"?*"),14),13,FALSE),"")</f>
        <v>6.4280172891499507</v>
      </c>
      <c r="D43" s="411"/>
      <c r="E43" s="412" t="str">
        <f ca="1">IFERROR(VLOOKUP(A40,OFFSET($AG$2,,,COUNTIF($AG$2:$AG$50,"?*"),23),19,FALSE),"")</f>
        <v>45 OZ, 2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>L</v>
      </c>
      <c r="K43" s="380">
        <f ca="1">IFERROR(IF(VLOOKUP(J42,OFFSET($AG$2,,,COUNTIF($AG$2:$AG$50,"?*"),23),2,FALSE)&lt;&gt;0,YEAR(VLOOKUP(J42,OFFSET($AG$2,,,COUNTIF($AG$2:$AG$50,"?*"),23),2,FALSE)),""),"")</f>
        <v>1993</v>
      </c>
      <c r="L43" s="388"/>
      <c r="M43" s="151">
        <f ca="1">IFERROR(VLOOKUP(J42,OFFSET($AG$2,,,COUNTIF($AG$2:$AG$50,"?*"),23),15,FALSE),"")</f>
        <v>28</v>
      </c>
      <c r="N43" s="388" t="str">
        <f ca="1">IFERROR(VLOOKUP(J42,OFFSET($AG$2,,,COUNTIF($AG$2:$AG$50,"?*"),23),16,FALSE),"")</f>
        <v>180/78</v>
      </c>
      <c r="O43" s="388"/>
      <c r="P43" s="388" t="str">
        <f ca="1">IFERROR(VLOOKUP(J42,OFFSET($AG$2,,,COUNTIF($AG$2:$AG$50,"?*"),23),18,FALSE),"")</f>
        <v>6 OZ, 2 (1+1), -1 ±</v>
      </c>
      <c r="Q43" s="388"/>
      <c r="R43" s="389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Chodov</v>
      </c>
      <c r="B44" s="404"/>
      <c r="C44" s="405"/>
      <c r="D44" s="406">
        <f ca="1">IFERROR(IF(VLOOKUP(A40,OFFSET($AG$2,,,COUNTIF($AG$2:$AG$50,"?*"),23),14,FALSE)&lt;&gt;0,VLOOKUP(A40,OFFSET($AG$2,,,COUNTIF($AG$2:$AG$50,"?*"),23),14,FALSE),"?"),"")</f>
        <v>2008</v>
      </c>
      <c r="E44" s="407"/>
      <c r="F44" s="19">
        <f ca="1">IFERROR(VLOOKUP(A40,OFFSET($S$45,,,COUNTIF($S$45:$S$50,"?*"),14),6,FALSE),"")</f>
        <v>0</v>
      </c>
      <c r="H44" s="414"/>
      <c r="J44" s="18">
        <f ca="1">IFERROR(IF(VLOOKUP(J42,OFFSET($AG$2,,,COUNTIF($AG$2:$AG$50,"?*"),23),7,FALSE)&lt;&gt;0,VLOOKUP(J42,OFFSET($AG$2,,,COUNTIF($AG$2:$AG$50,"?*"),23),7,FALSE),"?"),"")</f>
        <v>8</v>
      </c>
      <c r="K44" s="390" t="str">
        <f ca="1">IFERROR(VLOOKUP(J42,OFFSET($AG$2,,,COUNTIF($AG$2:$AG$50,"?*"),23),19,FALSE),"")</f>
        <v>167 OZ, 141 (93+48)</v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>ASP Hr. Králové</v>
      </c>
      <c r="O44" s="391"/>
      <c r="P44" s="391"/>
      <c r="Q44" s="390">
        <f ca="1">IFERROR(IF(VLOOKUP(J42,OFFSET($AG$2,,,COUNTIF($AG$2:$AG$50,"?*"),23),14,FALSE)&lt;&gt;0,VLOOKUP(J42,OFFSET($AG$2,,,COUNTIF($AG$2:$AG$50,"?*"),23),14,FALSE),"?"),"")</f>
        <v>2007</v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114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6">IF(S46&lt;&gt;"",IF(T46&gt;0,W46/(U46/60),0),"")</f>
        <v>6.4280172891499507</v>
      </c>
      <c r="AF46" s="112">
        <f t="shared" ref="AF46:AF50" si="37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75" t="s">
        <v>20</v>
      </c>
      <c r="B47" s="376"/>
      <c r="C47" s="376"/>
      <c r="D47" s="376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75" t="s">
        <v>21</v>
      </c>
      <c r="K47" s="376"/>
      <c r="L47" s="376"/>
      <c r="M47" s="376"/>
      <c r="N47" s="377" t="str">
        <f ca="1">IFERROR(VLOOKUP(J47,OFFSET($BN$2,,,COUNTIF($BN$2:$BN$11,"?*"),5),3,FALSE),"")</f>
        <v>trenér</v>
      </c>
      <c r="O47" s="377"/>
      <c r="P47" s="377"/>
      <c r="Q47" s="377"/>
      <c r="R47" s="378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93">
        <f ca="1">IFERROR(VLOOKUP(A47,OFFSET($BN$2,,,COUNTIF($BN$2:$BN$11,"?*"),5),5,FALSE),"")</f>
        <v>38</v>
      </c>
      <c r="B48" s="395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95"/>
      <c r="D48" s="395"/>
      <c r="E48" s="395"/>
      <c r="F48" s="395"/>
      <c r="G48" s="395"/>
      <c r="H48" s="395"/>
      <c r="I48" s="396"/>
      <c r="J48" s="24">
        <f ca="1">IFERROR(VLOOKUP(J47,OFFSET($BN$2,,,COUNTIF($BN$2:$BN$11,"?*"),5),5,FALSE),"")</f>
        <v>35</v>
      </c>
      <c r="K48" s="399" t="str">
        <f ca="1">IFERROR(IF(VLOOKUP(J47,OFFSET($BN$2,,,COUNTIF($BN$2:$BN$11,"?*"),5),4,FALSE)&lt;&gt;0,VLOOKUP(J47,OFFSET($BN$2,,,COUNTIF($BN$2:$BN$11,"?*"),5),4,FALSE),"-"),"")</f>
        <v>2x mistr české ligy (Chodov)</v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 t="s">
        <v>22</v>
      </c>
      <c r="K49" s="402"/>
      <c r="L49" s="402"/>
      <c r="M49" s="402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24">
        <f ca="1">IFERROR(VLOOKUP(J49,OFFSET($BN$2,,,COUNTIF($BN$2:$BN$11,"?*"),5),5,FALSE),"")</f>
        <v>31</v>
      </c>
      <c r="K50" s="399" t="str">
        <f ca="1">IFERROR(IF(VLOOKUP(J49,OFFSET($BN$2,,,COUNTIF($BN$2:$BN$11,"?*"),5),4,FALSE)&lt;&gt;0,VLOOKUP(J49,OFFSET($BN$2,,,COUNTIF($BN$2:$BN$11,"?*"),5),4,FALSE),"-"),"")</f>
        <v>postup do Tipsport superligy (hráč)</v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698</v>
      </c>
      <c r="T2" s="102" t="s">
        <v>111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692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713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373" t="s">
        <v>200</v>
      </c>
      <c r="BY2" s="103" t="s">
        <v>874</v>
      </c>
      <c r="BZ2" s="103" t="s">
        <v>886</v>
      </c>
      <c r="CA2" s="115" t="s">
        <v>1174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694</v>
      </c>
      <c r="T3" s="102" t="s">
        <v>111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698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11 OZ, 24 (16+8), +13 ±</v>
      </c>
      <c r="AY3" s="129" t="str">
        <f t="shared" ca="1" si="2"/>
        <v>11 OZ, 24 (16+8)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74"/>
      <c r="BT3" s="104" t="s">
        <v>1180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373"/>
      <c r="BY3" s="103" t="s">
        <v>854</v>
      </c>
      <c r="BZ3" s="103" t="s">
        <v>845</v>
      </c>
      <c r="CA3" s="115" t="s">
        <v>1175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696</v>
      </c>
      <c r="T4" s="102" t="s">
        <v>111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696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11 OZ, 15 (6+9), +16 ±</v>
      </c>
      <c r="AY4" s="129" t="str">
        <f t="shared" ca="1" si="2"/>
        <v>11 OZ, 15 (6+9)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74"/>
      <c r="BT4" s="104" t="s">
        <v>1181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373"/>
      <c r="BY4" s="103" t="s">
        <v>866</v>
      </c>
      <c r="BZ4" s="103" t="s">
        <v>846</v>
      </c>
      <c r="CA4" s="115" t="s">
        <v>838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R5" s="13"/>
      <c r="S5" s="110" t="s">
        <v>691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695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8 OZ, 3 (1+2), +1 ±</v>
      </c>
      <c r="AY5" s="129" t="str">
        <f t="shared" ca="1" si="2"/>
        <v>8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74"/>
      <c r="BT5" s="104" t="s">
        <v>775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373"/>
      <c r="BY5" s="103" t="s">
        <v>865</v>
      </c>
      <c r="BZ5" s="103" t="s">
        <v>848</v>
      </c>
      <c r="CA5" s="115" t="s">
        <v>826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697</v>
      </c>
      <c r="T6" s="102" t="s">
        <v>111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693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10 OZ, 5 (3+2), +4 ±</v>
      </c>
      <c r="AY6" s="129" t="str">
        <f t="shared" ca="1" si="2"/>
        <v>10 OZ, 5 (3+2)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74"/>
      <c r="BT6" s="104" t="s">
        <v>1182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373"/>
      <c r="BY6" s="103" t="s">
        <v>1157</v>
      </c>
      <c r="BZ6" s="103" t="s">
        <v>847</v>
      </c>
      <c r="CA6" s="115" t="s">
        <v>648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702</v>
      </c>
      <c r="T7" s="102" t="s">
        <v>111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704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11 OZ, 2 (2+0), -13 ±</v>
      </c>
      <c r="AY7" s="129" t="str">
        <f t="shared" ca="1" si="2"/>
        <v>11 OZ, 2 (2+0)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74" t="s">
        <v>40</v>
      </c>
      <c r="BT7" s="104" t="s">
        <v>711</v>
      </c>
      <c r="BU7" s="103" t="s">
        <v>1183</v>
      </c>
      <c r="BV7" s="104" t="str">
        <f t="shared" si="14"/>
        <v>Ondřej Matiášek</v>
      </c>
      <c r="BW7" s="112">
        <f t="shared" si="15"/>
        <v>4.5</v>
      </c>
      <c r="BX7" s="373" t="s">
        <v>201</v>
      </c>
      <c r="BY7" s="103" t="s">
        <v>985</v>
      </c>
      <c r="BZ7" s="103" t="s">
        <v>850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95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700</v>
      </c>
      <c r="T8" s="102" t="s">
        <v>62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697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11 OZ, 10 (5+5), +1 ±</v>
      </c>
      <c r="AY8" s="129" t="str">
        <f t="shared" ca="1" si="2"/>
        <v>11 OZ, 10 (5+5)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74"/>
      <c r="BT8" s="104" t="s">
        <v>712</v>
      </c>
      <c r="BU8" s="103" t="s">
        <v>1184</v>
      </c>
      <c r="BV8" s="104" t="str">
        <f t="shared" si="14"/>
        <v>Daniel Körber</v>
      </c>
      <c r="BW8" s="112">
        <f t="shared" si="15"/>
        <v>7.27</v>
      </c>
      <c r="BX8" s="373"/>
      <c r="BY8" s="103" t="s">
        <v>1176</v>
      </c>
      <c r="BZ8" s="103" t="s">
        <v>855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776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NE</v>
      </c>
      <c r="AG9" s="121" t="s">
        <v>694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11 OZ, 17 (10+7), +2 ±</v>
      </c>
      <c r="AY9" s="129" t="str">
        <f t="shared" ca="1" si="2"/>
        <v>11 OZ, 17 (10+7)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74"/>
      <c r="BV9" s="104" t="str">
        <f t="shared" si="14"/>
        <v/>
      </c>
      <c r="BW9" s="112" t="str">
        <f t="shared" si="15"/>
        <v/>
      </c>
      <c r="BX9" s="373"/>
      <c r="BY9" s="103" t="s">
        <v>1159</v>
      </c>
      <c r="BZ9" s="103" t="s">
        <v>872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693</v>
      </c>
      <c r="T10" s="102" t="s">
        <v>111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691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10 OZ, 14 (8+6), +10 ±</v>
      </c>
      <c r="AY10" s="129" t="str">
        <f t="shared" ca="1" si="2"/>
        <v>10 OZ, 14 (8+6)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74"/>
      <c r="BV10" s="104" t="str">
        <f t="shared" si="14"/>
        <v/>
      </c>
      <c r="BW10" s="112" t="str">
        <f t="shared" si="15"/>
        <v/>
      </c>
      <c r="BX10" s="373"/>
      <c r="BY10" s="103" t="s">
        <v>1177</v>
      </c>
      <c r="BZ10" s="103" t="s">
        <v>884</v>
      </c>
      <c r="CA10" s="115" t="s">
        <v>196</v>
      </c>
    </row>
    <row r="11" spans="1:79" ht="15" customHeight="1" thickTop="1" thickBot="1" x14ac:dyDescent="0.25">
      <c r="R11" s="13"/>
      <c r="S11" s="110" t="s">
        <v>692</v>
      </c>
      <c r="T11" s="102" t="s">
        <v>62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709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9 OZ, 1 (1+0), -6 ±</v>
      </c>
      <c r="AY11" s="129" t="str">
        <f t="shared" ca="1" si="2"/>
        <v>9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74"/>
      <c r="BV11" s="104" t="str">
        <f t="shared" si="14"/>
        <v/>
      </c>
      <c r="BW11" s="112" t="str">
        <f t="shared" si="15"/>
        <v/>
      </c>
      <c r="BX11" s="373"/>
      <c r="BY11" s="103" t="s">
        <v>1178</v>
      </c>
      <c r="BZ11" s="103" t="s">
        <v>871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695</v>
      </c>
      <c r="T12" s="102" t="s">
        <v>62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707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2 V, 4 P</v>
      </c>
      <c r="AY12" s="129" t="str">
        <f t="shared" ca="1" si="2"/>
        <v>6 OZ, 1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74" t="s">
        <v>37</v>
      </c>
      <c r="BT12" s="104" t="s">
        <v>713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199</v>
      </c>
      <c r="BY12" s="100" t="s">
        <v>1179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704</v>
      </c>
      <c r="T13" s="102" t="s">
        <v>111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708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8 OZ, 0 (0+0), -10 ±</v>
      </c>
      <c r="AY13" s="129" t="str">
        <f t="shared" ca="1" si="2"/>
        <v>8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74"/>
      <c r="BT13" s="104" t="s">
        <v>1180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778</v>
      </c>
      <c r="T14" s="102" t="s">
        <v>111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NE</v>
      </c>
      <c r="AG14" s="121" t="s">
        <v>705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5 V, 2 P</v>
      </c>
      <c r="AY14" s="129" t="str">
        <f t="shared" ca="1" si="2"/>
        <v>7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74"/>
      <c r="BT14" s="104" t="s">
        <v>1185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703</v>
      </c>
      <c r="T15" s="102" t="s">
        <v>111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706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4 OZ, 0 (0+0), -3 ±</v>
      </c>
      <c r="AY15" s="129" t="str">
        <f t="shared" ca="1" si="2"/>
        <v>4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74"/>
      <c r="BT15" s="104" t="s">
        <v>858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R16" s="13"/>
      <c r="S16" s="110" t="s">
        <v>699</v>
      </c>
      <c r="T16" s="102" t="s">
        <v>111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703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8 OZ, 2 (0+2), +12 ±</v>
      </c>
      <c r="AY16" s="129" t="str">
        <f t="shared" ca="1" si="2"/>
        <v>8 OZ, 2 (0+2)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74"/>
      <c r="BT16" s="104" t="s">
        <v>1186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709</v>
      </c>
      <c r="T17" s="102" t="s">
        <v>111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699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11 OZ, 2 (0+2), -11 ±</v>
      </c>
      <c r="AY17" s="129" t="str">
        <f t="shared" ca="1" si="2"/>
        <v>11 OZ, 2 (0+2)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74" t="s">
        <v>41</v>
      </c>
      <c r="BT17" s="104" t="s">
        <v>711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707</v>
      </c>
      <c r="T18" s="102" t="s">
        <v>109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700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10 OZ, 8 (5+3), +14 ±</v>
      </c>
      <c r="AY18" s="129" t="str">
        <f t="shared" ca="1" si="2"/>
        <v>10 OZ, 8 (5+3)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74"/>
      <c r="BT18" s="104" t="s">
        <v>712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BA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1172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702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11 OZ, 10 (3+7), -4 ±</v>
      </c>
      <c r="AY19" s="129" t="str">
        <f t="shared" ca="1" si="2"/>
        <v>11 OZ, 10 (3+7)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74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1173</v>
      </c>
      <c r="T20" s="102" t="s">
        <v>62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701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6 OZ, 0 (0+0), +2 ±</v>
      </c>
      <c r="AY20" s="129" t="str">
        <f t="shared" ca="1" si="2"/>
        <v>6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74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706</v>
      </c>
      <c r="T21" s="102" t="s">
        <v>111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710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9 OZ, 0 (0+0), -2 ±</v>
      </c>
      <c r="AY21" s="129" t="str">
        <f t="shared" ca="1" si="2"/>
        <v>9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74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701</v>
      </c>
      <c r="T22" s="102" t="s">
        <v>62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74" t="s">
        <v>38</v>
      </c>
      <c r="BT22" s="104" t="s">
        <v>1187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708</v>
      </c>
      <c r="T23" s="102" t="s">
        <v>111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74"/>
      <c r="BT23" s="104" t="s">
        <v>857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777</v>
      </c>
      <c r="T24" s="102" t="s">
        <v>111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NE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74"/>
      <c r="BT24" s="104" t="s">
        <v>1188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710</v>
      </c>
      <c r="T25" s="102" t="s">
        <v>62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74"/>
      <c r="BT25" s="104" t="s">
        <v>856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705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74"/>
      <c r="BT26" s="104" t="s">
        <v>820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74" t="s">
        <v>39</v>
      </c>
      <c r="BT27" s="104" t="s">
        <v>1189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74"/>
      <c r="BT28" s="104" t="s">
        <v>1190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74"/>
      <c r="BT29" s="104" t="s">
        <v>1191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BA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74"/>
      <c r="BT30" s="104" t="s">
        <v>775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74"/>
      <c r="BT31" s="104" t="s">
        <v>1192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705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707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548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20" t="s">
        <v>1</v>
      </c>
      <c r="I1" s="420"/>
      <c r="J1" s="420"/>
      <c r="K1" s="420"/>
      <c r="M1" s="386" t="s">
        <v>549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79">
        <f ca="1">IFERROR(IF(VLOOKUP(A1,OFFSET($AG$2,,,COUNTIF($AG$2:$AG$50,"?*"),23),2,FALSE)&lt;&gt;0,YEAR(VLOOKUP(A1,OFFSET($AG$2,,,COUNTIF($AG$2:$AG$50,"?*"),23),2,FALSE)),""),"")</f>
        <v>2002</v>
      </c>
      <c r="C2" s="380"/>
      <c r="D2" s="117">
        <f ca="1">IFERROR(VLOOKUP(A1,OFFSET($AG$2,,,COUNTIF($AG$2:$AG$50,"?*"),23),15,FALSE),"")</f>
        <v>19</v>
      </c>
      <c r="E2" s="381" t="str">
        <f ca="1">IFERROR(VLOOKUP(A1,OFFSET($AG$2,,,COUNTIF($AG$2:$AG$50,"?*"),23),16,FALSE),"")</f>
        <v>182/77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2001</v>
      </c>
      <c r="O2" s="380"/>
      <c r="P2" s="117">
        <f ca="1">IFERROR(VLOOKUP(M1,OFFSET($AG$2,,,COUNTIF($AG$2:$AG$50,"?*"),23),15,FALSE),"")</f>
        <v>20</v>
      </c>
      <c r="Q2" s="381" t="str">
        <f ca="1">IFERROR(VLOOKUP(M1,OFFSET($AG$2,,,COUNTIF($AG$2:$AG$50,"?*"),23),16,FALSE),"")</f>
        <v>183/67</v>
      </c>
      <c r="R2" s="382"/>
      <c r="S2" s="110" t="s">
        <v>550</v>
      </c>
      <c r="T2" s="102" t="s">
        <v>111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559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581</v>
      </c>
      <c r="BO2" s="122">
        <v>29350</v>
      </c>
      <c r="BP2" s="131" t="s">
        <v>244</v>
      </c>
      <c r="BQ2" s="132" t="s">
        <v>582</v>
      </c>
      <c r="BR2" s="127">
        <f ca="1">IF(BN2&lt;&gt;"",IF(BO2&lt;&gt;"",INT((TODAY()-BO2)/365),"?"),"")</f>
        <v>41</v>
      </c>
      <c r="BS2" s="374" t="s">
        <v>36</v>
      </c>
      <c r="BT2" s="104" t="s">
        <v>591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373" t="s">
        <v>200</v>
      </c>
      <c r="BY2" s="103" t="s">
        <v>874</v>
      </c>
      <c r="BZ2" s="103" t="s">
        <v>846</v>
      </c>
      <c r="CA2" s="115" t="s">
        <v>805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25 (18+7), +27 ±</v>
      </c>
      <c r="B3" s="416"/>
      <c r="C3" s="416"/>
      <c r="D3" s="417" t="str">
        <f ca="1">IFERROR(VLOOKUP(A1,OFFSET($AG$2,,,COUNTIF($AG$2:$AG$50,"?*"),23),19,FALSE),"")</f>
        <v>11 OZ, 25 (18+7)</v>
      </c>
      <c r="E3" s="417"/>
      <c r="F3" s="418"/>
      <c r="G3" s="386" t="s">
        <v>550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15" t="str">
        <f ca="1">IFERROR(VLOOKUP(M1,OFFSET($AG$2,,,COUNTIF($AG$2:$AG$50,"?*"),23),18,FALSE),"")</f>
        <v>14 OZ, 27 (14+13), +19 ±</v>
      </c>
      <c r="N3" s="416"/>
      <c r="O3" s="416"/>
      <c r="P3" s="417" t="str">
        <f ca="1">IFERROR(VLOOKUP(M1,OFFSET($AG$2,,,COUNTIF($AG$2:$AG$50,"?*"),23),19,FALSE),"")</f>
        <v>86 OZ, 122 (76+46)</v>
      </c>
      <c r="Q3" s="417"/>
      <c r="R3" s="418"/>
      <c r="S3" s="110" t="s">
        <v>549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563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141</v>
      </c>
      <c r="AQ3" s="123">
        <v>186</v>
      </c>
      <c r="AR3" s="123">
        <v>77</v>
      </c>
      <c r="AS3" s="126" t="s">
        <v>72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583</v>
      </c>
      <c r="BO3" s="122">
        <v>33849</v>
      </c>
      <c r="BP3" s="131" t="s">
        <v>245</v>
      </c>
      <c r="BQ3" s="132" t="s">
        <v>584</v>
      </c>
      <c r="BR3" s="127">
        <f t="shared" ref="BR3:BR11" ca="1" si="12">IF(BN3&lt;&gt;"",IF(BO3&lt;&gt;"",INT((TODAY()-BO3)/365),"?"),"")</f>
        <v>29</v>
      </c>
      <c r="BS3" s="374"/>
      <c r="BT3" s="104" t="s">
        <v>589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373"/>
      <c r="BY3" s="103" t="s">
        <v>854</v>
      </c>
      <c r="BZ3" s="103" t="s">
        <v>847</v>
      </c>
      <c r="CA3" s="115" t="s">
        <v>1194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Panthers Praha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2009</v>
      </c>
      <c r="E4" s="407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379">
        <f ca="1">IFERROR(IF(VLOOKUP(G3,OFFSET($AG$2,,,COUNTIF($AG$2:$AG$50,"?*"),23),2,FALSE)&lt;&gt;0,YEAR(VLOOKUP(G3,OFFSET($AG$2,,,COUNTIF($AG$2:$AG$50,"?*"),23),2,FALSE)),""),"")</f>
        <v>1995</v>
      </c>
      <c r="I4" s="380"/>
      <c r="J4" s="117">
        <f ca="1">IFERROR(VLOOKUP(G3,OFFSET($AG$2,,,COUNTIF($AG$2:$AG$50,"?*"),23),15,FALSE),"")</f>
        <v>26</v>
      </c>
      <c r="K4" s="381" t="str">
        <f ca="1">IFERROR(VLOOKUP(G3,OFFSET($AG$2,,,COUNTIF($AG$2:$AG$50,"?*"),23),16,FALSE),"")</f>
        <v>175/72</v>
      </c>
      <c r="L4" s="382"/>
      <c r="M4" s="403" t="str">
        <f ca="1">IFERROR(IF(VLOOKUP(M1,OFFSET($AG$2,,,COUNTIF($AG$2:$AG$50,"?*"),23),13,FALSE)&lt;&gt;0,VLOOKUP(M1,OFFSET($AG$2,,,COUNTIF($AG$2:$AG$50,"?*"),23),13,FALSE),"?"),"")</f>
        <v>FbŠ Bohemians</v>
      </c>
      <c r="N4" s="404"/>
      <c r="O4" s="405"/>
      <c r="P4" s="406">
        <f ca="1">IFERROR(IF(VLOOKUP(M1,OFFSET($AG$2,,,COUNTIF($AG$2:$AG$50,"?*"),23),14,FALSE)&lt;&gt;0,VLOOKUP(M1,OFFSET($AG$2,,,COUNTIF($AG$2:$AG$50,"?*"),23),14,FALSE),"?"),"")</f>
        <v>2006</v>
      </c>
      <c r="Q4" s="407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548</v>
      </c>
      <c r="T4" s="102" t="s">
        <v>111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1073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585</v>
      </c>
      <c r="BO4" s="122">
        <v>28301</v>
      </c>
      <c r="BP4" s="131" t="s">
        <v>245</v>
      </c>
      <c r="BQ4" s="132"/>
      <c r="BR4" s="127">
        <f t="shared" ca="1" si="12"/>
        <v>44</v>
      </c>
      <c r="BS4" s="374"/>
      <c r="BT4" s="104" t="s">
        <v>1196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373"/>
      <c r="BY4" s="103" t="s">
        <v>852</v>
      </c>
      <c r="BZ4" s="103" t="s">
        <v>848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11 OZ, 36 (14+22), +24 ±</v>
      </c>
      <c r="H5" s="416"/>
      <c r="I5" s="416"/>
      <c r="J5" s="417" t="str">
        <f ca="1">IFERROR(VLOOKUP(G3,OFFSET($AG$2,,,COUNTIF($AG$2:$AG$50,"?*"),23),19,FALSE),"")</f>
        <v>63 OZ, 142 (58+84)</v>
      </c>
      <c r="K5" s="417"/>
      <c r="L5" s="418"/>
      <c r="S5" s="110" t="s">
        <v>551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549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141</v>
      </c>
      <c r="AQ5" s="123">
        <v>183</v>
      </c>
      <c r="AR5" s="123">
        <v>67</v>
      </c>
      <c r="AS5" s="126" t="s">
        <v>72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586</v>
      </c>
      <c r="BO5" s="122">
        <v>24059</v>
      </c>
      <c r="BP5" s="131" t="s">
        <v>370</v>
      </c>
      <c r="BQ5" s="132"/>
      <c r="BR5" s="127">
        <f t="shared" ca="1" si="12"/>
        <v>56</v>
      </c>
      <c r="BS5" s="374"/>
      <c r="BT5" s="104" t="s">
        <v>822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373"/>
      <c r="BY5" s="103" t="s">
        <v>1157</v>
      </c>
      <c r="BZ5" s="103" t="s">
        <v>859</v>
      </c>
      <c r="CA5" s="115" t="s">
        <v>774</v>
      </c>
    </row>
    <row r="6" spans="1:79" ht="15" customHeight="1" thickTop="1" thickBot="1" x14ac:dyDescent="0.25">
      <c r="A6" s="386" t="s">
        <v>551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03" t="str">
        <f ca="1">IFERROR(IF(VLOOKUP(G3,OFFSET($AG$2,,,COUNTIF($AG$2:$AG$50,"?*"),23),13,FALSE)&lt;&gt;0,VLOOKUP(G3,OFFSET($AG$2,,,COUNTIF($AG$2:$AG$50,"?*"),23),13,FALSE),"?"),"")</f>
        <v>FbŠ Bohemians</v>
      </c>
      <c r="H6" s="404"/>
      <c r="I6" s="405"/>
      <c r="J6" s="406">
        <f ca="1">IFERROR(IF(VLOOKUP(G3,OFFSET($AG$2,,,COUNTIF($AG$2:$AG$50,"?*"),23),14,FALSE)&lt;&gt;0,VLOOKUP(G3,OFFSET($AG$2,,,COUNTIF($AG$2:$AG$50,"?*"),23),14,FALSE),"?"),"")</f>
        <v>2010</v>
      </c>
      <c r="K6" s="407"/>
      <c r="L6" s="7">
        <f ca="1">IFERROR(IF(VLOOKUP(G3,OFFSET($AG$2,,,COUNTIF($AG$2:$AG$50,"?*"),23),7,FALSE)&lt;&gt;0,VLOOKUP(G3,OFFSET($AG$2,,,COUNTIF($AG$2:$AG$50,"?*"),23),7,FALSE),"?"),"")</f>
        <v>3</v>
      </c>
      <c r="M6" s="386" t="s">
        <v>552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552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141</v>
      </c>
      <c r="AQ6" s="123">
        <v>184</v>
      </c>
      <c r="AR6" s="123">
        <v>81</v>
      </c>
      <c r="AS6" s="126" t="s">
        <v>143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587</v>
      </c>
      <c r="BO6" s="122">
        <v>33657</v>
      </c>
      <c r="BP6" s="131" t="s">
        <v>426</v>
      </c>
      <c r="BQ6" s="132"/>
      <c r="BR6" s="127">
        <f t="shared" ca="1" si="12"/>
        <v>29</v>
      </c>
      <c r="BS6" s="374"/>
      <c r="BT6" s="104" t="s">
        <v>1197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373"/>
      <c r="BY6" s="103" t="s">
        <v>771</v>
      </c>
      <c r="BZ6" s="103" t="s">
        <v>860</v>
      </c>
      <c r="CA6" s="115" t="s">
        <v>838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79">
        <f ca="1">IFERROR(IF(VLOOKUP(A6,OFFSET($AG$2,,,COUNTIF($AG$2:$AG$50,"?*"),23),2,FALSE)&lt;&gt;0,YEAR(VLOOKUP(A6,OFFSET($AG$2,,,COUNTIF($AG$2:$AG$50,"?*"),23),2,FALSE)),""),"")</f>
        <v>2003</v>
      </c>
      <c r="C7" s="380"/>
      <c r="D7" s="117">
        <f ca="1">IFERROR(VLOOKUP(A6,OFFSET($AG$2,,,COUNTIF($AG$2:$AG$50,"?*"),23),15,FALSE),"")</f>
        <v>18</v>
      </c>
      <c r="E7" s="381" t="str">
        <f ca="1">IFERROR(VLOOKUP(A6,OFFSET($AG$2,,,COUNTIF($AG$2:$AG$50,"?*"),23),16,FALSE),"")</f>
        <v>175/65</v>
      </c>
      <c r="F7" s="382"/>
      <c r="M7" s="4" t="str">
        <f ca="1">IFERROR(IF(VLOOKUP(M6,OFFSET($AG$2,,,COUNTIF($AG$2:$AG$50,"?*"),23),10,FALSE)&lt;&gt;0,VLOOKUP(M6,OFFSET($AG$2,,,COUNTIF($AG$2:$AG$50,"?*"),23),10,FALSE),""),"")</f>
        <v>P</v>
      </c>
      <c r="N7" s="379">
        <f ca="1">IFERROR(IF(VLOOKUP(M6,OFFSET($AG$2,,,COUNTIF($AG$2:$AG$50,"?*"),23),2,FALSE)&lt;&gt;0,YEAR(VLOOKUP(M6,OFFSET($AG$2,,,COUNTIF($AG$2:$AG$50,"?*"),23),2,FALSE)),""),"")</f>
        <v>2000</v>
      </c>
      <c r="O7" s="380"/>
      <c r="P7" s="117">
        <f ca="1">IFERROR(VLOOKUP(M6,OFFSET($AG$2,,,COUNTIF($AG$2:$AG$50,"?*"),23),15,FALSE),"")</f>
        <v>21</v>
      </c>
      <c r="Q7" s="381" t="str">
        <f ca="1">IFERROR(VLOOKUP(M6,OFFSET($AG$2,,,COUNTIF($AG$2:$AG$50,"?*"),23),16,FALSE),"")</f>
        <v>190/76</v>
      </c>
      <c r="R7" s="382"/>
      <c r="S7" s="110" t="s">
        <v>554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561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574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590</v>
      </c>
      <c r="BU7" s="103" t="s">
        <v>1198</v>
      </c>
      <c r="BV7" s="104" t="str">
        <f t="shared" si="13"/>
        <v>Radovan Michajlovič</v>
      </c>
      <c r="BW7" s="112">
        <f t="shared" si="14"/>
        <v>4.2300000000000004</v>
      </c>
      <c r="BX7" s="373" t="s">
        <v>201</v>
      </c>
      <c r="BY7" s="103" t="s">
        <v>985</v>
      </c>
      <c r="BZ7" s="103" t="s">
        <v>845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>8 OZ, 11 (5+6), +23 ±</v>
      </c>
      <c r="B8" s="416"/>
      <c r="C8" s="416"/>
      <c r="D8" s="417" t="str">
        <f ca="1">IFERROR(VLOOKUP(A6,OFFSET($AG$2,,,COUNTIF($AG$2:$AG$50,"?*"),23),19,FALSE),"")</f>
        <v>34 OZ, 42 (18+24)</v>
      </c>
      <c r="E8" s="417"/>
      <c r="F8" s="418"/>
      <c r="H8" s="419" t="s">
        <v>96</v>
      </c>
      <c r="I8" s="419"/>
      <c r="J8" s="419"/>
      <c r="K8" s="419"/>
      <c r="M8" s="415" t="str">
        <f ca="1">IFERROR(VLOOKUP(M6,OFFSET($AG$2,,,COUNTIF($AG$2:$AG$50,"?*"),23),18,FALSE),"")</f>
        <v>11 OZ, 9 (4+5), +23 ±</v>
      </c>
      <c r="N8" s="416"/>
      <c r="O8" s="416"/>
      <c r="P8" s="417" t="str">
        <f ca="1">IFERROR(VLOOKUP(M6,OFFSET($AG$2,,,COUNTIF($AG$2:$AG$50,"?*"),23),19,FALSE),"")</f>
        <v>106 OZ, 103 (51+52)</v>
      </c>
      <c r="Q8" s="417"/>
      <c r="R8" s="418"/>
      <c r="S8" s="110" t="s">
        <v>558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565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141</v>
      </c>
      <c r="AQ8" s="123">
        <v>186</v>
      </c>
      <c r="AR8" s="123">
        <v>73</v>
      </c>
      <c r="AS8" s="126" t="s">
        <v>72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1199</v>
      </c>
      <c r="BU8" s="103" t="s">
        <v>1116</v>
      </c>
      <c r="BV8" s="104" t="str">
        <f t="shared" si="13"/>
        <v>Jakub Zavřel</v>
      </c>
      <c r="BW8" s="112">
        <f t="shared" si="14"/>
        <v>3.5</v>
      </c>
      <c r="BX8" s="373"/>
      <c r="BY8" s="103" t="s">
        <v>1176</v>
      </c>
      <c r="BZ8" s="103" t="s">
        <v>886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Black Angels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2009</v>
      </c>
      <c r="E9" s="407"/>
      <c r="F9" s="7">
        <f ca="1">IFERROR(IF(VLOOKUP(A6,OFFSET($AG$2,,,COUNTIF($AG$2:$AG$50,"?*"),23),7,FALSE)&lt;&gt;0,VLOOKUP(A6,OFFSET($AG$2,,,COUNTIF($AG$2:$AG$50,"?*"),23),7,FALSE),"?"),"")</f>
        <v>2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FbŠ Bohemians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2011</v>
      </c>
      <c r="Q9" s="407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62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560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575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1200</v>
      </c>
      <c r="BU9" s="103" t="s">
        <v>1201</v>
      </c>
      <c r="BV9" s="104" t="str">
        <f t="shared" si="13"/>
        <v>Tomáš Hyršl</v>
      </c>
      <c r="BW9" s="112">
        <f t="shared" si="14"/>
        <v>5.62</v>
      </c>
      <c r="BX9" s="373"/>
      <c r="BY9" s="103" t="s">
        <v>1159</v>
      </c>
      <c r="BZ9" s="103" t="s">
        <v>853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570</v>
      </c>
      <c r="T10" s="102" t="s">
        <v>62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566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143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1160</v>
      </c>
      <c r="BZ10" s="103" t="s">
        <v>855</v>
      </c>
      <c r="CA10" s="115" t="s">
        <v>196</v>
      </c>
    </row>
    <row r="11" spans="1:79" ht="15" customHeight="1" thickTop="1" thickBot="1" x14ac:dyDescent="0.25">
      <c r="R11" s="13"/>
      <c r="S11" s="110" t="s">
        <v>553</v>
      </c>
      <c r="T11" s="102" t="s">
        <v>111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550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72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1178</v>
      </c>
      <c r="BZ11" s="103" t="s">
        <v>844</v>
      </c>
      <c r="CA11" s="115" t="s">
        <v>196</v>
      </c>
    </row>
    <row r="12" spans="1:79" ht="15" customHeight="1" thickTop="1" thickBot="1" x14ac:dyDescent="0.25">
      <c r="A12" s="386" t="s">
        <v>553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20" t="s">
        <v>7</v>
      </c>
      <c r="I12" s="420"/>
      <c r="J12" s="420"/>
      <c r="K12" s="420"/>
      <c r="M12" s="386" t="s">
        <v>3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565</v>
      </c>
      <c r="T12" s="102" t="s">
        <v>111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567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72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588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199</v>
      </c>
      <c r="BY12" s="100" t="s">
        <v>1195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79">
        <f ca="1">IFERROR(IF(VLOOKUP(A12,OFFSET($AG$2,,,COUNTIF($AG$2:$AG$50,"?*"),23),2,FALSE)&lt;&gt;0,YEAR(VLOOKUP(A12,OFFSET($AG$2,,,COUNTIF($AG$2:$AG$50,"?*"),23),2,FALSE)),""),"")</f>
        <v>1991</v>
      </c>
      <c r="C13" s="380"/>
      <c r="D13" s="117">
        <f ca="1">IFERROR(VLOOKUP(A12,OFFSET($AG$2,,,COUNTIF($AG$2:$AG$50,"?*"),23),15,FALSE),"")</f>
        <v>30</v>
      </c>
      <c r="E13" s="381" t="str">
        <f ca="1">IFERROR(VLOOKUP(A12,OFFSET($AG$2,,,COUNTIF($AG$2:$AG$50,"?*"),23),16,FALSE),"")</f>
        <v>175/85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1999</v>
      </c>
      <c r="O13" s="380"/>
      <c r="P13" s="117">
        <f ca="1">IFERROR(VLOOKUP(M12,OFFSET($AG$2,,,COUNTIF($AG$2:$AG$50,"?*"),23),15,FALSE),"")</f>
        <v>22</v>
      </c>
      <c r="Q13" s="381" t="str">
        <f ca="1">IFERROR(VLOOKUP(M12,OFFSET($AG$2,,,COUNTIF($AG$2:$AG$50,"?*"),23),16,FALSE),"")</f>
        <v>184/81</v>
      </c>
      <c r="R13" s="382"/>
      <c r="S13" s="110" t="s">
        <v>460</v>
      </c>
      <c r="T13" s="102" t="s">
        <v>111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554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141</v>
      </c>
      <c r="AQ13" s="123">
        <v>183</v>
      </c>
      <c r="AR13" s="123">
        <v>80</v>
      </c>
      <c r="AS13" s="126" t="s">
        <v>1117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1074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15" t="str">
        <f ca="1">IFERROR(VLOOKUP(A12,OFFSET($AG$2,,,COUNTIF($AG$2:$AG$50,"?*"),23),18,FALSE),"")</f>
        <v>11 OZ, 2 (2+0), -11 ±</v>
      </c>
      <c r="B14" s="416"/>
      <c r="C14" s="416"/>
      <c r="D14" s="417" t="str">
        <f ca="1">IFERROR(VLOOKUP(A12,OFFSET($AG$2,,,COUNTIF($AG$2:$AG$50,"?*"),23),19,FALSE),"")</f>
        <v>221 OZ, 102 (46+56)</v>
      </c>
      <c r="E14" s="417"/>
      <c r="F14" s="418"/>
      <c r="G14" s="386" t="s">
        <v>554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15" t="str">
        <f ca="1">IFERROR(VLOOKUP(M12,OFFSET($AG$2,,,COUNTIF($AG$2:$AG$50,"?*"),23),18,FALSE),"")</f>
        <v>7 OZ, 2 (2+0), -5 ±</v>
      </c>
      <c r="N14" s="416"/>
      <c r="O14" s="416"/>
      <c r="P14" s="417" t="str">
        <f ca="1">IFERROR(VLOOKUP(M12,OFFSET($AG$2,,,COUNTIF($AG$2:$AG$50,"?*"),23),19,FALSE),"")</f>
        <v>113 OZ, 65 (37+28)</v>
      </c>
      <c r="Q14" s="417"/>
      <c r="R14" s="418"/>
      <c r="S14" s="110" t="s">
        <v>562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555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72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868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Děkanka</v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>?</v>
      </c>
      <c r="E15" s="407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79">
        <f ca="1">IFERROR(IF(VLOOKUP(G14,OFFSET($AG$2,,,COUNTIF($AG$2:$AG$50,"?*"),23),2,FALSE)&lt;&gt;0,YEAR(VLOOKUP(G14,OFFSET($AG$2,,,COUNTIF($AG$2:$AG$50,"?*"),23),2,FALSE)),""),"")</f>
        <v>2002</v>
      </c>
      <c r="I15" s="380"/>
      <c r="J15" s="117">
        <f ca="1">IFERROR(VLOOKUP(G14,OFFSET($AG$2,,,COUNTIF($AG$2:$AG$50,"?*"),23),15,FALSE),"")</f>
        <v>19</v>
      </c>
      <c r="K15" s="381" t="str">
        <f ca="1">IFERROR(VLOOKUP(G14,OFFSET($AG$2,,,COUNTIF($AG$2:$AG$50,"?*"),23),16,FALSE),"")</f>
        <v>183/80</v>
      </c>
      <c r="L15" s="382"/>
      <c r="M15" s="403" t="str">
        <f ca="1">IFERROR(IF(VLOOKUP(M12,OFFSET($AG$2,,,COUNTIF($AG$2:$AG$50,"?*"),23),13,FALSE)&lt;&gt;0,VLOOKUP(M12,OFFSET($AG$2,,,COUNTIF($AG$2:$AG$50,"?*"),23),13,FALSE),"?"),"")</f>
        <v>Black Angels</v>
      </c>
      <c r="N15" s="404"/>
      <c r="O15" s="405"/>
      <c r="P15" s="406">
        <f ca="1">IFERROR(IF(VLOOKUP(M12,OFFSET($AG$2,,,COUNTIF($AG$2:$AG$50,"?*"),23),14,FALSE)&lt;&gt;0,VLOOKUP(M12,OFFSET($AG$2,,,COUNTIF($AG$2:$AG$50,"?*"),23),14,FALSE),"?"),"")</f>
        <v>2008</v>
      </c>
      <c r="Q15" s="407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561</v>
      </c>
      <c r="T15" s="102" t="s">
        <v>62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108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141</v>
      </c>
      <c r="AQ15" s="123">
        <v>191</v>
      </c>
      <c r="AR15" s="123">
        <v>78</v>
      </c>
      <c r="AS15" s="126" t="s">
        <v>258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822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8 OZ, 5 (2+3), -4 ±</v>
      </c>
      <c r="H16" s="416"/>
      <c r="I16" s="416"/>
      <c r="J16" s="417" t="str">
        <f ca="1">IFERROR(VLOOKUP(G14,OFFSET($AG$2,,,COUNTIF($AG$2:$AG$50,"?*"),23),19,FALSE),"")</f>
        <v>8 OZ, 5 (2+3)</v>
      </c>
      <c r="K16" s="417"/>
      <c r="L16" s="418"/>
      <c r="S16" s="110" t="s">
        <v>563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558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72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1197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386" t="s">
        <v>560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03" t="str">
        <f ca="1">IFERROR(IF(VLOOKUP(G14,OFFSET($AG$2,,,COUNTIF($AG$2:$AG$50,"?*"),23),13,FALSE)&lt;&gt;0,VLOOKUP(G14,OFFSET($AG$2,,,COUNTIF($AG$2:$AG$50,"?*"),23),13,FALSE),"?"),"")</f>
        <v>Snipers Bratislava</v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>?</v>
      </c>
      <c r="K17" s="407"/>
      <c r="L17" s="7">
        <f ca="1">IFERROR(IF(VLOOKUP(G14,OFFSET($AG$2,,,COUNTIF($AG$2:$AG$50,"?*"),23),7,FALSE)&lt;&gt;0,VLOOKUP(G14,OFFSET($AG$2,,,COUNTIF($AG$2:$AG$50,"?*"),23),7,FALSE),"?"),"")</f>
        <v>1</v>
      </c>
      <c r="M17" s="386" t="s">
        <v>563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780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568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141</v>
      </c>
      <c r="AQ17" s="123">
        <v>183</v>
      </c>
      <c r="AR17" s="123">
        <v>73</v>
      </c>
      <c r="AS17" s="126" t="s">
        <v>72</v>
      </c>
      <c r="AT17" s="123">
        <v>2006</v>
      </c>
      <c r="AU17" s="127">
        <f ca="1">IF(AG17&lt;&gt;"",IF(AH17&lt;&gt;"",INT((TODAY()-AH17)/365),"?"),"")</f>
        <v>22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590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79">
        <f ca="1">IFERROR(IF(VLOOKUP(A17,OFFSET($AG$2,,,COUNTIF($AG$2:$AG$50,"?*"),23),2,FALSE)&lt;&gt;0,YEAR(VLOOKUP(A17,OFFSET($AG$2,,,COUNTIF($AG$2:$AG$50,"?*"),23),2,FALSE)),""),"")</f>
        <v>1993</v>
      </c>
      <c r="C18" s="380"/>
      <c r="D18" s="150">
        <f ca="1">IFERROR(VLOOKUP(A17,OFFSET($AG$2,,,COUNTIF($AG$2:$AG$50,"?*"),23),15,FALSE),"")</f>
        <v>27</v>
      </c>
      <c r="E18" s="381" t="str">
        <f ca="1">IFERROR(VLOOKUP(A17,OFFSET($AG$2,,,COUNTIF($AG$2:$AG$50,"?*"),23),16,FALSE),"")</f>
        <v>188/86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2004</v>
      </c>
      <c r="O18" s="380"/>
      <c r="P18" s="117">
        <f ca="1">IFERROR(VLOOKUP(M17,OFFSET($AG$2,,,COUNTIF($AG$2:$AG$50,"?*"),23),15,FALSE),"")</f>
        <v>17</v>
      </c>
      <c r="Q18" s="381" t="str">
        <f ca="1">IFERROR(VLOOKUP(M17,OFFSET($AG$2,,,COUNTIF($AG$2:$AG$50,"?*"),23),16,FALSE),"")</f>
        <v>186/77</v>
      </c>
      <c r="R18" s="382"/>
      <c r="S18" s="110" t="s">
        <v>779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564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72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1199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15" t="str">
        <f ca="1">IFERROR(VLOOKUP(A17,OFFSET($AG$2,,,COUNTIF($AG$2:$AG$50,"?*"),23),18,FALSE),"")</f>
        <v>11 OZ, 0 (0+0), -11 ±</v>
      </c>
      <c r="B19" s="416"/>
      <c r="C19" s="416"/>
      <c r="D19" s="417" t="str">
        <f ca="1">IFERROR(VLOOKUP(A17,OFFSET($AG$2,,,COUNTIF($AG$2:$AG$50,"?*"),23),19,FALSE),"")</f>
        <v>200 OZ, 130 (49+81)</v>
      </c>
      <c r="E19" s="417"/>
      <c r="F19" s="418"/>
      <c r="H19" s="419" t="str">
        <f>H$8</f>
        <v>BOH</v>
      </c>
      <c r="I19" s="419"/>
      <c r="J19" s="419"/>
      <c r="K19" s="419"/>
      <c r="M19" s="415" t="str">
        <f ca="1">IFERROR(VLOOKUP(M17,OFFSET($AG$2,,,COUNTIF($AG$2:$AG$50,"?*"),23),18,FALSE),"")</f>
        <v>11 OZ, 1 (1+0), -8 ±</v>
      </c>
      <c r="N19" s="416"/>
      <c r="O19" s="416"/>
      <c r="P19" s="417" t="str">
        <f ca="1">IFERROR(VLOOKUP(M17,OFFSET($AG$2,,,COUNTIF($AG$2:$AG$50,"?*"),23),19,FALSE),"")</f>
        <v>11 OZ, 1 (1+0)</v>
      </c>
      <c r="Q19" s="417"/>
      <c r="R19" s="418"/>
      <c r="S19" s="110" t="s">
        <v>556</v>
      </c>
      <c r="T19" s="102" t="s">
        <v>62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551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141</v>
      </c>
      <c r="AQ19" s="123">
        <v>175</v>
      </c>
      <c r="AR19" s="123">
        <v>65</v>
      </c>
      <c r="AS19" s="126" t="s">
        <v>143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1200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FbK Jeseník</v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>?</v>
      </c>
      <c r="E20" s="407"/>
      <c r="F20" s="7">
        <f ca="1">IFERROR(IF(VLOOKUP(A17,OFFSET($AG$2,,,COUNTIF($AG$2:$AG$50,"?*"),23),7,FALSE)&lt;&gt;0,VLOOKUP(A17,OFFSET($AG$2,,,COUNTIF($AG$2:$AG$50,"?*"),23),7,FALSE),"?"),"")</f>
        <v>11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FbŠ Bohemians</v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>?</v>
      </c>
      <c r="Q20" s="407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1193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557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576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573</v>
      </c>
      <c r="T21" s="102" t="s">
        <v>109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569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141</v>
      </c>
      <c r="AQ21" s="123"/>
      <c r="AR21" s="123"/>
      <c r="AS21" s="126" t="s">
        <v>577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1073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672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141</v>
      </c>
      <c r="AQ22" s="123">
        <v>185</v>
      </c>
      <c r="AR22" s="123">
        <v>88</v>
      </c>
      <c r="AS22" s="126" t="s">
        <v>417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591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386" t="s">
        <v>559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20" t="s">
        <v>13</v>
      </c>
      <c r="I23" s="420"/>
      <c r="J23" s="420"/>
      <c r="K23" s="420"/>
      <c r="M23" s="386" t="s">
        <v>562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672</v>
      </c>
      <c r="T23" s="102" t="s">
        <v>62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378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302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589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>
        <f ca="1">IFERROR(IF(VLOOKUP(A23,OFFSET($AG$2,,,COUNTIF($AG$2:$AG$50,"?*"),23),2,FALSE)&lt;&gt;0,YEAR(VLOOKUP(A23,OFFSET($AG$2,,,COUNTIF($AG$2:$AG$50,"?*"),23),2,FALSE)),""),"")</f>
        <v>2004</v>
      </c>
      <c r="C24" s="380"/>
      <c r="D24" s="117">
        <f ca="1">IFERROR(VLOOKUP(A23,OFFSET($AG$2,,,COUNTIF($AG$2:$AG$50,"?*"),23),15,FALSE),"")</f>
        <v>17</v>
      </c>
      <c r="E24" s="381" t="str">
        <f ca="1">IFERROR(VLOOKUP(A23,OFFSET($AG$2,,,COUNTIF($AG$2:$AG$50,"?*"),23),16,FALSE),"")</f>
        <v>? / ?</v>
      </c>
      <c r="F24" s="382"/>
      <c r="M24" s="4" t="str">
        <f ca="1">IFERROR(IF(VLOOKUP(M23,OFFSET($AG$2,,,COUNTIF($AG$2:$AG$50,"?*"),23),10,FALSE)&lt;&gt;0,VLOOKUP(M23,OFFSET($AG$2,,,COUNTIF($AG$2:$AG$50,"?*"),23),10,FALSE),""),"")</f>
        <v>L</v>
      </c>
      <c r="N24" s="379">
        <f ca="1">IFERROR(IF(VLOOKUP(M23,OFFSET($AG$2,,,COUNTIF($AG$2:$AG$50,"?*"),23),2,FALSE)&lt;&gt;0,YEAR(VLOOKUP(M23,OFFSET($AG$2,,,COUNTIF($AG$2:$AG$50,"?*"),23),2,FALSE)),""),"")</f>
        <v>2003</v>
      </c>
      <c r="O24" s="380"/>
      <c r="P24" s="117">
        <f ca="1">IFERROR(VLOOKUP(M23,OFFSET($AG$2,,,COUNTIF($AG$2:$AG$50,"?*"),23),15,FALSE),"")</f>
        <v>18</v>
      </c>
      <c r="Q24" s="381" t="str">
        <f ca="1">IFERROR(VLOOKUP(M23,OFFSET($AG$2,,,COUNTIF($AG$2:$AG$50,"?*"),23),16,FALSE),"")</f>
        <v>185/74</v>
      </c>
      <c r="R24" s="382"/>
      <c r="S24" s="110" t="s">
        <v>557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548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471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1196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>9 OZ, 0 (0+0), -5 ±</v>
      </c>
      <c r="B25" s="416"/>
      <c r="C25" s="416"/>
      <c r="D25" s="417" t="str">
        <f ca="1">IFERROR(VLOOKUP(A23,OFFSET($AG$2,,,COUNTIF($AG$2:$AG$50,"?*"),23),19,FALSE),"")</f>
        <v>9 OZ, 0 (0+0)</v>
      </c>
      <c r="E25" s="417"/>
      <c r="F25" s="418"/>
      <c r="G25" s="386" t="s">
        <v>460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15" t="str">
        <f ca="1">IFERROR(VLOOKUP(M23,OFFSET($AG$2,,,COUNTIF($AG$2:$AG$50,"?*"),23),18,FALSE),"")</f>
        <v>8 OZ, 1 (1+0), -5 ±</v>
      </c>
      <c r="N25" s="416"/>
      <c r="O25" s="416"/>
      <c r="P25" s="417" t="str">
        <f ca="1">IFERROR(VLOOKUP(M23,OFFSET($AG$2,,,COUNTIF($AG$2:$AG$50,"?*"),23),19,FALSE),"")</f>
        <v>8 OZ, 1 (1+0)</v>
      </c>
      <c r="Q25" s="417"/>
      <c r="R25" s="418"/>
      <c r="S25" s="110" t="s">
        <v>559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460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141</v>
      </c>
      <c r="AQ25" s="123">
        <v>185</v>
      </c>
      <c r="AR25" s="123">
        <v>79</v>
      </c>
      <c r="AS25" s="126" t="s">
        <v>68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822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?</v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>?</v>
      </c>
      <c r="E26" s="407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2002</v>
      </c>
      <c r="I26" s="380"/>
      <c r="J26" s="117">
        <f ca="1">IFERROR(VLOOKUP(G25,OFFSET($AG$2,,,COUNTIF($AG$2:$AG$50,"?*"),23),15,FALSE),"")</f>
        <v>19</v>
      </c>
      <c r="K26" s="381" t="str">
        <f ca="1">IFERROR(VLOOKUP(G25,OFFSET($AG$2,,,COUNTIF($AG$2:$AG$50,"?*"),23),16,FALSE),"")</f>
        <v>185/79</v>
      </c>
      <c r="L26" s="382"/>
      <c r="M26" s="403" t="str">
        <f ca="1">IFERROR(IF(VLOOKUP(M23,OFFSET($AG$2,,,COUNTIF($AG$2:$AG$50,"?*"),23),13,FALSE)&lt;&gt;0,VLOOKUP(M23,OFFSET($AG$2,,,COUNTIF($AG$2:$AG$50,"?*"),23),13,FALSE),"?"),"")</f>
        <v>ŠK Seahorses Bratislava</v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>?</v>
      </c>
      <c r="Q26" s="407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564</v>
      </c>
      <c r="T26" s="102" t="s">
        <v>62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553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578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1197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10 OZ, 2 (0+2), -9 ±</v>
      </c>
      <c r="H27" s="416"/>
      <c r="I27" s="416"/>
      <c r="J27" s="417" t="str">
        <f ca="1">IFERROR(VLOOKUP(G25,OFFSET($AG$2,,,COUNTIF($AG$2:$AG$50,"?*"),23),19,FALSE),"")</f>
        <v>28 OZ, 3 (1+2)</v>
      </c>
      <c r="K27" s="417"/>
      <c r="L27" s="418"/>
      <c r="S27" s="110" t="s">
        <v>555</v>
      </c>
      <c r="T27" s="102" t="s">
        <v>109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562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141</v>
      </c>
      <c r="AQ27" s="123">
        <v>185</v>
      </c>
      <c r="AR27" s="123">
        <v>74</v>
      </c>
      <c r="AS27" s="126" t="s">
        <v>1118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591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386" t="s">
        <v>561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03" t="str">
        <f ca="1">IFERROR(IF(VLOOKUP(G25,OFFSET($AG$2,,,COUNTIF($AG$2:$AG$50,"?*"),23),13,FALSE)&lt;&gt;0,VLOOKUP(G25,OFFSET($AG$2,,,COUNTIF($AG$2:$AG$50,"?*"),23),13,FALSE),"?"),"")</f>
        <v>Tatran Střešovice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2010</v>
      </c>
      <c r="K28" s="407"/>
      <c r="L28" s="7">
        <f ca="1">IFERROR(IF(VLOOKUP(G25,OFFSET($AG$2,,,COUNTIF($AG$2:$AG$50,"?*"),23),7,FALSE)&lt;&gt;0,VLOOKUP(G25,OFFSET($AG$2,,,COUNTIF($AG$2:$AG$50,"?*"),23),7,FALSE),"?"),"")</f>
        <v>2</v>
      </c>
      <c r="M28" s="386" t="s">
        <v>570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560</v>
      </c>
      <c r="T28" s="102" t="s">
        <v>62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552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72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1202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79">
        <f ca="1">IFERROR(IF(VLOOKUP(A28,OFFSET($AG$2,,,COUNTIF($AG$2:$AG$50,"?*"),23),2,FALSE)&lt;&gt;0,YEAR(VLOOKUP(A28,OFFSET($AG$2,,,COUNTIF($AG$2:$AG$50,"?*"),23),2,FALSE)),""),"")</f>
        <v>1992</v>
      </c>
      <c r="C29" s="380"/>
      <c r="D29" s="117">
        <f ca="1">IFERROR(VLOOKUP(A28,OFFSET($AG$2,,,COUNTIF($AG$2:$AG$50,"?*"),23),15,FALSE),"")</f>
        <v>29</v>
      </c>
      <c r="E29" s="381" t="str">
        <f ca="1">IFERROR(VLOOKUP(A28,OFFSET($AG$2,,,COUNTIF($AG$2:$AG$50,"?*"),23),16,FALSE),"")</f>
        <v>184/84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2001</v>
      </c>
      <c r="O29" s="380"/>
      <c r="P29" s="117">
        <f ca="1">IFERROR(VLOOKUP(M28,OFFSET($AG$2,,,COUNTIF($AG$2:$AG$50,"?*"),23),15,FALSE),"")</f>
        <v>20</v>
      </c>
      <c r="Q29" s="381" t="str">
        <f ca="1">IFERROR(VLOOKUP(M28,OFFSET($AG$2,,,COUNTIF($AG$2:$AG$50,"?*"),23),16,FALSE),"")</f>
        <v>182/73</v>
      </c>
      <c r="R29" s="382"/>
      <c r="S29" s="111"/>
      <c r="AC29" s="102" t="str">
        <f t="shared" ca="1" si="0"/>
        <v/>
      </c>
      <c r="AG29" s="121" t="s">
        <v>570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141</v>
      </c>
      <c r="AQ29" s="123">
        <v>182</v>
      </c>
      <c r="AR29" s="123">
        <v>73</v>
      </c>
      <c r="AS29" s="126" t="s">
        <v>297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868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>11 OZ, 1 (1+0), -3 ±</v>
      </c>
      <c r="B30" s="416"/>
      <c r="C30" s="416"/>
      <c r="D30" s="417" t="str">
        <f ca="1">IFERROR(VLOOKUP(A28,OFFSET($AG$2,,,COUNTIF($AG$2:$AG$50,"?*"),23),19,FALSE),"")</f>
        <v>254 OZ, 136 (70+66)</v>
      </c>
      <c r="E30" s="417"/>
      <c r="F30" s="418"/>
      <c r="H30" s="419" t="str">
        <f>H$8</f>
        <v>BOH</v>
      </c>
      <c r="I30" s="419"/>
      <c r="J30" s="419"/>
      <c r="K30" s="419"/>
      <c r="M30" s="415" t="str">
        <f ca="1">IFERROR(VLOOKUP(M28,OFFSET($AG$2,,,COUNTIF($AG$2:$AG$50,"?*"),23),18,FALSE),"")</f>
        <v>8 OZ, 2 (2+0), +1 ±</v>
      </c>
      <c r="N30" s="416"/>
      <c r="O30" s="416"/>
      <c r="P30" s="417" t="str">
        <f ca="1">IFERROR(VLOOKUP(M28,OFFSET($AG$2,,,COUNTIF($AG$2:$AG$50,"?*"),23),19,FALSE),"")</f>
        <v>10 OZ, 2 (2+0)</v>
      </c>
      <c r="Q30" s="417"/>
      <c r="R30" s="418"/>
      <c r="S30" s="111"/>
      <c r="AC30" s="102" t="str">
        <f t="shared" ca="1" si="0"/>
        <v/>
      </c>
      <c r="AG30" s="121" t="s">
        <v>571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141</v>
      </c>
      <c r="AQ30" s="123">
        <v>180</v>
      </c>
      <c r="AR30" s="123">
        <v>71</v>
      </c>
      <c r="AS30" s="126" t="s">
        <v>579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869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Faraos</v>
      </c>
      <c r="B31" s="404"/>
      <c r="C31" s="405"/>
      <c r="D31" s="406">
        <f ca="1">IFERROR(IF(VLOOKUP(A28,OFFSET($AG$2,,,COUNTIF($AG$2:$AG$50,"?*"),23),14,FALSE)&lt;&gt;0,VLOOKUP(A28,OFFSET($AG$2,,,COUNTIF($AG$2:$AG$50,"?*"),23),14,FALSE),"?"),"")</f>
        <v>2002</v>
      </c>
      <c r="E31" s="407"/>
      <c r="F31" s="7">
        <f ca="1">IFERROR(IF(VLOOKUP(A28,OFFSET($AG$2,,,COUNTIF($AG$2:$AG$50,"?*"),23),7,FALSE)&lt;&gt;0,VLOOKUP(A28,OFFSET($AG$2,,,COUNTIF($AG$2:$AG$50,"?*"),23),7,FALSE),"?"),"")</f>
        <v>12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FBC Falcon</v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>?</v>
      </c>
      <c r="Q31" s="407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572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149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1197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573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72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556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158</v>
      </c>
      <c r="AP33" s="125" t="s">
        <v>141</v>
      </c>
      <c r="AQ33" s="123">
        <v>186</v>
      </c>
      <c r="AR33" s="123">
        <v>88</v>
      </c>
      <c r="AS33" s="126" t="s">
        <v>580</v>
      </c>
      <c r="AT33" s="123"/>
      <c r="AU33" s="127">
        <f ca="1">IF(AG33&lt;&gt;"",IF(AH33&lt;&gt;"",INT((TODAY()-AH33)/365),"?"),"")</f>
        <v>30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86" t="s">
        <v>573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14" t="s">
        <v>16</v>
      </c>
      <c r="J34" s="386" t="s">
        <v>564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379">
        <f ca="1">IFERROR(IF(VLOOKUP(A34,OFFSET($AG$2,,,COUNTIF($AG$2:$AG$50,"?*"),23),2,FALSE)&lt;&gt;0,YEAR(VLOOKUP(A34,OFFSET($AG$2,,,COUNTIF($AG$2:$AG$50,"?*"),23),2,FALSE)),""),"")</f>
        <v>2002</v>
      </c>
      <c r="C35" s="380"/>
      <c r="D35" s="117">
        <f ca="1">IFERROR(VLOOKUP(A34,OFFSET($AG$2,,,COUNTIF($AG$2:$AG$50,"?*"),23),15,FALSE),"")</f>
        <v>19</v>
      </c>
      <c r="E35" s="381" t="str">
        <f ca="1">IFERROR(VLOOKUP(A34,OFFSET($AG$2,,,COUNTIF($AG$2:$AG$50,"?*"),23),16,FALSE),"")</f>
        <v>173/70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>P</v>
      </c>
      <c r="K35" s="380">
        <f ca="1">IFERROR(IF(VLOOKUP(J34,OFFSET($AG$2,,,COUNTIF($AG$2:$AG$50,"?*"),23),2,FALSE)&lt;&gt;0,YEAR(VLOOKUP(J34,OFFSET($AG$2,,,COUNTIF($AG$2:$AG$50,"?*"),23),2,FALSE)),""),"")</f>
        <v>1990</v>
      </c>
      <c r="L35" s="388"/>
      <c r="M35" s="118">
        <f ca="1">IFERROR(VLOOKUP(J34,OFFSET($AG$2,,,COUNTIF($AG$2:$AG$50,"?*"),23),15,FALSE),"")</f>
        <v>31</v>
      </c>
      <c r="N35" s="388" t="str">
        <f ca="1">IFERROR(VLOOKUP(J34,OFFSET($AG$2,,,COUNTIF($AG$2:$AG$50,"?*"),23),16,FALSE),"")</f>
        <v>184/90</v>
      </c>
      <c r="O35" s="388"/>
      <c r="P35" s="388" t="str">
        <f ca="1">IFERROR(VLOOKUP(J34,OFFSET($AG$2,,,COUNTIF($AG$2:$AG$50,"?*"),23),18,FALSE),"")</f>
        <v>9 OZ, 0 (0+0), -8 ±</v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383" t="str">
        <f ca="1">IFERROR(VLOOKUP(A34,OFFSET($AG$2,,,COUNTIF($AG$2:$AG$50,"?*"),23),18,FALSE),"")</f>
        <v>2 V, 0 P</v>
      </c>
      <c r="C36" s="383"/>
      <c r="D36" s="384">
        <f ca="1">IFERROR(VLOOKUP(A34,OFFSET($S$45,,,COUNTIF($S$45:$S$50,"?*"),14),5,FALSE),"")</f>
        <v>7</v>
      </c>
      <c r="E36" s="385"/>
      <c r="F36" s="17">
        <f ca="1">IFERROR(VLOOKUP(A34,OFFSET($S$45,,,COUNTIF($S$45:$S$50,"?*"),14),14,FALSE),"")</f>
        <v>86.538461538461547</v>
      </c>
      <c r="H36" s="414"/>
      <c r="J36" s="18">
        <f ca="1">IFERROR(IF(VLOOKUP(J34,OFFSET($AG$2,,,COUNTIF($AG$2:$AG$50,"?*"),23),7,FALSE)&lt;&gt;0,VLOOKUP(J34,OFFSET($AG$2,,,COUNTIF($AG$2:$AG$50,"?*"),23),7,FALSE),"?"),"")</f>
        <v>11</v>
      </c>
      <c r="K36" s="390" t="str">
        <f ca="1">IFERROR(VLOOKUP(J34,OFFSET($AG$2,,,COUNTIF($AG$2:$AG$50,"?*"),23),19,FALSE),"")</f>
        <v>187 OZ, 68 (32+36)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FbŠ Bohemians</v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>?</v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120</v>
      </c>
      <c r="B37" s="409"/>
      <c r="C37" s="410">
        <f ca="1">IFERROR(VLOOKUP(A34,OFFSET($S$45,,,COUNTIF($S$45:$S$50,"?*"),14),13,FALSE),"")</f>
        <v>3.5</v>
      </c>
      <c r="D37" s="411"/>
      <c r="E37" s="412" t="str">
        <f ca="1">IFERROR(VLOOKUP(A34,OFFSET($AG$2,,,COUNTIF($AG$2:$AG$50,"?*"),23),19,FALSE),"")</f>
        <v>12 OZ, 2 A</v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FbŠ Bohemians</v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>?</v>
      </c>
      <c r="E38" s="407"/>
      <c r="F38" s="19">
        <f ca="1">IFERROR(VLOOKUP(A34,OFFSET($S$45,,,COUNTIF($S$45:$S$50,"?*"),14),6,FALSE),"")</f>
        <v>0</v>
      </c>
      <c r="H38" s="414"/>
      <c r="J38" s="386" t="s">
        <v>1073</v>
      </c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>
        <f ca="1">IFERROR(IF(VLOOKUP(J38,OFFSET($AG$2,,,COUNTIF($AG$2:$AG$50,"?*"),23),2,FALSE)&lt;&gt;0,YEAR(VLOOKUP(J38,OFFSET($AG$2,,,COUNTIF($AG$2:$AG$50,"?*"),23),2,FALSE)),""),"")</f>
        <v>2003</v>
      </c>
      <c r="L39" s="388"/>
      <c r="M39" s="217">
        <f ca="1">IFERROR(VLOOKUP(J38,OFFSET($AG$2,,,COUNTIF($AG$2:$AG$50,"?*"),23),15,FALSE),"")</f>
        <v>18</v>
      </c>
      <c r="N39" s="388" t="str">
        <f ca="1">IFERROR(VLOOKUP(J38,OFFSET($AG$2,,,COUNTIF($AG$2:$AG$50,"?*"),23),16,FALSE),"")</f>
        <v>? / ?</v>
      </c>
      <c r="O39" s="388"/>
      <c r="P39" s="388" t="str">
        <f ca="1">IFERROR(VLOOKUP(J38,OFFSET($AG$2,,,COUNTIF($AG$2:$AG$50,"?*"),23),18,FALSE),"")</f>
        <v>3 OZ, 0 (0+0), 0 ±</v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 t="s">
        <v>555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14"/>
      <c r="J40" s="18">
        <f ca="1">IFERROR(IF(VLOOKUP(J38,OFFSET($AG$2,,,COUNTIF($AG$2:$AG$50,"?*"),23),7,FALSE)&lt;&gt;0,VLOOKUP(J38,OFFSET($AG$2,,,COUNTIF($AG$2:$AG$50,"?*"),23),7,FALSE),"?"),"")</f>
        <v>1</v>
      </c>
      <c r="K40" s="390" t="str">
        <f ca="1">IFERROR(VLOOKUP(J38,OFFSET($AG$2,,,COUNTIF($AG$2:$AG$50,"?*"),23),19,FALSE),"")</f>
        <v>3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?</v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>?</v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79">
        <f ca="1">IFERROR(IF(VLOOKUP(A40,OFFSET($AG$2,,,COUNTIF($AG$2:$AG$50,"?*"),23),2,FALSE)&lt;&gt;0,YEAR(VLOOKUP(A40,OFFSET($AG$2,,,COUNTIF($AG$2:$AG$50,"?*"),23),2,FALSE)),""),"")</f>
        <v>1994</v>
      </c>
      <c r="C41" s="380"/>
      <c r="D41" s="117">
        <f ca="1">IFERROR(VLOOKUP(A40,OFFSET($AG$2,,,COUNTIF($AG$2:$AG$50,"?*"),23),15,FALSE),"")</f>
        <v>27</v>
      </c>
      <c r="E41" s="381" t="str">
        <f ca="1">IFERROR(VLOOKUP(A40,OFFSET($AG$2,,,COUNTIF($AG$2:$AG$50,"?*"),23),16,FALSE),"")</f>
        <v>185/75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83" t="str">
        <f ca="1">IFERROR(VLOOKUP(A40,OFFSET($AG$2,,,COUNTIF($AG$2:$AG$50,"?*"),23),18,FALSE),"")</f>
        <v>2 V, 2 P</v>
      </c>
      <c r="C42" s="383"/>
      <c r="D42" s="384">
        <f ca="1">IFERROR(VLOOKUP(A40,OFFSET($S$45,,,COUNTIF($S$45:$S$50,"?*"),14),5,FALSE),"")</f>
        <v>18</v>
      </c>
      <c r="E42" s="385"/>
      <c r="F42" s="17">
        <f ca="1">IFERROR(VLOOKUP(A40,OFFSET($S$45,,,COUNTIF($S$45:$S$50,"?*"),14),14,FALSE),"")</f>
        <v>73.91304347826086</v>
      </c>
      <c r="H42" s="414"/>
      <c r="J42" s="386" t="s">
        <v>672</v>
      </c>
      <c r="K42" s="387"/>
      <c r="L42" s="387"/>
      <c r="M42" s="387"/>
      <c r="N42" s="387"/>
      <c r="O42" s="387"/>
      <c r="P42" s="387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>
        <f ca="1">IFERROR(VLOOKUP(A40,OFFSET($S$45,,,COUNTIF($S$45:$S$50,"?*"),14),3,FALSE),"")</f>
        <v>192.08</v>
      </c>
      <c r="B43" s="409"/>
      <c r="C43" s="410">
        <f ca="1">IFERROR(VLOOKUP(A40,OFFSET($S$45,,,COUNTIF($S$45:$S$50,"?*"),14),13,FALSE),"")</f>
        <v>5.6226572261557681</v>
      </c>
      <c r="D43" s="411"/>
      <c r="E43" s="412" t="str">
        <f ca="1">IFERROR(VLOOKUP(A40,OFFSET($AG$2,,,COUNTIF($AG$2:$AG$50,"?*"),23),19,FALSE),"")</f>
        <v>30 OZ, 0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>L</v>
      </c>
      <c r="K43" s="380">
        <f ca="1">IFERROR(IF(VLOOKUP(J42,OFFSET($AG$2,,,COUNTIF($AG$2:$AG$50,"?*"),23),2,FALSE)&lt;&gt;0,YEAR(VLOOKUP(J42,OFFSET($AG$2,,,COUNTIF($AG$2:$AG$50,"?*"),23),2,FALSE)),""),"")</f>
        <v>1905</v>
      </c>
      <c r="L43" s="388"/>
      <c r="M43" s="217">
        <f ca="1">IFERROR(VLOOKUP(J42,OFFSET($AG$2,,,COUNTIF($AG$2:$AG$50,"?*"),23),15,FALSE),"")</f>
        <v>116</v>
      </c>
      <c r="N43" s="388" t="str">
        <f ca="1">IFERROR(VLOOKUP(J42,OFFSET($AG$2,,,COUNTIF($AG$2:$AG$50,"?*"),23),16,FALSE),"")</f>
        <v>185/88</v>
      </c>
      <c r="O43" s="388"/>
      <c r="P43" s="388" t="str">
        <f ca="1">IFERROR(VLOOKUP(J42,OFFSET($AG$2,,,COUNTIF($AG$2:$AG$50,"?*"),23),18,FALSE),"")</f>
        <v>8 OZ, 0 (0+0), -1 ±</v>
      </c>
      <c r="Q43" s="388"/>
      <c r="R43" s="389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FbŠ Bohemians</v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>?</v>
      </c>
      <c r="E44" s="407"/>
      <c r="F44" s="19">
        <f ca="1">IFERROR(VLOOKUP(A40,OFFSET($S$45,,,COUNTIF($S$45:$S$50,"?*"),14),6,FALSE),"")</f>
        <v>0</v>
      </c>
      <c r="H44" s="414"/>
      <c r="J44" s="18">
        <f ca="1">IFERROR(IF(VLOOKUP(J42,OFFSET($AG$2,,,COUNTIF($AG$2:$AG$50,"?*"),23),7,FALSE)&lt;&gt;0,VLOOKUP(J42,OFFSET($AG$2,,,COUNTIF($AG$2:$AG$50,"?*"),23),7,FALSE),"?"),"")</f>
        <v>5</v>
      </c>
      <c r="K44" s="390" t="str">
        <f ca="1">IFERROR(VLOOKUP(J42,OFFSET($AG$2,,,COUNTIF($AG$2:$AG$50,"?*"),23),19,FALSE),"")</f>
        <v>93 OZ, 1 (0+1)</v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>FBC Česká Lípa</v>
      </c>
      <c r="O44" s="391"/>
      <c r="P44" s="391"/>
      <c r="Q44" s="390">
        <f ca="1">IFERROR(IF(VLOOKUP(J42,OFFSET($AG$2,,,COUNTIF($AG$2:$AG$50,"?*"),23),14,FALSE)&lt;&gt;0,VLOOKUP(J42,OFFSET($AG$2,,,COUNTIF($AG$2:$AG$50,"?*"),23),14,FALSE),"?"),"")</f>
        <v>2007</v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557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573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 t="s">
        <v>581</v>
      </c>
      <c r="B47" s="376"/>
      <c r="C47" s="376"/>
      <c r="D47" s="376"/>
      <c r="E47" s="377" t="str">
        <f ca="1">IFERROR(VLOOKUP(A47,OFFSET($BN$2,,,COUNTIF($BN$2:$BN$11,"?*"),5),3,FALSE),"")</f>
        <v>hlavní trenér</v>
      </c>
      <c r="F47" s="377"/>
      <c r="G47" s="377"/>
      <c r="H47" s="377"/>
      <c r="I47" s="378"/>
      <c r="J47" s="375" t="s">
        <v>586</v>
      </c>
      <c r="K47" s="376"/>
      <c r="L47" s="376"/>
      <c r="M47" s="376"/>
      <c r="N47" s="377" t="str">
        <f ca="1">IFERROR(VLOOKUP(J47,OFFSET($BN$2,,,COUNTIF($BN$2:$BN$11,"?*"),5),3,FALSE),"")</f>
        <v>vedoucí družstva</v>
      </c>
      <c r="O47" s="377"/>
      <c r="P47" s="377"/>
      <c r="Q47" s="377"/>
      <c r="R47" s="378"/>
      <c r="S47" s="111" t="s">
        <v>555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>
        <f ca="1">IFERROR(VLOOKUP(A47,OFFSET($BN$2,,,COUNTIF($BN$2:$BN$11,"?*"),5),5,FALSE),"")</f>
        <v>41</v>
      </c>
      <c r="B48" s="395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395"/>
      <c r="D48" s="395"/>
      <c r="E48" s="395"/>
      <c r="F48" s="395"/>
      <c r="G48" s="395"/>
      <c r="H48" s="395"/>
      <c r="I48" s="396"/>
      <c r="J48" s="119">
        <f ca="1">IFERROR(VLOOKUP(J47,OFFSET($BN$2,,,COUNTIF($BN$2:$BN$11,"?*"),5),5,FALSE),"")</f>
        <v>56</v>
      </c>
      <c r="K48" s="399" t="str">
        <f ca="1">IFERROR(IF(VLOOKUP(J47,OFFSET($BN$2,,,COUNTIF($BN$2:$BN$11,"?*"),5),4,FALSE)&lt;&gt;0,VLOOKUP(J47,OFFSET($BN$2,,,COUNTIF($BN$2:$BN$11,"?*"),5),4,FALSE),"-"),"")</f>
        <v>-</v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3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651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20" t="s">
        <v>1</v>
      </c>
      <c r="I1" s="420"/>
      <c r="J1" s="420"/>
      <c r="K1" s="420"/>
      <c r="M1" s="386" t="s">
        <v>650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79">
        <f ca="1">IFERROR(IF(VLOOKUP(A1,OFFSET($AG$2,,,COUNTIF($AG$2:$AG$50,"?*"),23),2,FALSE)&lt;&gt;0,YEAR(VLOOKUP(A1,OFFSET($AG$2,,,COUNTIF($AG$2:$AG$50,"?*"),23),2,FALSE)),""),"")</f>
        <v>1988</v>
      </c>
      <c r="C2" s="380"/>
      <c r="D2" s="117">
        <f ca="1">IFERROR(VLOOKUP(A1,OFFSET($AG$2,,,COUNTIF($AG$2:$AG$50,"?*"),23),15,FALSE),"")</f>
        <v>33</v>
      </c>
      <c r="E2" s="381" t="str">
        <f ca="1">IFERROR(VLOOKUP(A1,OFFSET($AG$2,,,COUNTIF($AG$2:$AG$50,"?*"),23),16,FALSE),"")</f>
        <v>200/99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2003</v>
      </c>
      <c r="O2" s="380"/>
      <c r="P2" s="117">
        <f ca="1">IFERROR(VLOOKUP(M1,OFFSET($AG$2,,,COUNTIF($AG$2:$AG$50,"?*"),23),15,FALSE),"")</f>
        <v>17</v>
      </c>
      <c r="Q2" s="381" t="str">
        <f ca="1">IFERROR(VLOOKUP(M1,OFFSET($AG$2,,,COUNTIF($AG$2:$AG$50,"?*"),23),16,FALSE),"")</f>
        <v>175/70</v>
      </c>
      <c r="R2" s="382"/>
      <c r="S2" s="110" t="s">
        <v>405</v>
      </c>
      <c r="T2" s="102" t="s">
        <v>62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661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417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686</v>
      </c>
      <c r="BO2" s="122">
        <v>31211</v>
      </c>
      <c r="BP2" s="131" t="s">
        <v>183</v>
      </c>
      <c r="BQ2" s="132"/>
      <c r="BR2" s="127">
        <f ca="1">IF(BN2&lt;&gt;"",IF(BO2&lt;&gt;"",INT((TODAY()-BO2)/365),"?"),"")</f>
        <v>36</v>
      </c>
      <c r="BS2" s="374" t="s">
        <v>36</v>
      </c>
      <c r="BT2" s="104" t="s">
        <v>690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373" t="s">
        <v>200</v>
      </c>
      <c r="BY2" s="103" t="s">
        <v>874</v>
      </c>
      <c r="BZ2" s="103" t="s">
        <v>844</v>
      </c>
      <c r="CA2" s="115" t="s">
        <v>1205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12 (6+6), -15 ±</v>
      </c>
      <c r="B3" s="416"/>
      <c r="C3" s="416"/>
      <c r="D3" s="417" t="str">
        <f ca="1">IFERROR(VLOOKUP(A1,OFFSET($AG$2,,,COUNTIF($AG$2:$AG$50,"?*"),23),19,FALSE),"")</f>
        <v>318 OZ, 305 (182+123)</v>
      </c>
      <c r="E3" s="417"/>
      <c r="F3" s="418"/>
      <c r="G3" s="386" t="s">
        <v>649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15" t="str">
        <f ca="1">IFERROR(VLOOKUP(M1,OFFSET($AG$2,,,COUNTIF($AG$2:$AG$50,"?*"),23),18,FALSE),"")</f>
        <v>11 OZ, 13 (11+2), -20 ±</v>
      </c>
      <c r="N3" s="416"/>
      <c r="O3" s="416"/>
      <c r="P3" s="417" t="str">
        <f ca="1">IFERROR(VLOOKUP(M1,OFFSET($AG$2,,,COUNTIF($AG$2:$AG$50,"?*"),23),19,FALSE),"")</f>
        <v>35 OZ, 34 (25+9)</v>
      </c>
      <c r="Q3" s="417"/>
      <c r="R3" s="418"/>
      <c r="S3" s="110" t="s">
        <v>650</v>
      </c>
      <c r="T3" s="102" t="s">
        <v>111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666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228</v>
      </c>
      <c r="AQ3" s="123">
        <v>186</v>
      </c>
      <c r="AR3" s="123">
        <v>94</v>
      </c>
      <c r="AS3" s="126" t="s">
        <v>676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687</v>
      </c>
      <c r="BO3" s="122">
        <v>30597</v>
      </c>
      <c r="BP3" s="131" t="s">
        <v>245</v>
      </c>
      <c r="BQ3" s="132"/>
      <c r="BR3" s="127">
        <f t="shared" ref="BR3:BR11" ca="1" si="12">IF(BN3&lt;&gt;"",IF(BO3&lt;&gt;"",INT((TODAY()-BO3)/365),"?"),"")</f>
        <v>38</v>
      </c>
      <c r="BS3" s="374"/>
      <c r="BT3" s="104" t="s">
        <v>1075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373"/>
      <c r="BY3" s="103" t="s">
        <v>854</v>
      </c>
      <c r="BZ3" s="103" t="s">
        <v>861</v>
      </c>
      <c r="CA3" s="115" t="s">
        <v>1090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FbK Sokol Mladá Boleslav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2007</v>
      </c>
      <c r="E4" s="407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79">
        <f ca="1">IFERROR(IF(VLOOKUP(G3,OFFSET($AG$2,,,COUNTIF($AG$2:$AG$50,"?*"),23),2,FALSE)&lt;&gt;0,YEAR(VLOOKUP(G3,OFFSET($AG$2,,,COUNTIF($AG$2:$AG$50,"?*"),23),2,FALSE)),""),"")</f>
        <v>1993</v>
      </c>
      <c r="I4" s="380"/>
      <c r="J4" s="117">
        <f ca="1">IFERROR(VLOOKUP(G3,OFFSET($AG$2,,,COUNTIF($AG$2:$AG$50,"?*"),23),15,FALSE),"")</f>
        <v>28</v>
      </c>
      <c r="K4" s="381" t="str">
        <f ca="1">IFERROR(VLOOKUP(G3,OFFSET($AG$2,,,COUNTIF($AG$2:$AG$50,"?*"),23),16,FALSE),"")</f>
        <v>186/82</v>
      </c>
      <c r="L4" s="382"/>
      <c r="M4" s="403" t="str">
        <f ca="1">IFERROR(IF(VLOOKUP(M1,OFFSET($AG$2,,,COUNTIF($AG$2:$AG$50,"?*"),23),13,FALSE)&lt;&gt;0,VLOOKUP(M1,OFFSET($AG$2,,,COUNTIF($AG$2:$AG$50,"?*"),23),13,FALSE),"?"),"")</f>
        <v>FBC Česká Lípa</v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>-</v>
      </c>
      <c r="Q4" s="407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655</v>
      </c>
      <c r="T4" s="102" t="s">
        <v>62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667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228</v>
      </c>
      <c r="AQ4" s="123">
        <v>191</v>
      </c>
      <c r="AR4" s="123">
        <v>84</v>
      </c>
      <c r="AS4" s="126" t="s">
        <v>677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688</v>
      </c>
      <c r="BO4" s="122">
        <v>31784</v>
      </c>
      <c r="BP4" s="131" t="s">
        <v>184</v>
      </c>
      <c r="BQ4" s="132"/>
      <c r="BR4" s="127">
        <f t="shared" ca="1" si="12"/>
        <v>34</v>
      </c>
      <c r="BS4" s="374"/>
      <c r="BT4" s="104" t="s">
        <v>1209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373"/>
      <c r="BY4" s="103" t="s">
        <v>852</v>
      </c>
      <c r="BZ4" s="103" t="s">
        <v>873</v>
      </c>
      <c r="CA4" s="115" t="s">
        <v>1206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10 OZ, 12 (7+5), -10 ±</v>
      </c>
      <c r="H5" s="416"/>
      <c r="I5" s="416"/>
      <c r="J5" s="417" t="str">
        <f ca="1">IFERROR(VLOOKUP(G3,OFFSET($AG$2,,,COUNTIF($AG$2:$AG$50,"?*"),23),19,FALSE),"")</f>
        <v>204 OZ, 339 (241+98)</v>
      </c>
      <c r="K5" s="417"/>
      <c r="L5" s="418"/>
      <c r="S5" s="110" t="s">
        <v>649</v>
      </c>
      <c r="T5" s="102" t="s">
        <v>111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652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141</v>
      </c>
      <c r="AQ5" s="123">
        <v>182</v>
      </c>
      <c r="AR5" s="123">
        <v>79</v>
      </c>
      <c r="AS5" s="126" t="s">
        <v>678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689</v>
      </c>
      <c r="BO5" s="122">
        <v>29101</v>
      </c>
      <c r="BP5" s="131" t="s">
        <v>184</v>
      </c>
      <c r="BQ5" s="132"/>
      <c r="BR5" s="127">
        <f t="shared" ca="1" si="12"/>
        <v>42</v>
      </c>
      <c r="BS5" s="374"/>
      <c r="BT5" s="104" t="s">
        <v>1210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373"/>
      <c r="BY5" s="103" t="s">
        <v>1157</v>
      </c>
      <c r="BZ5" s="103" t="s">
        <v>872</v>
      </c>
      <c r="CA5" s="115" t="s">
        <v>1207</v>
      </c>
    </row>
    <row r="6" spans="1:79" ht="15" customHeight="1" thickTop="1" thickBot="1" x14ac:dyDescent="0.25">
      <c r="A6" s="386" t="s">
        <v>405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03" t="str">
        <f ca="1">IFERROR(IF(VLOOKUP(G3,OFFSET($AG$2,,,COUNTIF($AG$2:$AG$50,"?*"),23),13,FALSE)&lt;&gt;0,VLOOKUP(G3,OFFSET($AG$2,,,COUNTIF($AG$2:$AG$50,"?*"),23),13,FALSE),"?"),"")</f>
        <v>Erupting Dragons H. B.</v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>-</v>
      </c>
      <c r="K6" s="407"/>
      <c r="L6" s="7">
        <f ca="1">IFERROR(IF(VLOOKUP(G3,OFFSET($AG$2,,,COUNTIF($AG$2:$AG$50,"?*"),23),7,FALSE)&lt;&gt;0,VLOOKUP(G3,OFFSET($AG$2,,,COUNTIF($AG$2:$AG$50,"?*"),23),7,FALSE),"?"),"")</f>
        <v>10</v>
      </c>
      <c r="M6" s="386" t="s">
        <v>653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651</v>
      </c>
      <c r="T6" s="102" t="s">
        <v>111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651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679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1211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373"/>
      <c r="BY6" s="103" t="s">
        <v>1067</v>
      </c>
      <c r="BZ6" s="103" t="s">
        <v>859</v>
      </c>
      <c r="CA6" s="115" t="s">
        <v>770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79">
        <f ca="1">IFERROR(IF(VLOOKUP(A6,OFFSET($AG$2,,,COUNTIF($AG$2:$AG$50,"?*"),23),2,FALSE)&lt;&gt;0,YEAR(VLOOKUP(A6,OFFSET($AG$2,,,COUNTIF($AG$2:$AG$50,"?*"),23),2,FALSE)),""),"")</f>
        <v>1993</v>
      </c>
      <c r="C7" s="380"/>
      <c r="D7" s="117">
        <f ca="1">IFERROR(VLOOKUP(A6,OFFSET($AG$2,,,COUNTIF($AG$2:$AG$50,"?*"),23),15,FALSE),"")</f>
        <v>28</v>
      </c>
      <c r="E7" s="381" t="str">
        <f ca="1">IFERROR(VLOOKUP(A6,OFFSET($AG$2,,,COUNTIF($AG$2:$AG$50,"?*"),23),16,FALSE),"")</f>
        <v>192/90</v>
      </c>
      <c r="F7" s="382"/>
      <c r="M7" s="4" t="str">
        <f ca="1">IFERROR(IF(VLOOKUP(M6,OFFSET($AG$2,,,COUNTIF($AG$2:$AG$50,"?*"),23),10,FALSE)&lt;&gt;0,VLOOKUP(M6,OFFSET($AG$2,,,COUNTIF($AG$2:$AG$50,"?*"),23),10,FALSE),""),"")</f>
        <v>P</v>
      </c>
      <c r="N7" s="379">
        <f ca="1">IFERROR(IF(VLOOKUP(M6,OFFSET($AG$2,,,COUNTIF($AG$2:$AG$50,"?*"),23),2,FALSE)&lt;&gt;0,YEAR(VLOOKUP(M6,OFFSET($AG$2,,,COUNTIF($AG$2:$AG$50,"?*"),23),2,FALSE)),""),"")</f>
        <v>1996</v>
      </c>
      <c r="O7" s="380"/>
      <c r="P7" s="117">
        <f ca="1">IFERROR(VLOOKUP(M6,OFFSET($AG$2,,,COUNTIF($AG$2:$AG$50,"?*"),23),15,FALSE),"")</f>
        <v>25</v>
      </c>
      <c r="Q7" s="381" t="str">
        <f ca="1">IFERROR(VLOOKUP(M6,OFFSET($AG$2,,,COUNTIF($AG$2:$AG$50,"?*"),23),16,FALSE),"")</f>
        <v>185/85</v>
      </c>
      <c r="R7" s="382"/>
      <c r="S7" s="110" t="s">
        <v>653</v>
      </c>
      <c r="T7" s="102" t="s">
        <v>62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663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841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823</v>
      </c>
      <c r="BU7" s="103" t="s">
        <v>1212</v>
      </c>
      <c r="BV7" s="104" t="str">
        <f t="shared" si="13"/>
        <v>Lukáš Chyna</v>
      </c>
      <c r="BW7" s="112">
        <f t="shared" si="14"/>
        <v>7.71</v>
      </c>
      <c r="BX7" s="373" t="s">
        <v>201</v>
      </c>
      <c r="BY7" s="103" t="s">
        <v>985</v>
      </c>
      <c r="BZ7" s="103" t="s">
        <v>883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>9 OZ, 14 (7+7), -10 ±</v>
      </c>
      <c r="B8" s="416"/>
      <c r="C8" s="416"/>
      <c r="D8" s="417" t="str">
        <f ca="1">IFERROR(VLOOKUP(A6,OFFSET($AG$2,,,COUNTIF($AG$2:$AG$50,"?*"),23),19,FALSE),"")</f>
        <v>83 OZ, 75 (44+31)</v>
      </c>
      <c r="E8" s="417"/>
      <c r="F8" s="418"/>
      <c r="H8" s="419" t="s">
        <v>100</v>
      </c>
      <c r="I8" s="419"/>
      <c r="J8" s="419"/>
      <c r="K8" s="419"/>
      <c r="M8" s="415" t="str">
        <f ca="1">IFERROR(VLOOKUP(M6,OFFSET($AG$2,,,COUNTIF($AG$2:$AG$50,"?*"),23),18,FALSE),"")</f>
        <v>10 OZ, 11 (3+8), -25 ±</v>
      </c>
      <c r="N8" s="416"/>
      <c r="O8" s="416"/>
      <c r="P8" s="417" t="str">
        <f ca="1">IFERROR(VLOOKUP(M6,OFFSET($AG$2,,,COUNTIF($AG$2:$AG$50,"?*"),23),19,FALSE),"")</f>
        <v>112 OZ, 87 (31+56)</v>
      </c>
      <c r="Q8" s="417"/>
      <c r="R8" s="418"/>
      <c r="S8" s="110" t="s">
        <v>662</v>
      </c>
      <c r="T8" s="102" t="s">
        <v>111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664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141</v>
      </c>
      <c r="AQ8" s="123"/>
      <c r="AR8" s="123"/>
      <c r="AS8" s="126" t="s">
        <v>417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824</v>
      </c>
      <c r="BU8" s="103" t="s">
        <v>1213</v>
      </c>
      <c r="BV8" s="104" t="str">
        <f t="shared" si="13"/>
        <v>Ivan Ponomarev</v>
      </c>
      <c r="BW8" s="112">
        <f t="shared" si="14"/>
        <v>7.77</v>
      </c>
      <c r="BX8" s="373"/>
      <c r="BY8" s="103" t="s">
        <v>1078</v>
      </c>
      <c r="BZ8" s="103" t="s">
        <v>850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FBC Česká Lípa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2008</v>
      </c>
      <c r="E9" s="407"/>
      <c r="F9" s="7">
        <f ca="1">IFERROR(IF(VLOOKUP(A6,OFFSET($AG$2,,,COUNTIF($AG$2:$AG$50,"?*"),23),7,FALSE)&lt;&gt;0,VLOOKUP(A6,OFFSET($AG$2,,,COUNTIF($AG$2:$AG$50,"?*"),23),7,FALSE),"?"),"")</f>
        <v>7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FbK Sokol Mladá Boleslav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2007</v>
      </c>
      <c r="Q9" s="407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660</v>
      </c>
      <c r="T9" s="102" t="s">
        <v>62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668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141</v>
      </c>
      <c r="AQ9" s="123">
        <v>185</v>
      </c>
      <c r="AR9" s="123">
        <v>76</v>
      </c>
      <c r="AS9" s="126" t="s">
        <v>417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1214</v>
      </c>
      <c r="BU9" s="103" t="s">
        <v>1215</v>
      </c>
      <c r="BV9" s="104" t="str">
        <f t="shared" si="13"/>
        <v>Daniel Jukl</v>
      </c>
      <c r="BW9" s="112">
        <f t="shared" si="14"/>
        <v>15</v>
      </c>
      <c r="BX9" s="373"/>
      <c r="BY9" s="103" t="s">
        <v>1176</v>
      </c>
      <c r="BZ9" s="103" t="s">
        <v>851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654</v>
      </c>
      <c r="T10" s="102" t="s">
        <v>111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665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228</v>
      </c>
      <c r="AQ10" s="123">
        <v>181</v>
      </c>
      <c r="AR10" s="123">
        <v>79</v>
      </c>
      <c r="AS10" s="126" t="s">
        <v>417</v>
      </c>
      <c r="AT10" s="123" t="s">
        <v>228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1159</v>
      </c>
      <c r="BZ10" s="103" t="s">
        <v>881</v>
      </c>
      <c r="CA10" s="115" t="s">
        <v>196</v>
      </c>
    </row>
    <row r="11" spans="1:79" ht="15" customHeight="1" thickTop="1" thickBot="1" x14ac:dyDescent="0.25">
      <c r="R11" s="13"/>
      <c r="S11" s="110" t="s">
        <v>657</v>
      </c>
      <c r="T11" s="102" t="s">
        <v>111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669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141</v>
      </c>
      <c r="AQ11" s="123">
        <v>186</v>
      </c>
      <c r="AR11" s="123">
        <v>63</v>
      </c>
      <c r="AS11" s="126" t="s">
        <v>676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1160</v>
      </c>
      <c r="BZ11" s="103" t="s">
        <v>864</v>
      </c>
      <c r="CA11" s="115" t="s">
        <v>196</v>
      </c>
    </row>
    <row r="12" spans="1:79" ht="15" customHeight="1" thickTop="1" thickBot="1" x14ac:dyDescent="0.25">
      <c r="A12" s="386" t="s">
        <v>657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20" t="s">
        <v>7</v>
      </c>
      <c r="I12" s="420"/>
      <c r="J12" s="420"/>
      <c r="K12" s="420"/>
      <c r="M12" s="386" t="s">
        <v>658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671</v>
      </c>
      <c r="T12" s="102" t="s">
        <v>62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662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141</v>
      </c>
      <c r="AQ12" s="123">
        <v>186</v>
      </c>
      <c r="AR12" s="123">
        <v>87</v>
      </c>
      <c r="AS12" s="126" t="s">
        <v>417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986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199</v>
      </c>
      <c r="BY12" s="100" t="s">
        <v>1208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79">
        <f ca="1">IFERROR(IF(VLOOKUP(A12,OFFSET($AG$2,,,COUNTIF($AG$2:$AG$50,"?*"),23),2,FALSE)&lt;&gt;0,YEAR(VLOOKUP(A12,OFFSET($AG$2,,,COUNTIF($AG$2:$AG$50,"?*"),23),2,FALSE)),""),"")</f>
        <v>1997</v>
      </c>
      <c r="C13" s="380"/>
      <c r="D13" s="117">
        <f ca="1">IFERROR(VLOOKUP(A12,OFFSET($AG$2,,,COUNTIF($AG$2:$AG$50,"?*"),23),15,FALSE),"")</f>
        <v>23</v>
      </c>
      <c r="E13" s="381" t="str">
        <f ca="1">IFERROR(VLOOKUP(A12,OFFSET($AG$2,,,COUNTIF($AG$2:$AG$50,"?*"),23),16,FALSE),"")</f>
        <v>185/75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2003</v>
      </c>
      <c r="O13" s="380"/>
      <c r="P13" s="117">
        <f ca="1">IFERROR(VLOOKUP(M12,OFFSET($AG$2,,,COUNTIF($AG$2:$AG$50,"?*"),23),15,FALSE),"")</f>
        <v>17</v>
      </c>
      <c r="Q13" s="381" t="str">
        <f ca="1">IFERROR(VLOOKUP(M12,OFFSET($AG$2,,,COUNTIF($AG$2:$AG$50,"?*"),23),16,FALSE),"")</f>
        <v>170/62</v>
      </c>
      <c r="R13" s="382"/>
      <c r="S13" s="110" t="s">
        <v>658</v>
      </c>
      <c r="T13" s="102" t="s">
        <v>111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670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141</v>
      </c>
      <c r="AQ13" s="123">
        <v>176</v>
      </c>
      <c r="AR13" s="123">
        <v>80</v>
      </c>
      <c r="AS13" s="126" t="s">
        <v>679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1216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15" t="str">
        <f ca="1">IFERROR(VLOOKUP(A12,OFFSET($AG$2,,,COUNTIF($AG$2:$AG$50,"?*"),23),18,FALSE),"")</f>
        <v>8 OZ, 3 (3+0), -1 ±</v>
      </c>
      <c r="B14" s="416"/>
      <c r="C14" s="416"/>
      <c r="D14" s="417" t="str">
        <f ca="1">IFERROR(VLOOKUP(A12,OFFSET($AG$2,,,COUNTIF($AG$2:$AG$50,"?*"),23),19,FALSE),"")</f>
        <v>73 OZ, 20 (11+9)</v>
      </c>
      <c r="E14" s="417"/>
      <c r="F14" s="418"/>
      <c r="G14" s="386" t="s">
        <v>662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15" t="str">
        <f ca="1">IFERROR(VLOOKUP(M12,OFFSET($AG$2,,,COUNTIF($AG$2:$AG$50,"?*"),23),18,FALSE),"")</f>
        <v>9 OZ, 2 (1+1), -2 ±</v>
      </c>
      <c r="N14" s="416"/>
      <c r="O14" s="416"/>
      <c r="P14" s="417" t="str">
        <f ca="1">IFERROR(VLOOKUP(M12,OFFSET($AG$2,,,COUNTIF($AG$2:$AG$50,"?*"),23),19,FALSE),"")</f>
        <v>17 OZ, 2 (1+1)</v>
      </c>
      <c r="Q14" s="417"/>
      <c r="R14" s="418"/>
      <c r="S14" s="110" t="s">
        <v>984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654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141</v>
      </c>
      <c r="AQ14" s="123">
        <v>186</v>
      </c>
      <c r="AR14" s="123">
        <v>86</v>
      </c>
      <c r="AS14" s="126" t="s">
        <v>417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1076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Akademie Zákupy</v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>-</v>
      </c>
      <c r="E15" s="407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79">
        <f ca="1">IFERROR(IF(VLOOKUP(G14,OFFSET($AG$2,,,COUNTIF($AG$2:$AG$50,"?*"),23),2,FALSE)&lt;&gt;0,YEAR(VLOOKUP(G14,OFFSET($AG$2,,,COUNTIF($AG$2:$AG$50,"?*"),23),2,FALSE)),""),"")</f>
        <v>1991</v>
      </c>
      <c r="I15" s="380"/>
      <c r="J15" s="117">
        <f ca="1">IFERROR(VLOOKUP(G14,OFFSET($AG$2,,,COUNTIF($AG$2:$AG$50,"?*"),23),15,FALSE),"")</f>
        <v>30</v>
      </c>
      <c r="K15" s="381" t="str">
        <f ca="1">IFERROR(VLOOKUP(G14,OFFSET($AG$2,,,COUNTIF($AG$2:$AG$50,"?*"),23),16,FALSE),"")</f>
        <v>186/87</v>
      </c>
      <c r="L15" s="382"/>
      <c r="M15" s="403" t="str">
        <f ca="1">IFERROR(IF(VLOOKUP(M12,OFFSET($AG$2,,,COUNTIF($AG$2:$AG$50,"?*"),23),13,FALSE)&lt;&gt;0,VLOOKUP(M12,OFFSET($AG$2,,,COUNTIF($AG$2:$AG$50,"?*"),23),13,FALSE),"?"),"")</f>
        <v>FBC Česká Lípa</v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>-</v>
      </c>
      <c r="Q15" s="40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670</v>
      </c>
      <c r="T15" s="102" t="s">
        <v>62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650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141</v>
      </c>
      <c r="AQ15" s="123">
        <v>175</v>
      </c>
      <c r="AR15" s="123">
        <v>70</v>
      </c>
      <c r="AS15" s="126" t="s">
        <v>417</v>
      </c>
      <c r="AT15" s="123" t="s">
        <v>228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1210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11 OZ, 10 (1+9), -2 ±</v>
      </c>
      <c r="H16" s="416"/>
      <c r="I16" s="416"/>
      <c r="J16" s="417" t="str">
        <f ca="1">IFERROR(VLOOKUP(G14,OFFSET($AG$2,,,COUNTIF($AG$2:$AG$50,"?*"),23),19,FALSE),"")</f>
        <v>114 OZ, 86 (26+60)</v>
      </c>
      <c r="K16" s="417"/>
      <c r="L16" s="418"/>
      <c r="S16" s="110" t="s">
        <v>659</v>
      </c>
      <c r="T16" s="102" t="s">
        <v>62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658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141</v>
      </c>
      <c r="AQ16" s="123">
        <v>170</v>
      </c>
      <c r="AR16" s="123">
        <v>62</v>
      </c>
      <c r="AS16" s="126" t="s">
        <v>417</v>
      </c>
      <c r="AT16" s="123" t="s">
        <v>228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1211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386" t="s">
        <v>419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03" t="str">
        <f ca="1">IFERROR(IF(VLOOKUP(G14,OFFSET($AG$2,,,COUNTIF($AG$2:$AG$50,"?*"),23),13,FALSE)&lt;&gt;0,VLOOKUP(G14,OFFSET($AG$2,,,COUNTIF($AG$2:$AG$50,"?*"),23),13,FALSE),"?"),"")</f>
        <v>FBC Česká Lípa</v>
      </c>
      <c r="H17" s="404"/>
      <c r="I17" s="405"/>
      <c r="J17" s="406">
        <f ca="1">IFERROR(IF(VLOOKUP(G14,OFFSET($AG$2,,,COUNTIF($AG$2:$AG$50,"?*"),23),14,FALSE)&lt;&gt;0,VLOOKUP(G14,OFFSET($AG$2,,,COUNTIF($AG$2:$AG$50,"?*"),23),14,FALSE),"?"),"")</f>
        <v>2006</v>
      </c>
      <c r="K17" s="407"/>
      <c r="L17" s="7">
        <f ca="1">IFERROR(IF(VLOOKUP(G14,OFFSET($AG$2,,,COUNTIF($AG$2:$AG$50,"?*"),23),7,FALSE)&lt;&gt;0,VLOOKUP(G14,OFFSET($AG$2,,,COUNTIF($AG$2:$AG$50,"?*"),23),7,FALSE),"?"),"")</f>
        <v>6</v>
      </c>
      <c r="M17" s="386" t="s">
        <v>655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652</v>
      </c>
      <c r="T17" s="102" t="s">
        <v>111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649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141</v>
      </c>
      <c r="AQ17" s="123">
        <v>186</v>
      </c>
      <c r="AR17" s="123">
        <v>82</v>
      </c>
      <c r="AS17" s="126" t="s">
        <v>680</v>
      </c>
      <c r="AT17" s="123" t="s">
        <v>228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823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79">
        <f ca="1">IFERROR(IF(VLOOKUP(A17,OFFSET($AG$2,,,COUNTIF($AG$2:$AG$50,"?*"),23),2,FALSE)&lt;&gt;0,YEAR(VLOOKUP(A17,OFFSET($AG$2,,,COUNTIF($AG$2:$AG$50,"?*"),23),2,FALSE)),""),"")</f>
        <v>1994</v>
      </c>
      <c r="C18" s="380"/>
      <c r="D18" s="150">
        <f ca="1">IFERROR(VLOOKUP(A17,OFFSET($AG$2,,,COUNTIF($AG$2:$AG$50,"?*"),23),15,FALSE),"")</f>
        <v>27</v>
      </c>
      <c r="E18" s="381" t="str">
        <f ca="1">IFERROR(VLOOKUP(A17,OFFSET($AG$2,,,COUNTIF($AG$2:$AG$50,"?*"),23),16,FALSE),"")</f>
        <v>174/76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1983</v>
      </c>
      <c r="O18" s="380"/>
      <c r="P18" s="117">
        <f ca="1">IFERROR(VLOOKUP(M17,OFFSET($AG$2,,,COUNTIF($AG$2:$AG$50,"?*"),23),15,FALSE),"")</f>
        <v>38</v>
      </c>
      <c r="Q18" s="381" t="str">
        <f ca="1">IFERROR(VLOOKUP(M17,OFFSET($AG$2,,,COUNTIF($AG$2:$AG$50,"?*"),23),16,FALSE),"")</f>
        <v>184/91</v>
      </c>
      <c r="R18" s="382"/>
      <c r="S18" s="110" t="s">
        <v>1203</v>
      </c>
      <c r="T18" s="102" t="s">
        <v>109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660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158</v>
      </c>
      <c r="AP18" s="125" t="s">
        <v>141</v>
      </c>
      <c r="AQ18" s="123">
        <v>185</v>
      </c>
      <c r="AR18" s="123">
        <v>85</v>
      </c>
      <c r="AS18" s="126" t="s">
        <v>681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824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>6 OZ, 0 (0+0), -2 ±</v>
      </c>
      <c r="B19" s="416"/>
      <c r="C19" s="416"/>
      <c r="D19" s="417" t="str">
        <f ca="1">IFERROR(VLOOKUP(A17,OFFSET($AG$2,,,COUNTIF($AG$2:$AG$50,"?*"),23),19,FALSE),"")</f>
        <v>74 OZ, 44 (21+23)</v>
      </c>
      <c r="E19" s="417"/>
      <c r="F19" s="418"/>
      <c r="H19" s="419" t="str">
        <f>H$8</f>
        <v>CLP</v>
      </c>
      <c r="I19" s="419"/>
      <c r="J19" s="419"/>
      <c r="K19" s="419"/>
      <c r="M19" s="415" t="str">
        <f ca="1">IFERROR(VLOOKUP(M17,OFFSET($AG$2,,,COUNTIF($AG$2:$AG$50,"?*"),23),18,FALSE),"")</f>
        <v>11 OZ, 12 (8+4), -3 ±</v>
      </c>
      <c r="N19" s="416"/>
      <c r="O19" s="416"/>
      <c r="P19" s="417" t="str">
        <f ca="1">IFERROR(VLOOKUP(M17,OFFSET($AG$2,,,COUNTIF($AG$2:$AG$50,"?*"),23),19,FALSE),"")</f>
        <v>320 OZ, 332 (164+168)</v>
      </c>
      <c r="Q19" s="417"/>
      <c r="R19" s="418"/>
      <c r="S19" s="110" t="s">
        <v>674</v>
      </c>
      <c r="T19" s="102" t="s">
        <v>111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671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141</v>
      </c>
      <c r="AQ19" s="123">
        <v>178</v>
      </c>
      <c r="AR19" s="123">
        <v>75</v>
      </c>
      <c r="AS19" s="126" t="s">
        <v>679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1214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Pitbulls Kolín</v>
      </c>
      <c r="B20" s="404"/>
      <c r="C20" s="405"/>
      <c r="D20" s="406">
        <f ca="1">IFERROR(IF(VLOOKUP(A17,OFFSET($AG$2,,,COUNTIF($AG$2:$AG$50,"?*"),23),14,FALSE)&lt;&gt;0,VLOOKUP(A17,OFFSET($AG$2,,,COUNTIF($AG$2:$AG$50,"?*"),23),14,FALSE),"?"),"")</f>
        <v>2007</v>
      </c>
      <c r="E20" s="407"/>
      <c r="F20" s="7">
        <f ca="1">IFERROR(IF(VLOOKUP(A17,OFFSET($AG$2,,,COUNTIF($AG$2:$AG$50,"?*"),23),7,FALSE)&lt;&gt;0,VLOOKUP(A17,OFFSET($AG$2,,,COUNTIF($AG$2:$AG$50,"?*"),23),7,FALSE),"?"),"")</f>
        <v>5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FBC Líný FŠI Česká Lípa</v>
      </c>
      <c r="N20" s="404"/>
      <c r="O20" s="405"/>
      <c r="P20" s="406">
        <f ca="1">IFERROR(IF(VLOOKUP(M17,OFFSET($AG$2,,,COUNTIF($AG$2:$AG$50,"?*"),23),14,FALSE)&lt;&gt;0,VLOOKUP(M17,OFFSET($AG$2,,,COUNTIF($AG$2:$AG$50,"?*"),23),14,FALSE),"?"),"")</f>
        <v>1998</v>
      </c>
      <c r="Q20" s="407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1204</v>
      </c>
      <c r="T20" s="102" t="s">
        <v>111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419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141</v>
      </c>
      <c r="AQ20" s="123">
        <v>174</v>
      </c>
      <c r="AR20" s="123">
        <v>76</v>
      </c>
      <c r="AS20" s="126" t="s">
        <v>840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663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672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141</v>
      </c>
      <c r="AQ21" s="123">
        <v>185</v>
      </c>
      <c r="AR21" s="123">
        <v>88</v>
      </c>
      <c r="AS21" s="126" t="s">
        <v>417</v>
      </c>
      <c r="AT21" s="123" t="s">
        <v>228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419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656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839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1217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386" t="s">
        <v>654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20" t="s">
        <v>13</v>
      </c>
      <c r="I23" s="420"/>
      <c r="J23" s="420"/>
      <c r="K23" s="420"/>
      <c r="M23" s="386" t="s">
        <v>652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661</v>
      </c>
      <c r="T23" s="102" t="s">
        <v>111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673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141</v>
      </c>
      <c r="AQ23" s="123">
        <v>180</v>
      </c>
      <c r="AR23" s="123">
        <v>69</v>
      </c>
      <c r="AS23" s="126" t="s">
        <v>682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876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79">
        <f ca="1">IFERROR(IF(VLOOKUP(A23,OFFSET($AG$2,,,COUNTIF($AG$2:$AG$50,"?*"),23),2,FALSE)&lt;&gt;0,YEAR(VLOOKUP(A23,OFFSET($AG$2,,,COUNTIF($AG$2:$AG$50,"?*"),23),2,FALSE)),""),"")</f>
        <v>1990</v>
      </c>
      <c r="C24" s="380"/>
      <c r="D24" s="117">
        <f ca="1">IFERROR(VLOOKUP(A23,OFFSET($AG$2,,,COUNTIF($AG$2:$AG$50,"?*"),23),15,FALSE),"")</f>
        <v>31</v>
      </c>
      <c r="E24" s="381" t="str">
        <f ca="1">IFERROR(VLOOKUP(A23,OFFSET($AG$2,,,COUNTIF($AG$2:$AG$50,"?*"),23),16,FALSE),"")</f>
        <v>186/86</v>
      </c>
      <c r="F24" s="382"/>
      <c r="M24" s="4" t="str">
        <f ca="1">IFERROR(IF(VLOOKUP(M23,OFFSET($AG$2,,,COUNTIF($AG$2:$AG$50,"?*"),23),10,FALSE)&lt;&gt;0,VLOOKUP(M23,OFFSET($AG$2,,,COUNTIF($AG$2:$AG$50,"?*"),23),10,FALSE),""),"")</f>
        <v>L</v>
      </c>
      <c r="N24" s="379">
        <f ca="1">IFERROR(IF(VLOOKUP(M23,OFFSET($AG$2,,,COUNTIF($AG$2:$AG$50,"?*"),23),2,FALSE)&lt;&gt;0,YEAR(VLOOKUP(M23,OFFSET($AG$2,,,COUNTIF($AG$2:$AG$50,"?*"),23),2,FALSE)),""),"")</f>
        <v>1986</v>
      </c>
      <c r="O24" s="380"/>
      <c r="P24" s="117">
        <f ca="1">IFERROR(VLOOKUP(M23,OFFSET($AG$2,,,COUNTIF($AG$2:$AG$50,"?*"),23),15,FALSE),"")</f>
        <v>35</v>
      </c>
      <c r="Q24" s="381" t="str">
        <f ca="1">IFERROR(VLOOKUP(M23,OFFSET($AG$2,,,COUNTIF($AG$2:$AG$50,"?*"),23),16,FALSE),"")</f>
        <v>182/79</v>
      </c>
      <c r="R24" s="382"/>
      <c r="S24" s="110" t="s">
        <v>664</v>
      </c>
      <c r="T24" s="102" t="s">
        <v>62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655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141</v>
      </c>
      <c r="AQ24" s="123">
        <v>184</v>
      </c>
      <c r="AR24" s="123">
        <v>91</v>
      </c>
      <c r="AS24" s="126" t="s">
        <v>683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1076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>10 OZ, 5 (0+5), -8 ±</v>
      </c>
      <c r="B25" s="416"/>
      <c r="C25" s="416"/>
      <c r="D25" s="417" t="str">
        <f ca="1">IFERROR(VLOOKUP(A23,OFFSET($AG$2,,,COUNTIF($AG$2:$AG$50,"?*"),23),19,FALSE),"")</f>
        <v>101 OZ, 31 (8+23)</v>
      </c>
      <c r="E25" s="417"/>
      <c r="F25" s="418"/>
      <c r="G25" s="386" t="s">
        <v>660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15" t="str">
        <f ca="1">IFERROR(VLOOKUP(M23,OFFSET($AG$2,,,COUNTIF($AG$2:$AG$50,"?*"),23),18,FALSE),"")</f>
        <v>11 OZ, 1 (1+0), -15 ±</v>
      </c>
      <c r="N25" s="416"/>
      <c r="O25" s="416"/>
      <c r="P25" s="417" t="str">
        <f ca="1">IFERROR(VLOOKUP(M23,OFFSET($AG$2,,,COUNTIF($AG$2:$AG$50,"?*"),23),19,FALSE),"")</f>
        <v>114 OZ, 51 (32+19)</v>
      </c>
      <c r="Q25" s="417"/>
      <c r="R25" s="418"/>
      <c r="S25" s="110" t="s">
        <v>665</v>
      </c>
      <c r="T25" s="102" t="s">
        <v>109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674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141</v>
      </c>
      <c r="AQ25" s="123">
        <v>194</v>
      </c>
      <c r="AR25" s="123">
        <v>89</v>
      </c>
      <c r="AS25" s="126" t="s">
        <v>417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875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FBC Česká Lípa</v>
      </c>
      <c r="B26" s="404"/>
      <c r="C26" s="405"/>
      <c r="D26" s="406">
        <f ca="1">IFERROR(IF(VLOOKUP(A23,OFFSET($AG$2,,,COUNTIF($AG$2:$AG$50,"?*"),23),14,FALSE)&lt;&gt;0,VLOOKUP(A23,OFFSET($AG$2,,,COUNTIF($AG$2:$AG$50,"?*"),23),14,FALSE),"?"),"")</f>
        <v>2006</v>
      </c>
      <c r="E26" s="407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1987</v>
      </c>
      <c r="I26" s="380"/>
      <c r="J26" s="117">
        <f ca="1">IFERROR(VLOOKUP(G25,OFFSET($AG$2,,,COUNTIF($AG$2:$AG$50,"?*"),23),15,FALSE),"")</f>
        <v>34</v>
      </c>
      <c r="K26" s="381" t="str">
        <f ca="1">IFERROR(VLOOKUP(G25,OFFSET($AG$2,,,COUNTIF($AG$2:$AG$50,"?*"),23),16,FALSE),"")</f>
        <v>185/85</v>
      </c>
      <c r="L26" s="382"/>
      <c r="M26" s="403" t="str">
        <f ca="1">IFERROR(IF(VLOOKUP(M23,OFFSET($AG$2,,,COUNTIF($AG$2:$AG$50,"?*"),23),13,FALSE)&lt;&gt;0,VLOOKUP(M23,OFFSET($AG$2,,,COUNTIF($AG$2:$AG$50,"?*"),23),13,FALSE),"?"),"")</f>
        <v>S.K. P.E.M.A. Opava</v>
      </c>
      <c r="N26" s="404"/>
      <c r="O26" s="405"/>
      <c r="P26" s="406">
        <f ca="1">IFERROR(IF(VLOOKUP(M23,OFFSET($AG$2,,,COUNTIF($AG$2:$AG$50,"?*"),23),14,FALSE)&lt;&gt;0,VLOOKUP(M23,OFFSET($AG$2,,,COUNTIF($AG$2:$AG$50,"?*"),23),14,FALSE),"?"),"")</f>
        <v>2005</v>
      </c>
      <c r="Q26" s="407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656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984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1077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11 OZ, 8 (6+2), -9 ±</v>
      </c>
      <c r="H27" s="416"/>
      <c r="I27" s="416"/>
      <c r="J27" s="417" t="str">
        <f ca="1">IFERROR(VLOOKUP(G25,OFFSET($AG$2,,,COUNTIF($AG$2:$AG$50,"?*"),23),19,FALSE),"")</f>
        <v>94 OZ, 28 (18+10)</v>
      </c>
      <c r="K27" s="417"/>
      <c r="L27" s="418"/>
      <c r="S27" s="111"/>
      <c r="AC27" s="102" t="str">
        <f t="shared" ca="1" si="0"/>
        <v/>
      </c>
      <c r="AG27" s="121" t="s">
        <v>659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141</v>
      </c>
      <c r="AQ27" s="123">
        <v>192</v>
      </c>
      <c r="AR27" s="123">
        <v>82</v>
      </c>
      <c r="AS27" s="126" t="s">
        <v>417</v>
      </c>
      <c r="AT27" s="123" t="s">
        <v>228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877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86" t="s">
        <v>659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03" t="str">
        <f ca="1">IFERROR(IF(VLOOKUP(G25,OFFSET($AG$2,,,COUNTIF($AG$2:$AG$50,"?*"),23),13,FALSE)&lt;&gt;0,VLOOKUP(G25,OFFSET($AG$2,,,COUNTIF($AG$2:$AG$50,"?*"),23),13,FALSE),"?"),"")</f>
        <v>Radiaci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1999</v>
      </c>
      <c r="K28" s="407"/>
      <c r="L28" s="7">
        <f ca="1">IFERROR(IF(VLOOKUP(G25,OFFSET($AG$2,,,COUNTIF($AG$2:$AG$50,"?*"),23),7,FALSE)&lt;&gt;0,VLOOKUP(G25,OFFSET($AG$2,,,COUNTIF($AG$2:$AG$50,"?*"),23),7,FALSE),"?"),"")</f>
        <v>6</v>
      </c>
      <c r="M28" s="386" t="s">
        <v>671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653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679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987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79">
        <f ca="1">IFERROR(IF(VLOOKUP(A28,OFFSET($AG$2,,,COUNTIF($AG$2:$AG$50,"?*"),23),2,FALSE)&lt;&gt;0,YEAR(VLOOKUP(A28,OFFSET($AG$2,,,COUNTIF($AG$2:$AG$50,"?*"),23),2,FALSE)),""),"")</f>
        <v>2003</v>
      </c>
      <c r="C29" s="380"/>
      <c r="D29" s="117">
        <f ca="1">IFERROR(VLOOKUP(A28,OFFSET($AG$2,,,COUNTIF($AG$2:$AG$50,"?*"),23),15,FALSE),"")</f>
        <v>18</v>
      </c>
      <c r="E29" s="381" t="str">
        <f ca="1">IFERROR(VLOOKUP(A28,OFFSET($AG$2,,,COUNTIF($AG$2:$AG$50,"?*"),23),16,FALSE),"")</f>
        <v>192/82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1993</v>
      </c>
      <c r="O29" s="380"/>
      <c r="P29" s="117">
        <f ca="1">IFERROR(VLOOKUP(M28,OFFSET($AG$2,,,COUNTIF($AG$2:$AG$50,"?*"),23),15,FALSE),"")</f>
        <v>28</v>
      </c>
      <c r="Q29" s="381" t="str">
        <f ca="1">IFERROR(VLOOKUP(M28,OFFSET($AG$2,,,COUNTIF($AG$2:$AG$50,"?*"),23),16,FALSE),"")</f>
        <v>178/75</v>
      </c>
      <c r="R29" s="382"/>
      <c r="S29" s="111"/>
      <c r="AC29" s="102" t="str">
        <f t="shared" ca="1" si="0"/>
        <v/>
      </c>
      <c r="AG29" s="121" t="s">
        <v>405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141</v>
      </c>
      <c r="AQ29" s="123">
        <v>192</v>
      </c>
      <c r="AR29" s="123">
        <v>90</v>
      </c>
      <c r="AS29" s="126" t="s">
        <v>417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1209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15" t="str">
        <f ca="1">IFERROR(VLOOKUP(A28,OFFSET($AG$2,,,COUNTIF($AG$2:$AG$50,"?*"),23),18,FALSE),"")</f>
        <v>9 OZ, 1 (1+0), +2 ±</v>
      </c>
      <c r="B30" s="416"/>
      <c r="C30" s="416"/>
      <c r="D30" s="417" t="str">
        <f ca="1">IFERROR(VLOOKUP(A28,OFFSET($AG$2,,,COUNTIF($AG$2:$AG$50,"?*"),23),19,FALSE),"")</f>
        <v>30 OZ, 3 (3+0)</v>
      </c>
      <c r="E30" s="417"/>
      <c r="F30" s="418"/>
      <c r="H30" s="419" t="str">
        <f>H$8</f>
        <v>CLP</v>
      </c>
      <c r="I30" s="419"/>
      <c r="J30" s="419"/>
      <c r="K30" s="419"/>
      <c r="M30" s="415" t="str">
        <f ca="1">IFERROR(VLOOKUP(M28,OFFSET($AG$2,,,COUNTIF($AG$2:$AG$50,"?*"),23),18,FALSE),"")</f>
        <v>6 OZ, 3 (2+1), -10 ±</v>
      </c>
      <c r="N30" s="416"/>
      <c r="O30" s="416"/>
      <c r="P30" s="417" t="str">
        <f ca="1">IFERROR(VLOOKUP(M28,OFFSET($AG$2,,,COUNTIF($AG$2:$AG$50,"?*"),23),19,FALSE),"")</f>
        <v>198 OZ, 74 (35+39)</v>
      </c>
      <c r="Q30" s="417"/>
      <c r="R30" s="418"/>
      <c r="S30" s="111"/>
      <c r="AC30" s="102" t="str">
        <f t="shared" ca="1" si="0"/>
        <v/>
      </c>
      <c r="AG30" s="121" t="s">
        <v>657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141</v>
      </c>
      <c r="AQ30" s="123">
        <v>185</v>
      </c>
      <c r="AR30" s="123">
        <v>75</v>
      </c>
      <c r="AS30" s="126" t="s">
        <v>685</v>
      </c>
      <c r="AT30" s="123" t="s">
        <v>228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988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FBC Česká Lípa</v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>-</v>
      </c>
      <c r="E31" s="407"/>
      <c r="F31" s="7">
        <f ca="1">IFERROR(IF(VLOOKUP(A28,OFFSET($AG$2,,,COUNTIF($AG$2:$AG$50,"?*"),23),7,FALSE)&lt;&gt;0,VLOOKUP(A28,OFFSET($AG$2,,,COUNTIF($AG$2:$AG$50,"?*"),23),7,FALSE),"?"),"")</f>
        <v>2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FbK Sokol Mladá Boleslav</v>
      </c>
      <c r="N31" s="404"/>
      <c r="O31" s="405"/>
      <c r="P31" s="406">
        <f ca="1">IFERROR(IF(VLOOKUP(M28,OFFSET($AG$2,,,COUNTIF($AG$2:$AG$50,"?*"),23),14,FALSE)&lt;&gt;0,VLOOKUP(M28,OFFSET($AG$2,,,COUNTIF($AG$2:$AG$50,"?*"),23),14,FALSE),"?"),"")</f>
        <v>2005</v>
      </c>
      <c r="Q31" s="407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675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141</v>
      </c>
      <c r="AQ31" s="123">
        <v>184</v>
      </c>
      <c r="AR31" s="123">
        <v>76</v>
      </c>
      <c r="AS31" s="126" t="s">
        <v>684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1077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 t="s">
        <v>665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14" t="s">
        <v>16</v>
      </c>
      <c r="J34" s="386" t="s">
        <v>984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79">
        <f ca="1">IFERROR(IF(VLOOKUP(A34,OFFSET($AG$2,,,COUNTIF($AG$2:$AG$50,"?*"),23),2,FALSE)&lt;&gt;0,YEAR(VLOOKUP(A34,OFFSET($AG$2,,,COUNTIF($AG$2:$AG$50,"?*"),23),2,FALSE)),""),"")</f>
        <v>1997</v>
      </c>
      <c r="C35" s="380"/>
      <c r="D35" s="117">
        <f ca="1">IFERROR(VLOOKUP(A34,OFFSET($AG$2,,,COUNTIF($AG$2:$AG$50,"?*"),23),15,FALSE),"")</f>
        <v>24</v>
      </c>
      <c r="E35" s="381" t="str">
        <f ca="1">IFERROR(VLOOKUP(A34,OFFSET($AG$2,,,COUNTIF($AG$2:$AG$50,"?*"),23),16,FALSE),"")</f>
        <v>181/79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83" t="str">
        <f ca="1">IFERROR(VLOOKUP(J34,OFFSET($AG$2,,,COUNTIF($AG$2:$AG$50,"?*"),23),15,FALSE),"")</f>
        <v>?</v>
      </c>
      <c r="N35" s="388" t="str">
        <f ca="1">IFERROR(VLOOKUP(J34,OFFSET($AG$2,,,COUNTIF($AG$2:$AG$50,"?*"),23),16,FALSE),"")</f>
        <v>? / ?</v>
      </c>
      <c r="O35" s="388"/>
      <c r="P35" s="388" t="str">
        <f ca="1">IFERROR(VLOOKUP(J34,OFFSET($AG$2,,,COUNTIF($AG$2:$AG$50,"?*"),23),18,FALSE),"")</f>
        <v>6 OZ, 2 (0+2), -5 ±</v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383" t="str">
        <f ca="1">IFERROR(VLOOKUP(A34,OFFSET($AG$2,,,COUNTIF($AG$2:$AG$50,"?*"),23),18,FALSE),"")</f>
        <v>2 V, 3 P</v>
      </c>
      <c r="C36" s="383"/>
      <c r="D36" s="384">
        <f ca="1">IFERROR(VLOOKUP(A34,OFFSET($S$45,,,COUNTIF($S$45:$S$50,"?*"),14),5,FALSE),"")</f>
        <v>29</v>
      </c>
      <c r="E36" s="385"/>
      <c r="F36" s="17">
        <f ca="1">IFERROR(VLOOKUP(A34,OFFSET($S$45,,,COUNTIF($S$45:$S$50,"?*"),14),14,FALSE),"")</f>
        <v>71.568627450980387</v>
      </c>
      <c r="H36" s="414"/>
      <c r="J36" s="18" t="str">
        <f ca="1">IFERROR(IF(VLOOKUP(J34,OFFSET($AG$2,,,COUNTIF($AG$2:$AG$50,"?*"),23),7,FALSE)&lt;&gt;0,VLOOKUP(J34,OFFSET($AG$2,,,COUNTIF($AG$2:$AG$50,"?*"),23),7,FALSE),"?"),"")</f>
        <v>?</v>
      </c>
      <c r="K36" s="390" t="str">
        <f ca="1">IFERROR(VLOOKUP(J34,OFFSET($AG$2,,,COUNTIF($AG$2:$AG$50,"?*"),23),19,FALSE),"")</f>
        <v>6 OZ, 2 (0+2)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?</v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>?</v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225.57</v>
      </c>
      <c r="B37" s="409"/>
      <c r="C37" s="410">
        <f ca="1">IFERROR(VLOOKUP(A34,OFFSET($S$45,,,COUNTIF($S$45:$S$50,"?*"),14),13,FALSE),"")</f>
        <v>7.7137917276233541</v>
      </c>
      <c r="D37" s="411"/>
      <c r="E37" s="412" t="str">
        <f ca="1">IFERROR(VLOOKUP(A34,OFFSET($AG$2,,,COUNTIF($AG$2:$AG$50,"?*"),23),19,FALSE),"")</f>
        <v>48 OZ, 0 A</v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FBC Česká Lípa</v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>-</v>
      </c>
      <c r="E38" s="407"/>
      <c r="F38" s="19">
        <f ca="1">IFERROR(VLOOKUP(A34,OFFSET($S$45,,,COUNTIF($S$45:$S$50,"?*"),14),6,FALSE),"")</f>
        <v>0</v>
      </c>
      <c r="H38" s="414"/>
      <c r="J38" s="386" t="s">
        <v>661</v>
      </c>
      <c r="K38" s="387"/>
      <c r="L38" s="387"/>
      <c r="M38" s="387"/>
      <c r="N38" s="387"/>
      <c r="O38" s="387"/>
      <c r="P38" s="38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>
        <f ca="1">IFERROR(IF(VLOOKUP(J38,OFFSET($AG$2,,,COUNTIF($AG$2:$AG$50,"?*"),23),2,FALSE)&lt;&gt;0,YEAR(VLOOKUP(J38,OFFSET($AG$2,,,COUNTIF($AG$2:$AG$50,"?*"),23),2,FALSE)),""),"")</f>
        <v>2003</v>
      </c>
      <c r="L39" s="388"/>
      <c r="M39" s="183">
        <f ca="1">IFERROR(VLOOKUP(J38,OFFSET($AG$2,,,COUNTIF($AG$2:$AG$50,"?*"),23),15,FALSE),"")</f>
        <v>18</v>
      </c>
      <c r="N39" s="388" t="str">
        <f ca="1">IFERROR(VLOOKUP(J38,OFFSET($AG$2,,,COUNTIF($AG$2:$AG$50,"?*"),23),16,FALSE),"")</f>
        <v>189/91</v>
      </c>
      <c r="O39" s="388"/>
      <c r="P39" s="388" t="str">
        <f ca="1">IFERROR(VLOOKUP(J38,OFFSET($AG$2,,,COUNTIF($AG$2:$AG$50,"?*"),23),18,FALSE),"")</f>
        <v>6 OZ, 0 (0+0), -2 ±</v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 t="s">
        <v>656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14"/>
      <c r="J40" s="18">
        <f ca="1">IFERROR(IF(VLOOKUP(J38,OFFSET($AG$2,,,COUNTIF($AG$2:$AG$50,"?*"),23),7,FALSE)&lt;&gt;0,VLOOKUP(J38,OFFSET($AG$2,,,COUNTIF($AG$2:$AG$50,"?*"),23),7,FALSE),"?"),"")</f>
        <v>1</v>
      </c>
      <c r="K40" s="390" t="str">
        <f ca="1">IFERROR(VLOOKUP(J38,OFFSET($AG$2,,,COUNTIF($AG$2:$AG$50,"?*"),23),19,FALSE),"")</f>
        <v>6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FBC Česká Lípa</v>
      </c>
      <c r="O40" s="391"/>
      <c r="P40" s="391"/>
      <c r="Q40" s="390">
        <f ca="1">IFERROR(IF(VLOOKUP(J38,OFFSET($AG$2,,,COUNTIF($AG$2:$AG$50,"?*"),23),14,FALSE)&lt;&gt;0,VLOOKUP(J38,OFFSET($AG$2,,,COUNTIF($AG$2:$AG$50,"?*"),23),14,FALSE),"?"),"")</f>
        <v>2014</v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79">
        <f ca="1">IFERROR(IF(VLOOKUP(A40,OFFSET($AG$2,,,COUNTIF($AG$2:$AG$50,"?*"),23),2,FALSE)&lt;&gt;0,YEAR(VLOOKUP(A40,OFFSET($AG$2,,,COUNTIF($AG$2:$AG$50,"?*"),23),2,FALSE)),""),"")</f>
        <v>1984</v>
      </c>
      <c r="C41" s="380"/>
      <c r="D41" s="117">
        <f ca="1">IFERROR(VLOOKUP(A40,OFFSET($AG$2,,,COUNTIF($AG$2:$AG$50,"?*"),23),15,FALSE),"")</f>
        <v>37</v>
      </c>
      <c r="E41" s="381" t="str">
        <f ca="1">IFERROR(VLOOKUP(A40,OFFSET($AG$2,,,COUNTIF($AG$2:$AG$50,"?*"),23),16,FALSE),"")</f>
        <v>172/72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383" t="str">
        <f ca="1">IFERROR(VLOOKUP(A40,OFFSET($AG$2,,,COUNTIF($AG$2:$AG$50,"?*"),23),18,FALSE),"")</f>
        <v>1 V, 7 P</v>
      </c>
      <c r="C42" s="383"/>
      <c r="D42" s="384">
        <f ca="1">IFERROR(VLOOKUP(A40,OFFSET($S$45,,,COUNTIF($S$45:$S$50,"?*"),14),5,FALSE),"")</f>
        <v>53</v>
      </c>
      <c r="E42" s="385"/>
      <c r="F42" s="17">
        <f ca="1">IFERROR(VLOOKUP(A40,OFFSET($S$45,,,COUNTIF($S$45:$S$50,"?*"),14),14,FALSE),"")</f>
        <v>76.339285714285708</v>
      </c>
      <c r="H42" s="414"/>
      <c r="J42" s="386" t="s">
        <v>664</v>
      </c>
      <c r="K42" s="387"/>
      <c r="L42" s="387"/>
      <c r="M42" s="387"/>
      <c r="N42" s="387"/>
      <c r="O42" s="387"/>
      <c r="P42" s="387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>
        <f ca="1">IFERROR(VLOOKUP(A40,OFFSET($S$45,,,COUNTIF($S$45:$S$50,"?*"),14),3,FALSE),"")</f>
        <v>409.45</v>
      </c>
      <c r="B43" s="409"/>
      <c r="C43" s="410">
        <f ca="1">IFERROR(VLOOKUP(A40,OFFSET($S$45,,,COUNTIF($S$45:$S$50,"?*"),14),13,FALSE),"")</f>
        <v>7.7665160581267552</v>
      </c>
      <c r="D43" s="411"/>
      <c r="E43" s="412" t="str">
        <f ca="1">IFERROR(VLOOKUP(A40,OFFSET($AG$2,,,COUNTIF($AG$2:$AG$50,"?*"),23),19,FALSE),"")</f>
        <v>140 OZ, 7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>L</v>
      </c>
      <c r="K43" s="380">
        <f ca="1">IFERROR(IF(VLOOKUP(J42,OFFSET($AG$2,,,COUNTIF($AG$2:$AG$50,"?*"),23),2,FALSE)&lt;&gt;0,YEAR(VLOOKUP(J42,OFFSET($AG$2,,,COUNTIF($AG$2:$AG$50,"?*"),23),2,FALSE)),""),"")</f>
        <v>2004</v>
      </c>
      <c r="L43" s="388"/>
      <c r="M43" s="183">
        <f ca="1">IFERROR(VLOOKUP(J42,OFFSET($AG$2,,,COUNTIF($AG$2:$AG$50,"?*"),23),15,FALSE),"")</f>
        <v>17</v>
      </c>
      <c r="N43" s="388" t="str">
        <f ca="1">IFERROR(VLOOKUP(J42,OFFSET($AG$2,,,COUNTIF($AG$2:$AG$50,"?*"),23),16,FALSE),"")</f>
        <v>? / ?</v>
      </c>
      <c r="O43" s="388"/>
      <c r="P43" s="388" t="str">
        <f ca="1">IFERROR(VLOOKUP(J42,OFFSET($AG$2,,,COUNTIF($AG$2:$AG$50,"?*"),23),18,FALSE),"")</f>
        <v>7 OZ, 0 (0+0), -1 ±</v>
      </c>
      <c r="Q43" s="388"/>
      <c r="R43" s="389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Taifun Moskva</v>
      </c>
      <c r="B44" s="404"/>
      <c r="C44" s="405"/>
      <c r="D44" s="406">
        <f ca="1">IFERROR(IF(VLOOKUP(A40,OFFSET($AG$2,,,COUNTIF($AG$2:$AG$50,"?*"),23),14,FALSE)&lt;&gt;0,VLOOKUP(A40,OFFSET($AG$2,,,COUNTIF($AG$2:$AG$50,"?*"),23),14,FALSE),"?"),"")</f>
        <v>1998</v>
      </c>
      <c r="E44" s="407"/>
      <c r="F44" s="19">
        <f ca="1">IFERROR(VLOOKUP(A40,OFFSET($S$45,,,COUNTIF($S$45:$S$50,"?*"),14),6,FALSE),"")</f>
        <v>0</v>
      </c>
      <c r="H44" s="414"/>
      <c r="J44" s="18">
        <f ca="1">IFERROR(IF(VLOOKUP(J42,OFFSET($AG$2,,,COUNTIF($AG$2:$AG$50,"?*"),23),7,FALSE)&lt;&gt;0,VLOOKUP(J42,OFFSET($AG$2,,,COUNTIF($AG$2:$AG$50,"?*"),23),7,FALSE),"?"),"")</f>
        <v>1</v>
      </c>
      <c r="K44" s="390" t="str">
        <f ca="1">IFERROR(VLOOKUP(J42,OFFSET($AG$2,,,COUNTIF($AG$2:$AG$50,"?*"),23),19,FALSE),"")</f>
        <v>7 OZ, 0 (0+0)</v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>FBC Česká Lípa</v>
      </c>
      <c r="O44" s="391"/>
      <c r="P44" s="391"/>
      <c r="Q44" s="390">
        <f ca="1">IFERROR(IF(VLOOKUP(J42,OFFSET($AG$2,,,COUNTIF($AG$2:$AG$50,"?*"),23),14,FALSE)&lt;&gt;0,VLOOKUP(J42,OFFSET($AG$2,,,COUNTIF($AG$2:$AG$50,"?*"),23),14,FALSE),"?"),"")</f>
        <v>2012</v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656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665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 t="s">
        <v>686</v>
      </c>
      <c r="B47" s="376"/>
      <c r="C47" s="376"/>
      <c r="D47" s="376"/>
      <c r="E47" s="377" t="str">
        <f ca="1">IFERROR(VLOOKUP(A47,OFFSET($BN$2,,,COUNTIF($BN$2:$BN$11,"?*"),5),3,FALSE),"")</f>
        <v>trenér</v>
      </c>
      <c r="F47" s="377"/>
      <c r="G47" s="377"/>
      <c r="H47" s="377"/>
      <c r="I47" s="378"/>
      <c r="J47" s="375" t="s">
        <v>687</v>
      </c>
      <c r="K47" s="376"/>
      <c r="L47" s="376"/>
      <c r="M47" s="376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 t="s">
        <v>1203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>
        <f ca="1">IFERROR(VLOOKUP(A47,OFFSET($BN$2,,,COUNTIF($BN$2:$BN$11,"?*"),5),5,FALSE),"")</f>
        <v>36</v>
      </c>
      <c r="B48" s="395" t="str">
        <f ca="1">IFERROR(IF(VLOOKUP(A47,OFFSET($BN$2,,,COUNTIF($BN$2:$BN$11,"?*"),5),4,FALSE)&lt;&gt;0,VLOOKUP(A47,OFFSET($BN$2,,,COUNTIF($BN$2:$BN$11,"?*"),5),4,FALSE),"-"),"")</f>
        <v>-</v>
      </c>
      <c r="C48" s="395"/>
      <c r="D48" s="395"/>
      <c r="E48" s="395"/>
      <c r="F48" s="395"/>
      <c r="G48" s="395"/>
      <c r="H48" s="395"/>
      <c r="I48" s="396"/>
      <c r="J48" s="119">
        <f ca="1">IFERROR(VLOOKUP(J47,OFFSET($BN$2,,,COUNTIF($BN$2:$BN$11,"?*"),5),5,FALSE),"")</f>
        <v>38</v>
      </c>
      <c r="K48" s="399" t="str">
        <f ca="1">IFERROR(IF(VLOOKUP(J47,OFFSET($BN$2,,,COUNTIF($BN$2:$BN$11,"?*"),5),4,FALSE)&lt;&gt;0,VLOOKUP(J47,OFFSET($BN$2,,,COUNTIF($BN$2:$BN$11,"?*"),5),4,FALSE),"-"),"")</f>
        <v>-</v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 t="s">
        <v>688</v>
      </c>
      <c r="K49" s="402"/>
      <c r="L49" s="402"/>
      <c r="M49" s="402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>
        <f ca="1">IFERROR(VLOOKUP(J49,OFFSET($BN$2,,,COUNTIF($BN$2:$BN$11,"?*"),5),5,FALSE),"")</f>
        <v>34</v>
      </c>
      <c r="K50" s="399" t="str">
        <f ca="1">IFERROR(IF(VLOOKUP(J49,OFFSET($BN$2,,,COUNTIF($BN$2:$BN$11,"?*"),5),4,FALSE)&lt;&gt;0,VLOOKUP(J49,OFFSET($BN$2,,,COUNTIF($BN$2:$BN$11,"?*"),5),4,FALSE),"-"),"")</f>
        <v>-</v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715</v>
      </c>
      <c r="U2" s="102">
        <v>11</v>
      </c>
      <c r="V2" s="102">
        <v>4</v>
      </c>
      <c r="W2" s="102">
        <v>1</v>
      </c>
      <c r="X2" s="102">
        <v>0</v>
      </c>
      <c r="Y2" s="102">
        <v>8</v>
      </c>
      <c r="Z2" s="102">
        <v>12</v>
      </c>
      <c r="AA2" s="102">
        <v>6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732</v>
      </c>
      <c r="BU2" s="103">
        <v>12</v>
      </c>
      <c r="BV2" s="104" t="str">
        <f>IFERROR(RIGHT(BT2,LEN(BT2)-SEARCH(" ",BT2)),"")</f>
        <v>Lukáš Jalový</v>
      </c>
      <c r="BW2" s="102">
        <f>IF(BT2&lt;&gt;0,_xlfn.NUMBERVALUE(BU2,","),"")</f>
        <v>12</v>
      </c>
      <c r="BX2" s="373" t="s">
        <v>200</v>
      </c>
      <c r="BY2" s="103" t="s">
        <v>874</v>
      </c>
      <c r="BZ2" s="103" t="s">
        <v>848</v>
      </c>
      <c r="CA2" s="115" t="s">
        <v>1237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719</v>
      </c>
      <c r="T3" s="102" t="s">
        <v>62</v>
      </c>
      <c r="U3" s="102">
        <v>11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2</v>
      </c>
      <c r="AB3" s="102">
        <v>-4</v>
      </c>
      <c r="AC3" s="102" t="str">
        <f t="shared" ca="1" si="0"/>
        <v>ANO</v>
      </c>
      <c r="AG3" s="121" t="s">
        <v>719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11 OZ, 10 (6+4), -4 ±</v>
      </c>
      <c r="AY3" s="129" t="str">
        <f t="shared" ca="1" si="2"/>
        <v>11 OZ, 10 (6+4)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4"/>
      <c r="BT3" s="104" t="s">
        <v>879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373"/>
      <c r="BY3" s="103" t="s">
        <v>854</v>
      </c>
      <c r="BZ3" s="103" t="s">
        <v>859</v>
      </c>
      <c r="CA3" s="115" t="s">
        <v>1066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728</v>
      </c>
      <c r="U4" s="102">
        <v>11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725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11 OZ, 1 (1+0), -11 ±</v>
      </c>
      <c r="AY4" s="129" t="str">
        <f t="shared" ca="1" si="2"/>
        <v>11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4"/>
      <c r="BT4" s="104" t="s">
        <v>825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373"/>
      <c r="BY4" s="103" t="s">
        <v>866</v>
      </c>
      <c r="BZ4" s="103" t="s">
        <v>860</v>
      </c>
      <c r="CA4" s="115" t="s">
        <v>1090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714</v>
      </c>
      <c r="T5" s="102" t="s">
        <v>111</v>
      </c>
      <c r="U5" s="102">
        <v>11</v>
      </c>
      <c r="V5" s="102">
        <v>5</v>
      </c>
      <c r="W5" s="102">
        <v>2</v>
      </c>
      <c r="X5" s="102">
        <v>0</v>
      </c>
      <c r="Y5" s="102">
        <v>2</v>
      </c>
      <c r="Z5" s="102">
        <v>7</v>
      </c>
      <c r="AA5" s="102">
        <v>2</v>
      </c>
      <c r="AB5" s="102">
        <v>-8</v>
      </c>
      <c r="AC5" s="102" t="str">
        <f t="shared" ca="1" si="0"/>
        <v>ANO</v>
      </c>
      <c r="AG5" s="121" t="s">
        <v>714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11 OZ, 7 (5+2), -8 ±</v>
      </c>
      <c r="AY5" s="129" t="str">
        <f t="shared" ca="1" si="2"/>
        <v>11 OZ, 7 (5+2)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880</v>
      </c>
      <c r="BU5" s="103">
        <v>7</v>
      </c>
      <c r="BV5" s="104" t="str">
        <f t="shared" si="13"/>
        <v>Marek Fuchs</v>
      </c>
      <c r="BW5" s="102">
        <f t="shared" si="14"/>
        <v>7</v>
      </c>
      <c r="BX5" s="373"/>
      <c r="BY5" s="103" t="s">
        <v>989</v>
      </c>
      <c r="BZ5" s="103" t="s">
        <v>862</v>
      </c>
      <c r="CA5" s="115" t="s">
        <v>1238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731</v>
      </c>
      <c r="U6" s="102">
        <v>11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4</v>
      </c>
      <c r="AB6" s="102">
        <v>-7</v>
      </c>
      <c r="AC6" s="102" t="str">
        <f t="shared" ca="1" si="0"/>
        <v>ANO</v>
      </c>
      <c r="AG6" s="121" t="s">
        <v>504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11 OZ, 4 (2+2), -15 ±</v>
      </c>
      <c r="AY6" s="129" t="str">
        <f t="shared" ca="1" si="2"/>
        <v>11 OZ, 4 (2+2)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1218</v>
      </c>
      <c r="BU6" s="103">
        <v>6</v>
      </c>
      <c r="BV6" s="104" t="str">
        <f t="shared" si="13"/>
        <v>Šimon Hronek</v>
      </c>
      <c r="BW6" s="102">
        <f t="shared" si="14"/>
        <v>6</v>
      </c>
      <c r="BX6" s="373"/>
      <c r="BY6" s="103" t="s">
        <v>1157</v>
      </c>
      <c r="BZ6" s="103" t="s">
        <v>861</v>
      </c>
      <c r="CA6" s="115" t="s">
        <v>1239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717</v>
      </c>
      <c r="U7" s="102">
        <v>11</v>
      </c>
      <c r="V7" s="102">
        <v>1</v>
      </c>
      <c r="W7" s="102">
        <v>0</v>
      </c>
      <c r="X7" s="102">
        <v>0</v>
      </c>
      <c r="Y7" s="102">
        <v>4</v>
      </c>
      <c r="Z7" s="102">
        <v>5</v>
      </c>
      <c r="AA7" s="102">
        <v>0</v>
      </c>
      <c r="AB7" s="102">
        <v>-13</v>
      </c>
      <c r="AC7" s="102" t="str">
        <f t="shared" ca="1" si="0"/>
        <v>ANO</v>
      </c>
      <c r="AG7" s="121" t="s">
        <v>731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11 OZ, 6 (3+3), -7 ±</v>
      </c>
      <c r="AY7" s="129" t="str">
        <f t="shared" ca="1" si="2"/>
        <v>11 OZ, 6 (3+3)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1219</v>
      </c>
      <c r="BU7" s="103" t="s">
        <v>1220</v>
      </c>
      <c r="BV7" s="104" t="str">
        <f t="shared" si="13"/>
        <v>Zdeněk Raška</v>
      </c>
      <c r="BW7" s="112">
        <f t="shared" si="14"/>
        <v>6.9</v>
      </c>
      <c r="BX7" s="373" t="s">
        <v>201</v>
      </c>
      <c r="BY7" s="103" t="s">
        <v>1068</v>
      </c>
      <c r="BZ7" s="103" t="s">
        <v>846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101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729</v>
      </c>
      <c r="T8" s="102" t="s">
        <v>62</v>
      </c>
      <c r="U8" s="102">
        <v>11</v>
      </c>
      <c r="V8" s="102">
        <v>3</v>
      </c>
      <c r="W8" s="102">
        <v>0</v>
      </c>
      <c r="X8" s="102">
        <v>0</v>
      </c>
      <c r="Y8" s="102">
        <v>1</v>
      </c>
      <c r="Z8" s="102">
        <v>4</v>
      </c>
      <c r="AA8" s="102">
        <v>4</v>
      </c>
      <c r="AB8" s="102">
        <v>-19</v>
      </c>
      <c r="AC8" s="102" t="str">
        <f t="shared" ca="1" si="0"/>
        <v>ANO</v>
      </c>
      <c r="AG8" s="121" t="s">
        <v>715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11 OZ, 12 (4+8), -7 ±</v>
      </c>
      <c r="AY8" s="129" t="str">
        <f t="shared" ca="1" si="2"/>
        <v>11 OZ, 12 (4+8)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1221</v>
      </c>
      <c r="BU8" s="103" t="s">
        <v>1079</v>
      </c>
      <c r="BV8" s="104" t="str">
        <f t="shared" si="13"/>
        <v>Filip Létal</v>
      </c>
      <c r="BW8" s="112">
        <f t="shared" si="14"/>
        <v>7.42</v>
      </c>
      <c r="BX8" s="373"/>
      <c r="BY8" s="103" t="s">
        <v>1176</v>
      </c>
      <c r="BZ8" s="103" t="s">
        <v>893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718</v>
      </c>
      <c r="U9" s="102">
        <v>10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7</v>
      </c>
      <c r="AB9" s="102">
        <v>-11</v>
      </c>
      <c r="AC9" s="102" t="str">
        <f t="shared" ca="1" si="0"/>
        <v>ANO</v>
      </c>
      <c r="AG9" s="121" t="s">
        <v>724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9 OZ, 4 (0+4), -6 ±</v>
      </c>
      <c r="AY9" s="129" t="str">
        <f t="shared" ca="1" si="2"/>
        <v>9 OZ, 4 (0+4)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1222</v>
      </c>
      <c r="BU9" s="103" t="s">
        <v>1080</v>
      </c>
      <c r="BV9" s="104" t="str">
        <f t="shared" si="13"/>
        <v>Ondřej Kolajta</v>
      </c>
      <c r="BW9" s="112">
        <f t="shared" si="14"/>
        <v>9.09</v>
      </c>
      <c r="BX9" s="373"/>
      <c r="BY9" s="103" t="s">
        <v>1159</v>
      </c>
      <c r="BZ9" s="103" t="s">
        <v>850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504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8</v>
      </c>
      <c r="AB10" s="102">
        <v>-15</v>
      </c>
      <c r="AC10" s="102" t="str">
        <f t="shared" ca="1" si="0"/>
        <v>ANO</v>
      </c>
      <c r="AG10" s="121" t="s">
        <v>727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1160</v>
      </c>
      <c r="BZ10" s="103" t="s">
        <v>871</v>
      </c>
      <c r="CA10" s="115" t="s">
        <v>196</v>
      </c>
    </row>
    <row r="11" spans="1:79" ht="15" customHeight="1" thickTop="1" thickBot="1" x14ac:dyDescent="0.25">
      <c r="R11" s="13"/>
      <c r="S11" s="110" t="s">
        <v>730</v>
      </c>
      <c r="T11" s="102" t="s">
        <v>62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-11</v>
      </c>
      <c r="AC11" s="102" t="str">
        <f t="shared" ca="1" si="0"/>
        <v>ANO</v>
      </c>
      <c r="AG11" s="121" t="s">
        <v>729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11 OZ, 4 (3+1), -19 ±</v>
      </c>
      <c r="AY11" s="129" t="str">
        <f t="shared" ca="1" si="2"/>
        <v>11 OZ, 4 (3+1)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1240</v>
      </c>
      <c r="BZ11" s="103" t="s">
        <v>864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724</v>
      </c>
      <c r="T12" s="102" t="s">
        <v>111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721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-6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809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199</v>
      </c>
      <c r="BY12" s="100" t="s">
        <v>1241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723</v>
      </c>
      <c r="T13" s="102" t="s">
        <v>111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726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10 OZ, 2 (1+1), -14 ±</v>
      </c>
      <c r="AY13" s="129" t="str">
        <f t="shared" ca="1" si="2"/>
        <v>10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879</v>
      </c>
      <c r="BU13" s="103">
        <v>6</v>
      </c>
      <c r="BV13" s="104" t="str">
        <f t="shared" si="13"/>
        <v>Tomáš Brom</v>
      </c>
      <c r="BW13" s="102">
        <f t="shared" si="14"/>
        <v>6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726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716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1223</v>
      </c>
      <c r="BU14" s="103">
        <v>5</v>
      </c>
      <c r="BV14" s="104" t="str">
        <f t="shared" si="13"/>
        <v>Marek Fuchs</v>
      </c>
      <c r="BW14" s="102">
        <f t="shared" si="14"/>
        <v>5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725</v>
      </c>
      <c r="T15" s="102" t="s">
        <v>111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718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10 OZ, 4 (2+2), -11 ±</v>
      </c>
      <c r="AY15" s="129" t="str">
        <f t="shared" ca="1" si="2"/>
        <v>10 OZ, 4 (2+2)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1224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1233</v>
      </c>
      <c r="T16" s="102" t="s">
        <v>111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723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11 OZ, 2 (2+0), -17 ±</v>
      </c>
      <c r="AY16" s="129" t="str">
        <f t="shared" ca="1" si="2"/>
        <v>11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1225</v>
      </c>
      <c r="BU16" s="103">
        <v>3</v>
      </c>
      <c r="BV16" s="104" t="str">
        <f t="shared" si="13"/>
        <v>Matěj Kostka</v>
      </c>
      <c r="BW16" s="102">
        <f t="shared" si="14"/>
        <v>3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1234</v>
      </c>
      <c r="T17" s="102" t="s">
        <v>62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730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10 OZ, 4 (1+3), -11 ±</v>
      </c>
      <c r="AY17" s="129" t="str">
        <f t="shared" ca="1" si="2"/>
        <v>10 OZ, 4 (1+3)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1219</v>
      </c>
      <c r="BU17" s="103">
        <v>1</v>
      </c>
      <c r="BV17" s="104" t="str">
        <f t="shared" si="13"/>
        <v>Zdeněk Raška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1235</v>
      </c>
      <c r="T18" s="102" t="s">
        <v>111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728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11 OZ, 9 (8+1), -11 ±</v>
      </c>
      <c r="AY18" s="129" t="str">
        <f t="shared" ca="1" si="2"/>
        <v>11 OZ, 9 (8+1)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1221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HAT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1236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NE</v>
      </c>
      <c r="AG19" s="121" t="s">
        <v>722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11 OZ, 0 (0+0), -14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1222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514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717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11 OZ, 5 (1+4), -13 ±</v>
      </c>
      <c r="AY20" s="129" t="str">
        <f t="shared" ca="1" si="2"/>
        <v>11 OZ, 5 (1+4)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721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720</v>
      </c>
      <c r="T22" s="102" t="s">
        <v>111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4" t="s">
        <v>38</v>
      </c>
      <c r="BT22" s="104" t="s">
        <v>732</v>
      </c>
      <c r="BU22" s="103">
        <v>8</v>
      </c>
      <c r="BV22" s="104" t="str">
        <f t="shared" si="13"/>
        <v>Lukáš Jalový</v>
      </c>
      <c r="BW22" s="102">
        <f t="shared" si="14"/>
        <v>8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716</v>
      </c>
      <c r="T23" s="102" t="s">
        <v>109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4"/>
      <c r="BT23" s="104" t="s">
        <v>1226</v>
      </c>
      <c r="BU23" s="103">
        <v>4</v>
      </c>
      <c r="BV23" s="104" t="str">
        <f t="shared" si="13"/>
        <v>Jiří Juhaňák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808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-3</v>
      </c>
      <c r="AC24" s="102" t="str">
        <f t="shared" ca="1" si="0"/>
        <v>NE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4"/>
      <c r="BT24" s="104" t="s">
        <v>1227</v>
      </c>
      <c r="BU24" s="103">
        <v>4</v>
      </c>
      <c r="BV24" s="104" t="str">
        <f t="shared" si="13"/>
        <v>Lukáš Vlach</v>
      </c>
      <c r="BW24" s="102">
        <f t="shared" si="14"/>
        <v>4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727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4"/>
      <c r="BT25" s="104" t="s">
        <v>1228</v>
      </c>
      <c r="BU25" s="103">
        <v>4</v>
      </c>
      <c r="BV25" s="104" t="str">
        <f t="shared" si="13"/>
        <v>Tomáš Brom</v>
      </c>
      <c r="BW25" s="102">
        <f t="shared" si="14"/>
        <v>4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722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4"/>
      <c r="BT26" s="104" t="s">
        <v>1229</v>
      </c>
      <c r="BU26" s="103">
        <v>3</v>
      </c>
      <c r="BV26" s="104" t="str">
        <f t="shared" si="13"/>
        <v>David Sládeček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1230</v>
      </c>
      <c r="BU27" s="103">
        <v>8</v>
      </c>
      <c r="BV27" s="104" t="str">
        <f t="shared" si="13"/>
        <v>Matěj Hronek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1231</v>
      </c>
      <c r="BU28" s="103">
        <v>8</v>
      </c>
      <c r="BV28" s="104" t="str">
        <f t="shared" si="13"/>
        <v>René Slezák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1232</v>
      </c>
      <c r="BU29" s="103">
        <v>7</v>
      </c>
      <c r="BV29" s="104" t="str">
        <f t="shared" si="13"/>
        <v>Lukáš Lhota</v>
      </c>
      <c r="BW29" s="102">
        <f t="shared" si="14"/>
        <v>7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HAT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1224</v>
      </c>
      <c r="BU30" s="103">
        <v>6</v>
      </c>
      <c r="BV30" s="104" t="str">
        <f t="shared" si="13"/>
        <v>Lukáš Jalový</v>
      </c>
      <c r="BW30" s="102">
        <f t="shared" si="14"/>
        <v>6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1081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514</v>
      </c>
      <c r="T45" s="102">
        <v>6</v>
      </c>
      <c r="U45" s="112">
        <v>356.7</v>
      </c>
      <c r="V45" s="102">
        <v>1</v>
      </c>
      <c r="W45" s="102">
        <v>41</v>
      </c>
      <c r="X45" s="102">
        <v>0</v>
      </c>
      <c r="Y45" s="102">
        <v>148</v>
      </c>
      <c r="Z45" s="102">
        <v>0</v>
      </c>
      <c r="AA45" s="102">
        <v>5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6.8965517241379315</v>
      </c>
      <c r="AF45" s="112">
        <f>IF(S45&lt;&gt;"",IF(Y45&gt;0,(AB45/Y45)*100,"-"),"")</f>
        <v>72.297297297297305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716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5">IF(S46&lt;&gt;"",IF(T46&gt;0,W46/(U46/60),0),"")</f>
        <v>7.4177097821047768</v>
      </c>
      <c r="AF46" s="112">
        <f t="shared" ref="AF46:AF50" si="26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727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5"/>
        <v>9.0946190170815591</v>
      </c>
      <c r="AF47" s="112">
        <f t="shared" si="26"/>
        <v>62.857142857142854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261</v>
      </c>
      <c r="T2" s="102" t="s">
        <v>111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270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291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307</v>
      </c>
      <c r="BO2" s="122">
        <v>31582</v>
      </c>
      <c r="BP2" s="131" t="s">
        <v>244</v>
      </c>
      <c r="BQ2" s="132" t="s">
        <v>308</v>
      </c>
      <c r="BR2" s="127">
        <f ca="1">IF(BN2&lt;&gt;"",IF(BO2&lt;&gt;"",INT((TODAY()-BO2)/365),"?"),"")</f>
        <v>35</v>
      </c>
      <c r="BS2" s="374" t="s">
        <v>36</v>
      </c>
      <c r="BT2" s="104" t="s">
        <v>783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373" t="s">
        <v>200</v>
      </c>
      <c r="BY2" s="103" t="s">
        <v>874</v>
      </c>
      <c r="BZ2" s="103" t="s">
        <v>878</v>
      </c>
      <c r="CA2" s="115" t="s">
        <v>1242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264</v>
      </c>
      <c r="T3" s="102" t="s">
        <v>111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278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141</v>
      </c>
      <c r="AQ3" s="123">
        <v>182</v>
      </c>
      <c r="AR3" s="123">
        <v>76</v>
      </c>
      <c r="AS3" s="126" t="s">
        <v>68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309</v>
      </c>
      <c r="BO3" s="122">
        <v>26801</v>
      </c>
      <c r="BP3" s="131" t="s">
        <v>245</v>
      </c>
      <c r="BQ3" s="132" t="s">
        <v>310</v>
      </c>
      <c r="BR3" s="127">
        <f t="shared" ref="BR3:BR11" ca="1" si="12">IF(BN3&lt;&gt;"",IF(BO3&lt;&gt;"",INT((TODAY()-BO3)/365),"?"),"")</f>
        <v>48</v>
      </c>
      <c r="BS3" s="374"/>
      <c r="BT3" s="104" t="s">
        <v>887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373"/>
      <c r="BY3" s="103" t="s">
        <v>854</v>
      </c>
      <c r="BZ3" s="103" t="s">
        <v>844</v>
      </c>
      <c r="CA3" s="115" t="s">
        <v>1243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267</v>
      </c>
      <c r="T4" s="102" t="s">
        <v>111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279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141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289</v>
      </c>
      <c r="BO4" s="122">
        <v>28909</v>
      </c>
      <c r="BP4" s="131" t="s">
        <v>245</v>
      </c>
      <c r="BQ4" s="132" t="s">
        <v>311</v>
      </c>
      <c r="BR4" s="127">
        <f t="shared" ca="1" si="12"/>
        <v>42</v>
      </c>
      <c r="BS4" s="374"/>
      <c r="BT4" s="104" t="s">
        <v>1246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373"/>
      <c r="BY4" s="103" t="s">
        <v>852</v>
      </c>
      <c r="BZ4" s="103" t="s">
        <v>886</v>
      </c>
      <c r="CA4" s="115" t="s">
        <v>1244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260</v>
      </c>
      <c r="T5" s="102" t="s">
        <v>111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268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141</v>
      </c>
      <c r="AQ5" s="123">
        <v>183</v>
      </c>
      <c r="AR5" s="123">
        <v>92</v>
      </c>
      <c r="AS5" s="126" t="s">
        <v>292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312</v>
      </c>
      <c r="BO5" s="122">
        <v>31168</v>
      </c>
      <c r="BP5" s="131" t="s">
        <v>313</v>
      </c>
      <c r="BQ5" s="132" t="s">
        <v>314</v>
      </c>
      <c r="BR5" s="127">
        <f t="shared" ca="1" si="12"/>
        <v>36</v>
      </c>
      <c r="BS5" s="374"/>
      <c r="BT5" s="104" t="s">
        <v>1088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373"/>
      <c r="BY5" s="103" t="s">
        <v>885</v>
      </c>
      <c r="BZ5" s="103" t="s">
        <v>846</v>
      </c>
      <c r="CA5" s="115" t="s">
        <v>1083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268</v>
      </c>
      <c r="T6" s="102" t="s">
        <v>111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280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293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315</v>
      </c>
      <c r="BO6" s="122">
        <v>32514</v>
      </c>
      <c r="BP6" s="131" t="s">
        <v>316</v>
      </c>
      <c r="BQ6" s="132" t="s">
        <v>317</v>
      </c>
      <c r="BR6" s="127">
        <f t="shared" ca="1" si="12"/>
        <v>32</v>
      </c>
      <c r="BS6" s="374"/>
      <c r="BT6" s="104" t="s">
        <v>1247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373"/>
      <c r="BY6" s="103" t="s">
        <v>771</v>
      </c>
      <c r="BZ6" s="103" t="s">
        <v>870</v>
      </c>
      <c r="CA6" s="115" t="s">
        <v>1084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270</v>
      </c>
      <c r="T7" s="102" t="s">
        <v>62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281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141</v>
      </c>
      <c r="AQ7" s="123">
        <v>175</v>
      </c>
      <c r="AR7" s="123">
        <v>67</v>
      </c>
      <c r="AS7" s="126" t="s">
        <v>294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1085</v>
      </c>
      <c r="BU7" s="103" t="s">
        <v>1248</v>
      </c>
      <c r="BV7" s="104" t="str">
        <f t="shared" si="13"/>
        <v>Karel Hodík</v>
      </c>
      <c r="BW7" s="112">
        <f t="shared" si="14"/>
        <v>5.42</v>
      </c>
      <c r="BX7" s="373" t="s">
        <v>201</v>
      </c>
      <c r="BY7" s="103" t="s">
        <v>985</v>
      </c>
      <c r="BZ7" s="103" t="s">
        <v>851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24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266</v>
      </c>
      <c r="T8" s="102" t="s">
        <v>111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282</v>
      </c>
      <c r="AH8" s="122"/>
      <c r="AI8" s="123"/>
      <c r="AJ8" s="123"/>
      <c r="AK8" s="123"/>
      <c r="AL8" s="124">
        <f>IF(AG8&lt;&gt;"",AJ8+AK8,"")</f>
        <v>0</v>
      </c>
      <c r="AM8" s="123" t="s">
        <v>290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1086</v>
      </c>
      <c r="BU8" s="103" t="s">
        <v>888</v>
      </c>
      <c r="BV8" s="104" t="str">
        <f t="shared" si="13"/>
        <v>Vojtěch Šimůnek</v>
      </c>
      <c r="BW8" s="112">
        <f t="shared" si="14"/>
        <v>5.64</v>
      </c>
      <c r="BX8" s="373"/>
      <c r="BY8" s="103" t="s">
        <v>1068</v>
      </c>
      <c r="BZ8" s="103" t="s">
        <v>853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277</v>
      </c>
      <c r="T9" s="102" t="s">
        <v>111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283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141</v>
      </c>
      <c r="AQ9" s="123">
        <v>183</v>
      </c>
      <c r="AR9" s="123">
        <v>88</v>
      </c>
      <c r="AS9" s="126" t="s">
        <v>295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890</v>
      </c>
      <c r="BU9" s="103" t="s">
        <v>1249</v>
      </c>
      <c r="BV9" s="104" t="str">
        <f t="shared" si="13"/>
        <v>Karel Pergler</v>
      </c>
      <c r="BW9" s="112">
        <f t="shared" si="14"/>
        <v>1.58</v>
      </c>
      <c r="BX9" s="373"/>
      <c r="BY9" s="103" t="s">
        <v>1176</v>
      </c>
      <c r="BZ9" s="103" t="s">
        <v>862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265</v>
      </c>
      <c r="T10" s="102" t="s">
        <v>111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284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141</v>
      </c>
      <c r="AQ10" s="123">
        <v>176</v>
      </c>
      <c r="AR10" s="123">
        <v>73</v>
      </c>
      <c r="AS10" s="126" t="s">
        <v>145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1159</v>
      </c>
      <c r="BZ10" s="103" t="s">
        <v>861</v>
      </c>
      <c r="CA10" s="115" t="s">
        <v>196</v>
      </c>
    </row>
    <row r="11" spans="1:79" ht="15" customHeight="1" thickTop="1" thickBot="1" x14ac:dyDescent="0.25">
      <c r="R11" s="13"/>
      <c r="S11" s="110" t="s">
        <v>274</v>
      </c>
      <c r="T11" s="102" t="s">
        <v>62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285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141</v>
      </c>
      <c r="AQ11" s="123">
        <v>186</v>
      </c>
      <c r="AR11" s="123">
        <v>84</v>
      </c>
      <c r="AS11" s="126" t="s">
        <v>296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1178</v>
      </c>
      <c r="BZ11" s="103" t="s">
        <v>860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269</v>
      </c>
      <c r="T12" s="102" t="s">
        <v>62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141</v>
      </c>
      <c r="AQ12" s="123">
        <v>177</v>
      </c>
      <c r="AR12" s="123">
        <v>75</v>
      </c>
      <c r="AS12" s="126" t="s">
        <v>297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783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199</v>
      </c>
      <c r="BY12" s="100" t="s">
        <v>1245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263</v>
      </c>
      <c r="T13" s="102" t="s">
        <v>111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264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298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887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279</v>
      </c>
      <c r="T14" s="102" t="s">
        <v>111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277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141</v>
      </c>
      <c r="AQ14" s="123">
        <v>184</v>
      </c>
      <c r="AR14" s="123">
        <v>78</v>
      </c>
      <c r="AS14" s="126" t="s">
        <v>299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784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262</v>
      </c>
      <c r="T15" s="102" t="s">
        <v>62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286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141</v>
      </c>
      <c r="AQ15" s="123">
        <v>182</v>
      </c>
      <c r="AR15" s="123">
        <v>82</v>
      </c>
      <c r="AS15" s="126" t="s">
        <v>300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1250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276</v>
      </c>
      <c r="T16" s="102" t="s">
        <v>111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267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301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1251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785</v>
      </c>
      <c r="T17" s="102" t="s">
        <v>111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112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290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1085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273</v>
      </c>
      <c r="T18" s="102" t="s">
        <v>111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271</v>
      </c>
      <c r="AH18" s="122"/>
      <c r="AI18" s="123"/>
      <c r="AJ18" s="123"/>
      <c r="AK18" s="123"/>
      <c r="AL18" s="124">
        <f>IF(AG18&lt;&gt;"",AJ18+AK18,"")</f>
        <v>0</v>
      </c>
      <c r="AM18" s="123" t="s">
        <v>290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1086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CHO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281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273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141</v>
      </c>
      <c r="AQ19" s="123">
        <v>172</v>
      </c>
      <c r="AR19" s="123">
        <v>73</v>
      </c>
      <c r="AS19" s="126" t="s">
        <v>302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890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1082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269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303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282</v>
      </c>
      <c r="T21" s="102" t="s">
        <v>111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287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303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891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263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304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783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278</v>
      </c>
      <c r="T23" s="102" t="s">
        <v>62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274</v>
      </c>
      <c r="AH23" s="122"/>
      <c r="AI23" s="123"/>
      <c r="AJ23" s="123"/>
      <c r="AK23" s="123"/>
      <c r="AL23" s="124">
        <f>IF(AG23&lt;&gt;"",AJ23+AK23,"")</f>
        <v>0</v>
      </c>
      <c r="AM23" s="123" t="s">
        <v>290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887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275</v>
      </c>
      <c r="T24" s="102" t="s">
        <v>62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288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141</v>
      </c>
      <c r="AQ24" s="123">
        <v>182</v>
      </c>
      <c r="AR24" s="123">
        <v>75</v>
      </c>
      <c r="AS24" s="126" t="s">
        <v>304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1246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272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275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305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889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892</v>
      </c>
      <c r="T26" s="102" t="s">
        <v>111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272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306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1252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0" t="s">
        <v>280</v>
      </c>
      <c r="T27" s="102" t="s">
        <v>109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289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290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1087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271</v>
      </c>
      <c r="T28" s="102" t="s">
        <v>109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261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158</v>
      </c>
      <c r="AP28" s="125" t="s">
        <v>141</v>
      </c>
      <c r="AQ28" s="123">
        <v>178</v>
      </c>
      <c r="AR28" s="123">
        <v>72</v>
      </c>
      <c r="AS28" s="126" t="s">
        <v>68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318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0" t="s">
        <v>288</v>
      </c>
      <c r="T29" s="102" t="s">
        <v>62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262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141</v>
      </c>
      <c r="AQ29" s="123">
        <v>178</v>
      </c>
      <c r="AR29" s="123">
        <v>80</v>
      </c>
      <c r="AS29" s="126" t="s">
        <v>68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1253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CHO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 t="s">
        <v>265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141</v>
      </c>
      <c r="AQ30" s="123">
        <v>184</v>
      </c>
      <c r="AR30" s="123">
        <v>78</v>
      </c>
      <c r="AS30" s="126" t="s">
        <v>298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1250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1254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272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280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271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 t="s">
        <v>203</v>
      </c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420" t="s">
        <v>1</v>
      </c>
      <c r="I1" s="420"/>
      <c r="J1" s="420"/>
      <c r="K1" s="420"/>
      <c r="M1" s="386" t="s">
        <v>209</v>
      </c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79">
        <f ca="1">IFERROR(IF(VLOOKUP(A1,OFFSET($AG$2,,,COUNTIF($AG$2:$AG$50,"?*"),23),2,FALSE)&lt;&gt;0,YEAR(VLOOKUP(A1,OFFSET($AG$2,,,COUNTIF($AG$2:$AG$50,"?*"),23),2,FALSE)),""),"")</f>
        <v>1998</v>
      </c>
      <c r="C2" s="380"/>
      <c r="D2" s="94">
        <f ca="1">IFERROR(VLOOKUP(A1,OFFSET($AG$2,,,COUNTIF($AG$2:$AG$50,"?*"),23),15,FALSE),"")</f>
        <v>23</v>
      </c>
      <c r="E2" s="381" t="str">
        <f ca="1">IFERROR(VLOOKUP(A1,OFFSET($AG$2,,,COUNTIF($AG$2:$AG$50,"?*"),23),16,FALSE),"")</f>
        <v>177/74</v>
      </c>
      <c r="F2" s="382"/>
      <c r="M2" s="4" t="str">
        <f ca="1">IFERROR(IF(VLOOKUP(M1,OFFSET($AG$2,,,COUNTIF($AG$2:$AG$50,"?*"),23),10,FALSE)&lt;&gt;0,VLOOKUP(M1,OFFSET($AG$2,,,COUNTIF($AG$2:$AG$50,"?*"),23),10,FALSE),""),"")</f>
        <v>L</v>
      </c>
      <c r="N2" s="379">
        <f ca="1">IFERROR(IF(VLOOKUP(M1,OFFSET($AG$2,,,COUNTIF($AG$2:$AG$50,"?*"),23),2,FALSE)&lt;&gt;0,YEAR(VLOOKUP(M1,OFFSET($AG$2,,,COUNTIF($AG$2:$AG$50,"?*"),23),2,FALSE)),""),"")</f>
        <v>2003</v>
      </c>
      <c r="O2" s="380"/>
      <c r="P2" s="94">
        <f ca="1">IFERROR(VLOOKUP(M1,OFFSET($AG$2,,,COUNTIF($AG$2:$AG$50,"?*"),23),15,FALSE),"")</f>
        <v>18</v>
      </c>
      <c r="Q2" s="381" t="str">
        <f ca="1">IFERROR(VLOOKUP(M1,OFFSET($AG$2,,,COUNTIF($AG$2:$AG$50,"?*"),23),16,FALSE),"")</f>
        <v>187/83</v>
      </c>
      <c r="R2" s="382"/>
      <c r="S2" s="110" t="s">
        <v>209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210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141</v>
      </c>
      <c r="AQ2" s="123">
        <v>185</v>
      </c>
      <c r="AR2" s="123">
        <v>86</v>
      </c>
      <c r="AS2" s="126" t="s">
        <v>222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239</v>
      </c>
      <c r="BO2" s="122">
        <v>24850</v>
      </c>
      <c r="BP2" s="131" t="s">
        <v>244</v>
      </c>
      <c r="BQ2" s="132" t="s">
        <v>248</v>
      </c>
      <c r="BR2" s="127">
        <f ca="1">IF(BN2&lt;&gt;"",IF(BO2&lt;&gt;"",INT((TODAY()-BO2)/365),"?"),"")</f>
        <v>53</v>
      </c>
      <c r="BS2" s="374" t="s">
        <v>36</v>
      </c>
      <c r="BT2" s="104" t="s">
        <v>1256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373" t="s">
        <v>200</v>
      </c>
      <c r="BY2" s="103" t="s">
        <v>874</v>
      </c>
      <c r="BZ2" s="103" t="s">
        <v>871</v>
      </c>
      <c r="CA2" s="115" t="s">
        <v>804</v>
      </c>
    </row>
    <row r="3" spans="1:79" ht="15" customHeight="1" thickTop="1" thickBot="1" x14ac:dyDescent="0.25">
      <c r="A3" s="415" t="str">
        <f ca="1">IFERROR(VLOOKUP(A1,OFFSET($AG$2,,,COUNTIF($AG$2:$AG$50,"?*"),23),18,FALSE),"")</f>
        <v>11 OZ, 2 (2+0), -3 ±</v>
      </c>
      <c r="B3" s="416"/>
      <c r="C3" s="416"/>
      <c r="D3" s="417" t="str">
        <f ca="1">IFERROR(VLOOKUP(A1,OFFSET($AG$2,,,COUNTIF($AG$2:$AG$50,"?*"),23),19,FALSE),"")</f>
        <v>105 OZ, 31 (22+9)</v>
      </c>
      <c r="E3" s="417"/>
      <c r="F3" s="418"/>
      <c r="G3" s="386" t="s">
        <v>202</v>
      </c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415" t="str">
        <f ca="1">IFERROR(VLOOKUP(M1,OFFSET($AG$2,,,COUNTIF($AG$2:$AG$50,"?*"),23),18,FALSE),"")</f>
        <v>11 OZ, 22 (12+10), +1 ±</v>
      </c>
      <c r="N3" s="416"/>
      <c r="O3" s="416"/>
      <c r="P3" s="417" t="str">
        <f ca="1">IFERROR(VLOOKUP(M1,OFFSET($AG$2,,,COUNTIF($AG$2:$AG$50,"?*"),23),19,FALSE),"")</f>
        <v>29 OZ, 36 (21+15)</v>
      </c>
      <c r="Q3" s="417"/>
      <c r="R3" s="418"/>
      <c r="S3" s="110" t="s">
        <v>206</v>
      </c>
      <c r="T3" s="102" t="s">
        <v>111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223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141</v>
      </c>
      <c r="AQ3" s="123">
        <v>180</v>
      </c>
      <c r="AR3" s="123">
        <v>73</v>
      </c>
      <c r="AS3" s="126" t="s">
        <v>80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240</v>
      </c>
      <c r="BO3" s="122">
        <v>34764</v>
      </c>
      <c r="BP3" s="131" t="s">
        <v>245</v>
      </c>
      <c r="BQ3" s="132"/>
      <c r="BR3" s="127">
        <f t="shared" ref="BR3:BR11" ca="1" si="12">IF(BN3&lt;&gt;"",IF(BO3&lt;&gt;"",INT((TODAY()-BO3)/365),"?"),"")</f>
        <v>26</v>
      </c>
      <c r="BS3" s="374"/>
      <c r="BT3" s="104" t="s">
        <v>788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373"/>
      <c r="BY3" s="103" t="s">
        <v>1091</v>
      </c>
      <c r="BZ3" s="103" t="s">
        <v>850</v>
      </c>
      <c r="CA3" s="115" t="s">
        <v>804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>FBC Liberec</v>
      </c>
      <c r="B4" s="404"/>
      <c r="C4" s="405"/>
      <c r="D4" s="406">
        <f ca="1">IFERROR(IF(VLOOKUP(A1,OFFSET($AG$2,,,COUNTIF($AG$2:$AG$50,"?*"),23),14,FALSE)&lt;&gt;0,VLOOKUP(A1,OFFSET($AG$2,,,COUNTIF($AG$2:$AG$50,"?*"),23),14,FALSE),"?"),"")</f>
        <v>2011</v>
      </c>
      <c r="E4" s="407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79">
        <f ca="1">IFERROR(IF(VLOOKUP(G3,OFFSET($AG$2,,,COUNTIF($AG$2:$AG$50,"?*"),23),2,FALSE)&lt;&gt;0,YEAR(VLOOKUP(G3,OFFSET($AG$2,,,COUNTIF($AG$2:$AG$50,"?*"),23),2,FALSE)),""),"")</f>
        <v>1998</v>
      </c>
      <c r="I4" s="380"/>
      <c r="J4" s="94">
        <f ca="1">IFERROR(VLOOKUP(G3,OFFSET($AG$2,,,COUNTIF($AG$2:$AG$50,"?*"),23),15,FALSE),"")</f>
        <v>23</v>
      </c>
      <c r="K4" s="381" t="str">
        <f ca="1">IFERROR(VLOOKUP(G3,OFFSET($AG$2,,,COUNTIF($AG$2:$AG$50,"?*"),23),16,FALSE),"")</f>
        <v>185/74</v>
      </c>
      <c r="L4" s="382"/>
      <c r="M4" s="403" t="str">
        <f ca="1">IFERROR(IF(VLOOKUP(M1,OFFSET($AG$2,,,COUNTIF($AG$2:$AG$50,"?*"),23),13,FALSE)&lt;&gt;0,VLOOKUP(M1,OFFSET($AG$2,,,COUNTIF($AG$2:$AG$50,"?*"),23),13,FALSE),"?"),"")</f>
        <v>FBC Lomnice</v>
      </c>
      <c r="N4" s="404"/>
      <c r="O4" s="405"/>
      <c r="P4" s="406">
        <f ca="1">IFERROR(IF(VLOOKUP(M1,OFFSET($AG$2,,,COUNTIF($AG$2:$AG$50,"?*"),23),14,FALSE)&lt;&gt;0,VLOOKUP(M1,OFFSET($AG$2,,,COUNTIF($AG$2:$AG$50,"?*"),23),14,FALSE),"?"),"")</f>
        <v>2010</v>
      </c>
      <c r="Q4" s="407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204</v>
      </c>
      <c r="T4" s="102" t="s">
        <v>111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224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141</v>
      </c>
      <c r="AQ4" s="123">
        <v>180</v>
      </c>
      <c r="AR4" s="123">
        <v>66</v>
      </c>
      <c r="AS4" s="126" t="s">
        <v>80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241</v>
      </c>
      <c r="BO4" s="122">
        <v>29102</v>
      </c>
      <c r="BP4" s="131" t="s">
        <v>184</v>
      </c>
      <c r="BQ4" s="132"/>
      <c r="BR4" s="127">
        <f t="shared" ca="1" si="12"/>
        <v>42</v>
      </c>
      <c r="BS4" s="374"/>
      <c r="BT4" s="104" t="s">
        <v>1257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373"/>
      <c r="BY4" s="103" t="s">
        <v>866</v>
      </c>
      <c r="BZ4" s="103" t="s">
        <v>893</v>
      </c>
      <c r="CA4" s="115" t="s">
        <v>1110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>7 OZ, 8 (3+5), +1 ±</v>
      </c>
      <c r="H5" s="416"/>
      <c r="I5" s="416"/>
      <c r="J5" s="417" t="str">
        <f ca="1">IFERROR(VLOOKUP(G3,OFFSET($AG$2,,,COUNTIF($AG$2:$AG$50,"?*"),23),19,FALSE),"")</f>
        <v>107 OZ, 93 (53+40)</v>
      </c>
      <c r="K5" s="417"/>
      <c r="L5" s="418"/>
      <c r="S5" s="110" t="s">
        <v>216</v>
      </c>
      <c r="T5" s="102" t="s">
        <v>111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217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141</v>
      </c>
      <c r="AQ5" s="123">
        <v>180</v>
      </c>
      <c r="AR5" s="123">
        <v>82</v>
      </c>
      <c r="AS5" s="126" t="s">
        <v>225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242</v>
      </c>
      <c r="BO5" s="122">
        <v>30335</v>
      </c>
      <c r="BP5" s="131" t="s">
        <v>246</v>
      </c>
      <c r="BQ5" s="132"/>
      <c r="BR5" s="127">
        <f t="shared" ca="1" si="12"/>
        <v>38</v>
      </c>
      <c r="BS5" s="374"/>
      <c r="BT5" s="104" t="s">
        <v>1258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373"/>
      <c r="BY5" s="103" t="s">
        <v>885</v>
      </c>
      <c r="BZ5" s="103" t="s">
        <v>845</v>
      </c>
      <c r="CA5" s="115" t="s">
        <v>1090</v>
      </c>
    </row>
    <row r="6" spans="1:79" ht="15" customHeight="1" thickTop="1" thickBot="1" x14ac:dyDescent="0.25">
      <c r="A6" s="386" t="s">
        <v>218</v>
      </c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403" t="str">
        <f ca="1">IFERROR(IF(VLOOKUP(G3,OFFSET($AG$2,,,COUNTIF($AG$2:$AG$50,"?*"),23),13,FALSE)&lt;&gt;0,VLOOKUP(G3,OFFSET($AG$2,,,COUNTIF($AG$2:$AG$50,"?*"),23),13,FALSE),"?"),"")</f>
        <v>TJ Sokol Jaroměř</v>
      </c>
      <c r="H6" s="404"/>
      <c r="I6" s="405"/>
      <c r="J6" s="406">
        <f ca="1">IFERROR(IF(VLOOKUP(G3,OFFSET($AG$2,,,COUNTIF($AG$2:$AG$50,"?*"),23),14,FALSE)&lt;&gt;0,VLOOKUP(G3,OFFSET($AG$2,,,COUNTIF($AG$2:$AG$50,"?*"),23),14,FALSE),"?"),"")</f>
        <v>2007</v>
      </c>
      <c r="K6" s="407"/>
      <c r="L6" s="7">
        <f ca="1">IFERROR(IF(VLOOKUP(G3,OFFSET($AG$2,,,COUNTIF($AG$2:$AG$50,"?*"),23),7,FALSE)&lt;&gt;0,VLOOKUP(G3,OFFSET($AG$2,,,COUNTIF($AG$2:$AG$50,"?*"),23),7,FALSE),"?"),"")</f>
        <v>5</v>
      </c>
      <c r="M6" s="386" t="s">
        <v>212</v>
      </c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214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206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227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243</v>
      </c>
      <c r="BO6" s="122">
        <v>36034</v>
      </c>
      <c r="BP6" s="131" t="s">
        <v>247</v>
      </c>
      <c r="BQ6" s="132"/>
      <c r="BR6" s="127">
        <f t="shared" ca="1" si="12"/>
        <v>23</v>
      </c>
      <c r="BS6" s="374"/>
      <c r="BT6" s="104" t="s">
        <v>1089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373"/>
      <c r="BY6" s="103" t="s">
        <v>250</v>
      </c>
      <c r="BZ6" s="103" t="s">
        <v>862</v>
      </c>
      <c r="CA6" s="115" t="s">
        <v>319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79">
        <f ca="1">IFERROR(IF(VLOOKUP(A6,OFFSET($AG$2,,,COUNTIF($AG$2:$AG$50,"?*"),23),2,FALSE)&lt;&gt;0,YEAR(VLOOKUP(A6,OFFSET($AG$2,,,COUNTIF($AG$2:$AG$50,"?*"),23),2,FALSE)),""),"")</f>
        <v>2002</v>
      </c>
      <c r="C7" s="380"/>
      <c r="D7" s="94">
        <f ca="1">IFERROR(VLOOKUP(A6,OFFSET($AG$2,,,COUNTIF($AG$2:$AG$50,"?*"),23),15,FALSE),"")</f>
        <v>19</v>
      </c>
      <c r="E7" s="381" t="str">
        <f ca="1">IFERROR(VLOOKUP(A6,OFFSET($AG$2,,,COUNTIF($AG$2:$AG$50,"?*"),23),16,FALSE),"")</f>
        <v>164/68</v>
      </c>
      <c r="F7" s="382"/>
      <c r="M7" s="4" t="str">
        <f ca="1">IFERROR(IF(VLOOKUP(M6,OFFSET($AG$2,,,COUNTIF($AG$2:$AG$50,"?*"),23),10,FALSE)&lt;&gt;0,VLOOKUP(M6,OFFSET($AG$2,,,COUNTIF($AG$2:$AG$50,"?*"),23),10,FALSE),""),"")</f>
        <v>L</v>
      </c>
      <c r="N7" s="379">
        <f ca="1">IFERROR(IF(VLOOKUP(M6,OFFSET($AG$2,,,COUNTIF($AG$2:$AG$50,"?*"),23),2,FALSE)&lt;&gt;0,YEAR(VLOOKUP(M6,OFFSET($AG$2,,,COUNTIF($AG$2:$AG$50,"?*"),23),2,FALSE)),""),"")</f>
        <v>1986</v>
      </c>
      <c r="O7" s="380"/>
      <c r="P7" s="94">
        <f ca="1">IFERROR(VLOOKUP(M6,OFFSET($AG$2,,,COUNTIF($AG$2:$AG$50,"?*"),23),15,FALSE),"")</f>
        <v>35</v>
      </c>
      <c r="Q7" s="381" t="str">
        <f ca="1">IFERROR(VLOOKUP(M6,OFFSET($AG$2,,,COUNTIF($AG$2:$AG$50,"?*"),23),16,FALSE),"")</f>
        <v>185/69</v>
      </c>
      <c r="R7" s="382"/>
      <c r="S7" s="110" t="s">
        <v>202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220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80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249</v>
      </c>
      <c r="BU7" s="103" t="s">
        <v>1259</v>
      </c>
      <c r="BV7" s="104" t="str">
        <f t="shared" si="13"/>
        <v>Petr Chlad</v>
      </c>
      <c r="BW7" s="112">
        <f t="shared" si="14"/>
        <v>5.5</v>
      </c>
      <c r="BX7" s="373" t="s">
        <v>201</v>
      </c>
      <c r="BY7" s="103" t="s">
        <v>985</v>
      </c>
      <c r="BZ7" s="103" t="s">
        <v>864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>11 OZ, 0 (0+0), -3 ±</v>
      </c>
      <c r="B8" s="416"/>
      <c r="C8" s="416"/>
      <c r="D8" s="417" t="str">
        <f ca="1">IFERROR(VLOOKUP(A6,OFFSET($AG$2,,,COUNTIF($AG$2:$AG$50,"?*"),23),19,FALSE),"")</f>
        <v>25 OZ, 1 (1+0)</v>
      </c>
      <c r="E8" s="417"/>
      <c r="F8" s="418"/>
      <c r="H8" s="419" t="s">
        <v>103</v>
      </c>
      <c r="I8" s="419"/>
      <c r="J8" s="419"/>
      <c r="K8" s="419"/>
      <c r="M8" s="415" t="str">
        <f ca="1">IFERROR(VLOOKUP(M6,OFFSET($AG$2,,,COUNTIF($AG$2:$AG$50,"?*"),23),18,FALSE),"")</f>
        <v>8 OZ, 3 (0+3), +2 ±</v>
      </c>
      <c r="N8" s="416"/>
      <c r="O8" s="416"/>
      <c r="P8" s="417" t="str">
        <f ca="1">IFERROR(VLOOKUP(M6,OFFSET($AG$2,,,COUNTIF($AG$2:$AG$50,"?*"),23),19,FALSE),"")</f>
        <v>310 OZ, 234 (95+139)</v>
      </c>
      <c r="Q8" s="417"/>
      <c r="R8" s="418"/>
      <c r="S8" s="110" t="s">
        <v>219</v>
      </c>
      <c r="T8" s="102" t="s">
        <v>111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211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141</v>
      </c>
      <c r="AQ8" s="123">
        <v>178</v>
      </c>
      <c r="AR8" s="123">
        <v>74</v>
      </c>
      <c r="AS8" s="126" t="s">
        <v>80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1260</v>
      </c>
      <c r="BU8" s="103" t="s">
        <v>191</v>
      </c>
      <c r="BV8" s="104" t="str">
        <f t="shared" si="13"/>
        <v>Daniel Mück</v>
      </c>
      <c r="BW8" s="112">
        <f t="shared" si="14"/>
        <v>0</v>
      </c>
      <c r="BX8" s="373"/>
      <c r="BY8" s="103" t="s">
        <v>1068</v>
      </c>
      <c r="BZ8" s="103" t="s">
        <v>863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>Florbal Mladá Boleslav</v>
      </c>
      <c r="B9" s="404"/>
      <c r="C9" s="405"/>
      <c r="D9" s="406">
        <f ca="1">IFERROR(IF(VLOOKUP(A6,OFFSET($AG$2,,,COUNTIF($AG$2:$AG$50,"?*"),23),14,FALSE)&lt;&gt;0,VLOOKUP(A6,OFFSET($AG$2,,,COUNTIF($AG$2:$AG$50,"?*"),23),14,FALSE),"?"),"")</f>
        <v>2005</v>
      </c>
      <c r="E9" s="407"/>
      <c r="F9" s="7">
        <f ca="1">IFERROR(IF(VLOOKUP(A6,OFFSET($AG$2,,,COUNTIF($AG$2:$AG$50,"?*"),23),7,FALSE)&lt;&gt;0,VLOOKUP(A6,OFFSET($AG$2,,,COUNTIF($AG$2:$AG$50,"?*"),23),7,FALSE),"?"),"")</f>
        <v>4</v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>FBC Mustang</v>
      </c>
      <c r="N9" s="404"/>
      <c r="O9" s="405"/>
      <c r="P9" s="406">
        <f ca="1">IFERROR(IF(VLOOKUP(M6,OFFSET($AG$2,,,COUNTIF($AG$2:$AG$50,"?*"),23),14,FALSE)&lt;&gt;0,VLOOKUP(M6,OFFSET($AG$2,,,COUNTIF($AG$2:$AG$50,"?*"),23),14,FALSE),"?"),"")</f>
        <v>1996</v>
      </c>
      <c r="Q9" s="407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210</v>
      </c>
      <c r="T9" s="102" t="s">
        <v>111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207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229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790</v>
      </c>
      <c r="BU9" s="103" t="s">
        <v>191</v>
      </c>
      <c r="BV9" s="104" t="str">
        <f t="shared" si="13"/>
        <v>Jan Král</v>
      </c>
      <c r="BW9" s="112">
        <f t="shared" si="14"/>
        <v>0</v>
      </c>
      <c r="BX9" s="373"/>
      <c r="BY9" s="103" t="s">
        <v>1176</v>
      </c>
      <c r="BZ9" s="103" t="s">
        <v>884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212</v>
      </c>
      <c r="T10" s="102" t="s">
        <v>62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205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158</v>
      </c>
      <c r="AP10" s="125" t="s">
        <v>141</v>
      </c>
      <c r="AQ10" s="123">
        <v>194</v>
      </c>
      <c r="AR10" s="123">
        <v>98</v>
      </c>
      <c r="AS10" s="126" t="s">
        <v>80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T10" s="104" t="s">
        <v>1261</v>
      </c>
      <c r="BU10" s="103" t="s">
        <v>888</v>
      </c>
      <c r="BV10" s="104" t="str">
        <f t="shared" si="13"/>
        <v>Jakub Levínský</v>
      </c>
      <c r="BW10" s="112">
        <f t="shared" si="14"/>
        <v>5.64</v>
      </c>
      <c r="BX10" s="373"/>
      <c r="BY10" s="103" t="s">
        <v>1159</v>
      </c>
      <c r="BZ10" s="103" t="s">
        <v>883</v>
      </c>
      <c r="CA10" s="115" t="s">
        <v>196</v>
      </c>
    </row>
    <row r="11" spans="1:79" ht="15" customHeight="1" thickTop="1" thickBot="1" x14ac:dyDescent="0.25">
      <c r="R11" s="13"/>
      <c r="S11" s="110" t="s">
        <v>203</v>
      </c>
      <c r="T11" s="102" t="s">
        <v>111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212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141</v>
      </c>
      <c r="AQ11" s="123">
        <v>185</v>
      </c>
      <c r="AR11" s="123">
        <v>69</v>
      </c>
      <c r="AS11" s="126" t="s">
        <v>230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1160</v>
      </c>
      <c r="BZ11" s="103" t="s">
        <v>882</v>
      </c>
      <c r="CA11" s="115" t="s">
        <v>196</v>
      </c>
    </row>
    <row r="12" spans="1:79" ht="15" customHeight="1" thickTop="1" thickBot="1" x14ac:dyDescent="0.25">
      <c r="A12" s="386" t="s">
        <v>206</v>
      </c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420" t="s">
        <v>7</v>
      </c>
      <c r="I12" s="420"/>
      <c r="J12" s="420"/>
      <c r="K12" s="420"/>
      <c r="M12" s="386" t="s">
        <v>214</v>
      </c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1269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202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141</v>
      </c>
      <c r="AQ12" s="123">
        <v>185</v>
      </c>
      <c r="AR12" s="123">
        <v>74</v>
      </c>
      <c r="AS12" s="126" t="s">
        <v>226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1256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199</v>
      </c>
      <c r="BY12" s="100" t="s">
        <v>1255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79">
        <f ca="1">IFERROR(IF(VLOOKUP(A12,OFFSET($AG$2,,,COUNTIF($AG$2:$AG$50,"?*"),23),2,FALSE)&lt;&gt;0,YEAR(VLOOKUP(A12,OFFSET($AG$2,,,COUNTIF($AG$2:$AG$50,"?*"),23),2,FALSE)),""),"")</f>
        <v>1992</v>
      </c>
      <c r="C13" s="380"/>
      <c r="D13" s="94">
        <f ca="1">IFERROR(VLOOKUP(A12,OFFSET($AG$2,,,COUNTIF($AG$2:$AG$50,"?*"),23),15,FALSE),"")</f>
        <v>29</v>
      </c>
      <c r="E13" s="381" t="str">
        <f ca="1">IFERROR(VLOOKUP(A12,OFFSET($AG$2,,,COUNTIF($AG$2:$AG$50,"?*"),23),16,FALSE),"")</f>
        <v>176/74</v>
      </c>
      <c r="F13" s="382"/>
      <c r="M13" s="4" t="str">
        <f ca="1">IFERROR(IF(VLOOKUP(M12,OFFSET($AG$2,,,COUNTIF($AG$2:$AG$50,"?*"),23),10,FALSE)&lt;&gt;0,VLOOKUP(M12,OFFSET($AG$2,,,COUNTIF($AG$2:$AG$50,"?*"),23),10,FALSE),""),"")</f>
        <v>L</v>
      </c>
      <c r="N13" s="379">
        <f ca="1">IFERROR(IF(VLOOKUP(M12,OFFSET($AG$2,,,COUNTIF($AG$2:$AG$50,"?*"),23),2,FALSE)&lt;&gt;0,YEAR(VLOOKUP(M12,OFFSET($AG$2,,,COUNTIF($AG$2:$AG$50,"?*"),23),2,FALSE)),""),"")</f>
        <v>2003</v>
      </c>
      <c r="O13" s="380"/>
      <c r="P13" s="94">
        <f ca="1">IFERROR(VLOOKUP(M12,OFFSET($AG$2,,,COUNTIF($AG$2:$AG$50,"?*"),23),15,FALSE),"")</f>
        <v>18</v>
      </c>
      <c r="Q13" s="381" t="str">
        <f ca="1">IFERROR(VLOOKUP(M12,OFFSET($AG$2,,,COUNTIF($AG$2:$AG$50,"?*"),23),16,FALSE),"")</f>
        <v>178/70</v>
      </c>
      <c r="R13" s="382"/>
      <c r="S13" s="110" t="s">
        <v>205</v>
      </c>
      <c r="T13" s="102" t="s">
        <v>62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215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229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1262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415" t="str">
        <f ca="1">IFERROR(VLOOKUP(A12,OFFSET($AG$2,,,COUNTIF($AG$2:$AG$50,"?*"),23),18,FALSE),"")</f>
        <v>10 OZ, 19 (8+11), +7 ±</v>
      </c>
      <c r="B14" s="416"/>
      <c r="C14" s="416"/>
      <c r="D14" s="417" t="str">
        <f ca="1">IFERROR(VLOOKUP(A12,OFFSET($AG$2,,,COUNTIF($AG$2:$AG$50,"?*"),23),19,FALSE),"")</f>
        <v>195 OZ, 243 (134+109)</v>
      </c>
      <c r="E14" s="417"/>
      <c r="F14" s="418"/>
      <c r="G14" s="386" t="s">
        <v>204</v>
      </c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415" t="str">
        <f ca="1">IFERROR(VLOOKUP(M12,OFFSET($AG$2,,,COUNTIF($AG$2:$AG$50,"?*"),23),18,FALSE),"")</f>
        <v>11 OZ, 12 (7+5), +6 ±</v>
      </c>
      <c r="N14" s="416"/>
      <c r="O14" s="416"/>
      <c r="P14" s="417" t="str">
        <f ca="1">IFERROR(VLOOKUP(M12,OFFSET($AG$2,,,COUNTIF($AG$2:$AG$50,"?*"),23),19,FALSE),"")</f>
        <v>33 OZ, 38 (16+22)</v>
      </c>
      <c r="Q14" s="417"/>
      <c r="R14" s="418"/>
      <c r="S14" s="110" t="s">
        <v>217</v>
      </c>
      <c r="T14" s="102" t="s">
        <v>111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786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1257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>TJ Centropen Dačice</v>
      </c>
      <c r="B15" s="404"/>
      <c r="C15" s="405"/>
      <c r="D15" s="406">
        <f ca="1">IFERROR(IF(VLOOKUP(A12,OFFSET($AG$2,,,COUNTIF($AG$2:$AG$50,"?*"),23),14,FALSE)&lt;&gt;0,VLOOKUP(A12,OFFSET($AG$2,,,COUNTIF($AG$2:$AG$50,"?*"),23),14,FALSE),"?"),"")</f>
        <v>2006</v>
      </c>
      <c r="E15" s="407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79">
        <f ca="1">IFERROR(IF(VLOOKUP(G14,OFFSET($AG$2,,,COUNTIF($AG$2:$AG$50,"?*"),23),2,FALSE)&lt;&gt;0,YEAR(VLOOKUP(G14,OFFSET($AG$2,,,COUNTIF($AG$2:$AG$50,"?*"),23),2,FALSE)),""),"")</f>
        <v>1994</v>
      </c>
      <c r="I15" s="380"/>
      <c r="J15" s="94">
        <f ca="1">IFERROR(VLOOKUP(G14,OFFSET($AG$2,,,COUNTIF($AG$2:$AG$50,"?*"),23),15,FALSE),"")</f>
        <v>27</v>
      </c>
      <c r="K15" s="381" t="str">
        <f ca="1">IFERROR(VLOOKUP(G14,OFFSET($AG$2,,,COUNTIF($AG$2:$AG$50,"?*"),23),16,FALSE),"")</f>
        <v>187/76</v>
      </c>
      <c r="L15" s="382"/>
      <c r="M15" s="403" t="str">
        <f ca="1">IFERROR(IF(VLOOKUP(M12,OFFSET($AG$2,,,COUNTIF($AG$2:$AG$50,"?*"),23),13,FALSE)&lt;&gt;0,VLOOKUP(M12,OFFSET($AG$2,,,COUNTIF($AG$2:$AG$50,"?*"),23),13,FALSE),"?"),"")</f>
        <v>FBC Liberec</v>
      </c>
      <c r="N15" s="404"/>
      <c r="O15" s="405"/>
      <c r="P15" s="406">
        <f ca="1">IFERROR(IF(VLOOKUP(M12,OFFSET($AG$2,,,COUNTIF($AG$2:$AG$50,"?*"),23),14,FALSE)&lt;&gt;0,VLOOKUP(M12,OFFSET($AG$2,,,COUNTIF($AG$2:$AG$50,"?*"),23),14,FALSE),"?"),"")</f>
        <v>2010</v>
      </c>
      <c r="Q15" s="407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207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221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231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1263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>11 OZ, 18 (10+8), +4 ±</v>
      </c>
      <c r="H16" s="416"/>
      <c r="I16" s="416"/>
      <c r="J16" s="417" t="str">
        <f ca="1">IFERROR(VLOOKUP(G14,OFFSET($AG$2,,,COUNTIF($AG$2:$AG$50,"?*"),23),19,FALSE),"")</f>
        <v>200 OZ, 323 (176+147)</v>
      </c>
      <c r="K16" s="417"/>
      <c r="L16" s="418"/>
      <c r="S16" s="110" t="s">
        <v>220</v>
      </c>
      <c r="T16" s="102" t="s">
        <v>109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232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233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1089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386" t="s">
        <v>217</v>
      </c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403" t="str">
        <f ca="1">IFERROR(IF(VLOOKUP(G14,OFFSET($AG$2,,,COUNTIF($AG$2:$AG$50,"?*"),23),13,FALSE)&lt;&gt;0,VLOOKUP(G14,OFFSET($AG$2,,,COUNTIF($AG$2:$AG$50,"?*"),23),13,FALSE),"?"),"")</f>
        <v>FBC Liberec</v>
      </c>
      <c r="H17" s="404"/>
      <c r="I17" s="405"/>
      <c r="J17" s="406">
        <f ca="1">IFERROR(IF(VLOOKUP(G14,OFFSET($AG$2,,,COUNTIF($AG$2:$AG$50,"?*"),23),14,FALSE)&lt;&gt;0,VLOOKUP(G14,OFFSET($AG$2,,,COUNTIF($AG$2:$AG$50,"?*"),23),14,FALSE),"?"),"")</f>
        <v>2002</v>
      </c>
      <c r="K17" s="407"/>
      <c r="L17" s="7">
        <f ca="1">IFERROR(IF(VLOOKUP(G14,OFFSET($AG$2,,,COUNTIF($AG$2:$AG$50,"?*"),23),7,FALSE)&lt;&gt;0,VLOOKUP(G14,OFFSET($AG$2,,,COUNTIF($AG$2:$AG$50,"?*"),23),7,FALSE),"?"),"")</f>
        <v>10</v>
      </c>
      <c r="M17" s="386" t="s">
        <v>211</v>
      </c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208</v>
      </c>
      <c r="T17" s="102" t="s">
        <v>111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218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234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249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79">
        <f ca="1">IFERROR(IF(VLOOKUP(A17,OFFSET($AG$2,,,COUNTIF($AG$2:$AG$50,"?*"),23),2,FALSE)&lt;&gt;0,YEAR(VLOOKUP(A17,OFFSET($AG$2,,,COUNTIF($AG$2:$AG$50,"?*"),23),2,FALSE)),""),"")</f>
        <v>1994</v>
      </c>
      <c r="C18" s="380"/>
      <c r="D18" s="150">
        <f ca="1">IFERROR(VLOOKUP(A17,OFFSET($AG$2,,,COUNTIF($AG$2:$AG$50,"?*"),23),15,FALSE),"")</f>
        <v>27</v>
      </c>
      <c r="E18" s="381" t="str">
        <f ca="1">IFERROR(VLOOKUP(A17,OFFSET($AG$2,,,COUNTIF($AG$2:$AG$50,"?*"),23),16,FALSE),"")</f>
        <v>180/82</v>
      </c>
      <c r="F18" s="382"/>
      <c r="M18" s="4" t="str">
        <f ca="1">IFERROR(IF(VLOOKUP(M17,OFFSET($AG$2,,,COUNTIF($AG$2:$AG$50,"?*"),23),10,FALSE)&lt;&gt;0,VLOOKUP(M17,OFFSET($AG$2,,,COUNTIF($AG$2:$AG$50,"?*"),23),10,FALSE),""),"")</f>
        <v>L</v>
      </c>
      <c r="N18" s="379">
        <f ca="1">IFERROR(IF(VLOOKUP(M17,OFFSET($AG$2,,,COUNTIF($AG$2:$AG$50,"?*"),23),2,FALSE)&lt;&gt;0,YEAR(VLOOKUP(M17,OFFSET($AG$2,,,COUNTIF($AG$2:$AG$50,"?*"),23),2,FALSE)),""),"")</f>
        <v>2003</v>
      </c>
      <c r="O18" s="380"/>
      <c r="P18" s="94">
        <f ca="1">IFERROR(VLOOKUP(M17,OFFSET($AG$2,,,COUNTIF($AG$2:$AG$50,"?*"),23),15,FALSE),"")</f>
        <v>18</v>
      </c>
      <c r="Q18" s="381" t="str">
        <f ca="1">IFERROR(VLOOKUP(M17,OFFSET($AG$2,,,COUNTIF($AG$2:$AG$50,"?*"),23),16,FALSE),"")</f>
        <v>178/74</v>
      </c>
      <c r="R18" s="382"/>
      <c r="S18" s="110" t="s">
        <v>211</v>
      </c>
      <c r="T18" s="102" t="s">
        <v>62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208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141</v>
      </c>
      <c r="AQ18" s="123">
        <v>164</v>
      </c>
      <c r="AR18" s="123">
        <v>60</v>
      </c>
      <c r="AS18" s="126" t="s">
        <v>234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789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>11 OZ, 1 (1+0), +2 ±</v>
      </c>
      <c r="B19" s="416"/>
      <c r="C19" s="416"/>
      <c r="D19" s="417" t="str">
        <f ca="1">IFERROR(VLOOKUP(A17,OFFSET($AG$2,,,COUNTIF($AG$2:$AG$50,"?*"),23),19,FALSE),"")</f>
        <v>205 OZ, 117 (51+66)</v>
      </c>
      <c r="E19" s="417"/>
      <c r="F19" s="418"/>
      <c r="H19" s="419" t="str">
        <f>H$8</f>
        <v>LIB</v>
      </c>
      <c r="I19" s="419"/>
      <c r="J19" s="419"/>
      <c r="K19" s="419"/>
      <c r="M19" s="415" t="str">
        <f ca="1">IFERROR(VLOOKUP(M17,OFFSET($AG$2,,,COUNTIF($AG$2:$AG$50,"?*"),23),18,FALSE),"")</f>
        <v>11 OZ, 1 (0+1), +5 ±</v>
      </c>
      <c r="N19" s="416"/>
      <c r="O19" s="416"/>
      <c r="P19" s="417" t="str">
        <f ca="1">IFERROR(VLOOKUP(M17,OFFSET($AG$2,,,COUNTIF($AG$2:$AG$50,"?*"),23),19,FALSE),"")</f>
        <v>33 OZ, 5 (2+3)</v>
      </c>
      <c r="Q19" s="417"/>
      <c r="R19" s="418"/>
      <c r="S19" s="110" t="s">
        <v>1270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235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141</v>
      </c>
      <c r="AQ19" s="123">
        <v>181</v>
      </c>
      <c r="AR19" s="123">
        <v>79</v>
      </c>
      <c r="AS19" s="126" t="s">
        <v>236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1264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>Sokol Pardubice</v>
      </c>
      <c r="B20" s="404"/>
      <c r="C20" s="405"/>
      <c r="D20" s="406">
        <f ca="1">IFERROR(IF(VLOOKUP(A17,OFFSET($AG$2,,,COUNTIF($AG$2:$AG$50,"?*"),23),14,FALSE)&lt;&gt;0,VLOOKUP(A17,OFFSET($AG$2,,,COUNTIF($AG$2:$AG$50,"?*"),23),14,FALSE),"?"),"")</f>
        <v>2009</v>
      </c>
      <c r="E20" s="407"/>
      <c r="F20" s="7">
        <f ca="1">IFERROR(IF(VLOOKUP(A17,OFFSET($AG$2,,,COUNTIF($AG$2:$AG$50,"?*"),23),7,FALSE)&lt;&gt;0,VLOOKUP(A17,OFFSET($AG$2,,,COUNTIF($AG$2:$AG$50,"?*"),23),7,FALSE),"?"),"")</f>
        <v>11</v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>FBC Liberec</v>
      </c>
      <c r="N20" s="404"/>
      <c r="O20" s="405"/>
      <c r="P20" s="406">
        <f ca="1">IFERROR(IF(VLOOKUP(M17,OFFSET($AG$2,,,COUNTIF($AG$2:$AG$50,"?*"),23),14,FALSE)&lt;&gt;0,VLOOKUP(M17,OFFSET($AG$2,,,COUNTIF($AG$2:$AG$50,"?*"),23),14,FALSE),"?"),"")</f>
        <v>2010</v>
      </c>
      <c r="Q20" s="407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213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216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769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T20" s="104" t="s">
        <v>1265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215</v>
      </c>
      <c r="T21" s="102" t="s">
        <v>109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209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141</v>
      </c>
      <c r="AQ21" s="123">
        <v>187</v>
      </c>
      <c r="AR21" s="123">
        <v>83</v>
      </c>
      <c r="AS21" s="126" t="s">
        <v>237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232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219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141</v>
      </c>
      <c r="AQ22" s="123">
        <v>187</v>
      </c>
      <c r="AR22" s="123">
        <v>82</v>
      </c>
      <c r="AS22" s="126" t="s">
        <v>238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991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386" t="s">
        <v>208</v>
      </c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420" t="s">
        <v>13</v>
      </c>
      <c r="I23" s="420"/>
      <c r="J23" s="420"/>
      <c r="K23" s="420"/>
      <c r="M23" s="386" t="s">
        <v>219</v>
      </c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223</v>
      </c>
      <c r="T23" s="102" t="s">
        <v>62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203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141</v>
      </c>
      <c r="AQ23" s="123">
        <v>177</v>
      </c>
      <c r="AR23" s="123">
        <v>74</v>
      </c>
      <c r="AS23" s="126" t="s">
        <v>80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990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79">
        <f ca="1">IFERROR(IF(VLOOKUP(A23,OFFSET($AG$2,,,COUNTIF($AG$2:$AG$50,"?*"),23),2,FALSE)&lt;&gt;0,YEAR(VLOOKUP(A23,OFFSET($AG$2,,,COUNTIF($AG$2:$AG$50,"?*"),23),2,FALSE)),""),"")</f>
        <v>1999</v>
      </c>
      <c r="C24" s="380"/>
      <c r="D24" s="94">
        <f ca="1">IFERROR(VLOOKUP(A23,OFFSET($AG$2,,,COUNTIF($AG$2:$AG$50,"?*"),23),15,FALSE),"")</f>
        <v>22</v>
      </c>
      <c r="E24" s="381" t="str">
        <f ca="1">IFERROR(VLOOKUP(A23,OFFSET($AG$2,,,COUNTIF($AG$2:$AG$50,"?*"),23),16,FALSE),"")</f>
        <v>164/60</v>
      </c>
      <c r="F24" s="382"/>
      <c r="M24" s="4" t="str">
        <f ca="1">IFERROR(IF(VLOOKUP(M23,OFFSET($AG$2,,,COUNTIF($AG$2:$AG$50,"?*"),23),10,FALSE)&lt;&gt;0,VLOOKUP(M23,OFFSET($AG$2,,,COUNTIF($AG$2:$AG$50,"?*"),23),10,FALSE),""),"")</f>
        <v>L</v>
      </c>
      <c r="N24" s="379">
        <f ca="1">IFERROR(IF(VLOOKUP(M23,OFFSET($AG$2,,,COUNTIF($AG$2:$AG$50,"?*"),23),2,FALSE)&lt;&gt;0,YEAR(VLOOKUP(M23,OFFSET($AG$2,,,COUNTIF($AG$2:$AG$50,"?*"),23),2,FALSE)),""),"")</f>
        <v>1998</v>
      </c>
      <c r="O24" s="380"/>
      <c r="P24" s="94">
        <f ca="1">IFERROR(VLOOKUP(M23,OFFSET($AG$2,,,COUNTIF($AG$2:$AG$50,"?*"),23),15,FALSE),"")</f>
        <v>23</v>
      </c>
      <c r="Q24" s="381" t="str">
        <f ca="1">IFERROR(VLOOKUP(M23,OFFSET($AG$2,,,COUNTIF($AG$2:$AG$50,"?*"),23),16,FALSE),"")</f>
        <v>187/82</v>
      </c>
      <c r="R24" s="382"/>
      <c r="S24" s="110" t="s">
        <v>786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213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80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1257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415" t="str">
        <f ca="1">IFERROR(VLOOKUP(A23,OFFSET($AG$2,,,COUNTIF($AG$2:$AG$50,"?*"),23),18,FALSE),"")</f>
        <v>11 OZ, 1 (0+1), -6 ±</v>
      </c>
      <c r="B25" s="416"/>
      <c r="C25" s="416"/>
      <c r="D25" s="417" t="str">
        <f ca="1">IFERROR(VLOOKUP(A23,OFFSET($AG$2,,,COUNTIF($AG$2:$AG$50,"?*"),23),19,FALSE),"")</f>
        <v>86 OZ, 45 (23+22)</v>
      </c>
      <c r="E25" s="417"/>
      <c r="F25" s="418"/>
      <c r="G25" s="386" t="s">
        <v>210</v>
      </c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415" t="str">
        <f ca="1">IFERROR(VLOOKUP(M23,OFFSET($AG$2,,,COUNTIF($AG$2:$AG$50,"?*"),23),18,FALSE),"")</f>
        <v>11 OZ, 5 (3+2), -10 ±</v>
      </c>
      <c r="N25" s="416"/>
      <c r="O25" s="416"/>
      <c r="P25" s="417" t="str">
        <f ca="1">IFERROR(VLOOKUP(M23,OFFSET($AG$2,,,COUNTIF($AG$2:$AG$50,"?*"),23),19,FALSE),"")</f>
        <v>52 OZ, 30 (18+12)</v>
      </c>
      <c r="Q25" s="417"/>
      <c r="R25" s="418"/>
      <c r="S25" s="110" t="s">
        <v>221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204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141</v>
      </c>
      <c r="AQ25" s="123">
        <v>187</v>
      </c>
      <c r="AR25" s="123">
        <v>76</v>
      </c>
      <c r="AS25" s="126" t="s">
        <v>80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1258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>Florbal Mladá Boleslav</v>
      </c>
      <c r="B26" s="404"/>
      <c r="C26" s="405"/>
      <c r="D26" s="406">
        <f ca="1">IFERROR(IF(VLOOKUP(A23,OFFSET($AG$2,,,COUNTIF($AG$2:$AG$50,"?*"),23),14,FALSE)&lt;&gt;0,VLOOKUP(A23,OFFSET($AG$2,,,COUNTIF($AG$2:$AG$50,"?*"),23),14,FALSE),"?"),"")</f>
        <v>2008</v>
      </c>
      <c r="E26" s="407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79">
        <f ca="1">IFERROR(IF(VLOOKUP(G25,OFFSET($AG$2,,,COUNTIF($AG$2:$AG$50,"?*"),23),2,FALSE)&lt;&gt;0,YEAR(VLOOKUP(G25,OFFSET($AG$2,,,COUNTIF($AG$2:$AG$50,"?*"),23),2,FALSE)),""),"")</f>
        <v>1994</v>
      </c>
      <c r="I26" s="380"/>
      <c r="J26" s="94">
        <f ca="1">IFERROR(VLOOKUP(G25,OFFSET($AG$2,,,COUNTIF($AG$2:$AG$50,"?*"),23),15,FALSE),"")</f>
        <v>27</v>
      </c>
      <c r="K26" s="381" t="str">
        <f ca="1">IFERROR(VLOOKUP(G25,OFFSET($AG$2,,,COUNTIF($AG$2:$AG$50,"?*"),23),16,FALSE),"")</f>
        <v>185/86</v>
      </c>
      <c r="L26" s="382"/>
      <c r="M26" s="403" t="str">
        <f ca="1">IFERROR(IF(VLOOKUP(M23,OFFSET($AG$2,,,COUNTIF($AG$2:$AG$50,"?*"),23),13,FALSE)&lt;&gt;0,VLOOKUP(M23,OFFSET($AG$2,,,COUNTIF($AG$2:$AG$50,"?*"),23),13,FALSE),"?"),"")</f>
        <v>DTJ Trutnov</v>
      </c>
      <c r="N26" s="404"/>
      <c r="O26" s="405"/>
      <c r="P26" s="406">
        <f ca="1">IFERROR(IF(VLOOKUP(M23,OFFSET($AG$2,,,COUNTIF($AG$2:$AG$50,"?*"),23),14,FALSE)&lt;&gt;0,VLOOKUP(M23,OFFSET($AG$2,,,COUNTIF($AG$2:$AG$50,"?*"),23),14,FALSE),"?"),"")</f>
        <v>2014</v>
      </c>
      <c r="Q26" s="407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218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214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141</v>
      </c>
      <c r="AQ26" s="123">
        <v>178</v>
      </c>
      <c r="AR26" s="123">
        <v>70</v>
      </c>
      <c r="AS26" s="126" t="s">
        <v>80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894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>10 OZ, 3 (2+1), -10 ±</v>
      </c>
      <c r="H27" s="416"/>
      <c r="I27" s="416"/>
      <c r="J27" s="417" t="str">
        <f ca="1">IFERROR(VLOOKUP(G25,OFFSET($AG$2,,,COUNTIF($AG$2:$AG$50,"?*"),23),19,FALSE),"")</f>
        <v>128 OZ, 38 (28+10)</v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1256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386" t="s">
        <v>207</v>
      </c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403" t="str">
        <f ca="1">IFERROR(IF(VLOOKUP(G25,OFFSET($AG$2,,,COUNTIF($AG$2:$AG$50,"?*"),23),13,FALSE)&lt;&gt;0,VLOOKUP(G25,OFFSET($AG$2,,,COUNTIF($AG$2:$AG$50,"?*"),23),13,FALSE),"?"),"")</f>
        <v>Sokol Dvůr Králové</v>
      </c>
      <c r="H28" s="404"/>
      <c r="I28" s="405"/>
      <c r="J28" s="406">
        <f ca="1">IFERROR(IF(VLOOKUP(G25,OFFSET($AG$2,,,COUNTIF($AG$2:$AG$50,"?*"),23),14,FALSE)&lt;&gt;0,VLOOKUP(G25,OFFSET($AG$2,,,COUNTIF($AG$2:$AG$50,"?*"),23),14,FALSE),"?"),"")</f>
        <v>2001</v>
      </c>
      <c r="K28" s="407"/>
      <c r="L28" s="7">
        <f ca="1">IFERROR(IF(VLOOKUP(G25,OFFSET($AG$2,,,COUNTIF($AG$2:$AG$50,"?*"),23),7,FALSE)&lt;&gt;0,VLOOKUP(G25,OFFSET($AG$2,,,COUNTIF($AG$2:$AG$50,"?*"),23),7,FALSE),"?"),"")</f>
        <v>11</v>
      </c>
      <c r="M28" s="386" t="s">
        <v>205</v>
      </c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1266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79">
        <f ca="1">IFERROR(IF(VLOOKUP(A28,OFFSET($AG$2,,,COUNTIF($AG$2:$AG$50,"?*"),23),2,FALSE)&lt;&gt;0,YEAR(VLOOKUP(A28,OFFSET($AG$2,,,COUNTIF($AG$2:$AG$50,"?*"),23),2,FALSE)),""),"")</f>
        <v>2000</v>
      </c>
      <c r="C29" s="380"/>
      <c r="D29" s="94">
        <f ca="1">IFERROR(VLOOKUP(A28,OFFSET($AG$2,,,COUNTIF($AG$2:$AG$50,"?*"),23),15,FALSE),"")</f>
        <v>21</v>
      </c>
      <c r="E29" s="381" t="str">
        <f ca="1">IFERROR(VLOOKUP(A28,OFFSET($AG$2,,,COUNTIF($AG$2:$AG$50,"?*"),23),16,FALSE),"")</f>
        <v>180/72</v>
      </c>
      <c r="F29" s="382"/>
      <c r="M29" s="4" t="str">
        <f ca="1">IFERROR(IF(VLOOKUP(M28,OFFSET($AG$2,,,COUNTIF($AG$2:$AG$50,"?*"),23),10,FALSE)&lt;&gt;0,VLOOKUP(M28,OFFSET($AG$2,,,COUNTIF($AG$2:$AG$50,"?*"),23),10,FALSE),""),"")</f>
        <v>L</v>
      </c>
      <c r="N29" s="379">
        <f ca="1">IFERROR(IF(VLOOKUP(M28,OFFSET($AG$2,,,COUNTIF($AG$2:$AG$50,"?*"),23),2,FALSE)&lt;&gt;0,YEAR(VLOOKUP(M28,OFFSET($AG$2,,,COUNTIF($AG$2:$AG$50,"?*"),23),2,FALSE)),""),"")</f>
        <v>1989</v>
      </c>
      <c r="O29" s="380"/>
      <c r="P29" s="94">
        <f ca="1">IFERROR(VLOOKUP(M28,OFFSET($AG$2,,,COUNTIF($AG$2:$AG$50,"?*"),23),15,FALSE),"")</f>
        <v>32</v>
      </c>
      <c r="Q29" s="381" t="str">
        <f ca="1">IFERROR(VLOOKUP(M28,OFFSET($AG$2,,,COUNTIF($AG$2:$AG$50,"?*"),23),16,FALSE),"")</f>
        <v>194/98</v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1267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>7 OZ, 1 (0+1), -8 ±</v>
      </c>
      <c r="B30" s="416"/>
      <c r="C30" s="416"/>
      <c r="D30" s="417" t="str">
        <f ca="1">IFERROR(VLOOKUP(A28,OFFSET($AG$2,,,COUNTIF($AG$2:$AG$50,"?*"),23),19,FALSE),"")</f>
        <v>57 OZ, 14 (5+9)</v>
      </c>
      <c r="E30" s="417"/>
      <c r="F30" s="418"/>
      <c r="H30" s="419" t="str">
        <f>H$8</f>
        <v>LIB</v>
      </c>
      <c r="I30" s="419"/>
      <c r="J30" s="419"/>
      <c r="K30" s="419"/>
      <c r="M30" s="415" t="str">
        <f ca="1">IFERROR(VLOOKUP(M28,OFFSET($AG$2,,,COUNTIF($AG$2:$AG$50,"?*"),23),18,FALSE),"")</f>
        <v>10 OZ, 1 (1+0), -2 ±</v>
      </c>
      <c r="N30" s="416"/>
      <c r="O30" s="416"/>
      <c r="P30" s="417" t="str">
        <f ca="1">IFERROR(VLOOKUP(M28,OFFSET($AG$2,,,COUNTIF($AG$2:$AG$50,"?*"),23),19,FALSE),"")</f>
        <v>252 OZ, 119 (64+55)</v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1268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>FA Mladá Boleslav</v>
      </c>
      <c r="B31" s="404"/>
      <c r="C31" s="405"/>
      <c r="D31" s="406">
        <f ca="1">IFERROR(IF(VLOOKUP(A28,OFFSET($AG$2,,,COUNTIF($AG$2:$AG$50,"?*"),23),14,FALSE)&lt;&gt;0,VLOOKUP(A28,OFFSET($AG$2,,,COUNTIF($AG$2:$AG$50,"?*"),23),14,FALSE),"?"),"")</f>
        <v>2006</v>
      </c>
      <c r="E31" s="407"/>
      <c r="F31" s="7">
        <f ca="1">IFERROR(IF(VLOOKUP(A28,OFFSET($AG$2,,,COUNTIF($AG$2:$AG$50,"?*"),23),7,FALSE)&lt;&gt;0,VLOOKUP(A28,OFFSET($AG$2,,,COUNTIF($AG$2:$AG$50,"?*"),23),7,FALSE),"?"),"")</f>
        <v>3</v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>FBC Liberec</v>
      </c>
      <c r="N31" s="404"/>
      <c r="O31" s="405"/>
      <c r="P31" s="406">
        <f ca="1">IFERROR(IF(VLOOKUP(M28,OFFSET($AG$2,,,COUNTIF($AG$2:$AG$50,"?*"),23),14,FALSE)&lt;&gt;0,VLOOKUP(M28,OFFSET($AG$2,,,COUNTIF($AG$2:$AG$50,"?*"),23),14,FALSE),"?"),"")</f>
        <v>1999</v>
      </c>
      <c r="Q31" s="407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1089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 t="s">
        <v>220</v>
      </c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414" t="s">
        <v>16</v>
      </c>
      <c r="J34" s="386" t="s">
        <v>216</v>
      </c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79">
        <f ca="1">IFERROR(IF(VLOOKUP(A34,OFFSET($AG$2,,,COUNTIF($AG$2:$AG$50,"?*"),23),2,FALSE)&lt;&gt;0,YEAR(VLOOKUP(A34,OFFSET($AG$2,,,COUNTIF($AG$2:$AG$50,"?*"),23),2,FALSE)),""),"")</f>
        <v>2001</v>
      </c>
      <c r="C35" s="380"/>
      <c r="D35" s="94">
        <f ca="1">IFERROR(VLOOKUP(A34,OFFSET($AG$2,,,COUNTIF($AG$2:$AG$50,"?*"),23),15,FALSE),"")</f>
        <v>20</v>
      </c>
      <c r="E35" s="381" t="str">
        <f ca="1">IFERROR(VLOOKUP(A34,OFFSET($AG$2,,,COUNTIF($AG$2:$AG$50,"?*"),23),16,FALSE),"")</f>
        <v>195/93</v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>P</v>
      </c>
      <c r="K35" s="380">
        <f ca="1">IFERROR(IF(VLOOKUP(J34,OFFSET($AG$2,,,COUNTIF($AG$2:$AG$50,"?*"),23),2,FALSE)&lt;&gt;0,YEAR(VLOOKUP(J34,OFFSET($AG$2,,,COUNTIF($AG$2:$AG$50,"?*"),23),2,FALSE)),""),"")</f>
        <v>2004</v>
      </c>
      <c r="L35" s="388"/>
      <c r="M35" s="93">
        <f ca="1">IFERROR(VLOOKUP(J34,OFFSET($AG$2,,,COUNTIF($AG$2:$AG$50,"?*"),23),15,FALSE),"")</f>
        <v>17</v>
      </c>
      <c r="N35" s="388" t="str">
        <f ca="1">IFERROR(VLOOKUP(J34,OFFSET($AG$2,,,COUNTIF($AG$2:$AG$50,"?*"),23),16,FALSE),"")</f>
        <v>183/79</v>
      </c>
      <c r="O35" s="388"/>
      <c r="P35" s="388" t="str">
        <f ca="1">IFERROR(VLOOKUP(J34,OFFSET($AG$2,,,COUNTIF($AG$2:$AG$50,"?*"),23),18,FALSE),"")</f>
        <v>10 OZ, 17 (11+6), +1 ±</v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383" t="str">
        <f ca="1">IFERROR(VLOOKUP(A34,OFFSET($AG$2,,,COUNTIF($AG$2:$AG$50,"?*"),23),18,FALSE),"")</f>
        <v>6 V, 4 P</v>
      </c>
      <c r="C36" s="383"/>
      <c r="D36" s="384">
        <f ca="1">IFERROR(VLOOKUP(A34,OFFSET($S$45,,,COUNTIF($S$45:$S$50,"?*"),14),5,FALSE),"")</f>
        <v>54</v>
      </c>
      <c r="E36" s="385"/>
      <c r="F36" s="17">
        <f ca="1">IFERROR(VLOOKUP(A34,OFFSET($S$45,,,COUNTIF($S$45:$S$50,"?*"),14),14,FALSE),"")</f>
        <v>76.724137931034491</v>
      </c>
      <c r="H36" s="414"/>
      <c r="J36" s="18">
        <f ca="1">IFERROR(IF(VLOOKUP(J34,OFFSET($AG$2,,,COUNTIF($AG$2:$AG$50,"?*"),23),7,FALSE)&lt;&gt;0,VLOOKUP(J34,OFFSET($AG$2,,,COUNTIF($AG$2:$AG$50,"?*"),23),7,FALSE),"?"),"")</f>
        <v>1</v>
      </c>
      <c r="K36" s="390" t="str">
        <f ca="1">IFERROR(VLOOKUP(J34,OFFSET($AG$2,,,COUNTIF($AG$2:$AG$50,"?*"),23),19,FALSE),"")</f>
        <v>10 OZ, 17 (11+6)</v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>FBC Panthers Liberec</v>
      </c>
      <c r="O36" s="391"/>
      <c r="P36" s="391"/>
      <c r="Q36" s="390">
        <f ca="1">IFERROR(IF(VLOOKUP(J34,OFFSET($AG$2,,,COUNTIF($AG$2:$AG$50,"?*"),23),14,FALSE)&lt;&gt;0,VLOOKUP(J34,OFFSET($AG$2,,,COUNTIF($AG$2:$AG$50,"?*"),23),14,FALSE),"?"),"")</f>
        <v>2010</v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>
        <f ca="1">IFERROR(VLOOKUP(A34,OFFSET($S$45,,,COUNTIF($S$45:$S$50,"?*"),14),3,FALSE),"")</f>
        <v>589.4</v>
      </c>
      <c r="B37" s="409"/>
      <c r="C37" s="410">
        <f ca="1">IFERROR(VLOOKUP(A34,OFFSET($S$45,,,COUNTIF($S$45:$S$50,"?*"),14),13,FALSE),"")</f>
        <v>5.4971157108924338</v>
      </c>
      <c r="D37" s="411"/>
      <c r="E37" s="412" t="str">
        <f ca="1">IFERROR(VLOOKUP(A34,OFFSET($AG$2,,,COUNTIF($AG$2:$AG$50,"?*"),23),19,FALSE),"")</f>
        <v>10 OZ, 1 A</v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>FBC Liberec</v>
      </c>
      <c r="B38" s="404"/>
      <c r="C38" s="405"/>
      <c r="D38" s="406">
        <f ca="1">IFERROR(IF(VLOOKUP(A34,OFFSET($AG$2,,,COUNTIF($AG$2:$AG$50,"?*"),23),14,FALSE)&lt;&gt;0,VLOOKUP(A34,OFFSET($AG$2,,,COUNTIF($AG$2:$AG$50,"?*"),23),14,FALSE),"?"),"")</f>
        <v>2014</v>
      </c>
      <c r="E38" s="407"/>
      <c r="F38" s="19">
        <f ca="1">IFERROR(VLOOKUP(A34,OFFSET($S$45,,,COUNTIF($S$45:$S$50,"?*"),14),6,FALSE),"")</f>
        <v>0</v>
      </c>
      <c r="H38" s="414"/>
      <c r="J38" s="386" t="s">
        <v>221</v>
      </c>
      <c r="K38" s="387"/>
      <c r="L38" s="387"/>
      <c r="M38" s="387"/>
      <c r="N38" s="387"/>
      <c r="O38" s="387"/>
      <c r="P38" s="387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>P</v>
      </c>
      <c r="K39" s="380">
        <f ca="1">IFERROR(IF(VLOOKUP(J38,OFFSET($AG$2,,,COUNTIF($AG$2:$AG$50,"?*"),23),2,FALSE)&lt;&gt;0,YEAR(VLOOKUP(J38,OFFSET($AG$2,,,COUNTIF($AG$2:$AG$50,"?*"),23),2,FALSE)),""),"")</f>
        <v>2001</v>
      </c>
      <c r="L39" s="388"/>
      <c r="M39" s="151">
        <f ca="1">IFERROR(VLOOKUP(J38,OFFSET($AG$2,,,COUNTIF($AG$2:$AG$50,"?*"),23),15,FALSE),"")</f>
        <v>20</v>
      </c>
      <c r="N39" s="388" t="str">
        <f ca="1">IFERROR(VLOOKUP(J38,OFFSET($AG$2,,,COUNTIF($AG$2:$AG$50,"?*"),23),16,FALSE),"")</f>
        <v>170/67</v>
      </c>
      <c r="O39" s="388"/>
      <c r="P39" s="388" t="str">
        <f ca="1">IFERROR(VLOOKUP(J38,OFFSET($AG$2,,,COUNTIF($AG$2:$AG$50,"?*"),23),18,FALSE),"")</f>
        <v>7 OZ, 0 (0+0), 0 ±</v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 t="s">
        <v>786</v>
      </c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>
        <f ca="1">IFERROR(IF(VLOOKUP(J38,OFFSET($AG$2,,,COUNTIF($AG$2:$AG$50,"?*"),23),7,FALSE)&lt;&gt;0,VLOOKUP(J38,OFFSET($AG$2,,,COUNTIF($AG$2:$AG$50,"?*"),23),7,FALSE),"?"),"")</f>
        <v>4</v>
      </c>
      <c r="K40" s="390" t="str">
        <f ca="1">IFERROR(VLOOKUP(J38,OFFSET($AG$2,,,COUNTIF($AG$2:$AG$50,"?*"),23),19,FALSE),"")</f>
        <v>21 OZ, 0 (0+0)</v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>Sokol Benátky nad Jizerou</v>
      </c>
      <c r="O40" s="391"/>
      <c r="P40" s="391"/>
      <c r="Q40" s="390">
        <f ca="1">IFERROR(IF(VLOOKUP(J38,OFFSET($AG$2,,,COUNTIF($AG$2:$AG$50,"?*"),23),14,FALSE)&lt;&gt;0,VLOOKUP(J38,OFFSET($AG$2,,,COUNTIF($AG$2:$AG$50,"?*"),23),14,FALSE),"?"),"")</f>
        <v>2006</v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94" t="str">
        <f ca="1">IFERROR(VLOOKUP(A40,OFFSET($AG$2,,,COUNTIF($AG$2:$AG$50,"?*"),23),15,FALSE),"")</f>
        <v>?</v>
      </c>
      <c r="E41" s="381" t="str">
        <f ca="1">IFERROR(VLOOKUP(A40,OFFSET($AG$2,,,COUNTIF($AG$2:$AG$50,"?*"),23),16,FALSE),"")</f>
        <v>? / ?</v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83" t="str">
        <f ca="1">IFERROR(VLOOKUP(A40,OFFSET($AG$2,,,COUNTIF($AG$2:$AG$50,"?*"),23),18,FALSE),"")</f>
        <v>1 V, 1 P</v>
      </c>
      <c r="C42" s="383"/>
      <c r="D42" s="384">
        <f ca="1">IFERROR(VLOOKUP(A40,OFFSET($S$45,,,COUNTIF($S$45:$S$50,"?*"),14),5,FALSE),"")</f>
        <v>7</v>
      </c>
      <c r="E42" s="385"/>
      <c r="F42" s="17">
        <f ca="1">IFERROR(VLOOKUP(A40,OFFSET($S$45,,,COUNTIF($S$45:$S$50,"?*"),14),14,FALSE),"")</f>
        <v>77.41935483870968</v>
      </c>
      <c r="H42" s="414"/>
      <c r="J42" s="386"/>
      <c r="K42" s="387"/>
      <c r="L42" s="387"/>
      <c r="M42" s="387"/>
      <c r="N42" s="387"/>
      <c r="O42" s="387"/>
      <c r="P42" s="387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>
        <f ca="1">IFERROR(VLOOKUP(A40,OFFSET($S$45,,,COUNTIF($S$45:$S$50,"?*"),14),3,FALSE),"")</f>
        <v>74.48</v>
      </c>
      <c r="B43" s="409"/>
      <c r="C43" s="410">
        <f ca="1">IFERROR(VLOOKUP(A40,OFFSET($S$45,,,COUNTIF($S$45:$S$50,"?*"),14),13,FALSE),"")</f>
        <v>5.6390977443609023</v>
      </c>
      <c r="D43" s="411"/>
      <c r="E43" s="412" t="str">
        <f ca="1">IFERROR(VLOOKUP(A40,OFFSET($AG$2,,,COUNTIF($AG$2:$AG$50,"?*"),23),19,FALSE),"")</f>
        <v>2 OZ, 0 A</v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>?</v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>?</v>
      </c>
      <c r="E44" s="407"/>
      <c r="F44" s="19">
        <f ca="1">IFERROR(VLOOKUP(A40,OFFSET($S$45,,,COUNTIF($S$45:$S$50,"?*"),14),6,FALSE),"")</f>
        <v>0</v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220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786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 t="s">
        <v>239</v>
      </c>
      <c r="B47" s="376"/>
      <c r="C47" s="376"/>
      <c r="D47" s="376"/>
      <c r="E47" s="377" t="str">
        <f ca="1">IFERROR(VLOOKUP(A47,OFFSET($BN$2,,,COUNTIF($BN$2:$BN$11,"?*"),5),3,FALSE),"")</f>
        <v>hlavní trenér</v>
      </c>
      <c r="F47" s="377"/>
      <c r="G47" s="377"/>
      <c r="H47" s="377"/>
      <c r="I47" s="378"/>
      <c r="J47" s="375" t="s">
        <v>240</v>
      </c>
      <c r="K47" s="376"/>
      <c r="L47" s="376"/>
      <c r="M47" s="376"/>
      <c r="N47" s="377" t="str">
        <f ca="1">IFERROR(VLOOKUP(J47,OFFSET($BN$2,,,COUNTIF($BN$2:$BN$11,"?*"),5),3,FALSE),"")</f>
        <v>asistent trenéra</v>
      </c>
      <c r="O47" s="377"/>
      <c r="P47" s="377"/>
      <c r="Q47" s="377"/>
      <c r="R47" s="378"/>
      <c r="S47" s="111" t="s">
        <v>215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>
        <f ca="1">IFERROR(VLOOKUP(A47,OFFSET($BN$2,,,COUNTIF($BN$2:$BN$11,"?*"),5),5,FALSE),"")</f>
        <v>53</v>
      </c>
      <c r="B48" s="395" t="str">
        <f ca="1">IFERROR(IF(VLOOKUP(A47,OFFSET($BN$2,,,COUNTIF($BN$2:$BN$11,"?*"),5),4,FALSE)&lt;&gt;0,VLOOKUP(A47,OFFSET($BN$2,,,COUNTIF($BN$2:$BN$11,"?*"),5),4,FALSE),"-"),"")</f>
        <v>stříbro a bronz z MS</v>
      </c>
      <c r="C48" s="395"/>
      <c r="D48" s="395"/>
      <c r="E48" s="395"/>
      <c r="F48" s="395"/>
      <c r="G48" s="395"/>
      <c r="H48" s="395"/>
      <c r="I48" s="396"/>
      <c r="J48" s="92">
        <f ca="1">IFERROR(VLOOKUP(J47,OFFSET($BN$2,,,COUNTIF($BN$2:$BN$11,"?*"),5),5,FALSE),"")</f>
        <v>26</v>
      </c>
      <c r="K48" s="399" t="str">
        <f ca="1">IFERROR(IF(VLOOKUP(J47,OFFSET($BN$2,,,COUNTIF($BN$2:$BN$11,"?*"),5),4,FALSE)&lt;&gt;0,VLOOKUP(J47,OFFSET($BN$2,,,COUNTIF($BN$2:$BN$11,"?*"),5),4,FALSE),"-"),"")</f>
        <v>-</v>
      </c>
      <c r="L48" s="399"/>
      <c r="M48" s="399"/>
      <c r="N48" s="399"/>
      <c r="O48" s="399"/>
      <c r="P48" s="399"/>
      <c r="Q48" s="399"/>
      <c r="R48" s="400"/>
      <c r="S48" s="111" t="s">
        <v>232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 t="s">
        <v>241</v>
      </c>
      <c r="K49" s="402"/>
      <c r="L49" s="402"/>
      <c r="M49" s="402"/>
      <c r="N49" s="377" t="str">
        <f ca="1">IFERROR(VLOOKUP(J49,OFFSET($BN$2,,,COUNTIF($BN$2:$BN$11,"?*"),5),3,FALSE),"")</f>
        <v>kondiční trenér</v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92">
        <f ca="1">IFERROR(VLOOKUP(J49,OFFSET($BN$2,,,COUNTIF($BN$2:$BN$11,"?*"),5),5,FALSE),"")</f>
        <v>42</v>
      </c>
      <c r="K50" s="399" t="str">
        <f ca="1">IFERROR(IF(VLOOKUP(J49,OFFSET($BN$2,,,COUNTIF($BN$2:$BN$11,"?*"),5),4,FALSE)&lt;&gt;0,VLOOKUP(J49,OFFSET($BN$2,,,COUNTIF($BN$2:$BN$11,"?*"),5),4,FALSE),"-"),"")</f>
        <v>-</v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377</v>
      </c>
      <c r="T2" s="102" t="s">
        <v>111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390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407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419</v>
      </c>
      <c r="BO2" s="122">
        <v>30091</v>
      </c>
      <c r="BP2" s="131" t="s">
        <v>244</v>
      </c>
      <c r="BQ2" s="132" t="s">
        <v>420</v>
      </c>
      <c r="BR2" s="127">
        <f ca="1">IF(BN2&lt;&gt;"",IF(BO2&lt;&gt;"",INT((TODAY()-BO2)/365),"?"),"")</f>
        <v>39</v>
      </c>
      <c r="BS2" s="374" t="s">
        <v>36</v>
      </c>
      <c r="BT2" s="104" t="s">
        <v>896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373" t="s">
        <v>200</v>
      </c>
      <c r="BY2" s="103" t="s">
        <v>874</v>
      </c>
      <c r="BZ2" s="103" t="s">
        <v>860</v>
      </c>
      <c r="CA2" s="115" t="s">
        <v>827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378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NE</v>
      </c>
      <c r="AG3" s="121" t="s">
        <v>385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141</v>
      </c>
      <c r="AQ3" s="123">
        <v>181</v>
      </c>
      <c r="AR3" s="123">
        <v>62</v>
      </c>
      <c r="AS3" s="126" t="s">
        <v>408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11 OZ, 13 (11+2), +7 ±</v>
      </c>
      <c r="AY3" s="129" t="str">
        <f t="shared" ca="1" si="2"/>
        <v>149 OZ, 127 (95+32)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421</v>
      </c>
      <c r="BO3" s="122">
        <v>33197</v>
      </c>
      <c r="BP3" s="131" t="s">
        <v>184</v>
      </c>
      <c r="BQ3" s="132" t="s">
        <v>422</v>
      </c>
      <c r="BR3" s="127">
        <f t="shared" ref="BR3:BR11" ca="1" si="12">IF(BN3&lt;&gt;"",IF(BO3&lt;&gt;"",INT((TODAY()-BO3)/365),"?"),"")</f>
        <v>30</v>
      </c>
      <c r="BS3" s="374"/>
      <c r="BT3" s="104" t="s">
        <v>897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373"/>
      <c r="BY3" s="103" t="s">
        <v>854</v>
      </c>
      <c r="BZ3" s="103" t="s">
        <v>849</v>
      </c>
      <c r="CA3" s="115" t="s">
        <v>1083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385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377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141</v>
      </c>
      <c r="AQ4" s="123">
        <v>180</v>
      </c>
      <c r="AR4" s="123">
        <v>77</v>
      </c>
      <c r="AS4" s="126" t="s">
        <v>409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11 OZ, 22 (10+12), +16 ±</v>
      </c>
      <c r="AY4" s="129" t="str">
        <f t="shared" ca="1" si="2"/>
        <v>346 OZ, 757 (413+344)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423</v>
      </c>
      <c r="BO4" s="122">
        <v>30597</v>
      </c>
      <c r="BP4" s="131" t="s">
        <v>245</v>
      </c>
      <c r="BQ4" s="132" t="s">
        <v>424</v>
      </c>
      <c r="BR4" s="127">
        <f t="shared" ca="1" si="12"/>
        <v>38</v>
      </c>
      <c r="BS4" s="374"/>
      <c r="BT4" s="104" t="s">
        <v>898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373"/>
      <c r="BY4" s="103" t="s">
        <v>852</v>
      </c>
      <c r="BZ4" s="103" t="s">
        <v>872</v>
      </c>
      <c r="CA4" s="115" t="s">
        <v>827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379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396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295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425</v>
      </c>
      <c r="BO5" s="122">
        <v>34618</v>
      </c>
      <c r="BP5" s="131" t="s">
        <v>426</v>
      </c>
      <c r="BQ5" s="132" t="s">
        <v>427</v>
      </c>
      <c r="BR5" s="127">
        <f t="shared" ca="1" si="12"/>
        <v>27</v>
      </c>
      <c r="BS5" s="374"/>
      <c r="BT5" s="104" t="s">
        <v>830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373"/>
      <c r="BY5" s="103" t="s">
        <v>1157</v>
      </c>
      <c r="BZ5" s="103" t="s">
        <v>855</v>
      </c>
      <c r="CA5" s="115" t="s">
        <v>1272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389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397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141</v>
      </c>
      <c r="AQ6" s="123">
        <v>178</v>
      </c>
      <c r="AR6" s="123">
        <v>64</v>
      </c>
      <c r="AS6" s="126" t="s">
        <v>410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428</v>
      </c>
      <c r="BO6" s="122">
        <v>33694</v>
      </c>
      <c r="BP6" s="131" t="s">
        <v>429</v>
      </c>
      <c r="BQ6" s="132"/>
      <c r="BR6" s="127">
        <f t="shared" ca="1" si="12"/>
        <v>29</v>
      </c>
      <c r="BS6" s="374"/>
      <c r="BT6" s="104" t="s">
        <v>1274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373"/>
      <c r="BY6" s="103" t="s">
        <v>829</v>
      </c>
      <c r="BZ6" s="103" t="s">
        <v>853</v>
      </c>
      <c r="CA6" s="115" t="s">
        <v>782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382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NE</v>
      </c>
      <c r="AG7" s="121" t="s">
        <v>381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407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11 OZ, 5 (0+5), +12 ±</v>
      </c>
      <c r="AY7" s="129" t="str">
        <f t="shared" ca="1" si="2"/>
        <v>218 OZ, 140 (78+62)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430</v>
      </c>
      <c r="BU7" s="103" t="s">
        <v>1275</v>
      </c>
      <c r="BV7" s="104" t="str">
        <f t="shared" si="13"/>
        <v>Lukáš Bauer</v>
      </c>
      <c r="BW7" s="112">
        <f t="shared" si="14"/>
        <v>2.98</v>
      </c>
      <c r="BX7" s="373" t="s">
        <v>201</v>
      </c>
      <c r="BY7" s="103" t="s">
        <v>985</v>
      </c>
      <c r="BZ7" s="103" t="s">
        <v>859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23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383</v>
      </c>
      <c r="T8" s="102" t="s">
        <v>111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398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141</v>
      </c>
      <c r="AQ8" s="123">
        <v>187</v>
      </c>
      <c r="AR8" s="123">
        <v>80</v>
      </c>
      <c r="AS8" s="126" t="s">
        <v>411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9 OZ, 7 (2+5), +15 ±</v>
      </c>
      <c r="AY8" s="129" t="str">
        <f t="shared" ca="1" si="2"/>
        <v>22 OZ, 18 (9+9)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1276</v>
      </c>
      <c r="BU8" s="103" t="s">
        <v>191</v>
      </c>
      <c r="BV8" s="104" t="str">
        <f t="shared" si="13"/>
        <v>Dominik Hanuš</v>
      </c>
      <c r="BW8" s="112">
        <f t="shared" si="14"/>
        <v>0</v>
      </c>
      <c r="BX8" s="373"/>
      <c r="BY8" s="103" t="s">
        <v>1078</v>
      </c>
      <c r="BZ8" s="103" t="s">
        <v>848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386</v>
      </c>
      <c r="T9" s="102" t="s">
        <v>111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399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72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1277</v>
      </c>
      <c r="BU9" s="103" t="s">
        <v>1278</v>
      </c>
      <c r="BV9" s="104" t="str">
        <f t="shared" si="13"/>
        <v>Ondřej Tomšík</v>
      </c>
      <c r="BW9" s="112">
        <f t="shared" si="14"/>
        <v>1</v>
      </c>
      <c r="BX9" s="373"/>
      <c r="BY9" s="103" t="s">
        <v>1176</v>
      </c>
      <c r="BZ9" s="103" t="s">
        <v>900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387</v>
      </c>
      <c r="T10" s="102" t="s">
        <v>62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383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412</v>
      </c>
      <c r="AT10" s="123">
        <v>2005</v>
      </c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11 OZ, 10 (7+3), +13 ±</v>
      </c>
      <c r="AY10" s="129" t="str">
        <f t="shared" ca="1" si="2"/>
        <v>221 OZ, 194 (118+76)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1159</v>
      </c>
      <c r="BZ10" s="103" t="s">
        <v>873</v>
      </c>
      <c r="CA10" s="115" t="s">
        <v>196</v>
      </c>
    </row>
    <row r="11" spans="1:79" ht="15" customHeight="1" thickTop="1" thickBot="1" x14ac:dyDescent="0.25">
      <c r="R11" s="13"/>
      <c r="S11" s="110" t="s">
        <v>388</v>
      </c>
      <c r="T11" s="102" t="s">
        <v>62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NE</v>
      </c>
      <c r="AG11" s="121" t="s">
        <v>400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141</v>
      </c>
      <c r="AQ11" s="123">
        <v>183</v>
      </c>
      <c r="AR11" s="123">
        <v>73</v>
      </c>
      <c r="AS11" s="126" t="s">
        <v>412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1177</v>
      </c>
      <c r="BZ11" s="103" t="s">
        <v>893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398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260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141</v>
      </c>
      <c r="AQ12" s="123">
        <v>185</v>
      </c>
      <c r="AR12" s="123">
        <v>85</v>
      </c>
      <c r="AS12" s="126" t="s">
        <v>68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1279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199</v>
      </c>
      <c r="BY12" s="100" t="s">
        <v>1273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380</v>
      </c>
      <c r="T13" s="102" t="s">
        <v>111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393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141</v>
      </c>
      <c r="AQ13" s="123">
        <v>187</v>
      </c>
      <c r="AR13" s="123">
        <v>71</v>
      </c>
      <c r="AS13" s="126" t="s">
        <v>413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11 OZ, 5 (4+1), +4 ±</v>
      </c>
      <c r="AY13" s="129" t="str">
        <f t="shared" ca="1" si="2"/>
        <v>41 OZ, 19 (12+7)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1280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393</v>
      </c>
      <c r="T14" s="102" t="s">
        <v>111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401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141</v>
      </c>
      <c r="AQ14" s="123">
        <v>186</v>
      </c>
      <c r="AR14" s="123">
        <v>88</v>
      </c>
      <c r="AS14" s="126" t="s">
        <v>351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1093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394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NE</v>
      </c>
      <c r="AG15" s="121" t="s">
        <v>402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141</v>
      </c>
      <c r="AQ15" s="123">
        <v>174</v>
      </c>
      <c r="AR15" s="123">
        <v>64</v>
      </c>
      <c r="AS15" s="126" t="s">
        <v>80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830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391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NE</v>
      </c>
      <c r="AG16" s="121" t="s">
        <v>403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414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1281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381</v>
      </c>
      <c r="T17" s="102" t="s">
        <v>62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114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259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430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392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380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158</v>
      </c>
      <c r="AP18" s="125" t="s">
        <v>27</v>
      </c>
      <c r="AQ18" s="123">
        <v>181</v>
      </c>
      <c r="AR18" s="123">
        <v>76</v>
      </c>
      <c r="AS18" s="126" t="s">
        <v>415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6 OZ, 6 (4+2), +8 ±</v>
      </c>
      <c r="AY18" s="129" t="str">
        <f t="shared" ca="1" si="2"/>
        <v>279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431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MB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384</v>
      </c>
      <c r="T19" s="102" t="s">
        <v>111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218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413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1282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1271</v>
      </c>
      <c r="T20" s="102" t="s">
        <v>109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404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141</v>
      </c>
      <c r="AQ20" s="123">
        <v>182</v>
      </c>
      <c r="AR20" s="123">
        <v>71</v>
      </c>
      <c r="AS20" s="126" t="s">
        <v>416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828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NE</v>
      </c>
      <c r="AG21" s="121" t="s">
        <v>387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351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395</v>
      </c>
      <c r="T22" s="102" t="s">
        <v>109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389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303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896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390</v>
      </c>
      <c r="T23" s="102" t="s">
        <v>109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110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229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1283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1"/>
      <c r="AC24" s="102" t="str">
        <f t="shared" ca="1" si="0"/>
        <v/>
      </c>
      <c r="AG24" s="121" t="s">
        <v>405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141</v>
      </c>
      <c r="AQ24" s="123">
        <v>192</v>
      </c>
      <c r="AR24" s="123">
        <v>90</v>
      </c>
      <c r="AS24" s="126" t="s">
        <v>417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1284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1"/>
      <c r="AC25" s="102" t="str">
        <f t="shared" ca="1" si="0"/>
        <v/>
      </c>
      <c r="AG25" s="121" t="s">
        <v>379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141</v>
      </c>
      <c r="AQ25" s="123">
        <v>183</v>
      </c>
      <c r="AR25" s="123">
        <v>76</v>
      </c>
      <c r="AS25" s="126" t="s">
        <v>418</v>
      </c>
      <c r="AT25" s="123">
        <v>1998</v>
      </c>
      <c r="AU25" s="127">
        <f ca="1">IF(AG25&lt;&gt;"",IF(AH25&lt;&gt;"",INT((TODAY()-AH25)/365),"?"),"")</f>
        <v>31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11 OZ, 12 (8+4), +16 ±</v>
      </c>
      <c r="AY25" s="129" t="str">
        <f t="shared" ca="1" si="16"/>
        <v>244 OZ, 307 (191+116)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1285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386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141</v>
      </c>
      <c r="AQ26" s="123">
        <v>181</v>
      </c>
      <c r="AR26" s="123">
        <v>85</v>
      </c>
      <c r="AS26" s="126" t="s">
        <v>418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10 OZ, 10 (4+6), +13 ±</v>
      </c>
      <c r="AY26" s="129" t="str">
        <f t="shared" ca="1" si="16"/>
        <v>228 OZ, 368 (188+180)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1286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395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229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1 V, 0 P</v>
      </c>
      <c r="AY27" s="129" t="str">
        <f t="shared" ca="1" si="16"/>
        <v>2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1287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406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141</v>
      </c>
      <c r="AQ28" s="123"/>
      <c r="AR28" s="123"/>
      <c r="AS28" s="126" t="s">
        <v>229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1092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 t="s">
        <v>392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141</v>
      </c>
      <c r="AQ29" s="123">
        <v>186</v>
      </c>
      <c r="AR29" s="123">
        <v>78</v>
      </c>
      <c r="AS29" s="126" t="s">
        <v>413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4 (1+3), +13 ±</v>
      </c>
      <c r="AY29" s="129" t="str">
        <f t="shared" ca="1" si="16"/>
        <v>133 OZ, 47 (19+28)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1288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MB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 t="s">
        <v>384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141</v>
      </c>
      <c r="AQ30" s="123">
        <v>185</v>
      </c>
      <c r="AR30" s="123">
        <v>71</v>
      </c>
      <c r="AS30" s="126" t="s">
        <v>413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8 OZ, 1 (1+0), +3 ±</v>
      </c>
      <c r="AY30" s="129" t="str">
        <f t="shared" ca="1" si="16"/>
        <v>33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1094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1274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390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395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3">IF(S46&lt;&gt;"",IF(T46&gt;0,W46/(U46/60),0),"")</f>
        <v>1</v>
      </c>
      <c r="AF46" s="112">
        <f t="shared" ref="AF46:AF50" si="24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1271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734</v>
      </c>
      <c r="T2" s="102" t="s">
        <v>111</v>
      </c>
      <c r="U2" s="102">
        <v>11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738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1294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373" t="s">
        <v>200</v>
      </c>
      <c r="BY2" s="103" t="s">
        <v>874</v>
      </c>
      <c r="BZ2" s="103" t="s">
        <v>853</v>
      </c>
      <c r="CA2" s="115" t="s">
        <v>319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735</v>
      </c>
      <c r="T3" s="102" t="s">
        <v>111</v>
      </c>
      <c r="U3" s="102">
        <v>10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502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11 OZ, 9 (9+0), +5 ±</v>
      </c>
      <c r="AY3" s="129" t="str">
        <f t="shared" ca="1" si="2"/>
        <v>11 OZ, 9 (9+0)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4"/>
      <c r="BT3" s="104" t="s">
        <v>1295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373"/>
      <c r="BY3" s="103" t="s">
        <v>854</v>
      </c>
      <c r="BZ3" s="103" t="s">
        <v>851</v>
      </c>
      <c r="CA3" s="115" t="s">
        <v>1291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733</v>
      </c>
      <c r="U4" s="102">
        <v>10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0</v>
      </c>
      <c r="AB4" s="102">
        <v>19</v>
      </c>
      <c r="AC4" s="102" t="str">
        <f t="shared" ca="1" si="0"/>
        <v>ANO</v>
      </c>
      <c r="AG4" s="121" t="s">
        <v>742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11 OZ, 1 (0+1), -6 ±</v>
      </c>
      <c r="AY4" s="129" t="str">
        <f t="shared" ca="1" si="2"/>
        <v>11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4"/>
      <c r="BT4" s="104" t="s">
        <v>1296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373"/>
      <c r="BY4" s="103" t="s">
        <v>852</v>
      </c>
      <c r="BZ4" s="103" t="s">
        <v>878</v>
      </c>
      <c r="CA4" s="115" t="s">
        <v>805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343</v>
      </c>
      <c r="T5" s="102" t="s">
        <v>62</v>
      </c>
      <c r="U5" s="102">
        <v>11</v>
      </c>
      <c r="V5" s="102">
        <v>4</v>
      </c>
      <c r="W5" s="102">
        <v>0</v>
      </c>
      <c r="X5" s="102">
        <v>0</v>
      </c>
      <c r="Y5" s="102">
        <v>11</v>
      </c>
      <c r="Z5" s="102">
        <v>15</v>
      </c>
      <c r="AA5" s="102">
        <v>2</v>
      </c>
      <c r="AB5" s="102">
        <v>18</v>
      </c>
      <c r="AC5" s="102" t="str">
        <f t="shared" ca="1" si="0"/>
        <v>ANO</v>
      </c>
      <c r="AG5" s="121" t="s">
        <v>744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9 OZ, 1 (1+0), -5 ±</v>
      </c>
      <c r="AY5" s="129" t="str">
        <f t="shared" ca="1" si="2"/>
        <v>9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1297</v>
      </c>
      <c r="BU5" s="103">
        <v>15</v>
      </c>
      <c r="BV5" s="104" t="str">
        <f t="shared" si="13"/>
        <v>Šimon Kuczera</v>
      </c>
      <c r="BW5" s="102">
        <f t="shared" si="14"/>
        <v>15</v>
      </c>
      <c r="BX5" s="373"/>
      <c r="BY5" s="103" t="s">
        <v>1157</v>
      </c>
      <c r="BZ5" s="103" t="s">
        <v>844</v>
      </c>
      <c r="CA5" s="115" t="s">
        <v>1292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736</v>
      </c>
      <c r="U6" s="102">
        <v>11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736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11 OZ, 13 (10+3), -3 ±</v>
      </c>
      <c r="AY6" s="129" t="str">
        <f t="shared" ca="1" si="2"/>
        <v>11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899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373"/>
      <c r="BY6" s="103" t="s">
        <v>771</v>
      </c>
      <c r="BZ6" s="103" t="s">
        <v>845</v>
      </c>
      <c r="CA6" s="115" t="s">
        <v>1099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502</v>
      </c>
      <c r="T7" s="102" t="s">
        <v>111</v>
      </c>
      <c r="U7" s="102">
        <v>11</v>
      </c>
      <c r="V7" s="102">
        <v>9</v>
      </c>
      <c r="W7" s="102">
        <v>0</v>
      </c>
      <c r="X7" s="102">
        <v>0</v>
      </c>
      <c r="Y7" s="102">
        <v>0</v>
      </c>
      <c r="Z7" s="102">
        <v>9</v>
      </c>
      <c r="AA7" s="102">
        <v>4</v>
      </c>
      <c r="AB7" s="102">
        <v>5</v>
      </c>
      <c r="AC7" s="102" t="str">
        <f t="shared" ca="1" si="0"/>
        <v>ANO</v>
      </c>
      <c r="AG7" s="121" t="s">
        <v>340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747</v>
      </c>
      <c r="BU7" s="103" t="s">
        <v>1298</v>
      </c>
      <c r="BV7" s="104" t="str">
        <f t="shared" si="13"/>
        <v>Jan Binder</v>
      </c>
      <c r="BW7" s="112">
        <f t="shared" si="14"/>
        <v>4.97</v>
      </c>
      <c r="BX7" s="373" t="s">
        <v>201</v>
      </c>
      <c r="BY7" s="103" t="s">
        <v>1100</v>
      </c>
      <c r="BZ7" s="103" t="s">
        <v>872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97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745</v>
      </c>
      <c r="U8" s="102">
        <v>11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737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11 OZ, 2 (2+0), -7 ±</v>
      </c>
      <c r="AY8" s="129" t="str">
        <f t="shared" ca="1" si="2"/>
        <v>11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796</v>
      </c>
      <c r="BU8" s="103" t="s">
        <v>1299</v>
      </c>
      <c r="BV8" s="104" t="str">
        <f t="shared" si="13"/>
        <v>Martin Janík</v>
      </c>
      <c r="BW8" s="112">
        <f t="shared" si="14"/>
        <v>4.37</v>
      </c>
      <c r="BX8" s="373"/>
      <c r="BY8" s="103" t="s">
        <v>1176</v>
      </c>
      <c r="BZ8" s="103" t="s">
        <v>860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746</v>
      </c>
      <c r="U9" s="102">
        <v>11</v>
      </c>
      <c r="V9" s="102">
        <v>3</v>
      </c>
      <c r="W9" s="102">
        <v>1</v>
      </c>
      <c r="X9" s="102">
        <v>0</v>
      </c>
      <c r="Y9" s="102">
        <v>3</v>
      </c>
      <c r="Z9" s="102">
        <v>6</v>
      </c>
      <c r="AA9" s="102">
        <v>2</v>
      </c>
      <c r="AB9" s="102">
        <v>16</v>
      </c>
      <c r="AC9" s="102" t="str">
        <f t="shared" ca="1" si="0"/>
        <v>ANO</v>
      </c>
      <c r="AG9" s="121" t="s">
        <v>746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11 OZ, 6 (3+3), +16 ±</v>
      </c>
      <c r="AY9" s="129" t="str">
        <f t="shared" ca="1" si="2"/>
        <v>11 OZ, 6 (3+3)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797</v>
      </c>
      <c r="BU9" s="103" t="s">
        <v>1300</v>
      </c>
      <c r="BV9" s="104" t="str">
        <f t="shared" si="13"/>
        <v>Jan Klinka</v>
      </c>
      <c r="BW9" s="112">
        <f t="shared" si="14"/>
        <v>5.01</v>
      </c>
      <c r="BX9" s="373"/>
      <c r="BY9" s="103" t="s">
        <v>1159</v>
      </c>
      <c r="BZ9" s="103" t="s">
        <v>859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737</v>
      </c>
      <c r="U10" s="102">
        <v>11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739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1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1177</v>
      </c>
      <c r="BZ10" s="103" t="s">
        <v>848</v>
      </c>
      <c r="CA10" s="115" t="s">
        <v>196</v>
      </c>
    </row>
    <row r="11" spans="1:79" ht="15" customHeight="1" thickTop="1" thickBot="1" x14ac:dyDescent="0.25">
      <c r="R11" s="13"/>
      <c r="S11" s="110" t="s">
        <v>741</v>
      </c>
      <c r="T11" s="102" t="s">
        <v>62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343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11 OZ, 15 (4+11), +18 ±</v>
      </c>
      <c r="AY11" s="129" t="str">
        <f t="shared" ca="1" si="2"/>
        <v>11 OZ, 15 (4+11)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1240</v>
      </c>
      <c r="BZ11" s="103" t="s">
        <v>849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744</v>
      </c>
      <c r="U12" s="102">
        <v>9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741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1294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199</v>
      </c>
      <c r="BY12" s="100" t="s">
        <v>1293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793</v>
      </c>
      <c r="T13" s="102" t="s">
        <v>111</v>
      </c>
      <c r="U13" s="102">
        <v>9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733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10 OZ, 20 (11+9), +19 ±</v>
      </c>
      <c r="AY13" s="129" t="str">
        <f t="shared" ca="1" si="2"/>
        <v>10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1301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742</v>
      </c>
      <c r="U14" s="102">
        <v>11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735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10 OZ, 21 (7+14), +20 ±</v>
      </c>
      <c r="AY14" s="129" t="str">
        <f t="shared" ca="1" si="2"/>
        <v>10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1302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1289</v>
      </c>
      <c r="T15" s="102" t="s">
        <v>62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740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1096</v>
      </c>
      <c r="BU15" s="103">
        <v>9</v>
      </c>
      <c r="BV15" s="104" t="str">
        <f t="shared" si="13"/>
        <v>Ladislav Gál</v>
      </c>
      <c r="BW15" s="102">
        <f t="shared" si="14"/>
        <v>9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1290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734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11 OZ, 21 (11+10), +5 ±</v>
      </c>
      <c r="AY16" s="129" t="str">
        <f t="shared" ca="1" si="2"/>
        <v>11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1097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340</v>
      </c>
      <c r="T17" s="102" t="s">
        <v>111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745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11 OZ, 8 (2+6), -6 ±</v>
      </c>
      <c r="AY17" s="129" t="str">
        <f t="shared" ca="1" si="2"/>
        <v>11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747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791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743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748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OST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743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522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9 OZ, 0 (0+0), -8 ±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795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1098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792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1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739</v>
      </c>
      <c r="T22" s="102" t="s">
        <v>109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4" t="s">
        <v>38</v>
      </c>
      <c r="BT22" s="104" t="s">
        <v>1303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740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-4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4"/>
      <c r="BT23" s="104" t="s">
        <v>1304</v>
      </c>
      <c r="BU23" s="103">
        <v>11</v>
      </c>
      <c r="BV23" s="104" t="str">
        <f t="shared" si="13"/>
        <v>Šimon Kuczera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738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4"/>
      <c r="BT24" s="104" t="s">
        <v>1095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522</v>
      </c>
      <c r="T25" s="102" t="s">
        <v>62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-8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4"/>
      <c r="BT25" s="104" t="s">
        <v>798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794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1</v>
      </c>
      <c r="AC26" s="102" t="str">
        <f t="shared" ca="1" si="0"/>
        <v>NE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4"/>
      <c r="BT26" s="104" t="s">
        <v>1305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1306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1307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1308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OST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1309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1310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738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739</v>
      </c>
      <c r="T46" s="102">
        <v>3</v>
      </c>
      <c r="U46" s="112">
        <v>95.74</v>
      </c>
      <c r="V46" s="102">
        <v>2</v>
      </c>
      <c r="W46" s="102">
        <v>8</v>
      </c>
      <c r="X46" s="102">
        <v>0</v>
      </c>
      <c r="Y46" s="102">
        <v>37</v>
      </c>
      <c r="Z46" s="102">
        <v>0</v>
      </c>
      <c r="AA46" s="102">
        <v>1</v>
      </c>
      <c r="AB46" s="102">
        <v>29</v>
      </c>
      <c r="AC46" s="102">
        <v>0</v>
      </c>
      <c r="AD46" s="102">
        <v>0</v>
      </c>
      <c r="AE46" s="112">
        <f t="shared" ref="AE46:AE50" si="25">IF(S46&lt;&gt;"",IF(T46&gt;0,W46/(U46/60),0),"")</f>
        <v>5.0135784416127009</v>
      </c>
      <c r="AF46" s="112">
        <f t="shared" ref="AF46:AF50" si="26">IF(S46&lt;&gt;"",IF(Y46&gt;0,(AB46/Y46)*100,"-"),"")</f>
        <v>78.378378378378372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791</v>
      </c>
      <c r="T47" s="102">
        <v>2</v>
      </c>
      <c r="U47" s="112">
        <v>68.62</v>
      </c>
      <c r="V47" s="102">
        <v>1</v>
      </c>
      <c r="W47" s="102">
        <v>5</v>
      </c>
      <c r="X47" s="102">
        <v>0</v>
      </c>
      <c r="Y47" s="102">
        <v>22</v>
      </c>
      <c r="Z47" s="102">
        <v>0</v>
      </c>
      <c r="AA47" s="102">
        <v>1</v>
      </c>
      <c r="AB47" s="102">
        <v>17</v>
      </c>
      <c r="AC47" s="102">
        <v>0</v>
      </c>
      <c r="AD47" s="102">
        <v>0</v>
      </c>
      <c r="AE47" s="112">
        <f t="shared" si="25"/>
        <v>4.3719032352083937</v>
      </c>
      <c r="AF47" s="112">
        <f t="shared" si="26"/>
        <v>77.272727272727266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482</v>
      </c>
      <c r="T2" s="102" t="s">
        <v>111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501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523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542</v>
      </c>
      <c r="BO2" s="122">
        <v>27314</v>
      </c>
      <c r="BP2" s="131" t="s">
        <v>244</v>
      </c>
      <c r="BQ2" s="132"/>
      <c r="BR2" s="127">
        <f ca="1">IF(BN2&lt;&gt;"",IF(BO2&lt;&gt;"",INT((TODAY()-BO2)/365),"?"),"")</f>
        <v>47</v>
      </c>
      <c r="BS2" s="374" t="s">
        <v>36</v>
      </c>
      <c r="BT2" s="104" t="s">
        <v>545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373" t="s">
        <v>200</v>
      </c>
      <c r="BY2" s="103" t="s">
        <v>874</v>
      </c>
      <c r="BZ2" s="103" t="s">
        <v>882</v>
      </c>
      <c r="CA2" s="115" t="s">
        <v>1325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483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499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141</v>
      </c>
      <c r="AQ3" s="123">
        <v>177</v>
      </c>
      <c r="AR3" s="123">
        <v>70</v>
      </c>
      <c r="AS3" s="126" t="s">
        <v>524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543</v>
      </c>
      <c r="BO3" s="122">
        <v>33731</v>
      </c>
      <c r="BP3" s="131" t="s">
        <v>245</v>
      </c>
      <c r="BQ3" s="132"/>
      <c r="BR3" s="127">
        <f t="shared" ref="BR3:BR11" ca="1" si="12">IF(BN3&lt;&gt;"",IF(BO3&lt;&gt;"",INT((TODAY()-BO3)/365),"?"),"")</f>
        <v>29</v>
      </c>
      <c r="BS3" s="374"/>
      <c r="BT3" s="104" t="s">
        <v>831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373"/>
      <c r="BY3" s="103" t="s">
        <v>854</v>
      </c>
      <c r="BZ3" s="103" t="s">
        <v>883</v>
      </c>
      <c r="CA3" s="115" t="s">
        <v>1326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486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502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141</v>
      </c>
      <c r="AQ4" s="123">
        <v>177</v>
      </c>
      <c r="AR4" s="123">
        <v>77</v>
      </c>
      <c r="AS4" s="126" t="s">
        <v>525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544</v>
      </c>
      <c r="BO4" s="122">
        <v>25991</v>
      </c>
      <c r="BP4" s="131" t="s">
        <v>184</v>
      </c>
      <c r="BQ4" s="132"/>
      <c r="BR4" s="127">
        <f t="shared" ca="1" si="12"/>
        <v>50</v>
      </c>
      <c r="BS4" s="374"/>
      <c r="BT4" s="104" t="s">
        <v>1311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373"/>
      <c r="BY4" s="103" t="s">
        <v>852</v>
      </c>
      <c r="BZ4" s="103" t="s">
        <v>884</v>
      </c>
      <c r="CA4" s="115" t="s">
        <v>819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489</v>
      </c>
      <c r="T5" s="102" t="s">
        <v>111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503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141</v>
      </c>
      <c r="AQ5" s="123">
        <v>193</v>
      </c>
      <c r="AR5" s="123">
        <v>77</v>
      </c>
      <c r="AS5" s="126" t="s">
        <v>526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1104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373"/>
      <c r="BY5" s="103" t="s">
        <v>989</v>
      </c>
      <c r="BZ5" s="103" t="s">
        <v>863</v>
      </c>
      <c r="CA5" s="115" t="s">
        <v>1119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516</v>
      </c>
      <c r="T6" s="102" t="s">
        <v>111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498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141</v>
      </c>
      <c r="AQ6" s="123">
        <v>180</v>
      </c>
      <c r="AR6" s="123">
        <v>80</v>
      </c>
      <c r="AS6" s="126" t="s">
        <v>524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1105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373"/>
      <c r="BY6" s="103" t="s">
        <v>1157</v>
      </c>
      <c r="BZ6" s="103" t="s">
        <v>849</v>
      </c>
      <c r="CA6" s="115" t="s">
        <v>1327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1101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487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141</v>
      </c>
      <c r="AQ7" s="123">
        <v>174</v>
      </c>
      <c r="AR7" s="123">
        <v>73</v>
      </c>
      <c r="AS7" s="126" t="s">
        <v>527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901</v>
      </c>
      <c r="BU7" s="103" t="s">
        <v>1312</v>
      </c>
      <c r="BV7" s="104" t="str">
        <f t="shared" si="13"/>
        <v>Adam Kohút</v>
      </c>
      <c r="BW7" s="112">
        <f t="shared" si="14"/>
        <v>6.03</v>
      </c>
      <c r="BX7" s="373" t="s">
        <v>201</v>
      </c>
      <c r="BY7" s="103" t="s">
        <v>985</v>
      </c>
      <c r="BZ7" s="103" t="s">
        <v>881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98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484</v>
      </c>
      <c r="T8" s="102" t="s">
        <v>111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504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141</v>
      </c>
      <c r="AQ8" s="123">
        <v>185</v>
      </c>
      <c r="AR8" s="123">
        <v>75</v>
      </c>
      <c r="AS8" s="126" t="s">
        <v>528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902</v>
      </c>
      <c r="BU8" s="103" t="s">
        <v>903</v>
      </c>
      <c r="BV8" s="104" t="str">
        <f t="shared" si="13"/>
        <v>Kevin Majrich</v>
      </c>
      <c r="BW8" s="112">
        <f t="shared" si="14"/>
        <v>8.09</v>
      </c>
      <c r="BX8" s="373"/>
      <c r="BY8" s="103" t="s">
        <v>1100</v>
      </c>
      <c r="BZ8" s="103" t="s">
        <v>870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487</v>
      </c>
      <c r="T9" s="102" t="s">
        <v>111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505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141</v>
      </c>
      <c r="AQ9" s="123">
        <v>193</v>
      </c>
      <c r="AR9" s="123">
        <v>90</v>
      </c>
      <c r="AS9" s="126" t="s">
        <v>529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904</v>
      </c>
      <c r="BU9" s="103" t="s">
        <v>1313</v>
      </c>
      <c r="BV9" s="104" t="str">
        <f t="shared" si="13"/>
        <v>Miroslav Steiger</v>
      </c>
      <c r="BW9" s="112">
        <f t="shared" si="14"/>
        <v>11.35</v>
      </c>
      <c r="BX9" s="373"/>
      <c r="BY9" s="103" t="s">
        <v>1176</v>
      </c>
      <c r="BZ9" s="103" t="s">
        <v>845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485</v>
      </c>
      <c r="T10" s="102" t="s">
        <v>111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341</v>
      </c>
      <c r="AH10" s="122"/>
      <c r="AI10" s="123"/>
      <c r="AJ10" s="123"/>
      <c r="AK10" s="123"/>
      <c r="AL10" s="124">
        <f>IF(AG10&lt;&gt;"",AJ10+AK10,"")</f>
        <v>0</v>
      </c>
      <c r="AM10" s="123" t="s">
        <v>290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1159</v>
      </c>
      <c r="BZ10" s="103" t="s">
        <v>844</v>
      </c>
      <c r="CA10" s="115" t="s">
        <v>196</v>
      </c>
    </row>
    <row r="11" spans="1:79" ht="15" customHeight="1" thickTop="1" thickBot="1" x14ac:dyDescent="0.25">
      <c r="R11" s="13"/>
      <c r="S11" s="110" t="s">
        <v>492</v>
      </c>
      <c r="T11" s="102" t="s">
        <v>111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506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141</v>
      </c>
      <c r="AQ11" s="123">
        <v>188</v>
      </c>
      <c r="AR11" s="123">
        <v>78</v>
      </c>
      <c r="AS11" s="126" t="s">
        <v>524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1177</v>
      </c>
      <c r="BZ11" s="103" t="s">
        <v>850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499</v>
      </c>
      <c r="T12" s="102" t="s">
        <v>111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492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530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545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199</v>
      </c>
      <c r="BY12" s="100" t="s">
        <v>1328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491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507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141</v>
      </c>
      <c r="AQ13" s="123">
        <v>172</v>
      </c>
      <c r="AR13" s="123">
        <v>67</v>
      </c>
      <c r="AS13" s="126" t="s">
        <v>529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1102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496</v>
      </c>
      <c r="T14" s="102" t="s">
        <v>62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508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141</v>
      </c>
      <c r="AQ14" s="123">
        <v>181</v>
      </c>
      <c r="AR14" s="123">
        <v>80</v>
      </c>
      <c r="AS14" s="126" t="s">
        <v>531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1103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488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388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141</v>
      </c>
      <c r="AQ15" s="123">
        <v>185</v>
      </c>
      <c r="AR15" s="123">
        <v>77</v>
      </c>
      <c r="AS15" s="126" t="s">
        <v>145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1314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495</v>
      </c>
      <c r="T16" s="102" t="s">
        <v>62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509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141</v>
      </c>
      <c r="AQ16" s="123">
        <v>196</v>
      </c>
      <c r="AR16" s="123">
        <v>91</v>
      </c>
      <c r="AS16" s="126" t="s">
        <v>529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1315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498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510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532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901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500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496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158</v>
      </c>
      <c r="AP18" s="125" t="s">
        <v>27</v>
      </c>
      <c r="AQ18" s="123">
        <v>181</v>
      </c>
      <c r="AR18" s="123">
        <v>72</v>
      </c>
      <c r="AS18" s="126" t="s">
        <v>414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902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OTR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493</v>
      </c>
      <c r="T19" s="102" t="s">
        <v>109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511</v>
      </c>
      <c r="AH19" s="122"/>
      <c r="AI19" s="123"/>
      <c r="AJ19" s="123"/>
      <c r="AK19" s="123"/>
      <c r="AL19" s="124">
        <f>IF(AG19&lt;&gt;"",AJ19+AK19,"")</f>
        <v>0</v>
      </c>
      <c r="AM19" s="123" t="s">
        <v>290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904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490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493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533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495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141</v>
      </c>
      <c r="AQ21" s="123">
        <v>182</v>
      </c>
      <c r="AR21" s="123">
        <v>74</v>
      </c>
      <c r="AS21" s="126" t="s">
        <v>534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907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512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141</v>
      </c>
      <c r="AQ22" s="123">
        <v>182</v>
      </c>
      <c r="AR22" s="123">
        <v>79</v>
      </c>
      <c r="AS22" s="126" t="s">
        <v>529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799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906</v>
      </c>
      <c r="T23" s="102" t="s">
        <v>62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486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141</v>
      </c>
      <c r="AQ23" s="123">
        <v>179</v>
      </c>
      <c r="AR23" s="123">
        <v>77</v>
      </c>
      <c r="AS23" s="126" t="s">
        <v>535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1316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494</v>
      </c>
      <c r="T24" s="102" t="s">
        <v>111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489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141</v>
      </c>
      <c r="AQ24" s="123">
        <v>192</v>
      </c>
      <c r="AR24" s="123">
        <v>81</v>
      </c>
      <c r="AS24" s="126" t="s">
        <v>536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1317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497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513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141</v>
      </c>
      <c r="AQ25" s="123">
        <v>187</v>
      </c>
      <c r="AR25" s="123">
        <v>78</v>
      </c>
      <c r="AS25" s="126" t="s">
        <v>529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1318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514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537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1319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515</v>
      </c>
      <c r="AH27" s="122"/>
      <c r="AI27" s="123"/>
      <c r="AJ27" s="123"/>
      <c r="AK27" s="123"/>
      <c r="AL27" s="124">
        <f>IF(AG27&lt;&gt;"",AJ27+AK27,"")</f>
        <v>0</v>
      </c>
      <c r="AM27" s="123" t="s">
        <v>290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1320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516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141</v>
      </c>
      <c r="AQ28" s="123">
        <v>190</v>
      </c>
      <c r="AR28" s="123">
        <v>82</v>
      </c>
      <c r="AS28" s="126" t="s">
        <v>529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1321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 t="s">
        <v>517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141</v>
      </c>
      <c r="AQ29" s="123">
        <v>185</v>
      </c>
      <c r="AR29" s="123">
        <v>78</v>
      </c>
      <c r="AS29" s="126" t="s">
        <v>538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1322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OTR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 t="s">
        <v>518</v>
      </c>
      <c r="AH30" s="122"/>
      <c r="AI30" s="123"/>
      <c r="AJ30" s="123"/>
      <c r="AK30" s="123"/>
      <c r="AL30" s="124">
        <f>IF(AG30&lt;&gt;"",AJ30+AK30,"")</f>
        <v>0</v>
      </c>
      <c r="AM30" s="123" t="s">
        <v>290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1323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494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141</v>
      </c>
      <c r="AQ31" s="123">
        <v>184</v>
      </c>
      <c r="AR31" s="123">
        <v>72</v>
      </c>
      <c r="AS31" s="126" t="s">
        <v>529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1324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519</v>
      </c>
      <c r="AH32" s="122"/>
      <c r="AI32" s="123"/>
      <c r="AJ32" s="123"/>
      <c r="AK32" s="123"/>
      <c r="AL32" s="124">
        <f>IF(AG32&lt;&gt;"",AJ32+AK32,"")</f>
        <v>0</v>
      </c>
      <c r="AM32" s="123" t="s">
        <v>290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520</v>
      </c>
      <c r="AH33" s="122"/>
      <c r="AI33" s="123"/>
      <c r="AJ33" s="123"/>
      <c r="AK33" s="123"/>
      <c r="AL33" s="124">
        <f>IF(AG33&lt;&gt;"",AJ33+AK33,"")</f>
        <v>0</v>
      </c>
      <c r="AM33" s="123" t="s">
        <v>290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482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539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 t="s">
        <v>521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540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 t="s">
        <v>522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141</v>
      </c>
      <c r="AQ36" s="123">
        <v>188</v>
      </c>
      <c r="AR36" s="123">
        <v>85</v>
      </c>
      <c r="AS36" s="126" t="s">
        <v>541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493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497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905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752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763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74" t="s">
        <v>36</v>
      </c>
      <c r="BT2" s="104" t="s">
        <v>1332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373" t="s">
        <v>200</v>
      </c>
      <c r="BY2" s="103" t="s">
        <v>874</v>
      </c>
      <c r="BZ2" s="103" t="s">
        <v>873</v>
      </c>
      <c r="CA2" s="115" t="s">
        <v>1329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758</v>
      </c>
      <c r="T3" s="102" t="s">
        <v>111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756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6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74"/>
      <c r="BT3" s="104" t="s">
        <v>1333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373"/>
      <c r="BY3" s="103" t="s">
        <v>1091</v>
      </c>
      <c r="BZ3" s="103" t="s">
        <v>900</v>
      </c>
      <c r="CA3" s="115" t="s">
        <v>805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620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761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2 V, 7 P</v>
      </c>
      <c r="AY4" s="129" t="str">
        <f t="shared" ca="1" si="2"/>
        <v>9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74"/>
      <c r="BT4" s="104" t="s">
        <v>833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373"/>
      <c r="BY4" s="103" t="s">
        <v>852</v>
      </c>
      <c r="BZ4" s="103" t="s">
        <v>870</v>
      </c>
      <c r="CA4" s="115" t="s">
        <v>804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760</v>
      </c>
      <c r="T5" s="102" t="s">
        <v>111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751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11 OZ, 2 (2+0), -10 ±</v>
      </c>
      <c r="AY5" s="129" t="str">
        <f t="shared" ca="1" si="2"/>
        <v>11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74"/>
      <c r="BT5" s="104" t="s">
        <v>832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373"/>
      <c r="BY5" s="103" t="s">
        <v>1157</v>
      </c>
      <c r="BZ5" s="103" t="s">
        <v>881</v>
      </c>
      <c r="CA5" s="115" t="s">
        <v>1330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764</v>
      </c>
      <c r="T6" s="102" t="s">
        <v>111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757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10 OZ, 0 (0+0), -1 ±</v>
      </c>
      <c r="AY6" s="129" t="str">
        <f t="shared" ca="1" si="2"/>
        <v>10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74"/>
      <c r="BT6" s="104" t="s">
        <v>1107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373"/>
      <c r="BY6" s="103" t="s">
        <v>771</v>
      </c>
      <c r="BZ6" s="103" t="s">
        <v>859</v>
      </c>
      <c r="CA6" s="115" t="s">
        <v>1106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755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721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11 OZ, 4 (2+2), -9 ±</v>
      </c>
      <c r="AY7" s="129" t="str">
        <f t="shared" ca="1" si="2"/>
        <v>11 OZ, 4 (2+2)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765</v>
      </c>
      <c r="BU7" s="103" t="s">
        <v>1334</v>
      </c>
      <c r="BV7" s="104" t="str">
        <f t="shared" si="13"/>
        <v>Martin Haleš</v>
      </c>
      <c r="BW7" s="112">
        <f t="shared" si="14"/>
        <v>7.79</v>
      </c>
      <c r="BX7" s="373" t="s">
        <v>201</v>
      </c>
      <c r="BY7" s="103" t="s">
        <v>985</v>
      </c>
      <c r="BZ7" s="103" t="s">
        <v>893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102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753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762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6 OZ, 0 (0+0), -5 ±</v>
      </c>
      <c r="AY8" s="129" t="str">
        <f t="shared" ca="1" si="2"/>
        <v>6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766</v>
      </c>
      <c r="BU8" s="103" t="s">
        <v>1335</v>
      </c>
      <c r="BV8" s="104" t="str">
        <f t="shared" si="13"/>
        <v>Karel Aubus</v>
      </c>
      <c r="BW8" s="112">
        <f t="shared" si="14"/>
        <v>7.32</v>
      </c>
      <c r="BX8" s="373"/>
      <c r="BY8" s="103" t="s">
        <v>1078</v>
      </c>
      <c r="BZ8" s="103" t="s">
        <v>886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750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760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11 OZ, 9 (3+6), -13 ±</v>
      </c>
      <c r="AY9" s="129" t="str">
        <f t="shared" ca="1" si="2"/>
        <v>11 OZ, 9 (3+6)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910</v>
      </c>
      <c r="BU9" s="103" t="s">
        <v>1336</v>
      </c>
      <c r="BV9" s="104" t="str">
        <f t="shared" si="13"/>
        <v>Matěj Denemark</v>
      </c>
      <c r="BW9" s="112">
        <f t="shared" si="14"/>
        <v>10.14</v>
      </c>
      <c r="BX9" s="373"/>
      <c r="BY9" s="103" t="s">
        <v>1176</v>
      </c>
      <c r="BZ9" s="103" t="s">
        <v>864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721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754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11 OZ, 1 (1+0), -9 ±</v>
      </c>
      <c r="AY10" s="129" t="str">
        <f t="shared" ca="1" si="2"/>
        <v>11 OZ, 1 (1+0)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1159</v>
      </c>
      <c r="BZ10" s="103" t="s">
        <v>863</v>
      </c>
      <c r="CA10" s="115" t="s">
        <v>196</v>
      </c>
    </row>
    <row r="11" spans="1:79" ht="15" customHeight="1" thickTop="1" thickBot="1" x14ac:dyDescent="0.25">
      <c r="R11" s="13"/>
      <c r="S11" s="110" t="s">
        <v>749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749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10 OZ, 4 (1+3), -4 ±</v>
      </c>
      <c r="AY11" s="129" t="str">
        <f t="shared" ca="1" si="2"/>
        <v>10 OZ, 4 (1+3)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1177</v>
      </c>
      <c r="BZ11" s="103" t="s">
        <v>872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756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753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11 OZ, 5 (2+3), -10 ±</v>
      </c>
      <c r="AY12" s="129" t="str">
        <f t="shared" ca="1" si="2"/>
        <v>11 OZ, 5 (2+3)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1332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199</v>
      </c>
      <c r="BY12" s="100" t="s">
        <v>1331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751</v>
      </c>
      <c r="T13" s="102" t="s">
        <v>62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750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11 OZ, 4 (3+1), -9 ±</v>
      </c>
      <c r="AY13" s="129" t="str">
        <f t="shared" ca="1" si="2"/>
        <v>11 OZ, 4 (3+1)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1333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759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764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6 OZ, 7 (4+3), -6 ±</v>
      </c>
      <c r="AY14" s="129" t="str">
        <f t="shared" ca="1" si="2"/>
        <v>6 OZ, 7 (4+3)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833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754</v>
      </c>
      <c r="T15" s="102" t="s">
        <v>111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759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11 OZ, 2 (1+1), -18 ±</v>
      </c>
      <c r="AY15" s="129" t="str">
        <f t="shared" ca="1" si="2"/>
        <v>11 OZ, 2 (1+1)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1337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810</v>
      </c>
      <c r="T16" s="102" t="s">
        <v>62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NE</v>
      </c>
      <c r="AG16" s="121" t="s">
        <v>752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9 OZ, 13 (7+6), -12 ±</v>
      </c>
      <c r="AY16" s="129" t="str">
        <f t="shared" ca="1" si="2"/>
        <v>9 OZ, 13 (7+6)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908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811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NE</v>
      </c>
      <c r="AG17" s="121" t="s">
        <v>758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11 OZ, 11 (6+5), -14 ±</v>
      </c>
      <c r="AY17" s="129" t="str">
        <f t="shared" ca="1" si="2"/>
        <v>11 OZ, 11 (6+5)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765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911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620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11 OZ, 10 (6+4), -21 ±</v>
      </c>
      <c r="AY18" s="129" t="str">
        <f t="shared" ca="1" si="2"/>
        <v>11 OZ, 10 (6+4)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766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PAR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762</v>
      </c>
      <c r="T19" s="102" t="s">
        <v>111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755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11 OZ, 5 (3+2), -13 ±</v>
      </c>
      <c r="AY19" s="129" t="str">
        <f t="shared" ca="1" si="2"/>
        <v>11 OZ, 5 (3+2)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910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763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761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757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74" t="s">
        <v>38</v>
      </c>
      <c r="BT22" s="104" t="s">
        <v>1332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74"/>
      <c r="BT23" s="104" t="s">
        <v>1338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74"/>
      <c r="BT24" s="104" t="s">
        <v>1339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74"/>
      <c r="BT25" s="104" t="s">
        <v>1108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74"/>
      <c r="BT26" s="104" t="s">
        <v>1340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74" t="s">
        <v>39</v>
      </c>
      <c r="BT27" s="104" t="s">
        <v>1341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74"/>
      <c r="BT28" s="104" t="s">
        <v>1342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1109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PAR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1343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1344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761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763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911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592</v>
      </c>
      <c r="T2" s="102" t="s">
        <v>111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611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141</v>
      </c>
      <c r="AQ2" s="123">
        <v>173</v>
      </c>
      <c r="AR2" s="123">
        <v>62</v>
      </c>
      <c r="AS2" s="126" t="s">
        <v>623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637</v>
      </c>
      <c r="BO2" s="122">
        <v>29384</v>
      </c>
      <c r="BP2" s="131" t="s">
        <v>244</v>
      </c>
      <c r="BQ2" s="132" t="s">
        <v>638</v>
      </c>
      <c r="BR2" s="127">
        <f ca="1">IF(BN2&lt;&gt;"",IF(BO2&lt;&gt;"",INT((TODAY()-BO2)/365),"?"),"")</f>
        <v>41</v>
      </c>
      <c r="BS2" s="374" t="s">
        <v>36</v>
      </c>
      <c r="BT2" s="104" t="s">
        <v>645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373" t="s">
        <v>200</v>
      </c>
      <c r="BY2" s="103" t="s">
        <v>874</v>
      </c>
      <c r="BZ2" s="103" t="s">
        <v>861</v>
      </c>
      <c r="CA2" s="115" t="s">
        <v>819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593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597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624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639</v>
      </c>
      <c r="BO3" s="122">
        <v>31166</v>
      </c>
      <c r="BP3" s="131" t="s">
        <v>245</v>
      </c>
      <c r="BQ3" s="132" t="s">
        <v>640</v>
      </c>
      <c r="BR3" s="127">
        <f t="shared" ref="BR3:BR11" ca="1" si="12">IF(BN3&lt;&gt;"",IF(BO3&lt;&gt;"",INT((TODAY()-BO3)/365),"?"),"")</f>
        <v>36</v>
      </c>
      <c r="BS3" s="374"/>
      <c r="BT3" s="104" t="s">
        <v>646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373"/>
      <c r="BY3" s="103" t="s">
        <v>854</v>
      </c>
      <c r="BZ3" s="103" t="s">
        <v>862</v>
      </c>
      <c r="CA3" s="115" t="s">
        <v>1347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594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382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141</v>
      </c>
      <c r="AQ4" s="123">
        <v>185</v>
      </c>
      <c r="AR4" s="123">
        <v>75</v>
      </c>
      <c r="AS4" s="126" t="s">
        <v>258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641</v>
      </c>
      <c r="BO4" s="122">
        <v>32564</v>
      </c>
      <c r="BP4" s="131" t="s">
        <v>245</v>
      </c>
      <c r="BQ4" s="132" t="s">
        <v>642</v>
      </c>
      <c r="BR4" s="127">
        <f t="shared" ca="1" si="12"/>
        <v>32</v>
      </c>
      <c r="BS4" s="374"/>
      <c r="BT4" s="104" t="s">
        <v>1111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373"/>
      <c r="BY4" s="103" t="s">
        <v>866</v>
      </c>
      <c r="BZ4" s="103" t="s">
        <v>863</v>
      </c>
      <c r="CA4" s="115" t="s">
        <v>1083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595</v>
      </c>
      <c r="T5" s="102" t="s">
        <v>111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607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625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643</v>
      </c>
      <c r="BO5" s="122">
        <v>33689</v>
      </c>
      <c r="BP5" s="131" t="s">
        <v>429</v>
      </c>
      <c r="BQ5" s="132"/>
      <c r="BR5" s="127">
        <f t="shared" ca="1" si="12"/>
        <v>29</v>
      </c>
      <c r="BS5" s="374"/>
      <c r="BT5" s="104" t="s">
        <v>1349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373"/>
      <c r="BY5" s="103" t="s">
        <v>1157</v>
      </c>
      <c r="BZ5" s="103" t="s">
        <v>864</v>
      </c>
      <c r="CA5" s="115" t="s">
        <v>781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596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599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141</v>
      </c>
      <c r="AQ6" s="123">
        <v>185</v>
      </c>
      <c r="AR6" s="123">
        <v>79</v>
      </c>
      <c r="AS6" s="126" t="s">
        <v>626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644</v>
      </c>
      <c r="BO6" s="122">
        <v>35048</v>
      </c>
      <c r="BP6" s="131" t="s">
        <v>184</v>
      </c>
      <c r="BQ6" s="132" t="s">
        <v>638</v>
      </c>
      <c r="BR6" s="127">
        <f t="shared" ca="1" si="12"/>
        <v>25</v>
      </c>
      <c r="BS6" s="374"/>
      <c r="BT6" s="104" t="s">
        <v>1112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373"/>
      <c r="BY6" s="103" t="s">
        <v>771</v>
      </c>
      <c r="BZ6" s="103" t="s">
        <v>871</v>
      </c>
      <c r="CA6" s="115" t="s">
        <v>1110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599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612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647</v>
      </c>
      <c r="BU7" s="103" t="s">
        <v>909</v>
      </c>
      <c r="BV7" s="104" t="str">
        <f t="shared" si="13"/>
        <v>Martin Beneš</v>
      </c>
      <c r="BW7" s="112">
        <f t="shared" si="14"/>
        <v>5.12</v>
      </c>
      <c r="BX7" s="373" t="s">
        <v>201</v>
      </c>
      <c r="BY7" s="103" t="s">
        <v>985</v>
      </c>
      <c r="BZ7" s="103" t="s">
        <v>849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99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597</v>
      </c>
      <c r="T8" s="102" t="s">
        <v>62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613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627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1350</v>
      </c>
      <c r="BU8" s="103" t="s">
        <v>191</v>
      </c>
      <c r="BV8" s="104" t="str">
        <f t="shared" si="13"/>
        <v>Roman Nový</v>
      </c>
      <c r="BW8" s="112">
        <f t="shared" si="14"/>
        <v>0</v>
      </c>
      <c r="BX8" s="373"/>
      <c r="BY8" s="103" t="s">
        <v>1068</v>
      </c>
      <c r="BZ8" s="103" t="s">
        <v>882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601</v>
      </c>
      <c r="T9" s="102" t="s">
        <v>111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600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158</v>
      </c>
      <c r="AP9" s="125" t="s">
        <v>141</v>
      </c>
      <c r="AQ9" s="123">
        <v>180</v>
      </c>
      <c r="AR9" s="123">
        <v>81</v>
      </c>
      <c r="AS9" s="126" t="s">
        <v>80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1351</v>
      </c>
      <c r="BU9" s="103" t="s">
        <v>375</v>
      </c>
      <c r="BV9" s="104" t="str">
        <f t="shared" si="13"/>
        <v>Viktor Hejna</v>
      </c>
      <c r="BW9" s="112">
        <f t="shared" si="14"/>
        <v>4</v>
      </c>
      <c r="BX9" s="373"/>
      <c r="BY9" s="103" t="s">
        <v>1176</v>
      </c>
      <c r="BZ9" s="103" t="s">
        <v>847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610</v>
      </c>
      <c r="T10" s="102" t="s">
        <v>62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609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233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1159</v>
      </c>
      <c r="BZ10" s="103" t="s">
        <v>846</v>
      </c>
      <c r="CA10" s="115" t="s">
        <v>196</v>
      </c>
    </row>
    <row r="11" spans="1:79" ht="15" customHeight="1" thickTop="1" thickBot="1" x14ac:dyDescent="0.25">
      <c r="R11" s="13"/>
      <c r="S11" s="110" t="s">
        <v>604</v>
      </c>
      <c r="T11" s="102" t="s">
        <v>111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593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141</v>
      </c>
      <c r="AQ11" s="123">
        <v>179</v>
      </c>
      <c r="AR11" s="123">
        <v>82</v>
      </c>
      <c r="AS11" s="126" t="s">
        <v>72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1178</v>
      </c>
      <c r="BZ11" s="103" t="s">
        <v>845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600</v>
      </c>
      <c r="T12" s="102" t="s">
        <v>62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604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141</v>
      </c>
      <c r="AQ12" s="123">
        <v>186</v>
      </c>
      <c r="AR12" s="123">
        <v>89</v>
      </c>
      <c r="AS12" s="126" t="s">
        <v>628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645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199</v>
      </c>
      <c r="BY12" s="100" t="s">
        <v>1348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608</v>
      </c>
      <c r="T13" s="102" t="s">
        <v>62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596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141</v>
      </c>
      <c r="AQ13" s="123">
        <v>189</v>
      </c>
      <c r="AR13" s="123">
        <v>86</v>
      </c>
      <c r="AS13" s="126" t="s">
        <v>258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646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615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614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290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1111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606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615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629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1349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913</v>
      </c>
      <c r="T16" s="102" t="s">
        <v>62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594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141</v>
      </c>
      <c r="AQ16" s="123">
        <v>189</v>
      </c>
      <c r="AR16" s="123">
        <v>87</v>
      </c>
      <c r="AS16" s="126" t="s">
        <v>630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1112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603</v>
      </c>
      <c r="T17" s="102" t="s">
        <v>111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608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141</v>
      </c>
      <c r="AQ17" s="123">
        <v>184</v>
      </c>
      <c r="AR17" s="123">
        <v>74</v>
      </c>
      <c r="AS17" s="126" t="s">
        <v>302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647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1346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605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141</v>
      </c>
      <c r="AQ18" s="123">
        <v>179</v>
      </c>
      <c r="AR18" s="123">
        <v>78</v>
      </c>
      <c r="AS18" s="126" t="s">
        <v>233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834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SPA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1345</v>
      </c>
      <c r="T19" s="102" t="s">
        <v>109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616</v>
      </c>
      <c r="AH19" s="122"/>
      <c r="AI19" s="123"/>
      <c r="AJ19" s="123"/>
      <c r="AK19" s="123"/>
      <c r="AL19" s="124">
        <f>IF(AG19&lt;&gt;"",AJ19+AK19,"")</f>
        <v>0</v>
      </c>
      <c r="AM19" s="123" t="s">
        <v>290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1352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598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603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629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605</v>
      </c>
      <c r="T21" s="102" t="s">
        <v>62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617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631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609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601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141</v>
      </c>
      <c r="AQ22" s="123">
        <v>191</v>
      </c>
      <c r="AR22" s="123">
        <v>87</v>
      </c>
      <c r="AS22" s="126" t="s">
        <v>632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1353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602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618</v>
      </c>
      <c r="AH23" s="122"/>
      <c r="AI23" s="123"/>
      <c r="AJ23" s="123"/>
      <c r="AK23" s="123"/>
      <c r="AL23" s="124">
        <f>IF(AG23&lt;&gt;"",AJ23+AK23,"")</f>
        <v>0</v>
      </c>
      <c r="AM23" s="123" t="s">
        <v>290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912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607</v>
      </c>
      <c r="T24" s="102" t="s">
        <v>109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619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633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1354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1"/>
      <c r="AC25" s="102" t="str">
        <f t="shared" ca="1" si="0"/>
        <v/>
      </c>
      <c r="AG25" s="121" t="s">
        <v>620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141</v>
      </c>
      <c r="AQ25" s="123">
        <v>181</v>
      </c>
      <c r="AR25" s="123">
        <v>76</v>
      </c>
      <c r="AS25" s="126" t="s">
        <v>634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1355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621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141</v>
      </c>
      <c r="AQ26" s="123">
        <v>190</v>
      </c>
      <c r="AR26" s="123">
        <v>77</v>
      </c>
      <c r="AS26" s="126" t="s">
        <v>635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1356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610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141</v>
      </c>
      <c r="AQ27" s="123">
        <v>192</v>
      </c>
      <c r="AR27" s="123">
        <v>86</v>
      </c>
      <c r="AS27" s="126" t="s">
        <v>416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1113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622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636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912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 t="s">
        <v>595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141</v>
      </c>
      <c r="AQ29" s="123">
        <v>173</v>
      </c>
      <c r="AR29" s="123">
        <v>64</v>
      </c>
      <c r="AS29" s="126" t="s">
        <v>233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1357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SPA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1358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1356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607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602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1345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432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441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141</v>
      </c>
      <c r="AQ2" s="123">
        <v>183</v>
      </c>
      <c r="AR2" s="123">
        <v>79</v>
      </c>
      <c r="AS2" s="126" t="s">
        <v>72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473</v>
      </c>
      <c r="BO2" s="122">
        <v>29164</v>
      </c>
      <c r="BP2" s="131" t="s">
        <v>183</v>
      </c>
      <c r="BQ2" s="132" t="s">
        <v>474</v>
      </c>
      <c r="BR2" s="127">
        <f ca="1">IF(BN2&lt;&gt;"",IF(BO2&lt;&gt;"",INT((TODAY()-BO2)/365),"?"),"")</f>
        <v>42</v>
      </c>
      <c r="BS2" s="374" t="s">
        <v>36</v>
      </c>
      <c r="BT2" s="104" t="s">
        <v>479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373" t="s">
        <v>200</v>
      </c>
      <c r="BY2" s="103" t="s">
        <v>874</v>
      </c>
      <c r="BZ2" s="103" t="s">
        <v>863</v>
      </c>
      <c r="CA2" s="115" t="s">
        <v>1361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436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452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464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475</v>
      </c>
      <c r="BO3" s="122">
        <v>27190</v>
      </c>
      <c r="BP3" s="131" t="s">
        <v>313</v>
      </c>
      <c r="BQ3" s="132"/>
      <c r="BR3" s="127">
        <f t="shared" ref="BR3:BR11" ca="1" si="12">IF(BN3&lt;&gt;"",IF(BO3&lt;&gt;"",INT((TODAY()-BO3)/365),"?"),"")</f>
        <v>47</v>
      </c>
      <c r="BS3" s="374"/>
      <c r="BT3" s="104" t="s">
        <v>802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373"/>
      <c r="BY3" s="103" t="s">
        <v>854</v>
      </c>
      <c r="BZ3" s="103" t="s">
        <v>864</v>
      </c>
      <c r="CA3" s="115" t="s">
        <v>782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434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447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141</v>
      </c>
      <c r="AQ4" s="123">
        <v>181</v>
      </c>
      <c r="AR4" s="123">
        <v>66</v>
      </c>
      <c r="AS4" s="126" t="s">
        <v>68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476</v>
      </c>
      <c r="BO4" s="122"/>
      <c r="BP4" s="131" t="s">
        <v>184</v>
      </c>
      <c r="BQ4" s="132"/>
      <c r="BR4" s="127" t="str">
        <f t="shared" ca="1" si="12"/>
        <v>?</v>
      </c>
      <c r="BS4" s="374"/>
      <c r="BT4" s="104" t="s">
        <v>835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373"/>
      <c r="BY4" s="103" t="s">
        <v>852</v>
      </c>
      <c r="BZ4" s="103" t="s">
        <v>871</v>
      </c>
      <c r="CA4" s="115" t="s">
        <v>800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439</v>
      </c>
      <c r="T5" s="102" t="s">
        <v>111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453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465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477</v>
      </c>
      <c r="BO5" s="122"/>
      <c r="BP5" s="131" t="s">
        <v>247</v>
      </c>
      <c r="BQ5" s="132"/>
      <c r="BR5" s="127" t="str">
        <f t="shared" ca="1" si="12"/>
        <v>?</v>
      </c>
      <c r="BS5" s="374"/>
      <c r="BT5" s="104" t="s">
        <v>914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373"/>
      <c r="BY5" s="103" t="s">
        <v>865</v>
      </c>
      <c r="BZ5" s="103" t="s">
        <v>893</v>
      </c>
      <c r="CA5" s="115" t="s">
        <v>821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433</v>
      </c>
      <c r="T6" s="102" t="s">
        <v>111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454</v>
      </c>
      <c r="AH6" s="122"/>
      <c r="AI6" s="123"/>
      <c r="AJ6" s="123"/>
      <c r="AK6" s="123"/>
      <c r="AL6" s="124">
        <f>IF(AG6&lt;&gt;"",AJ6+AK6,"")</f>
        <v>0</v>
      </c>
      <c r="AM6" s="123" t="s">
        <v>290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478</v>
      </c>
      <c r="BO6" s="122"/>
      <c r="BP6" s="131" t="s">
        <v>183</v>
      </c>
      <c r="BQ6" s="132"/>
      <c r="BR6" s="127" t="str">
        <f t="shared" ca="1" si="12"/>
        <v>?</v>
      </c>
      <c r="BS6" s="374"/>
      <c r="BT6" s="104" t="s">
        <v>1364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373"/>
      <c r="BY6" s="103" t="s">
        <v>1157</v>
      </c>
      <c r="BZ6" s="103" t="s">
        <v>850</v>
      </c>
      <c r="CA6" s="115" t="s">
        <v>1362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447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480</v>
      </c>
      <c r="BU7" s="103" t="s">
        <v>1365</v>
      </c>
      <c r="BV7" s="104" t="str">
        <f t="shared" si="13"/>
        <v>Lukáš Kříž</v>
      </c>
      <c r="BW7" s="112">
        <f t="shared" si="14"/>
        <v>3.96</v>
      </c>
      <c r="BX7" s="373" t="s">
        <v>201</v>
      </c>
      <c r="BY7" s="103" t="s">
        <v>985</v>
      </c>
      <c r="BZ7" s="103" t="s">
        <v>862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92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441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439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68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481</v>
      </c>
      <c r="BU8" s="103" t="s">
        <v>1366</v>
      </c>
      <c r="BV8" s="104" t="str">
        <f t="shared" si="13"/>
        <v>Jan Buzík</v>
      </c>
      <c r="BW8" s="112">
        <f t="shared" si="14"/>
        <v>1.5</v>
      </c>
      <c r="BX8" s="373"/>
      <c r="BY8" s="103" t="s">
        <v>1078</v>
      </c>
      <c r="BZ8" s="103" t="s">
        <v>861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435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455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158</v>
      </c>
      <c r="AP9" s="125" t="s">
        <v>27</v>
      </c>
      <c r="AQ9" s="123">
        <v>189</v>
      </c>
      <c r="AR9" s="123">
        <v>82</v>
      </c>
      <c r="AS9" s="126" t="s">
        <v>68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1367</v>
      </c>
      <c r="BU9" s="103" t="s">
        <v>1368</v>
      </c>
      <c r="BV9" s="104" t="str">
        <f t="shared" si="13"/>
        <v>Tomáš Jurco</v>
      </c>
      <c r="BW9" s="112">
        <f t="shared" si="14"/>
        <v>3.59</v>
      </c>
      <c r="BX9" s="373"/>
      <c r="BY9" s="103" t="s">
        <v>1158</v>
      </c>
      <c r="BZ9" s="103" t="s">
        <v>882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437</v>
      </c>
      <c r="T10" s="102" t="s">
        <v>111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435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141</v>
      </c>
      <c r="AQ10" s="123">
        <v>196</v>
      </c>
      <c r="AR10" s="123">
        <v>92</v>
      </c>
      <c r="AS10" s="126" t="s">
        <v>466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V10" s="104" t="str">
        <f t="shared" si="13"/>
        <v/>
      </c>
      <c r="BW10" s="112" t="str">
        <f t="shared" si="14"/>
        <v/>
      </c>
      <c r="BX10" s="373"/>
      <c r="BY10" s="103" t="s">
        <v>1159</v>
      </c>
      <c r="BZ10" s="103" t="s">
        <v>849</v>
      </c>
      <c r="CA10" s="115" t="s">
        <v>196</v>
      </c>
    </row>
    <row r="11" spans="1:79" ht="15" customHeight="1" thickTop="1" thickBot="1" x14ac:dyDescent="0.25">
      <c r="R11" s="13"/>
      <c r="S11" s="110" t="s">
        <v>451</v>
      </c>
      <c r="T11" s="102" t="s">
        <v>62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440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467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V11" s="104" t="str">
        <f t="shared" si="13"/>
        <v/>
      </c>
      <c r="BW11" s="112" t="str">
        <f t="shared" si="14"/>
        <v/>
      </c>
      <c r="BX11" s="373"/>
      <c r="BY11" s="103" t="s">
        <v>1177</v>
      </c>
      <c r="BZ11" s="103" t="s">
        <v>847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450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456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141</v>
      </c>
      <c r="AQ12" s="123">
        <v>184</v>
      </c>
      <c r="AR12" s="123">
        <v>78</v>
      </c>
      <c r="AS12" s="126" t="s">
        <v>68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1114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199</v>
      </c>
      <c r="BY12" s="100" t="s">
        <v>1363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438</v>
      </c>
      <c r="T13" s="102" t="s">
        <v>62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437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72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1115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442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443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141</v>
      </c>
      <c r="AQ14" s="123">
        <v>172</v>
      </c>
      <c r="AR14" s="123">
        <v>72</v>
      </c>
      <c r="AS14" s="126" t="s">
        <v>464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1369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443</v>
      </c>
      <c r="T15" s="102" t="s">
        <v>62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457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141</v>
      </c>
      <c r="AQ15" s="123">
        <v>18</v>
      </c>
      <c r="AR15" s="123">
        <v>68</v>
      </c>
      <c r="AS15" s="126" t="s">
        <v>68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916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1359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434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68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1370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446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419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141</v>
      </c>
      <c r="AQ17" s="123">
        <v>175</v>
      </c>
      <c r="AR17" s="123">
        <v>74</v>
      </c>
      <c r="AS17" s="126" t="s">
        <v>468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480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801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438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141</v>
      </c>
      <c r="AQ18" s="123">
        <v>178</v>
      </c>
      <c r="AR18" s="123">
        <v>65</v>
      </c>
      <c r="AS18" s="126" t="s">
        <v>300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481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TAT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919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458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141</v>
      </c>
      <c r="AQ19" s="123">
        <v>187</v>
      </c>
      <c r="AR19" s="123">
        <v>77</v>
      </c>
      <c r="AS19" s="126" t="s">
        <v>68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1367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461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442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141</v>
      </c>
      <c r="AQ20" s="123">
        <v>181</v>
      </c>
      <c r="AR20" s="123">
        <v>66</v>
      </c>
      <c r="AS20" s="126" t="s">
        <v>68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920</v>
      </c>
      <c r="T21" s="102" t="s">
        <v>111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459</v>
      </c>
      <c r="AH21" s="122"/>
      <c r="AI21" s="123"/>
      <c r="AJ21" s="123"/>
      <c r="AK21" s="123"/>
      <c r="AL21" s="124">
        <f>IF(AG21&lt;&gt;"",AJ21+AK21,"")</f>
        <v>0</v>
      </c>
      <c r="AM21" s="123" t="s">
        <v>290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453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460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141</v>
      </c>
      <c r="AQ22" s="123">
        <v>185</v>
      </c>
      <c r="AR22" s="123">
        <v>75</v>
      </c>
      <c r="AS22" s="126" t="s">
        <v>68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479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918</v>
      </c>
      <c r="T23" s="102" t="s">
        <v>111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446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141</v>
      </c>
      <c r="AQ23" s="123">
        <v>183</v>
      </c>
      <c r="AR23" s="123">
        <v>82</v>
      </c>
      <c r="AS23" s="126" t="s">
        <v>68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1371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1360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449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141</v>
      </c>
      <c r="AQ24" s="123">
        <v>179</v>
      </c>
      <c r="AR24" s="123">
        <v>80</v>
      </c>
      <c r="AS24" s="126" t="s">
        <v>469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915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448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433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141</v>
      </c>
      <c r="AQ25" s="123">
        <v>185</v>
      </c>
      <c r="AR25" s="123">
        <v>83</v>
      </c>
      <c r="AS25" s="126" t="s">
        <v>300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916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444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461</v>
      </c>
      <c r="AH26" s="122"/>
      <c r="AI26" s="123"/>
      <c r="AJ26" s="123"/>
      <c r="AK26" s="123"/>
      <c r="AL26" s="124">
        <f>IF(AG26&lt;&gt;"",AJ26+AK26,"")</f>
        <v>0</v>
      </c>
      <c r="AM26" s="123" t="s">
        <v>290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1372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0" t="s">
        <v>445</v>
      </c>
      <c r="T27" s="102" t="s">
        <v>111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448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141</v>
      </c>
      <c r="AQ27" s="123">
        <v>185</v>
      </c>
      <c r="AR27" s="123">
        <v>90</v>
      </c>
      <c r="AS27" s="126" t="s">
        <v>470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1373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440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451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141</v>
      </c>
      <c r="AQ28" s="123">
        <v>180</v>
      </c>
      <c r="AR28" s="123">
        <v>70</v>
      </c>
      <c r="AS28" s="126" t="s">
        <v>471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1374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0" t="s">
        <v>449</v>
      </c>
      <c r="T29" s="102" t="s">
        <v>62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462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290</v>
      </c>
      <c r="AN29" s="123">
        <v>50</v>
      </c>
      <c r="AO29" s="125"/>
      <c r="AP29" s="125" t="s">
        <v>141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74"/>
      <c r="BT29" s="104" t="s">
        <v>1375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TAT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 t="s">
        <v>463</v>
      </c>
      <c r="AH30" s="122"/>
      <c r="AI30" s="123"/>
      <c r="AJ30" s="123"/>
      <c r="AK30" s="123"/>
      <c r="AL30" s="124">
        <f>IF(AG30&lt;&gt;"",AJ30+AK30,"")</f>
        <v>0</v>
      </c>
      <c r="AM30" s="123" t="s">
        <v>290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74"/>
      <c r="BT30" s="104" t="s">
        <v>1376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331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141</v>
      </c>
      <c r="AQ31" s="123">
        <v>183</v>
      </c>
      <c r="AR31" s="123">
        <v>81</v>
      </c>
      <c r="AS31" s="126" t="s">
        <v>472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74"/>
      <c r="BT31" s="104" t="s">
        <v>917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440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444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453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86"/>
      <c r="B1" s="387"/>
      <c r="C1" s="387"/>
      <c r="D1" s="387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20" t="s">
        <v>1</v>
      </c>
      <c r="I1" s="420"/>
      <c r="J1" s="420"/>
      <c r="K1" s="420"/>
      <c r="M1" s="386"/>
      <c r="N1" s="387"/>
      <c r="O1" s="387"/>
      <c r="P1" s="387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119</v>
      </c>
      <c r="T1" s="98" t="s">
        <v>120</v>
      </c>
      <c r="U1" s="98" t="s">
        <v>82</v>
      </c>
      <c r="V1" s="98" t="s">
        <v>109</v>
      </c>
      <c r="W1" s="98" t="s">
        <v>83</v>
      </c>
      <c r="X1" s="98" t="s">
        <v>57</v>
      </c>
      <c r="Y1" s="98" t="s">
        <v>121</v>
      </c>
      <c r="Z1" s="98" t="s">
        <v>42</v>
      </c>
      <c r="AA1" s="98" t="s">
        <v>31</v>
      </c>
      <c r="AB1" s="98" t="s">
        <v>122</v>
      </c>
      <c r="AC1" s="98" t="s">
        <v>257</v>
      </c>
      <c r="AG1" s="96" t="s">
        <v>119</v>
      </c>
      <c r="AH1" s="97" t="s">
        <v>128</v>
      </c>
      <c r="AI1" s="98" t="s">
        <v>129</v>
      </c>
      <c r="AJ1" s="98" t="s">
        <v>130</v>
      </c>
      <c r="AK1" s="98" t="s">
        <v>131</v>
      </c>
      <c r="AL1" s="98" t="s">
        <v>132</v>
      </c>
      <c r="AM1" s="98" t="s">
        <v>139</v>
      </c>
      <c r="AN1" s="98" t="s">
        <v>51</v>
      </c>
      <c r="AO1" s="99" t="s">
        <v>133</v>
      </c>
      <c r="AP1" s="99" t="s">
        <v>134</v>
      </c>
      <c r="AQ1" s="98" t="s">
        <v>135</v>
      </c>
      <c r="AR1" s="98" t="s">
        <v>136</v>
      </c>
      <c r="AS1" s="99" t="s">
        <v>137</v>
      </c>
      <c r="AT1" s="98" t="s">
        <v>138</v>
      </c>
      <c r="AU1" s="99" t="s">
        <v>140</v>
      </c>
      <c r="AV1" s="99" t="s">
        <v>178</v>
      </c>
      <c r="AW1" s="98" t="s">
        <v>165</v>
      </c>
      <c r="AX1" s="98" t="s">
        <v>173</v>
      </c>
      <c r="AY1" s="98" t="s">
        <v>179</v>
      </c>
      <c r="AZ1" s="85" t="s">
        <v>174</v>
      </c>
      <c r="BA1" s="85" t="s">
        <v>175</v>
      </c>
      <c r="BB1" s="63" t="s">
        <v>176</v>
      </c>
      <c r="BC1" s="63" t="s">
        <v>177</v>
      </c>
      <c r="BD1" s="63" t="s">
        <v>162</v>
      </c>
      <c r="BE1" s="85" t="s">
        <v>163</v>
      </c>
      <c r="BF1" s="63" t="s">
        <v>164</v>
      </c>
      <c r="BG1" s="63" t="s">
        <v>169</v>
      </c>
      <c r="BH1" s="63" t="s">
        <v>166</v>
      </c>
      <c r="BI1" s="63" t="s">
        <v>170</v>
      </c>
      <c r="BJ1" s="63" t="s">
        <v>167</v>
      </c>
      <c r="BK1" s="63" t="s">
        <v>171</v>
      </c>
      <c r="BL1" s="63" t="s">
        <v>168</v>
      </c>
      <c r="BM1" s="63" t="s">
        <v>172</v>
      </c>
      <c r="BN1" s="86" t="s">
        <v>119</v>
      </c>
      <c r="BO1" s="87" t="s">
        <v>128</v>
      </c>
      <c r="BP1" s="63" t="s">
        <v>180</v>
      </c>
      <c r="BQ1" s="63" t="s">
        <v>181</v>
      </c>
      <c r="BR1" s="99" t="s">
        <v>140</v>
      </c>
      <c r="BS1" s="99" t="s">
        <v>192</v>
      </c>
      <c r="BT1" s="109" t="s">
        <v>119</v>
      </c>
      <c r="BU1" s="99" t="s">
        <v>193</v>
      </c>
      <c r="BV1" s="109" t="s">
        <v>194</v>
      </c>
      <c r="BW1" s="99" t="s">
        <v>195</v>
      </c>
      <c r="BX1" s="99" t="s">
        <v>197</v>
      </c>
      <c r="BY1" s="99" t="s">
        <v>49</v>
      </c>
      <c r="BZ1" s="99" t="s">
        <v>198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79" t="str">
        <f ca="1">IFERROR(IF(VLOOKUP(A1,OFFSET($AG$2,,,COUNTIF($AG$2:$AG$50,"?*"),23),2,FALSE)&lt;&gt;0,YEAR(VLOOKUP(A1,OFFSET($AG$2,,,COUNTIF($AG$2:$AG$50,"?*"),23),2,FALSE)),""),"")</f>
        <v/>
      </c>
      <c r="C2" s="380"/>
      <c r="D2" s="117" t="str">
        <f ca="1">IFERROR(VLOOKUP(A1,OFFSET($AG$2,,,COUNTIF($AG$2:$AG$50,"?*"),23),15,FALSE),"")</f>
        <v/>
      </c>
      <c r="E2" s="381" t="str">
        <f ca="1">IFERROR(VLOOKUP(A1,OFFSET($AG$2,,,COUNTIF($AG$2:$AG$50,"?*"),23),16,FALSE),"")</f>
        <v/>
      </c>
      <c r="F2" s="382"/>
      <c r="M2" s="4" t="str">
        <f ca="1">IFERROR(IF(VLOOKUP(M1,OFFSET($AG$2,,,COUNTIF($AG$2:$AG$50,"?*"),23),10,FALSE)&lt;&gt;0,VLOOKUP(M1,OFFSET($AG$2,,,COUNTIF($AG$2:$AG$50,"?*"),23),10,FALSE),""),"")</f>
        <v/>
      </c>
      <c r="N2" s="379" t="str">
        <f ca="1">IFERROR(IF(VLOOKUP(M1,OFFSET($AG$2,,,COUNTIF($AG$2:$AG$50,"?*"),23),2,FALSE)&lt;&gt;0,YEAR(VLOOKUP(M1,OFFSET($AG$2,,,COUNTIF($AG$2:$AG$50,"?*"),23),2,FALSE)),""),"")</f>
        <v/>
      </c>
      <c r="O2" s="380"/>
      <c r="P2" s="117" t="str">
        <f ca="1">IFERROR(VLOOKUP(M1,OFFSET($AG$2,,,COUNTIF($AG$2:$AG$50,"?*"),23),15,FALSE),"")</f>
        <v/>
      </c>
      <c r="Q2" s="381" t="str">
        <f ca="1">IFERROR(VLOOKUP(M1,OFFSET($AG$2,,,COUNTIF($AG$2:$AG$50,"?*"),23),16,FALSE),"")</f>
        <v/>
      </c>
      <c r="R2" s="382"/>
      <c r="S2" s="110" t="s">
        <v>320</v>
      </c>
      <c r="T2" s="102" t="s">
        <v>111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337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141</v>
      </c>
      <c r="AQ2" s="123">
        <v>179</v>
      </c>
      <c r="AR2" s="123">
        <v>76</v>
      </c>
      <c r="AS2" s="126" t="s">
        <v>350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366</v>
      </c>
      <c r="BO2" s="122">
        <v>31830</v>
      </c>
      <c r="BP2" s="131" t="s">
        <v>244</v>
      </c>
      <c r="BQ2" s="132" t="s">
        <v>367</v>
      </c>
      <c r="BR2" s="127">
        <f ca="1">IF(BN2&lt;&gt;"",IF(BO2&lt;&gt;"",INT((TODAY()-BO2)/365),"?"),"")</f>
        <v>34</v>
      </c>
      <c r="BS2" s="374" t="s">
        <v>36</v>
      </c>
      <c r="BT2" s="104" t="s">
        <v>373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373" t="s">
        <v>200</v>
      </c>
      <c r="BY2" s="103" t="s">
        <v>874</v>
      </c>
      <c r="BZ2" s="103" t="s">
        <v>870</v>
      </c>
      <c r="CA2" s="115" t="s">
        <v>546</v>
      </c>
    </row>
    <row r="3" spans="1:79" ht="15" customHeight="1" thickTop="1" thickBot="1" x14ac:dyDescent="0.25">
      <c r="A3" s="415" t="str">
        <f ca="1">IFERROR(VLOOKUP(A1,OFFSET($AG$2,,,COUNTIF($AG$2:$AG$50,"?*"),23),18,FALSE),"")</f>
        <v/>
      </c>
      <c r="B3" s="416"/>
      <c r="C3" s="416"/>
      <c r="D3" s="417" t="str">
        <f ca="1">IFERROR(VLOOKUP(A1,OFFSET($AG$2,,,COUNTIF($AG$2:$AG$50,"?*"),23),19,FALSE),"")</f>
        <v/>
      </c>
      <c r="E3" s="417"/>
      <c r="F3" s="418"/>
      <c r="G3" s="386"/>
      <c r="H3" s="387"/>
      <c r="I3" s="387"/>
      <c r="J3" s="387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15" t="str">
        <f ca="1">IFERROR(VLOOKUP(M1,OFFSET($AG$2,,,COUNTIF($AG$2:$AG$50,"?*"),23),18,FALSE),"")</f>
        <v/>
      </c>
      <c r="N3" s="416"/>
      <c r="O3" s="416"/>
      <c r="P3" s="417" t="str">
        <f ca="1">IFERROR(VLOOKUP(M1,OFFSET($AG$2,,,COUNTIF($AG$2:$AG$50,"?*"),23),19,FALSE),"")</f>
        <v/>
      </c>
      <c r="Q3" s="417"/>
      <c r="R3" s="418"/>
      <c r="S3" s="110" t="s">
        <v>323</v>
      </c>
      <c r="T3" s="102" t="s">
        <v>111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327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141</v>
      </c>
      <c r="AQ3" s="123">
        <v>183</v>
      </c>
      <c r="AR3" s="123">
        <v>72</v>
      </c>
      <c r="AS3" s="126" t="s">
        <v>351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368</v>
      </c>
      <c r="BO3" s="122">
        <v>33988</v>
      </c>
      <c r="BP3" s="131" t="s">
        <v>245</v>
      </c>
      <c r="BQ3" s="132"/>
      <c r="BR3" s="127">
        <f t="shared" ref="BR3:BR11" ca="1" si="12">IF(BN3&lt;&gt;"",IF(BO3&lt;&gt;"",INT((TODAY()-BO3)/365),"?"),"")</f>
        <v>28</v>
      </c>
      <c r="BS3" s="374"/>
      <c r="BT3" s="104" t="s">
        <v>922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373"/>
      <c r="BY3" s="103" t="s">
        <v>854</v>
      </c>
      <c r="BZ3" s="103" t="s">
        <v>881</v>
      </c>
      <c r="CA3" s="115" t="s">
        <v>774</v>
      </c>
    </row>
    <row r="4" spans="1:79" ht="15" customHeight="1" thickBot="1" x14ac:dyDescent="0.25">
      <c r="A4" s="403" t="str">
        <f ca="1">IFERROR(IF(VLOOKUP(A1,OFFSET($AG$2,,,COUNTIF($AG$2:$AG$50,"?*"),23),13,FALSE)&lt;&gt;0,VLOOKUP(A1,OFFSET($AG$2,,,COUNTIF($AG$2:$AG$50,"?*"),23),13,FALSE),"?"),"")</f>
        <v/>
      </c>
      <c r="B4" s="404"/>
      <c r="C4" s="405"/>
      <c r="D4" s="406" t="str">
        <f ca="1">IFERROR(IF(VLOOKUP(A1,OFFSET($AG$2,,,COUNTIF($AG$2:$AG$50,"?*"),23),14,FALSE)&lt;&gt;0,VLOOKUP(A1,OFFSET($AG$2,,,COUNTIF($AG$2:$AG$50,"?*"),23),14,FALSE),"?"),"")</f>
        <v/>
      </c>
      <c r="E4" s="407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79" t="str">
        <f ca="1">IFERROR(IF(VLOOKUP(G3,OFFSET($AG$2,,,COUNTIF($AG$2:$AG$50,"?*"),23),2,FALSE)&lt;&gt;0,YEAR(VLOOKUP(G3,OFFSET($AG$2,,,COUNTIF($AG$2:$AG$50,"?*"),23),2,FALSE)),""),"")</f>
        <v/>
      </c>
      <c r="I4" s="380"/>
      <c r="J4" s="117" t="str">
        <f ca="1">IFERROR(VLOOKUP(G3,OFFSET($AG$2,,,COUNTIF($AG$2:$AG$50,"?*"),23),15,FALSE),"")</f>
        <v/>
      </c>
      <c r="K4" s="381" t="str">
        <f ca="1">IFERROR(VLOOKUP(G3,OFFSET($AG$2,,,COUNTIF($AG$2:$AG$50,"?*"),23),16,FALSE),"")</f>
        <v/>
      </c>
      <c r="L4" s="382"/>
      <c r="M4" s="403" t="str">
        <f ca="1">IFERROR(IF(VLOOKUP(M1,OFFSET($AG$2,,,COUNTIF($AG$2:$AG$50,"?*"),23),13,FALSE)&lt;&gt;0,VLOOKUP(M1,OFFSET($AG$2,,,COUNTIF($AG$2:$AG$50,"?*"),23),13,FALSE),"?"),"")</f>
        <v/>
      </c>
      <c r="N4" s="404"/>
      <c r="O4" s="405"/>
      <c r="P4" s="406" t="str">
        <f ca="1">IFERROR(IF(VLOOKUP(M1,OFFSET($AG$2,,,COUNTIF($AG$2:$AG$50,"?*"),23),14,FALSE)&lt;&gt;0,VLOOKUP(M1,OFFSET($AG$2,,,COUNTIF($AG$2:$AG$50,"?*"),23),14,FALSE),"?"),"")</f>
        <v/>
      </c>
      <c r="Q4" s="407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321</v>
      </c>
      <c r="T4" s="102" t="s">
        <v>111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322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141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369</v>
      </c>
      <c r="BO4" s="122">
        <v>35289</v>
      </c>
      <c r="BP4" s="131" t="s">
        <v>370</v>
      </c>
      <c r="BQ4" s="132"/>
      <c r="BR4" s="127">
        <f t="shared" ca="1" si="12"/>
        <v>25</v>
      </c>
      <c r="BS4" s="374"/>
      <c r="BT4" s="104" t="s">
        <v>837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373"/>
      <c r="BY4" s="103" t="s">
        <v>852</v>
      </c>
      <c r="BZ4" s="103" t="s">
        <v>882</v>
      </c>
      <c r="CA4" s="115" t="s">
        <v>895</v>
      </c>
    </row>
    <row r="5" spans="1:79" ht="15" customHeight="1" thickTop="1" thickBot="1" x14ac:dyDescent="0.25">
      <c r="A5" s="8"/>
      <c r="B5" s="8"/>
      <c r="C5" s="8"/>
      <c r="D5" s="8"/>
      <c r="G5" s="415" t="str">
        <f ca="1">IFERROR(VLOOKUP(G3,OFFSET($AG$2,,,COUNTIF($AG$2:$AG$50,"?*"),23),18,FALSE),"")</f>
        <v/>
      </c>
      <c r="H5" s="416"/>
      <c r="I5" s="416"/>
      <c r="J5" s="417" t="str">
        <f ca="1">IFERROR(VLOOKUP(G3,OFFSET($AG$2,,,COUNTIF($AG$2:$AG$50,"?*"),23),19,FALSE),"")</f>
        <v/>
      </c>
      <c r="K5" s="417"/>
      <c r="L5" s="418"/>
      <c r="S5" s="110" t="s">
        <v>324</v>
      </c>
      <c r="T5" s="102" t="s">
        <v>111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320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141</v>
      </c>
      <c r="AQ5" s="123">
        <v>183</v>
      </c>
      <c r="AR5" s="123">
        <v>75</v>
      </c>
      <c r="AS5" s="126" t="s">
        <v>352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371</v>
      </c>
      <c r="BO5" s="122">
        <v>24331</v>
      </c>
      <c r="BP5" s="131" t="s">
        <v>370</v>
      </c>
      <c r="BQ5" s="132"/>
      <c r="BR5" s="127">
        <f t="shared" ca="1" si="12"/>
        <v>55</v>
      </c>
      <c r="BS5" s="374"/>
      <c r="BT5" s="104" t="s">
        <v>923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373"/>
      <c r="BY5" s="103" t="s">
        <v>1157</v>
      </c>
      <c r="BZ5" s="103" t="s">
        <v>883</v>
      </c>
      <c r="CA5" s="115" t="s">
        <v>1378</v>
      </c>
    </row>
    <row r="6" spans="1:79" ht="15" customHeight="1" thickTop="1" thickBot="1" x14ac:dyDescent="0.25">
      <c r="A6" s="386"/>
      <c r="B6" s="387"/>
      <c r="C6" s="387"/>
      <c r="D6" s="387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03" t="str">
        <f ca="1">IFERROR(IF(VLOOKUP(G3,OFFSET($AG$2,,,COUNTIF($AG$2:$AG$50,"?*"),23),13,FALSE)&lt;&gt;0,VLOOKUP(G3,OFFSET($AG$2,,,COUNTIF($AG$2:$AG$50,"?*"),23),13,FALSE),"?"),"")</f>
        <v/>
      </c>
      <c r="H6" s="404"/>
      <c r="I6" s="405"/>
      <c r="J6" s="406" t="str">
        <f ca="1">IFERROR(IF(VLOOKUP(G3,OFFSET($AG$2,,,COUNTIF($AG$2:$AG$50,"?*"),23),14,FALSE)&lt;&gt;0,VLOOKUP(G3,OFFSET($AG$2,,,COUNTIF($AG$2:$AG$50,"?*"),23),14,FALSE),"?"),"")</f>
        <v/>
      </c>
      <c r="K6" s="407"/>
      <c r="L6" s="7" t="str">
        <f ca="1">IFERROR(IF(VLOOKUP(G3,OFFSET($AG$2,,,COUNTIF($AG$2:$AG$50,"?*"),23),7,FALSE)&lt;&gt;0,VLOOKUP(G3,OFFSET($AG$2,,,COUNTIF($AG$2:$AG$50,"?*"),23),7,FALSE),"?"),"")</f>
        <v/>
      </c>
      <c r="M6" s="386"/>
      <c r="N6" s="387"/>
      <c r="O6" s="387"/>
      <c r="P6" s="387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327</v>
      </c>
      <c r="T6" s="102" t="s">
        <v>111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321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351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372</v>
      </c>
      <c r="BO6" s="122">
        <v>31439</v>
      </c>
      <c r="BP6" s="131" t="s">
        <v>184</v>
      </c>
      <c r="BQ6" s="132"/>
      <c r="BR6" s="127">
        <f t="shared" ca="1" si="12"/>
        <v>35</v>
      </c>
      <c r="BS6" s="374"/>
      <c r="BT6" s="104" t="s">
        <v>376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373"/>
      <c r="BY6" s="103" t="s">
        <v>829</v>
      </c>
      <c r="BZ6" s="103" t="s">
        <v>884</v>
      </c>
      <c r="CA6" s="115" t="s">
        <v>774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79" t="str">
        <f ca="1">IFERROR(IF(VLOOKUP(A6,OFFSET($AG$2,,,COUNTIF($AG$2:$AG$50,"?*"),23),2,FALSE)&lt;&gt;0,YEAR(VLOOKUP(A6,OFFSET($AG$2,,,COUNTIF($AG$2:$AG$50,"?*"),23),2,FALSE)),""),"")</f>
        <v/>
      </c>
      <c r="C7" s="380"/>
      <c r="D7" s="117" t="str">
        <f ca="1">IFERROR(VLOOKUP(A6,OFFSET($AG$2,,,COUNTIF($AG$2:$AG$50,"?*"),23),15,FALSE),"")</f>
        <v/>
      </c>
      <c r="E7" s="381" t="str">
        <f ca="1">IFERROR(VLOOKUP(A6,OFFSET($AG$2,,,COUNTIF($AG$2:$AG$50,"?*"),23),16,FALSE),"")</f>
        <v/>
      </c>
      <c r="F7" s="382"/>
      <c r="M7" s="4" t="str">
        <f ca="1">IFERROR(IF(VLOOKUP(M6,OFFSET($AG$2,,,COUNTIF($AG$2:$AG$50,"?*"),23),10,FALSE)&lt;&gt;0,VLOOKUP(M6,OFFSET($AG$2,,,COUNTIF($AG$2:$AG$50,"?*"),23),10,FALSE),""),"")</f>
        <v/>
      </c>
      <c r="N7" s="379" t="str">
        <f ca="1">IFERROR(IF(VLOOKUP(M6,OFFSET($AG$2,,,COUNTIF($AG$2:$AG$50,"?*"),23),2,FALSE)&lt;&gt;0,YEAR(VLOOKUP(M6,OFFSET($AG$2,,,COUNTIF($AG$2:$AG$50,"?*"),23),2,FALSE)),""),"")</f>
        <v/>
      </c>
      <c r="O7" s="380"/>
      <c r="P7" s="117" t="str">
        <f ca="1">IFERROR(VLOOKUP(M6,OFFSET($AG$2,,,COUNTIF($AG$2:$AG$50,"?*"),23),15,FALSE),"")</f>
        <v/>
      </c>
      <c r="Q7" s="381" t="str">
        <f ca="1">IFERROR(VLOOKUP(M6,OFFSET($AG$2,,,COUNTIF($AG$2:$AG$50,"?*"),23),16,FALSE),"")</f>
        <v/>
      </c>
      <c r="R7" s="382"/>
      <c r="S7" s="110" t="s">
        <v>337</v>
      </c>
      <c r="T7" s="102" t="s">
        <v>111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339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141</v>
      </c>
      <c r="AQ7" s="123">
        <v>182</v>
      </c>
      <c r="AR7" s="123">
        <v>81</v>
      </c>
      <c r="AS7" s="126" t="s">
        <v>353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74" t="s">
        <v>40</v>
      </c>
      <c r="BT7" s="104" t="s">
        <v>374</v>
      </c>
      <c r="BU7" s="103" t="s">
        <v>1380</v>
      </c>
      <c r="BV7" s="104" t="str">
        <f t="shared" si="13"/>
        <v>Denis Jasiok</v>
      </c>
      <c r="BW7" s="112">
        <f t="shared" si="14"/>
        <v>4.03</v>
      </c>
      <c r="BX7" s="373" t="s">
        <v>201</v>
      </c>
      <c r="BY7" s="103" t="s">
        <v>985</v>
      </c>
      <c r="BZ7" s="103" t="s">
        <v>900</v>
      </c>
      <c r="CA7" s="115" t="s">
        <v>196</v>
      </c>
    </row>
    <row r="8" spans="1:79" ht="15" customHeight="1" x14ac:dyDescent="0.2">
      <c r="A8" s="415" t="str">
        <f ca="1">IFERROR(VLOOKUP(A6,OFFSET($AG$2,,,COUNTIF($AG$2:$AG$50,"?*"),23),18,FALSE),"")</f>
        <v/>
      </c>
      <c r="B8" s="416"/>
      <c r="C8" s="416"/>
      <c r="D8" s="417" t="str">
        <f ca="1">IFERROR(VLOOKUP(A6,OFFSET($AG$2,,,COUNTIF($AG$2:$AG$50,"?*"),23),19,FALSE),"")</f>
        <v/>
      </c>
      <c r="E8" s="417"/>
      <c r="F8" s="418"/>
      <c r="H8" s="419" t="s">
        <v>94</v>
      </c>
      <c r="I8" s="419"/>
      <c r="J8" s="419"/>
      <c r="K8" s="419"/>
      <c r="M8" s="415" t="str">
        <f ca="1">IFERROR(VLOOKUP(M6,OFFSET($AG$2,,,COUNTIF($AG$2:$AG$50,"?*"),23),18,FALSE),"")</f>
        <v/>
      </c>
      <c r="N8" s="416"/>
      <c r="O8" s="416"/>
      <c r="P8" s="417" t="str">
        <f ca="1">IFERROR(VLOOKUP(M6,OFFSET($AG$2,,,COUNTIF($AG$2:$AG$50,"?*"),23),19,FALSE),"")</f>
        <v/>
      </c>
      <c r="Q8" s="417"/>
      <c r="R8" s="418"/>
      <c r="S8" s="110" t="s">
        <v>325</v>
      </c>
      <c r="T8" s="102" t="s">
        <v>111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330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141</v>
      </c>
      <c r="AQ8" s="123">
        <v>189</v>
      </c>
      <c r="AR8" s="123">
        <v>80</v>
      </c>
      <c r="AS8" s="126" t="s">
        <v>354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74"/>
      <c r="BT8" s="104" t="s">
        <v>925</v>
      </c>
      <c r="BU8" s="103" t="s">
        <v>1183</v>
      </c>
      <c r="BV8" s="104" t="str">
        <f t="shared" si="13"/>
        <v>Lukáš Souček</v>
      </c>
      <c r="BW8" s="112">
        <f t="shared" si="14"/>
        <v>4.5</v>
      </c>
      <c r="BX8" s="373"/>
      <c r="BY8" s="103" t="s">
        <v>1068</v>
      </c>
      <c r="BZ8" s="103" t="s">
        <v>873</v>
      </c>
      <c r="CA8" s="115" t="s">
        <v>196</v>
      </c>
    </row>
    <row r="9" spans="1:79" ht="15" customHeight="1" thickBot="1" x14ac:dyDescent="0.25">
      <c r="A9" s="403" t="str">
        <f ca="1">IFERROR(IF(VLOOKUP(A6,OFFSET($AG$2,,,COUNTIF($AG$2:$AG$50,"?*"),23),13,FALSE)&lt;&gt;0,VLOOKUP(A6,OFFSET($AG$2,,,COUNTIF($AG$2:$AG$50,"?*"),23),13,FALSE),"?"),"")</f>
        <v/>
      </c>
      <c r="B9" s="404"/>
      <c r="C9" s="405"/>
      <c r="D9" s="406" t="str">
        <f ca="1">IFERROR(IF(VLOOKUP(A6,OFFSET($AG$2,,,COUNTIF($AG$2:$AG$50,"?*"),23),14,FALSE)&lt;&gt;0,VLOOKUP(A6,OFFSET($AG$2,,,COUNTIF($AG$2:$AG$50,"?*"),23),14,FALSE),"?"),"")</f>
        <v/>
      </c>
      <c r="E9" s="407"/>
      <c r="F9" s="7" t="str">
        <f ca="1">IFERROR(IF(VLOOKUP(A6,OFFSET($AG$2,,,COUNTIF($AG$2:$AG$50,"?*"),23),7,FALSE)&lt;&gt;0,VLOOKUP(A6,OFFSET($AG$2,,,COUNTIF($AG$2:$AG$50,"?*"),23),7,FALSE),"?"),"")</f>
        <v/>
      </c>
      <c r="H9" s="419"/>
      <c r="I9" s="419"/>
      <c r="J9" s="419"/>
      <c r="K9" s="419"/>
      <c r="M9" s="403" t="str">
        <f ca="1">IFERROR(IF(VLOOKUP(M6,OFFSET($AG$2,,,COUNTIF($AG$2:$AG$50,"?*"),23),13,FALSE)&lt;&gt;0,VLOOKUP(M6,OFFSET($AG$2,,,COUNTIF($AG$2:$AG$50,"?*"),23),13,FALSE),"?"),"")</f>
        <v/>
      </c>
      <c r="N9" s="404"/>
      <c r="O9" s="405"/>
      <c r="P9" s="406" t="str">
        <f ca="1">IFERROR(IF(VLOOKUP(M6,OFFSET($AG$2,,,COUNTIF($AG$2:$AG$50,"?*"),23),14,FALSE)&lt;&gt;0,VLOOKUP(M6,OFFSET($AG$2,,,COUNTIF($AG$2:$AG$50,"?*"),23),14,FALSE),"?"),"")</f>
        <v/>
      </c>
      <c r="Q9" s="407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326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328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351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74"/>
      <c r="BT9" s="104" t="s">
        <v>926</v>
      </c>
      <c r="BU9" s="103" t="s">
        <v>191</v>
      </c>
      <c r="BV9" s="104" t="str">
        <f t="shared" si="13"/>
        <v>Michael Chalupecký</v>
      </c>
      <c r="BW9" s="112">
        <f t="shared" si="14"/>
        <v>0</v>
      </c>
      <c r="BX9" s="373"/>
      <c r="BY9" s="103" t="s">
        <v>1176</v>
      </c>
      <c r="BZ9" s="103" t="s">
        <v>878</v>
      </c>
      <c r="CA9" s="115" t="s">
        <v>196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328</v>
      </c>
      <c r="T10" s="102" t="s">
        <v>62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340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141</v>
      </c>
      <c r="AQ10" s="123">
        <v>178</v>
      </c>
      <c r="AR10" s="123">
        <v>70</v>
      </c>
      <c r="AS10" s="126" t="s">
        <v>295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74"/>
      <c r="BT10" s="104" t="s">
        <v>927</v>
      </c>
      <c r="BU10" s="103" t="s">
        <v>191</v>
      </c>
      <c r="BV10" s="104" t="str">
        <f t="shared" si="13"/>
        <v>Michal Bartoň</v>
      </c>
      <c r="BW10" s="112">
        <f t="shared" si="14"/>
        <v>0</v>
      </c>
      <c r="BX10" s="373"/>
      <c r="BY10" s="103" t="s">
        <v>1159</v>
      </c>
      <c r="BZ10" s="103" t="s">
        <v>851</v>
      </c>
      <c r="CA10" s="115" t="s">
        <v>196</v>
      </c>
    </row>
    <row r="11" spans="1:79" ht="15" customHeight="1" thickTop="1" thickBot="1" x14ac:dyDescent="0.25">
      <c r="R11" s="13"/>
      <c r="S11" s="110" t="s">
        <v>331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341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141</v>
      </c>
      <c r="AQ11" s="123">
        <v>193</v>
      </c>
      <c r="AR11" s="123">
        <v>89</v>
      </c>
      <c r="AS11" s="126" t="s">
        <v>355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74"/>
      <c r="BT11" s="104" t="s">
        <v>928</v>
      </c>
      <c r="BU11" s="103" t="s">
        <v>191</v>
      </c>
      <c r="BV11" s="104" t="str">
        <f t="shared" si="13"/>
        <v>Petr Maláč</v>
      </c>
      <c r="BW11" s="112">
        <f t="shared" si="14"/>
        <v>0</v>
      </c>
      <c r="BX11" s="373"/>
      <c r="BY11" s="103" t="s">
        <v>1160</v>
      </c>
      <c r="BZ11" s="103" t="s">
        <v>886</v>
      </c>
      <c r="CA11" s="115" t="s">
        <v>196</v>
      </c>
    </row>
    <row r="12" spans="1:79" ht="15" customHeight="1" thickTop="1" thickBot="1" x14ac:dyDescent="0.25">
      <c r="A12" s="386"/>
      <c r="B12" s="387"/>
      <c r="C12" s="387"/>
      <c r="D12" s="387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20" t="s">
        <v>7</v>
      </c>
      <c r="I12" s="420"/>
      <c r="J12" s="420"/>
      <c r="K12" s="420"/>
      <c r="M12" s="386"/>
      <c r="N12" s="387"/>
      <c r="O12" s="387"/>
      <c r="P12" s="387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322</v>
      </c>
      <c r="T12" s="102" t="s">
        <v>111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334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356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74" t="s">
        <v>37</v>
      </c>
      <c r="BT12" s="104" t="s">
        <v>373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199</v>
      </c>
      <c r="BY12" s="100" t="s">
        <v>1379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79" t="str">
        <f ca="1">IFERROR(IF(VLOOKUP(A12,OFFSET($AG$2,,,COUNTIF($AG$2:$AG$50,"?*"),23),2,FALSE)&lt;&gt;0,YEAR(VLOOKUP(A12,OFFSET($AG$2,,,COUNTIF($AG$2:$AG$50,"?*"),23),2,FALSE)),""),"")</f>
        <v/>
      </c>
      <c r="C13" s="380"/>
      <c r="D13" s="117" t="str">
        <f ca="1">IFERROR(VLOOKUP(A12,OFFSET($AG$2,,,COUNTIF($AG$2:$AG$50,"?*"),23),15,FALSE),"")</f>
        <v/>
      </c>
      <c r="E13" s="381" t="str">
        <f ca="1">IFERROR(VLOOKUP(A12,OFFSET($AG$2,,,COUNTIF($AG$2:$AG$50,"?*"),23),16,FALSE),"")</f>
        <v/>
      </c>
      <c r="F13" s="382"/>
      <c r="M13" s="4" t="str">
        <f ca="1">IFERROR(IF(VLOOKUP(M12,OFFSET($AG$2,,,COUNTIF($AG$2:$AG$50,"?*"),23),10,FALSE)&lt;&gt;0,VLOOKUP(M12,OFFSET($AG$2,,,COUNTIF($AG$2:$AG$50,"?*"),23),10,FALSE),""),"")</f>
        <v/>
      </c>
      <c r="N13" s="379" t="str">
        <f ca="1">IFERROR(IF(VLOOKUP(M12,OFFSET($AG$2,,,COUNTIF($AG$2:$AG$50,"?*"),23),2,FALSE)&lt;&gt;0,YEAR(VLOOKUP(M12,OFFSET($AG$2,,,COUNTIF($AG$2:$AG$50,"?*"),23),2,FALSE)),""),"")</f>
        <v/>
      </c>
      <c r="O13" s="380"/>
      <c r="P13" s="117" t="str">
        <f ca="1">IFERROR(VLOOKUP(M12,OFFSET($AG$2,,,COUNTIF($AG$2:$AG$50,"?*"),23),15,FALSE),"")</f>
        <v/>
      </c>
      <c r="Q13" s="381" t="str">
        <f ca="1">IFERROR(VLOOKUP(M12,OFFSET($AG$2,,,COUNTIF($AG$2:$AG$50,"?*"),23),16,FALSE),"")</f>
        <v/>
      </c>
      <c r="R13" s="382"/>
      <c r="S13" s="110" t="s">
        <v>329</v>
      </c>
      <c r="T13" s="102" t="s">
        <v>111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342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357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74"/>
      <c r="BT13" s="104" t="s">
        <v>1381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15" t="str">
        <f ca="1">IFERROR(VLOOKUP(A12,OFFSET($AG$2,,,COUNTIF($AG$2:$AG$50,"?*"),23),18,FALSE),"")</f>
        <v/>
      </c>
      <c r="B14" s="416"/>
      <c r="C14" s="416"/>
      <c r="D14" s="417" t="str">
        <f ca="1">IFERROR(VLOOKUP(A12,OFFSET($AG$2,,,COUNTIF($AG$2:$AG$50,"?*"),23),19,FALSE),"")</f>
        <v/>
      </c>
      <c r="E14" s="417"/>
      <c r="F14" s="418"/>
      <c r="G14" s="386"/>
      <c r="H14" s="387"/>
      <c r="I14" s="387"/>
      <c r="J14" s="387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15" t="str">
        <f ca="1">IFERROR(VLOOKUP(M12,OFFSET($AG$2,,,COUNTIF($AG$2:$AG$50,"?*"),23),18,FALSE),"")</f>
        <v/>
      </c>
      <c r="N14" s="416"/>
      <c r="O14" s="416"/>
      <c r="P14" s="417" t="str">
        <f ca="1">IFERROR(VLOOKUP(M12,OFFSET($AG$2,,,COUNTIF($AG$2:$AG$50,"?*"),23),19,FALSE),"")</f>
        <v/>
      </c>
      <c r="Q14" s="417"/>
      <c r="R14" s="418"/>
      <c r="S14" s="110" t="s">
        <v>803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338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358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74"/>
      <c r="BT14" s="104" t="s">
        <v>924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03" t="str">
        <f ca="1">IFERROR(IF(VLOOKUP(A12,OFFSET($AG$2,,,COUNTIF($AG$2:$AG$50,"?*"),23),13,FALSE)&lt;&gt;0,VLOOKUP(A12,OFFSET($AG$2,,,COUNTIF($AG$2:$AG$50,"?*"),23),13,FALSE),"?"),"")</f>
        <v/>
      </c>
      <c r="B15" s="404"/>
      <c r="C15" s="405"/>
      <c r="D15" s="406" t="str">
        <f ca="1">IFERROR(IF(VLOOKUP(A12,OFFSET($AG$2,,,COUNTIF($AG$2:$AG$50,"?*"),23),14,FALSE)&lt;&gt;0,VLOOKUP(A12,OFFSET($AG$2,,,COUNTIF($AG$2:$AG$50,"?*"),23),14,FALSE),"?"),"")</f>
        <v/>
      </c>
      <c r="E15" s="407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79" t="str">
        <f ca="1">IFERROR(IF(VLOOKUP(G14,OFFSET($AG$2,,,COUNTIF($AG$2:$AG$50,"?*"),23),2,FALSE)&lt;&gt;0,YEAR(VLOOKUP(G14,OFFSET($AG$2,,,COUNTIF($AG$2:$AG$50,"?*"),23),2,FALSE)),""),"")</f>
        <v/>
      </c>
      <c r="I15" s="380"/>
      <c r="J15" s="117" t="str">
        <f ca="1">IFERROR(VLOOKUP(G14,OFFSET($AG$2,,,COUNTIF($AG$2:$AG$50,"?*"),23),15,FALSE),"")</f>
        <v/>
      </c>
      <c r="K15" s="381" t="str">
        <f ca="1">IFERROR(VLOOKUP(G14,OFFSET($AG$2,,,COUNTIF($AG$2:$AG$50,"?*"),23),16,FALSE),"")</f>
        <v/>
      </c>
      <c r="L15" s="382"/>
      <c r="M15" s="403" t="str">
        <f ca="1">IFERROR(IF(VLOOKUP(M12,OFFSET($AG$2,,,COUNTIF($AG$2:$AG$50,"?*"),23),13,FALSE)&lt;&gt;0,VLOOKUP(M12,OFFSET($AG$2,,,COUNTIF($AG$2:$AG$50,"?*"),23),13,FALSE),"?"),"")</f>
        <v/>
      </c>
      <c r="N15" s="404"/>
      <c r="O15" s="405"/>
      <c r="P15" s="406" t="str">
        <f ca="1">IFERROR(IF(VLOOKUP(M12,OFFSET($AG$2,,,COUNTIF($AG$2:$AG$50,"?*"),23),14,FALSE)&lt;&gt;0,VLOOKUP(M12,OFFSET($AG$2,,,COUNTIF($AG$2:$AG$50,"?*"),23),14,FALSE),"?"),"")</f>
        <v/>
      </c>
      <c r="Q15" s="407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333</v>
      </c>
      <c r="T15" s="102" t="s">
        <v>62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343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359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74"/>
      <c r="BT15" s="104" t="s">
        <v>1382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15" t="str">
        <f ca="1">IFERROR(VLOOKUP(G14,OFFSET($AG$2,,,COUNTIF($AG$2:$AG$50,"?*"),23),18,FALSE),"")</f>
        <v/>
      </c>
      <c r="H16" s="416"/>
      <c r="I16" s="416"/>
      <c r="J16" s="417" t="str">
        <f ca="1">IFERROR(VLOOKUP(G14,OFFSET($AG$2,,,COUNTIF($AG$2:$AG$50,"?*"),23),19,FALSE),"")</f>
        <v/>
      </c>
      <c r="K16" s="417"/>
      <c r="L16" s="418"/>
      <c r="S16" s="110" t="s">
        <v>330</v>
      </c>
      <c r="T16" s="102" t="s">
        <v>62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344</v>
      </c>
      <c r="AH16" s="122"/>
      <c r="AI16" s="123"/>
      <c r="AJ16" s="123"/>
      <c r="AK16" s="123"/>
      <c r="AL16" s="124">
        <f>IF(AG16&lt;&gt;"",AJ16+AK16,"")</f>
        <v>0</v>
      </c>
      <c r="AM16" s="123" t="s">
        <v>290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74"/>
      <c r="BT16" s="104" t="s">
        <v>1383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386"/>
      <c r="B17" s="387"/>
      <c r="C17" s="387"/>
      <c r="D17" s="387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03" t="str">
        <f ca="1">IFERROR(IF(VLOOKUP(G14,OFFSET($AG$2,,,COUNTIF($AG$2:$AG$50,"?*"),23),13,FALSE)&lt;&gt;0,VLOOKUP(G14,OFFSET($AG$2,,,COUNTIF($AG$2:$AG$50,"?*"),23),13,FALSE),"?"),"")</f>
        <v/>
      </c>
      <c r="H17" s="404"/>
      <c r="I17" s="405"/>
      <c r="J17" s="406" t="str">
        <f ca="1">IFERROR(IF(VLOOKUP(G14,OFFSET($AG$2,,,COUNTIF($AG$2:$AG$50,"?*"),23),14,FALSE)&lt;&gt;0,VLOOKUP(G14,OFFSET($AG$2,,,COUNTIF($AG$2:$AG$50,"?*"),23),14,FALSE),"?"),"")</f>
        <v/>
      </c>
      <c r="K17" s="407"/>
      <c r="L17" s="7" t="str">
        <f ca="1">IFERROR(IF(VLOOKUP(G14,OFFSET($AG$2,,,COUNTIF($AG$2:$AG$50,"?*"),23),7,FALSE)&lt;&gt;0,VLOOKUP(G14,OFFSET($AG$2,,,COUNTIF($AG$2:$AG$50,"?*"),23),7,FALSE),"?"),"")</f>
        <v/>
      </c>
      <c r="M17" s="386"/>
      <c r="N17" s="387"/>
      <c r="O17" s="387"/>
      <c r="P17" s="387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111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335</v>
      </c>
      <c r="AH17" s="122"/>
      <c r="AI17" s="123"/>
      <c r="AJ17" s="123"/>
      <c r="AK17" s="123"/>
      <c r="AL17" s="124">
        <f>IF(AG17&lt;&gt;"",AJ17+AK17,"")</f>
        <v>0</v>
      </c>
      <c r="AM17" s="123" t="s">
        <v>290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74" t="s">
        <v>41</v>
      </c>
      <c r="BT17" s="104" t="s">
        <v>374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79" t="str">
        <f ca="1">IFERROR(IF(VLOOKUP(A17,OFFSET($AG$2,,,COUNTIF($AG$2:$AG$50,"?*"),23),2,FALSE)&lt;&gt;0,YEAR(VLOOKUP(A17,OFFSET($AG$2,,,COUNTIF($AG$2:$AG$50,"?*"),23),2,FALSE)),""),"")</f>
        <v/>
      </c>
      <c r="C18" s="380"/>
      <c r="D18" s="150" t="str">
        <f ca="1">IFERROR(VLOOKUP(A17,OFFSET($AG$2,,,COUNTIF($AG$2:$AG$50,"?*"),23),15,FALSE),"")</f>
        <v/>
      </c>
      <c r="E18" s="381" t="str">
        <f ca="1">IFERROR(VLOOKUP(A17,OFFSET($AG$2,,,COUNTIF($AG$2:$AG$50,"?*"),23),16,FALSE),"")</f>
        <v/>
      </c>
      <c r="F18" s="382"/>
      <c r="M18" s="4" t="str">
        <f ca="1">IFERROR(IF(VLOOKUP(M17,OFFSET($AG$2,,,COUNTIF($AG$2:$AG$50,"?*"),23),10,FALSE)&lt;&gt;0,VLOOKUP(M17,OFFSET($AG$2,,,COUNTIF($AG$2:$AG$50,"?*"),23),10,FALSE),""),"")</f>
        <v/>
      </c>
      <c r="N18" s="379" t="str">
        <f ca="1">IFERROR(IF(VLOOKUP(M17,OFFSET($AG$2,,,COUNTIF($AG$2:$AG$50,"?*"),23),2,FALSE)&lt;&gt;0,YEAR(VLOOKUP(M17,OFFSET($AG$2,,,COUNTIF($AG$2:$AG$50,"?*"),23),2,FALSE)),""),"")</f>
        <v/>
      </c>
      <c r="O18" s="380"/>
      <c r="P18" s="117" t="str">
        <f ca="1">IFERROR(VLOOKUP(M17,OFFSET($AG$2,,,COUNTIF($AG$2:$AG$50,"?*"),23),15,FALSE),"")</f>
        <v/>
      </c>
      <c r="Q18" s="381" t="str">
        <f ca="1">IFERROR(VLOOKUP(M17,OFFSET($AG$2,,,COUNTIF($AG$2:$AG$50,"?*"),23),16,FALSE),"")</f>
        <v/>
      </c>
      <c r="R18" s="382"/>
      <c r="S18" s="110" t="s">
        <v>338</v>
      </c>
      <c r="T18" s="102" t="s">
        <v>62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324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141</v>
      </c>
      <c r="AQ18" s="123">
        <v>168</v>
      </c>
      <c r="AR18" s="123">
        <v>69</v>
      </c>
      <c r="AS18" s="126" t="s">
        <v>351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74"/>
      <c r="BT18" s="104" t="s">
        <v>925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15" t="str">
        <f ca="1">IFERROR(VLOOKUP(A17,OFFSET($AG$2,,,COUNTIF($AG$2:$AG$50,"?*"),23),18,FALSE),"")</f>
        <v/>
      </c>
      <c r="B19" s="416"/>
      <c r="C19" s="416"/>
      <c r="D19" s="417" t="str">
        <f ca="1">IFERROR(VLOOKUP(A17,OFFSET($AG$2,,,COUNTIF($AG$2:$AG$50,"?*"),23),19,FALSE),"")</f>
        <v/>
      </c>
      <c r="E19" s="417"/>
      <c r="F19" s="418"/>
      <c r="H19" s="419" t="str">
        <f>H$8</f>
        <v>VIT</v>
      </c>
      <c r="I19" s="419"/>
      <c r="J19" s="419"/>
      <c r="K19" s="419"/>
      <c r="M19" s="415" t="str">
        <f ca="1">IFERROR(VLOOKUP(M17,OFFSET($AG$2,,,COUNTIF($AG$2:$AG$50,"?*"),23),18,FALSE),"")</f>
        <v/>
      </c>
      <c r="N19" s="416"/>
      <c r="O19" s="416"/>
      <c r="P19" s="417" t="str">
        <f ca="1">IFERROR(VLOOKUP(M17,OFFSET($AG$2,,,COUNTIF($AG$2:$AG$50,"?*"),23),19,FALSE),"")</f>
        <v/>
      </c>
      <c r="Q19" s="417"/>
      <c r="R19" s="418"/>
      <c r="S19" s="110" t="s">
        <v>836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345</v>
      </c>
      <c r="AH19" s="122"/>
      <c r="AI19" s="123"/>
      <c r="AJ19" s="123"/>
      <c r="AK19" s="123"/>
      <c r="AL19" s="124">
        <f>IF(AG19&lt;&gt;"",AJ19+AK19,"")</f>
        <v>0</v>
      </c>
      <c r="AM19" s="123" t="s">
        <v>290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74"/>
      <c r="BT19" s="104" t="s">
        <v>926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03" t="str">
        <f ca="1">IFERROR(IF(VLOOKUP(A17,OFFSET($AG$2,,,COUNTIF($AG$2:$AG$50,"?*"),23),13,FALSE)&lt;&gt;0,VLOOKUP(A17,OFFSET($AG$2,,,COUNTIF($AG$2:$AG$50,"?*"),23),13,FALSE),"?"),"")</f>
        <v/>
      </c>
      <c r="B20" s="404"/>
      <c r="C20" s="405"/>
      <c r="D20" s="406" t="str">
        <f ca="1">IFERROR(IF(VLOOKUP(A17,OFFSET($AG$2,,,COUNTIF($AG$2:$AG$50,"?*"),23),14,FALSE)&lt;&gt;0,VLOOKUP(A17,OFFSET($AG$2,,,COUNTIF($AG$2:$AG$50,"?*"),23),14,FALSE),"?"),"")</f>
        <v/>
      </c>
      <c r="E20" s="407"/>
      <c r="F20" s="7" t="str">
        <f ca="1">IFERROR(IF(VLOOKUP(A17,OFFSET($AG$2,,,COUNTIF($AG$2:$AG$50,"?*"),23),7,FALSE)&lt;&gt;0,VLOOKUP(A17,OFFSET($AG$2,,,COUNTIF($AG$2:$AG$50,"?*"),23),7,FALSE),"?"),"")</f>
        <v/>
      </c>
      <c r="H20" s="419"/>
      <c r="I20" s="419"/>
      <c r="J20" s="419"/>
      <c r="K20" s="419"/>
      <c r="M20" s="403" t="str">
        <f ca="1">IFERROR(IF(VLOOKUP(M17,OFFSET($AG$2,,,COUNTIF($AG$2:$AG$50,"?*"),23),13,FALSE)&lt;&gt;0,VLOOKUP(M17,OFFSET($AG$2,,,COUNTIF($AG$2:$AG$50,"?*"),23),13,FALSE),"?"),"")</f>
        <v/>
      </c>
      <c r="N20" s="404"/>
      <c r="O20" s="405"/>
      <c r="P20" s="406" t="str">
        <f ca="1">IFERROR(IF(VLOOKUP(M17,OFFSET($AG$2,,,COUNTIF($AG$2:$AG$50,"?*"),23),14,FALSE)&lt;&gt;0,VLOOKUP(M17,OFFSET($AG$2,,,COUNTIF($AG$2:$AG$50,"?*"),23),14,FALSE),"?"),"")</f>
        <v/>
      </c>
      <c r="Q20" s="407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1377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333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141</v>
      </c>
      <c r="AQ20" s="123">
        <v>179</v>
      </c>
      <c r="AR20" s="123">
        <v>69</v>
      </c>
      <c r="AS20" s="126" t="s">
        <v>360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74"/>
      <c r="BT20" s="104" t="s">
        <v>927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921</v>
      </c>
      <c r="T21" s="102" t="s">
        <v>109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329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141</v>
      </c>
      <c r="AQ21" s="123">
        <v>186</v>
      </c>
      <c r="AR21" s="123">
        <v>70</v>
      </c>
      <c r="AS21" s="126" t="s">
        <v>361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74"/>
      <c r="BT21" s="104" t="s">
        <v>928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335</v>
      </c>
      <c r="T22" s="102" t="s">
        <v>109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346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158</v>
      </c>
      <c r="AP22" s="125" t="s">
        <v>141</v>
      </c>
      <c r="AQ22" s="123">
        <v>186</v>
      </c>
      <c r="AR22" s="123">
        <v>80</v>
      </c>
      <c r="AS22" s="126" t="s">
        <v>351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74" t="s">
        <v>38</v>
      </c>
      <c r="BT22" s="104" t="s">
        <v>929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386"/>
      <c r="B23" s="387"/>
      <c r="C23" s="387"/>
      <c r="D23" s="387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20" t="s">
        <v>13</v>
      </c>
      <c r="I23" s="420"/>
      <c r="J23" s="420"/>
      <c r="K23" s="420"/>
      <c r="M23" s="386"/>
      <c r="N23" s="387"/>
      <c r="O23" s="387"/>
      <c r="P23" s="387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336</v>
      </c>
      <c r="T23" s="102" t="s">
        <v>111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347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362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74"/>
      <c r="BT23" s="104" t="s">
        <v>1384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79" t="str">
        <f ca="1">IFERROR(IF(VLOOKUP(A23,OFFSET($AG$2,,,COUNTIF($AG$2:$AG$50,"?*"),23),2,FALSE)&lt;&gt;0,YEAR(VLOOKUP(A23,OFFSET($AG$2,,,COUNTIF($AG$2:$AG$50,"?*"),23),2,FALSE)),""),"")</f>
        <v/>
      </c>
      <c r="C24" s="380"/>
      <c r="D24" s="117" t="str">
        <f ca="1">IFERROR(VLOOKUP(A23,OFFSET($AG$2,,,COUNTIF($AG$2:$AG$50,"?*"),23),15,FALSE),"")</f>
        <v/>
      </c>
      <c r="E24" s="381" t="str">
        <f ca="1">IFERROR(VLOOKUP(A23,OFFSET($AG$2,,,COUNTIF($AG$2:$AG$50,"?*"),23),16,FALSE),"")</f>
        <v/>
      </c>
      <c r="F24" s="382"/>
      <c r="M24" s="4" t="str">
        <f ca="1">IFERROR(IF(VLOOKUP(M23,OFFSET($AG$2,,,COUNTIF($AG$2:$AG$50,"?*"),23),10,FALSE)&lt;&gt;0,VLOOKUP(M23,OFFSET($AG$2,,,COUNTIF($AG$2:$AG$50,"?*"),23),10,FALSE),""),"")</f>
        <v/>
      </c>
      <c r="N24" s="379" t="str">
        <f ca="1">IFERROR(IF(VLOOKUP(M23,OFFSET($AG$2,,,COUNTIF($AG$2:$AG$50,"?*"),23),2,FALSE)&lt;&gt;0,YEAR(VLOOKUP(M23,OFFSET($AG$2,,,COUNTIF($AG$2:$AG$50,"?*"),23),2,FALSE)),""),"")</f>
        <v/>
      </c>
      <c r="O24" s="380"/>
      <c r="P24" s="117" t="str">
        <f ca="1">IFERROR(VLOOKUP(M23,OFFSET($AG$2,,,COUNTIF($AG$2:$AG$50,"?*"),23),15,FALSE),"")</f>
        <v/>
      </c>
      <c r="Q24" s="381" t="str">
        <f ca="1">IFERROR(VLOOKUP(M23,OFFSET($AG$2,,,COUNTIF($AG$2:$AG$50,"?*"),23),16,FALSE),"")</f>
        <v/>
      </c>
      <c r="R24" s="382"/>
      <c r="S24" s="110" t="s">
        <v>348</v>
      </c>
      <c r="T24" s="102" t="s">
        <v>111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348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363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74"/>
      <c r="BT24" s="104" t="s">
        <v>933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15" t="str">
        <f ca="1">IFERROR(VLOOKUP(A23,OFFSET($AG$2,,,COUNTIF($AG$2:$AG$50,"?*"),23),18,FALSE),"")</f>
        <v/>
      </c>
      <c r="B25" s="416"/>
      <c r="C25" s="416"/>
      <c r="D25" s="417" t="str">
        <f ca="1">IFERROR(VLOOKUP(A23,OFFSET($AG$2,,,COUNTIF($AG$2:$AG$50,"?*"),23),19,FALSE),"")</f>
        <v/>
      </c>
      <c r="E25" s="417"/>
      <c r="F25" s="418"/>
      <c r="G25" s="386"/>
      <c r="H25" s="387"/>
      <c r="I25" s="387"/>
      <c r="J25" s="387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15" t="str">
        <f ca="1">IFERROR(VLOOKUP(M23,OFFSET($AG$2,,,COUNTIF($AG$2:$AG$50,"?*"),23),18,FALSE),"")</f>
        <v/>
      </c>
      <c r="N25" s="416"/>
      <c r="O25" s="416"/>
      <c r="P25" s="417" t="str">
        <f ca="1">IFERROR(VLOOKUP(M23,OFFSET($AG$2,,,COUNTIF($AG$2:$AG$50,"?*"),23),19,FALSE),"")</f>
        <v/>
      </c>
      <c r="Q25" s="417"/>
      <c r="R25" s="418"/>
      <c r="S25" s="110" t="s">
        <v>347</v>
      </c>
      <c r="T25" s="102" t="s">
        <v>109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336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141</v>
      </c>
      <c r="AQ25" s="123">
        <v>182</v>
      </c>
      <c r="AR25" s="123">
        <v>78</v>
      </c>
      <c r="AS25" s="126" t="s">
        <v>353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74"/>
      <c r="BT25" s="104" t="s">
        <v>930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03" t="str">
        <f ca="1">IFERROR(IF(VLOOKUP(A23,OFFSET($AG$2,,,COUNTIF($AG$2:$AG$50,"?*"),23),13,FALSE)&lt;&gt;0,VLOOKUP(A23,OFFSET($AG$2,,,COUNTIF($AG$2:$AG$50,"?*"),23),13,FALSE),"?"),"")</f>
        <v/>
      </c>
      <c r="B26" s="404"/>
      <c r="C26" s="405"/>
      <c r="D26" s="406" t="str">
        <f ca="1">IFERROR(IF(VLOOKUP(A23,OFFSET($AG$2,,,COUNTIF($AG$2:$AG$50,"?*"),23),14,FALSE)&lt;&gt;0,VLOOKUP(A23,OFFSET($AG$2,,,COUNTIF($AG$2:$AG$50,"?*"),23),14,FALSE),"?"),"")</f>
        <v/>
      </c>
      <c r="E26" s="407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79" t="str">
        <f ca="1">IFERROR(IF(VLOOKUP(G25,OFFSET($AG$2,,,COUNTIF($AG$2:$AG$50,"?*"),23),2,FALSE)&lt;&gt;0,YEAR(VLOOKUP(G25,OFFSET($AG$2,,,COUNTIF($AG$2:$AG$50,"?*"),23),2,FALSE)),""),"")</f>
        <v/>
      </c>
      <c r="I26" s="380"/>
      <c r="J26" s="117" t="str">
        <f ca="1">IFERROR(VLOOKUP(G25,OFFSET($AG$2,,,COUNTIF($AG$2:$AG$50,"?*"),23),15,FALSE),"")</f>
        <v/>
      </c>
      <c r="K26" s="381" t="str">
        <f ca="1">IFERROR(VLOOKUP(G25,OFFSET($AG$2,,,COUNTIF($AG$2:$AG$50,"?*"),23),16,FALSE),"")</f>
        <v/>
      </c>
      <c r="L26" s="382"/>
      <c r="M26" s="403" t="str">
        <f ca="1">IFERROR(IF(VLOOKUP(M23,OFFSET($AG$2,,,COUNTIF($AG$2:$AG$50,"?*"),23),13,FALSE)&lt;&gt;0,VLOOKUP(M23,OFFSET($AG$2,,,COUNTIF($AG$2:$AG$50,"?*"),23),13,FALSE),"?"),"")</f>
        <v/>
      </c>
      <c r="N26" s="404"/>
      <c r="O26" s="405"/>
      <c r="P26" s="406" t="str">
        <f ca="1">IFERROR(IF(VLOOKUP(M23,OFFSET($AG$2,,,COUNTIF($AG$2:$AG$50,"?*"),23),14,FALSE)&lt;&gt;0,VLOOKUP(M23,OFFSET($AG$2,,,COUNTIF($AG$2:$AG$50,"?*"),23),14,FALSE),"?"),"")</f>
        <v/>
      </c>
      <c r="Q26" s="407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334</v>
      </c>
      <c r="T26" s="102" t="s">
        <v>109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323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141</v>
      </c>
      <c r="AQ26" s="123">
        <v>186</v>
      </c>
      <c r="AR26" s="123">
        <v>81</v>
      </c>
      <c r="AS26" s="126" t="s">
        <v>364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74"/>
      <c r="BT26" s="104" t="s">
        <v>931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15" t="str">
        <f ca="1">IFERROR(VLOOKUP(G25,OFFSET($AG$2,,,COUNTIF($AG$2:$AG$50,"?*"),23),18,FALSE),"")</f>
        <v/>
      </c>
      <c r="H27" s="416"/>
      <c r="I27" s="416"/>
      <c r="J27" s="417" t="str">
        <f ca="1">IFERROR(VLOOKUP(G25,OFFSET($AG$2,,,COUNTIF($AG$2:$AG$50,"?*"),23),19,FALSE),"")</f>
        <v/>
      </c>
      <c r="K27" s="417"/>
      <c r="L27" s="418"/>
      <c r="S27" s="111"/>
      <c r="AC27" s="102" t="str">
        <f t="shared" ca="1" si="0"/>
        <v/>
      </c>
      <c r="AG27" s="121" t="s">
        <v>332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141</v>
      </c>
      <c r="AQ27" s="123">
        <v>179</v>
      </c>
      <c r="AR27" s="123">
        <v>76</v>
      </c>
      <c r="AS27" s="126" t="s">
        <v>295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74" t="s">
        <v>39</v>
      </c>
      <c r="BT27" s="104" t="s">
        <v>1385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386"/>
      <c r="B28" s="387"/>
      <c r="C28" s="387"/>
      <c r="D28" s="387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03" t="str">
        <f ca="1">IFERROR(IF(VLOOKUP(G25,OFFSET($AG$2,,,COUNTIF($AG$2:$AG$50,"?*"),23),13,FALSE)&lt;&gt;0,VLOOKUP(G25,OFFSET($AG$2,,,COUNTIF($AG$2:$AG$50,"?*"),23),13,FALSE),"?"),"")</f>
        <v/>
      </c>
      <c r="H28" s="404"/>
      <c r="I28" s="405"/>
      <c r="J28" s="406" t="str">
        <f ca="1">IFERROR(IF(VLOOKUP(G25,OFFSET($AG$2,,,COUNTIF($AG$2:$AG$50,"?*"),23),14,FALSE)&lt;&gt;0,VLOOKUP(G25,OFFSET($AG$2,,,COUNTIF($AG$2:$AG$50,"?*"),23),14,FALSE),"?"),"")</f>
        <v/>
      </c>
      <c r="K28" s="407"/>
      <c r="L28" s="7" t="str">
        <f ca="1">IFERROR(IF(VLOOKUP(G25,OFFSET($AG$2,,,COUNTIF($AG$2:$AG$50,"?*"),23),7,FALSE)&lt;&gt;0,VLOOKUP(G25,OFFSET($AG$2,,,COUNTIF($AG$2:$AG$50,"?*"),23),7,FALSE),"?"),"")</f>
        <v/>
      </c>
      <c r="M28" s="386"/>
      <c r="N28" s="387"/>
      <c r="O28" s="387"/>
      <c r="P28" s="387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349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141</v>
      </c>
      <c r="AQ28" s="123"/>
      <c r="AR28" s="123"/>
      <c r="AS28" s="126" t="s">
        <v>365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74"/>
      <c r="BT28" s="104" t="s">
        <v>932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79" t="str">
        <f ca="1">IFERROR(IF(VLOOKUP(A28,OFFSET($AG$2,,,COUNTIF($AG$2:$AG$50,"?*"),23),2,FALSE)&lt;&gt;0,YEAR(VLOOKUP(A28,OFFSET($AG$2,,,COUNTIF($AG$2:$AG$50,"?*"),23),2,FALSE)),""),"")</f>
        <v/>
      </c>
      <c r="C29" s="380"/>
      <c r="D29" s="117" t="str">
        <f ca="1">IFERROR(VLOOKUP(A28,OFFSET($AG$2,,,COUNTIF($AG$2:$AG$50,"?*"),23),15,FALSE),"")</f>
        <v/>
      </c>
      <c r="E29" s="381" t="str">
        <f ca="1">IFERROR(VLOOKUP(A28,OFFSET($AG$2,,,COUNTIF($AG$2:$AG$50,"?*"),23),16,FALSE),"")</f>
        <v/>
      </c>
      <c r="F29" s="382"/>
      <c r="M29" s="4" t="str">
        <f ca="1">IFERROR(IF(VLOOKUP(M28,OFFSET($AG$2,,,COUNTIF($AG$2:$AG$50,"?*"),23),10,FALSE)&lt;&gt;0,VLOOKUP(M28,OFFSET($AG$2,,,COUNTIF($AG$2:$AG$50,"?*"),23),10,FALSE),""),"")</f>
        <v/>
      </c>
      <c r="N29" s="379" t="str">
        <f ca="1">IFERROR(IF(VLOOKUP(M28,OFFSET($AG$2,,,COUNTIF($AG$2:$AG$50,"?*"),23),2,FALSE)&lt;&gt;0,YEAR(VLOOKUP(M28,OFFSET($AG$2,,,COUNTIF($AG$2:$AG$50,"?*"),23),2,FALSE)),""),"")</f>
        <v/>
      </c>
      <c r="O29" s="380"/>
      <c r="P29" s="117" t="str">
        <f ca="1">IFERROR(VLOOKUP(M28,OFFSET($AG$2,,,COUNTIF($AG$2:$AG$50,"?*"),23),15,FALSE),"")</f>
        <v/>
      </c>
      <c r="Q29" s="381" t="str">
        <f ca="1">IFERROR(VLOOKUP(M28,OFFSET($AG$2,,,COUNTIF($AG$2:$AG$50,"?*"),23),16,FALSE),"")</f>
        <v/>
      </c>
      <c r="R29" s="382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74"/>
      <c r="BT29" s="104" t="s">
        <v>837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15" t="str">
        <f ca="1">IFERROR(VLOOKUP(A28,OFFSET($AG$2,,,COUNTIF($AG$2:$AG$50,"?*"),23),18,FALSE),"")</f>
        <v/>
      </c>
      <c r="B30" s="416"/>
      <c r="C30" s="416"/>
      <c r="D30" s="417" t="str">
        <f ca="1">IFERROR(VLOOKUP(A28,OFFSET($AG$2,,,COUNTIF($AG$2:$AG$50,"?*"),23),19,FALSE),"")</f>
        <v/>
      </c>
      <c r="E30" s="417"/>
      <c r="F30" s="418"/>
      <c r="H30" s="419" t="str">
        <f>H$8</f>
        <v>VIT</v>
      </c>
      <c r="I30" s="419"/>
      <c r="J30" s="419"/>
      <c r="K30" s="419"/>
      <c r="M30" s="415" t="str">
        <f ca="1">IFERROR(VLOOKUP(M28,OFFSET($AG$2,,,COUNTIF($AG$2:$AG$50,"?*"),23),18,FALSE),"")</f>
        <v/>
      </c>
      <c r="N30" s="416"/>
      <c r="O30" s="416"/>
      <c r="P30" s="417" t="str">
        <f ca="1">IFERROR(VLOOKUP(M28,OFFSET($AG$2,,,COUNTIF($AG$2:$AG$50,"?*"),23),19,FALSE),"")</f>
        <v/>
      </c>
      <c r="Q30" s="417"/>
      <c r="R30" s="418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74"/>
      <c r="BT30" s="104" t="s">
        <v>1386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03" t="str">
        <f ca="1">IFERROR(IF(VLOOKUP(A28,OFFSET($AG$2,,,COUNTIF($AG$2:$AG$50,"?*"),23),13,FALSE)&lt;&gt;0,VLOOKUP(A28,OFFSET($AG$2,,,COUNTIF($AG$2:$AG$50,"?*"),23),13,FALSE),"?"),"")</f>
        <v/>
      </c>
      <c r="B31" s="404"/>
      <c r="C31" s="405"/>
      <c r="D31" s="406" t="str">
        <f ca="1">IFERROR(IF(VLOOKUP(A28,OFFSET($AG$2,,,COUNTIF($AG$2:$AG$50,"?*"),23),14,FALSE)&lt;&gt;0,VLOOKUP(A28,OFFSET($AG$2,,,COUNTIF($AG$2:$AG$50,"?*"),23),14,FALSE),"?"),"")</f>
        <v/>
      </c>
      <c r="E31" s="407"/>
      <c r="F31" s="7" t="str">
        <f ca="1">IFERROR(IF(VLOOKUP(A28,OFFSET($AG$2,,,COUNTIF($AG$2:$AG$50,"?*"),23),7,FALSE)&lt;&gt;0,VLOOKUP(A28,OFFSET($AG$2,,,COUNTIF($AG$2:$AG$50,"?*"),23),7,FALSE),"?"),"")</f>
        <v/>
      </c>
      <c r="H31" s="419"/>
      <c r="I31" s="419"/>
      <c r="J31" s="419"/>
      <c r="K31" s="419"/>
      <c r="M31" s="403" t="str">
        <f ca="1">IFERROR(IF(VLOOKUP(M28,OFFSET($AG$2,,,COUNTIF($AG$2:$AG$50,"?*"),23),13,FALSE)&lt;&gt;0,VLOOKUP(M28,OFFSET($AG$2,,,COUNTIF($AG$2:$AG$50,"?*"),23),13,FALSE),"?"),"")</f>
        <v/>
      </c>
      <c r="N31" s="404"/>
      <c r="O31" s="405"/>
      <c r="P31" s="406" t="str">
        <f ca="1">IFERROR(IF(VLOOKUP(M28,OFFSET($AG$2,,,COUNTIF($AG$2:$AG$50,"?*"),23),14,FALSE)&lt;&gt;0,VLOOKUP(M28,OFFSET($AG$2,,,COUNTIF($AG$2:$AG$50,"?*"),23),14,FALSE),"?"),"")</f>
        <v/>
      </c>
      <c r="Q31" s="407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74"/>
      <c r="BT31" s="104" t="s">
        <v>1387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86"/>
      <c r="B34" s="387"/>
      <c r="C34" s="387"/>
      <c r="D34" s="387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14" t="s">
        <v>16</v>
      </c>
      <c r="J34" s="386"/>
      <c r="K34" s="387"/>
      <c r="L34" s="387"/>
      <c r="M34" s="387"/>
      <c r="N34" s="387"/>
      <c r="O34" s="387"/>
      <c r="P34" s="387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79" t="str">
        <f ca="1">IFERROR(IF(VLOOKUP(A34,OFFSET($AG$2,,,COUNTIF($AG$2:$AG$50,"?*"),23),2,FALSE)&lt;&gt;0,YEAR(VLOOKUP(A34,OFFSET($AG$2,,,COUNTIF($AG$2:$AG$50,"?*"),23),2,FALSE)),""),"")</f>
        <v/>
      </c>
      <c r="C35" s="380"/>
      <c r="D35" s="117" t="str">
        <f ca="1">IFERROR(VLOOKUP(A34,OFFSET($AG$2,,,COUNTIF($AG$2:$AG$50,"?*"),23),15,FALSE),"")</f>
        <v/>
      </c>
      <c r="E35" s="381" t="str">
        <f ca="1">IFERROR(VLOOKUP(A34,OFFSET($AG$2,,,COUNTIF($AG$2:$AG$50,"?*"),23),16,FALSE),"")</f>
        <v/>
      </c>
      <c r="F35" s="382"/>
      <c r="H35" s="414"/>
      <c r="J35" s="4" t="str">
        <f ca="1">IFERROR(IF(VLOOKUP(J34,OFFSET($AG$2,,,COUNTIF($AG$2:$AG$50,"?*"),23),10,FALSE)&lt;&gt;0,VLOOKUP(J34,OFFSET($AG$2,,,COUNTIF($AG$2:$AG$50,"?*"),23),10,FALSE),""),"")</f>
        <v/>
      </c>
      <c r="K35" s="380" t="str">
        <f ca="1">IFERROR(IF(VLOOKUP(J34,OFFSET($AG$2,,,COUNTIF($AG$2:$AG$50,"?*"),23),2,FALSE)&lt;&gt;0,YEAR(VLOOKUP(J34,OFFSET($AG$2,,,COUNTIF($AG$2:$AG$50,"?*"),23),2,FALSE)),""),"")</f>
        <v/>
      </c>
      <c r="L35" s="388"/>
      <c r="M35" s="118" t="str">
        <f ca="1">IFERROR(VLOOKUP(J34,OFFSET($AG$2,,,COUNTIF($AG$2:$AG$50,"?*"),23),15,FALSE),"")</f>
        <v/>
      </c>
      <c r="N35" s="388" t="str">
        <f ca="1">IFERROR(VLOOKUP(J34,OFFSET($AG$2,,,COUNTIF($AG$2:$AG$50,"?*"),23),16,FALSE),"")</f>
        <v/>
      </c>
      <c r="O35" s="388"/>
      <c r="P35" s="388" t="str">
        <f ca="1">IFERROR(VLOOKUP(J34,OFFSET($AG$2,,,COUNTIF($AG$2:$AG$50,"?*"),23),18,FALSE),"")</f>
        <v/>
      </c>
      <c r="Q35" s="388"/>
      <c r="R35" s="389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83" t="str">
        <f ca="1">IFERROR(VLOOKUP(A34,OFFSET($AG$2,,,COUNTIF($AG$2:$AG$50,"?*"),23),18,FALSE),"")</f>
        <v/>
      </c>
      <c r="C36" s="383"/>
      <c r="D36" s="384" t="str">
        <f ca="1">IFERROR(VLOOKUP(A34,OFFSET($S$45,,,COUNTIF($S$45:$S$50,"?*"),14),5,FALSE),"")</f>
        <v/>
      </c>
      <c r="E36" s="385"/>
      <c r="F36" s="17" t="str">
        <f ca="1">IFERROR(VLOOKUP(A34,OFFSET($S$45,,,COUNTIF($S$45:$S$50,"?*"),14),14,FALSE),"")</f>
        <v/>
      </c>
      <c r="H36" s="414"/>
      <c r="J36" s="18" t="str">
        <f ca="1">IFERROR(IF(VLOOKUP(J34,OFFSET($AG$2,,,COUNTIF($AG$2:$AG$50,"?*"),23),7,FALSE)&lt;&gt;0,VLOOKUP(J34,OFFSET($AG$2,,,COUNTIF($AG$2:$AG$50,"?*"),23),7,FALSE),"?"),"")</f>
        <v/>
      </c>
      <c r="K36" s="390" t="str">
        <f ca="1">IFERROR(VLOOKUP(J34,OFFSET($AG$2,,,COUNTIF($AG$2:$AG$50,"?*"),23),19,FALSE),"")</f>
        <v/>
      </c>
      <c r="L36" s="390"/>
      <c r="M36" s="390"/>
      <c r="N36" s="391" t="str">
        <f ca="1">IFERROR(IF(VLOOKUP(J34,OFFSET($AG$2,,,COUNTIF($AG$2:$AG$50,"?*"),23),13,FALSE)&lt;&gt;0,VLOOKUP(J34,OFFSET($AG$2,,,COUNTIF($AG$2:$AG$50,"?*"),23),13,FALSE),"?"),"")</f>
        <v/>
      </c>
      <c r="O36" s="391"/>
      <c r="P36" s="391"/>
      <c r="Q36" s="390" t="str">
        <f ca="1">IFERROR(IF(VLOOKUP(J34,OFFSET($AG$2,,,COUNTIF($AG$2:$AG$50,"?*"),23),14,FALSE)&lt;&gt;0,VLOOKUP(J34,OFFSET($AG$2,,,COUNTIF($AG$2:$AG$50,"?*"),23),14,FALSE),"?"),"")</f>
        <v/>
      </c>
      <c r="R36" s="392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08" t="str">
        <f ca="1">IFERROR(VLOOKUP(A34,OFFSET($S$45,,,COUNTIF($S$45:$S$50,"?*"),14),3,FALSE),"")</f>
        <v/>
      </c>
      <c r="B37" s="409"/>
      <c r="C37" s="410" t="str">
        <f ca="1">IFERROR(VLOOKUP(A34,OFFSET($S$45,,,COUNTIF($S$45:$S$50,"?*"),14),13,FALSE),"")</f>
        <v/>
      </c>
      <c r="D37" s="411"/>
      <c r="E37" s="412" t="str">
        <f ca="1">IFERROR(VLOOKUP(A34,OFFSET($AG$2,,,COUNTIF($AG$2:$AG$50,"?*"),23),19,FALSE),"")</f>
        <v/>
      </c>
      <c r="F37" s="413"/>
      <c r="H37" s="414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03" t="str">
        <f ca="1">IFERROR(IF(VLOOKUP(A34,OFFSET($AG$2,,,COUNTIF($AG$2:$AG$50,"?*"),23),13,FALSE)&lt;&gt;0,VLOOKUP(A34,OFFSET($AG$2,,,COUNTIF($AG$2:$AG$50,"?*"),23),13,FALSE),"?"),"")</f>
        <v/>
      </c>
      <c r="B38" s="404"/>
      <c r="C38" s="405"/>
      <c r="D38" s="406" t="str">
        <f ca="1">IFERROR(IF(VLOOKUP(A34,OFFSET($AG$2,,,COUNTIF($AG$2:$AG$50,"?*"),23),14,FALSE)&lt;&gt;0,VLOOKUP(A34,OFFSET($AG$2,,,COUNTIF($AG$2:$AG$50,"?*"),23),14,FALSE),"?"),"")</f>
        <v/>
      </c>
      <c r="E38" s="407"/>
      <c r="F38" s="19" t="str">
        <f ca="1">IFERROR(VLOOKUP(A34,OFFSET($S$45,,,COUNTIF($S$45:$S$50,"?*"),14),6,FALSE),"")</f>
        <v/>
      </c>
      <c r="H38" s="414"/>
      <c r="J38" s="386"/>
      <c r="K38" s="387"/>
      <c r="L38" s="387"/>
      <c r="M38" s="387"/>
      <c r="N38" s="387"/>
      <c r="O38" s="387"/>
      <c r="P38" s="387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14"/>
      <c r="J39" s="4" t="str">
        <f ca="1">IFERROR(IF(VLOOKUP(J38,OFFSET($AG$2,,,COUNTIF($AG$2:$AG$50,"?*"),23),10,FALSE)&lt;&gt;0,VLOOKUP(J38,OFFSET($AG$2,,,COUNTIF($AG$2:$AG$50,"?*"),23),10,FALSE),""),"")</f>
        <v/>
      </c>
      <c r="K39" s="380" t="str">
        <f ca="1">IFERROR(IF(VLOOKUP(J38,OFFSET($AG$2,,,COUNTIF($AG$2:$AG$50,"?*"),23),2,FALSE)&lt;&gt;0,YEAR(VLOOKUP(J38,OFFSET($AG$2,,,COUNTIF($AG$2:$AG$50,"?*"),23),2,FALSE)),""),"")</f>
        <v/>
      </c>
      <c r="L39" s="388"/>
      <c r="M39" s="151" t="str">
        <f ca="1">IFERROR(VLOOKUP(J38,OFFSET($AG$2,,,COUNTIF($AG$2:$AG$50,"?*"),23),15,FALSE),"")</f>
        <v/>
      </c>
      <c r="N39" s="388" t="str">
        <f ca="1">IFERROR(VLOOKUP(J38,OFFSET($AG$2,,,COUNTIF($AG$2:$AG$50,"?*"),23),16,FALSE),"")</f>
        <v/>
      </c>
      <c r="O39" s="388"/>
      <c r="P39" s="388" t="str">
        <f ca="1">IFERROR(VLOOKUP(J38,OFFSET($AG$2,,,COUNTIF($AG$2:$AG$50,"?*"),23),18,FALSE),"")</f>
        <v/>
      </c>
      <c r="Q39" s="388"/>
      <c r="R39" s="389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86"/>
      <c r="B40" s="387"/>
      <c r="C40" s="387"/>
      <c r="D40" s="387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14"/>
      <c r="J40" s="18" t="str">
        <f ca="1">IFERROR(IF(VLOOKUP(J38,OFFSET($AG$2,,,COUNTIF($AG$2:$AG$50,"?*"),23),7,FALSE)&lt;&gt;0,VLOOKUP(J38,OFFSET($AG$2,,,COUNTIF($AG$2:$AG$50,"?*"),23),7,FALSE),"?"),"")</f>
        <v/>
      </c>
      <c r="K40" s="390" t="str">
        <f ca="1">IFERROR(VLOOKUP(J38,OFFSET($AG$2,,,COUNTIF($AG$2:$AG$50,"?*"),23),19,FALSE),"")</f>
        <v/>
      </c>
      <c r="L40" s="390"/>
      <c r="M40" s="390"/>
      <c r="N40" s="391" t="str">
        <f ca="1">IFERROR(IF(VLOOKUP(J38,OFFSET($AG$2,,,COUNTIF($AG$2:$AG$50,"?*"),23),13,FALSE)&lt;&gt;0,VLOOKUP(J38,OFFSET($AG$2,,,COUNTIF($AG$2:$AG$50,"?*"),23),13,FALSE),"?"),"")</f>
        <v/>
      </c>
      <c r="O40" s="391"/>
      <c r="P40" s="391"/>
      <c r="Q40" s="390" t="str">
        <f ca="1">IFERROR(IF(VLOOKUP(J38,OFFSET($AG$2,,,COUNTIF($AG$2:$AG$50,"?*"),23),14,FALSE)&lt;&gt;0,VLOOKUP(J38,OFFSET($AG$2,,,COUNTIF($AG$2:$AG$50,"?*"),23),14,FALSE),"?"),"")</f>
        <v/>
      </c>
      <c r="R40" s="392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79" t="str">
        <f ca="1">IFERROR(IF(VLOOKUP(A40,OFFSET($AG$2,,,COUNTIF($AG$2:$AG$50,"?*"),23),2,FALSE)&lt;&gt;0,YEAR(VLOOKUP(A40,OFFSET($AG$2,,,COUNTIF($AG$2:$AG$50,"?*"),23),2,FALSE)),""),"")</f>
        <v/>
      </c>
      <c r="C41" s="380"/>
      <c r="D41" s="117" t="str">
        <f ca="1">IFERROR(VLOOKUP(A40,OFFSET($AG$2,,,COUNTIF($AG$2:$AG$50,"?*"),23),15,FALSE),"")</f>
        <v/>
      </c>
      <c r="E41" s="381" t="str">
        <f ca="1">IFERROR(VLOOKUP(A40,OFFSET($AG$2,,,COUNTIF($AG$2:$AG$50,"?*"),23),16,FALSE),"")</f>
        <v/>
      </c>
      <c r="F41" s="382"/>
      <c r="H41" s="414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83" t="str">
        <f ca="1">IFERROR(VLOOKUP(A40,OFFSET($AG$2,,,COUNTIF($AG$2:$AG$50,"?*"),23),18,FALSE),"")</f>
        <v/>
      </c>
      <c r="C42" s="383"/>
      <c r="D42" s="384" t="str">
        <f ca="1">IFERROR(VLOOKUP(A40,OFFSET($S$45,,,COUNTIF($S$45:$S$50,"?*"),14),5,FALSE),"")</f>
        <v/>
      </c>
      <c r="E42" s="385"/>
      <c r="F42" s="17" t="str">
        <f ca="1">IFERROR(VLOOKUP(A40,OFFSET($S$45,,,COUNTIF($S$45:$S$50,"?*"),14),14,FALSE),"")</f>
        <v/>
      </c>
      <c r="H42" s="414"/>
      <c r="J42" s="386"/>
      <c r="K42" s="387"/>
      <c r="L42" s="387"/>
      <c r="M42" s="387"/>
      <c r="N42" s="387"/>
      <c r="O42" s="387"/>
      <c r="P42" s="387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08" t="str">
        <f ca="1">IFERROR(VLOOKUP(A40,OFFSET($S$45,,,COUNTIF($S$45:$S$50,"?*"),14),3,FALSE),"")</f>
        <v/>
      </c>
      <c r="B43" s="409"/>
      <c r="C43" s="410" t="str">
        <f ca="1">IFERROR(VLOOKUP(A40,OFFSET($S$45,,,COUNTIF($S$45:$S$50,"?*"),14),13,FALSE),"")</f>
        <v/>
      </c>
      <c r="D43" s="411"/>
      <c r="E43" s="412" t="str">
        <f ca="1">IFERROR(VLOOKUP(A40,OFFSET($AG$2,,,COUNTIF($AG$2:$AG$50,"?*"),23),19,FALSE),"")</f>
        <v/>
      </c>
      <c r="F43" s="413"/>
      <c r="H43" s="414"/>
      <c r="J43" s="4" t="str">
        <f ca="1">IFERROR(IF(VLOOKUP(J42,OFFSET($AG$2,,,COUNTIF($AG$2:$AG$50,"?*"),23),10,FALSE)&lt;&gt;0,VLOOKUP(J42,OFFSET($AG$2,,,COUNTIF($AG$2:$AG$50,"?*"),23),10,FALSE),""),"")</f>
        <v/>
      </c>
      <c r="K43" s="380" t="str">
        <f ca="1">IFERROR(IF(VLOOKUP(J42,OFFSET($AG$2,,,COUNTIF($AG$2:$AG$50,"?*"),23),2,FALSE)&lt;&gt;0,YEAR(VLOOKUP(J42,OFFSET($AG$2,,,COUNTIF($AG$2:$AG$50,"?*"),23),2,FALSE)),""),"")</f>
        <v/>
      </c>
      <c r="L43" s="388"/>
      <c r="M43" s="151" t="str">
        <f ca="1">IFERROR(VLOOKUP(J42,OFFSET($AG$2,,,COUNTIF($AG$2:$AG$50,"?*"),23),15,FALSE),"")</f>
        <v/>
      </c>
      <c r="N43" s="388" t="str">
        <f ca="1">IFERROR(VLOOKUP(J42,OFFSET($AG$2,,,COUNTIF($AG$2:$AG$50,"?*"),23),16,FALSE),"")</f>
        <v/>
      </c>
      <c r="O43" s="388"/>
      <c r="P43" s="388" t="str">
        <f ca="1">IFERROR(VLOOKUP(J42,OFFSET($AG$2,,,COUNTIF($AG$2:$AG$50,"?*"),23),18,FALSE),"")</f>
        <v/>
      </c>
      <c r="Q43" s="388"/>
      <c r="R43" s="389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03" t="str">
        <f ca="1">IFERROR(IF(VLOOKUP(A40,OFFSET($AG$2,,,COUNTIF($AG$2:$AG$50,"?*"),23),13,FALSE)&lt;&gt;0,VLOOKUP(A40,OFFSET($AG$2,,,COUNTIF($AG$2:$AG$50,"?*"),23),13,FALSE),"?"),"")</f>
        <v/>
      </c>
      <c r="B44" s="404"/>
      <c r="C44" s="405"/>
      <c r="D44" s="406" t="str">
        <f ca="1">IFERROR(IF(VLOOKUP(A40,OFFSET($AG$2,,,COUNTIF($AG$2:$AG$50,"?*"),23),14,FALSE)&lt;&gt;0,VLOOKUP(A40,OFFSET($AG$2,,,COUNTIF($AG$2:$AG$50,"?*"),23),14,FALSE),"?"),"")</f>
        <v/>
      </c>
      <c r="E44" s="407"/>
      <c r="F44" s="19" t="str">
        <f ca="1">IFERROR(VLOOKUP(A40,OFFSET($S$45,,,COUNTIF($S$45:$S$50,"?*"),14),6,FALSE),"")</f>
        <v/>
      </c>
      <c r="H44" s="414"/>
      <c r="J44" s="18" t="str">
        <f ca="1">IFERROR(IF(VLOOKUP(J42,OFFSET($AG$2,,,COUNTIF($AG$2:$AG$50,"?*"),23),7,FALSE)&lt;&gt;0,VLOOKUP(J42,OFFSET($AG$2,,,COUNTIF($AG$2:$AG$50,"?*"),23),7,FALSE),"?"),"")</f>
        <v/>
      </c>
      <c r="K44" s="390" t="str">
        <f ca="1">IFERROR(VLOOKUP(J42,OFFSET($AG$2,,,COUNTIF($AG$2:$AG$50,"?*"),23),19,FALSE),"")</f>
        <v/>
      </c>
      <c r="L44" s="390"/>
      <c r="M44" s="390"/>
      <c r="N44" s="391" t="str">
        <f ca="1">IFERROR(IF(VLOOKUP(J42,OFFSET($AG$2,,,COUNTIF($AG$2:$AG$50,"?*"),23),13,FALSE)&lt;&gt;0,VLOOKUP(J42,OFFSET($AG$2,,,COUNTIF($AG$2:$AG$50,"?*"),23),13,FALSE),"?"),"")</f>
        <v/>
      </c>
      <c r="O44" s="391"/>
      <c r="P44" s="391"/>
      <c r="Q44" s="390" t="str">
        <f ca="1">IFERROR(IF(VLOOKUP(J42,OFFSET($AG$2,,,COUNTIF($AG$2:$AG$50,"?*"),23),14,FALSE)&lt;&gt;0,VLOOKUP(J42,OFFSET($AG$2,,,COUNTIF($AG$2:$AG$50,"?*"),23),14,FALSE),"?"),"")</f>
        <v/>
      </c>
      <c r="R44" s="392"/>
      <c r="S44" s="109" t="s">
        <v>119</v>
      </c>
      <c r="T44" s="98" t="s">
        <v>82</v>
      </c>
      <c r="U44" s="98" t="s">
        <v>123</v>
      </c>
      <c r="V44" s="98" t="s">
        <v>26</v>
      </c>
      <c r="W44" s="98" t="s">
        <v>125</v>
      </c>
      <c r="X44" s="98" t="s">
        <v>124</v>
      </c>
      <c r="Y44" s="98" t="s">
        <v>66</v>
      </c>
      <c r="Z44" s="98" t="s">
        <v>126</v>
      </c>
      <c r="AA44" s="98" t="s">
        <v>27</v>
      </c>
      <c r="AB44" s="98" t="s">
        <v>53</v>
      </c>
      <c r="AC44" s="98" t="s">
        <v>121</v>
      </c>
      <c r="AD44" s="98" t="s">
        <v>31</v>
      </c>
      <c r="AE44" s="99" t="s">
        <v>40</v>
      </c>
      <c r="AF44" s="99" t="s">
        <v>127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334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347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75"/>
      <c r="B47" s="376"/>
      <c r="C47" s="376"/>
      <c r="D47" s="376"/>
      <c r="E47" s="377" t="str">
        <f ca="1">IFERROR(VLOOKUP(A47,OFFSET($BN$2,,,COUNTIF($BN$2:$BN$11,"?*"),5),3,FALSE),"")</f>
        <v/>
      </c>
      <c r="F47" s="377"/>
      <c r="G47" s="377"/>
      <c r="H47" s="377"/>
      <c r="I47" s="378"/>
      <c r="J47" s="375"/>
      <c r="K47" s="376"/>
      <c r="L47" s="376"/>
      <c r="M47" s="376"/>
      <c r="N47" s="377" t="str">
        <f ca="1">IFERROR(VLOOKUP(J47,OFFSET($BN$2,,,COUNTIF($BN$2:$BN$11,"?*"),5),3,FALSE),"")</f>
        <v/>
      </c>
      <c r="O47" s="377"/>
      <c r="P47" s="377"/>
      <c r="Q47" s="377"/>
      <c r="R47" s="378"/>
      <c r="S47" s="111" t="s">
        <v>335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93" t="str">
        <f ca="1">IFERROR(VLOOKUP(A47,OFFSET($BN$2,,,COUNTIF($BN$2:$BN$11,"?*"),5),5,FALSE),"")</f>
        <v/>
      </c>
      <c r="B48" s="395" t="str">
        <f ca="1">IFERROR(IF(VLOOKUP(A47,OFFSET($BN$2,,,COUNTIF($BN$2:$BN$11,"?*"),5),4,FALSE)&lt;&gt;0,VLOOKUP(A47,OFFSET($BN$2,,,COUNTIF($BN$2:$BN$11,"?*"),5),4,FALSE),"-"),"")</f>
        <v/>
      </c>
      <c r="C48" s="395"/>
      <c r="D48" s="395"/>
      <c r="E48" s="395"/>
      <c r="F48" s="395"/>
      <c r="G48" s="395"/>
      <c r="H48" s="395"/>
      <c r="I48" s="396"/>
      <c r="J48" s="119" t="str">
        <f ca="1">IFERROR(VLOOKUP(J47,OFFSET($BN$2,,,COUNTIF($BN$2:$BN$11,"?*"),5),5,FALSE),"")</f>
        <v/>
      </c>
      <c r="K48" s="399" t="str">
        <f ca="1">IFERROR(IF(VLOOKUP(J47,OFFSET($BN$2,,,COUNTIF($BN$2:$BN$11,"?*"),5),4,FALSE)&lt;&gt;0,VLOOKUP(J47,OFFSET($BN$2,,,COUNTIF($BN$2:$BN$11,"?*"),5),4,FALSE),"-"),"")</f>
        <v/>
      </c>
      <c r="L48" s="399"/>
      <c r="M48" s="399"/>
      <c r="N48" s="399"/>
      <c r="O48" s="399"/>
      <c r="P48" s="399"/>
      <c r="Q48" s="399"/>
      <c r="R48" s="400"/>
      <c r="S48" s="111" t="s">
        <v>836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93"/>
      <c r="B49" s="395"/>
      <c r="C49" s="395"/>
      <c r="D49" s="395"/>
      <c r="E49" s="395"/>
      <c r="F49" s="395"/>
      <c r="G49" s="395"/>
      <c r="H49" s="395"/>
      <c r="I49" s="396"/>
      <c r="J49" s="401"/>
      <c r="K49" s="402"/>
      <c r="L49" s="402"/>
      <c r="M49" s="402"/>
      <c r="N49" s="377" t="str">
        <f ca="1">IFERROR(VLOOKUP(J49,OFFSET($BN$2,,,COUNTIF($BN$2:$BN$11,"?*"),5),3,FALSE),"")</f>
        <v/>
      </c>
      <c r="O49" s="377"/>
      <c r="P49" s="377"/>
      <c r="Q49" s="377"/>
      <c r="R49" s="378"/>
      <c r="S49" s="111" t="s">
        <v>921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94"/>
      <c r="B50" s="397"/>
      <c r="C50" s="397"/>
      <c r="D50" s="397"/>
      <c r="E50" s="397"/>
      <c r="F50" s="397"/>
      <c r="G50" s="397"/>
      <c r="H50" s="397"/>
      <c r="I50" s="398"/>
      <c r="J50" s="119" t="str">
        <f ca="1">IFERROR(VLOOKUP(J49,OFFSET($BN$2,,,COUNTIF($BN$2:$BN$11,"?*"),5),5,FALSE),"")</f>
        <v/>
      </c>
      <c r="K50" s="399" t="str">
        <f ca="1">IFERROR(IF(VLOOKUP(J49,OFFSET($BN$2,,,COUNTIF($BN$2:$BN$11,"?*"),5),4,FALSE)&lt;&gt;0,VLOOKUP(J49,OFFSET($BN$2,,,COUNTIF($BN$2:$BN$11,"?*"),5),4,FALSE),"-"),"")</f>
        <v/>
      </c>
      <c r="L50" s="399"/>
      <c r="M50" s="399"/>
      <c r="N50" s="399"/>
      <c r="O50" s="399"/>
      <c r="P50" s="399"/>
      <c r="Q50" s="399"/>
      <c r="R50" s="400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2021-10-10T15:25:21Z</cp:lastPrinted>
  <dcterms:created xsi:type="dcterms:W3CDTF">2021-09-13T20:56:50Z</dcterms:created>
  <dcterms:modified xsi:type="dcterms:W3CDTF">2021-10-30T14:33:17Z</dcterms:modified>
</cp:coreProperties>
</file>