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3" l="1"/>
  <c r="D40" i="3"/>
  <c r="D41" i="3"/>
  <c r="D42" i="3"/>
  <c r="B39" i="3"/>
  <c r="B40" i="3"/>
  <c r="B41" i="3"/>
  <c r="B42" i="3"/>
  <c r="Z31" i="3"/>
  <c r="D36" i="3" s="1"/>
  <c r="Z32" i="3"/>
  <c r="D37" i="3" s="1"/>
  <c r="Z33" i="3"/>
  <c r="D38" i="3" s="1"/>
  <c r="Z34" i="3"/>
  <c r="Z35" i="3"/>
  <c r="Z36" i="3"/>
  <c r="Z37" i="3"/>
  <c r="Z30" i="3"/>
  <c r="D35" i="3" s="1"/>
  <c r="X31" i="3"/>
  <c r="B36" i="3" s="1"/>
  <c r="X32" i="3"/>
  <c r="B37" i="3" s="1"/>
  <c r="X33" i="3"/>
  <c r="B38" i="3" s="1"/>
  <c r="X34" i="3"/>
  <c r="X35" i="3"/>
  <c r="X36" i="3"/>
  <c r="X37" i="3"/>
  <c r="X30" i="3"/>
  <c r="B35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H46" i="3" l="1"/>
  <c r="B47" i="3"/>
  <c r="F47" i="3" s="1"/>
  <c r="B46" i="3"/>
  <c r="G46" i="3" s="1"/>
  <c r="F34" i="3"/>
  <c r="B34" i="3"/>
  <c r="D46" i="3" l="1"/>
  <c r="E46" i="3"/>
  <c r="I46" i="3"/>
  <c r="F46" i="3"/>
  <c r="E47" i="3"/>
  <c r="D47" i="3"/>
  <c r="I47" i="3"/>
  <c r="G47" i="3"/>
  <c r="H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G16" i="19"/>
  <c r="G18" i="19"/>
  <c r="G20" i="19"/>
  <c r="G8" i="19"/>
  <c r="A13" i="19"/>
  <c r="A4" i="19" l="1"/>
  <c r="G4" i="19"/>
  <c r="X16" i="3"/>
  <c r="AB16" i="3"/>
  <c r="AC16" i="3"/>
  <c r="X17" i="3"/>
  <c r="AB17" i="3"/>
  <c r="AC17" i="3"/>
  <c r="X18" i="3"/>
  <c r="AB18" i="3"/>
  <c r="AC18" i="3"/>
  <c r="X19" i="3"/>
  <c r="AB19" i="3"/>
  <c r="AC19" i="3"/>
  <c r="A26" i="19"/>
  <c r="J16" i="19"/>
  <c r="G30" i="19"/>
  <c r="L16" i="19"/>
  <c r="K8" i="19"/>
  <c r="L20" i="19"/>
  <c r="F13" i="19"/>
  <c r="G31" i="19"/>
  <c r="A21" i="19"/>
  <c r="J8" i="19"/>
  <c r="A14" i="19"/>
  <c r="I8" i="19"/>
  <c r="G17" i="19"/>
  <c r="A10" i="19"/>
  <c r="A19" i="19"/>
  <c r="K9" i="19"/>
  <c r="A27" i="19"/>
  <c r="G24" i="19"/>
  <c r="A15" i="19"/>
  <c r="I20" i="19"/>
  <c r="B13" i="19"/>
  <c r="A9" i="19"/>
  <c r="G25" i="19"/>
  <c r="A16" i="19"/>
  <c r="G23" i="19"/>
  <c r="A11" i="19"/>
  <c r="A24" i="19"/>
  <c r="G14" i="19"/>
  <c r="G21" i="19"/>
  <c r="A17" i="19"/>
  <c r="L18" i="19"/>
  <c r="J18" i="19"/>
  <c r="I18" i="19"/>
  <c r="A23" i="19"/>
  <c r="J20" i="19"/>
  <c r="L9" i="19"/>
  <c r="A30" i="19"/>
  <c r="C13" i="19"/>
  <c r="J9" i="19"/>
  <c r="A29" i="19"/>
  <c r="G12" i="19"/>
  <c r="K18" i="19"/>
  <c r="E13" i="19"/>
  <c r="H18" i="19"/>
  <c r="H16" i="19"/>
  <c r="A20" i="19"/>
  <c r="A18" i="19"/>
  <c r="G15" i="19"/>
  <c r="A22" i="19"/>
  <c r="G29" i="19"/>
  <c r="G27" i="19"/>
  <c r="D13" i="19"/>
  <c r="H8" i="19"/>
  <c r="H9" i="19"/>
  <c r="H20" i="19"/>
  <c r="A12" i="19"/>
  <c r="G26" i="19"/>
  <c r="G10" i="19"/>
  <c r="G11" i="19"/>
  <c r="A25" i="19"/>
  <c r="K16" i="19"/>
  <c r="G13" i="19"/>
  <c r="A8" i="19"/>
  <c r="I9" i="19"/>
  <c r="G22" i="19"/>
  <c r="L8" i="19"/>
  <c r="I16" i="19"/>
  <c r="G19" i="19"/>
  <c r="K20" i="19"/>
  <c r="A31" i="19"/>
  <c r="K45" i="3" l="1"/>
  <c r="O45" i="3"/>
  <c r="P45" i="3"/>
  <c r="K46" i="3"/>
  <c r="O46" i="3"/>
  <c r="P46" i="3"/>
  <c r="K47" i="3"/>
  <c r="O47" i="3"/>
  <c r="P47" i="3"/>
  <c r="K48" i="3"/>
  <c r="O48" i="3"/>
  <c r="P48" i="3"/>
  <c r="F23" i="19"/>
  <c r="E19" i="19"/>
  <c r="C10" i="19"/>
  <c r="H17" i="19"/>
  <c r="L25" i="19"/>
  <c r="I12" i="19"/>
  <c r="I13" i="19"/>
  <c r="I21" i="19"/>
  <c r="C23" i="19"/>
  <c r="C12" i="19"/>
  <c r="B26" i="19"/>
  <c r="D29" i="19"/>
  <c r="B20" i="19"/>
  <c r="D24" i="19"/>
  <c r="I19" i="19"/>
  <c r="B29" i="19"/>
  <c r="B25" i="19"/>
  <c r="I24" i="19"/>
  <c r="H30" i="19"/>
  <c r="E29" i="19"/>
  <c r="H29" i="19"/>
  <c r="K30" i="19"/>
  <c r="K24" i="19"/>
  <c r="C14" i="19"/>
  <c r="B14" i="19"/>
  <c r="E11" i="19"/>
  <c r="F15" i="19"/>
  <c r="L19" i="19"/>
  <c r="B31" i="19"/>
  <c r="E30" i="19"/>
  <c r="K17" i="19"/>
  <c r="L27" i="19"/>
  <c r="F25" i="19"/>
  <c r="F31" i="19"/>
  <c r="I17" i="19"/>
  <c r="I31" i="19"/>
  <c r="L31" i="19"/>
  <c r="F17" i="19"/>
  <c r="D10" i="19"/>
  <c r="H22" i="19"/>
  <c r="E16" i="19"/>
  <c r="D12" i="19"/>
  <c r="H21" i="19"/>
  <c r="B30" i="19"/>
  <c r="F21" i="19"/>
  <c r="L13" i="19"/>
  <c r="D21" i="19"/>
  <c r="H10" i="19"/>
  <c r="C16" i="19"/>
  <c r="K22" i="19"/>
  <c r="L14" i="19"/>
  <c r="E31" i="19"/>
  <c r="B27" i="19"/>
  <c r="D27" i="19"/>
  <c r="I22" i="19"/>
  <c r="C21" i="19"/>
  <c r="D9" i="19"/>
  <c r="J14" i="19"/>
  <c r="C19" i="19"/>
  <c r="J26" i="19"/>
  <c r="C24" i="19"/>
  <c r="F18" i="19"/>
  <c r="K19" i="19"/>
  <c r="D20" i="19"/>
  <c r="L12" i="19"/>
  <c r="F24" i="19"/>
  <c r="K11" i="19"/>
  <c r="B9" i="19"/>
  <c r="B8" i="19"/>
  <c r="D22" i="19"/>
  <c r="C31" i="19"/>
  <c r="L21" i="19"/>
  <c r="F20" i="19"/>
  <c r="L26" i="19"/>
  <c r="E10" i="19"/>
  <c r="K21" i="19"/>
  <c r="F12" i="19"/>
  <c r="F16" i="19"/>
  <c r="D19" i="19"/>
  <c r="K14" i="19"/>
  <c r="J11" i="19"/>
  <c r="L30" i="19"/>
  <c r="J22" i="19"/>
  <c r="E22" i="19"/>
  <c r="L15" i="19"/>
  <c r="D11" i="19"/>
  <c r="D15" i="19"/>
  <c r="B21" i="19"/>
  <c r="J24" i="19"/>
  <c r="D18" i="19"/>
  <c r="D26" i="19"/>
  <c r="I29" i="19"/>
  <c r="C25" i="19"/>
  <c r="F26" i="19"/>
  <c r="H14" i="19"/>
  <c r="F29" i="19"/>
  <c r="C11" i="19"/>
  <c r="E12" i="19"/>
  <c r="K26" i="19"/>
  <c r="E24" i="19"/>
  <c r="B16" i="19"/>
  <c r="E27" i="19"/>
  <c r="F8" i="19"/>
  <c r="F10" i="19"/>
  <c r="F11" i="19"/>
  <c r="I11" i="19"/>
  <c r="I30" i="19"/>
  <c r="C29" i="19"/>
  <c r="D25" i="19"/>
  <c r="J21" i="19"/>
  <c r="J29" i="19"/>
  <c r="D14" i="19"/>
  <c r="H12" i="19"/>
  <c r="I14" i="19"/>
  <c r="D31" i="19"/>
  <c r="L29" i="19"/>
  <c r="H31" i="19"/>
  <c r="D16" i="19"/>
  <c r="J15" i="19"/>
  <c r="I23" i="19"/>
  <c r="E23" i="19"/>
  <c r="E26" i="19"/>
  <c r="E8" i="19"/>
  <c r="B24" i="19"/>
  <c r="L24" i="19"/>
  <c r="K27" i="19"/>
  <c r="I10" i="19"/>
  <c r="C17" i="19"/>
  <c r="C9" i="19"/>
  <c r="K31" i="19"/>
  <c r="J10" i="19"/>
  <c r="H27" i="19"/>
  <c r="H13" i="19"/>
  <c r="I15" i="19"/>
  <c r="J30" i="19"/>
  <c r="L22" i="19"/>
  <c r="C30" i="19"/>
  <c r="H26" i="19"/>
  <c r="B11" i="19"/>
  <c r="D23" i="19"/>
  <c r="H23" i="19"/>
  <c r="K23" i="19"/>
  <c r="L17" i="19"/>
  <c r="F30" i="19"/>
  <c r="H19" i="19"/>
  <c r="B18" i="19"/>
  <c r="B15" i="19"/>
  <c r="F14" i="19"/>
  <c r="F9" i="19"/>
  <c r="B17" i="19"/>
  <c r="F19" i="19"/>
  <c r="J17" i="19"/>
  <c r="E17" i="19"/>
  <c r="H24" i="19"/>
  <c r="B22" i="19"/>
  <c r="J25" i="19"/>
  <c r="E25" i="19"/>
  <c r="C8" i="19"/>
  <c r="D8" i="19"/>
  <c r="I26" i="19"/>
  <c r="L10" i="19"/>
  <c r="H25" i="19"/>
  <c r="J31" i="19"/>
  <c r="K13" i="19"/>
  <c r="B12" i="19"/>
  <c r="J13" i="19"/>
  <c r="C20" i="19"/>
  <c r="E20" i="19"/>
  <c r="C15" i="19"/>
  <c r="E14" i="19"/>
  <c r="K15" i="19"/>
  <c r="E9" i="19"/>
  <c r="C26" i="19"/>
  <c r="E15" i="19"/>
  <c r="I25" i="19"/>
  <c r="F22" i="19"/>
  <c r="L11" i="19"/>
  <c r="H15" i="19"/>
  <c r="J27" i="19"/>
  <c r="C27" i="19"/>
  <c r="L23" i="19"/>
  <c r="B19" i="19"/>
  <c r="B23" i="19"/>
  <c r="D30" i="19"/>
  <c r="E18" i="19"/>
  <c r="K29" i="19"/>
  <c r="D17" i="19"/>
  <c r="J23" i="19"/>
  <c r="E21" i="19"/>
  <c r="H11" i="19"/>
  <c r="K12" i="19"/>
  <c r="F27" i="19"/>
  <c r="C18" i="19"/>
  <c r="B10" i="19"/>
  <c r="I27" i="19"/>
  <c r="K25" i="19"/>
  <c r="C22" i="19"/>
  <c r="J12" i="19"/>
  <c r="J19" i="19"/>
  <c r="K10" i="19"/>
  <c r="AC5" i="3" l="1"/>
  <c r="AC6" i="3"/>
  <c r="AC7" i="3"/>
  <c r="AC8" i="3"/>
  <c r="AC9" i="3"/>
  <c r="AC10" i="3"/>
  <c r="AC11" i="3"/>
  <c r="AC12" i="3"/>
  <c r="AC13" i="3"/>
  <c r="AC14" i="3"/>
  <c r="AC15" i="3"/>
  <c r="P44" i="3" s="1"/>
  <c r="AC4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F36" i="14" l="1"/>
  <c r="F42" i="14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Y13" i="7" s="1"/>
  <c r="AL14" i="7"/>
  <c r="AL15" i="7"/>
  <c r="AL16" i="7"/>
  <c r="AY16" i="7" s="1"/>
  <c r="AL17" i="7"/>
  <c r="AL18" i="7"/>
  <c r="AY18" i="7" s="1"/>
  <c r="AL19" i="7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L18" i="9"/>
  <c r="AY18" i="9" s="1"/>
  <c r="AL19" i="9"/>
  <c r="AY19" i="9" s="1"/>
  <c r="AL20" i="9"/>
  <c r="AY20" i="9" s="1"/>
  <c r="AL21" i="9"/>
  <c r="AY21" i="9" s="1"/>
  <c r="AL22" i="9"/>
  <c r="AL23" i="9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B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C37" i="8"/>
  <c r="A37" i="8"/>
  <c r="BF36" i="8"/>
  <c r="BD36" i="8"/>
  <c r="AY36" i="8"/>
  <c r="AX36" i="8"/>
  <c r="AV36" i="8"/>
  <c r="AU36" i="8"/>
  <c r="AC36" i="8"/>
  <c r="F36" i="8"/>
  <c r="D36" i="8"/>
  <c r="A36" i="8"/>
  <c r="BF35" i="8"/>
  <c r="BD35" i="8"/>
  <c r="AX35" i="8"/>
  <c r="AV35" i="8"/>
  <c r="AU35" i="8"/>
  <c r="AC35" i="8"/>
  <c r="N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Q29" i="8"/>
  <c r="E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K26" i="8"/>
  <c r="F26" i="8"/>
  <c r="D26" i="8"/>
  <c r="A26" i="8"/>
  <c r="BW25" i="8"/>
  <c r="BV25" i="8"/>
  <c r="BF25" i="8"/>
  <c r="BD25" i="8"/>
  <c r="AX25" i="8"/>
  <c r="B42" i="8" s="1"/>
  <c r="AV23" i="8"/>
  <c r="AU23" i="8"/>
  <c r="P13" i="8" s="1"/>
  <c r="AC25" i="8"/>
  <c r="K25" i="8"/>
  <c r="BW24" i="8"/>
  <c r="BV24" i="8"/>
  <c r="BF24" i="8"/>
  <c r="BD24" i="8"/>
  <c r="AX24" i="8"/>
  <c r="AV27" i="8"/>
  <c r="AU27" i="8"/>
  <c r="P18" i="8" s="1"/>
  <c r="AC24" i="8"/>
  <c r="Q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Q18" i="8"/>
  <c r="BW17" i="8"/>
  <c r="BV17" i="8"/>
  <c r="BF17" i="8"/>
  <c r="BD17" i="8"/>
  <c r="AX17" i="8"/>
  <c r="P43" i="8" s="1"/>
  <c r="AV13" i="8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AU14" i="8"/>
  <c r="P24" i="8" s="1"/>
  <c r="AY13" i="8"/>
  <c r="P30" i="8" s="1"/>
  <c r="AC13" i="8"/>
  <c r="Q13" i="8"/>
  <c r="E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AU6" i="8"/>
  <c r="M35" i="8" s="1"/>
  <c r="AC5" i="8"/>
  <c r="BW4" i="8"/>
  <c r="BV4" i="8"/>
  <c r="BR4" i="8"/>
  <c r="J50" i="8" s="1"/>
  <c r="BF4" i="8"/>
  <c r="BD4" i="8"/>
  <c r="AX4" i="8"/>
  <c r="AV5" i="8"/>
  <c r="AU5" i="8"/>
  <c r="J4" i="8" s="1"/>
  <c r="AC4" i="8"/>
  <c r="R4" i="8"/>
  <c r="P4" i="8"/>
  <c r="M4" i="8"/>
  <c r="K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G8" i="5"/>
  <c r="H8" i="5"/>
  <c r="N8" i="5"/>
  <c r="B3" i="5"/>
  <c r="B8" i="5"/>
  <c r="K8" i="5"/>
  <c r="L8" i="5"/>
  <c r="F8" i="5"/>
  <c r="M8" i="5"/>
  <c r="J8" i="5"/>
  <c r="E8" i="5"/>
  <c r="O8" i="5"/>
  <c r="C8" i="5"/>
  <c r="I8" i="5"/>
  <c r="D8" i="5"/>
  <c r="M3" i="8" l="1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P3" i="8" l="1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H24" i="8" l="1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4" i="8" l="1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29" i="8" l="1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9" i="8" l="1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9" i="8" l="1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B6" i="5"/>
  <c r="F6" i="5"/>
  <c r="I6" i="5"/>
  <c r="I4" i="5"/>
  <c r="D4" i="5"/>
  <c r="G4" i="5"/>
  <c r="N6" i="5"/>
  <c r="C4" i="5"/>
  <c r="E4" i="5"/>
  <c r="O4" i="5"/>
  <c r="C6" i="5"/>
  <c r="H6" i="5"/>
  <c r="K4" i="5"/>
  <c r="E6" i="5"/>
  <c r="K6" i="5"/>
  <c r="J6" i="5"/>
  <c r="M6" i="5"/>
  <c r="B4" i="5"/>
  <c r="F4" i="5"/>
  <c r="H4" i="5"/>
  <c r="L6" i="5"/>
  <c r="N4" i="5"/>
  <c r="L4" i="5"/>
  <c r="M4" i="5"/>
  <c r="J4" i="5"/>
  <c r="D6" i="5"/>
  <c r="O6" i="5"/>
  <c r="G6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C37" i="4" s="1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P3" i="4" s="1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M3" i="5"/>
  <c r="F2" i="5"/>
  <c r="B5" i="5"/>
  <c r="I2" i="5"/>
  <c r="O3" i="5"/>
  <c r="O7" i="5"/>
  <c r="N3" i="5"/>
  <c r="C3" i="5"/>
  <c r="H5" i="5"/>
  <c r="E7" i="5"/>
  <c r="K3" i="5"/>
  <c r="C7" i="5"/>
  <c r="M5" i="5"/>
  <c r="H3" i="5"/>
  <c r="J5" i="5"/>
  <c r="C2" i="5"/>
  <c r="G3" i="5"/>
  <c r="G5" i="5"/>
  <c r="H7" i="5"/>
  <c r="I3" i="5"/>
  <c r="H2" i="5"/>
  <c r="K2" i="5"/>
  <c r="M2" i="5"/>
  <c r="D5" i="5"/>
  <c r="J2" i="5"/>
  <c r="D3" i="5"/>
  <c r="M7" i="5"/>
  <c r="F3" i="5"/>
  <c r="N2" i="5"/>
  <c r="C5" i="5"/>
  <c r="J3" i="5"/>
  <c r="O5" i="5"/>
  <c r="L2" i="5"/>
  <c r="E5" i="5"/>
  <c r="I7" i="5"/>
  <c r="E3" i="5"/>
  <c r="F7" i="5"/>
  <c r="L5" i="5"/>
  <c r="L7" i="5"/>
  <c r="K5" i="5"/>
  <c r="G2" i="5"/>
  <c r="B2" i="5"/>
  <c r="L3" i="5"/>
  <c r="O2" i="5"/>
  <c r="D2" i="5"/>
  <c r="B7" i="5"/>
  <c r="J7" i="5"/>
  <c r="N5" i="5"/>
  <c r="I5" i="5"/>
  <c r="D7" i="5"/>
  <c r="K7" i="5"/>
  <c r="G7" i="5"/>
  <c r="N7" i="5"/>
  <c r="F5" i="5"/>
  <c r="E2" i="5"/>
  <c r="M3" i="4" l="1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E13" i="1" s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5" i="3"/>
  <c r="N12" i="3"/>
  <c r="G28" i="3"/>
  <c r="A14" i="3"/>
  <c r="J13" i="3"/>
  <c r="E13" i="3"/>
  <c r="A12" i="3"/>
  <c r="P30" i="3"/>
  <c r="D30" i="3"/>
  <c r="C8" i="3"/>
  <c r="N15" i="3"/>
  <c r="E15" i="3"/>
  <c r="E12" i="3"/>
  <c r="N14" i="3"/>
  <c r="D29" i="3"/>
  <c r="A13" i="3"/>
  <c r="D28" i="3"/>
  <c r="N13" i="3"/>
  <c r="E11" i="3"/>
  <c r="E14" i="3"/>
  <c r="P29" i="3"/>
  <c r="M30" i="3"/>
  <c r="J11" i="3"/>
  <c r="N11" i="3"/>
  <c r="J14" i="3"/>
  <c r="A11" i="3"/>
  <c r="G30" i="3"/>
  <c r="J12" i="3"/>
  <c r="J15" i="3"/>
  <c r="L8" i="3"/>
  <c r="G29" i="3"/>
  <c r="M29" i="3"/>
  <c r="Q13" i="1" l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5" i="3"/>
  <c r="O34" i="3" s="1"/>
  <c r="AB6" i="3"/>
  <c r="O35" i="3" s="1"/>
  <c r="AB7" i="3"/>
  <c r="O36" i="3" s="1"/>
  <c r="AB8" i="3"/>
  <c r="O37" i="3" s="1"/>
  <c r="AB9" i="3"/>
  <c r="O38" i="3" s="1"/>
  <c r="AB10" i="3"/>
  <c r="O39" i="3" s="1"/>
  <c r="AB11" i="3"/>
  <c r="O40" i="3" s="1"/>
  <c r="AB12" i="3"/>
  <c r="O41" i="3" s="1"/>
  <c r="AB13" i="3"/>
  <c r="O42" i="3" s="1"/>
  <c r="AB14" i="3"/>
  <c r="O43" i="3" s="1"/>
  <c r="AB15" i="3"/>
  <c r="O44" i="3" s="1"/>
  <c r="AB4" i="3"/>
  <c r="O33" i="3" s="1"/>
  <c r="X5" i="3"/>
  <c r="K34" i="3" s="1"/>
  <c r="X6" i="3"/>
  <c r="K35" i="3" s="1"/>
  <c r="X7" i="3"/>
  <c r="K36" i="3" s="1"/>
  <c r="X8" i="3"/>
  <c r="K37" i="3" s="1"/>
  <c r="X9" i="3"/>
  <c r="K38" i="3" s="1"/>
  <c r="X10" i="3"/>
  <c r="K39" i="3" s="1"/>
  <c r="X11" i="3"/>
  <c r="K40" i="3" s="1"/>
  <c r="X12" i="3"/>
  <c r="K41" i="3" s="1"/>
  <c r="X13" i="3"/>
  <c r="K42" i="3" s="1"/>
  <c r="X14" i="3"/>
  <c r="K43" i="3" s="1"/>
  <c r="X15" i="3"/>
  <c r="K44" i="3" s="1"/>
  <c r="X4" i="3"/>
  <c r="K33" i="3" s="1"/>
  <c r="G50" i="3"/>
  <c r="L13" i="3"/>
  <c r="P14" i="3"/>
  <c r="G12" i="3"/>
  <c r="L14" i="3"/>
  <c r="C12" i="3"/>
  <c r="G11" i="3"/>
  <c r="C14" i="3"/>
  <c r="C15" i="3"/>
  <c r="P26" i="3"/>
  <c r="J28" i="3"/>
  <c r="P11" i="3"/>
  <c r="C13" i="3"/>
  <c r="L11" i="3"/>
  <c r="M26" i="3"/>
  <c r="P12" i="3"/>
  <c r="L12" i="3"/>
  <c r="C11" i="3"/>
  <c r="P15" i="3"/>
  <c r="P13" i="3"/>
  <c r="G13" i="3"/>
  <c r="P22" i="3"/>
  <c r="G14" i="3"/>
  <c r="P23" i="3"/>
  <c r="M23" i="3"/>
  <c r="J23" i="3"/>
  <c r="L15" i="3"/>
  <c r="M22" i="3"/>
  <c r="J30" i="3"/>
  <c r="G15" i="3"/>
  <c r="F42" i="1" l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F6" i="2" s="1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A5" i="3" s="1"/>
  <c r="BC11" i="2"/>
  <c r="BC7" i="2"/>
  <c r="O26" i="3"/>
  <c r="L28" i="3"/>
  <c r="O22" i="3"/>
  <c r="R23" i="3"/>
  <c r="A30" i="3"/>
  <c r="O23" i="3"/>
  <c r="G19" i="3"/>
  <c r="R22" i="3"/>
  <c r="L30" i="3"/>
  <c r="R26" i="3"/>
  <c r="L23" i="3"/>
  <c r="BD12" i="2" l="1"/>
  <c r="P6" i="3" s="1"/>
  <c r="BE9" i="2"/>
  <c r="BE7" i="2"/>
  <c r="BD9" i="2"/>
  <c r="BD15" i="2"/>
  <c r="G6" i="3" s="1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D20" i="3"/>
  <c r="J21" i="3"/>
  <c r="D21" i="3"/>
  <c r="C30" i="3"/>
  <c r="A20" i="3"/>
  <c r="A21" i="3"/>
  <c r="A22" i="3"/>
  <c r="J20" i="3"/>
  <c r="M21" i="3"/>
  <c r="J27" i="3"/>
  <c r="M19" i="3"/>
  <c r="M20" i="3"/>
  <c r="J19" i="3"/>
  <c r="G23" i="3"/>
  <c r="A27" i="3"/>
  <c r="P21" i="3"/>
  <c r="J26" i="3"/>
  <c r="J29" i="3"/>
  <c r="I19" i="3"/>
  <c r="P20" i="3"/>
  <c r="J22" i="3"/>
  <c r="G20" i="3"/>
  <c r="P19" i="3"/>
  <c r="AW24" i="1" l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I23" i="3"/>
  <c r="D26" i="3"/>
  <c r="C22" i="3"/>
  <c r="C20" i="3"/>
  <c r="L19" i="3"/>
  <c r="L20" i="3"/>
  <c r="O19" i="3"/>
  <c r="F20" i="3"/>
  <c r="L27" i="3"/>
  <c r="L21" i="3"/>
  <c r="D19" i="3"/>
  <c r="D22" i="3"/>
  <c r="A28" i="3"/>
  <c r="G21" i="3"/>
  <c r="R21" i="3"/>
  <c r="O20" i="3"/>
  <c r="A19" i="3"/>
  <c r="L29" i="3"/>
  <c r="C21" i="3"/>
  <c r="O21" i="3"/>
  <c r="F21" i="3"/>
  <c r="A23" i="3"/>
  <c r="R20" i="3"/>
  <c r="A29" i="3"/>
  <c r="C27" i="3"/>
  <c r="A26" i="3"/>
  <c r="R19" i="3"/>
  <c r="L22" i="3"/>
  <c r="D23" i="3"/>
  <c r="G22" i="3"/>
  <c r="G26" i="3"/>
  <c r="I20" i="3"/>
  <c r="L26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9" i="3"/>
  <c r="F22" i="3"/>
  <c r="I22" i="3"/>
  <c r="C19" i="3"/>
  <c r="I26" i="3"/>
  <c r="I21" i="3"/>
  <c r="F26" i="3"/>
  <c r="C28" i="3"/>
  <c r="C23" i="3"/>
  <c r="C26" i="3"/>
  <c r="F23" i="3"/>
  <c r="F19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P28" i="3"/>
  <c r="M27" i="3"/>
  <c r="P27" i="3"/>
  <c r="M28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7" i="3"/>
  <c r="R28" i="3"/>
  <c r="O28" i="3"/>
  <c r="R27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<sst xmlns="http://schemas.openxmlformats.org/spreadsheetml/2006/main" count="4375" uniqueCount="1464">
  <si>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</si>
  <si>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</si>
  <si>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</si>
  <si>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</si>
  <si>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</si>
  <si>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</si>
  <si>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</si>
  <si>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</si>
  <si>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</si>
  <si>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</si>
  <si>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</si>
  <si>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</si>
  <si>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</si>
  <si>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</si>
  <si>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</si>
  <si>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</si>
  <si>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</si>
  <si>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</si>
  <si>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</si>
  <si>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</si>
  <si>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</si>
  <si>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</si>
  <si>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</si>
  <si>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</si>
  <si>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</si>
  <si>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</si>
  <si>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</si>
  <si>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</si>
  <si>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</si>
  <si>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</si>
  <si>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</si>
  <si>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</si>
  <si>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</si>
  <si>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</si>
  <si>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</si>
  <si>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</si>
  <si>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</si>
  <si>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</si>
  <si>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</si>
  <si>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</si>
  <si>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</si>
  <si>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</si>
  <si>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</si>
  <si>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</si>
  <si>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</si>
  <si>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</si>
  <si>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</si>
  <si>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</si>
  <si>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</si>
  <si>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</si>
  <si>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</si>
  <si>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</si>
  <si>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</si>
  <si>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</si>
  <si>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</si>
  <si>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</si>
  <si>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</si>
  <si>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</si>
  <si>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</si>
  <si>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</si>
  <si>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</si>
  <si>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</si>
  <si>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</si>
  <si>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</si>
  <si>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</si>
  <si>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</si>
  <si>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</si>
  <si>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</si>
  <si>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</si>
  <si>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</si>
  <si>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</si>
  <si>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</si>
  <si>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</si>
  <si>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</si>
  <si>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</si>
  <si>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</si>
  <si>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</si>
  <si>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</si>
  <si>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</si>
  <si>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</si>
  <si>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</si>
  <si>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</si>
  <si>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</si>
  <si>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</si>
  <si>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</si>
  <si>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</si>
  <si>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</si>
  <si>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</si>
  <si>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</si>
  <si>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</si>
  <si>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</si>
  <si>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</si>
  <si>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</si>
  <si>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</si>
  <si>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</si>
  <si>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</si>
  <si>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</si>
  <si>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</si>
  <si>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</si>
  <si>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</si>
  <si>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</si>
  <si>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</si>
  <si>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</si>
  <si>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</si>
  <si>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</si>
  <si>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</si>
  <si>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</si>
  <si>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</si>
  <si>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</si>
  <si>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</si>
  <si>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</si>
  <si>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</si>
  <si>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</si>
  <si>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</si>
  <si>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</si>
  <si>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</si>
  <si>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</si>
  <si>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</si>
  <si>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</si>
  <si>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</si>
  <si>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</si>
  <si>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</si>
  <si>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</si>
  <si>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</si>
  <si>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</si>
  <si>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</si>
  <si>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</si>
  <si>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</si>
  <si>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</si>
  <si>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</si>
  <si>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</si>
  <si>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</si>
  <si>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</si>
  <si>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</si>
  <si>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</si>
  <si>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</si>
  <si>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</si>
  <si>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</si>
  <si>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</si>
  <si>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</si>
  <si>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</si>
  <si>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</si>
  <si>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</si>
  <si>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</si>
  <si>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</si>
  <si>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</si>
  <si>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</si>
  <si>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</si>
  <si>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</si>
  <si>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</si>
  <si>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</si>
  <si>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</si>
  <si>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</si>
  <si>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</si>
  <si>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</si>
  <si>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</si>
  <si>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</si>
  <si>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</si>
  <si>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</si>
  <si>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</si>
  <si>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</si>
  <si>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</si>
  <si>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</si>
  <si>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</si>
  <si>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</si>
  <si>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</si>
  <si>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</si>
  <si>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</si>
  <si>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</si>
  <si>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</si>
  <si>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</si>
  <si>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</si>
  <si>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</si>
  <si>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</si>
  <si>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</si>
  <si>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</si>
  <si>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</si>
  <si>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</si>
  <si>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</si>
  <si>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</si>
  <si>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</si>
  <si>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</si>
  <si>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</si>
  <si>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</si>
  <si>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</si>
  <si>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</si>
  <si>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</si>
  <si>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</si>
  <si>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</si>
  <si>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</si>
  <si>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</si>
  <si>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</si>
  <si>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</si>
  <si>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</si>
  <si>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</si>
  <si>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</si>
  <si>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</si>
  <si>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</si>
  <si>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</si>
  <si>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</si>
  <si>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</si>
  <si>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</si>
  <si>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</si>
  <si>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</si>
  <si>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</si>
  <si>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</si>
  <si>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</si>
  <si>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</si>
  <si>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</si>
  <si>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</si>
  <si>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</si>
  <si>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</si>
  <si>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</si>
  <si>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</si>
  <si>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</si>
  <si>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</si>
  <si>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</si>
  <si>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</si>
  <si>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</si>
  <si>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</si>
  <si>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</si>
  <si>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</si>
  <si>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</si>
  <si>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</si>
  <si>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</si>
  <si>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</si>
  <si>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</si>
  <si>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</si>
  <si>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</si>
  <si>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</si>
  <si>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</si>
  <si>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</si>
  <si>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</si>
  <si>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</si>
  <si>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</si>
  <si>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</si>
  <si>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</si>
  <si>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</si>
  <si>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</si>
  <si>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</si>
  <si>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</si>
  <si>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</si>
  <si>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</si>
  <si>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</si>
  <si>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</si>
  <si>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</si>
  <si>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</si>
  <si>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</si>
  <si>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</si>
  <si>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</si>
  <si>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</si>
  <si>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</si>
  <si>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</si>
  <si>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</si>
  <si>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</si>
  <si>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</si>
  <si>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</si>
  <si>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</si>
  <si>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</si>
  <si>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</si>
  <si>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</si>
  <si>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</si>
  <si>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</si>
  <si>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</si>
  <si>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</si>
  <si>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</si>
  <si>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</si>
  <si>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</si>
  <si>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</si>
  <si>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</si>
  <si>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</si>
  <si>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</si>
  <si>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</si>
  <si>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</si>
  <si>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</si>
  <si>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</si>
  <si>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</si>
  <si>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</si>
  <si>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</si>
  <si>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</si>
  <si>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</si>
  <si>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</si>
  <si>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</si>
  <si>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</si>
  <si>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</si>
  <si>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</si>
  <si>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</si>
  <si>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</si>
  <si>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</si>
  <si>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</si>
  <si>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</si>
  <si>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</si>
  <si>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</si>
  <si>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</si>
  <si>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</si>
  <si>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</si>
  <si>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</si>
  <si>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</si>
  <si>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</si>
  <si>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</si>
  <si>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</si>
  <si>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</si>
  <si>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</si>
  <si>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</si>
  <si>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</si>
  <si>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</si>
  <si>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</si>
  <si>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</si>
  <si>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</si>
  <si>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</si>
  <si>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</si>
  <si>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</si>
  <si>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</si>
  <si>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</si>
  <si>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</si>
  <si>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</si>
  <si>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</si>
  <si>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</si>
  <si>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</si>
  <si>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</si>
  <si>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</si>
  <si>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</si>
  <si>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</si>
  <si>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</si>
  <si>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</si>
  <si>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</si>
  <si>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</si>
  <si>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</si>
  <si>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</si>
  <si>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</si>
  <si>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</si>
  <si>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</si>
  <si>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</si>
  <si>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</si>
  <si>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</si>
  <si>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</si>
  <si>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</si>
  <si>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</si>
  <si>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</si>
  <si>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</si>
  <si>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</si>
  <si>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</si>
  <si>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</si>
  <si>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</si>
  <si>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</si>
  <si>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</si>
  <si>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</si>
  <si>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</si>
  <si>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</si>
  <si>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</si>
  <si>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</si>
  <si>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</si>
  <si>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</si>
  <si>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</si>
  <si>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</si>
  <si>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</si>
  <si>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</si>
  <si>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</si>
  <si>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</si>
  <si>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</si>
  <si>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</si>
  <si>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</si>
  <si>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</si>
  <si>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</si>
  <si>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</si>
  <si>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</si>
  <si>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</si>
  <si>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</si>
  <si>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</si>
  <si>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</si>
  <si>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</si>
  <si>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</si>
  <si>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</si>
  <si>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</si>
  <si>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</si>
  <si>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</si>
  <si>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</si>
  <si>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</si>
  <si>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</si>
  <si>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</si>
  <si>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</si>
  <si>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</si>
  <si>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</si>
  <si>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</si>
  <si>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</si>
  <si>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</si>
  <si>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</si>
  <si>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</si>
  <si>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</si>
  <si>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</si>
  <si>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</si>
  <si>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</si>
  <si>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</si>
  <si>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</si>
  <si>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</si>
  <si>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</si>
  <si>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</si>
  <si>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</si>
  <si>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</si>
  <si>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</si>
  <si>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</si>
  <si>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</si>
  <si>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</si>
  <si>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</si>
  <si>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</si>
  <si>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</si>
  <si>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</si>
  <si>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</si>
  <si>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</si>
  <si>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</si>
  <si>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</si>
  <si>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</si>
  <si>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</si>
  <si>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</si>
  <si>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</si>
  <si>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</si>
  <si>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</si>
  <si>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</si>
  <si>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</si>
  <si>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</si>
  <si>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</si>
  <si>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</si>
  <si>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</si>
  <si>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</si>
  <si>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</si>
  <si>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</si>
  <si>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</si>
  <si>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</si>
  <si>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</si>
  <si>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</si>
  <si>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</si>
  <si>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</si>
  <si>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</si>
  <si>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</si>
  <si>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</si>
  <si>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</si>
  <si>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</si>
  <si>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</si>
  <si>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</si>
  <si>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</si>
  <si>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</si>
  <si>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</si>
  <si>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</si>
  <si>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</si>
  <si>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</si>
  <si>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</si>
  <si>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</si>
  <si>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</si>
  <si>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</si>
  <si>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</si>
  <si>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</si>
  <si>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</si>
  <si>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</si>
  <si>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</si>
  <si>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</si>
  <si>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</si>
  <si>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</si>
  <si>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</si>
  <si>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</si>
  <si>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</si>
  <si>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</si>
  <si>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</si>
  <si>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</si>
  <si>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</si>
  <si>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</si>
  <si>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</si>
  <si>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</si>
  <si>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</si>
  <si>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</si>
  <si>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</si>
  <si>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</si>
  <si>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</si>
  <si>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</si>
  <si>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</si>
  <si>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</si>
  <si>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</si>
  <si>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</si>
  <si>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</si>
  <si>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</si>
  <si>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</si>
  <si>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</si>
  <si>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</si>
  <si>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</si>
  <si>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</si>
  <si>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</si>
  <si>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</si>
  <si>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</si>
  <si>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</si>
  <si>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</si>
  <si>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</si>
  <si>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</si>
  <si>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</si>
  <si>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</si>
  <si>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</si>
  <si>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</si>
  <si>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</si>
  <si>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</si>
  <si>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</si>
  <si>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</si>
  <si>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</si>
  <si>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</si>
  <si>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</si>
  <si>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</si>
  <si>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</si>
  <si>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</si>
  <si>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</si>
  <si>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</si>
  <si>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</si>
  <si>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</si>
  <si>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</si>
  <si>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</si>
  <si>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</si>
  <si>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</si>
  <si>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</si>
  <si>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</si>
  <si>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</si>
  <si>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</si>
  <si>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</si>
  <si>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</si>
  <si>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</si>
  <si>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</si>
  <si>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</si>
  <si>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</si>
  <si>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</si>
  <si>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</si>
  <si>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</si>
  <si>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</si>
  <si>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</si>
  <si>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</si>
  <si>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</si>
  <si>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</si>
  <si>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</si>
  <si>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</si>
  <si>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</si>
  <si>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</si>
  <si>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</si>
  <si>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</si>
  <si>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</si>
  <si>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</si>
  <si>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</si>
  <si>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</si>
  <si>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</si>
  <si>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</si>
  <si>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</si>
  <si>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</si>
  <si>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</si>
  <si>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</si>
  <si>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</si>
  <si>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</si>
  <si>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</si>
  <si>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</si>
  <si>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</si>
  <si>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</si>
  <si>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</si>
  <si>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</si>
  <si>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</si>
  <si>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</si>
  <si>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</si>
  <si>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</si>
  <si>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</si>
  <si>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</si>
  <si>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</si>
  <si>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</si>
  <si>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</si>
  <si>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</si>
  <si>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</si>
  <si>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</si>
  <si>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</si>
  <si>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</si>
  <si>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</si>
  <si>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</si>
  <si>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</si>
  <si>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</si>
  <si>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</si>
  <si>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</si>
  <si>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</si>
  <si>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</si>
  <si>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</si>
  <si>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</si>
  <si>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</si>
  <si>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</si>
  <si>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</si>
  <si>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</si>
  <si>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</si>
  <si>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</si>
  <si>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</si>
  <si>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</si>
  <si>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</si>
  <si>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</si>
  <si>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</si>
  <si>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</si>
  <si>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</si>
  <si>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</si>
  <si>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</si>
  <si>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</si>
  <si>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</si>
  <si>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</si>
  <si>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</si>
  <si>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</si>
  <si>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</si>
  <si>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</si>
  <si>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</si>
  <si>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</si>
  <si>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</si>
  <si>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</si>
  <si>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</si>
  <si>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</si>
  <si>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</si>
  <si>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</si>
  <si>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</si>
  <si>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</si>
  <si>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</si>
  <si>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</si>
  <si>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</si>
  <si>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</si>
  <si>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</si>
  <si>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</si>
  <si>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</si>
  <si>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</si>
  <si>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</si>
  <si>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</si>
  <si>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</si>
  <si>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</si>
  <si>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</si>
  <si>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</si>
  <si>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</si>
  <si>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</si>
  <si>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</si>
  <si>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</si>
  <si>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</si>
  <si>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</si>
  <si>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</si>
  <si>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</si>
  <si>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</si>
  <si>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</si>
  <si>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</si>
  <si>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</si>
  <si>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</si>
  <si>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</si>
  <si>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</si>
  <si>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</si>
  <si>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</si>
  <si>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</si>
  <si>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</si>
  <si>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</si>
  <si>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</si>
  <si>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</si>
  <si>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</si>
  <si>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</si>
  <si>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</si>
  <si>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</si>
  <si>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</si>
  <si>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</si>
  <si>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</si>
  <si>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</si>
  <si>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</si>
  <si>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</si>
  <si>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</si>
  <si>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</si>
  <si>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</si>
  <si>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</si>
  <si>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</si>
  <si>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</si>
  <si>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</si>
  <si>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</si>
  <si>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</si>
  <si>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</si>
  <si>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</si>
  <si>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</si>
  <si>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</si>
  <si>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</si>
  <si>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</si>
  <si>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</si>
  <si>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</si>
  <si>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</si>
  <si>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</si>
  <si>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</si>
  <si>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</si>
  <si>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</si>
  <si>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</si>
  <si>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</si>
  <si>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</si>
  <si>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</si>
  <si>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</si>
  <si>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</si>
  <si>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</si>
  <si>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</si>
  <si>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</si>
  <si>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</si>
  <si>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</si>
  <si>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</si>
  <si>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</si>
  <si>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</si>
  <si>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</si>
  <si>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</si>
  <si>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</si>
  <si>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</si>
  <si>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</si>
  <si>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</si>
  <si>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</si>
  <si>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</si>
  <si>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</si>
  <si>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</si>
  <si>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</si>
  <si>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</si>
  <si>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</si>
  <si>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</si>
  <si>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</si>
  <si>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</si>
  <si>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</si>
  <si>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</si>
  <si>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</si>
  <si>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</si>
  <si>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</si>
  <si>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</si>
  <si>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</si>
  <si>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</si>
  <si>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</si>
  <si>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</si>
  <si>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</si>
  <si>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</si>
  <si>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</si>
  <si>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</si>
  <si>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</si>
  <si>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</si>
  <si>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</si>
  <si>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</si>
  <si>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</si>
  <si>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</si>
  <si>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</si>
  <si>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</si>
  <si>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</si>
  <si>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</si>
  <si>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</si>
  <si>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</si>
  <si>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</si>
  <si>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</si>
  <si>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</si>
  <si>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</si>
  <si>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</si>
  <si>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</si>
  <si>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</si>
  <si>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</si>
  <si>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</si>
  <si>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</si>
  <si>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</si>
  <si>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</si>
  <si>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</si>
  <si>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</si>
  <si>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</si>
  <si>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</si>
  <si>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</si>
  <si>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</si>
  <si>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</si>
  <si>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</si>
  <si>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</si>
  <si>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</si>
  <si>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</si>
  <si>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</si>
  <si>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</si>
  <si>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</si>
  <si>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</si>
  <si>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</si>
  <si>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</si>
  <si>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</si>
  <si>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</si>
  <si>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</si>
  <si>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</si>
  <si>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</si>
  <si>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</si>
  <si>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</si>
  <si>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</si>
  <si>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</si>
  <si>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</si>
  <si>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</si>
  <si>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</si>
  <si>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</si>
  <si>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</si>
  <si>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</si>
  <si>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</si>
  <si>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</si>
  <si>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</si>
  <si>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</si>
  <si>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</si>
  <si>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</si>
  <si>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</si>
  <si>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</si>
  <si>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</si>
  <si>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</si>
  <si>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</si>
  <si>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</si>
  <si>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</si>
  <si>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</si>
  <si>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</si>
  <si>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</si>
  <si>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</si>
  <si>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</si>
  <si>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</si>
  <si>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</si>
  <si>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</si>
  <si>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</si>
  <si>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</si>
  <si>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</si>
  <si>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</si>
  <si>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</si>
  <si>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</si>
  <si>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</si>
  <si>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</si>
  <si>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</si>
  <si>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</si>
  <si>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</si>
  <si>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</si>
  <si>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</si>
  <si>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</si>
  <si>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</si>
  <si>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</si>
  <si>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</si>
  <si>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</si>
  <si>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</si>
  <si>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</si>
  <si>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</si>
  <si>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</si>
  <si>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</si>
  <si>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</si>
  <si>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</si>
  <si>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</si>
  <si>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</si>
  <si>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</si>
  <si>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</si>
  <si>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</si>
  <si>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</si>
  <si>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</si>
  <si>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</si>
  <si>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</si>
  <si>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</si>
  <si>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</si>
  <si>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</si>
  <si>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</si>
  <si>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</si>
  <si>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</si>
  <si>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</si>
  <si>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</si>
  <si>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</si>
  <si>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</si>
  <si>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</si>
  <si>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</si>
  <si>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</si>
  <si>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</si>
  <si>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</si>
  <si>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</si>
  <si>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</si>
  <si>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</si>
  <si>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</si>
  <si>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</si>
  <si>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</si>
  <si>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</si>
  <si>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</si>
  <si>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</si>
  <si>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</si>
  <si>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</si>
  <si>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</si>
  <si>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</si>
  <si>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</si>
  <si>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</si>
  <si>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</si>
  <si>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</si>
  <si>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</si>
  <si>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</si>
  <si>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</si>
  <si>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</si>
  <si>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</si>
  <si>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</si>
  <si>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</si>
  <si>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</si>
  <si>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</si>
  <si>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</si>
  <si>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</si>
  <si>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</si>
  <si>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</si>
  <si>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</si>
  <si>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</si>
  <si>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</si>
  <si>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</si>
  <si>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</si>
  <si>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</si>
  <si>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</si>
  <si>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</si>
  <si>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</si>
  <si>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</si>
  <si>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</si>
  <si>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</si>
  <si>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</si>
  <si>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</si>
  <si>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</si>
  <si>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</si>
  <si>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</si>
  <si>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</si>
  <si>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</si>
  <si>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</si>
  <si>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</si>
  <si>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</si>
  <si>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</si>
  <si>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</si>
  <si>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</si>
  <si>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</si>
  <si>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</si>
  <si>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</si>
  <si>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</si>
  <si>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</si>
  <si>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</si>
  <si>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</si>
  <si>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</si>
  <si>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</si>
  <si>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</si>
  <si>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</si>
  <si>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</si>
  <si>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</si>
  <si>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</si>
  <si>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</si>
  <si>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</si>
  <si>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</si>
  <si>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</si>
  <si>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</si>
  <si>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</si>
  <si>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</si>
  <si>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</si>
  <si>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</si>
  <si>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</si>
  <si>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</si>
  <si>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</si>
  <si>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</si>
  <si>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</si>
  <si>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</si>
  <si>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</si>
  <si>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</si>
  <si>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</si>
  <si>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</si>
  <si>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</si>
  <si>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</si>
  <si>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</si>
  <si>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</si>
  <si>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</si>
  <si>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</si>
  <si>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</si>
  <si>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</si>
  <si>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</si>
  <si>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</si>
  <si>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</si>
  <si>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</si>
  <si>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</si>
  <si>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</si>
  <si>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</si>
  <si>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</si>
  <si>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</si>
  <si>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</si>
  <si>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</si>
  <si>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</si>
  <si>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</si>
  <si>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</si>
  <si>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</si>
  <si>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</si>
  <si>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</si>
  <si>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</si>
  <si>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</si>
  <si>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</si>
  <si>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</si>
  <si>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</si>
  <si>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</si>
  <si>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</si>
  <si>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</si>
  <si>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</si>
  <si>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</si>
  <si>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</si>
  <si>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</si>
  <si>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</si>
  <si>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</si>
  <si>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</si>
  <si>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</si>
  <si>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</si>
  <si>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</si>
  <si>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</si>
  <si>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</si>
  <si>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</si>
  <si>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</si>
  <si>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</si>
  <si>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</si>
  <si>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</si>
  <si>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</si>
  <si>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</si>
  <si>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</si>
  <si>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</si>
  <si>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</si>
  <si>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</si>
  <si>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</si>
  <si>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</si>
  <si>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</si>
  <si>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</si>
  <si>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</si>
  <si>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</si>
  <si>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</si>
  <si>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</si>
  <si>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</si>
  <si>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</si>
  <si>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</si>
  <si>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</si>
  <si>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</si>
  <si>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</si>
  <si>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</si>
  <si>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</si>
  <si>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</si>
  <si>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</si>
  <si>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</si>
  <si>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</si>
  <si>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</si>
  <si>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</si>
  <si>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</si>
  <si>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</si>
  <si>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</si>
  <si>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</si>
  <si>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</si>
  <si>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</si>
  <si>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</si>
  <si>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</si>
  <si>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</si>
  <si>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</si>
  <si>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</si>
  <si>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</si>
  <si>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</si>
  <si>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</si>
  <si>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</si>
  <si>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</si>
  <si>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</si>
  <si>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</si>
  <si>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</si>
  <si>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</si>
  <si>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</si>
  <si>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</si>
  <si>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</si>
  <si>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</si>
  <si>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</si>
  <si>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</si>
  <si>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</si>
  <si>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</si>
  <si>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</si>
  <si>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</si>
  <si>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</si>
  <si>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</si>
  <si>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</si>
  <si>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</si>
  <si>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</si>
  <si>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</si>
  <si>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</si>
  <si>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</si>
  <si>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</si>
  <si>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</si>
  <si>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</si>
  <si>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</si>
  <si>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</si>
  <si>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</si>
  <si>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</si>
  <si>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</si>
  <si>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</si>
  <si>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</si>
  <si>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</si>
  <si>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</si>
  <si>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</si>
  <si>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</si>
  <si>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</si>
  <si>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</si>
  <si>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</si>
  <si>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</si>
  <si>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</si>
  <si>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</si>
  <si>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</si>
  <si>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</si>
  <si>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</si>
  <si>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</si>
  <si>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</si>
  <si>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</si>
  <si>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</si>
  <si>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</si>
  <si>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</si>
  <si>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</si>
  <si>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</si>
  <si>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</si>
  <si>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</si>
  <si>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</si>
  <si>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</si>
  <si>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</si>
  <si>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</si>
  <si>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</si>
  <si>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</si>
  <si>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</si>
  <si>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</si>
  <si>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</si>
  <si>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</si>
  <si>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</si>
  <si>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</si>
  <si>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</si>
  <si>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</si>
  <si>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</si>
  <si>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</si>
  <si>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</si>
  <si>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</si>
  <si>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</si>
  <si>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</si>
  <si>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</si>
  <si>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</si>
  <si>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</si>
  <si>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</si>
  <si>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</si>
  <si>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</si>
  <si>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</si>
  <si>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</si>
  <si>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</si>
  <si>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</si>
  <si>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</si>
  <si>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</si>
  <si>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</si>
  <si>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</si>
  <si>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</si>
  <si>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</si>
  <si>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</si>
  <si>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</si>
  <si>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</si>
  <si>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</si>
  <si>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</si>
  <si>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</si>
  <si>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</si>
  <si>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</si>
  <si>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</si>
  <si>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</si>
  <si>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</si>
  <si>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</si>
  <si>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</si>
  <si>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</si>
  <si>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</si>
  <si>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</si>
  <si>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</si>
  <si>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</si>
  <si>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</si>
  <si>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</si>
  <si>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</si>
  <si>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</si>
  <si>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</si>
  <si>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</si>
  <si>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</si>
  <si>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</si>
  <si>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</si>
  <si>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</si>
  <si>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</si>
  <si>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</si>
  <si>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</si>
  <si>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</si>
  <si>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</si>
  <si>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</si>
  <si>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</si>
  <si>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</si>
  <si>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</si>
  <si>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</si>
  <si>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</si>
  <si>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</si>
  <si>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</si>
  <si>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</si>
  <si>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</si>
  <si>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</si>
  <si>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</si>
  <si>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</si>
  <si>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</si>
  <si>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</si>
  <si>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</si>
  <si>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</si>
  <si>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</si>
  <si>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</si>
  <si>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</si>
  <si>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</si>
  <si>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</si>
  <si>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</si>
  <si>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</si>
  <si>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</si>
  <si>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</si>
  <si>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</si>
  <si>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</si>
  <si>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</si>
  <si>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</si>
  <si>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</si>
  <si>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</si>
  <si>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</si>
  <si>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</si>
  <si>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</si>
  <si>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</si>
  <si>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</si>
  <si>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</si>
  <si>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</si>
  <si>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</si>
  <si>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</si>
  <si>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</si>
  <si>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</si>
  <si>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</si>
  <si>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</si>
  <si>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</si>
  <si>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</si>
  <si>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</si>
  <si>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</si>
  <si>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</si>
  <si>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</si>
  <si>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</si>
  <si>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</si>
  <si>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</si>
  <si>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</si>
  <si>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</si>
  <si>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</si>
  <si>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</si>
  <si>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</si>
  <si>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</si>
  <si>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</si>
  <si>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</si>
  <si>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</si>
  <si>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</si>
  <si>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</si>
  <si>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</si>
  <si>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</si>
  <si>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</si>
  <si>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</si>
  <si>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</si>
  <si>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</si>
  <si>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</si>
  <si>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</si>
  <si>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</si>
  <si>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</si>
  <si>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</si>
  <si>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</si>
  <si>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</si>
  <si>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</si>
  <si>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</si>
  <si>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</si>
  <si>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</si>
  <si>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</si>
  <si>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</si>
  <si>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</si>
  <si>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</si>
  <si>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</si>
  <si>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</si>
  <si>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</si>
  <si>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</si>
  <si>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</si>
  <si>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</si>
  <si>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</si>
  <si>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</si>
  <si>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</si>
  <si>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</si>
  <si>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</si>
  <si>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</si>
  <si>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</si>
  <si>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</si>
  <si>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</si>
  <si>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</si>
  <si>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</si>
  <si>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</si>
  <si>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</si>
  <si>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</si>
  <si>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</si>
  <si>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</si>
  <si>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1. Michal Sládek</t>
  </si>
  <si>
    <t>2. Lukáš Pešat</t>
  </si>
  <si>
    <t>3. Wojciech Malajka</t>
  </si>
  <si>
    <t>4. Šimon Kuczera</t>
  </si>
  <si>
    <t>4,97</t>
  </si>
  <si>
    <t>4,37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</si>
  <si>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</si>
  <si>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</si>
  <si>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</si>
  <si>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</si>
  <si>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</si>
  <si>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</si>
  <si>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</si>
  <si>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</si>
  <si>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</si>
  <si>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</si>
  <si>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</si>
  <si>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</si>
  <si>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</si>
  <si>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</si>
  <si>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</si>
  <si>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</si>
  <si>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</si>
  <si>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</si>
  <si>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</si>
  <si>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</si>
  <si>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</si>
  <si>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</si>
  <si>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</si>
  <si>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</si>
  <si>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</si>
  <si>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</si>
  <si>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</si>
  <si>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</si>
  <si>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</si>
  <si>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</si>
  <si>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</si>
  <si>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</si>
  <si>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</si>
  <si>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</si>
  <si>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</si>
  <si>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</si>
  <si>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</si>
  <si>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</si>
  <si>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</si>
  <si>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</si>
  <si>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</si>
  <si>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</si>
  <si>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</si>
  <si>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</si>
  <si>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</si>
  <si>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</si>
  <si>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</si>
  <si>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</si>
  <si>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</si>
  <si>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</si>
  <si>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</si>
  <si>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</si>
  <si>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</si>
  <si>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</si>
  <si>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</si>
  <si>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</si>
  <si>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</si>
  <si>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</si>
  <si>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</si>
  <si>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</si>
  <si>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</si>
  <si>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</si>
  <si>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</si>
  <si>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</si>
  <si>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</si>
  <si>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</si>
  <si>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</si>
  <si>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</si>
  <si>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</si>
  <si>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</si>
  <si>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</si>
  <si>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</si>
  <si>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</si>
  <si>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</si>
  <si>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</si>
  <si>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</si>
  <si>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</si>
  <si>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</si>
  <si>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</si>
  <si>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</si>
  <si>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</si>
  <si>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</si>
  <si>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</si>
  <si>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</si>
  <si>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</si>
  <si>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</si>
  <si>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</si>
  <si>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</si>
  <si>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</si>
  <si>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</si>
  <si>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</si>
  <si>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</si>
  <si>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</si>
  <si>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</si>
  <si>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</si>
  <si>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</si>
  <si>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</si>
  <si>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</si>
  <si>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</si>
  <si>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</si>
  <si>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</si>
  <si>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</si>
  <si>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</si>
  <si>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</si>
  <si>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</si>
  <si>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</si>
  <si>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</si>
  <si>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</si>
  <si>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</si>
  <si>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</si>
  <si>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</si>
  <si>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</si>
  <si>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</si>
  <si>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</si>
  <si>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</si>
  <si>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</si>
  <si>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</si>
  <si>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</si>
  <si>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</si>
  <si>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</si>
  <si>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</si>
  <si>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</si>
  <si>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</si>
  <si>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</si>
  <si>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</si>
  <si>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</si>
  <si>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</si>
  <si>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</si>
  <si>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</si>
  <si>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</si>
  <si>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</si>
  <si>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</si>
  <si>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</si>
  <si>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</si>
  <si>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</si>
  <si>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</si>
  <si>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</si>
  <si>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</si>
  <si>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</si>
  <si>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</si>
  <si>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</si>
  <si>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</si>
  <si>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</si>
  <si>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</si>
  <si>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</si>
  <si>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ZPREP_pom_STATS_head_to_head</t>
  </si>
  <si>
    <t>TYP</t>
  </si>
  <si>
    <t>BILANCE</t>
  </si>
  <si>
    <t>celkem</t>
  </si>
  <si>
    <t>14 zápasů, 0 - 0 - 0 - 0 - 14, skóre 41:132</t>
  </si>
  <si>
    <t>PO</t>
  </si>
  <si>
    <t>2 zápasy, 0 - 0 - 0 - 0 - 2, skóre 6:26</t>
  </si>
  <si>
    <t>ZČ</t>
  </si>
  <si>
    <t>12 zápasů, 0 - 0 - 0 - 0 - 12, skóre 35:106</t>
  </si>
  <si>
    <t>čtvrtfinále</t>
  </si>
  <si>
    <t>1 série - 0:0, 2 zápasy - 0:2</t>
  </si>
  <si>
    <t>ZPREP_pom_MATCHES_find_previous</t>
  </si>
  <si>
    <t>SKÓRE</t>
  </si>
  <si>
    <t>2020/2021</t>
  </si>
  <si>
    <t>2019/2020</t>
  </si>
  <si>
    <t>2018/2019</t>
  </si>
  <si>
    <t>2015/2016</t>
  </si>
  <si>
    <t>2014/2015</t>
  </si>
  <si>
    <t>2006/2007</t>
  </si>
  <si>
    <t>13:3</t>
  </si>
  <si>
    <t>1:7</t>
  </si>
  <si>
    <t>9:2</t>
  </si>
  <si>
    <t>1:9</t>
  </si>
  <si>
    <t>12:3</t>
  </si>
  <si>
    <t>11:5</t>
  </si>
  <si>
    <t>2:9</t>
  </si>
  <si>
    <t>14:5</t>
  </si>
  <si>
    <t>Převodník minulých vzájemných zápasů z databáze do správného formátu</t>
  </si>
  <si>
    <t>DOMÁCÍ</t>
  </si>
  <si>
    <t>HOSTÉ</t>
  </si>
  <si>
    <t>SEZÓNA</t>
  </si>
  <si>
    <t>Sezóna (Typ)</t>
  </si>
  <si>
    <t>ZPREP_pom_STATS_ZC_find_two_teams</t>
  </si>
  <si>
    <t>Převodník vzájemné bilance z databáze do správného formátu</t>
  </si>
  <si>
    <t>Bilance</t>
  </si>
  <si>
    <t>30. 10.</t>
  </si>
  <si>
    <t>P - P - PP - P - P - P - P - V - P - V</t>
  </si>
  <si>
    <t>5. Matěj Hronek</t>
  </si>
  <si>
    <t>6,19</t>
  </si>
  <si>
    <t>2. Marek Fuchs</t>
  </si>
  <si>
    <t>3. Tomáš Brom</t>
  </si>
  <si>
    <t>2. David Sládeček</t>
  </si>
  <si>
    <t>3. Jiří Juhaňák</t>
  </si>
  <si>
    <t>4. Lukáš Vlach</t>
  </si>
  <si>
    <t>5. Tomáš Brom</t>
  </si>
  <si>
    <t>2. Lukáš Jalový</t>
  </si>
  <si>
    <t>4. Lukáš Lhota</t>
  </si>
  <si>
    <t>24. 11.</t>
  </si>
  <si>
    <t>P - V - PP - P - P - V - P - P - V - P</t>
  </si>
  <si>
    <t>4,62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</si>
</sst>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46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0" fontId="2" fillId="0" borderId="102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" vertical="center"/>
      <protection locked="0"/>
    </xf>
    <xf numFmtId="0" fontId="2" fillId="0" borderId="104" xfId="0" applyFont="1" applyBorder="1" applyAlignment="1" applyProtection="1">
      <alignment horizontal="center" vertical="center"/>
      <protection locked="0"/>
    </xf>
    <xf numFmtId="0" fontId="1" fillId="0" borderId="10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1" fillId="0" borderId="95" xfId="0" applyFont="1" applyBorder="1" applyAlignment="1" applyProtection="1">
      <alignment horizontal="center" vertical="center"/>
      <protection locked="0"/>
    </xf>
    <xf numFmtId="0" fontId="8" fillId="0" borderId="80" xfId="0" applyFont="1" applyBorder="1" applyAlignment="1" applyProtection="1">
      <alignment horizontal="center" vertical="center"/>
      <protection locked="0"/>
    </xf>
    <xf numFmtId="2" fontId="2" fillId="0" borderId="106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7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03" xfId="0" applyFont="1" applyBorder="1" applyAlignment="1">
      <alignment horizontal="center" vertical="center"/>
    </xf>
    <xf numFmtId="0" fontId="2" fillId="0" borderId="104" xfId="0" applyFont="1" applyBorder="1" applyAlignment="1">
      <alignment horizontal="center" vertical="center"/>
    </xf>
    <xf numFmtId="0" fontId="2" fillId="0" borderId="103" xfId="0" applyFont="1" applyBorder="1" applyAlignment="1">
      <alignment horizontal="left" vertical="center"/>
    </xf>
    <xf numFmtId="0" fontId="2" fillId="0" borderId="104" xfId="0" applyFont="1" applyBorder="1" applyAlignment="1">
      <alignment horizontal="left" vertical="center"/>
    </xf>
    <xf numFmtId="0" fontId="2" fillId="0" borderId="103" xfId="0" applyFont="1" applyBorder="1" applyAlignment="1" applyProtection="1">
      <alignment horizontal="left" vertical="center"/>
      <protection locked="0"/>
    </xf>
    <xf numFmtId="0" fontId="1" fillId="0" borderId="76" xfId="0" applyFont="1" applyFill="1" applyBorder="1" applyAlignment="1" applyProtection="1">
      <alignment horizontal="center" vertical="center"/>
      <protection locked="0"/>
    </xf>
    <xf numFmtId="0" fontId="1" fillId="0" borderId="77" xfId="0" applyFont="1" applyFill="1" applyBorder="1" applyAlignment="1" applyProtection="1">
      <alignment horizontal="center" vertical="center"/>
      <protection locked="0"/>
    </xf>
    <xf numFmtId="0" fontId="1" fillId="0" borderId="109" xfId="0" applyFont="1" applyFill="1" applyBorder="1" applyAlignment="1" applyProtection="1">
      <alignment horizontal="center" vertical="center"/>
      <protection locked="0"/>
    </xf>
    <xf numFmtId="0" fontId="1" fillId="0" borderId="78" xfId="0" applyFont="1" applyFill="1" applyBorder="1" applyAlignment="1" applyProtection="1">
      <alignment horizontal="center" vertical="center"/>
      <protection locked="0"/>
    </xf>
    <xf numFmtId="0" fontId="1" fillId="0" borderId="9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3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/>
      <protection locked="0"/>
    </xf>
    <xf numFmtId="0" fontId="1" fillId="0" borderId="84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Continuous" vertical="center"/>
    </xf>
    <xf numFmtId="0" fontId="2" fillId="0" borderId="0" xfId="0" applyFont="1" applyBorder="1" applyAlignment="1" applyProtection="1">
      <alignment horizontal="centerContinuous" vertical="center"/>
    </xf>
    <xf numFmtId="0" fontId="2" fillId="0" borderId="115" xfId="0" applyFont="1" applyBorder="1" applyAlignment="1" applyProtection="1">
      <alignment horizontal="centerContinuous" vertical="center"/>
    </xf>
    <xf numFmtId="0" fontId="2" fillId="0" borderId="116" xfId="0" applyFont="1" applyBorder="1" applyAlignment="1" applyProtection="1">
      <alignment horizontal="centerContinuous" vertical="center"/>
    </xf>
    <xf numFmtId="0" fontId="2" fillId="0" borderId="114" xfId="0" applyFont="1" applyBorder="1" applyAlignment="1" applyProtection="1">
      <alignment horizontal="left" vertical="center"/>
    </xf>
    <xf numFmtId="0" fontId="2" fillId="0" borderId="112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111" xfId="0" applyFont="1" applyBorder="1" applyAlignment="1" applyProtection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8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1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1" fillId="2" borderId="117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5" xfId="0" applyFont="1" applyFill="1" applyBorder="1" applyAlignment="1">
      <alignment horizontal="center" vertical="center"/>
    </xf>
    <xf numFmtId="0" fontId="1" fillId="2" borderId="116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6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1356</v>
      </c>
      <c r="BD1" s="62" t="s">
        <v>1357</v>
      </c>
      <c r="BE1" s="62" t="s">
        <v>1358</v>
      </c>
      <c r="BF1" s="62" t="s">
        <v>1359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9.-11.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11.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9</v>
      </c>
      <c r="BH3" s="62">
        <f t="shared" ref="BH3:BH15" si="28">_xlfn.RANK.EQ(VLOOKUP(BA3,$B$2:$V$15,18,FALSE),$S$2:$S$15,0)</f>
        <v>11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12.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12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14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1.-3.</v>
      </c>
      <c r="BF7" s="62" t="str">
        <f t="shared" si="26"/>
        <v>8.</v>
      </c>
      <c r="BG7" s="62">
        <f t="shared" si="27"/>
        <v>1</v>
      </c>
      <c r="BH7" s="62">
        <f t="shared" si="28"/>
        <v>1</v>
      </c>
      <c r="BI7" s="62">
        <f t="shared" si="29"/>
        <v>8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12.</v>
      </c>
      <c r="BF8" s="62" t="str">
        <f t="shared" si="26"/>
        <v>4.</v>
      </c>
      <c r="BG8" s="62">
        <f t="shared" si="27"/>
        <v>11</v>
      </c>
      <c r="BH8" s="62">
        <f t="shared" si="28"/>
        <v>12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12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6</v>
      </c>
      <c r="H10" s="78">
        <f t="shared" si="9"/>
        <v>16</v>
      </c>
      <c r="I10" s="76">
        <f t="shared" si="10"/>
        <v>65</v>
      </c>
      <c r="J10" s="76">
        <f t="shared" si="11"/>
        <v>63</v>
      </c>
      <c r="K10" s="76">
        <f t="shared" si="12"/>
        <v>2</v>
      </c>
      <c r="L10" s="76">
        <f t="shared" si="13"/>
        <v>21</v>
      </c>
      <c r="M10" s="76">
        <f t="shared" si="14"/>
        <v>12</v>
      </c>
      <c r="N10" s="76">
        <f t="shared" si="15"/>
        <v>0</v>
      </c>
      <c r="O10" s="67">
        <f t="shared" si="16"/>
        <v>57.14</v>
      </c>
      <c r="P10" s="76">
        <f t="shared" si="17"/>
        <v>18</v>
      </c>
      <c r="Q10" s="76">
        <f t="shared" si="18"/>
        <v>3</v>
      </c>
      <c r="R10" s="76">
        <f t="shared" si="19"/>
        <v>0</v>
      </c>
      <c r="S10" s="67">
        <f t="shared" si="20"/>
        <v>83.33</v>
      </c>
      <c r="T10" s="76">
        <f t="shared" si="21"/>
        <v>40</v>
      </c>
      <c r="U10" s="76">
        <f t="shared" si="22"/>
        <v>254</v>
      </c>
      <c r="V10" s="68">
        <f t="shared" si="23"/>
        <v>25.59</v>
      </c>
      <c r="W10" s="72" t="s">
        <v>69</v>
      </c>
      <c r="X10" s="71">
        <v>12</v>
      </c>
      <c r="Y10" s="71">
        <v>5</v>
      </c>
      <c r="Z10" s="71">
        <v>0</v>
      </c>
      <c r="AA10" s="71">
        <v>1</v>
      </c>
      <c r="AB10" s="71">
        <v>6</v>
      </c>
      <c r="AC10" s="71">
        <v>16</v>
      </c>
      <c r="AD10" s="71">
        <v>65</v>
      </c>
      <c r="AE10" s="71">
        <v>63</v>
      </c>
      <c r="AF10" s="71">
        <v>2</v>
      </c>
      <c r="AG10" s="71">
        <v>21</v>
      </c>
      <c r="AH10" s="71">
        <v>12</v>
      </c>
      <c r="AI10" s="71">
        <v>0</v>
      </c>
      <c r="AJ10" s="70">
        <v>57.14</v>
      </c>
      <c r="AK10" s="71">
        <v>18</v>
      </c>
      <c r="AL10" s="71">
        <v>3</v>
      </c>
      <c r="AM10" s="71">
        <v>0</v>
      </c>
      <c r="AN10" s="70">
        <v>83.33</v>
      </c>
      <c r="AO10" s="71">
        <v>20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40</v>
      </c>
      <c r="AV10" s="71">
        <v>254</v>
      </c>
      <c r="AW10" s="70">
        <v>25.59</v>
      </c>
      <c r="AX10" s="71">
        <v>739</v>
      </c>
      <c r="AY10" s="71">
        <v>1324</v>
      </c>
      <c r="AZ10" s="71">
        <v>172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9.-11.</v>
      </c>
      <c r="BE10" s="62" t="str">
        <f t="shared" si="25"/>
        <v>9.-11.</v>
      </c>
      <c r="BF10" s="62" t="str">
        <f t="shared" si="26"/>
        <v>13.</v>
      </c>
      <c r="BG10" s="62">
        <f t="shared" si="27"/>
        <v>9</v>
      </c>
      <c r="BH10" s="62">
        <f t="shared" si="28"/>
        <v>9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1.-3.</v>
      </c>
      <c r="BF12" s="62" t="str">
        <f t="shared" si="26"/>
        <v>5.-8.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12</v>
      </c>
      <c r="D13" s="76">
        <f t="shared" si="5"/>
        <v>2</v>
      </c>
      <c r="E13" s="76">
        <f t="shared" si="6"/>
        <v>0</v>
      </c>
      <c r="F13" s="76">
        <f t="shared" si="7"/>
        <v>1</v>
      </c>
      <c r="G13" s="76">
        <f t="shared" si="8"/>
        <v>9</v>
      </c>
      <c r="H13" s="78">
        <f t="shared" si="9"/>
        <v>7</v>
      </c>
      <c r="I13" s="76">
        <f t="shared" si="10"/>
        <v>43</v>
      </c>
      <c r="J13" s="76">
        <f t="shared" si="11"/>
        <v>88</v>
      </c>
      <c r="K13" s="76">
        <f t="shared" si="12"/>
        <v>-45</v>
      </c>
      <c r="L13" s="76">
        <f t="shared" si="13"/>
        <v>16</v>
      </c>
      <c r="M13" s="76">
        <f t="shared" si="14"/>
        <v>5</v>
      </c>
      <c r="N13" s="76">
        <f t="shared" si="15"/>
        <v>2</v>
      </c>
      <c r="O13" s="67">
        <f t="shared" si="16"/>
        <v>31.25</v>
      </c>
      <c r="P13" s="76">
        <f t="shared" si="17"/>
        <v>27</v>
      </c>
      <c r="Q13" s="76">
        <f t="shared" si="18"/>
        <v>12</v>
      </c>
      <c r="R13" s="76">
        <f t="shared" si="19"/>
        <v>0</v>
      </c>
      <c r="S13" s="67">
        <f t="shared" si="20"/>
        <v>55.56</v>
      </c>
      <c r="T13" s="76">
        <f t="shared" si="21"/>
        <v>59</v>
      </c>
      <c r="U13" s="76">
        <f t="shared" si="22"/>
        <v>206</v>
      </c>
      <c r="V13" s="68">
        <f t="shared" si="23"/>
        <v>20.87</v>
      </c>
      <c r="W13" s="72" t="s">
        <v>74</v>
      </c>
      <c r="X13" s="71">
        <v>12</v>
      </c>
      <c r="Y13" s="71">
        <v>2</v>
      </c>
      <c r="Z13" s="71">
        <v>0</v>
      </c>
      <c r="AA13" s="71">
        <v>1</v>
      </c>
      <c r="AB13" s="71">
        <v>9</v>
      </c>
      <c r="AC13" s="71">
        <v>7</v>
      </c>
      <c r="AD13" s="71">
        <v>43</v>
      </c>
      <c r="AE13" s="71">
        <v>88</v>
      </c>
      <c r="AF13" s="71">
        <v>-45</v>
      </c>
      <c r="AG13" s="71">
        <v>16</v>
      </c>
      <c r="AH13" s="71">
        <v>5</v>
      </c>
      <c r="AI13" s="71">
        <v>2</v>
      </c>
      <c r="AJ13" s="70">
        <v>31.25</v>
      </c>
      <c r="AK13" s="71">
        <v>27</v>
      </c>
      <c r="AL13" s="71">
        <v>12</v>
      </c>
      <c r="AM13" s="71">
        <v>0</v>
      </c>
      <c r="AN13" s="70">
        <v>55.56</v>
      </c>
      <c r="AO13" s="71">
        <v>27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59</v>
      </c>
      <c r="AV13" s="71">
        <v>206</v>
      </c>
      <c r="AW13" s="70">
        <v>20.87</v>
      </c>
      <c r="AX13" s="71">
        <v>1016</v>
      </c>
      <c r="AY13" s="71">
        <v>650</v>
      </c>
      <c r="AZ13" s="71">
        <v>139</v>
      </c>
      <c r="BA13" s="3" t="s">
        <v>75</v>
      </c>
      <c r="BB13" s="62" t="s">
        <v>98</v>
      </c>
      <c r="BC13" s="62">
        <f t="shared" si="24"/>
        <v>13</v>
      </c>
      <c r="BD13" s="62" t="str">
        <f t="shared" si="2"/>
        <v>13.</v>
      </c>
      <c r="BE13" s="62" t="str">
        <f t="shared" si="25"/>
        <v>9.-11.</v>
      </c>
      <c r="BF13" s="62" t="str">
        <f t="shared" si="26"/>
        <v>5.-8.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SOKOLI Pardubice</v>
      </c>
      <c r="C14" s="76">
        <f t="shared" si="4"/>
        <v>11</v>
      </c>
      <c r="D14" s="76">
        <f t="shared" si="5"/>
        <v>2</v>
      </c>
      <c r="E14" s="76">
        <f t="shared" si="6"/>
        <v>0</v>
      </c>
      <c r="F14" s="76">
        <f t="shared" si="7"/>
        <v>0</v>
      </c>
      <c r="G14" s="76">
        <f t="shared" si="8"/>
        <v>9</v>
      </c>
      <c r="H14" s="78">
        <f t="shared" si="9"/>
        <v>6</v>
      </c>
      <c r="I14" s="76">
        <f t="shared" si="10"/>
        <v>43</v>
      </c>
      <c r="J14" s="76">
        <f t="shared" si="11"/>
        <v>94</v>
      </c>
      <c r="K14" s="76">
        <f t="shared" si="12"/>
        <v>-51</v>
      </c>
      <c r="L14" s="76">
        <f t="shared" si="13"/>
        <v>12</v>
      </c>
      <c r="M14" s="76">
        <f t="shared" si="14"/>
        <v>3</v>
      </c>
      <c r="N14" s="76">
        <f t="shared" si="15"/>
        <v>1</v>
      </c>
      <c r="O14" s="67">
        <f t="shared" si="16"/>
        <v>25</v>
      </c>
      <c r="P14" s="76">
        <f t="shared" si="17"/>
        <v>18</v>
      </c>
      <c r="Q14" s="76">
        <f t="shared" si="18"/>
        <v>8</v>
      </c>
      <c r="R14" s="76">
        <f t="shared" si="19"/>
        <v>0</v>
      </c>
      <c r="S14" s="67">
        <f t="shared" si="20"/>
        <v>55.56</v>
      </c>
      <c r="T14" s="76">
        <f t="shared" si="21"/>
        <v>38</v>
      </c>
      <c r="U14" s="76">
        <f t="shared" si="22"/>
        <v>224</v>
      </c>
      <c r="V14" s="68">
        <f t="shared" si="23"/>
        <v>19.2</v>
      </c>
      <c r="W14" s="72" t="s">
        <v>75</v>
      </c>
      <c r="X14" s="71">
        <v>11</v>
      </c>
      <c r="Y14" s="71">
        <v>2</v>
      </c>
      <c r="Z14" s="71">
        <v>0</v>
      </c>
      <c r="AA14" s="71">
        <v>0</v>
      </c>
      <c r="AB14" s="71">
        <v>9</v>
      </c>
      <c r="AC14" s="71">
        <v>6</v>
      </c>
      <c r="AD14" s="71">
        <v>43</v>
      </c>
      <c r="AE14" s="71">
        <v>94</v>
      </c>
      <c r="AF14" s="71">
        <v>-51</v>
      </c>
      <c r="AG14" s="71">
        <v>12</v>
      </c>
      <c r="AH14" s="71">
        <v>3</v>
      </c>
      <c r="AI14" s="71">
        <v>1</v>
      </c>
      <c r="AJ14" s="70">
        <v>25</v>
      </c>
      <c r="AK14" s="71">
        <v>18</v>
      </c>
      <c r="AL14" s="71">
        <v>8</v>
      </c>
      <c r="AM14" s="71">
        <v>0</v>
      </c>
      <c r="AN14" s="70">
        <v>55.56</v>
      </c>
      <c r="AO14" s="71">
        <v>19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38</v>
      </c>
      <c r="AV14" s="71">
        <v>224</v>
      </c>
      <c r="AW14" s="70">
        <v>19.2</v>
      </c>
      <c r="AX14" s="71">
        <v>951</v>
      </c>
      <c r="AY14" s="71">
        <v>1097</v>
      </c>
      <c r="AZ14" s="71">
        <v>186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5.-8.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FBC 4CLEAN Česká Lípa</v>
      </c>
      <c r="C15" s="135">
        <f t="shared" si="4"/>
        <v>11</v>
      </c>
      <c r="D15" s="135">
        <f t="shared" si="5"/>
        <v>1</v>
      </c>
      <c r="E15" s="135">
        <f t="shared" si="6"/>
        <v>1</v>
      </c>
      <c r="F15" s="135">
        <f t="shared" si="7"/>
        <v>0</v>
      </c>
      <c r="G15" s="135">
        <f t="shared" si="8"/>
        <v>9</v>
      </c>
      <c r="H15" s="79">
        <f t="shared" si="9"/>
        <v>5</v>
      </c>
      <c r="I15" s="135">
        <f t="shared" si="10"/>
        <v>58</v>
      </c>
      <c r="J15" s="135">
        <f t="shared" si="11"/>
        <v>96</v>
      </c>
      <c r="K15" s="135">
        <f t="shared" si="12"/>
        <v>-38</v>
      </c>
      <c r="L15" s="135">
        <f t="shared" si="13"/>
        <v>14</v>
      </c>
      <c r="M15" s="135">
        <f t="shared" si="14"/>
        <v>6</v>
      </c>
      <c r="N15" s="135">
        <f t="shared" si="15"/>
        <v>0</v>
      </c>
      <c r="O15" s="136">
        <f t="shared" si="16"/>
        <v>42.86</v>
      </c>
      <c r="P15" s="135">
        <f t="shared" si="17"/>
        <v>32</v>
      </c>
      <c r="Q15" s="135">
        <f t="shared" si="18"/>
        <v>19</v>
      </c>
      <c r="R15" s="135">
        <f t="shared" si="19"/>
        <v>1</v>
      </c>
      <c r="S15" s="136">
        <f t="shared" si="20"/>
        <v>40.619999999999997</v>
      </c>
      <c r="T15" s="135">
        <f t="shared" si="21"/>
        <v>87</v>
      </c>
      <c r="U15" s="135">
        <f t="shared" si="22"/>
        <v>267</v>
      </c>
      <c r="V15" s="137">
        <f t="shared" si="23"/>
        <v>21.72</v>
      </c>
      <c r="W15" s="72" t="s">
        <v>73</v>
      </c>
      <c r="X15" s="71">
        <v>11</v>
      </c>
      <c r="Y15" s="71">
        <v>1</v>
      </c>
      <c r="Z15" s="71">
        <v>1</v>
      </c>
      <c r="AA15" s="71">
        <v>0</v>
      </c>
      <c r="AB15" s="71">
        <v>9</v>
      </c>
      <c r="AC15" s="71">
        <v>5</v>
      </c>
      <c r="AD15" s="71">
        <v>58</v>
      </c>
      <c r="AE15" s="71">
        <v>96</v>
      </c>
      <c r="AF15" s="71">
        <v>-38</v>
      </c>
      <c r="AG15" s="71">
        <v>14</v>
      </c>
      <c r="AH15" s="71">
        <v>6</v>
      </c>
      <c r="AI15" s="71">
        <v>0</v>
      </c>
      <c r="AJ15" s="70">
        <v>42.86</v>
      </c>
      <c r="AK15" s="71">
        <v>32</v>
      </c>
      <c r="AL15" s="71">
        <v>19</v>
      </c>
      <c r="AM15" s="71">
        <v>1</v>
      </c>
      <c r="AN15" s="70">
        <v>40.619999999999997</v>
      </c>
      <c r="AO15" s="71">
        <v>31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87</v>
      </c>
      <c r="AV15" s="71">
        <v>267</v>
      </c>
      <c r="AW15" s="70">
        <v>21.72</v>
      </c>
      <c r="AX15" s="71">
        <v>1117</v>
      </c>
      <c r="AY15" s="71">
        <v>905</v>
      </c>
      <c r="AZ15" s="71">
        <v>184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activeCell="Y24" sqref="Y24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x14ac:dyDescent="0.25">
      <c r="A1" s="280" t="s">
        <v>5</v>
      </c>
      <c r="B1" s="280"/>
      <c r="C1" s="280"/>
      <c r="D1" s="280"/>
      <c r="E1" s="280"/>
      <c r="F1" s="280"/>
      <c r="G1" s="280"/>
      <c r="H1" s="280"/>
      <c r="I1" s="280"/>
      <c r="J1" s="280" t="s">
        <v>23</v>
      </c>
      <c r="K1" s="280"/>
      <c r="L1" s="280"/>
      <c r="M1" s="280"/>
      <c r="N1" s="280"/>
      <c r="O1" s="280"/>
      <c r="P1" s="280"/>
      <c r="Q1" s="280"/>
      <c r="R1" s="280"/>
      <c r="S1" s="339" t="s">
        <v>1441</v>
      </c>
      <c r="T1" s="340"/>
      <c r="U1" s="340"/>
      <c r="V1" s="340"/>
      <c r="W1" s="340"/>
      <c r="X1" s="340"/>
      <c r="Y1" s="340"/>
      <c r="Z1" s="340"/>
      <c r="AA1" s="340"/>
      <c r="AB1" s="340"/>
      <c r="AC1" s="340"/>
      <c r="AD1" s="340"/>
      <c r="AE1" s="341"/>
    </row>
    <row r="2" spans="1:31" ht="15" customHeight="1" thickBot="1" x14ac:dyDescent="0.3">
      <c r="A2" s="281"/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195" t="s">
        <v>1425</v>
      </c>
      <c r="T2" s="225"/>
      <c r="U2" s="225"/>
      <c r="V2" s="225"/>
      <c r="W2" s="225"/>
      <c r="X2" s="223"/>
      <c r="Y2" s="223"/>
      <c r="Z2" s="223"/>
      <c r="AA2" s="223"/>
      <c r="AB2" s="223"/>
      <c r="AC2" s="223"/>
      <c r="AD2" s="223"/>
      <c r="AE2" s="224"/>
    </row>
    <row r="3" spans="1:31" ht="15" customHeight="1" thickTop="1" thickBot="1" x14ac:dyDescent="0.3">
      <c r="A3" s="286" t="str">
        <f>INDEX(tabulka!$BA$2:$BA$15,MATCH($A$1,tabulka!$BB$2:$BB$15,0))</f>
        <v>TJ Sokol Královské Vinohrady</v>
      </c>
      <c r="B3" s="286"/>
      <c r="C3" s="286"/>
      <c r="D3" s="286"/>
      <c r="E3" s="286"/>
      <c r="F3" s="286"/>
      <c r="G3" s="286"/>
      <c r="H3" s="286"/>
      <c r="I3" s="286"/>
      <c r="J3" s="286" t="str">
        <f>INDEX(tabulka!$BA$2:$BA$15,MATCH($J$1,tabulka!$BB$2:$BB$15,0))</f>
        <v>Předvýběr.CZ Florbal MB</v>
      </c>
      <c r="K3" s="286"/>
      <c r="L3" s="286"/>
      <c r="M3" s="286"/>
      <c r="N3" s="286"/>
      <c r="O3" s="286"/>
      <c r="P3" s="286"/>
      <c r="Q3" s="286"/>
      <c r="R3" s="286"/>
      <c r="S3" s="226" t="s">
        <v>1442</v>
      </c>
      <c r="T3" s="227" t="s">
        <v>1443</v>
      </c>
      <c r="U3" s="227" t="s">
        <v>1426</v>
      </c>
      <c r="V3" s="228" t="s">
        <v>1444</v>
      </c>
      <c r="W3" s="229" t="s">
        <v>1415</v>
      </c>
      <c r="X3" s="342" t="s">
        <v>45</v>
      </c>
      <c r="Y3" s="343"/>
      <c r="Z3" s="343"/>
      <c r="AA3" s="343"/>
      <c r="AB3" s="64" t="s">
        <v>28</v>
      </c>
      <c r="AC3" s="343" t="s">
        <v>1445</v>
      </c>
      <c r="AD3" s="343"/>
      <c r="AE3" s="344"/>
    </row>
    <row r="4" spans="1:31" ht="15" customHeight="1" thickTop="1" thickBot="1" x14ac:dyDescent="0.3">
      <c r="A4" s="282" t="s">
        <v>25</v>
      </c>
      <c r="B4" s="283"/>
      <c r="C4" s="28" t="s">
        <v>26</v>
      </c>
      <c r="D4" s="28" t="s">
        <v>27</v>
      </c>
      <c r="E4" s="283" t="s">
        <v>28</v>
      </c>
      <c r="F4" s="283"/>
      <c r="G4" s="28" t="s">
        <v>29</v>
      </c>
      <c r="H4" s="28" t="s">
        <v>30</v>
      </c>
      <c r="I4" s="29" t="s">
        <v>31</v>
      </c>
      <c r="J4" s="284" t="s">
        <v>25</v>
      </c>
      <c r="K4" s="285"/>
      <c r="L4" s="30" t="s">
        <v>26</v>
      </c>
      <c r="M4" s="30" t="s">
        <v>27</v>
      </c>
      <c r="N4" s="285" t="s">
        <v>28</v>
      </c>
      <c r="O4" s="285"/>
      <c r="P4" s="30" t="s">
        <v>29</v>
      </c>
      <c r="Q4" s="30" t="s">
        <v>30</v>
      </c>
      <c r="R4" s="174" t="s">
        <v>31</v>
      </c>
      <c r="S4" s="154" t="s">
        <v>5</v>
      </c>
      <c r="T4" s="155" t="s">
        <v>23</v>
      </c>
      <c r="U4" s="215" t="s">
        <v>1074</v>
      </c>
      <c r="V4" s="156" t="s">
        <v>1427</v>
      </c>
      <c r="W4" s="157" t="s">
        <v>1421</v>
      </c>
      <c r="X4" s="345" t="str">
        <f>IF(S4&lt;&gt;"",CONCATENATE(S4, " - ",T4),"")</f>
        <v>SKV - MB</v>
      </c>
      <c r="Y4" s="345"/>
      <c r="Z4" s="345"/>
      <c r="AA4" s="346"/>
      <c r="AB4" s="218" t="str">
        <f>IF(U4&lt;&gt;"",U4,"")</f>
        <v>3:7</v>
      </c>
      <c r="AC4" s="360" t="str">
        <f>IF(AND(V4&lt;&gt;"",W4&lt;&gt;""),CONCATENATE(V4," (",W4,")"),IF(V4&lt;&gt;"",V4,""))</f>
        <v>2020/2021 (ZČ)</v>
      </c>
      <c r="AD4" s="345"/>
      <c r="AE4" s="361"/>
    </row>
    <row r="5" spans="1:31" ht="15" customHeight="1" thickBot="1" x14ac:dyDescent="0.3">
      <c r="A5" s="257" t="str">
        <f>IFERROR(CONCATENATE(VLOOKUP($A$1,tabulka!$BB$2:$BF$15,2,FALSE),". místo"),"")</f>
        <v>10. místo</v>
      </c>
      <c r="B5" s="258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8</v>
      </c>
      <c r="E5" s="258" t="str">
        <f>IFERROR(CONCATENATE(VLOOKUP($A$3,tabulka!$B$2:$V$15,8,FALSE),":",VLOOKUP($A$3,tabulka!$B$2:$V$15,9,FALSE)),"")</f>
        <v>50:81</v>
      </c>
      <c r="F5" s="258"/>
      <c r="G5" s="82">
        <f>IFERROR(VLOOKUP($A$3,tabulka!$B$2:$V$15,14,FALSE),"")</f>
        <v>48</v>
      </c>
      <c r="H5" s="82">
        <f>IFERROR(VLOOKUP($A$3,tabulka!$B$2:$V$15,18,FALSE),"")</f>
        <v>44.44</v>
      </c>
      <c r="I5" s="33">
        <f>IFERROR(VLOOKUP($A$3,tabulka!$B$2:$V$15,19,FALSE),"")</f>
        <v>48</v>
      </c>
      <c r="J5" s="259" t="str">
        <f>IFERROR(CONCATENATE(VLOOKUP($J$1,tabulka!$BB$2:$BF$15,2,FALSE),". místo"),"")</f>
        <v>2. místo</v>
      </c>
      <c r="K5" s="260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1</v>
      </c>
      <c r="N5" s="260" t="str">
        <f>IFERROR(CONCATENATE(VLOOKUP($J$3,tabulka!$B$2:$V$15,8,FALSE),":",VLOOKUP($J$3,tabulka!$B$2:$V$15,9,FALSE)),"")</f>
        <v>84:32</v>
      </c>
      <c r="O5" s="260"/>
      <c r="P5" s="83">
        <f>IFERROR(VLOOKUP($J$3,tabulka!$B$2:$V$15,14,FALSE),"")</f>
        <v>35.71</v>
      </c>
      <c r="Q5" s="83">
        <f>IFERROR(VLOOKUP($J$3,tabulka!$B$2:$V$15,18,FALSE),"")</f>
        <v>83.33</v>
      </c>
      <c r="R5" s="175">
        <f>IFERROR(VLOOKUP($J$3,tabulka!$B$2:$V$15,19,FALSE),"")</f>
        <v>38</v>
      </c>
      <c r="S5" s="158" t="s">
        <v>23</v>
      </c>
      <c r="T5" s="159" t="s">
        <v>5</v>
      </c>
      <c r="U5" s="216" t="s">
        <v>814</v>
      </c>
      <c r="V5" s="160" t="s">
        <v>1427</v>
      </c>
      <c r="W5" s="161" t="s">
        <v>1421</v>
      </c>
      <c r="X5" s="249" t="str">
        <f t="shared" ref="X5:X15" si="0">IF(S5&lt;&gt;"",CONCATENATE(S5, " - ",T5),"")</f>
        <v>MB - SKV</v>
      </c>
      <c r="Y5" s="249"/>
      <c r="Z5" s="249"/>
      <c r="AA5" s="250"/>
      <c r="AB5" s="219" t="str">
        <f t="shared" ref="AB5:AB15" si="1">IF(U5&lt;&gt;"",U5,"")</f>
        <v>7:2</v>
      </c>
      <c r="AC5" s="251" t="str">
        <f t="shared" ref="AC5:AC15" si="2">IF(AND(V5&lt;&gt;"",W5&lt;&gt;""),CONCATENATE(V5," (",W5,")"),IF(V5&lt;&gt;"",V5,""))</f>
        <v>2020/2021 (ZČ)</v>
      </c>
      <c r="AD5" s="249"/>
      <c r="AE5" s="252"/>
    </row>
    <row r="6" spans="1:31" ht="15" customHeight="1" thickTop="1" x14ac:dyDescent="0.25">
      <c r="A6" s="26"/>
      <c r="B6" s="26"/>
      <c r="C6" s="26"/>
      <c r="D6" s="26"/>
      <c r="E6" s="289" t="s">
        <v>103</v>
      </c>
      <c r="F6" s="289"/>
      <c r="G6" s="36" t="str">
        <f>IFERROR(VLOOKUP($A$1,tabulka!$BB$2:$BF$15,3,FALSE),"")</f>
        <v>4.</v>
      </c>
      <c r="H6" s="36" t="str">
        <f>IFERROR(VLOOKUP($A$1,tabulka!$BB$2:$BF$15,4,FALSE),"")</f>
        <v>13.</v>
      </c>
      <c r="I6" s="36" t="str">
        <f>IFERROR(VLOOKUP($A$1,tabulka!$BB$2:$BF$15,5,FALSE),"")</f>
        <v>10.-12.</v>
      </c>
      <c r="J6" s="26"/>
      <c r="K6" s="26"/>
      <c r="L6" s="26"/>
      <c r="N6" s="289" t="s">
        <v>103</v>
      </c>
      <c r="O6" s="289"/>
      <c r="P6" s="36" t="str">
        <f>IFERROR(VLOOKUP($J$1,tabulka!$BB$2:$BF$15,3,FALSE),"")</f>
        <v>8.</v>
      </c>
      <c r="Q6" s="36" t="str">
        <f>IFERROR(VLOOKUP($J$1,tabulka!$BB$2:$BF$15,4,FALSE),"")</f>
        <v>1.-3.</v>
      </c>
      <c r="R6" s="36" t="str">
        <f>IFERROR(VLOOKUP($J$1,tabulka!$BB$2:$BF$15,5,FALSE),"")</f>
        <v>5.-8.</v>
      </c>
      <c r="S6" s="158" t="s">
        <v>23</v>
      </c>
      <c r="T6" s="159" t="s">
        <v>5</v>
      </c>
      <c r="U6" s="216" t="s">
        <v>1433</v>
      </c>
      <c r="V6" s="160" t="s">
        <v>1428</v>
      </c>
      <c r="W6" s="161" t="s">
        <v>1419</v>
      </c>
      <c r="X6" s="249" t="str">
        <f t="shared" si="0"/>
        <v>MB - SKV</v>
      </c>
      <c r="Y6" s="249"/>
      <c r="Z6" s="249"/>
      <c r="AA6" s="250"/>
      <c r="AB6" s="219" t="str">
        <f t="shared" si="1"/>
        <v>13:3</v>
      </c>
      <c r="AC6" s="251" t="str">
        <f t="shared" si="2"/>
        <v>2019/2020 (PO)</v>
      </c>
      <c r="AD6" s="249"/>
      <c r="AE6" s="252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216" t="s">
        <v>1433</v>
      </c>
      <c r="V7" s="160" t="s">
        <v>1428</v>
      </c>
      <c r="W7" s="161" t="s">
        <v>1419</v>
      </c>
      <c r="X7" s="249" t="str">
        <f t="shared" si="0"/>
        <v>MB - SKV</v>
      </c>
      <c r="Y7" s="249"/>
      <c r="Z7" s="249"/>
      <c r="AA7" s="250"/>
      <c r="AB7" s="219" t="str">
        <f t="shared" si="1"/>
        <v>13:3</v>
      </c>
      <c r="AC7" s="251" t="str">
        <f t="shared" si="2"/>
        <v>2019/2020 (PO)</v>
      </c>
      <c r="AD7" s="249"/>
      <c r="AE7" s="252"/>
    </row>
    <row r="8" spans="1:31" ht="15" customHeight="1" thickTop="1" thickBot="1" x14ac:dyDescent="0.3">
      <c r="A8" s="261" t="s">
        <v>32</v>
      </c>
      <c r="B8" s="262"/>
      <c r="C8" s="263" t="str">
        <f ca="1">IFERROR(IF(INDIRECT("priprava_" &amp; A1 &amp; "!BY12")&lt;&gt;0,INDIRECT("priprava_" &amp; A1 &amp; "!BY12"),""),"")</f>
        <v>P - P - P - P - V - V - P - P - P - V</v>
      </c>
      <c r="D8" s="263"/>
      <c r="E8" s="263"/>
      <c r="F8" s="263"/>
      <c r="G8" s="263"/>
      <c r="H8" s="264"/>
      <c r="I8" s="25"/>
      <c r="J8" s="265" t="s">
        <v>32</v>
      </c>
      <c r="K8" s="266"/>
      <c r="L8" s="267" t="str">
        <f ca="1">IFERROR(IF(INDIRECT("priprava_" &amp; J1 &amp; "!BY12")&lt;&gt;0,INDIRECT("priprava_" &amp; J1 &amp; "!BY12"),""),"")</f>
        <v>VP - VP - V - V - V - P - V - V - V - V</v>
      </c>
      <c r="M8" s="267"/>
      <c r="N8" s="267"/>
      <c r="O8" s="267"/>
      <c r="P8" s="267"/>
      <c r="Q8" s="268"/>
      <c r="R8" s="25"/>
      <c r="S8" s="158" t="s">
        <v>5</v>
      </c>
      <c r="T8" s="159" t="s">
        <v>23</v>
      </c>
      <c r="U8" s="216" t="s">
        <v>1434</v>
      </c>
      <c r="V8" s="160" t="s">
        <v>1428</v>
      </c>
      <c r="W8" s="161" t="s">
        <v>1421</v>
      </c>
      <c r="X8" s="249" t="str">
        <f t="shared" si="0"/>
        <v>SKV - MB</v>
      </c>
      <c r="Y8" s="249"/>
      <c r="Z8" s="249"/>
      <c r="AA8" s="250"/>
      <c r="AB8" s="219" t="str">
        <f t="shared" si="1"/>
        <v>1:7</v>
      </c>
      <c r="AC8" s="251" t="str">
        <f t="shared" si="2"/>
        <v>2019/2020 (ZČ)</v>
      </c>
      <c r="AD8" s="249"/>
      <c r="AE8" s="252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23</v>
      </c>
      <c r="T9" s="159" t="s">
        <v>5</v>
      </c>
      <c r="U9" s="216" t="s">
        <v>1435</v>
      </c>
      <c r="V9" s="160" t="s">
        <v>1428</v>
      </c>
      <c r="W9" s="161" t="s">
        <v>1421</v>
      </c>
      <c r="X9" s="249" t="str">
        <f t="shared" si="0"/>
        <v>MB - SKV</v>
      </c>
      <c r="Y9" s="249"/>
      <c r="Z9" s="249"/>
      <c r="AA9" s="250"/>
      <c r="AB9" s="219" t="str">
        <f t="shared" si="1"/>
        <v>9:2</v>
      </c>
      <c r="AC9" s="251" t="str">
        <f t="shared" si="2"/>
        <v>2019/2020 (ZČ)</v>
      </c>
      <c r="AD9" s="249"/>
      <c r="AE9" s="252"/>
    </row>
    <row r="10" spans="1:31" ht="15" customHeight="1" thickTop="1" thickBot="1" x14ac:dyDescent="0.3">
      <c r="A10" s="282" t="s">
        <v>33</v>
      </c>
      <c r="B10" s="283"/>
      <c r="C10" s="283"/>
      <c r="D10" s="287"/>
      <c r="E10" s="288" t="s">
        <v>34</v>
      </c>
      <c r="F10" s="283"/>
      <c r="G10" s="283"/>
      <c r="H10" s="287"/>
      <c r="I10" s="25"/>
      <c r="J10" s="282" t="s">
        <v>33</v>
      </c>
      <c r="K10" s="283"/>
      <c r="L10" s="283"/>
      <c r="M10" s="287"/>
      <c r="N10" s="288" t="s">
        <v>34</v>
      </c>
      <c r="O10" s="283"/>
      <c r="P10" s="283"/>
      <c r="Q10" s="287"/>
      <c r="R10" s="37"/>
      <c r="S10" s="158" t="s">
        <v>5</v>
      </c>
      <c r="T10" s="159" t="s">
        <v>23</v>
      </c>
      <c r="U10" s="216" t="s">
        <v>1436</v>
      </c>
      <c r="V10" s="160" t="s">
        <v>1429</v>
      </c>
      <c r="W10" s="161" t="s">
        <v>1421</v>
      </c>
      <c r="X10" s="249" t="str">
        <f t="shared" si="0"/>
        <v>SKV - MB</v>
      </c>
      <c r="Y10" s="249"/>
      <c r="Z10" s="249"/>
      <c r="AA10" s="250"/>
      <c r="AB10" s="219" t="str">
        <f t="shared" si="1"/>
        <v>1:9</v>
      </c>
      <c r="AC10" s="251" t="str">
        <f t="shared" si="2"/>
        <v>2018/2019 (ZČ)</v>
      </c>
      <c r="AD10" s="249"/>
      <c r="AE10" s="252"/>
    </row>
    <row r="11" spans="1:31" ht="15" customHeight="1" x14ac:dyDescent="0.25">
      <c r="A11" s="269" t="str">
        <f ca="1">IFERROR(IF(INDIRECT("priprava_" &amp; A$1 &amp; "!BZ2")&lt;&gt;"",INDIRECT("priprava_" &amp; A$1 &amp; "!BZ2"),""),"")</f>
        <v>OTR (h)</v>
      </c>
      <c r="B11" s="270"/>
      <c r="C11" s="271" t="str">
        <f ca="1">IFERROR(IF(A11&lt;&gt;"",INDIRECT("priprava_" &amp; A$1 &amp; "!CA2"),""),"")</f>
        <v>9:8</v>
      </c>
      <c r="D11" s="272"/>
      <c r="E11" s="273" t="str">
        <f ca="1">IFERROR(IF(INDIRECT("priprava_" &amp; A$1 &amp; "!BZ7")&lt;&gt;"",INDIRECT("priprava_" &amp; A$1 &amp; "!BZ7"),""),"")</f>
        <v>SPA (h)</v>
      </c>
      <c r="F11" s="270"/>
      <c r="G11" s="271" t="str">
        <f ca="1">IFERROR(IF(E11&lt;&gt;"",INDIRECT("priprava_" &amp; A$1 &amp; "!BY7"),""),"")</f>
        <v>7. 11.</v>
      </c>
      <c r="H11" s="272"/>
      <c r="I11" s="25"/>
      <c r="J11" s="269" t="str">
        <f ca="1">IFERROR(IF(INDIRECT("priprava_" &amp; J$1 &amp; "!BZ2")&lt;&gt;"",INDIRECT("priprava_" &amp; J$1 &amp; "!BZ2"),""),"")</f>
        <v>SPA (d)</v>
      </c>
      <c r="K11" s="270"/>
      <c r="L11" s="271" t="str">
        <f ca="1">IFERROR(IF(J11&lt;&gt;"",INDIRECT("priprava_" &amp; J$1 &amp; "!CA2"),""),"")</f>
        <v>7:2</v>
      </c>
      <c r="M11" s="272"/>
      <c r="N11" s="273" t="str">
        <f ca="1">IFERROR(IF(INDIRECT("priprava_" &amp; J$1 &amp; "!BZ7")&lt;&gt;"",INDIRECT("priprava_" &amp; J$1 &amp; "!BZ7"),""),"")</f>
        <v>TAT (d)</v>
      </c>
      <c r="O11" s="270"/>
      <c r="P11" s="271" t="str">
        <f ca="1">IFERROR(IF(N11&lt;&gt;"",INDIRECT("priprava_" &amp; J$1 &amp; "!BY7"),""),"")</f>
        <v>6. 11.</v>
      </c>
      <c r="Q11" s="272"/>
      <c r="R11" s="38"/>
      <c r="S11" s="158" t="s">
        <v>23</v>
      </c>
      <c r="T11" s="159" t="s">
        <v>5</v>
      </c>
      <c r="U11" s="216" t="s">
        <v>1437</v>
      </c>
      <c r="V11" s="160" t="s">
        <v>1429</v>
      </c>
      <c r="W11" s="161" t="s">
        <v>1421</v>
      </c>
      <c r="X11" s="249" t="str">
        <f t="shared" si="0"/>
        <v>MB - SKV</v>
      </c>
      <c r="Y11" s="249"/>
      <c r="Z11" s="249"/>
      <c r="AA11" s="250"/>
      <c r="AB11" s="219" t="str">
        <f t="shared" si="1"/>
        <v>12:3</v>
      </c>
      <c r="AC11" s="251" t="str">
        <f t="shared" si="2"/>
        <v>2018/2019 (ZČ)</v>
      </c>
      <c r="AD11" s="249"/>
      <c r="AE11" s="252"/>
    </row>
    <row r="12" spans="1:31" ht="15" customHeight="1" x14ac:dyDescent="0.25">
      <c r="A12" s="274" t="str">
        <f ca="1">IFERROR(IF(INDIRECT("priprava_" &amp; A$1 &amp; "!BZ3")&lt;&gt;"",INDIRECT("priprava_" &amp; A$1 &amp; "!BZ3"),""),"")</f>
        <v>HAT (d)</v>
      </c>
      <c r="B12" s="275"/>
      <c r="C12" s="296" t="str">
        <f ca="1">IFERROR(IF(A12&lt;&gt;"",INDIRECT("priprava_" &amp; A$1 &amp; "!CA3"),""),"")</f>
        <v>5:6</v>
      </c>
      <c r="D12" s="297"/>
      <c r="E12" s="250" t="str">
        <f ca="1">IFERROR(IF(INDIRECT("priprava_" &amp; A$1 &amp; "!BZ8")&lt;&gt;"",INDIRECT("priprava_" &amp; A$1 &amp; "!BZ8"),""),"")</f>
        <v>TAT (h)</v>
      </c>
      <c r="F12" s="275"/>
      <c r="G12" s="296" t="str">
        <f ca="1">IFERROR(IF(E12&lt;&gt;"",INDIRECT("priprava_" &amp; A$1 &amp; "!BY8"),""),"")</f>
        <v>15. 11.</v>
      </c>
      <c r="H12" s="297"/>
      <c r="I12" s="26"/>
      <c r="J12" s="274" t="str">
        <f ca="1">IFERROR(IF(INDIRECT("priprava_" &amp; J$1 &amp; "!BZ3")&lt;&gt;"",INDIRECT("priprava_" &amp; J$1 &amp; "!BZ3"),""),"")</f>
        <v>CLP (d)</v>
      </c>
      <c r="K12" s="275"/>
      <c r="L12" s="296" t="str">
        <f ca="1">IFERROR(IF(J12&lt;&gt;"",INDIRECT("priprava_" &amp; J$1 &amp; "!CA3"),""),"")</f>
        <v>7:3</v>
      </c>
      <c r="M12" s="297"/>
      <c r="N12" s="250" t="str">
        <f ca="1">IFERROR(IF(INDIRECT("priprava_" &amp; J$1 &amp; "!BZ8")&lt;&gt;"",INDIRECT("priprava_" &amp; J$1 &amp; "!BZ8"),""),"")</f>
        <v>LIB (h)</v>
      </c>
      <c r="O12" s="275"/>
      <c r="P12" s="296" t="str">
        <f ca="1">IFERROR(IF(N12&lt;&gt;"",INDIRECT("priprava_" &amp; J$1 &amp; "!BY8"),""),"")</f>
        <v>14. 11.</v>
      </c>
      <c r="Q12" s="297"/>
      <c r="R12" s="25"/>
      <c r="S12" s="158" t="s">
        <v>23</v>
      </c>
      <c r="T12" s="159" t="s">
        <v>5</v>
      </c>
      <c r="U12" s="216" t="s">
        <v>1438</v>
      </c>
      <c r="V12" s="160" t="s">
        <v>1430</v>
      </c>
      <c r="W12" s="161" t="s">
        <v>1421</v>
      </c>
      <c r="X12" s="249" t="str">
        <f t="shared" si="0"/>
        <v>MB - SKV</v>
      </c>
      <c r="Y12" s="249"/>
      <c r="Z12" s="249"/>
      <c r="AA12" s="250"/>
      <c r="AB12" s="219" t="str">
        <f t="shared" si="1"/>
        <v>11:5</v>
      </c>
      <c r="AC12" s="251" t="str">
        <f t="shared" si="2"/>
        <v>2015/2016 (ZČ)</v>
      </c>
      <c r="AD12" s="249"/>
      <c r="AE12" s="252"/>
    </row>
    <row r="13" spans="1:31" ht="15" customHeight="1" x14ac:dyDescent="0.25">
      <c r="A13" s="278" t="str">
        <f ca="1">IFERROR(IF(INDIRECT("priprava_" &amp; A$1 &amp; "!BZ4")&lt;&gt;"",INDIRECT("priprava_" &amp; A$1 &amp; "!BZ4"),""),"")</f>
        <v>VIT (h)</v>
      </c>
      <c r="B13" s="279"/>
      <c r="C13" s="276" t="str">
        <f ca="1">IFERROR(IF(A13&lt;&gt;"",INDIRECT("priprava_" &amp; A$1 &amp; "!CA4"),""),"")</f>
        <v>4:9</v>
      </c>
      <c r="D13" s="277"/>
      <c r="E13" s="298" t="str">
        <f ca="1">IFERROR(IF(INDIRECT("priprava_" &amp; A$1 &amp; "!BZ9")&lt;&gt;"",INDIRECT("priprava_" &amp; A$1 &amp; "!BZ9"),""),"")</f>
        <v>OST (d)</v>
      </c>
      <c r="F13" s="279"/>
      <c r="G13" s="276" t="str">
        <f ca="1">IFERROR(IF(E13&lt;&gt;"",INDIRECT("priprava_" &amp; A$1 &amp; "!BY9"),""),"")</f>
        <v>17. 11.</v>
      </c>
      <c r="H13" s="277"/>
      <c r="I13" s="25"/>
      <c r="J13" s="278" t="str">
        <f ca="1">IFERROR(IF(INDIRECT("priprava_" &amp; J$1 &amp; "!BZ4")&lt;&gt;"",INDIRECT("priprava_" &amp; J$1 &amp; "!BZ4"),""),"")</f>
        <v>OTR (h)</v>
      </c>
      <c r="K13" s="279"/>
      <c r="L13" s="276" t="str">
        <f ca="1">IFERROR(IF(J13&lt;&gt;"",INDIRECT("priprava_" &amp; J$1 &amp; "!CA4"),""),"")</f>
        <v>7:2</v>
      </c>
      <c r="M13" s="277"/>
      <c r="N13" s="298" t="str">
        <f ca="1">IFERROR(IF(INDIRECT("priprava_" &amp; J$1 &amp; "!BZ9")&lt;&gt;"",INDIRECT("priprava_" &amp; J$1 &amp; "!BZ9"),""),"")</f>
        <v>CHO (d)</v>
      </c>
      <c r="O13" s="279"/>
      <c r="P13" s="276" t="str">
        <f ca="1">IFERROR(IF(N13&lt;&gt;"",INDIRECT("priprava_" &amp; J$1 &amp; "!BY9"),""),"")</f>
        <v>17. 11.</v>
      </c>
      <c r="Q13" s="277"/>
      <c r="R13" s="27"/>
      <c r="S13" s="158" t="s">
        <v>5</v>
      </c>
      <c r="T13" s="159" t="s">
        <v>23</v>
      </c>
      <c r="U13" s="216" t="s">
        <v>813</v>
      </c>
      <c r="V13" s="160" t="s">
        <v>1430</v>
      </c>
      <c r="W13" s="161" t="s">
        <v>1421</v>
      </c>
      <c r="X13" s="249" t="str">
        <f t="shared" si="0"/>
        <v>SKV - MB</v>
      </c>
      <c r="Y13" s="249"/>
      <c r="Z13" s="249"/>
      <c r="AA13" s="250"/>
      <c r="AB13" s="219" t="str">
        <f t="shared" si="1"/>
        <v>6:9</v>
      </c>
      <c r="AC13" s="251" t="str">
        <f t="shared" si="2"/>
        <v>2015/2016 (ZČ)</v>
      </c>
      <c r="AD13" s="249"/>
      <c r="AE13" s="252"/>
    </row>
    <row r="14" spans="1:31" ht="15" customHeight="1" x14ac:dyDescent="0.25">
      <c r="A14" s="274" t="str">
        <f ca="1">IFERROR(IF(INDIRECT("priprava_" &amp; A$1 &amp; "!BZ5")&lt;&gt;"",INDIRECT("priprava_" &amp; A$1 &amp; "!BZ5"),""),"")</f>
        <v>BOH (d)</v>
      </c>
      <c r="B14" s="275"/>
      <c r="C14" s="296" t="str">
        <f ca="1">IFERROR(IF(A14&lt;&gt;"",INDIRECT("priprava_" &amp; A$1 &amp; "!CA5"),""),"")</f>
        <v>4:6</v>
      </c>
      <c r="D14" s="297"/>
      <c r="E14" s="250" t="str">
        <f ca="1">IFERROR(IF(INDIRECT("priprava_" &amp; A$1 &amp; "!BZ10")&lt;&gt;"",INDIRECT("priprava_" &amp; A$1 &amp; "!BZ10"),""),"")</f>
        <v>LIB (h)</v>
      </c>
      <c r="F14" s="275"/>
      <c r="G14" s="296" t="str">
        <f ca="1">IFERROR(IF(E14&lt;&gt;"",INDIRECT("priprava_" &amp; A$1 &amp; "!BY10"),""),"")</f>
        <v>21. 11.</v>
      </c>
      <c r="H14" s="297"/>
      <c r="I14" s="26"/>
      <c r="J14" s="274" t="str">
        <f ca="1">IFERROR(IF(INDIRECT("priprava_" &amp; J$1 &amp; "!BZ5")&lt;&gt;"",INDIRECT("priprava_" &amp; J$1 &amp; "!BZ5"),""),"")</f>
        <v>HAT (d)</v>
      </c>
      <c r="K14" s="275"/>
      <c r="L14" s="296" t="str">
        <f ca="1">IFERROR(IF(J14&lt;&gt;"",INDIRECT("priprava_" &amp; J$1 &amp; "!CA5"),""),"")</f>
        <v>12:1</v>
      </c>
      <c r="M14" s="297"/>
      <c r="N14" s="250" t="str">
        <f ca="1">IFERROR(IF(INDIRECT("priprava_" &amp; J$1 &amp; "!BZ10")&lt;&gt;"",INDIRECT("priprava_" &amp; J$1 &amp; "!BZ10"),""),"")</f>
        <v>BA (h)</v>
      </c>
      <c r="O14" s="275"/>
      <c r="P14" s="296" t="str">
        <f ca="1">IFERROR(IF(N14&lt;&gt;"",INDIRECT("priprava_" &amp; J$1 &amp; "!BY10"),""),"")</f>
        <v>20. 11.</v>
      </c>
      <c r="Q14" s="297"/>
      <c r="R14" s="25"/>
      <c r="S14" s="158" t="s">
        <v>5</v>
      </c>
      <c r="T14" s="159" t="s">
        <v>23</v>
      </c>
      <c r="U14" s="216" t="s">
        <v>1439</v>
      </c>
      <c r="V14" s="160" t="s">
        <v>1431</v>
      </c>
      <c r="W14" s="161" t="s">
        <v>1421</v>
      </c>
      <c r="X14" s="249" t="str">
        <f t="shared" si="0"/>
        <v>SKV - MB</v>
      </c>
      <c r="Y14" s="249"/>
      <c r="Z14" s="249"/>
      <c r="AA14" s="250"/>
      <c r="AB14" s="219" t="str">
        <f t="shared" si="1"/>
        <v>2:9</v>
      </c>
      <c r="AC14" s="251" t="str">
        <f t="shared" si="2"/>
        <v>2014/2015 (ZČ)</v>
      </c>
      <c r="AD14" s="249"/>
      <c r="AE14" s="252"/>
    </row>
    <row r="15" spans="1:31" ht="15" customHeight="1" thickBot="1" x14ac:dyDescent="0.3">
      <c r="A15" s="355" t="str">
        <f ca="1">IFERROR(IF(INDIRECT("priprava_" &amp; A$1 &amp; "!BZ6")&lt;&gt;"",INDIRECT("priprava_" &amp; A$1 &amp; "!BZ6"),""),"")</f>
        <v>PAR (d)</v>
      </c>
      <c r="B15" s="351"/>
      <c r="C15" s="352" t="str">
        <f ca="1">IFERROR(IF(A15&lt;&gt;"",INDIRECT("priprava_" &amp; A$1 &amp; "!CA6"),""),"")</f>
        <v>6:5</v>
      </c>
      <c r="D15" s="353"/>
      <c r="E15" s="350" t="str">
        <f ca="1">IFERROR(IF(INDIRECT("priprava_" &amp; A$1 &amp; "!BZ11")&lt;&gt;"",INDIRECT("priprava_" &amp; A$1 &amp; "!BZ11"),""),"")</f>
        <v>CHO (d)</v>
      </c>
      <c r="F15" s="351"/>
      <c r="G15" s="352" t="str">
        <f ca="1">IFERROR(IF(E15&lt;&gt;"",INDIRECT("priprava_" &amp; A$1 &amp; "!BY11"),""),"")</f>
        <v>26. 11.</v>
      </c>
      <c r="H15" s="353"/>
      <c r="I15" s="25"/>
      <c r="J15" s="355" t="str">
        <f ca="1">IFERROR(IF(INDIRECT("priprava_" &amp; J$1 &amp; "!BZ6")&lt;&gt;"",INDIRECT("priprava_" &amp; J$1 &amp; "!BZ6"),""),"")</f>
        <v>VIT (h)</v>
      </c>
      <c r="K15" s="351"/>
      <c r="L15" s="352" t="str">
        <f ca="1">IFERROR(IF(J15&lt;&gt;"",INDIRECT("priprava_" &amp; J$1 &amp; "!CA6"),""),"")</f>
        <v>4:6</v>
      </c>
      <c r="M15" s="353"/>
      <c r="N15" s="350" t="str">
        <f ca="1">IFERROR(IF(INDIRECT("priprava_" &amp; J$1 &amp; "!BZ11")&lt;&gt;"",INDIRECT("priprava_" &amp; J$1 &amp; "!BZ11"),""),"")</f>
        <v>PAR (d)</v>
      </c>
      <c r="O15" s="351"/>
      <c r="P15" s="352" t="str">
        <f ca="1">IFERROR(IF(N15&lt;&gt;"",INDIRECT("priprava_" &amp; J$1 &amp; "!BY11"),""),"")</f>
        <v>26. 11.</v>
      </c>
      <c r="Q15" s="353"/>
      <c r="R15" s="25"/>
      <c r="S15" s="158" t="s">
        <v>23</v>
      </c>
      <c r="T15" s="159" t="s">
        <v>5</v>
      </c>
      <c r="U15" s="216" t="s">
        <v>1440</v>
      </c>
      <c r="V15" s="160" t="s">
        <v>1431</v>
      </c>
      <c r="W15" s="161" t="s">
        <v>1421</v>
      </c>
      <c r="X15" s="249" t="str">
        <f t="shared" si="0"/>
        <v>MB - SKV</v>
      </c>
      <c r="Y15" s="249"/>
      <c r="Z15" s="249"/>
      <c r="AA15" s="250"/>
      <c r="AB15" s="219" t="str">
        <f t="shared" si="1"/>
        <v>14:5</v>
      </c>
      <c r="AC15" s="251" t="str">
        <f t="shared" si="2"/>
        <v>2014/2015 (ZČ)</v>
      </c>
      <c r="AD15" s="249"/>
      <c r="AE15" s="252"/>
    </row>
    <row r="16" spans="1:31" ht="15" customHeight="1" thickTop="1" x14ac:dyDescent="0.25">
      <c r="R16" s="37"/>
      <c r="S16" s="158" t="s">
        <v>5</v>
      </c>
      <c r="T16" s="159" t="s">
        <v>23</v>
      </c>
      <c r="U16" s="216" t="s">
        <v>1209</v>
      </c>
      <c r="V16" s="160" t="s">
        <v>1432</v>
      </c>
      <c r="W16" s="161" t="s">
        <v>1421</v>
      </c>
      <c r="X16" s="249" t="str">
        <f t="shared" ref="X16:X19" si="3">IF(S16&lt;&gt;"",CONCATENATE(S16, " - ",T16),"")</f>
        <v>SKV - MB</v>
      </c>
      <c r="Y16" s="249"/>
      <c r="Z16" s="249"/>
      <c r="AA16" s="250"/>
      <c r="AB16" s="219" t="str">
        <f t="shared" ref="AB16:AB19" si="4">IF(U16&lt;&gt;"",U16,"")</f>
        <v>2:5</v>
      </c>
      <c r="AC16" s="251" t="str">
        <f t="shared" ref="AC16:AC19" si="5">IF(AND(V16&lt;&gt;"",W16&lt;&gt;""),CONCATENATE(V16," (",W16,")"),IF(V16&lt;&gt;"",V16,""))</f>
        <v>2006/2007 (ZČ)</v>
      </c>
      <c r="AD16" s="249"/>
      <c r="AE16" s="252"/>
    </row>
    <row r="17" spans="1:31" ht="15" customHeight="1" thickBot="1" x14ac:dyDescent="0.3">
      <c r="A17" s="354" t="s">
        <v>35</v>
      </c>
      <c r="B17" s="354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158" t="s">
        <v>23</v>
      </c>
      <c r="T17" s="159" t="s">
        <v>5</v>
      </c>
      <c r="U17" s="216" t="s">
        <v>1067</v>
      </c>
      <c r="V17" s="160" t="s">
        <v>1432</v>
      </c>
      <c r="W17" s="161" t="s">
        <v>1421</v>
      </c>
      <c r="X17" s="249" t="str">
        <f t="shared" si="3"/>
        <v>MB - SKV</v>
      </c>
      <c r="Y17" s="249"/>
      <c r="Z17" s="249"/>
      <c r="AA17" s="250"/>
      <c r="AB17" s="219" t="str">
        <f t="shared" si="4"/>
        <v>7:3</v>
      </c>
      <c r="AC17" s="251" t="str">
        <f t="shared" si="5"/>
        <v>2006/2007 (ZČ)</v>
      </c>
      <c r="AD17" s="249"/>
      <c r="AE17" s="252"/>
    </row>
    <row r="18" spans="1:31" ht="15" customHeight="1" thickTop="1" thickBot="1" x14ac:dyDescent="0.3">
      <c r="A18" s="282" t="s">
        <v>36</v>
      </c>
      <c r="B18" s="283"/>
      <c r="C18" s="315"/>
      <c r="D18" s="316" t="s">
        <v>37</v>
      </c>
      <c r="E18" s="283"/>
      <c r="F18" s="317"/>
      <c r="G18" s="288" t="s">
        <v>38</v>
      </c>
      <c r="H18" s="283"/>
      <c r="I18" s="287"/>
      <c r="J18" s="284" t="s">
        <v>36</v>
      </c>
      <c r="K18" s="285"/>
      <c r="L18" s="318"/>
      <c r="M18" s="319" t="s">
        <v>37</v>
      </c>
      <c r="N18" s="285"/>
      <c r="O18" s="320"/>
      <c r="P18" s="321" t="s">
        <v>38</v>
      </c>
      <c r="Q18" s="285"/>
      <c r="R18" s="322"/>
      <c r="S18" s="158"/>
      <c r="T18" s="159"/>
      <c r="U18" s="216"/>
      <c r="V18" s="160"/>
      <c r="W18" s="161"/>
      <c r="X18" s="249" t="str">
        <f t="shared" si="3"/>
        <v/>
      </c>
      <c r="Y18" s="249"/>
      <c r="Z18" s="249"/>
      <c r="AA18" s="250"/>
      <c r="AB18" s="219" t="str">
        <f t="shared" si="4"/>
        <v/>
      </c>
      <c r="AC18" s="251" t="str">
        <f t="shared" si="5"/>
        <v/>
      </c>
      <c r="AD18" s="249"/>
      <c r="AE18" s="252"/>
    </row>
    <row r="19" spans="1:31" ht="15" customHeight="1" thickBot="1" x14ac:dyDescent="0.3">
      <c r="A19" s="290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91"/>
      <c r="C19" s="39">
        <f ca="1">IFERROR(IF(A19&lt;&gt;"",INDIRECT("priprava_" &amp; A$1 &amp; "!BW2"),""),"")</f>
        <v>22</v>
      </c>
      <c r="D19" s="292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91"/>
      <c r="F19" s="39">
        <f ca="1">IFERROR(IF(D19&lt;&gt;"",INDIRECT("priprava_" &amp; A$1 &amp; "!BW12"),""),"")</f>
        <v>12</v>
      </c>
      <c r="G19" s="292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291"/>
      <c r="I19" s="39">
        <f ca="1">IFERROR(IF(G19&lt;&gt;"",INDIRECT("priprava_" &amp; A$1 &amp; "!BW22"),""),"")</f>
        <v>10</v>
      </c>
      <c r="J19" s="293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Curney</v>
      </c>
      <c r="K19" s="294"/>
      <c r="L19" s="40">
        <f ca="1">IFERROR(IF(J19&lt;&gt;"",INDIRECT("priprava_" &amp; J$1 &amp; "!BW2"),""),"")</f>
        <v>22</v>
      </c>
      <c r="M19" s="295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Pěnička</v>
      </c>
      <c r="N19" s="294"/>
      <c r="O19" s="40">
        <f ca="1">IFERROR(IF(M19&lt;&gt;"",INDIRECT("priprava_" &amp; J$1 &amp; "!BW12"),""),"")</f>
        <v>12</v>
      </c>
      <c r="P19" s="295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Curney</v>
      </c>
      <c r="Q19" s="294"/>
      <c r="R19" s="41">
        <f ca="1">IFERROR(IF(P19&lt;&gt;"",INDIRECT("priprava_" &amp; J$1 &amp; "!BW22"),""),"")</f>
        <v>12</v>
      </c>
      <c r="S19" s="162"/>
      <c r="T19" s="163"/>
      <c r="U19" s="217"/>
      <c r="V19" s="164"/>
      <c r="W19" s="165"/>
      <c r="X19" s="253" t="str">
        <f t="shared" si="3"/>
        <v/>
      </c>
      <c r="Y19" s="253"/>
      <c r="Z19" s="253"/>
      <c r="AA19" s="254"/>
      <c r="AB19" s="220" t="str">
        <f t="shared" si="4"/>
        <v/>
      </c>
      <c r="AC19" s="255" t="str">
        <f t="shared" si="5"/>
        <v/>
      </c>
      <c r="AD19" s="253"/>
      <c r="AE19" s="256"/>
    </row>
    <row r="20" spans="1:31" ht="15" customHeight="1" thickTop="1" thickBot="1" x14ac:dyDescent="0.3">
      <c r="A20" s="299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300"/>
      <c r="C20" s="42">
        <f ca="1">IFERROR(IF(A20&lt;&gt;"",INDIRECT("priprava_" &amp; A$1 &amp; "!BW3"),""),"")</f>
        <v>14</v>
      </c>
      <c r="D20" s="301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300"/>
      <c r="F20" s="43">
        <f ca="1">IFERROR(IF(D20&lt;&gt;"",INDIRECT("priprava_" &amp; A$1 &amp; "!BW13"),""),"")</f>
        <v>8</v>
      </c>
      <c r="G20" s="302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300"/>
      <c r="I20" s="44">
        <f ca="1">IFERROR(IF(G20&lt;&gt;"",INDIRECT("priprava_" &amp; A$1 &amp; "!BW23"),""),"")</f>
        <v>8</v>
      </c>
      <c r="J20" s="303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Pěnička</v>
      </c>
      <c r="K20" s="304"/>
      <c r="L20" s="45">
        <f ca="1">IFERROR(IF(J20&lt;&gt;"",INDIRECT("priprava_" &amp; J$1 &amp; "!BW3"),""),"")</f>
        <v>15</v>
      </c>
      <c r="M20" s="305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Bína</v>
      </c>
      <c r="N20" s="304"/>
      <c r="O20" s="46">
        <f ca="1">IFERROR(IF(M20&lt;&gt;"",INDIRECT("priprava_" &amp; J$1 &amp; "!BW13"),""),"")</f>
        <v>11</v>
      </c>
      <c r="P20" s="306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Beneš</v>
      </c>
      <c r="Q20" s="304"/>
      <c r="R20" s="47">
        <f ca="1">IFERROR(IF(P20&lt;&gt;"",INDIRECT("priprava_" &amp; J$1 &amp; "!BW23"),""),"")</f>
        <v>8</v>
      </c>
    </row>
    <row r="21" spans="1:31" ht="15" customHeight="1" thickTop="1" x14ac:dyDescent="0.25">
      <c r="A21" s="299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300"/>
      <c r="C21" s="42">
        <f ca="1">IFERROR(IF(A21&lt;&gt;"",INDIRECT("priprava_" &amp; A$1 &amp; "!BW4"),""),"")</f>
        <v>12</v>
      </c>
      <c r="D21" s="301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300"/>
      <c r="F21" s="43">
        <f ca="1">IFERROR(IF(D21&lt;&gt;"",INDIRECT("priprava_" &amp; A$1 &amp; "!BW14"),""),"")</f>
        <v>6</v>
      </c>
      <c r="G21" s="302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Pergler</v>
      </c>
      <c r="H21" s="300"/>
      <c r="I21" s="44">
        <f ca="1">IFERROR(IF(G21&lt;&gt;"",INDIRECT("priprava_" &amp; A$1 &amp; "!BW24"),""),"")</f>
        <v>6</v>
      </c>
      <c r="J21" s="303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Bína</v>
      </c>
      <c r="K21" s="304"/>
      <c r="L21" s="45">
        <f ca="1">IFERROR(IF(J21&lt;&gt;"",INDIRECT("priprava_" &amp; J$1 &amp; "!BW4"),""),"")</f>
        <v>13</v>
      </c>
      <c r="M21" s="305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Curney</v>
      </c>
      <c r="N21" s="304"/>
      <c r="O21" s="46">
        <f ca="1">IFERROR(IF(M21&lt;&gt;"",INDIRECT("priprava_" &amp; J$1 &amp; "!BW14"),""),"")</f>
        <v>10</v>
      </c>
      <c r="P21" s="306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Suchánek</v>
      </c>
      <c r="Q21" s="304"/>
      <c r="R21" s="47">
        <f ca="1">IFERROR(IF(P21&lt;&gt;"",INDIRECT("priprava_" &amp; J$1 &amp; "!BW24"),""),"")</f>
        <v>7</v>
      </c>
      <c r="Y21" s="339" t="s">
        <v>1108</v>
      </c>
      <c r="Z21" s="340"/>
      <c r="AA21" s="340"/>
      <c r="AB21" s="340"/>
      <c r="AC21" s="340"/>
      <c r="AD21" s="340"/>
      <c r="AE21" s="341"/>
    </row>
    <row r="22" spans="1:31" ht="15" customHeight="1" thickBot="1" x14ac:dyDescent="0.3">
      <c r="A22" s="299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300"/>
      <c r="C22" s="42">
        <f ca="1">IFERROR(IF(A22&lt;&gt;"",INDIRECT("priprava_" &amp; A$1 &amp; "!BW5"),""),"")</f>
        <v>12</v>
      </c>
      <c r="D22" s="301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300"/>
      <c r="F22" s="43">
        <f ca="1">IFERROR(IF(D22&lt;&gt;"",INDIRECT("priprava_" &amp; A$1 &amp; "!BW15"),""),"")</f>
        <v>6</v>
      </c>
      <c r="G22" s="302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Stuchlík O.</v>
      </c>
      <c r="H22" s="300"/>
      <c r="I22" s="44">
        <f ca="1">IFERROR(IF(G22&lt;&gt;"",INDIRECT("priprava_" &amp; A$1 &amp; "!BW25"),""),"")</f>
        <v>5</v>
      </c>
      <c r="J22" s="303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Tokoš</v>
      </c>
      <c r="K22" s="304"/>
      <c r="L22" s="45">
        <f ca="1">IFERROR(IF(J22&lt;&gt;"",INDIRECT("priprava_" &amp; J$1 &amp; "!BW5"),""),"")</f>
        <v>12</v>
      </c>
      <c r="M22" s="305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Tokoš</v>
      </c>
      <c r="N22" s="304"/>
      <c r="O22" s="46">
        <f ca="1">IFERROR(IF(M22&lt;&gt;"",INDIRECT("priprava_" &amp; J$1 &amp; "!BW15"),""),"")</f>
        <v>8</v>
      </c>
      <c r="P22" s="306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Tomašík</v>
      </c>
      <c r="Q22" s="304"/>
      <c r="R22" s="47">
        <f ca="1">IFERROR(IF(P22&lt;&gt;"",INDIRECT("priprava_" &amp; J$1 &amp; "!BW25"),""),"")</f>
        <v>6</v>
      </c>
      <c r="Y22" s="195" t="s">
        <v>1446</v>
      </c>
      <c r="Z22" s="196"/>
      <c r="AA22" s="196"/>
      <c r="AB22" s="196"/>
      <c r="AC22" s="196"/>
      <c r="AD22" s="196"/>
      <c r="AE22" s="197"/>
    </row>
    <row r="23" spans="1:31" ht="15" customHeight="1" thickBot="1" x14ac:dyDescent="0.3">
      <c r="A23" s="307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Z.</v>
      </c>
      <c r="B23" s="308"/>
      <c r="C23" s="48">
        <f ca="1">IFERROR(IF(A23&lt;&gt;"",INDIRECT("priprava_" &amp; A$1 &amp; "!BW6"),""),"")</f>
        <v>6</v>
      </c>
      <c r="D23" s="309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Procházka</v>
      </c>
      <c r="E23" s="308"/>
      <c r="F23" s="49">
        <f ca="1">IFERROR(IF(D23&lt;&gt;"",INDIRECT("priprava_" &amp; A$1 &amp; "!BW16"),""),"")</f>
        <v>5</v>
      </c>
      <c r="G23" s="310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Klápa</v>
      </c>
      <c r="H23" s="308"/>
      <c r="I23" s="50">
        <f ca="1">IFERROR(IF(G23&lt;&gt;"",INDIRECT("priprava_" &amp; A$1 &amp; "!BW26"),""),"")</f>
        <v>4</v>
      </c>
      <c r="J23" s="311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Šebek</v>
      </c>
      <c r="K23" s="312"/>
      <c r="L23" s="51">
        <f ca="1">IFERROR(IF(J23&lt;&gt;"",INDIRECT("priprava_" &amp; J$1 &amp; "!BW6"),""),"")</f>
        <v>11</v>
      </c>
      <c r="M23" s="313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Chroust</v>
      </c>
      <c r="N23" s="312"/>
      <c r="O23" s="52">
        <f ca="1">IFERROR(IF(M23&lt;&gt;"",INDIRECT("priprava_" &amp; J$1 &amp; "!BW16"),""),"")</f>
        <v>7</v>
      </c>
      <c r="P23" s="314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Hemerka</v>
      </c>
      <c r="Q23" s="312"/>
      <c r="R23" s="53">
        <f ca="1">IFERROR(IF(P23&lt;&gt;"",INDIRECT("priprava_" &amp; J$1 &amp; "!BW26"),""),"")</f>
        <v>5</v>
      </c>
      <c r="Y23" s="198" t="s">
        <v>1107</v>
      </c>
      <c r="Z23" s="199" t="s">
        <v>78</v>
      </c>
      <c r="AA23" s="200" t="s">
        <v>1104</v>
      </c>
      <c r="AB23" s="200" t="s">
        <v>122</v>
      </c>
      <c r="AC23" s="200" t="s">
        <v>1105</v>
      </c>
      <c r="AD23" s="200" t="s">
        <v>42</v>
      </c>
      <c r="AE23" s="201" t="s">
        <v>1106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  <c r="Y24" s="202" t="s">
        <v>23</v>
      </c>
      <c r="Z24" s="203">
        <v>401</v>
      </c>
      <c r="AA24" s="204">
        <v>306</v>
      </c>
      <c r="AB24" s="204">
        <v>2</v>
      </c>
      <c r="AC24" s="204">
        <v>93</v>
      </c>
      <c r="AD24" s="204">
        <v>904</v>
      </c>
      <c r="AE24" s="205">
        <v>76</v>
      </c>
    </row>
    <row r="25" spans="1:31" ht="15" customHeight="1" thickTop="1" thickBot="1" x14ac:dyDescent="0.3">
      <c r="A25" s="282" t="s">
        <v>39</v>
      </c>
      <c r="B25" s="283"/>
      <c r="C25" s="315"/>
      <c r="D25" s="316" t="s">
        <v>40</v>
      </c>
      <c r="E25" s="283"/>
      <c r="F25" s="317"/>
      <c r="G25" s="288" t="s">
        <v>41</v>
      </c>
      <c r="H25" s="283"/>
      <c r="I25" s="287"/>
      <c r="J25" s="284" t="s">
        <v>39</v>
      </c>
      <c r="K25" s="285"/>
      <c r="L25" s="318"/>
      <c r="M25" s="319" t="s">
        <v>40</v>
      </c>
      <c r="N25" s="285"/>
      <c r="O25" s="320"/>
      <c r="P25" s="321" t="s">
        <v>41</v>
      </c>
      <c r="Q25" s="285"/>
      <c r="R25" s="322"/>
      <c r="Y25" s="206" t="s">
        <v>5</v>
      </c>
      <c r="Z25" s="207">
        <v>155</v>
      </c>
      <c r="AA25" s="208">
        <v>34</v>
      </c>
      <c r="AB25" s="208">
        <v>1</v>
      </c>
      <c r="AC25" s="208">
        <v>120</v>
      </c>
      <c r="AD25" s="208">
        <v>104</v>
      </c>
      <c r="AE25" s="209">
        <v>22</v>
      </c>
    </row>
    <row r="26" spans="1:31" ht="15" customHeight="1" thickBot="1" x14ac:dyDescent="0.3">
      <c r="A26" s="290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291"/>
      <c r="C26" s="39">
        <f ca="1">IFERROR(IF(A26&lt;&gt;"",INDIRECT("priprava_" &amp; A$1 &amp; "!BW27"),""),"")</f>
        <v>14</v>
      </c>
      <c r="D26" s="292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91"/>
      <c r="F26" s="54">
        <f ca="1">IFERROR(IF(D26&lt;&gt;"",INDIRECT("priprava_" &amp; A$1 &amp; "!BW7"),""),"")</f>
        <v>6.43</v>
      </c>
      <c r="G26" s="292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91"/>
      <c r="I26" s="39">
        <f ca="1">IFERROR(IF(G26&lt;&gt;"",INDIRECT("priprava_" &amp; A$1 &amp; "!BW17"),""),"")</f>
        <v>2</v>
      </c>
      <c r="J26" s="293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Tokoš</v>
      </c>
      <c r="K26" s="294"/>
      <c r="L26" s="40">
        <f ca="1">IFERROR(IF(J26&lt;&gt;"",INDIRECT("priprava_" &amp; J$1 &amp; "!BW27"),""),"")</f>
        <v>10</v>
      </c>
      <c r="M26" s="295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Bauer</v>
      </c>
      <c r="N26" s="294"/>
      <c r="O26" s="55">
        <f ca="1">IFERROR(IF(M26&lt;&gt;"",INDIRECT("priprava_" &amp; J$1 &amp; "!BW7"),""),"")</f>
        <v>2.98</v>
      </c>
      <c r="P26" s="295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Bauer</v>
      </c>
      <c r="Q26" s="294"/>
      <c r="R26" s="41">
        <f ca="1">IFERROR(IF(P26&lt;&gt;"",INDIRECT("priprava_" &amp; J$1 &amp; "!BW17"),""),"")</f>
        <v>9</v>
      </c>
    </row>
    <row r="27" spans="1:31" ht="15" customHeight="1" thickTop="1" x14ac:dyDescent="0.25">
      <c r="A27" s="299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Fiala</v>
      </c>
      <c r="B27" s="300"/>
      <c r="C27" s="42">
        <f ca="1">IFERROR(IF(A27&lt;&gt;"",INDIRECT("priprava_" &amp; A$1 &amp; "!BW28"),""),"")</f>
        <v>6</v>
      </c>
      <c r="D27" s="301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300"/>
      <c r="F27" s="56">
        <f ca="1">IFERROR(IF(D27&lt;&gt;"",INDIRECT("priprava_" &amp; A$1 &amp; "!BW8"),""),"")</f>
        <v>8.11</v>
      </c>
      <c r="G27" s="302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300"/>
      <c r="I27" s="44">
        <f ca="1">IFERROR(IF(G27&lt;&gt;"",INDIRECT("priprava_" &amp; A$1 &amp; "!BW18"),""),"")</f>
        <v>1</v>
      </c>
      <c r="J27" s="303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Suchánek</v>
      </c>
      <c r="K27" s="304"/>
      <c r="L27" s="45">
        <f ca="1">IFERROR(IF(J27&lt;&gt;"",INDIRECT("priprava_" &amp; J$1 &amp; "!BW28"),""),"")</f>
        <v>8</v>
      </c>
      <c r="M27" s="305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Hanuš</v>
      </c>
      <c r="N27" s="304"/>
      <c r="O27" s="57">
        <f ca="1">IFERROR(IF(M27&lt;&gt;"",INDIRECT("priprava_" &amp; J$1 &amp; "!BW8"),""),"")</f>
        <v>0</v>
      </c>
      <c r="P27" s="306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Tomšík</v>
      </c>
      <c r="Q27" s="304"/>
      <c r="R27" s="47">
        <f ca="1">IFERROR(IF(P27&lt;&gt;"",INDIRECT("priprava_" &amp; J$1 &amp; "!BW18"),""),"")</f>
        <v>1</v>
      </c>
      <c r="S27" s="399" t="s">
        <v>1447</v>
      </c>
      <c r="T27" s="400"/>
      <c r="U27" s="400"/>
      <c r="V27" s="400"/>
      <c r="W27" s="400"/>
      <c r="X27" s="400"/>
      <c r="Y27" s="400"/>
      <c r="Z27" s="400"/>
      <c r="AA27" s="400"/>
      <c r="AB27" s="400"/>
      <c r="AC27" s="400"/>
      <c r="AD27" s="400"/>
      <c r="AE27" s="401"/>
    </row>
    <row r="28" spans="1:31" ht="15" customHeight="1" thickBot="1" x14ac:dyDescent="0.3">
      <c r="A28" s="299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300"/>
      <c r="C28" s="42">
        <f ca="1">IFERROR(IF(A28&lt;&gt;"",INDIRECT("priprava_" &amp; A$1 &amp; "!BW29"),""),"")</f>
        <v>6</v>
      </c>
      <c r="D28" s="301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300"/>
      <c r="F28" s="56" t="str">
        <f ca="1">IFERROR(IF(D28&lt;&gt;"",INDIRECT("priprava_" &amp; A$1 &amp; "!BW9"),""),"")</f>
        <v/>
      </c>
      <c r="G28" s="302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300"/>
      <c r="I28" s="44" t="str">
        <f ca="1">IFERROR(IF(G28&lt;&gt;"",INDIRECT("priprava_" &amp; A$1 &amp; "!BW19"),""),"")</f>
        <v/>
      </c>
      <c r="J28" s="303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Fořt</v>
      </c>
      <c r="K28" s="304"/>
      <c r="L28" s="45">
        <f ca="1">IFERROR(IF(J28&lt;&gt;"",INDIRECT("priprava_" &amp; J$1 &amp; "!BW29"),""),"")</f>
        <v>6</v>
      </c>
      <c r="M28" s="305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Tomšík</v>
      </c>
      <c r="N28" s="304"/>
      <c r="O28" s="57">
        <f ca="1">IFERROR(IF(M28&lt;&gt;"",INDIRECT("priprava_" &amp; J$1 &amp; "!BW9"),""),"")</f>
        <v>1</v>
      </c>
      <c r="P28" s="306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Hanuš</v>
      </c>
      <c r="Q28" s="304"/>
      <c r="R28" s="47">
        <f ca="1">IFERROR(IF(P28&lt;&gt;"",INDIRECT("priprava_" &amp; J$1 &amp; "!BW19"),""),"")</f>
        <v>0</v>
      </c>
      <c r="S28" s="195" t="s">
        <v>1414</v>
      </c>
      <c r="T28" s="196"/>
      <c r="U28" s="239"/>
      <c r="V28" s="240"/>
      <c r="W28" s="239"/>
      <c r="X28" s="221"/>
      <c r="Y28" s="221"/>
      <c r="Z28" s="221"/>
      <c r="AA28" s="221"/>
      <c r="AB28" s="221"/>
      <c r="AC28" s="221"/>
      <c r="AD28" s="221"/>
      <c r="AE28" s="222"/>
    </row>
    <row r="29" spans="1:31" ht="15" customHeight="1" thickBot="1" x14ac:dyDescent="0.3">
      <c r="A29" s="299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Z.</v>
      </c>
      <c r="B29" s="300"/>
      <c r="C29" s="42">
        <f ca="1">IFERROR(IF(A29&lt;&gt;"",INDIRECT("priprava_" &amp; A$1 &amp; "!BW30"),""),"")</f>
        <v>4</v>
      </c>
      <c r="D29" s="301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300"/>
      <c r="F29" s="56" t="str">
        <f ca="1">IFERROR(IF(D29&lt;&gt;"",INDIRECT("priprava_" &amp; A$1 &amp; "!BW10"),""),"")</f>
        <v/>
      </c>
      <c r="G29" s="302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300"/>
      <c r="I29" s="44" t="str">
        <f ca="1">IFERROR(IF(G29&lt;&gt;"",INDIRECT("priprava_" &amp; A$1 &amp; "!BW20"),""),"")</f>
        <v/>
      </c>
      <c r="J29" s="303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Hemerka</v>
      </c>
      <c r="K29" s="304"/>
      <c r="L29" s="45">
        <f ca="1">IFERROR(IF(J29&lt;&gt;"",INDIRECT("priprava_" &amp; J$1 &amp; "!BW30"),""),"")</f>
        <v>4</v>
      </c>
      <c r="M29" s="305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4"/>
      <c r="O29" s="57" t="str">
        <f ca="1">IFERROR(IF(M29&lt;&gt;"",INDIRECT("priprava_" &amp; J$1 &amp; "!BW10"),""),"")</f>
        <v/>
      </c>
      <c r="P29" s="306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4"/>
      <c r="R29" s="47" t="str">
        <f ca="1">IFERROR(IF(P29&lt;&gt;"",INDIRECT("priprava_" &amp; J$1 &amp; "!BW20"),""),"")</f>
        <v/>
      </c>
      <c r="S29" s="230" t="s">
        <v>1415</v>
      </c>
      <c r="T29" s="238" t="s">
        <v>1416</v>
      </c>
      <c r="U29" s="241"/>
      <c r="V29" s="241"/>
      <c r="W29" s="242"/>
      <c r="X29" s="402" t="s">
        <v>189</v>
      </c>
      <c r="Y29" s="403"/>
      <c r="Z29" s="404" t="s">
        <v>1448</v>
      </c>
      <c r="AA29" s="404"/>
      <c r="AB29" s="404"/>
      <c r="AC29" s="404"/>
      <c r="AD29" s="404"/>
      <c r="AE29" s="405"/>
    </row>
    <row r="30" spans="1:31" ht="15" customHeight="1" thickBot="1" x14ac:dyDescent="0.3">
      <c r="A30" s="307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Cabejšek</v>
      </c>
      <c r="B30" s="308"/>
      <c r="C30" s="48">
        <f ca="1">IFERROR(IF(A30&lt;&gt;"",INDIRECT("priprava_" &amp; A$1 &amp; "!BW31"),""),"")</f>
        <v>2</v>
      </c>
      <c r="D30" s="309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8"/>
      <c r="F30" s="58" t="str">
        <f ca="1">IFERROR(IF(D30&lt;&gt;"",INDIRECT("priprava_" &amp; A$1 &amp; "!BW11"),""),"")</f>
        <v/>
      </c>
      <c r="G30" s="310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8"/>
      <c r="I30" s="50" t="str">
        <f ca="1">IFERROR(IF(G30&lt;&gt;"",INDIRECT("priprava_" &amp; A$1 &amp; "!BW21"),""),"")</f>
        <v/>
      </c>
      <c r="J30" s="311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Šebek</v>
      </c>
      <c r="K30" s="312"/>
      <c r="L30" s="51">
        <f ca="1">IFERROR(IF(J30&lt;&gt;"",INDIRECT("priprava_" &amp; J$1 &amp; "!BW31"),""),"")</f>
        <v>4</v>
      </c>
      <c r="M30" s="313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2"/>
      <c r="O30" s="59" t="str">
        <f ca="1">IFERROR(IF(M30&lt;&gt;"",INDIRECT("priprava_" &amp; J$1 &amp; "!BW11"),""),"")</f>
        <v/>
      </c>
      <c r="P30" s="314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2"/>
      <c r="R30" s="53" t="str">
        <f ca="1">IFERROR(IF(P30&lt;&gt;"",INDIRECT("priprava_" &amp; J$1 &amp; "!BW21"),""),"")</f>
        <v/>
      </c>
      <c r="S30" s="231" t="s">
        <v>1417</v>
      </c>
      <c r="T30" s="232" t="s">
        <v>1418</v>
      </c>
      <c r="U30" s="243"/>
      <c r="V30" s="243"/>
      <c r="W30" s="244"/>
      <c r="X30" s="406" t="str">
        <f>IF(S30&lt;&gt;"",S30,"")</f>
        <v>celkem</v>
      </c>
      <c r="Y30" s="346"/>
      <c r="Z30" s="407" t="str">
        <f>IF(T30&lt;&gt;"",T30,"")</f>
        <v>14 zápasů, 0 - 0 - 0 - 0 - 14, skóre 41:132</v>
      </c>
      <c r="AA30" s="407"/>
      <c r="AB30" s="407"/>
      <c r="AC30" s="407"/>
      <c r="AD30" s="407"/>
      <c r="AE30" s="408"/>
    </row>
    <row r="31" spans="1:31" ht="15" customHeight="1" thickTop="1" thickBot="1" x14ac:dyDescent="0.3">
      <c r="S31" s="233" t="s">
        <v>1419</v>
      </c>
      <c r="T31" s="234" t="s">
        <v>1420</v>
      </c>
      <c r="U31" s="245"/>
      <c r="V31" s="245"/>
      <c r="W31" s="246"/>
      <c r="X31" s="392" t="str">
        <f t="shared" ref="X31:X37" si="6">IF(S31&lt;&gt;"",S31,"")</f>
        <v>PO</v>
      </c>
      <c r="Y31" s="250"/>
      <c r="Z31" s="395" t="str">
        <f t="shared" ref="Z31:Z37" si="7">IF(T31&lt;&gt;"",T31,"")</f>
        <v>2 zápasy, 0 - 0 - 0 - 0 - 2, skóre 6:26</v>
      </c>
      <c r="AA31" s="395"/>
      <c r="AB31" s="395"/>
      <c r="AC31" s="395"/>
      <c r="AD31" s="395"/>
      <c r="AE31" s="396"/>
    </row>
    <row r="32" spans="1:31" ht="15" customHeight="1" thickTop="1" thickBot="1" x14ac:dyDescent="0.3">
      <c r="I32" s="140"/>
      <c r="J32" s="140"/>
      <c r="K32" s="347" t="s">
        <v>44</v>
      </c>
      <c r="L32" s="348"/>
      <c r="M32" s="348"/>
      <c r="N32" s="348"/>
      <c r="O32" s="348"/>
      <c r="P32" s="348"/>
      <c r="Q32" s="348"/>
      <c r="R32" s="349"/>
      <c r="S32" s="233" t="s">
        <v>1421</v>
      </c>
      <c r="T32" s="234" t="s">
        <v>1422</v>
      </c>
      <c r="U32" s="245"/>
      <c r="V32" s="245"/>
      <c r="W32" s="246"/>
      <c r="X32" s="392" t="str">
        <f t="shared" si="6"/>
        <v>ZČ</v>
      </c>
      <c r="Y32" s="250"/>
      <c r="Z32" s="395" t="str">
        <f t="shared" si="7"/>
        <v>12 zápasů, 0 - 0 - 0 - 0 - 12, skóre 35:106</v>
      </c>
      <c r="AA32" s="395"/>
      <c r="AB32" s="395"/>
      <c r="AC32" s="395"/>
      <c r="AD32" s="395"/>
      <c r="AE32" s="396"/>
    </row>
    <row r="33" spans="1:31" ht="15" customHeight="1" thickTop="1" thickBot="1" x14ac:dyDescent="0.3">
      <c r="B33" s="386" t="s">
        <v>43</v>
      </c>
      <c r="C33" s="387"/>
      <c r="D33" s="387"/>
      <c r="E33" s="387"/>
      <c r="F33" s="387"/>
      <c r="G33" s="387"/>
      <c r="H33" s="387"/>
      <c r="I33" s="388"/>
      <c r="J33" s="141"/>
      <c r="K33" s="385" t="str">
        <f t="shared" ref="K33:K48" si="8">X4</f>
        <v>SKV - MB</v>
      </c>
      <c r="L33" s="363"/>
      <c r="M33" s="363"/>
      <c r="N33" s="363"/>
      <c r="O33" s="142" t="str">
        <f t="shared" ref="O33:O48" si="9">AB4</f>
        <v>3:7</v>
      </c>
      <c r="P33" s="362" t="str">
        <f t="shared" ref="P33:P48" si="10">AC4</f>
        <v>2020/2021 (ZČ)</v>
      </c>
      <c r="Q33" s="363"/>
      <c r="R33" s="364"/>
      <c r="S33" s="233" t="s">
        <v>1423</v>
      </c>
      <c r="T33" s="234" t="s">
        <v>1424</v>
      </c>
      <c r="U33" s="245"/>
      <c r="V33" s="245"/>
      <c r="W33" s="246"/>
      <c r="X33" s="392" t="str">
        <f t="shared" si="6"/>
        <v>čtvrtfinále</v>
      </c>
      <c r="Y33" s="250"/>
      <c r="Z33" s="395" t="str">
        <f t="shared" si="7"/>
        <v>1 série - 0:0, 2 zápasy - 0:2</v>
      </c>
      <c r="AA33" s="395"/>
      <c r="AB33" s="395"/>
      <c r="AC33" s="395"/>
      <c r="AD33" s="395"/>
      <c r="AE33" s="396"/>
    </row>
    <row r="34" spans="1:31" ht="15" customHeight="1" x14ac:dyDescent="0.25">
      <c r="B34" s="379" t="str">
        <f>$A$1</f>
        <v>SKV</v>
      </c>
      <c r="C34" s="380"/>
      <c r="D34" s="380"/>
      <c r="E34" s="381"/>
      <c r="F34" s="382" t="str">
        <f>$J$1</f>
        <v>MB</v>
      </c>
      <c r="G34" s="383"/>
      <c r="H34" s="383"/>
      <c r="I34" s="384"/>
      <c r="J34" s="141"/>
      <c r="K34" s="389" t="str">
        <f t="shared" si="8"/>
        <v>MB - SKV</v>
      </c>
      <c r="L34" s="366"/>
      <c r="M34" s="366"/>
      <c r="N34" s="366"/>
      <c r="O34" s="143" t="str">
        <f t="shared" si="9"/>
        <v>7:2</v>
      </c>
      <c r="P34" s="365" t="str">
        <f t="shared" si="10"/>
        <v>2020/2021 (ZČ)</v>
      </c>
      <c r="Q34" s="366"/>
      <c r="R34" s="367"/>
      <c r="S34" s="233"/>
      <c r="T34" s="234"/>
      <c r="U34" s="245"/>
      <c r="V34" s="245"/>
      <c r="W34" s="246"/>
      <c r="X34" s="392" t="str">
        <f t="shared" si="6"/>
        <v/>
      </c>
      <c r="Y34" s="250"/>
      <c r="Z34" s="395" t="str">
        <f t="shared" si="7"/>
        <v/>
      </c>
      <c r="AA34" s="395"/>
      <c r="AB34" s="395"/>
      <c r="AC34" s="395"/>
      <c r="AD34" s="395"/>
      <c r="AE34" s="396"/>
    </row>
    <row r="35" spans="1:31" ht="15" customHeight="1" x14ac:dyDescent="0.25">
      <c r="B35" s="325" t="str">
        <f>X30</f>
        <v>celkem</v>
      </c>
      <c r="C35" s="326" t="s">
        <v>1417</v>
      </c>
      <c r="D35" s="333" t="str">
        <f>Z30</f>
        <v>14 zápasů, 0 - 0 - 0 - 0 - 14, skóre 41:132</v>
      </c>
      <c r="E35" s="333"/>
      <c r="F35" s="333"/>
      <c r="G35" s="333"/>
      <c r="H35" s="333"/>
      <c r="I35" s="334"/>
      <c r="J35" s="144"/>
      <c r="K35" s="389" t="str">
        <f t="shared" si="8"/>
        <v>MB - SKV</v>
      </c>
      <c r="L35" s="366"/>
      <c r="M35" s="366"/>
      <c r="N35" s="366"/>
      <c r="O35" s="143" t="str">
        <f t="shared" si="9"/>
        <v>13:3</v>
      </c>
      <c r="P35" s="365" t="str">
        <f t="shared" si="10"/>
        <v>2019/2020 (PO)</v>
      </c>
      <c r="Q35" s="366"/>
      <c r="R35" s="367"/>
      <c r="S35" s="235"/>
      <c r="T35" s="234"/>
      <c r="U35" s="245"/>
      <c r="V35" s="245"/>
      <c r="W35" s="246"/>
      <c r="X35" s="392" t="str">
        <f t="shared" si="6"/>
        <v/>
      </c>
      <c r="Y35" s="250"/>
      <c r="Z35" s="395" t="str">
        <f t="shared" si="7"/>
        <v/>
      </c>
      <c r="AA35" s="395"/>
      <c r="AB35" s="395"/>
      <c r="AC35" s="395"/>
      <c r="AD35" s="395"/>
      <c r="AE35" s="396"/>
    </row>
    <row r="36" spans="1:31" ht="15" customHeight="1" x14ac:dyDescent="0.25">
      <c r="B36" s="325" t="str">
        <f t="shared" ref="B36:B42" si="11">X31</f>
        <v>PO</v>
      </c>
      <c r="C36" s="326" t="s">
        <v>1417</v>
      </c>
      <c r="D36" s="333" t="str">
        <f t="shared" ref="D36:D42" si="12">Z31</f>
        <v>2 zápasy, 0 - 0 - 0 - 0 - 2, skóre 6:26</v>
      </c>
      <c r="E36" s="333"/>
      <c r="F36" s="333"/>
      <c r="G36" s="333"/>
      <c r="H36" s="333"/>
      <c r="I36" s="334"/>
      <c r="J36" s="144"/>
      <c r="K36" s="325" t="str">
        <f t="shared" si="8"/>
        <v>MB - SKV</v>
      </c>
      <c r="L36" s="326"/>
      <c r="M36" s="326"/>
      <c r="N36" s="326"/>
      <c r="O36" s="145" t="str">
        <f t="shared" si="9"/>
        <v>13:3</v>
      </c>
      <c r="P36" s="327" t="str">
        <f t="shared" si="10"/>
        <v>2019/2020 (PO)</v>
      </c>
      <c r="Q36" s="326"/>
      <c r="R36" s="328"/>
      <c r="S36" s="233"/>
      <c r="T36" s="234"/>
      <c r="U36" s="245"/>
      <c r="V36" s="245"/>
      <c r="W36" s="246"/>
      <c r="X36" s="392" t="str">
        <f t="shared" si="6"/>
        <v/>
      </c>
      <c r="Y36" s="250"/>
      <c r="Z36" s="395" t="str">
        <f t="shared" si="7"/>
        <v/>
      </c>
      <c r="AA36" s="395"/>
      <c r="AB36" s="395"/>
      <c r="AC36" s="395"/>
      <c r="AD36" s="395"/>
      <c r="AE36" s="396"/>
    </row>
    <row r="37" spans="1:31" ht="15" customHeight="1" thickBot="1" x14ac:dyDescent="0.3">
      <c r="B37" s="325" t="str">
        <f t="shared" si="11"/>
        <v>ZČ</v>
      </c>
      <c r="C37" s="326" t="s">
        <v>1417</v>
      </c>
      <c r="D37" s="333" t="str">
        <f t="shared" si="12"/>
        <v>12 zápasů, 0 - 0 - 0 - 0 - 12, skóre 35:106</v>
      </c>
      <c r="E37" s="333"/>
      <c r="F37" s="333"/>
      <c r="G37" s="333"/>
      <c r="H37" s="333"/>
      <c r="I37" s="334"/>
      <c r="J37" s="144"/>
      <c r="K37" s="325" t="str">
        <f t="shared" si="8"/>
        <v>SKV - MB</v>
      </c>
      <c r="L37" s="326"/>
      <c r="M37" s="326"/>
      <c r="N37" s="326"/>
      <c r="O37" s="145" t="str">
        <f t="shared" si="9"/>
        <v>1:7</v>
      </c>
      <c r="P37" s="327" t="str">
        <f t="shared" si="10"/>
        <v>2019/2020 (ZČ)</v>
      </c>
      <c r="Q37" s="326"/>
      <c r="R37" s="328"/>
      <c r="S37" s="236"/>
      <c r="T37" s="237"/>
      <c r="U37" s="247"/>
      <c r="V37" s="247"/>
      <c r="W37" s="248"/>
      <c r="X37" s="393" t="str">
        <f t="shared" si="6"/>
        <v/>
      </c>
      <c r="Y37" s="394"/>
      <c r="Z37" s="397" t="str">
        <f t="shared" si="7"/>
        <v/>
      </c>
      <c r="AA37" s="397"/>
      <c r="AB37" s="397"/>
      <c r="AC37" s="397"/>
      <c r="AD37" s="397"/>
      <c r="AE37" s="398"/>
    </row>
    <row r="38" spans="1:31" ht="15" customHeight="1" thickTop="1" x14ac:dyDescent="0.25">
      <c r="B38" s="325" t="str">
        <f t="shared" si="11"/>
        <v>čtvrtfinále</v>
      </c>
      <c r="C38" s="326" t="s">
        <v>1417</v>
      </c>
      <c r="D38" s="333" t="str">
        <f t="shared" si="12"/>
        <v>1 série - 0:0, 2 zápasy - 0:2</v>
      </c>
      <c r="E38" s="333"/>
      <c r="F38" s="333"/>
      <c r="G38" s="333"/>
      <c r="H38" s="333"/>
      <c r="I38" s="334"/>
      <c r="J38" s="146"/>
      <c r="K38" s="329" t="str">
        <f t="shared" si="8"/>
        <v>MB - SKV</v>
      </c>
      <c r="L38" s="330"/>
      <c r="M38" s="330"/>
      <c r="N38" s="330"/>
      <c r="O38" s="147" t="str">
        <f t="shared" si="9"/>
        <v>9:2</v>
      </c>
      <c r="P38" s="331" t="str">
        <f t="shared" si="10"/>
        <v>2019/2020 (ZČ)</v>
      </c>
      <c r="Q38" s="330"/>
      <c r="R38" s="332"/>
    </row>
    <row r="39" spans="1:31" ht="15" customHeight="1" x14ac:dyDescent="0.25">
      <c r="B39" s="325" t="str">
        <f t="shared" si="11"/>
        <v/>
      </c>
      <c r="C39" s="326" t="s">
        <v>1417</v>
      </c>
      <c r="D39" s="333" t="str">
        <f t="shared" si="12"/>
        <v/>
      </c>
      <c r="E39" s="333"/>
      <c r="F39" s="333"/>
      <c r="G39" s="333"/>
      <c r="H39" s="333"/>
      <c r="I39" s="334"/>
      <c r="J39" s="146"/>
      <c r="K39" s="325" t="str">
        <f t="shared" si="8"/>
        <v>SKV - MB</v>
      </c>
      <c r="L39" s="326"/>
      <c r="M39" s="326"/>
      <c r="N39" s="326"/>
      <c r="O39" s="145" t="str">
        <f t="shared" si="9"/>
        <v>1:9</v>
      </c>
      <c r="P39" s="327" t="str">
        <f t="shared" si="10"/>
        <v>2018/2019 (ZČ)</v>
      </c>
      <c r="Q39" s="326"/>
      <c r="R39" s="328"/>
    </row>
    <row r="40" spans="1:31" ht="15" customHeight="1" x14ac:dyDescent="0.25">
      <c r="B40" s="375" t="str">
        <f t="shared" si="11"/>
        <v/>
      </c>
      <c r="C40" s="376" t="s">
        <v>1417</v>
      </c>
      <c r="D40" s="335" t="str">
        <f t="shared" si="12"/>
        <v/>
      </c>
      <c r="E40" s="335"/>
      <c r="F40" s="335"/>
      <c r="G40" s="335"/>
      <c r="H40" s="335"/>
      <c r="I40" s="336"/>
      <c r="J40" s="144"/>
      <c r="K40" s="325" t="str">
        <f t="shared" si="8"/>
        <v>MB - SKV</v>
      </c>
      <c r="L40" s="326"/>
      <c r="M40" s="326"/>
      <c r="N40" s="326"/>
      <c r="O40" s="145" t="str">
        <f t="shared" si="9"/>
        <v>12:3</v>
      </c>
      <c r="P40" s="327" t="str">
        <f t="shared" si="10"/>
        <v>2018/2019 (ZČ)</v>
      </c>
      <c r="Q40" s="326"/>
      <c r="R40" s="328"/>
    </row>
    <row r="41" spans="1:31" ht="15" customHeight="1" x14ac:dyDescent="0.25">
      <c r="B41" s="325" t="str">
        <f t="shared" si="11"/>
        <v/>
      </c>
      <c r="C41" s="326" t="s">
        <v>1417</v>
      </c>
      <c r="D41" s="333" t="str">
        <f t="shared" si="12"/>
        <v/>
      </c>
      <c r="E41" s="333"/>
      <c r="F41" s="333"/>
      <c r="G41" s="333"/>
      <c r="H41" s="333"/>
      <c r="I41" s="334"/>
      <c r="J41" s="144"/>
      <c r="K41" s="329" t="str">
        <f t="shared" si="8"/>
        <v>MB - SKV</v>
      </c>
      <c r="L41" s="330"/>
      <c r="M41" s="330"/>
      <c r="N41" s="330"/>
      <c r="O41" s="147" t="str">
        <f t="shared" si="9"/>
        <v>11:5</v>
      </c>
      <c r="P41" s="331" t="str">
        <f t="shared" si="10"/>
        <v>2015/2016 (ZČ)</v>
      </c>
      <c r="Q41" s="330"/>
      <c r="R41" s="332"/>
    </row>
    <row r="42" spans="1:31" ht="15" customHeight="1" thickBot="1" x14ac:dyDescent="0.3">
      <c r="B42" s="377" t="str">
        <f t="shared" si="11"/>
        <v/>
      </c>
      <c r="C42" s="378" t="s">
        <v>1417</v>
      </c>
      <c r="D42" s="337" t="str">
        <f t="shared" si="12"/>
        <v/>
      </c>
      <c r="E42" s="337"/>
      <c r="F42" s="337"/>
      <c r="G42" s="337"/>
      <c r="H42" s="337"/>
      <c r="I42" s="338"/>
      <c r="J42" s="144"/>
      <c r="K42" s="325" t="str">
        <f t="shared" si="8"/>
        <v>SKV - MB</v>
      </c>
      <c r="L42" s="326"/>
      <c r="M42" s="326"/>
      <c r="N42" s="326"/>
      <c r="O42" s="145" t="str">
        <f t="shared" si="9"/>
        <v>6:9</v>
      </c>
      <c r="P42" s="327" t="str">
        <f t="shared" si="10"/>
        <v>2015/2016 (ZČ)</v>
      </c>
      <c r="Q42" s="326"/>
      <c r="R42" s="328"/>
    </row>
    <row r="43" spans="1:31" ht="15" customHeight="1" thickTop="1" thickBot="1" x14ac:dyDescent="0.3">
      <c r="I43" s="144"/>
      <c r="J43" s="144"/>
      <c r="K43" s="325" t="str">
        <f t="shared" si="8"/>
        <v>SKV - MB</v>
      </c>
      <c r="L43" s="326"/>
      <c r="M43" s="326"/>
      <c r="N43" s="326"/>
      <c r="O43" s="145" t="str">
        <f t="shared" si="9"/>
        <v>2:9</v>
      </c>
      <c r="P43" s="327" t="str">
        <f t="shared" si="10"/>
        <v>2014/2015 (ZČ)</v>
      </c>
      <c r="Q43" s="326"/>
      <c r="R43" s="328"/>
    </row>
    <row r="44" spans="1:31" ht="15" customHeight="1" thickTop="1" thickBot="1" x14ac:dyDescent="0.3">
      <c r="B44" s="372" t="s">
        <v>1103</v>
      </c>
      <c r="C44" s="373"/>
      <c r="D44" s="373"/>
      <c r="E44" s="373"/>
      <c r="F44" s="373"/>
      <c r="G44" s="373"/>
      <c r="H44" s="373"/>
      <c r="I44" s="374"/>
      <c r="J44" s="144"/>
      <c r="K44" s="325" t="str">
        <f t="shared" si="8"/>
        <v>MB - SKV</v>
      </c>
      <c r="L44" s="326"/>
      <c r="M44" s="326"/>
      <c r="N44" s="326"/>
      <c r="O44" s="145" t="str">
        <f t="shared" si="9"/>
        <v>14:5</v>
      </c>
      <c r="P44" s="327" t="str">
        <f t="shared" si="10"/>
        <v>2014/2015 (ZČ)</v>
      </c>
      <c r="Q44" s="326"/>
      <c r="R44" s="328"/>
    </row>
    <row r="45" spans="1:31" ht="15" customHeight="1" thickBot="1" x14ac:dyDescent="0.3">
      <c r="A45" s="144"/>
      <c r="B45" s="370" t="s">
        <v>86</v>
      </c>
      <c r="C45" s="371"/>
      <c r="D45" s="192" t="s">
        <v>78</v>
      </c>
      <c r="E45" s="190" t="s">
        <v>1104</v>
      </c>
      <c r="F45" s="190" t="s">
        <v>122</v>
      </c>
      <c r="G45" s="190" t="s">
        <v>1105</v>
      </c>
      <c r="H45" s="190" t="s">
        <v>42</v>
      </c>
      <c r="I45" s="191" t="s">
        <v>1106</v>
      </c>
      <c r="J45" s="144"/>
      <c r="K45" s="325" t="str">
        <f t="shared" si="8"/>
        <v>SKV - MB</v>
      </c>
      <c r="L45" s="326"/>
      <c r="M45" s="326"/>
      <c r="N45" s="326"/>
      <c r="O45" s="145" t="str">
        <f t="shared" si="9"/>
        <v>2:5</v>
      </c>
      <c r="P45" s="327" t="str">
        <f t="shared" si="10"/>
        <v>2006/2007 (ZČ)</v>
      </c>
      <c r="Q45" s="326"/>
      <c r="R45" s="328"/>
    </row>
    <row r="46" spans="1:31" ht="15" customHeight="1" x14ac:dyDescent="0.25">
      <c r="A46" s="140"/>
      <c r="B46" s="390" t="str">
        <f>$A$1</f>
        <v>SKV</v>
      </c>
      <c r="C46" s="391"/>
      <c r="D46" s="193">
        <f>VLOOKUP($B46,$Y$24:$AE$25,2,FALSE)</f>
        <v>155</v>
      </c>
      <c r="E46" s="188">
        <f>VLOOKUP($B46,$Y$24:$AE$25,3,FALSE)</f>
        <v>34</v>
      </c>
      <c r="F46" s="189">
        <f>VLOOKUP($B46,$Y$24:$AE$25,4,FALSE)</f>
        <v>1</v>
      </c>
      <c r="G46" s="189">
        <f>VLOOKUP($B46,$Y$24:$AE$25,5,FALSE)</f>
        <v>120</v>
      </c>
      <c r="H46" s="211">
        <f>VLOOKUP($B46,$Y$24:$AE$25,6,FALSE)</f>
        <v>104</v>
      </c>
      <c r="I46" s="213">
        <f>VLOOKUP($B46,$Y$24:$AE$25,7,FALSE)</f>
        <v>22</v>
      </c>
      <c r="J46" s="144"/>
      <c r="K46" s="325" t="str">
        <f t="shared" si="8"/>
        <v>MB - SKV</v>
      </c>
      <c r="L46" s="326"/>
      <c r="M46" s="326"/>
      <c r="N46" s="326"/>
      <c r="O46" s="145" t="str">
        <f t="shared" si="9"/>
        <v>7:3</v>
      </c>
      <c r="P46" s="327" t="str">
        <f t="shared" si="10"/>
        <v>2006/2007 (ZČ)</v>
      </c>
      <c r="Q46" s="326"/>
      <c r="R46" s="328"/>
    </row>
    <row r="47" spans="1:31" ht="15" customHeight="1" thickBot="1" x14ac:dyDescent="0.3">
      <c r="A47" s="140"/>
      <c r="B47" s="368" t="str">
        <f>$J$1</f>
        <v>MB</v>
      </c>
      <c r="C47" s="369"/>
      <c r="D47" s="194">
        <f>VLOOKUP($B47,$Y$24:$AE$25,2,FALSE)</f>
        <v>401</v>
      </c>
      <c r="E47" s="186">
        <f>VLOOKUP($B47,$Y$24:$AE$25,3,FALSE)</f>
        <v>306</v>
      </c>
      <c r="F47" s="187">
        <f>VLOOKUP($B47,$Y$24:$AE$25,4,FALSE)</f>
        <v>2</v>
      </c>
      <c r="G47" s="187">
        <f>VLOOKUP($B47,$Y$24:$AE$25,5,FALSE)</f>
        <v>93</v>
      </c>
      <c r="H47" s="212">
        <f>VLOOKUP($B47,$Y$24:$AE$25,6,FALSE)</f>
        <v>904</v>
      </c>
      <c r="I47" s="214">
        <f>VLOOKUP($B47,$Y$24:$AE$25,7,FALSE)</f>
        <v>76</v>
      </c>
      <c r="J47" s="144"/>
      <c r="K47" s="325" t="str">
        <f t="shared" si="8"/>
        <v/>
      </c>
      <c r="L47" s="326"/>
      <c r="M47" s="326"/>
      <c r="N47" s="326"/>
      <c r="O47" s="145" t="str">
        <f t="shared" si="9"/>
        <v/>
      </c>
      <c r="P47" s="327" t="str">
        <f t="shared" si="10"/>
        <v/>
      </c>
      <c r="Q47" s="326"/>
      <c r="R47" s="328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6" t="str">
        <f t="shared" si="8"/>
        <v/>
      </c>
      <c r="L48" s="357"/>
      <c r="M48" s="357"/>
      <c r="N48" s="357"/>
      <c r="O48" s="148" t="str">
        <f t="shared" si="9"/>
        <v/>
      </c>
      <c r="P48" s="358" t="str">
        <f t="shared" si="10"/>
        <v/>
      </c>
      <c r="Q48" s="357"/>
      <c r="R48" s="359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3">
        <f ca="1">TODAY()</f>
        <v>44500</v>
      </c>
      <c r="H50" s="324"/>
      <c r="I50" s="324"/>
      <c r="J50" s="324"/>
      <c r="K50" s="324"/>
      <c r="L50" s="324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47">
    <mergeCell ref="Z35:AE35"/>
    <mergeCell ref="Z36:AE36"/>
    <mergeCell ref="Z37:AE37"/>
    <mergeCell ref="S27:AE27"/>
    <mergeCell ref="X29:Y29"/>
    <mergeCell ref="Z29:AE29"/>
    <mergeCell ref="X30:Y30"/>
    <mergeCell ref="X31:Y31"/>
    <mergeCell ref="X32:Y32"/>
    <mergeCell ref="X33:Y33"/>
    <mergeCell ref="X34:Y34"/>
    <mergeCell ref="Z30:AE30"/>
    <mergeCell ref="Z31:AE31"/>
    <mergeCell ref="Z32:AE32"/>
    <mergeCell ref="Z33:AE33"/>
    <mergeCell ref="Z34:AE34"/>
    <mergeCell ref="B46:C46"/>
    <mergeCell ref="D36:I36"/>
    <mergeCell ref="D37:I37"/>
    <mergeCell ref="D38:I38"/>
    <mergeCell ref="G27:H27"/>
    <mergeCell ref="J27:K27"/>
    <mergeCell ref="M27:N27"/>
    <mergeCell ref="P27:Q27"/>
    <mergeCell ref="X35:Y35"/>
    <mergeCell ref="X36:Y36"/>
    <mergeCell ref="X37:Y37"/>
    <mergeCell ref="B47:C47"/>
    <mergeCell ref="B45:C45"/>
    <mergeCell ref="B44:I44"/>
    <mergeCell ref="Y21:AE21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4:AE4"/>
    <mergeCell ref="AC15:AE15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AC14:AE14"/>
    <mergeCell ref="N6:O6"/>
    <mergeCell ref="P33:R33"/>
    <mergeCell ref="P34:R34"/>
    <mergeCell ref="P35:R35"/>
    <mergeCell ref="L15:M15"/>
    <mergeCell ref="X15:AA15"/>
    <mergeCell ref="X9:AA9"/>
    <mergeCell ref="X10:AA10"/>
    <mergeCell ref="X11:AA11"/>
    <mergeCell ref="X12:AA12"/>
    <mergeCell ref="X13:AA13"/>
    <mergeCell ref="X14:AA14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3:AA3"/>
    <mergeCell ref="AC3:AE3"/>
    <mergeCell ref="X4:AA4"/>
    <mergeCell ref="X5:AA5"/>
    <mergeCell ref="X6:AA6"/>
    <mergeCell ref="X7:AA7"/>
    <mergeCell ref="X8:AA8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6:AA16"/>
    <mergeCell ref="AC16:AE16"/>
    <mergeCell ref="X17:AA17"/>
    <mergeCell ref="AC17:AE17"/>
    <mergeCell ref="X18:AA18"/>
    <mergeCell ref="AC18:AE18"/>
    <mergeCell ref="X19:AA19"/>
    <mergeCell ref="AC19:AE19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4:Y25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09" t="str">
        <f>prehled!A1</f>
        <v>SKV</v>
      </c>
      <c r="B1" s="409"/>
      <c r="C1" s="409"/>
      <c r="D1" s="409"/>
      <c r="E1" s="409"/>
      <c r="F1" s="409"/>
      <c r="G1" s="409" t="str">
        <f>prehled!J1</f>
        <v>MB</v>
      </c>
      <c r="H1" s="409"/>
      <c r="I1" s="409"/>
      <c r="J1" s="409"/>
      <c r="K1" s="409"/>
      <c r="L1" s="409"/>
    </row>
    <row r="2" spans="1:12" x14ac:dyDescent="0.25">
      <c r="A2" s="409"/>
      <c r="B2" s="409"/>
      <c r="C2" s="409"/>
      <c r="D2" s="409"/>
      <c r="E2" s="409"/>
      <c r="F2" s="409"/>
      <c r="G2" s="409"/>
      <c r="H2" s="409"/>
      <c r="I2" s="409"/>
      <c r="J2" s="409"/>
      <c r="K2" s="409"/>
      <c r="L2" s="409"/>
    </row>
    <row r="3" spans="1:12" s="152" customFormat="1" ht="19.5" x14ac:dyDescent="0.25">
      <c r="A3" s="410" t="s">
        <v>86</v>
      </c>
      <c r="B3" s="410"/>
      <c r="C3" s="410"/>
      <c r="D3" s="410"/>
      <c r="E3" s="410"/>
      <c r="F3" s="410"/>
      <c r="G3" s="410" t="s">
        <v>86</v>
      </c>
      <c r="H3" s="410"/>
      <c r="I3" s="410"/>
      <c r="J3" s="410"/>
      <c r="K3" s="410"/>
      <c r="L3" s="410"/>
    </row>
    <row r="4" spans="1:12" ht="14.25" customHeight="1" x14ac:dyDescent="0.25">
      <c r="A4" s="409" t="str">
        <f>A1</f>
        <v>SKV</v>
      </c>
      <c r="B4" s="182" t="str">
        <f ca="1">IF($A$4&lt;&gt;0,IFERROR(INDEX(zajimavosti_tymy!B:B,MATCH(prehled!$A$3,OFFSET(zajimavosti_tymy!$A$2,,,(COUNTA(zajimavosti_tymy!$A:$A)-1)*3),0)+1),""),"")</f>
        <v>obrat proti Otrokovicím</v>
      </c>
      <c r="C4" s="183" t="str">
        <f ca="1">IF($A$4&lt;&gt;0,IFERROR(INDEX(zajimavosti_tymy!C:C,MATCH(prehled!$A$3,OFFSET(zajimavosti_tymy!$A$2,,,(COUNTA(zajimavosti_tymy!$A:$A)-1)*3),0)+1),""),"")</f>
        <v>dobré přesilovky (4. v lize)</v>
      </c>
      <c r="D4" s="183" t="str">
        <f ca="1">IF($A$4&lt;&gt;0,IFERROR(INDEX(zajimavosti_tymy!D:D,MATCH(prehled!$A$3,OFFSET(zajimavosti_tymy!$A$2,,,(COUNTA(zajimavosti_tymy!$A:$A)-1)*3),0)+1),""),"")</f>
        <v>klub založen 1997</v>
      </c>
      <c r="E4" s="183" t="str">
        <f ca="1">IF($A$4&lt;&gt;0,IFERROR(INDEX(zajimavosti_tymy!E:E,MATCH(prehled!$A$3,OFFSET(zajimavosti_tymy!$A$2,,,(COUNTA(zajimavosti_tymy!$A:$A)-1)*3),0)+1),""),"")</f>
        <v>v sezóně 06/07 poprvé v extralize</v>
      </c>
      <c r="F4" s="184" t="str">
        <f ca="1">IF($A$4&lt;&gt;0,IFERROR(INDEX(zajimavosti_tymy!F:F,MATCH(prehled!$A$3,OFFSET(zajimavosti_tymy!$A$2,,,(COUNTA(zajimavosti_tymy!$A:$A)-1)*3),0)+1),""),"")</f>
        <v>jediná účast v PO (19/20)</v>
      </c>
      <c r="G4" s="409" t="str">
        <f>G1</f>
        <v>MB</v>
      </c>
      <c r="H4" s="182" t="str">
        <f ca="1">IF($G$4&lt;&gt;0,IFERROR(INDEX(zajimavosti_tymy!B:B,MATCH(prehled!$J$3,OFFSET(zajimavosti_tymy!$A$2,,,(COUNTA(zajimavosti_tymy!$A:$A)-1)*3),0)+1),""),"")</f>
        <v>2x mistr ligy 17/18, 20/21</v>
      </c>
      <c r="I4" s="183">
        <f ca="1">IF($G$4&lt;&gt;0,IFERROR(INDEX(zajimavosti_tymy!C:C,MATCH(prehled!$J$3,OFFSET(zajimavosti_tymy!$A$2,,,(COUNTA(zajimavosti_tymy!$A:$A)-1)*3),0)+1),""),"")</f>
        <v>0</v>
      </c>
      <c r="J4" s="183">
        <f ca="1">IF($G$4&lt;&gt;0,IFERROR(INDEX(zajimavosti_tymy!D:D,MATCH(prehled!$J$3,OFFSET(zajimavosti_tymy!$A$2,,,(COUNTA(zajimavosti_tymy!$A:$A)-1)*3),0)+1),""),"")</f>
        <v>0</v>
      </c>
      <c r="K4" s="183">
        <f ca="1">IF($G$4&lt;&gt;0,IFERROR(INDEX(zajimavosti_tymy!E:E,MATCH(prehled!$J$3,OFFSET(zajimavosti_tymy!$A$2,,,(COUNTA(zajimavosti_tymy!$A:$A)-1)*3),0)+1),""),"")</f>
        <v>0</v>
      </c>
      <c r="L4" s="184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409"/>
      <c r="B5" s="182">
        <f ca="1">IF($A$4&lt;&gt;0,IFERROR(INDEX(zajimavosti_tymy!B:B,MATCH(prehled!$A$3,OFFSET(zajimavosti_tymy!$A$2,,,(COUNTA(zajimavosti_tymy!$A:$A)-1)*3),0)+2),""),"")</f>
        <v>0</v>
      </c>
      <c r="C5" s="183">
        <f ca="1">IF($A$4&lt;&gt;0,IFERROR(INDEX(zajimavosti_tymy!C:C,MATCH(prehled!$A$3,OFFSET(zajimavosti_tymy!$A$2,,,(COUNTA(zajimavosti_tymy!$A:$A)-1)*3),0)+2),""),"")</f>
        <v>0</v>
      </c>
      <c r="D5" s="183">
        <f ca="1">IF($A$4&lt;&gt;0,IFERROR(INDEX(zajimavosti_tymy!D:D,MATCH(prehled!$A$3,OFFSET(zajimavosti_tymy!$A$2,,,(COUNTA(zajimavosti_tymy!$A:$A)-1)*3),0)+2),""),"")</f>
        <v>0</v>
      </c>
      <c r="E5" s="183">
        <f ca="1">IF($A$4&lt;&gt;0,IFERROR(INDEX(zajimavosti_tymy!E:E,MATCH(prehled!$A$3,OFFSET(zajimavosti_tymy!$A$2,,,(COUNTA(zajimavosti_tymy!$A:$A)-1)*3),0)+2),""),"")</f>
        <v>0</v>
      </c>
      <c r="F5" s="184">
        <f ca="1">IF($A$4&lt;&gt;0,IFERROR(INDEX(zajimavosti_tymy!F:F,MATCH(prehled!$A$3,OFFSET(zajimavosti_tymy!$A$2,,,(COUNTA(zajimavosti_tymy!$A:$A)-1)*3),0)+2),""),"")</f>
        <v>0</v>
      </c>
      <c r="G5" s="409"/>
      <c r="H5" s="182">
        <f ca="1">IF($G$4&lt;&gt;0,IFERROR(INDEX(zajimavosti_tymy!B:B,MATCH(prehled!$J$3,OFFSET(zajimavosti_tymy!$A$2,,,(COUNTA(zajimavosti_tymy!$A:$A)-1)*3),0)+2),""),"")</f>
        <v>0</v>
      </c>
      <c r="I5" s="183">
        <f ca="1">IF($G$4&lt;&gt;0,IFERROR(INDEX(zajimavosti_tymy!C:C,MATCH(prehled!$J$3,OFFSET(zajimavosti_tymy!$A$2,,,(COUNTA(zajimavosti_tymy!$A:$A)-1)*3),0)+2),""),"")</f>
        <v>0</v>
      </c>
      <c r="J5" s="183">
        <f ca="1">IF($G$4&lt;&gt;0,IFERROR(INDEX(zajimavosti_tymy!D:D,MATCH(prehled!$J$3,OFFSET(zajimavosti_tymy!$A$2,,,(COUNTA(zajimavosti_tymy!$A:$A)-1)*3),0)+2),""),"")</f>
        <v>0</v>
      </c>
      <c r="K5" s="183">
        <f ca="1">IF($G$4&lt;&gt;0,IFERROR(INDEX(zajimavosti_tymy!E:E,MATCH(prehled!$J$3,OFFSET(zajimavosti_tymy!$A$2,,,(COUNTA(zajimavosti_tymy!$A:$A)-1)*3),0)+2),""),"")</f>
        <v>0</v>
      </c>
      <c r="L5" s="184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409"/>
      <c r="B6" s="182">
        <f ca="1">IF($A$4&lt;&gt;0,IFERROR(INDEX(zajimavosti_tymy!B:B,MATCH(prehled!$A$3,OFFSET(zajimavosti_tymy!$A$2,,,(COUNTA(zajimavosti_tymy!$A:$A)-1)*3),0)+3),""),"")</f>
        <v>0</v>
      </c>
      <c r="C6" s="183">
        <f ca="1">IF($A$4&lt;&gt;0,IFERROR(INDEX(zajimavosti_tymy!C:C,MATCH(prehled!$A$3,OFFSET(zajimavosti_tymy!$A$2,,,(COUNTA(zajimavosti_tymy!$A:$A)-1)*3),0)+3),""),"")</f>
        <v>0</v>
      </c>
      <c r="D6" s="183">
        <f ca="1">IF($A$4&lt;&gt;0,IFERROR(INDEX(zajimavosti_tymy!D:D,MATCH(prehled!$A$3,OFFSET(zajimavosti_tymy!$A$2,,,(COUNTA(zajimavosti_tymy!$A:$A)-1)*3),0)+3),""),"")</f>
        <v>0</v>
      </c>
      <c r="E6" s="183">
        <f ca="1">IF($A$4&lt;&gt;0,IFERROR(INDEX(zajimavosti_tymy!E:E,MATCH(prehled!$A$3,OFFSET(zajimavosti_tymy!$A$2,,,(COUNTA(zajimavosti_tymy!$A:$A)-1)*3),0)+3),""),"")</f>
        <v>0</v>
      </c>
      <c r="F6" s="184">
        <f ca="1">IF($A$4&lt;&gt;0,IFERROR(INDEX(zajimavosti_tymy!F:F,MATCH(prehled!$A$3,OFFSET(zajimavosti_tymy!$A$2,,,(COUNTA(zajimavosti_tymy!$A:$A)-1)*3),0)+3),""),"")</f>
        <v>0</v>
      </c>
      <c r="G6" s="409"/>
      <c r="H6" s="182">
        <f ca="1">IF($G$4&lt;&gt;0,IFERROR(INDEX(zajimavosti_tymy!B:B,MATCH(prehled!$J$3,OFFSET(zajimavosti_tymy!$A$2,,,(COUNTA(zajimavosti_tymy!$A:$A)-1)*3),0)+3),""),"")</f>
        <v>0</v>
      </c>
      <c r="I6" s="183">
        <f ca="1">IF($G$4&lt;&gt;0,IFERROR(INDEX(zajimavosti_tymy!C:C,MATCH(prehled!$J$3,OFFSET(zajimavosti_tymy!$A$2,,,(COUNTA(zajimavosti_tymy!$A:$A)-1)*3),0)+3),""),"")</f>
        <v>0</v>
      </c>
      <c r="J6" s="183">
        <f ca="1">IF($G$4&lt;&gt;0,IFERROR(INDEX(zajimavosti_tymy!D:D,MATCH(prehled!$J$3,OFFSET(zajimavosti_tymy!$A$2,,,(COUNTA(zajimavosti_tymy!$A:$A)-1)*3),0)+3),""),"")</f>
        <v>0</v>
      </c>
      <c r="K6" s="183">
        <f ca="1">IF($G$4&lt;&gt;0,IFERROR(INDEX(zajimavosti_tymy!E:E,MATCH(prehled!$J$3,OFFSET(zajimavosti_tymy!$A$2,,,(COUNTA(zajimavosti_tymy!$A:$A)-1)*3),0)+3),""),"")</f>
        <v>0</v>
      </c>
      <c r="L6" s="184">
        <f ca="1">IF($G$4&lt;&gt;0,IFERROR(INDEX(zajimavosti_tymy!F:F,MATCH(prehled!$J$3,OFFSET(zajimavosti_tymy!$A$2,,,(COUNTA(zajimavosti_tymy!$A:$A)-1)*3),0)+3),""),"")</f>
        <v>0</v>
      </c>
    </row>
    <row r="7" spans="1:12" s="152" customFormat="1" ht="19.5" x14ac:dyDescent="0.25">
      <c r="A7" s="410" t="s">
        <v>793</v>
      </c>
      <c r="B7" s="410"/>
      <c r="C7" s="410"/>
      <c r="D7" s="410"/>
      <c r="E7" s="410"/>
      <c r="F7" s="410"/>
      <c r="G7" s="410" t="s">
        <v>793</v>
      </c>
      <c r="H7" s="410"/>
      <c r="I7" s="410"/>
      <c r="J7" s="410"/>
      <c r="K7" s="410"/>
      <c r="L7" s="410"/>
    </row>
    <row r="8" spans="1:12" x14ac:dyDescent="0.25">
      <c r="A8" s="185" t="str">
        <f ca="1">IF(INDIRECT("priprava_" &amp; A$1 &amp; "!A1")&lt;&gt;0,INDIRECT("priprava_" &amp; A$1 &amp; "!A1"),"")</f>
        <v>Jan Fiala</v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83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84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85" t="str">
        <f ca="1">IF(INDIRECT("priprava_" &amp; G$1 &amp; "!A1")&lt;&gt;0,INDIRECT("priprava_" &amp; G$1 &amp; "!A1"),"")</f>
        <v>Tadeáš Chroust</v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13/14</v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Future, Vosy Praha</v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funkcionář klubu</v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poprvé bez bratra Tomáše v MB</v>
      </c>
      <c r="L8" s="184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9" spans="1:12" x14ac:dyDescent="0.25">
      <c r="A9" s="185" t="str">
        <f ca="1">IF(INDIRECT("priprava_" &amp; A$1 &amp; "!M1")&lt;&gt;0,INDIRECT("priprava_" &amp; A$1 &amp; "!M1"),"")</f>
        <v>Jan Procházka</v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83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84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85" t="str">
        <f ca="1">IF(INDIRECT("priprava_" &amp; G$1 &amp; "!M1")&lt;&gt;0,INDIRECT("priprava_" &amp; G$1 &amp; "!M1"),"")</f>
        <v>Jakub Bína</v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13/14</v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Pardubice, Havlíčkův Brod</v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do MB přišel ještě v mládeži</v>
      </c>
      <c r="K9" s="183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9" s="184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0" spans="1:12" x14ac:dyDescent="0.25">
      <c r="A10" s="185" t="str">
        <f ca="1">IF(INDIRECT("priprava_" &amp; A$1 &amp; "!G3")&lt;&gt;0,INDIRECT("priprava_" &amp; A$1 &amp; "!G3"),"")</f>
        <v>Zbyněk Stuchlík</v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83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84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85" t="str">
        <f ca="1">IF(INDIRECT("priprava_" &amp; G$1 &amp; "!G3")&lt;&gt;0,INDIRECT("priprava_" &amp; G$1 &amp; "!G3"),"")</f>
        <v>Jiří Curney</v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13/14</v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Ostrava, Chodov, Třinec</v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2014 (3.), MS 2016 (4.)</v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2018 (4.)</v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všemožný rekordman</v>
      </c>
    </row>
    <row r="11" spans="1:12" x14ac:dyDescent="0.25">
      <c r="A11" s="185" t="str">
        <f ca="1">IF(INDIRECT("priprava_" &amp; A$1 &amp; "!A6")&lt;&gt;0,INDIRECT("priprava_" &amp; A$1 &amp; "!A6"),"")</f>
        <v>Ondřej Stuchlík</v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83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83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83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84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85" t="str">
        <f ca="1">IF(INDIRECT("priprava_" &amp; G$1 &amp; "!A6")&lt;&gt;0,INDIRECT("priprava_" &amp; G$1 &amp; "!A6"),"")</f>
        <v>Jakub Gruber</v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začínal v SKV, v MB od 16/17</v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funkce sportovního manažera</v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Kladno, Tatran, Future, SKV</v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aktuálně v repre (asi i na MS)</v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dříve útočník, nyní obránce</v>
      </c>
    </row>
    <row r="12" spans="1:12" x14ac:dyDescent="0.25">
      <c r="A12" s="185" t="str">
        <f ca="1">IF(INDIRECT("priprava_" &amp; A$1 &amp; "!M6")&lt;&gt;0,INDIRECT("priprava_" &amp; A$1 &amp; "!M6"),"")</f>
        <v>Štěpán Čuda</v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84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85" t="str">
        <f ca="1">IF(INDIRECT("priprava_" &amp; G$1 &amp; "!M6")&lt;&gt;0,INDIRECT("priprava_" &amp; G$1 &amp; "!M6"),"")</f>
        <v>Adam Hemerka</v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v průběhu sezony 20/21</v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>Hattrick Brno, EräViikingit (Fin.)</v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>zlato z MSJ 2021</v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>aktuálně v repre ne EFT</v>
      </c>
      <c r="L12" s="184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3" spans="1:12" x14ac:dyDescent="0.25">
      <c r="A13" s="185" t="str">
        <f ca="1">IF(INDIRECT("priprava_" &amp; A$1 &amp; "!A12")&lt;&gt;0,INDIRECT("priprava_" &amp; A$1 &amp; "!A12"),"")</f>
        <v>Vojtěch Klápa</v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3" s="183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84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85" t="str">
        <f ca="1">IF(INDIRECT("priprava_" &amp; G$1 &amp; "!A12")&lt;&gt;0,INDIRECT("priprava_" &amp; G$1 &amp; "!A12"),"")</f>
        <v>Daniel Šebek</v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19/20</v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2010 (3.), MS 2012 (7.)</v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2016 (4.), MS 2018 (4.)</v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Helsingborg, Wiler, Grünenmatt</v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Future</v>
      </c>
    </row>
    <row r="14" spans="1:12" x14ac:dyDescent="0.25">
      <c r="A14" s="185" t="str">
        <f ca="1">IF(INDIRECT("priprava_" &amp; A$1 &amp; "!M12")&lt;&gt;0,INDIRECT("priprava_" &amp; A$1 &amp; "!M12"),"")</f>
        <v>Viktor Kopecký</v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4" s="183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4" s="183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4" s="183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84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85" t="str">
        <f ca="1">IF(INDIRECT("priprava_" &amp; G$1 &amp; "!M12")&lt;&gt;0,INDIRECT("priprava_" &amp; G$1 &amp; "!M12"),"")</f>
        <v>Martin Tokoš</v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18/19</v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Vítkovice, Chur, Falun, Dalen</v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Jönköping, znovu Vítkovice</v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2012 (7.), MS 2014 (3.)</v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2016 (4.)</v>
      </c>
    </row>
    <row r="15" spans="1:12" x14ac:dyDescent="0.25">
      <c r="A15" s="185" t="str">
        <f ca="1">IF(INDIRECT("priprava_" &amp; A$1 &amp; "!G14")&lt;&gt;0,INDIRECT("priprava_" &amp; A$1 &amp; "!G14"),"")</f>
        <v>Vojtěch Máca</v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5" s="183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5" s="183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5" s="183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84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85" t="str">
        <f ca="1">IF(INDIRECT("priprava_" &amp; G$1 &amp; "!G14")&lt;&gt;0,INDIRECT("priprava_" &amp; G$1 &amp; "!G14"),"")</f>
        <v>Dominik Beneš</v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letní posila</v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Sparta Praha, Ústí</v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zlato z MSJ 2019</v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aktuálně v repre</v>
      </c>
      <c r="L15" s="184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6" spans="1:12" x14ac:dyDescent="0.25">
      <c r="A16" s="185" t="str">
        <f ca="1">IF(INDIRECT("priprava_" &amp; A$1 &amp; "!A17")&lt;&gt;0,INDIRECT("priprava_" &amp; A$1 &amp; "!A17"),"")</f>
        <v>Matěj Horák</v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>Patrik Suchánek</v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2012 (7.), MS 2014 (3.)</v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2016 (4.), MS 2018 (4.)</v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Helsingborg, Dalen</v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odchovanec Vítkovic</v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19/20</v>
      </c>
    </row>
    <row r="17" spans="1:12" x14ac:dyDescent="0.25">
      <c r="A17" s="185" t="str">
        <f ca="1">IF(INDIRECT("priprava_" &amp; A$1 &amp; "!M17")&lt;&gt;0,INDIRECT("priprava_" &amp; A$1 &amp; "!M17"),"")</f>
        <v>Oliver Gold</v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7" s="183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7" s="183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84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85" t="str">
        <f ca="1">IF(INDIRECT("priprava_" &amp; G$1 &amp; "!M17")&lt;&gt;0,INDIRECT("priprava_" &amp; G$1 &amp; "!M17"),"")</f>
        <v>Filip Zakonov</v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>Štepán Švejda</v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83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84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85" t="str">
        <f ca="1">IF(INDIRECT("priprava_" &amp; G$1 &amp; "!A23")&lt;&gt;0,INDIRECT("priprava_" &amp; G$1 &amp; "!A23"),"")</f>
        <v>Matěj Pěnička</v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letní posila</v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Bohemians, Chodov, Vosy Praha</v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zlato z MSJ 2021</v>
      </c>
      <c r="K18" s="183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8" s="184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9" spans="1:12" x14ac:dyDescent="0.25">
      <c r="A19" s="185" t="str">
        <f ca="1">IF(INDIRECT("priprava_" &amp; A$1 &amp; "!M23")&lt;&gt;0,INDIRECT("priprava_" &amp; A$1 &amp; "!M23"),"")</f>
        <v>Pavel Hájek</v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9" s="183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84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85" t="str">
        <f ca="1">IF(INDIRECT("priprava_" &amp; G$1 &amp; "!M23")&lt;&gt;0,INDIRECT("priprava_" &amp; G$1 &amp; "!M23"),"")</f>
        <v>Marek Korych</v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>Jan Pinkas</v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84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85" t="str">
        <f ca="1">IF(INDIRECT("priprava_" &amp; G$1 &amp; "!G25")&lt;&gt;0,INDIRECT("priprava_" &amp; G$1 &amp; "!G25"),"")</f>
        <v>Lukáš Punčochář</v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letní posila</v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Bohemians, Bulldogs Brno</v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zlato z MSJ 2021</v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aktuálně v repre na EFT</v>
      </c>
      <c r="L20" s="184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1" spans="1:12" x14ac:dyDescent="0.25">
      <c r="A21" s="185" t="str">
        <f ca="1">IF(INDIRECT("priprava_" &amp; A$1 &amp; "!A28")&lt;&gt;0,INDIRECT("priprava_" &amp; A$1 &amp; "!A28"),"")</f>
        <v>David Ježek</v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>Miroslav Fořt</v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letní posila</v>
      </c>
      <c r="I21" s="183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21" s="183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1" s="183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1" s="184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2" spans="1:12" x14ac:dyDescent="0.25">
      <c r="A22" s="185" t="str">
        <f ca="1">IF(INDIRECT("priprava_" &amp; A$1 &amp; "!M28")&lt;&gt;0,INDIRECT("priprava_" &amp; A$1 &amp; "!M28"),"")</f>
        <v>Marek Paštika</v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2" s="183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84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85" t="str">
        <f ca="1">IF(INDIRECT("priprava_" &amp; G$1 &amp; "!M28")&lt;&gt;0,INDIRECT("priprava_" &amp; G$1 &amp; "!M28"),"")</f>
        <v>Petr Koláčný</v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letní posila</v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Otrokovice, Bulldogs Brno</v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zlato z MSJ 2019</v>
      </c>
      <c r="K22" s="183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2" s="184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3" spans="1:12" x14ac:dyDescent="0.25">
      <c r="A23" s="185" t="str">
        <f ca="1">IF(INDIRECT("priprava_" &amp; A$1 &amp; "!J34")&lt;&gt;0,INDIRECT("priprava_" &amp; A$1 &amp; "!J34"),"")</f>
        <v>Lukáš Gregor</v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3" s="183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84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85" t="str">
        <f ca="1">IF(INDIRECT("priprava_" &amp; G$1 &amp; "!J34")&lt;&gt;0,INDIRECT("priprava_" &amp; G$1 &amp; "!J34"),"")</f>
        <v>Michal Fišera</v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>Martin Šolaja</v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>Jan Zoufalý</v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/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>Jan Natov</v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>v MB od 15/16</v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>Tatran, Future, Havířov</v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2014 (3.)</v>
      </c>
      <c r="K25" s="183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5" s="184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6" spans="1:12" x14ac:dyDescent="0.25">
      <c r="A26" s="185" t="str">
        <f ca="1">IF(INDIRECT("priprava_" &amp; A$1 &amp; "!A34")&lt;&gt;0,INDIRECT("priprava_" &amp; A$1 &amp; "!A34"),"")</f>
        <v>Petr Musil</v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>Lukáš Bauer</v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reprezentační jednička</v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začínal v SKV</v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2018 - 4. místo</v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Grünenmatt, Liberec, Tatran</v>
      </c>
      <c r="L26" s="184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7" spans="1:12" x14ac:dyDescent="0.25">
      <c r="A27" s="185" t="str">
        <f ca="1">IF(INDIRECT("priprava_" &amp; A$1 &amp; "!A40")&lt;&gt;0,INDIRECT("priprava_" &amp; A$1 &amp; "!A40"),"")</f>
        <v>Karel Šantora</v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84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85" t="str">
        <f ca="1">IF(INDIRECT("priprava_" &amp; G$1 &amp; "!A40")&lt;&gt;0,INDIRECT("priprava_" &amp; G$1 &amp; "!A40"),"")</f>
        <v>Ondřej Tomšík</v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0" t="s">
        <v>794</v>
      </c>
      <c r="B28" s="410"/>
      <c r="C28" s="410"/>
      <c r="D28" s="410"/>
      <c r="E28" s="410"/>
      <c r="F28" s="410"/>
      <c r="G28" s="410" t="s">
        <v>794</v>
      </c>
      <c r="H28" s="410"/>
      <c r="I28" s="410"/>
      <c r="J28" s="410"/>
      <c r="K28" s="410"/>
      <c r="L28" s="410"/>
    </row>
    <row r="29" spans="1:12" x14ac:dyDescent="0.25">
      <c r="A29" s="185" t="str">
        <f ca="1">IF(INDIRECT("priprava_" &amp; A$1 &amp; "!A47")&lt;&gt;0,INDIRECT("priprava_" &amp; A$1 &amp; "!A47"),"")</f>
        <v>Michal Kotlas</v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>Petr Novotný</v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MS 2006 (4.), MS 2008 (4.)</v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43 startů v repre</v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1 zlato - 3 stříbra - 5 bronzů</v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po 18/19 konec kariéry</v>
      </c>
      <c r="L29" s="184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30" spans="1:12" x14ac:dyDescent="0.25">
      <c r="A30" s="185" t="str">
        <f ca="1">IF(INDIRECT("priprava_" &amp; A$1 &amp; "!J47")&lt;&gt;0,INDIRECT("priprava_" &amp; A$1 &amp; "!J47"),"")</f>
        <v>David Bouša</v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>Radek Gwuźdź</v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>Boleslav Kytka</v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>Jiří Stožický</v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topLeftCell="A37"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1" t="s">
        <v>805</v>
      </c>
      <c r="B1" s="411"/>
      <c r="C1" s="412" t="s">
        <v>804</v>
      </c>
      <c r="D1" s="412"/>
      <c r="E1" s="412"/>
      <c r="F1" s="412"/>
      <c r="G1" s="412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978</v>
      </c>
      <c r="D24" s="179" t="s">
        <v>979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980</v>
      </c>
      <c r="D25" s="179" t="s">
        <v>981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982</v>
      </c>
      <c r="D26" s="179" t="s">
        <v>983</v>
      </c>
      <c r="E26" s="179" t="s">
        <v>984</v>
      </c>
      <c r="F26" s="179" t="s">
        <v>985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986</v>
      </c>
      <c r="D27" s="179" t="s">
        <v>987</v>
      </c>
      <c r="E27" s="179" t="s">
        <v>988</v>
      </c>
      <c r="F27" s="179" t="s">
        <v>989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990</v>
      </c>
      <c r="D28" s="179" t="s">
        <v>991</v>
      </c>
      <c r="E28" s="179" t="s">
        <v>992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993</v>
      </c>
      <c r="D29" s="179" t="s">
        <v>994</v>
      </c>
      <c r="E29" s="179" t="s">
        <v>995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996</v>
      </c>
      <c r="D30" s="179" t="s">
        <v>997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998</v>
      </c>
      <c r="D31" s="179" t="s">
        <v>999</v>
      </c>
      <c r="H31" s="166" t="str">
        <f t="shared" si="0"/>
        <v>Daniel Štěrba (35199)</v>
      </c>
    </row>
    <row r="32" spans="1:8" x14ac:dyDescent="0.25">
      <c r="A32" s="168" t="s">
        <v>1000</v>
      </c>
      <c r="B32" s="177">
        <v>35852</v>
      </c>
      <c r="C32" s="179" t="s">
        <v>1001</v>
      </c>
      <c r="D32" s="179" t="s">
        <v>1002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1003</v>
      </c>
      <c r="D33" s="179" t="s">
        <v>1004</v>
      </c>
      <c r="E33" s="179" t="s">
        <v>985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1005</v>
      </c>
      <c r="D34" s="179" t="s">
        <v>1006</v>
      </c>
      <c r="E34" s="179" t="s">
        <v>1007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1008</v>
      </c>
      <c r="D35" s="179" t="s">
        <v>1009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1010</v>
      </c>
      <c r="D36" s="179" t="s">
        <v>1011</v>
      </c>
      <c r="E36" s="179" t="s">
        <v>1012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1013</v>
      </c>
      <c r="D37" s="179" t="s">
        <v>1014</v>
      </c>
      <c r="E37" s="179" t="s">
        <v>1015</v>
      </c>
      <c r="F37" s="179" t="s">
        <v>1016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1017</v>
      </c>
      <c r="D38" s="179" t="s">
        <v>1018</v>
      </c>
      <c r="E38" s="179" t="s">
        <v>1019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1020</v>
      </c>
      <c r="D39" s="179" t="s">
        <v>1021</v>
      </c>
      <c r="E39" s="179" t="s">
        <v>1022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1023</v>
      </c>
      <c r="D40" s="179" t="s">
        <v>1024</v>
      </c>
      <c r="E40" s="179" t="s">
        <v>1025</v>
      </c>
      <c r="F40" s="179" t="s">
        <v>1026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1027</v>
      </c>
      <c r="D41" s="179" t="s">
        <v>1028</v>
      </c>
      <c r="E41" s="179" t="s">
        <v>1029</v>
      </c>
      <c r="F41" s="179" t="s">
        <v>1030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1031</v>
      </c>
      <c r="D42" s="179" t="s">
        <v>1032</v>
      </c>
      <c r="E42" s="179" t="s">
        <v>1033</v>
      </c>
      <c r="F42" s="179" t="s">
        <v>1034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1035</v>
      </c>
      <c r="D43" s="179" t="s">
        <v>1036</v>
      </c>
      <c r="E43" s="179" t="s">
        <v>1037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1038</v>
      </c>
      <c r="D44" s="179" t="s">
        <v>1039</v>
      </c>
      <c r="E44" s="179" t="s">
        <v>1040</v>
      </c>
      <c r="F44" s="179" t="s">
        <v>985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1041</v>
      </c>
      <c r="D45" s="179" t="s">
        <v>1042</v>
      </c>
      <c r="E45" s="179" t="s">
        <v>1043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1109</v>
      </c>
      <c r="D46" s="179" t="s">
        <v>1110</v>
      </c>
      <c r="E46" s="179" t="s">
        <v>1111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1112</v>
      </c>
      <c r="D47" s="179" t="s">
        <v>1113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1114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1115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1116</v>
      </c>
      <c r="D50" s="179" t="s">
        <v>1117</v>
      </c>
      <c r="E50" s="179" t="s">
        <v>1118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1119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1120</v>
      </c>
      <c r="D52" s="179" t="s">
        <v>1121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1122</v>
      </c>
      <c r="D53" s="179" t="s">
        <v>1123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1124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1125</v>
      </c>
      <c r="D55" s="179" t="s">
        <v>1126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1361</v>
      </c>
      <c r="D56" s="179" t="s">
        <v>1362</v>
      </c>
      <c r="E56" s="179" t="s">
        <v>1363</v>
      </c>
      <c r="F56" s="179" t="s">
        <v>1364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1365</v>
      </c>
      <c r="D57" s="179" t="s">
        <v>1366</v>
      </c>
      <c r="E57" s="179" t="s">
        <v>1367</v>
      </c>
      <c r="F57" s="179" t="s">
        <v>1368</v>
      </c>
      <c r="G57" s="179" t="s">
        <v>1369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1370</v>
      </c>
      <c r="D58" s="179" t="s">
        <v>1371</v>
      </c>
      <c r="E58" s="179" t="s">
        <v>1372</v>
      </c>
      <c r="F58" s="179" t="s">
        <v>1373</v>
      </c>
      <c r="G58" s="179" t="s">
        <v>1374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1002</v>
      </c>
      <c r="D59" s="179" t="s">
        <v>1375</v>
      </c>
      <c r="E59" s="179" t="s">
        <v>1376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1002</v>
      </c>
      <c r="D60" s="179" t="s">
        <v>1377</v>
      </c>
      <c r="E60" s="179" t="s">
        <v>1378</v>
      </c>
      <c r="F60" s="179" t="s">
        <v>1379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1380</v>
      </c>
      <c r="D61" s="179" t="s">
        <v>1381</v>
      </c>
      <c r="E61" s="179" t="s">
        <v>1378</v>
      </c>
      <c r="F61" s="179" t="s">
        <v>1382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1002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1369</v>
      </c>
      <c r="D63" s="179" t="s">
        <v>1383</v>
      </c>
      <c r="E63" s="179" t="s">
        <v>1366</v>
      </c>
      <c r="F63" s="179" t="s">
        <v>1384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1385</v>
      </c>
      <c r="D64" s="179" t="s">
        <v>1383</v>
      </c>
      <c r="E64" s="179" t="s">
        <v>1386</v>
      </c>
      <c r="F64" s="179" t="s">
        <v>1387</v>
      </c>
      <c r="G64" s="179" t="s">
        <v>1388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1389</v>
      </c>
      <c r="D65" s="179" t="s">
        <v>1390</v>
      </c>
      <c r="E65" s="179" t="s">
        <v>1391</v>
      </c>
      <c r="F65" s="179" t="s">
        <v>1392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1389</v>
      </c>
      <c r="D66" s="179" t="s">
        <v>1393</v>
      </c>
      <c r="E66" s="179" t="s">
        <v>1394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1395</v>
      </c>
      <c r="D67" s="179" t="s">
        <v>1396</v>
      </c>
      <c r="E67" s="179" t="s">
        <v>1397</v>
      </c>
      <c r="F67" s="179" t="s">
        <v>1365</v>
      </c>
      <c r="G67" s="179" t="s">
        <v>1398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1002</v>
      </c>
      <c r="D68" s="179" t="s">
        <v>1399</v>
      </c>
      <c r="E68" s="179" t="s">
        <v>1376</v>
      </c>
      <c r="F68" s="179" t="s">
        <v>1400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1389</v>
      </c>
      <c r="D69" s="179" t="s">
        <v>1401</v>
      </c>
      <c r="E69" s="179" t="s">
        <v>1386</v>
      </c>
      <c r="F69" s="179" t="s">
        <v>1387</v>
      </c>
      <c r="G69" s="179" t="s">
        <v>1402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1002</v>
      </c>
      <c r="D70" s="179" t="s">
        <v>1403</v>
      </c>
      <c r="E70" s="179" t="s">
        <v>1378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1404</v>
      </c>
      <c r="D71" s="179" t="s">
        <v>1405</v>
      </c>
      <c r="E71" s="179" t="s">
        <v>1406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1407</v>
      </c>
      <c r="D72" s="179" t="s">
        <v>1408</v>
      </c>
      <c r="E72" s="179" t="s">
        <v>1409</v>
      </c>
      <c r="F72" s="179" t="s">
        <v>1410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2" t="s">
        <v>804</v>
      </c>
      <c r="C1" s="412"/>
      <c r="D1" s="412"/>
      <c r="E1" s="412"/>
      <c r="F1" s="412"/>
    </row>
    <row r="2" spans="1:6" ht="14.25" customHeight="1" x14ac:dyDescent="0.25">
      <c r="A2" s="414" t="s">
        <v>77</v>
      </c>
      <c r="B2" s="178" t="s">
        <v>1412</v>
      </c>
      <c r="C2" s="178" t="s">
        <v>1413</v>
      </c>
      <c r="D2" s="178" t="s">
        <v>969</v>
      </c>
      <c r="E2" s="178" t="s">
        <v>970</v>
      </c>
      <c r="F2" s="178" t="s">
        <v>1049</v>
      </c>
    </row>
    <row r="3" spans="1:6" ht="14.25" x14ac:dyDescent="0.25">
      <c r="A3" s="414"/>
      <c r="B3" s="178"/>
      <c r="C3" s="178"/>
      <c r="D3" s="178"/>
      <c r="E3" s="178"/>
      <c r="F3" s="178"/>
    </row>
    <row r="4" spans="1:6" ht="14.25" x14ac:dyDescent="0.25">
      <c r="A4" s="414"/>
      <c r="B4" s="178"/>
      <c r="C4" s="178"/>
      <c r="D4" s="178"/>
      <c r="E4" s="178"/>
      <c r="F4" s="178"/>
    </row>
    <row r="5" spans="1:6" ht="14.25" x14ac:dyDescent="0.25">
      <c r="A5" s="413" t="s">
        <v>76</v>
      </c>
    </row>
    <row r="6" spans="1:6" ht="14.25" x14ac:dyDescent="0.25">
      <c r="A6" s="413"/>
    </row>
    <row r="7" spans="1:6" ht="14.25" x14ac:dyDescent="0.25">
      <c r="A7" s="413"/>
    </row>
    <row r="8" spans="1:6" ht="14.25" x14ac:dyDescent="0.25">
      <c r="A8" s="413" t="s">
        <v>73</v>
      </c>
      <c r="B8" s="181" t="s">
        <v>1044</v>
      </c>
      <c r="C8" s="181" t="s">
        <v>1045</v>
      </c>
      <c r="D8" s="181" t="s">
        <v>1046</v>
      </c>
      <c r="E8" s="181" t="s">
        <v>1047</v>
      </c>
      <c r="F8" s="181" t="s">
        <v>1048</v>
      </c>
    </row>
    <row r="9" spans="1:6" ht="14.25" x14ac:dyDescent="0.25">
      <c r="A9" s="413"/>
    </row>
    <row r="10" spans="1:6" ht="14.25" x14ac:dyDescent="0.25">
      <c r="A10" s="413"/>
    </row>
    <row r="11" spans="1:6" ht="16.5" customHeight="1" x14ac:dyDescent="0.25">
      <c r="A11" s="413" t="s">
        <v>68</v>
      </c>
      <c r="B11" s="181" t="s">
        <v>1127</v>
      </c>
      <c r="C11" s="181" t="s">
        <v>1128</v>
      </c>
      <c r="D11" s="181" t="s">
        <v>1129</v>
      </c>
      <c r="E11" s="181" t="s">
        <v>1130</v>
      </c>
    </row>
    <row r="12" spans="1:6" ht="16.5" customHeight="1" x14ac:dyDescent="0.25">
      <c r="A12" s="413"/>
      <c r="B12" s="181" t="s">
        <v>1131</v>
      </c>
      <c r="C12" s="181" t="s">
        <v>1132</v>
      </c>
      <c r="D12" s="181" t="s">
        <v>1133</v>
      </c>
      <c r="E12" s="181" t="s">
        <v>1134</v>
      </c>
    </row>
    <row r="13" spans="1:6" ht="16.5" customHeight="1" x14ac:dyDescent="0.25">
      <c r="A13" s="413"/>
      <c r="B13" s="181" t="s">
        <v>1135</v>
      </c>
      <c r="C13" s="181" t="s">
        <v>1136</v>
      </c>
      <c r="D13" s="181" t="s">
        <v>1137</v>
      </c>
    </row>
    <row r="14" spans="1:6" ht="16.5" customHeight="1" x14ac:dyDescent="0.25">
      <c r="A14" s="413" t="s">
        <v>65</v>
      </c>
      <c r="B14" s="181" t="s">
        <v>1411</v>
      </c>
    </row>
    <row r="15" spans="1:6" ht="16.5" customHeight="1" x14ac:dyDescent="0.25">
      <c r="A15" s="413"/>
    </row>
    <row r="16" spans="1:6" ht="16.5" customHeight="1" x14ac:dyDescent="0.25">
      <c r="A16" s="413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6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3" t="s">
        <v>1</v>
      </c>
      <c r="I1" s="423"/>
      <c r="J1" s="423"/>
      <c r="K1" s="423"/>
      <c r="M1" s="421" t="s">
        <v>113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1995</v>
      </c>
      <c r="C2" s="425"/>
      <c r="D2" s="5">
        <f ca="1">IFERROR(VLOOKUP(A1,OFFSET($AG$2,,,COUNTIF($AG$2:$AG$50,"?*"),23),15,FALSE),"")</f>
        <v>26</v>
      </c>
      <c r="E2" s="415" t="str">
        <f ca="1">IFERROR(VLOOKUP(A1,OFFSET($AG$2,,,COUNTIF($AG$2:$AG$50,"?*"),23),16,FALSE),"")</f>
        <v>183/76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2000</v>
      </c>
      <c r="O2" s="425"/>
      <c r="P2" s="6">
        <f ca="1">IFERROR(VLOOKUP(M1,OFFSET($AG$2,,,COUNTIF($AG$2:$AG$50,"?*"),23),15,FALSE),"")</f>
        <v>21</v>
      </c>
      <c r="Q2" s="415" t="str">
        <f ca="1">IFERROR(VLOOKUP(M1,OFFSET($AG$2,,,COUNTIF($AG$2:$AG$50,"?*"),23),16,FALSE),"")</f>
        <v>186/80</v>
      </c>
      <c r="R2" s="416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60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459" t="s">
        <v>192</v>
      </c>
      <c r="BY2" s="103" t="s">
        <v>861</v>
      </c>
      <c r="BZ2" s="103" t="s">
        <v>859</v>
      </c>
      <c r="CA2" s="115" t="s">
        <v>1138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14 (6+8), -13 ±</v>
      </c>
      <c r="B3" s="418"/>
      <c r="C3" s="418"/>
      <c r="D3" s="419" t="str">
        <f ca="1">IFERROR(VLOOKUP(A1,OFFSET($AG$2,,,COUNTIF($AG$2:$AG$50,"?*"),23),19,FALSE),"")</f>
        <v>114 OZ, 54 (32+22)</v>
      </c>
      <c r="E3" s="419"/>
      <c r="F3" s="420"/>
      <c r="G3" s="421" t="s">
        <v>9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17" t="str">
        <f ca="1">IFERROR(VLOOKUP(M1,OFFSET($AG$2,,,COUNTIF($AG$2:$AG$50,"?*"),23),18,FALSE),"")</f>
        <v>11 OZ, 5 (5+0), -10 ±</v>
      </c>
      <c r="N3" s="418"/>
      <c r="O3" s="418"/>
      <c r="P3" s="419" t="str">
        <f ca="1">IFERROR(VLOOKUP(M1,OFFSET($AG$2,,,COUNTIF($AG$2:$AG$50,"?*"),23),19,FALSE),"")</f>
        <v>32 OZ, 18 (9+9)</v>
      </c>
      <c r="Q3" s="419"/>
      <c r="R3" s="420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60"/>
      <c r="BT3" s="104" t="s">
        <v>1144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459"/>
      <c r="BY3" s="103" t="s">
        <v>841</v>
      </c>
      <c r="BZ3" s="103" t="s">
        <v>842</v>
      </c>
      <c r="CA3" s="115" t="s">
        <v>1089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Chodov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2006</v>
      </c>
      <c r="E4" s="43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1993</v>
      </c>
      <c r="I4" s="425"/>
      <c r="J4" s="5">
        <f ca="1">IFERROR(VLOOKUP(G3,OFFSET($AG$2,,,COUNTIF($AG$2:$AG$50,"?*"),23),15,FALSE),"")</f>
        <v>28</v>
      </c>
      <c r="K4" s="415" t="str">
        <f ca="1">IFERROR(VLOOKUP(G3,OFFSET($AG$2,,,COUNTIF($AG$2:$AG$50,"?*"),23),16,FALSE),"")</f>
        <v>173/68</v>
      </c>
      <c r="L4" s="416"/>
      <c r="M4" s="426" t="str">
        <f ca="1">IFERROR(IF(VLOOKUP(M1,OFFSET($AG$2,,,COUNTIF($AG$2:$AG$50,"?*"),23),13,FALSE)&lt;&gt;0,VLOOKUP(M1,OFFSET($AG$2,,,COUNTIF($AG$2:$AG$50,"?*"),23),13,FALSE),"?"),"")</f>
        <v>Slovan J. Hradec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2014</v>
      </c>
      <c r="Q4" s="43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60"/>
      <c r="BT4" s="104" t="s">
        <v>1145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59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8 OZ, 6 (3+3), -8 ±</v>
      </c>
      <c r="H5" s="418"/>
      <c r="I5" s="418"/>
      <c r="J5" s="419" t="str">
        <f ca="1">IFERROR(VLOOKUP(G3,OFFSET($AG$2,,,COUNTIF($AG$2:$AG$50,"?*"),23),19,FALSE),"")</f>
        <v>105 OZ, 92 (29+63)</v>
      </c>
      <c r="K5" s="419"/>
      <c r="L5" s="420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60"/>
      <c r="BT5" s="104" t="s">
        <v>1056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59"/>
      <c r="BY5" s="103" t="s">
        <v>1139</v>
      </c>
      <c r="BZ5" s="103" t="s">
        <v>838</v>
      </c>
      <c r="CA5" s="115" t="s">
        <v>769</v>
      </c>
    </row>
    <row r="6" spans="1:79" ht="15" customHeight="1" thickTop="1" thickBot="1" x14ac:dyDescent="0.25">
      <c r="A6" s="421" t="s">
        <v>10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26" t="str">
        <f ca="1">IFERROR(IF(VLOOKUP(G3,OFFSET($AG$2,,,COUNTIF($AG$2:$AG$50,"?*"),23),13,FALSE)&lt;&gt;0,VLOOKUP(G3,OFFSET($AG$2,,,COUNTIF($AG$2:$AG$50,"?*"),23),13,FALSE),"?"),"")</f>
        <v>Future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2003</v>
      </c>
      <c r="K6" s="430"/>
      <c r="L6" s="7">
        <f ca="1">IFERROR(IF(VLOOKUP(G3,OFFSET($AG$2,,,COUNTIF($AG$2:$AG$50,"?*"),23),7,FALSE)&lt;&gt;0,VLOOKUP(G3,OFFSET($AG$2,,,COUNTIF($AG$2:$AG$50,"?*"),23),7,FALSE),"?"),"")</f>
        <v>6</v>
      </c>
      <c r="M6" s="421" t="s">
        <v>4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460"/>
      <c r="BT6" s="104" t="s">
        <v>1146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459"/>
      <c r="BY6" s="103" t="s">
        <v>758</v>
      </c>
      <c r="BZ6" s="103" t="s">
        <v>837</v>
      </c>
      <c r="CA6" s="115" t="s">
        <v>1050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1993</v>
      </c>
      <c r="C7" s="425"/>
      <c r="D7" s="5">
        <f ca="1">IFERROR(VLOOKUP(A6,OFFSET($AG$2,,,COUNTIF($AG$2:$AG$50,"?*"),23),15,FALSE),"")</f>
        <v>28</v>
      </c>
      <c r="E7" s="415" t="str">
        <f ca="1">IFERROR(VLOOKUP(A6,OFFSET($AG$2,,,COUNTIF($AG$2:$AG$50,"?*"),23),16,FALSE),"")</f>
        <v>169/65</v>
      </c>
      <c r="F7" s="416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1999</v>
      </c>
      <c r="O7" s="425"/>
      <c r="P7" s="6">
        <f ca="1">IFERROR(VLOOKUP(M6,OFFSET($AG$2,,,COUNTIF($AG$2:$AG$50,"?*"),23),15,FALSE),"")</f>
        <v>22</v>
      </c>
      <c r="Q7" s="415" t="str">
        <f ca="1">IFERROR(VLOOKUP(M6,OFFSET($AG$2,,,COUNTIF($AG$2:$AG$50,"?*"),23),16,FALSE),"")</f>
        <v>181/82</v>
      </c>
      <c r="R7" s="416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0" t="s">
        <v>40</v>
      </c>
      <c r="BT7" s="104" t="s">
        <v>759</v>
      </c>
      <c r="BU7" s="103" t="s">
        <v>1147</v>
      </c>
      <c r="BV7" s="104" t="str">
        <f t="shared" si="14"/>
        <v>Karel Šantora</v>
      </c>
      <c r="BW7" s="112">
        <f t="shared" si="15"/>
        <v>6.43</v>
      </c>
      <c r="BX7" s="459" t="s">
        <v>193</v>
      </c>
      <c r="BY7" s="103" t="s">
        <v>1052</v>
      </c>
      <c r="BZ7" s="103" t="s">
        <v>870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10 OZ, 6 (1+5), -3 ±</v>
      </c>
      <c r="B8" s="418"/>
      <c r="C8" s="418"/>
      <c r="D8" s="419" t="str">
        <f ca="1">IFERROR(VLOOKUP(A6,OFFSET($AG$2,,,COUNTIF($AG$2:$AG$50,"?*"),23),19,FALSE),"")</f>
        <v>119 OZ, 62 (33+29)</v>
      </c>
      <c r="E8" s="419"/>
      <c r="F8" s="420"/>
      <c r="H8" s="431" t="s">
        <v>5</v>
      </c>
      <c r="I8" s="431"/>
      <c r="J8" s="431"/>
      <c r="K8" s="431"/>
      <c r="M8" s="417" t="str">
        <f ca="1">IFERROR(VLOOKUP(M6,OFFSET($AG$2,,,COUNTIF($AG$2:$AG$50,"?*"),23),18,FALSE),"")</f>
        <v>11 OZ, 3 (1+2), -9 ±</v>
      </c>
      <c r="N8" s="418"/>
      <c r="O8" s="418"/>
      <c r="P8" s="419" t="str">
        <f ca="1">IFERROR(VLOOKUP(M6,OFFSET($AG$2,,,COUNTIF($AG$2:$AG$50,"?*"),23),19,FALSE),"")</f>
        <v>35 OZ, 4 (1+3)</v>
      </c>
      <c r="Q8" s="419"/>
      <c r="R8" s="420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0"/>
      <c r="BT8" s="104" t="s">
        <v>760</v>
      </c>
      <c r="BU8" s="103" t="s">
        <v>1148</v>
      </c>
      <c r="BV8" s="104" t="str">
        <f t="shared" si="14"/>
        <v>Petr Musil</v>
      </c>
      <c r="BW8" s="112">
        <f t="shared" si="15"/>
        <v>8.11</v>
      </c>
      <c r="BX8" s="459"/>
      <c r="BY8" s="103" t="s">
        <v>1140</v>
      </c>
      <c r="BZ8" s="103" t="s">
        <v>868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Lhokamo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2004</v>
      </c>
      <c r="E9" s="430"/>
      <c r="F9" s="7">
        <f ca="1">IFERROR(IF(VLOOKUP(A6,OFFSET($AG$2,,,COUNTIF($AG$2:$AG$50,"?*"),23),7,FALSE)&lt;&gt;0,VLOOKUP(A6,OFFSET($AG$2,,,COUNTIF($AG$2:$AG$50,"?*"),23),7,FALSE),"?"),"")</f>
        <v>7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Bohemians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2009</v>
      </c>
      <c r="Q9" s="430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0"/>
      <c r="BV9" s="104" t="str">
        <f t="shared" si="14"/>
        <v/>
      </c>
      <c r="BW9" s="112" t="str">
        <f t="shared" si="15"/>
        <v/>
      </c>
      <c r="BX9" s="459"/>
      <c r="BY9" s="103" t="s">
        <v>1141</v>
      </c>
      <c r="BZ9" s="103" t="s">
        <v>857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0"/>
      <c r="BV10" s="104" t="str">
        <f t="shared" si="14"/>
        <v/>
      </c>
      <c r="BW10" s="112" t="str">
        <f t="shared" si="15"/>
        <v/>
      </c>
      <c r="BX10" s="459"/>
      <c r="BY10" s="103" t="s">
        <v>1142</v>
      </c>
      <c r="BZ10" s="103" t="s">
        <v>887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0"/>
      <c r="BV11" s="104" t="str">
        <f t="shared" si="14"/>
        <v/>
      </c>
      <c r="BW11" s="112" t="str">
        <f t="shared" si="15"/>
        <v/>
      </c>
      <c r="BX11" s="459"/>
      <c r="BY11" s="103" t="s">
        <v>1211</v>
      </c>
      <c r="BZ11" s="103" t="s">
        <v>860</v>
      </c>
      <c r="CA11" s="115" t="s">
        <v>188</v>
      </c>
    </row>
    <row r="12" spans="1:79" ht="15" customHeight="1" thickTop="1" thickBot="1" x14ac:dyDescent="0.25">
      <c r="A12" s="421" t="s">
        <v>0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23" t="s">
        <v>7</v>
      </c>
      <c r="I12" s="423"/>
      <c r="J12" s="423"/>
      <c r="K12" s="423"/>
      <c r="M12" s="421" t="s">
        <v>104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0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2003</v>
      </c>
      <c r="C13" s="425"/>
      <c r="D13" s="5">
        <f ca="1">IFERROR(VLOOKUP(A12,OFFSET($AG$2,,,COUNTIF($AG$2:$AG$50,"?*"),23),15,FALSE),"")</f>
        <v>18</v>
      </c>
      <c r="E13" s="415" t="str">
        <f ca="1">IFERROR(VLOOKUP(A12,OFFSET($AG$2,,,COUNTIF($AG$2:$AG$50,"?*"),23),16,FALSE),"")</f>
        <v>185/71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1995</v>
      </c>
      <c r="O13" s="425"/>
      <c r="P13" s="6">
        <f ca="1">IFERROR(VLOOKUP(M12,OFFSET($AG$2,,,COUNTIF($AG$2:$AG$50,"?*"),23),15,FALSE),"")</f>
        <v>26</v>
      </c>
      <c r="Q13" s="415" t="str">
        <f ca="1">IFERROR(VLOOKUP(M12,OFFSET($AG$2,,,COUNTIF($AG$2:$AG$50,"?*"),23),16,FALSE),"")</f>
        <v>191/78</v>
      </c>
      <c r="R13" s="416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0"/>
      <c r="BT13" s="104" t="s">
        <v>1149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17" t="str">
        <f ca="1">IFERROR(VLOOKUP(A12,OFFSET($AG$2,,,COUNTIF($AG$2:$AG$50,"?*"),23),18,FALSE),"")</f>
        <v>11 OZ, 12 (8+4), -14 ±</v>
      </c>
      <c r="B14" s="418"/>
      <c r="C14" s="418"/>
      <c r="D14" s="419" t="str">
        <f ca="1">IFERROR(VLOOKUP(A12,OFFSET($AG$2,,,COUNTIF($AG$2:$AG$50,"?*"),23),19,FALSE),"")</f>
        <v>31 OZ, 17 (12+5)</v>
      </c>
      <c r="E14" s="419"/>
      <c r="F14" s="420"/>
      <c r="G14" s="421" t="s">
        <v>109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17" t="str">
        <f ca="1">IFERROR(VLOOKUP(M12,OFFSET($AG$2,,,COUNTIF($AG$2:$AG$50,"?*"),23),18,FALSE),"")</f>
        <v>10 OZ, 22 (12+10), -8 ±</v>
      </c>
      <c r="N14" s="418"/>
      <c r="O14" s="418"/>
      <c r="P14" s="419" t="str">
        <f ca="1">IFERROR(VLOOKUP(M12,OFFSET($AG$2,,,COUNTIF($AG$2:$AG$50,"?*"),23),19,FALSE),"")</f>
        <v>113 OZ, 146 (96+50)</v>
      </c>
      <c r="Q14" s="419"/>
      <c r="R14" s="420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0"/>
      <c r="BT14" s="104" t="s">
        <v>1053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SK Florbal Benešov</v>
      </c>
      <c r="B15" s="427"/>
      <c r="C15" s="428"/>
      <c r="D15" s="429">
        <f ca="1">IFERROR(IF(VLOOKUP(A12,OFFSET($AG$2,,,COUNTIF($AG$2:$AG$50,"?*"),23),14,FALSE)&lt;&gt;0,VLOOKUP(A12,OFFSET($AG$2,,,COUNTIF($AG$2:$AG$50,"?*"),23),14,FALSE),"?"),"")</f>
        <v>2009</v>
      </c>
      <c r="E15" s="430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2000</v>
      </c>
      <c r="I15" s="425"/>
      <c r="J15" s="5">
        <f ca="1">IFERROR(VLOOKUP(G14,OFFSET($AG$2,,,COUNTIF($AG$2:$AG$50,"?*"),23),15,FALSE),"")</f>
        <v>21</v>
      </c>
      <c r="K15" s="415" t="str">
        <f ca="1">IFERROR(VLOOKUP(G14,OFFSET($AG$2,,,COUNTIF($AG$2:$AG$50,"?*"),23),16,FALSE),"")</f>
        <v>191/86</v>
      </c>
      <c r="L15" s="416"/>
      <c r="M15" s="426" t="str">
        <f ca="1">IFERROR(IF(VLOOKUP(M12,OFFSET($AG$2,,,COUNTIF($AG$2:$AG$50,"?*"),23),13,FALSE)&lt;&gt;0,VLOOKUP(M12,OFFSET($AG$2,,,COUNTIF($AG$2:$AG$50,"?*"),23),13,FALSE),"?"),"")</f>
        <v>Florbal Ústí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2008</v>
      </c>
      <c r="Q15" s="430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0"/>
      <c r="BT15" s="104" t="s">
        <v>1055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8 OZ, 3 (1+2), -4 ±</v>
      </c>
      <c r="H16" s="418"/>
      <c r="I16" s="418"/>
      <c r="J16" s="419" t="str">
        <f ca="1">IFERROR(VLOOKUP(G14,OFFSET($AG$2,,,COUNTIF($AG$2:$AG$50,"?*"),23),19,FALSE),"")</f>
        <v>21 OZ, 4 (1+3)</v>
      </c>
      <c r="K16" s="419"/>
      <c r="L16" s="420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0"/>
      <c r="BT16" s="104" t="s">
        <v>1054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1" t="s">
        <v>112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26" t="str">
        <f ca="1">IFERROR(IF(VLOOKUP(G14,OFFSET($AG$2,,,COUNTIF($AG$2:$AG$50,"?*"),23),13,FALSE)&lt;&gt;0,VLOOKUP(G14,OFFSET($AG$2,,,COUNTIF($AG$2:$AG$50,"?*"),23),13,FALSE),"?"),"")</f>
        <v>SKV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2014</v>
      </c>
      <c r="K17" s="430"/>
      <c r="L17" s="7">
        <f ca="1">IFERROR(IF(VLOOKUP(G14,OFFSET($AG$2,,,COUNTIF($AG$2:$AG$50,"?*"),23),7,FALSE)&lt;&gt;0,VLOOKUP(G14,OFFSET($AG$2,,,COUNTIF($AG$2:$AG$50,"?*"),23),7,FALSE),"?"),"")</f>
        <v>3</v>
      </c>
      <c r="M17" s="421" t="s">
        <v>11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0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>
        <f ca="1">IFERROR(IF(VLOOKUP(A17,OFFSET($AG$2,,,COUNTIF($AG$2:$AG$50,"?*"),23),2,FALSE)&lt;&gt;0,YEAR(VLOOKUP(A17,OFFSET($AG$2,,,COUNTIF($AG$2:$AG$50,"?*"),23),2,FALSE)),""),"")</f>
        <v>2002</v>
      </c>
      <c r="C18" s="425"/>
      <c r="D18" s="149">
        <f ca="1">IFERROR(VLOOKUP(A17,OFFSET($AG$2,,,COUNTIF($AG$2:$AG$50,"?*"),23),15,FALSE),"")</f>
        <v>19</v>
      </c>
      <c r="E18" s="415" t="str">
        <f ca="1">IFERROR(VLOOKUP(A17,OFFSET($AG$2,,,COUNTIF($AG$2:$AG$50,"?*"),23),16,FALSE),"")</f>
        <v>? / ?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2001</v>
      </c>
      <c r="O18" s="425"/>
      <c r="P18" s="6">
        <f ca="1">IFERROR(VLOOKUP(M17,OFFSET($AG$2,,,COUNTIF($AG$2:$AG$50,"?*"),23),15,FALSE),"")</f>
        <v>20</v>
      </c>
      <c r="Q18" s="415" t="str">
        <f ca="1">IFERROR(VLOOKUP(M17,OFFSET($AG$2,,,COUNTIF($AG$2:$AG$50,"?*"),23),16,FALSE),"")</f>
        <v>181/80</v>
      </c>
      <c r="R18" s="416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0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17" t="str">
        <f ca="1">IFERROR(VLOOKUP(A17,OFFSET($AG$2,,,COUNTIF($AG$2:$AG$50,"?*"),23),18,FALSE),"")</f>
        <v>8 OZ, 0 (0+0), -4 ±</v>
      </c>
      <c r="B19" s="418"/>
      <c r="C19" s="418"/>
      <c r="D19" s="419" t="str">
        <f ca="1">IFERROR(VLOOKUP(A17,OFFSET($AG$2,,,COUNTIF($AG$2:$AG$50,"?*"),23),19,FALSE),"")</f>
        <v>8 OZ, 0 (0+0)</v>
      </c>
      <c r="E19" s="419"/>
      <c r="F19" s="420"/>
      <c r="H19" s="431" t="str">
        <f>H$8</f>
        <v>SKV</v>
      </c>
      <c r="I19" s="431"/>
      <c r="J19" s="431"/>
      <c r="K19" s="431"/>
      <c r="M19" s="417" t="str">
        <f ca="1">IFERROR(VLOOKUP(M17,OFFSET($AG$2,,,COUNTIF($AG$2:$AG$50,"?*"),23),18,FALSE),"")</f>
        <v>10 OZ, 0 (0+0), -11 ±</v>
      </c>
      <c r="N19" s="418"/>
      <c r="O19" s="418"/>
      <c r="P19" s="419" t="str">
        <f ca="1">IFERROR(VLOOKUP(M17,OFFSET($AG$2,,,COUNTIF($AG$2:$AG$50,"?*"),23),19,FALSE),"")</f>
        <v>68 OZ, 16 (9+7)</v>
      </c>
      <c r="Q19" s="419"/>
      <c r="R19" s="420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Tatran Střešovice</v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>?</v>
      </c>
      <c r="E20" s="430"/>
      <c r="F20" s="7">
        <f ca="1">IFERROR(IF(VLOOKUP(A17,OFFSET($AG$2,,,COUNTIF($AG$2:$AG$50,"?*"),23),7,FALSE)&lt;&gt;0,VLOOKUP(A17,OFFSET($AG$2,,,COUNTIF($AG$2:$AG$50,"?*"),23),7,FALSE),"?"),"")</f>
        <v>1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Bulldogs Brno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2013</v>
      </c>
      <c r="Q20" s="430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0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421" t="s">
        <v>106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23" t="s">
        <v>13</v>
      </c>
      <c r="I23" s="423"/>
      <c r="J23" s="423"/>
      <c r="K23" s="423"/>
      <c r="M23" s="421" t="s">
        <v>143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0"/>
      <c r="BT23" s="104" t="s">
        <v>1144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2002</v>
      </c>
      <c r="C24" s="425"/>
      <c r="D24" s="5">
        <f ca="1">IFERROR(VLOOKUP(A23,OFFSET($AG$2,,,COUNTIF($AG$2:$AG$50,"?*"),23),15,FALSE),"")</f>
        <v>19</v>
      </c>
      <c r="E24" s="415" t="str">
        <f ca="1">IFERROR(VLOOKUP(A23,OFFSET($AG$2,,,COUNTIF($AG$2:$AG$50,"?*"),23),16,FALSE),"")</f>
        <v>182/75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2000</v>
      </c>
      <c r="O24" s="425"/>
      <c r="P24" s="6">
        <f ca="1">IFERROR(VLOOKUP(M23,OFFSET($AG$2,,,COUNTIF($AG$2:$AG$50,"?*"),23),15,FALSE),"")</f>
        <v>21</v>
      </c>
      <c r="Q24" s="415" t="str">
        <f ca="1">IFERROR(VLOOKUP(M23,OFFSET($AG$2,,,COUNTIF($AG$2:$AG$50,"?*"),23),16,FALSE),"")</f>
        <v>175/70</v>
      </c>
      <c r="R24" s="416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0"/>
      <c r="BT24" s="104" t="s">
        <v>1053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17" t="str">
        <f ca="1">IFERROR(VLOOKUP(A23,OFFSET($AG$2,,,COUNTIF($AG$2:$AG$50,"?*"),23),18,FALSE),"")</f>
        <v>9 OZ, 1 (1+0), -8 ±</v>
      </c>
      <c r="B25" s="418"/>
      <c r="C25" s="418"/>
      <c r="D25" s="419" t="str">
        <f ca="1">IFERROR(VLOOKUP(A23,OFFSET($AG$2,,,COUNTIF($AG$2:$AG$50,"?*"),23),19,FALSE),"")</f>
        <v>26 OZ, 3 (2+1)</v>
      </c>
      <c r="E25" s="419"/>
      <c r="F25" s="420"/>
      <c r="G25" s="421" t="s">
        <v>17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17" t="str">
        <f ca="1">IFERROR(VLOOKUP(M23,OFFSET($AG$2,,,COUNTIF($AG$2:$AG$50,"?*"),23),18,FALSE),"")</f>
        <v>6 OZ, 1 (0+1), 0 ±</v>
      </c>
      <c r="N25" s="418"/>
      <c r="O25" s="418"/>
      <c r="P25" s="419" t="str">
        <f ca="1">IFERROR(VLOOKUP(M23,OFFSET($AG$2,,,COUNTIF($AG$2:$AG$50,"?*"),23),19,FALSE),"")</f>
        <v>60 OZ, 17 (2+15)</v>
      </c>
      <c r="Q25" s="419"/>
      <c r="R25" s="420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0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FA Mladá Boleslav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2010</v>
      </c>
      <c r="E26" s="430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5">
        <f ca="1">IFERROR(VLOOKUP(G25,OFFSET($AG$2,,,COUNTIF($AG$2:$AG$50,"?*"),23),15,FALSE),"")</f>
        <v>19</v>
      </c>
      <c r="K26" s="415" t="str">
        <f ca="1">IFERROR(VLOOKUP(G25,OFFSET($AG$2,,,COUNTIF($AG$2:$AG$50,"?*"),23),16,FALSE),"")</f>
        <v>181/66</v>
      </c>
      <c r="L26" s="416"/>
      <c r="M26" s="426" t="str">
        <f ca="1">IFERROR(IF(VLOOKUP(M23,OFFSET($AG$2,,,COUNTIF($AG$2:$AG$50,"?*"),23),13,FALSE)&lt;&gt;0,VLOOKUP(M23,OFFSET($AG$2,,,COUNTIF($AG$2:$AG$50,"?*"),23),13,FALSE),"?"),"")</f>
        <v>SKV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2015</v>
      </c>
      <c r="Q26" s="430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0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11 OZ, 1 (1+0), -8 ±</v>
      </c>
      <c r="H27" s="418"/>
      <c r="I27" s="418"/>
      <c r="J27" s="419" t="str">
        <f ca="1">IFERROR(VLOOKUP(G25,OFFSET($AG$2,,,COUNTIF($AG$2:$AG$50,"?*"),23),19,FALSE),"")</f>
        <v>34 OZ, 1 (1+0)</v>
      </c>
      <c r="K27" s="419"/>
      <c r="L27" s="420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0" t="s">
        <v>39</v>
      </c>
      <c r="BT27" s="104" t="s">
        <v>1150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1" t="s">
        <v>111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26" t="str">
        <f ca="1">IFERROR(IF(VLOOKUP(G25,OFFSET($AG$2,,,COUNTIF($AG$2:$AG$50,"?*"),23),13,FALSE)&lt;&gt;0,VLOOKUP(G25,OFFSET($AG$2,,,COUNTIF($AG$2:$AG$50,"?*"),23),13,FALSE),"?"),"")</f>
        <v>SKV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2012</v>
      </c>
      <c r="K28" s="430"/>
      <c r="L28" s="7">
        <f ca="1">IFERROR(IF(VLOOKUP(G25,OFFSET($AG$2,,,COUNTIF($AG$2:$AG$50,"?*"),23),7,FALSE)&lt;&gt;0,VLOOKUP(G25,OFFSET($AG$2,,,COUNTIF($AG$2:$AG$50,"?*"),23),7,FALSE),"?"),"")</f>
        <v>2</v>
      </c>
      <c r="M28" s="421" t="s">
        <v>19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0"/>
      <c r="BT28" s="104" t="s">
        <v>1144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1993</v>
      </c>
      <c r="C29" s="425"/>
      <c r="D29" s="5">
        <f ca="1">IFERROR(VLOOKUP(A28,OFFSET($AG$2,,,COUNTIF($AG$2:$AG$50,"?*"),23),15,FALSE),"")</f>
        <v>28</v>
      </c>
      <c r="E29" s="415" t="str">
        <f ca="1">IFERROR(VLOOKUP(A28,OFFSET($AG$2,,,COUNTIF($AG$2:$AG$50,"?*"),23),16,FALSE),"")</f>
        <v>169/70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2002</v>
      </c>
      <c r="O29" s="425"/>
      <c r="P29" s="6">
        <f ca="1">IFERROR(VLOOKUP(M28,OFFSET($AG$2,,,COUNTIF($AG$2:$AG$50,"?*"),23),15,FALSE),"")</f>
        <v>19</v>
      </c>
      <c r="Q29" s="415" t="str">
        <f ca="1">IFERROR(VLOOKUP(M28,OFFSET($AG$2,,,COUNTIF($AG$2:$AG$50,"?*"),23),16,FALSE),"")</f>
        <v>187/61</v>
      </c>
      <c r="R29" s="41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0"/>
      <c r="BT29" s="104" t="s">
        <v>1151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17" t="str">
        <f ca="1">IFERROR(VLOOKUP(A28,OFFSET($AG$2,,,COUNTIF($AG$2:$AG$50,"?*"),23),18,FALSE),"")</f>
        <v>11 OZ, 1 (1+0), -10 ±</v>
      </c>
      <c r="B30" s="418"/>
      <c r="C30" s="418"/>
      <c r="D30" s="419" t="str">
        <f ca="1">IFERROR(VLOOKUP(A28,OFFSET($AG$2,,,COUNTIF($AG$2:$AG$50,"?*"),23),19,FALSE),"")</f>
        <v>213 OZ, 68 (37+31)</v>
      </c>
      <c r="E30" s="419"/>
      <c r="F30" s="420"/>
      <c r="H30" s="431" t="str">
        <f>H$8</f>
        <v>SKV</v>
      </c>
      <c r="I30" s="431"/>
      <c r="J30" s="431"/>
      <c r="K30" s="431"/>
      <c r="M30" s="417" t="str">
        <f ca="1">IFERROR(VLOOKUP(M28,OFFSET($AG$2,,,COUNTIF($AG$2:$AG$50,"?*"),23),18,FALSE),"")</f>
        <v>9 OZ, 0 (0+0), -2 ±</v>
      </c>
      <c r="N30" s="418"/>
      <c r="O30" s="418"/>
      <c r="P30" s="419" t="str">
        <f ca="1">IFERROR(VLOOKUP(M28,OFFSET($AG$2,,,COUNTIF($AG$2:$AG$50,"?*"),23),19,FALSE),"")</f>
        <v>27 OZ, 3 (2+1)</v>
      </c>
      <c r="Q30" s="419"/>
      <c r="R30" s="42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0"/>
      <c r="BT30" s="104" t="s">
        <v>1152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SKF Draci 99 Liberec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1998</v>
      </c>
      <c r="E31" s="430"/>
      <c r="F31" s="7">
        <f ca="1">IFERROR(IF(VLOOKUP(A28,OFFSET($AG$2,,,COUNTIF($AG$2:$AG$50,"?*"),23),7,FALSE)&lt;&gt;0,VLOOKUP(A28,OFFSET($AG$2,,,COUNTIF($AG$2:$AG$50,"?*"),23),7,FALSE),"?"),"")</f>
        <v>11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SKV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2013</v>
      </c>
      <c r="Q31" s="430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0"/>
      <c r="BT31" s="104" t="s">
        <v>1153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1" t="s">
        <v>110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2" t="s">
        <v>16</v>
      </c>
      <c r="J34" s="421" t="s">
        <v>8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4">
        <f ca="1">IFERROR(IF(VLOOKUP(A34,OFFSET($AG$2,,,COUNTIF($AG$2:$AG$50,"?*"),23),2,FALSE)&lt;&gt;0,YEAR(VLOOKUP(A34,OFFSET($AG$2,,,COUNTIF($AG$2:$AG$50,"?*"),23),2,FALSE)),""),"")</f>
        <v>1998</v>
      </c>
      <c r="C35" s="425"/>
      <c r="D35" s="5">
        <f ca="1">IFERROR(VLOOKUP(A34,OFFSET($AG$2,,,COUNTIF($AG$2:$AG$50,"?*"),23),15,FALSE),"")</f>
        <v>23</v>
      </c>
      <c r="E35" s="415" t="str">
        <f ca="1">IFERROR(VLOOKUP(A34,OFFSET($AG$2,,,COUNTIF($AG$2:$AG$50,"?*"),23),16,FALSE),"")</f>
        <v>175/69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1993</v>
      </c>
      <c r="L35" s="433"/>
      <c r="M35" s="15">
        <f ca="1">IFERROR(VLOOKUP(J34,OFFSET($AG$2,,,COUNTIF($AG$2:$AG$50,"?*"),23),15,FALSE),"")</f>
        <v>28</v>
      </c>
      <c r="N35" s="433" t="str">
        <f ca="1">IFERROR(VLOOKUP(J34,OFFSET($AG$2,,,COUNTIF($AG$2:$AG$50,"?*"),23),16,FALSE),"")</f>
        <v>180/78</v>
      </c>
      <c r="O35" s="433"/>
      <c r="P35" s="433" t="str">
        <f ca="1">IFERROR(VLOOKUP(J34,OFFSET($AG$2,,,COUNTIF($AG$2:$AG$50,"?*"),23),18,FALSE),"")</f>
        <v>6 OZ, 2 (1+1), -1 ±</v>
      </c>
      <c r="Q35" s="433"/>
      <c r="R35" s="44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41" t="str">
        <f ca="1">IFERROR(VLOOKUP(A34,OFFSET($AG$2,,,COUNTIF($AG$2:$AG$50,"?*"),23),18,FALSE),"")</f>
        <v>1 V, 6 P</v>
      </c>
      <c r="C36" s="441"/>
      <c r="D36" s="442">
        <f ca="1">IFERROR(VLOOKUP(A34,OFFSET($S$45,,,COUNTIF($S$45:$S$50,"?*"),14),5,FALSE),"")</f>
        <v>51</v>
      </c>
      <c r="E36" s="443"/>
      <c r="F36" s="17">
        <f ca="1">IFERROR(VLOOKUP(A34,OFFSET($S$45,,,COUNTIF($S$45:$S$50,"?*"),14),14,FALSE),"")</f>
        <v>75.829383886255926</v>
      </c>
      <c r="H36" s="432"/>
      <c r="J36" s="18">
        <f ca="1">IFERROR(IF(VLOOKUP(J34,OFFSET($AG$2,,,COUNTIF($AG$2:$AG$50,"?*"),23),7,FALSE)&lt;&gt;0,VLOOKUP(J34,OFFSET($AG$2,,,COUNTIF($AG$2:$AG$50,"?*"),23),7,FALSE),"?"),"")</f>
        <v>8</v>
      </c>
      <c r="K36" s="444" t="str">
        <f ca="1">IFERROR(VLOOKUP(J34,OFFSET($AG$2,,,COUNTIF($AG$2:$AG$50,"?*"),23),19,FALSE),"")</f>
        <v>167 OZ, 141 (93+48)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ASP Hr. Králové</v>
      </c>
      <c r="O36" s="445"/>
      <c r="P36" s="445"/>
      <c r="Q36" s="444">
        <f ca="1">IFERROR(IF(VLOOKUP(J34,OFFSET($AG$2,,,COUNTIF($AG$2:$AG$50,"?*"),23),14,FALSE)&lt;&gt;0,VLOOKUP(J34,OFFSET($AG$2,,,COUNTIF($AG$2:$AG$50,"?*"),23),14,FALSE),"?"),"")</f>
        <v>2007</v>
      </c>
      <c r="R36" s="44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377.11</v>
      </c>
      <c r="B37" s="435"/>
      <c r="C37" s="436">
        <f ca="1">IFERROR(VLOOKUP(A34,OFFSET($S$45,,,COUNTIF($S$45:$S$50,"?*"),14),13,FALSE),"")</f>
        <v>8.1143432950597969</v>
      </c>
      <c r="D37" s="437"/>
      <c r="E37" s="438" t="str">
        <f ca="1">IFERROR(VLOOKUP(A34,OFFSET($AG$2,,,COUNTIF($AG$2:$AG$50,"?*"),23),19,FALSE),"")</f>
        <v>44 OZ, 0 A</v>
      </c>
      <c r="F37" s="439"/>
      <c r="H37" s="43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FTC Vysoké Mýto</v>
      </c>
      <c r="B38" s="427"/>
      <c r="C38" s="428"/>
      <c r="D38" s="429">
        <f ca="1">IFERROR(IF(VLOOKUP(A34,OFFSET($AG$2,,,COUNTIF($AG$2:$AG$50,"?*"),23),14,FALSE)&lt;&gt;0,VLOOKUP(A34,OFFSET($AG$2,,,COUNTIF($AG$2:$AG$50,"?*"),23),14,FALSE),"?"),"")</f>
        <v>2012</v>
      </c>
      <c r="E38" s="430"/>
      <c r="F38" s="19">
        <f ca="1">IFERROR(VLOOKUP(A34,OFFSET($S$45,,,COUNTIF($S$45:$S$50,"?*"),14),6,FALSE),"")</f>
        <v>0</v>
      </c>
      <c r="H38" s="432"/>
      <c r="J38" s="421" t="s">
        <v>153</v>
      </c>
      <c r="K38" s="422"/>
      <c r="L38" s="422"/>
      <c r="M38" s="422"/>
      <c r="N38" s="422"/>
      <c r="O38" s="422"/>
      <c r="P38" s="42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5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180/69</v>
      </c>
      <c r="O39" s="433"/>
      <c r="P39" s="433" t="str">
        <f ca="1">IFERROR(VLOOKUP(J38,OFFSET($AG$2,,,COUNTIF($AG$2:$AG$50,"?*"),23),18,FALSE),"")</f>
        <v>3 OZ, 0 (0+0), -1 ±</v>
      </c>
      <c r="Q39" s="433"/>
      <c r="R39" s="44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1" t="s">
        <v>15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2"/>
      <c r="J40" s="18">
        <f ca="1">IFERROR(IF(VLOOKUP(J38,OFFSET($AG$2,,,COUNTIF($AG$2:$AG$50,"?*"),23),7,FALSE)&lt;&gt;0,VLOOKUP(J38,OFFSET($AG$2,,,COUNTIF($AG$2:$AG$50,"?*"),23),7,FALSE),"?"),"")</f>
        <v>2</v>
      </c>
      <c r="K40" s="444" t="str">
        <f ca="1">IFERROR(VLOOKUP(J38,OFFSET($AG$2,,,COUNTIF($AG$2:$AG$50,"?*"),23),19,FALSE),"")</f>
        <v>5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SKV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2010</v>
      </c>
      <c r="R40" s="44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4">
        <f ca="1">IFERROR(IF(VLOOKUP(A40,OFFSET($AG$2,,,COUNTIF($AG$2:$AG$50,"?*"),23),2,FALSE)&lt;&gt;0,YEAR(VLOOKUP(A40,OFFSET($AG$2,,,COUNTIF($AG$2:$AG$50,"?*"),23),2,FALSE)),""),"")</f>
        <v>1996</v>
      </c>
      <c r="C41" s="425"/>
      <c r="D41" s="5">
        <f ca="1">IFERROR(VLOOKUP(A40,OFFSET($AG$2,,,COUNTIF($AG$2:$AG$50,"?*"),23),15,FALSE),"")</f>
        <v>25</v>
      </c>
      <c r="E41" s="415" t="str">
        <f ca="1">IFERROR(VLOOKUP(A40,OFFSET($AG$2,,,COUNTIF($AG$2:$AG$50,"?*"),23),16,FALSE),"")</f>
        <v>187/88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41" t="str">
        <f ca="1">IFERROR(VLOOKUP(A40,OFFSET($AG$2,,,COUNTIF($AG$2:$AG$50,"?*"),23),18,FALSE),"")</f>
        <v>2 V, 3 P</v>
      </c>
      <c r="C42" s="441"/>
      <c r="D42" s="442">
        <f ca="1">IFERROR(VLOOKUP(A40,OFFSET($S$45,,,COUNTIF($S$45:$S$50,"?*"),14),5,FALSE),"")</f>
        <v>29</v>
      </c>
      <c r="E42" s="443"/>
      <c r="F42" s="17">
        <f ca="1">IFERROR(VLOOKUP(A40,OFFSET($S$45,,,COUNTIF($S$45:$S$50,"?*"),14),14,FALSE),"")</f>
        <v>68.817204301075279</v>
      </c>
      <c r="H42" s="432"/>
      <c r="J42" s="421"/>
      <c r="K42" s="422"/>
      <c r="L42" s="422"/>
      <c r="M42" s="422"/>
      <c r="N42" s="422"/>
      <c r="O42" s="422"/>
      <c r="P42" s="42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34">
        <f ca="1">IFERROR(VLOOKUP(A40,OFFSET($S$45,,,COUNTIF($S$45:$S$50,"?*"),14),3,FALSE),"")</f>
        <v>270.69</v>
      </c>
      <c r="B43" s="435"/>
      <c r="C43" s="436">
        <f ca="1">IFERROR(VLOOKUP(A40,OFFSET($S$45,,,COUNTIF($S$45:$S$50,"?*"),14),13,FALSE),"")</f>
        <v>6.4280172891499507</v>
      </c>
      <c r="D43" s="437"/>
      <c r="E43" s="438" t="str">
        <f ca="1">IFERROR(VLOOKUP(A40,OFFSET($AG$2,,,COUNTIF($AG$2:$AG$50,"?*"),23),19,FALSE),"")</f>
        <v>45 OZ, 2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Chodov</v>
      </c>
      <c r="B44" s="427"/>
      <c r="C44" s="428"/>
      <c r="D44" s="429">
        <f ca="1">IFERROR(IF(VLOOKUP(A40,OFFSET($AG$2,,,COUNTIF($AG$2:$AG$50,"?*"),23),14,FALSE)&lt;&gt;0,VLOOKUP(A40,OFFSET($AG$2,,,COUNTIF($AG$2:$AG$50,"?*"),23),14,FALSE),"?"),"")</f>
        <v>2008</v>
      </c>
      <c r="E44" s="430"/>
      <c r="F44" s="19">
        <f ca="1">IFERROR(VLOOKUP(A40,OFFSET($S$45,,,COUNTIF($S$45:$S$50,"?*"),14),6,FALSE),"")</f>
        <v>0</v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1" t="s">
        <v>20</v>
      </c>
      <c r="B47" s="462"/>
      <c r="C47" s="462"/>
      <c r="D47" s="462"/>
      <c r="E47" s="457" t="str">
        <f ca="1">IFERROR(VLOOKUP(A47,OFFSET($BN$2,,,COUNTIF($BN$2:$BN$11,"?*"),5),3,FALSE),"")</f>
        <v>trenér</v>
      </c>
      <c r="F47" s="457"/>
      <c r="G47" s="457"/>
      <c r="H47" s="457"/>
      <c r="I47" s="458"/>
      <c r="J47" s="461" t="s">
        <v>21</v>
      </c>
      <c r="K47" s="462"/>
      <c r="L47" s="462"/>
      <c r="M47" s="462"/>
      <c r="N47" s="457" t="str">
        <f ca="1">IFERROR(VLOOKUP(J47,OFFSET($BN$2,,,COUNTIF($BN$2:$BN$11,"?*"),5),3,FALSE),"")</f>
        <v>trenér</v>
      </c>
      <c r="O47" s="457"/>
      <c r="P47" s="457"/>
      <c r="Q47" s="457"/>
      <c r="R47" s="458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47">
        <f ca="1">IFERROR(VLOOKUP(A47,OFFSET($BN$2,,,COUNTIF($BN$2:$BN$11,"?*"),5),5,FALSE),"")</f>
        <v>38</v>
      </c>
      <c r="B48" s="449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49"/>
      <c r="D48" s="449"/>
      <c r="E48" s="449"/>
      <c r="F48" s="449"/>
      <c r="G48" s="449"/>
      <c r="H48" s="449"/>
      <c r="I48" s="450"/>
      <c r="J48" s="24">
        <f ca="1">IFERROR(VLOOKUP(J47,OFFSET($BN$2,,,COUNTIF($BN$2:$BN$11,"?*"),5),5,FALSE),"")</f>
        <v>35</v>
      </c>
      <c r="K48" s="453" t="str">
        <f ca="1">IFERROR(IF(VLOOKUP(J47,OFFSET($BN$2,,,COUNTIF($BN$2:$BN$11,"?*"),5),4,FALSE)&lt;&gt;0,VLOOKUP(J47,OFFSET($BN$2,,,COUNTIF($BN$2:$BN$11,"?*"),5),4,FALSE),"-"),"")</f>
        <v>2x mistr české ligy (Chodov)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22</v>
      </c>
      <c r="K49" s="456"/>
      <c r="L49" s="456"/>
      <c r="M49" s="456"/>
      <c r="N49" s="457" t="str">
        <f ca="1">IFERROR(VLOOKUP(J49,OFFSET($BN$2,,,COUNTIF($BN$2:$BN$11,"?*"),5),3,FALSE),"")</f>
        <v>kondiční trenér</v>
      </c>
      <c r="O49" s="457"/>
      <c r="P49" s="457"/>
      <c r="Q49" s="457"/>
      <c r="R49" s="458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24">
        <f ca="1">IFERROR(VLOOKUP(J49,OFFSET($BN$2,,,COUNTIF($BN$2:$BN$11,"?*"),5),5,FALSE),"")</f>
        <v>31</v>
      </c>
      <c r="K50" s="453" t="str">
        <f ca="1">IFERROR(IF(VLOOKUP(J49,OFFSET($BN$2,,,COUNTIF($BN$2:$BN$11,"?*"),5),4,FALSE)&lt;&gt;0,VLOOKUP(J49,OFFSET($BN$2,,,COUNTIF($BN$2:$BN$11,"?*"),5),4,FALSE),"-"),"")</f>
        <v>postup do Tipsport superligy (hráč)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459" t="s">
        <v>192</v>
      </c>
      <c r="BY2" s="103" t="s">
        <v>861</v>
      </c>
      <c r="BZ2" s="103" t="s">
        <v>873</v>
      </c>
      <c r="CA2" s="115" t="s">
        <v>1156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685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460"/>
      <c r="BT3" s="104" t="s">
        <v>1162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459"/>
      <c r="BY3" s="103" t="s">
        <v>841</v>
      </c>
      <c r="BZ3" s="103" t="s">
        <v>832</v>
      </c>
      <c r="CA3" s="115" t="s">
        <v>1157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460"/>
      <c r="BT4" s="104" t="s">
        <v>1163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459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460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459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0"/>
      <c r="BT6" s="104" t="s">
        <v>1164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59"/>
      <c r="BY6" s="103" t="s">
        <v>1139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691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0" t="s">
        <v>40</v>
      </c>
      <c r="BT7" s="104" t="s">
        <v>698</v>
      </c>
      <c r="BU7" s="103" t="s">
        <v>1165</v>
      </c>
      <c r="BV7" s="104" t="str">
        <f t="shared" si="14"/>
        <v>Ondřej Matiášek</v>
      </c>
      <c r="BW7" s="112">
        <f t="shared" si="15"/>
        <v>4.5</v>
      </c>
      <c r="BX7" s="459" t="s">
        <v>193</v>
      </c>
      <c r="BY7" s="103" t="s">
        <v>1158</v>
      </c>
      <c r="BZ7" s="103" t="s">
        <v>842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91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684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0"/>
      <c r="BT8" s="104" t="s">
        <v>699</v>
      </c>
      <c r="BU8" s="103" t="s">
        <v>1166</v>
      </c>
      <c r="BV8" s="104" t="str">
        <f t="shared" si="14"/>
        <v>Daniel Körber</v>
      </c>
      <c r="BW8" s="112">
        <f t="shared" si="15"/>
        <v>7.27</v>
      </c>
      <c r="BX8" s="459"/>
      <c r="BY8" s="103" t="s">
        <v>1141</v>
      </c>
      <c r="BZ8" s="103" t="s">
        <v>859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681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0"/>
      <c r="BV9" s="104" t="str">
        <f t="shared" si="14"/>
        <v/>
      </c>
      <c r="BW9" s="112" t="str">
        <f t="shared" si="15"/>
        <v/>
      </c>
      <c r="BX9" s="459"/>
      <c r="BY9" s="103" t="s">
        <v>1159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678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0"/>
      <c r="BV10" s="104" t="str">
        <f t="shared" si="14"/>
        <v/>
      </c>
      <c r="BW10" s="112" t="str">
        <f t="shared" si="15"/>
        <v/>
      </c>
      <c r="BX10" s="459"/>
      <c r="BY10" s="103" t="s">
        <v>1160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0"/>
      <c r="BV11" s="104" t="str">
        <f t="shared" si="14"/>
        <v/>
      </c>
      <c r="BW11" s="112" t="str">
        <f t="shared" si="15"/>
        <v/>
      </c>
      <c r="BX11" s="459"/>
      <c r="BY11" s="103" t="s">
        <v>1211</v>
      </c>
      <c r="BZ11" s="103" t="s">
        <v>870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694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0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695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0"/>
      <c r="BT13" s="104" t="s">
        <v>1162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692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0"/>
      <c r="BT14" s="104" t="s">
        <v>1167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0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690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0"/>
      <c r="BT16" s="104" t="s">
        <v>1168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686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0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687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0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BA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1154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1155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688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697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460" t="s">
        <v>38</v>
      </c>
      <c r="BT22" s="104" t="s">
        <v>1169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460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460"/>
      <c r="BT24" s="104" t="s">
        <v>1170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460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460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0" t="s">
        <v>39</v>
      </c>
      <c r="BT27" s="104" t="s">
        <v>1171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0"/>
      <c r="BT28" s="104" t="s">
        <v>1172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0"/>
      <c r="BT29" s="104" t="s">
        <v>1173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BA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0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0"/>
      <c r="BT31" s="104" t="s">
        <v>1174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33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535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3" t="s">
        <v>1</v>
      </c>
      <c r="I1" s="423"/>
      <c r="J1" s="423"/>
      <c r="K1" s="423"/>
      <c r="M1" s="421" t="s">
        <v>536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2002</v>
      </c>
      <c r="C2" s="425"/>
      <c r="D2" s="117">
        <f ca="1">IFERROR(VLOOKUP(A1,OFFSET($AG$2,,,COUNTIF($AG$2:$AG$50,"?*"),23),15,FALSE),"")</f>
        <v>19</v>
      </c>
      <c r="E2" s="415" t="str">
        <f ca="1">IFERROR(VLOOKUP(A1,OFFSET($AG$2,,,COUNTIF($AG$2:$AG$50,"?*"),23),16,FALSE),"")</f>
        <v>182/77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2001</v>
      </c>
      <c r="O2" s="425"/>
      <c r="P2" s="117">
        <f ca="1">IFERROR(VLOOKUP(M1,OFFSET($AG$2,,,COUNTIF($AG$2:$AG$50,"?*"),23),15,FALSE),"")</f>
        <v>20</v>
      </c>
      <c r="Q2" s="415" t="str">
        <f ca="1">IFERROR(VLOOKUP(M1,OFFSET($AG$2,,,COUNTIF($AG$2:$AG$50,"?*"),23),16,FALSE),"")</f>
        <v>183/67</v>
      </c>
      <c r="R2" s="416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460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459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25 (18+7), +27 ±</v>
      </c>
      <c r="B3" s="418"/>
      <c r="C3" s="418"/>
      <c r="D3" s="419" t="str">
        <f ca="1">IFERROR(VLOOKUP(A1,OFFSET($AG$2,,,COUNTIF($AG$2:$AG$50,"?*"),23),19,FALSE),"")</f>
        <v>11 OZ, 25 (18+7)</v>
      </c>
      <c r="E3" s="419"/>
      <c r="F3" s="420"/>
      <c r="G3" s="421" t="s">
        <v>537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17" t="str">
        <f ca="1">IFERROR(VLOOKUP(M1,OFFSET($AG$2,,,COUNTIF($AG$2:$AG$50,"?*"),23),18,FALSE),"")</f>
        <v>14 OZ, 27 (14+13), +19 ±</v>
      </c>
      <c r="N3" s="418"/>
      <c r="O3" s="418"/>
      <c r="P3" s="419" t="str">
        <f ca="1">IFERROR(VLOOKUP(M1,OFFSET($AG$2,,,COUNTIF($AG$2:$AG$50,"?*"),23),19,FALSE),"")</f>
        <v>86 OZ, 122 (76+46)</v>
      </c>
      <c r="Q3" s="419"/>
      <c r="R3" s="420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460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459"/>
      <c r="BY3" s="103" t="s">
        <v>841</v>
      </c>
      <c r="BZ3" s="103" t="s">
        <v>834</v>
      </c>
      <c r="CA3" s="115" t="s">
        <v>1176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Panthers Praha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2009</v>
      </c>
      <c r="E4" s="430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4">
        <f ca="1">IFERROR(IF(VLOOKUP(G3,OFFSET($AG$2,,,COUNTIF($AG$2:$AG$50,"?*"),23),2,FALSE)&lt;&gt;0,YEAR(VLOOKUP(G3,OFFSET($AG$2,,,COUNTIF($AG$2:$AG$50,"?*"),23),2,FALSE)),""),"")</f>
        <v>1995</v>
      </c>
      <c r="I4" s="425"/>
      <c r="J4" s="117">
        <f ca="1">IFERROR(VLOOKUP(G3,OFFSET($AG$2,,,COUNTIF($AG$2:$AG$50,"?*"),23),15,FALSE),"")</f>
        <v>26</v>
      </c>
      <c r="K4" s="415" t="str">
        <f ca="1">IFERROR(VLOOKUP(G3,OFFSET($AG$2,,,COUNTIF($AG$2:$AG$50,"?*"),23),16,FALSE),"")</f>
        <v>175/72</v>
      </c>
      <c r="L4" s="416"/>
      <c r="M4" s="426" t="str">
        <f ca="1">IFERROR(IF(VLOOKUP(M1,OFFSET($AG$2,,,COUNTIF($AG$2:$AG$50,"?*"),23),13,FALSE)&lt;&gt;0,VLOOKUP(M1,OFFSET($AG$2,,,COUNTIF($AG$2:$AG$50,"?*"),23),13,FALSE),"?"),"")</f>
        <v>FbŠ Bohemians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2006</v>
      </c>
      <c r="Q4" s="430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1057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460"/>
      <c r="BT4" s="104" t="s">
        <v>1178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459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11 OZ, 36 (14+22), +24 ±</v>
      </c>
      <c r="H5" s="418"/>
      <c r="I5" s="418"/>
      <c r="J5" s="419" t="str">
        <f ca="1">IFERROR(VLOOKUP(G3,OFFSET($AG$2,,,COUNTIF($AG$2:$AG$50,"?*"),23),19,FALSE),"")</f>
        <v>63 OZ, 142 (58+84)</v>
      </c>
      <c r="K5" s="419"/>
      <c r="L5" s="420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460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59"/>
      <c r="BY5" s="103" t="s">
        <v>1139</v>
      </c>
      <c r="BZ5" s="103" t="s">
        <v>846</v>
      </c>
      <c r="CA5" s="115" t="s">
        <v>761</v>
      </c>
    </row>
    <row r="6" spans="1:79" ht="15" customHeight="1" thickTop="1" thickBot="1" x14ac:dyDescent="0.25">
      <c r="A6" s="421" t="s">
        <v>538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26" t="str">
        <f ca="1">IFERROR(IF(VLOOKUP(G3,OFFSET($AG$2,,,COUNTIF($AG$2:$AG$50,"?*"),23),13,FALSE)&lt;&gt;0,VLOOKUP(G3,OFFSET($AG$2,,,COUNTIF($AG$2:$AG$50,"?*"),23),13,FALSE),"?"),"")</f>
        <v>FbŠ Bohemians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2010</v>
      </c>
      <c r="K6" s="430"/>
      <c r="L6" s="7">
        <f ca="1">IFERROR(IF(VLOOKUP(G3,OFFSET($AG$2,,,COUNTIF($AG$2:$AG$50,"?*"),23),7,FALSE)&lt;&gt;0,VLOOKUP(G3,OFFSET($AG$2,,,COUNTIF($AG$2:$AG$50,"?*"),23),7,FALSE),"?"),"")</f>
        <v>3</v>
      </c>
      <c r="M6" s="421" t="s">
        <v>539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460"/>
      <c r="BT6" s="104" t="s">
        <v>1179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459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2003</v>
      </c>
      <c r="C7" s="425"/>
      <c r="D7" s="117">
        <f ca="1">IFERROR(VLOOKUP(A6,OFFSET($AG$2,,,COUNTIF($AG$2:$AG$50,"?*"),23),15,FALSE),"")</f>
        <v>18</v>
      </c>
      <c r="E7" s="415" t="str">
        <f ca="1">IFERROR(VLOOKUP(A6,OFFSET($AG$2,,,COUNTIF($AG$2:$AG$50,"?*"),23),16,FALSE),"")</f>
        <v>175/65</v>
      </c>
      <c r="F7" s="416"/>
      <c r="M7" s="4" t="str">
        <f ca="1">IFERROR(IF(VLOOKUP(M6,OFFSET($AG$2,,,COUNTIF($AG$2:$AG$50,"?*"),23),10,FALSE)&lt;&gt;0,VLOOKUP(M6,OFFSET($AG$2,,,COUNTIF($AG$2:$AG$50,"?*"),23),10,FALSE),""),"")</f>
        <v>P</v>
      </c>
      <c r="N7" s="424">
        <f ca="1">IFERROR(IF(VLOOKUP(M6,OFFSET($AG$2,,,COUNTIF($AG$2:$AG$50,"?*"),23),2,FALSE)&lt;&gt;0,YEAR(VLOOKUP(M6,OFFSET($AG$2,,,COUNTIF($AG$2:$AG$50,"?*"),23),2,FALSE)),""),"")</f>
        <v>2000</v>
      </c>
      <c r="O7" s="425"/>
      <c r="P7" s="117">
        <f ca="1">IFERROR(VLOOKUP(M6,OFFSET($AG$2,,,COUNTIF($AG$2:$AG$50,"?*"),23),15,FALSE),"")</f>
        <v>21</v>
      </c>
      <c r="Q7" s="415" t="str">
        <f ca="1">IFERROR(VLOOKUP(M6,OFFSET($AG$2,,,COUNTIF($AG$2:$AG$50,"?*"),23),16,FALSE),"")</f>
        <v>190/76</v>
      </c>
      <c r="R7" s="416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577</v>
      </c>
      <c r="BU7" s="103" t="s">
        <v>1180</v>
      </c>
      <c r="BV7" s="104" t="str">
        <f t="shared" si="13"/>
        <v>Radovan Michajlovič</v>
      </c>
      <c r="BW7" s="112">
        <f t="shared" si="14"/>
        <v>4.2300000000000004</v>
      </c>
      <c r="BX7" s="459" t="s">
        <v>193</v>
      </c>
      <c r="BY7" s="103" t="s">
        <v>1158</v>
      </c>
      <c r="BZ7" s="103" t="s">
        <v>873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8 OZ, 11 (5+6), +23 ±</v>
      </c>
      <c r="B8" s="418"/>
      <c r="C8" s="418"/>
      <c r="D8" s="419" t="str">
        <f ca="1">IFERROR(VLOOKUP(A6,OFFSET($AG$2,,,COUNTIF($AG$2:$AG$50,"?*"),23),19,FALSE),"")</f>
        <v>34 OZ, 42 (18+24)</v>
      </c>
      <c r="E8" s="419"/>
      <c r="F8" s="420"/>
      <c r="H8" s="431" t="s">
        <v>92</v>
      </c>
      <c r="I8" s="431"/>
      <c r="J8" s="431"/>
      <c r="K8" s="431"/>
      <c r="M8" s="417" t="str">
        <f ca="1">IFERROR(VLOOKUP(M6,OFFSET($AG$2,,,COUNTIF($AG$2:$AG$50,"?*"),23),18,FALSE),"")</f>
        <v>11 OZ, 9 (4+5), +23 ±</v>
      </c>
      <c r="N8" s="418"/>
      <c r="O8" s="418"/>
      <c r="P8" s="419" t="str">
        <f ca="1">IFERROR(VLOOKUP(M6,OFFSET($AG$2,,,COUNTIF($AG$2:$AG$50,"?*"),23),19,FALSE),"")</f>
        <v>106 OZ, 103 (51+52)</v>
      </c>
      <c r="Q8" s="419"/>
      <c r="R8" s="420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1181</v>
      </c>
      <c r="BU8" s="103" t="s">
        <v>1099</v>
      </c>
      <c r="BV8" s="104" t="str">
        <f t="shared" si="13"/>
        <v>Jakub Zavřel</v>
      </c>
      <c r="BW8" s="112">
        <f t="shared" si="14"/>
        <v>3.5</v>
      </c>
      <c r="BX8" s="459"/>
      <c r="BY8" s="103" t="s">
        <v>1141</v>
      </c>
      <c r="BZ8" s="103" t="s">
        <v>840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Black Angels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2009</v>
      </c>
      <c r="E9" s="430"/>
      <c r="F9" s="7">
        <f ca="1">IFERROR(IF(VLOOKUP(A6,OFFSET($AG$2,,,COUNTIF($AG$2:$AG$50,"?*"),23),7,FALSE)&lt;&gt;0,VLOOKUP(A6,OFFSET($AG$2,,,COUNTIF($AG$2:$AG$50,"?*"),23),7,FALSE),"?"),"")</f>
        <v>2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FbŠ Bohemians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2011</v>
      </c>
      <c r="Q9" s="430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1182</v>
      </c>
      <c r="BU9" s="103" t="s">
        <v>1183</v>
      </c>
      <c r="BV9" s="104" t="str">
        <f t="shared" si="13"/>
        <v>Tomáš Hyršl</v>
      </c>
      <c r="BW9" s="112">
        <f t="shared" si="14"/>
        <v>5.62</v>
      </c>
      <c r="BX9" s="459"/>
      <c r="BY9" s="103" t="s">
        <v>1142</v>
      </c>
      <c r="BZ9" s="103" t="s">
        <v>842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1160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859</v>
      </c>
      <c r="CA11" s="115" t="s">
        <v>188</v>
      </c>
    </row>
    <row r="12" spans="1:79" ht="15" customHeight="1" thickTop="1" thickBot="1" x14ac:dyDescent="0.25">
      <c r="A12" s="421" t="s">
        <v>540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3" t="s">
        <v>7</v>
      </c>
      <c r="I12" s="423"/>
      <c r="J12" s="423"/>
      <c r="K12" s="423"/>
      <c r="M12" s="421" t="s">
        <v>3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1991</v>
      </c>
      <c r="C13" s="425"/>
      <c r="D13" s="117">
        <f ca="1">IFERROR(VLOOKUP(A12,OFFSET($AG$2,,,COUNTIF($AG$2:$AG$50,"?*"),23),15,FALSE),"")</f>
        <v>30</v>
      </c>
      <c r="E13" s="415" t="str">
        <f ca="1">IFERROR(VLOOKUP(A12,OFFSET($AG$2,,,COUNTIF($AG$2:$AG$50,"?*"),23),16,FALSE),"")</f>
        <v>175/85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1999</v>
      </c>
      <c r="O13" s="425"/>
      <c r="P13" s="117">
        <f ca="1">IFERROR(VLOOKUP(M12,OFFSET($AG$2,,,COUNTIF($AG$2:$AG$50,"?*"),23),15,FALSE),"")</f>
        <v>22</v>
      </c>
      <c r="Q13" s="415" t="str">
        <f ca="1">IFERROR(VLOOKUP(M12,OFFSET($AG$2,,,COUNTIF($AG$2:$AG$50,"?*"),23),16,FALSE),"")</f>
        <v>184/81</v>
      </c>
      <c r="R13" s="416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1100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1058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17" t="str">
        <f ca="1">IFERROR(VLOOKUP(A12,OFFSET($AG$2,,,COUNTIF($AG$2:$AG$50,"?*"),23),18,FALSE),"")</f>
        <v>11 OZ, 2 (2+0), -11 ±</v>
      </c>
      <c r="B14" s="418"/>
      <c r="C14" s="418"/>
      <c r="D14" s="419" t="str">
        <f ca="1">IFERROR(VLOOKUP(A12,OFFSET($AG$2,,,COUNTIF($AG$2:$AG$50,"?*"),23),19,FALSE),"")</f>
        <v>221 OZ, 102 (46+56)</v>
      </c>
      <c r="E14" s="419"/>
      <c r="F14" s="420"/>
      <c r="G14" s="421" t="s">
        <v>541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17" t="str">
        <f ca="1">IFERROR(VLOOKUP(M12,OFFSET($AG$2,,,COUNTIF($AG$2:$AG$50,"?*"),23),18,FALSE),"")</f>
        <v>7 OZ, 2 (2+0), -5 ±</v>
      </c>
      <c r="N14" s="418"/>
      <c r="O14" s="418"/>
      <c r="P14" s="419" t="str">
        <f ca="1">IFERROR(VLOOKUP(M12,OFFSET($AG$2,,,COUNTIF($AG$2:$AG$50,"?*"),23),19,FALSE),"")</f>
        <v>113 OZ, 65 (37+28)</v>
      </c>
      <c r="Q14" s="419"/>
      <c r="R14" s="420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Děkanka</v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>?</v>
      </c>
      <c r="E15" s="430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2002</v>
      </c>
      <c r="I15" s="425"/>
      <c r="J15" s="117">
        <f ca="1">IFERROR(VLOOKUP(G14,OFFSET($AG$2,,,COUNTIF($AG$2:$AG$50,"?*"),23),15,FALSE),"")</f>
        <v>19</v>
      </c>
      <c r="K15" s="415" t="str">
        <f ca="1">IFERROR(VLOOKUP(G14,OFFSET($AG$2,,,COUNTIF($AG$2:$AG$50,"?*"),23),16,FALSE),"")</f>
        <v>183/80</v>
      </c>
      <c r="L15" s="416"/>
      <c r="M15" s="426" t="str">
        <f ca="1">IFERROR(IF(VLOOKUP(M12,OFFSET($AG$2,,,COUNTIF($AG$2:$AG$50,"?*"),23),13,FALSE)&lt;&gt;0,VLOOKUP(M12,OFFSET($AG$2,,,COUNTIF($AG$2:$AG$50,"?*"),23),13,FALSE),"?"),"")</f>
        <v>Black Angels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2008</v>
      </c>
      <c r="Q15" s="430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8 OZ, 5 (2+3), -4 ±</v>
      </c>
      <c r="H16" s="418"/>
      <c r="I16" s="418"/>
      <c r="J16" s="419" t="str">
        <f ca="1">IFERROR(VLOOKUP(G14,OFFSET($AG$2,,,COUNTIF($AG$2:$AG$50,"?*"),23),19,FALSE),"")</f>
        <v>8 OZ, 5 (2+3)</v>
      </c>
      <c r="K16" s="419"/>
      <c r="L16" s="420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1179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421" t="s">
        <v>547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26" t="str">
        <f ca="1">IFERROR(IF(VLOOKUP(G14,OFFSET($AG$2,,,COUNTIF($AG$2:$AG$50,"?*"),23),13,FALSE)&lt;&gt;0,VLOOKUP(G14,OFFSET($AG$2,,,COUNTIF($AG$2:$AG$50,"?*"),23),13,FALSE),"?"),"")</f>
        <v>Snipers Bratislava</v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>?</v>
      </c>
      <c r="K17" s="430"/>
      <c r="L17" s="7">
        <f ca="1">IFERROR(IF(VLOOKUP(G14,OFFSET($AG$2,,,COUNTIF($AG$2:$AG$50,"?*"),23),7,FALSE)&lt;&gt;0,VLOOKUP(G14,OFFSET($AG$2,,,COUNTIF($AG$2:$AG$50,"?*"),23),7,FALSE),"?"),"")</f>
        <v>1</v>
      </c>
      <c r="M17" s="421" t="s">
        <v>550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22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1993</v>
      </c>
      <c r="C18" s="425"/>
      <c r="D18" s="149">
        <f ca="1">IFERROR(VLOOKUP(A17,OFFSET($AG$2,,,COUNTIF($AG$2:$AG$50,"?*"),23),15,FALSE),"")</f>
        <v>27</v>
      </c>
      <c r="E18" s="415" t="str">
        <f ca="1">IFERROR(VLOOKUP(A17,OFFSET($AG$2,,,COUNTIF($AG$2:$AG$50,"?*"),23),16,FALSE),"")</f>
        <v>188/86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2004</v>
      </c>
      <c r="O18" s="425"/>
      <c r="P18" s="117">
        <f ca="1">IFERROR(VLOOKUP(M17,OFFSET($AG$2,,,COUNTIF($AG$2:$AG$50,"?*"),23),15,FALSE),"")</f>
        <v>17</v>
      </c>
      <c r="Q18" s="415" t="str">
        <f ca="1">IFERROR(VLOOKUP(M17,OFFSET($AG$2,,,COUNTIF($AG$2:$AG$50,"?*"),23),16,FALSE),"")</f>
        <v>186/77</v>
      </c>
      <c r="R18" s="416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1181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17" t="str">
        <f ca="1">IFERROR(VLOOKUP(A17,OFFSET($AG$2,,,COUNTIF($AG$2:$AG$50,"?*"),23),18,FALSE),"")</f>
        <v>11 OZ, 0 (0+0), -11 ±</v>
      </c>
      <c r="B19" s="418"/>
      <c r="C19" s="418"/>
      <c r="D19" s="419" t="str">
        <f ca="1">IFERROR(VLOOKUP(A17,OFFSET($AG$2,,,COUNTIF($AG$2:$AG$50,"?*"),23),19,FALSE),"")</f>
        <v>200 OZ, 130 (49+81)</v>
      </c>
      <c r="E19" s="419"/>
      <c r="F19" s="420"/>
      <c r="H19" s="431" t="str">
        <f>H$8</f>
        <v>BOH</v>
      </c>
      <c r="I19" s="431"/>
      <c r="J19" s="431"/>
      <c r="K19" s="431"/>
      <c r="M19" s="417" t="str">
        <f ca="1">IFERROR(VLOOKUP(M17,OFFSET($AG$2,,,COUNTIF($AG$2:$AG$50,"?*"),23),18,FALSE),"")</f>
        <v>11 OZ, 1 (1+0), -8 ±</v>
      </c>
      <c r="N19" s="418"/>
      <c r="O19" s="418"/>
      <c r="P19" s="419" t="str">
        <f ca="1">IFERROR(VLOOKUP(M17,OFFSET($AG$2,,,COUNTIF($AG$2:$AG$50,"?*"),23),19,FALSE),"")</f>
        <v>11 OZ, 1 (1+0)</v>
      </c>
      <c r="Q19" s="419"/>
      <c r="R19" s="420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1182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FbK Jeseník</v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>?</v>
      </c>
      <c r="E20" s="430"/>
      <c r="F20" s="7">
        <f ca="1">IFERROR(IF(VLOOKUP(A17,OFFSET($AG$2,,,COUNTIF($AG$2:$AG$50,"?*"),23),7,FALSE)&lt;&gt;0,VLOOKUP(A17,OFFSET($AG$2,,,COUNTIF($AG$2:$AG$50,"?*"),23),7,FALSE),"?"),"")</f>
        <v>11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FbŠ Bohemians</v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>?</v>
      </c>
      <c r="Q20" s="430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421" t="s">
        <v>546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3" t="s">
        <v>13</v>
      </c>
      <c r="I23" s="423"/>
      <c r="J23" s="423"/>
      <c r="K23" s="423"/>
      <c r="M23" s="421" t="s">
        <v>549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>
        <f ca="1">IFERROR(IF(VLOOKUP(A23,OFFSET($AG$2,,,COUNTIF($AG$2:$AG$50,"?*"),23),2,FALSE)&lt;&gt;0,YEAR(VLOOKUP(A23,OFFSET($AG$2,,,COUNTIF($AG$2:$AG$50,"?*"),23),2,FALSE)),""),"")</f>
        <v>2004</v>
      </c>
      <c r="C24" s="425"/>
      <c r="D24" s="117">
        <f ca="1">IFERROR(VLOOKUP(A23,OFFSET($AG$2,,,COUNTIF($AG$2:$AG$50,"?*"),23),15,FALSE),"")</f>
        <v>17</v>
      </c>
      <c r="E24" s="415" t="str">
        <f ca="1">IFERROR(VLOOKUP(A23,OFFSET($AG$2,,,COUNTIF($AG$2:$AG$50,"?*"),23),16,FALSE),"")</f>
        <v>? / ?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2003</v>
      </c>
      <c r="O24" s="425"/>
      <c r="P24" s="117">
        <f ca="1">IFERROR(VLOOKUP(M23,OFFSET($AG$2,,,COUNTIF($AG$2:$AG$50,"?*"),23),15,FALSE),"")</f>
        <v>18</v>
      </c>
      <c r="Q24" s="415" t="str">
        <f ca="1">IFERROR(VLOOKUP(M23,OFFSET($AG$2,,,COUNTIF($AG$2:$AG$50,"?*"),23),16,FALSE),"")</f>
        <v>185/74</v>
      </c>
      <c r="R24" s="416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1178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>9 OZ, 0 (0+0), -5 ±</v>
      </c>
      <c r="B25" s="418"/>
      <c r="C25" s="418"/>
      <c r="D25" s="419" t="str">
        <f ca="1">IFERROR(VLOOKUP(A23,OFFSET($AG$2,,,COUNTIF($AG$2:$AG$50,"?*"),23),19,FALSE),"")</f>
        <v>9 OZ, 0 (0+0)</v>
      </c>
      <c r="E25" s="419"/>
      <c r="F25" s="420"/>
      <c r="G25" s="421" t="s">
        <v>447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17" t="str">
        <f ca="1">IFERROR(VLOOKUP(M23,OFFSET($AG$2,,,COUNTIF($AG$2:$AG$50,"?*"),23),18,FALSE),"")</f>
        <v>8 OZ, 1 (1+0), -5 ±</v>
      </c>
      <c r="N25" s="418"/>
      <c r="O25" s="418"/>
      <c r="P25" s="419" t="str">
        <f ca="1">IFERROR(VLOOKUP(M23,OFFSET($AG$2,,,COUNTIF($AG$2:$AG$50,"?*"),23),19,FALSE),"")</f>
        <v>8 OZ, 1 (1+0)</v>
      </c>
      <c r="Q25" s="419"/>
      <c r="R25" s="420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?</v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>?</v>
      </c>
      <c r="E26" s="430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117">
        <f ca="1">IFERROR(VLOOKUP(G25,OFFSET($AG$2,,,COUNTIF($AG$2:$AG$50,"?*"),23),15,FALSE),"")</f>
        <v>19</v>
      </c>
      <c r="K26" s="415" t="str">
        <f ca="1">IFERROR(VLOOKUP(G25,OFFSET($AG$2,,,COUNTIF($AG$2:$AG$50,"?*"),23),16,FALSE),"")</f>
        <v>185/79</v>
      </c>
      <c r="L26" s="416"/>
      <c r="M26" s="426" t="str">
        <f ca="1">IFERROR(IF(VLOOKUP(M23,OFFSET($AG$2,,,COUNTIF($AG$2:$AG$50,"?*"),23),13,FALSE)&lt;&gt;0,VLOOKUP(M23,OFFSET($AG$2,,,COUNTIF($AG$2:$AG$50,"?*"),23),13,FALSE),"?"),"")</f>
        <v>ŠK Seahorses Bratislava</v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>?</v>
      </c>
      <c r="Q26" s="430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1179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10 OZ, 2 (0+2), -9 ±</v>
      </c>
      <c r="H27" s="418"/>
      <c r="I27" s="418"/>
      <c r="J27" s="419" t="str">
        <f ca="1">IFERROR(VLOOKUP(G25,OFFSET($AG$2,,,COUNTIF($AG$2:$AG$50,"?*"),23),19,FALSE),"")</f>
        <v>28 OZ, 3 (1+2)</v>
      </c>
      <c r="K27" s="419"/>
      <c r="L27" s="420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1" t="s">
        <v>548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26" t="str">
        <f ca="1">IFERROR(IF(VLOOKUP(G25,OFFSET($AG$2,,,COUNTIF($AG$2:$AG$50,"?*"),23),13,FALSE)&lt;&gt;0,VLOOKUP(G25,OFFSET($AG$2,,,COUNTIF($AG$2:$AG$50,"?*"),23),13,FALSE),"?"),"")</f>
        <v>Tatran Střešovice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2010</v>
      </c>
      <c r="K28" s="430"/>
      <c r="L28" s="7">
        <f ca="1">IFERROR(IF(VLOOKUP(G25,OFFSET($AG$2,,,COUNTIF($AG$2:$AG$50,"?*"),23),7,FALSE)&lt;&gt;0,VLOOKUP(G25,OFFSET($AG$2,,,COUNTIF($AG$2:$AG$50,"?*"),23),7,FALSE),"?"),"")</f>
        <v>2</v>
      </c>
      <c r="M28" s="421" t="s">
        <v>557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1184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4">
        <f ca="1">IFERROR(IF(VLOOKUP(A28,OFFSET($AG$2,,,COUNTIF($AG$2:$AG$50,"?*"),23),2,FALSE)&lt;&gt;0,YEAR(VLOOKUP(A28,OFFSET($AG$2,,,COUNTIF($AG$2:$AG$50,"?*"),23),2,FALSE)),""),"")</f>
        <v>1992</v>
      </c>
      <c r="C29" s="425"/>
      <c r="D29" s="117">
        <f ca="1">IFERROR(VLOOKUP(A28,OFFSET($AG$2,,,COUNTIF($AG$2:$AG$50,"?*"),23),15,FALSE),"")</f>
        <v>29</v>
      </c>
      <c r="E29" s="415" t="str">
        <f ca="1">IFERROR(VLOOKUP(A28,OFFSET($AG$2,,,COUNTIF($AG$2:$AG$50,"?*"),23),16,FALSE),"")</f>
        <v>184/84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2001</v>
      </c>
      <c r="O29" s="425"/>
      <c r="P29" s="117">
        <f ca="1">IFERROR(VLOOKUP(M28,OFFSET($AG$2,,,COUNTIF($AG$2:$AG$50,"?*"),23),15,FALSE),"")</f>
        <v>20</v>
      </c>
      <c r="Q29" s="415" t="str">
        <f ca="1">IFERROR(VLOOKUP(M28,OFFSET($AG$2,,,COUNTIF($AG$2:$AG$50,"?*"),23),16,FALSE),"")</f>
        <v>182/73</v>
      </c>
      <c r="R29" s="416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>11 OZ, 1 (1+0), -3 ±</v>
      </c>
      <c r="B30" s="418"/>
      <c r="C30" s="418"/>
      <c r="D30" s="419" t="str">
        <f ca="1">IFERROR(VLOOKUP(A28,OFFSET($AG$2,,,COUNTIF($AG$2:$AG$50,"?*"),23),19,FALSE),"")</f>
        <v>254 OZ, 136 (70+66)</v>
      </c>
      <c r="E30" s="419"/>
      <c r="F30" s="420"/>
      <c r="H30" s="431" t="str">
        <f>H$8</f>
        <v>BOH</v>
      </c>
      <c r="I30" s="431"/>
      <c r="J30" s="431"/>
      <c r="K30" s="431"/>
      <c r="M30" s="417" t="str">
        <f ca="1">IFERROR(VLOOKUP(M28,OFFSET($AG$2,,,COUNTIF($AG$2:$AG$50,"?*"),23),18,FALSE),"")</f>
        <v>8 OZ, 2 (2+0), +1 ±</v>
      </c>
      <c r="N30" s="418"/>
      <c r="O30" s="418"/>
      <c r="P30" s="419" t="str">
        <f ca="1">IFERROR(VLOOKUP(M28,OFFSET($AG$2,,,COUNTIF($AG$2:$AG$50,"?*"),23),19,FALSE),"")</f>
        <v>10 OZ, 2 (2+0)</v>
      </c>
      <c r="Q30" s="419"/>
      <c r="R30" s="420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Faraos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2002</v>
      </c>
      <c r="E31" s="430"/>
      <c r="F31" s="7">
        <f ca="1">IFERROR(IF(VLOOKUP(A28,OFFSET($AG$2,,,COUNTIF($AG$2:$AG$50,"?*"),23),7,FALSE)&lt;&gt;0,VLOOKUP(A28,OFFSET($AG$2,,,COUNTIF($AG$2:$AG$50,"?*"),23),7,FALSE),"?"),"")</f>
        <v>12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FBC Falcon</v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>?</v>
      </c>
      <c r="Q31" s="430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1179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30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1" t="s">
        <v>560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2" t="s">
        <v>16</v>
      </c>
      <c r="J34" s="421" t="s">
        <v>551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4">
        <f ca="1">IFERROR(IF(VLOOKUP(A34,OFFSET($AG$2,,,COUNTIF($AG$2:$AG$50,"?*"),23),2,FALSE)&lt;&gt;0,YEAR(VLOOKUP(A34,OFFSET($AG$2,,,COUNTIF($AG$2:$AG$50,"?*"),23),2,FALSE)),""),"")</f>
        <v>2002</v>
      </c>
      <c r="C35" s="425"/>
      <c r="D35" s="117">
        <f ca="1">IFERROR(VLOOKUP(A34,OFFSET($AG$2,,,COUNTIF($AG$2:$AG$50,"?*"),23),15,FALSE),"")</f>
        <v>19</v>
      </c>
      <c r="E35" s="415" t="str">
        <f ca="1">IFERROR(VLOOKUP(A34,OFFSET($AG$2,,,COUNTIF($AG$2:$AG$50,"?*"),23),16,FALSE),"")</f>
        <v>173/70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P</v>
      </c>
      <c r="K35" s="425">
        <f ca="1">IFERROR(IF(VLOOKUP(J34,OFFSET($AG$2,,,COUNTIF($AG$2:$AG$50,"?*"),23),2,FALSE)&lt;&gt;0,YEAR(VLOOKUP(J34,OFFSET($AG$2,,,COUNTIF($AG$2:$AG$50,"?*"),23),2,FALSE)),""),"")</f>
        <v>1990</v>
      </c>
      <c r="L35" s="433"/>
      <c r="M35" s="118">
        <f ca="1">IFERROR(VLOOKUP(J34,OFFSET($AG$2,,,COUNTIF($AG$2:$AG$50,"?*"),23),15,FALSE),"")</f>
        <v>31</v>
      </c>
      <c r="N35" s="433" t="str">
        <f ca="1">IFERROR(VLOOKUP(J34,OFFSET($AG$2,,,COUNTIF($AG$2:$AG$50,"?*"),23),16,FALSE),"")</f>
        <v>184/90</v>
      </c>
      <c r="O35" s="433"/>
      <c r="P35" s="433" t="str">
        <f ca="1">IFERROR(VLOOKUP(J34,OFFSET($AG$2,,,COUNTIF($AG$2:$AG$50,"?*"),23),18,FALSE),"")</f>
        <v>9 OZ, 0 (0+0), -8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1" t="str">
        <f ca="1">IFERROR(VLOOKUP(A34,OFFSET($AG$2,,,COUNTIF($AG$2:$AG$50,"?*"),23),18,FALSE),"")</f>
        <v>2 V, 0 P</v>
      </c>
      <c r="C36" s="441"/>
      <c r="D36" s="442">
        <f ca="1">IFERROR(VLOOKUP(A34,OFFSET($S$45,,,COUNTIF($S$45:$S$50,"?*"),14),5,FALSE),"")</f>
        <v>7</v>
      </c>
      <c r="E36" s="443"/>
      <c r="F36" s="17">
        <f ca="1">IFERROR(VLOOKUP(A34,OFFSET($S$45,,,COUNTIF($S$45:$S$50,"?*"),14),14,FALSE),"")</f>
        <v>86.538461538461547</v>
      </c>
      <c r="H36" s="432"/>
      <c r="J36" s="18">
        <f ca="1">IFERROR(IF(VLOOKUP(J34,OFFSET($AG$2,,,COUNTIF($AG$2:$AG$50,"?*"),23),7,FALSE)&lt;&gt;0,VLOOKUP(J34,OFFSET($AG$2,,,COUNTIF($AG$2:$AG$50,"?*"),23),7,FALSE),"?"),"")</f>
        <v>11</v>
      </c>
      <c r="K36" s="444" t="str">
        <f ca="1">IFERROR(VLOOKUP(J34,OFFSET($AG$2,,,COUNTIF($AG$2:$AG$50,"?*"),23),19,FALSE),"")</f>
        <v>187 OZ, 68 (32+36)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FbŠ Bohemians</v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>?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120</v>
      </c>
      <c r="B37" s="435"/>
      <c r="C37" s="436">
        <f ca="1">IFERROR(VLOOKUP(A34,OFFSET($S$45,,,COUNTIF($S$45:$S$50,"?*"),14),13,FALSE),"")</f>
        <v>3.5</v>
      </c>
      <c r="D37" s="437"/>
      <c r="E37" s="438" t="str">
        <f ca="1">IFERROR(VLOOKUP(A34,OFFSET($AG$2,,,COUNTIF($AG$2:$AG$50,"?*"),23),19,FALSE),"")</f>
        <v>12 OZ, 2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FbŠ Bohemians</v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>?</v>
      </c>
      <c r="E38" s="430"/>
      <c r="F38" s="19">
        <f ca="1">IFERROR(VLOOKUP(A34,OFFSET($S$45,,,COUNTIF($S$45:$S$50,"?*"),14),6,FALSE),"")</f>
        <v>0</v>
      </c>
      <c r="H38" s="432"/>
      <c r="J38" s="421" t="s">
        <v>1057</v>
      </c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21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? / ?</v>
      </c>
      <c r="O39" s="433"/>
      <c r="P39" s="433" t="str">
        <f ca="1">IFERROR(VLOOKUP(J38,OFFSET($AG$2,,,COUNTIF($AG$2:$AG$50,"?*"),23),18,FALSE),"")</f>
        <v>3 OZ, 0 (0+0), 0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542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2"/>
      <c r="J40" s="18">
        <f ca="1">IFERROR(IF(VLOOKUP(J38,OFFSET($AG$2,,,COUNTIF($AG$2:$AG$50,"?*"),23),7,FALSE)&lt;&gt;0,VLOOKUP(J38,OFFSET($AG$2,,,COUNTIF($AG$2:$AG$50,"?*"),23),7,FALSE),"?"),"")</f>
        <v>1</v>
      </c>
      <c r="K40" s="444" t="str">
        <f ca="1">IFERROR(VLOOKUP(J38,OFFSET($AG$2,,,COUNTIF($AG$2:$AG$50,"?*"),23),19,FALSE),"")</f>
        <v>3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?</v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>?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4">
        <f ca="1">IFERROR(IF(VLOOKUP(A40,OFFSET($AG$2,,,COUNTIF($AG$2:$AG$50,"?*"),23),2,FALSE)&lt;&gt;0,YEAR(VLOOKUP(A40,OFFSET($AG$2,,,COUNTIF($AG$2:$AG$50,"?*"),23),2,FALSE)),""),"")</f>
        <v>1994</v>
      </c>
      <c r="C41" s="425"/>
      <c r="D41" s="117">
        <f ca="1">IFERROR(VLOOKUP(A40,OFFSET($AG$2,,,COUNTIF($AG$2:$AG$50,"?*"),23),15,FALSE),"")</f>
        <v>27</v>
      </c>
      <c r="E41" s="415" t="str">
        <f ca="1">IFERROR(VLOOKUP(A40,OFFSET($AG$2,,,COUNTIF($AG$2:$AG$50,"?*"),23),16,FALSE),"")</f>
        <v>185/75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1" t="str">
        <f ca="1">IFERROR(VLOOKUP(A40,OFFSET($AG$2,,,COUNTIF($AG$2:$AG$50,"?*"),23),18,FALSE),"")</f>
        <v>2 V, 2 P</v>
      </c>
      <c r="C42" s="441"/>
      <c r="D42" s="442">
        <f ca="1">IFERROR(VLOOKUP(A40,OFFSET($S$45,,,COUNTIF($S$45:$S$50,"?*"),14),5,FALSE),"")</f>
        <v>18</v>
      </c>
      <c r="E42" s="443"/>
      <c r="F42" s="17">
        <f ca="1">IFERROR(VLOOKUP(A40,OFFSET($S$45,,,COUNTIF($S$45:$S$50,"?*"),14),14,FALSE),"")</f>
        <v>73.91304347826086</v>
      </c>
      <c r="H42" s="432"/>
      <c r="J42" s="421" t="s">
        <v>659</v>
      </c>
      <c r="K42" s="422"/>
      <c r="L42" s="422"/>
      <c r="M42" s="422"/>
      <c r="N42" s="422"/>
      <c r="O42" s="422"/>
      <c r="P42" s="422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192.08</v>
      </c>
      <c r="B43" s="435"/>
      <c r="C43" s="436">
        <f ca="1">IFERROR(VLOOKUP(A40,OFFSET($S$45,,,COUNTIF($S$45:$S$50,"?*"),14),13,FALSE),"")</f>
        <v>5.6226572261557681</v>
      </c>
      <c r="D43" s="437"/>
      <c r="E43" s="438" t="str">
        <f ca="1">IFERROR(VLOOKUP(A40,OFFSET($AG$2,,,COUNTIF($AG$2:$AG$50,"?*"),23),19,FALSE),"")</f>
        <v>30 OZ, 0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1905</v>
      </c>
      <c r="L43" s="433"/>
      <c r="M43" s="210">
        <f ca="1">IFERROR(VLOOKUP(J42,OFFSET($AG$2,,,COUNTIF($AG$2:$AG$50,"?*"),23),15,FALSE),"")</f>
        <v>116</v>
      </c>
      <c r="N43" s="433" t="str">
        <f ca="1">IFERROR(VLOOKUP(J42,OFFSET($AG$2,,,COUNTIF($AG$2:$AG$50,"?*"),23),16,FALSE),"")</f>
        <v>185/88</v>
      </c>
      <c r="O43" s="433"/>
      <c r="P43" s="433" t="str">
        <f ca="1">IFERROR(VLOOKUP(J42,OFFSET($AG$2,,,COUNTIF($AG$2:$AG$50,"?*"),23),18,FALSE),"")</f>
        <v>8 OZ, 0 (0+0), -1 ±</v>
      </c>
      <c r="Q43" s="433"/>
      <c r="R43" s="44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FbŠ Bohemians</v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>?</v>
      </c>
      <c r="E44" s="430"/>
      <c r="F44" s="19">
        <f ca="1">IFERROR(VLOOKUP(A40,OFFSET($S$45,,,COUNTIF($S$45:$S$50,"?*"),14),6,FALSE),"")</f>
        <v>0</v>
      </c>
      <c r="H44" s="432"/>
      <c r="J44" s="18">
        <f ca="1">IFERROR(IF(VLOOKUP(J42,OFFSET($AG$2,,,COUNTIF($AG$2:$AG$50,"?*"),23),7,FALSE)&lt;&gt;0,VLOOKUP(J42,OFFSET($AG$2,,,COUNTIF($AG$2:$AG$50,"?*"),23),7,FALSE),"?"),"")</f>
        <v>5</v>
      </c>
      <c r="K44" s="444" t="str">
        <f ca="1">IFERROR(VLOOKUP(J42,OFFSET($AG$2,,,COUNTIF($AG$2:$AG$50,"?*"),23),19,FALSE),"")</f>
        <v>93 OZ, 1 (0+1)</v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>FBC Česká Lípa</v>
      </c>
      <c r="O44" s="445"/>
      <c r="P44" s="445"/>
      <c r="Q44" s="444">
        <f ca="1">IFERROR(IF(VLOOKUP(J42,OFFSET($AG$2,,,COUNTIF($AG$2:$AG$50,"?*"),23),14,FALSE)&lt;&gt;0,VLOOKUP(J42,OFFSET($AG$2,,,COUNTIF($AG$2:$AG$50,"?*"),23),14,FALSE),"?"),"")</f>
        <v>2007</v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568</v>
      </c>
      <c r="B47" s="462"/>
      <c r="C47" s="462"/>
      <c r="D47" s="462"/>
      <c r="E47" s="457" t="str">
        <f ca="1">IFERROR(VLOOKUP(A47,OFFSET($BN$2,,,COUNTIF($BN$2:$BN$11,"?*"),5),3,FALSE),"")</f>
        <v>hlavní trenér</v>
      </c>
      <c r="F47" s="457"/>
      <c r="G47" s="457"/>
      <c r="H47" s="457"/>
      <c r="I47" s="458"/>
      <c r="J47" s="461" t="s">
        <v>573</v>
      </c>
      <c r="K47" s="462"/>
      <c r="L47" s="462"/>
      <c r="M47" s="462"/>
      <c r="N47" s="457" t="str">
        <f ca="1">IFERROR(VLOOKUP(J47,OFFSET($BN$2,,,COUNTIF($BN$2:$BN$11,"?*"),5),3,FALSE),"")</f>
        <v>vedoucí družstva</v>
      </c>
      <c r="O47" s="457"/>
      <c r="P47" s="457"/>
      <c r="Q47" s="457"/>
      <c r="R47" s="458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41</v>
      </c>
      <c r="B48" s="449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49"/>
      <c r="D48" s="449"/>
      <c r="E48" s="449"/>
      <c r="F48" s="449"/>
      <c r="G48" s="449"/>
      <c r="H48" s="449"/>
      <c r="I48" s="450"/>
      <c r="J48" s="119">
        <f ca="1">IFERROR(VLOOKUP(J47,OFFSET($BN$2,,,COUNTIF($BN$2:$BN$11,"?*"),5),5,FALSE),"")</f>
        <v>56</v>
      </c>
      <c r="K48" s="453" t="str">
        <f ca="1">IFERROR(IF(VLOOKUP(J47,OFFSET($BN$2,,,COUNTIF($BN$2:$BN$11,"?*"),5),4,FALSE)&lt;&gt;0,VLOOKUP(J47,OFFSET($BN$2,,,COUNTIF($BN$2:$BN$11,"?*"),5),4,FALSE),"-"),"")</f>
        <v>-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638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3" t="s">
        <v>1</v>
      </c>
      <c r="I1" s="423"/>
      <c r="J1" s="423"/>
      <c r="K1" s="423"/>
      <c r="M1" s="421" t="s">
        <v>637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1988</v>
      </c>
      <c r="C2" s="425"/>
      <c r="D2" s="117">
        <f ca="1">IFERROR(VLOOKUP(A1,OFFSET($AG$2,,,COUNTIF($AG$2:$AG$50,"?*"),23),15,FALSE),"")</f>
        <v>33</v>
      </c>
      <c r="E2" s="415" t="str">
        <f ca="1">IFERROR(VLOOKUP(A1,OFFSET($AG$2,,,COUNTIF($AG$2:$AG$50,"?*"),23),16,FALSE),"")</f>
        <v>200/99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2003</v>
      </c>
      <c r="O2" s="425"/>
      <c r="P2" s="117">
        <f ca="1">IFERROR(VLOOKUP(M1,OFFSET($AG$2,,,COUNTIF($AG$2:$AG$50,"?*"),23),15,FALSE),"")</f>
        <v>17</v>
      </c>
      <c r="Q2" s="415" t="str">
        <f ca="1">IFERROR(VLOOKUP(M1,OFFSET($AG$2,,,COUNTIF($AG$2:$AG$50,"?*"),23),16,FALSE),"")</f>
        <v>175/70</v>
      </c>
      <c r="R2" s="416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60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459" t="s">
        <v>192</v>
      </c>
      <c r="BY2" s="103" t="s">
        <v>861</v>
      </c>
      <c r="BZ2" s="103" t="s">
        <v>831</v>
      </c>
      <c r="CA2" s="115" t="s">
        <v>1187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12 (6+6), -15 ±</v>
      </c>
      <c r="B3" s="418"/>
      <c r="C3" s="418"/>
      <c r="D3" s="419" t="str">
        <f ca="1">IFERROR(VLOOKUP(A1,OFFSET($AG$2,,,COUNTIF($AG$2:$AG$50,"?*"),23),19,FALSE),"")</f>
        <v>318 OZ, 305 (182+123)</v>
      </c>
      <c r="E3" s="419"/>
      <c r="F3" s="420"/>
      <c r="G3" s="421" t="s">
        <v>636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17" t="str">
        <f ca="1">IFERROR(VLOOKUP(M1,OFFSET($AG$2,,,COUNTIF($AG$2:$AG$50,"?*"),23),18,FALSE),"")</f>
        <v>11 OZ, 13 (11+2), -20 ±</v>
      </c>
      <c r="N3" s="418"/>
      <c r="O3" s="418"/>
      <c r="P3" s="419" t="str">
        <f ca="1">IFERROR(VLOOKUP(M1,OFFSET($AG$2,,,COUNTIF($AG$2:$AG$50,"?*"),23),19,FALSE),"")</f>
        <v>35 OZ, 34 (25+9)</v>
      </c>
      <c r="Q3" s="419"/>
      <c r="R3" s="420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60"/>
      <c r="BT3" s="104" t="s">
        <v>1059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459"/>
      <c r="BY3" s="103" t="s">
        <v>841</v>
      </c>
      <c r="BZ3" s="103" t="s">
        <v>848</v>
      </c>
      <c r="CA3" s="115" t="s">
        <v>1074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FbK Sokol Mladá Boleslav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2007</v>
      </c>
      <c r="E4" s="43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1993</v>
      </c>
      <c r="I4" s="425"/>
      <c r="J4" s="117">
        <f ca="1">IFERROR(VLOOKUP(G3,OFFSET($AG$2,,,COUNTIF($AG$2:$AG$50,"?*"),23),15,FALSE),"")</f>
        <v>28</v>
      </c>
      <c r="K4" s="415" t="str">
        <f ca="1">IFERROR(VLOOKUP(G3,OFFSET($AG$2,,,COUNTIF($AG$2:$AG$50,"?*"),23),16,FALSE),"")</f>
        <v>186/82</v>
      </c>
      <c r="L4" s="416"/>
      <c r="M4" s="426" t="str">
        <f ca="1">IFERROR(IF(VLOOKUP(M1,OFFSET($AG$2,,,COUNTIF($AG$2:$AG$50,"?*"),23),13,FALSE)&lt;&gt;0,VLOOKUP(M1,OFFSET($AG$2,,,COUNTIF($AG$2:$AG$50,"?*"),23),13,FALSE),"?"),"")</f>
        <v>FBC Česká Lípa</v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>-</v>
      </c>
      <c r="Q4" s="43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460"/>
      <c r="BT4" s="104" t="s">
        <v>1191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459"/>
      <c r="BY4" s="103" t="s">
        <v>839</v>
      </c>
      <c r="BZ4" s="103" t="s">
        <v>860</v>
      </c>
      <c r="CA4" s="115" t="s">
        <v>1188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10 OZ, 12 (7+5), -10 ±</v>
      </c>
      <c r="H5" s="418"/>
      <c r="I5" s="418"/>
      <c r="J5" s="419" t="str">
        <f ca="1">IFERROR(VLOOKUP(G3,OFFSET($AG$2,,,COUNTIF($AG$2:$AG$50,"?*"),23),19,FALSE),"")</f>
        <v>204 OZ, 339 (241+98)</v>
      </c>
      <c r="K5" s="419"/>
      <c r="L5" s="420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460"/>
      <c r="BT5" s="104" t="s">
        <v>1192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459"/>
      <c r="BY5" s="103" t="s">
        <v>1139</v>
      </c>
      <c r="BZ5" s="103" t="s">
        <v>859</v>
      </c>
      <c r="CA5" s="115" t="s">
        <v>1189</v>
      </c>
    </row>
    <row r="6" spans="1:79" ht="15" customHeight="1" thickTop="1" thickBot="1" x14ac:dyDescent="0.25">
      <c r="A6" s="421" t="s">
        <v>392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26" t="str">
        <f ca="1">IFERROR(IF(VLOOKUP(G3,OFFSET($AG$2,,,COUNTIF($AG$2:$AG$50,"?*"),23),13,FALSE)&lt;&gt;0,VLOOKUP(G3,OFFSET($AG$2,,,COUNTIF($AG$2:$AG$50,"?*"),23),13,FALSE),"?"),"")</f>
        <v>Erupting Dragons H. B.</v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>-</v>
      </c>
      <c r="K6" s="430"/>
      <c r="L6" s="7">
        <f ca="1">IFERROR(IF(VLOOKUP(G3,OFFSET($AG$2,,,COUNTIF($AG$2:$AG$50,"?*"),23),7,FALSE)&lt;&gt;0,VLOOKUP(G3,OFFSET($AG$2,,,COUNTIF($AG$2:$AG$50,"?*"),23),7,FALSE),"?"),"")</f>
        <v>10</v>
      </c>
      <c r="M6" s="421" t="s">
        <v>640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1193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459"/>
      <c r="BY6" s="103" t="s">
        <v>1051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1993</v>
      </c>
      <c r="C7" s="425"/>
      <c r="D7" s="117">
        <f ca="1">IFERROR(VLOOKUP(A6,OFFSET($AG$2,,,COUNTIF($AG$2:$AG$50,"?*"),23),15,FALSE),"")</f>
        <v>28</v>
      </c>
      <c r="E7" s="415" t="str">
        <f ca="1">IFERROR(VLOOKUP(A6,OFFSET($AG$2,,,COUNTIF($AG$2:$AG$50,"?*"),23),16,FALSE),"")</f>
        <v>192/90</v>
      </c>
      <c r="F7" s="416"/>
      <c r="M7" s="4" t="str">
        <f ca="1">IFERROR(IF(VLOOKUP(M6,OFFSET($AG$2,,,COUNTIF($AG$2:$AG$50,"?*"),23),10,FALSE)&lt;&gt;0,VLOOKUP(M6,OFFSET($AG$2,,,COUNTIF($AG$2:$AG$50,"?*"),23),10,FALSE),""),"")</f>
        <v>P</v>
      </c>
      <c r="N7" s="424">
        <f ca="1">IFERROR(IF(VLOOKUP(M6,OFFSET($AG$2,,,COUNTIF($AG$2:$AG$50,"?*"),23),2,FALSE)&lt;&gt;0,YEAR(VLOOKUP(M6,OFFSET($AG$2,,,COUNTIF($AG$2:$AG$50,"?*"),23),2,FALSE)),""),"")</f>
        <v>1996</v>
      </c>
      <c r="O7" s="425"/>
      <c r="P7" s="117">
        <f ca="1">IFERROR(VLOOKUP(M6,OFFSET($AG$2,,,COUNTIF($AG$2:$AG$50,"?*"),23),15,FALSE),"")</f>
        <v>25</v>
      </c>
      <c r="Q7" s="415" t="str">
        <f ca="1">IFERROR(VLOOKUP(M6,OFFSET($AG$2,,,COUNTIF($AG$2:$AG$50,"?*"),23),16,FALSE),"")</f>
        <v>185/85</v>
      </c>
      <c r="R7" s="416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810</v>
      </c>
      <c r="BU7" s="103" t="s">
        <v>1194</v>
      </c>
      <c r="BV7" s="104" t="str">
        <f t="shared" si="13"/>
        <v>Lukáš Chyna</v>
      </c>
      <c r="BW7" s="112">
        <f t="shared" si="14"/>
        <v>7.71</v>
      </c>
      <c r="BX7" s="459" t="s">
        <v>193</v>
      </c>
      <c r="BY7" s="103" t="s">
        <v>1062</v>
      </c>
      <c r="BZ7" s="103" t="s">
        <v>837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9 OZ, 14 (7+7), -10 ±</v>
      </c>
      <c r="B8" s="418"/>
      <c r="C8" s="418"/>
      <c r="D8" s="419" t="str">
        <f ca="1">IFERROR(VLOOKUP(A6,OFFSET($AG$2,,,COUNTIF($AG$2:$AG$50,"?*"),23),19,FALSE),"")</f>
        <v>83 OZ, 75 (44+31)</v>
      </c>
      <c r="E8" s="419"/>
      <c r="F8" s="420"/>
      <c r="H8" s="431" t="s">
        <v>96</v>
      </c>
      <c r="I8" s="431"/>
      <c r="J8" s="431"/>
      <c r="K8" s="431"/>
      <c r="M8" s="417" t="str">
        <f ca="1">IFERROR(VLOOKUP(M6,OFFSET($AG$2,,,COUNTIF($AG$2:$AG$50,"?*"),23),18,FALSE),"")</f>
        <v>10 OZ, 11 (3+8), -25 ±</v>
      </c>
      <c r="N8" s="418"/>
      <c r="O8" s="418"/>
      <c r="P8" s="419" t="str">
        <f ca="1">IFERROR(VLOOKUP(M6,OFFSET($AG$2,,,COUNTIF($AG$2:$AG$50,"?*"),23),19,FALSE),"")</f>
        <v>112 OZ, 87 (31+56)</v>
      </c>
      <c r="Q8" s="419"/>
      <c r="R8" s="420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811</v>
      </c>
      <c r="BU8" s="103" t="s">
        <v>1195</v>
      </c>
      <c r="BV8" s="104" t="str">
        <f t="shared" si="13"/>
        <v>Ivan Ponomarev</v>
      </c>
      <c r="BW8" s="112">
        <f t="shared" si="14"/>
        <v>7.77</v>
      </c>
      <c r="BX8" s="459"/>
      <c r="BY8" s="103" t="s">
        <v>1158</v>
      </c>
      <c r="BZ8" s="103" t="s">
        <v>838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FBC Česká Lípa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2008</v>
      </c>
      <c r="E9" s="430"/>
      <c r="F9" s="7">
        <f ca="1">IFERROR(IF(VLOOKUP(A6,OFFSET($AG$2,,,COUNTIF($AG$2:$AG$50,"?*"),23),7,FALSE)&lt;&gt;0,VLOOKUP(A6,OFFSET($AG$2,,,COUNTIF($AG$2:$AG$50,"?*"),23),7,FALSE),"?"),"")</f>
        <v>7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FbK Sokol Mladá Boleslav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2007</v>
      </c>
      <c r="Q9" s="43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1196</v>
      </c>
      <c r="BU9" s="103" t="s">
        <v>1197</v>
      </c>
      <c r="BV9" s="104" t="str">
        <f t="shared" si="13"/>
        <v>Daniel Jukl</v>
      </c>
      <c r="BW9" s="112">
        <f t="shared" si="14"/>
        <v>15</v>
      </c>
      <c r="BX9" s="459"/>
      <c r="BY9" s="103" t="s">
        <v>1141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 t="s">
        <v>220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1142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834</v>
      </c>
      <c r="CA11" s="115" t="s">
        <v>188</v>
      </c>
    </row>
    <row r="12" spans="1:79" ht="15" customHeight="1" thickTop="1" thickBot="1" x14ac:dyDescent="0.25">
      <c r="A12" s="421" t="s">
        <v>644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3" t="s">
        <v>7</v>
      </c>
      <c r="I12" s="423"/>
      <c r="J12" s="423"/>
      <c r="K12" s="423"/>
      <c r="M12" s="421" t="s">
        <v>645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972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1997</v>
      </c>
      <c r="C13" s="425"/>
      <c r="D13" s="117">
        <f ca="1">IFERROR(VLOOKUP(A12,OFFSET($AG$2,,,COUNTIF($AG$2:$AG$50,"?*"),23),15,FALSE),"")</f>
        <v>23</v>
      </c>
      <c r="E13" s="415" t="str">
        <f ca="1">IFERROR(VLOOKUP(A12,OFFSET($AG$2,,,COUNTIF($AG$2:$AG$50,"?*"),23),16,FALSE),"")</f>
        <v>185/75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2003</v>
      </c>
      <c r="O13" s="425"/>
      <c r="P13" s="117">
        <f ca="1">IFERROR(VLOOKUP(M12,OFFSET($AG$2,,,COUNTIF($AG$2:$AG$50,"?*"),23),15,FALSE),"")</f>
        <v>17</v>
      </c>
      <c r="Q13" s="415" t="str">
        <f ca="1">IFERROR(VLOOKUP(M12,OFFSET($AG$2,,,COUNTIF($AG$2:$AG$50,"?*"),23),16,FALSE),"")</f>
        <v>170/62</v>
      </c>
      <c r="R13" s="416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1198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17" t="str">
        <f ca="1">IFERROR(VLOOKUP(A12,OFFSET($AG$2,,,COUNTIF($AG$2:$AG$50,"?*"),23),18,FALSE),"")</f>
        <v>8 OZ, 3 (3+0), -1 ±</v>
      </c>
      <c r="B14" s="418"/>
      <c r="C14" s="418"/>
      <c r="D14" s="419" t="str">
        <f ca="1">IFERROR(VLOOKUP(A12,OFFSET($AG$2,,,COUNTIF($AG$2:$AG$50,"?*"),23),19,FALSE),"")</f>
        <v>73 OZ, 20 (11+9)</v>
      </c>
      <c r="E14" s="419"/>
      <c r="F14" s="420"/>
      <c r="G14" s="421" t="s">
        <v>649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17" t="str">
        <f ca="1">IFERROR(VLOOKUP(M12,OFFSET($AG$2,,,COUNTIF($AG$2:$AG$50,"?*"),23),18,FALSE),"")</f>
        <v>9 OZ, 2 (1+1), -2 ±</v>
      </c>
      <c r="N14" s="418"/>
      <c r="O14" s="418"/>
      <c r="P14" s="419" t="str">
        <f ca="1">IFERROR(VLOOKUP(M12,OFFSET($AG$2,,,COUNTIF($AG$2:$AG$50,"?*"),23),19,FALSE),"")</f>
        <v>17 OZ, 2 (1+1)</v>
      </c>
      <c r="Q14" s="419"/>
      <c r="R14" s="420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1060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Akademie Zákupy</v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>-</v>
      </c>
      <c r="E15" s="43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1991</v>
      </c>
      <c r="I15" s="425"/>
      <c r="J15" s="117">
        <f ca="1">IFERROR(VLOOKUP(G14,OFFSET($AG$2,,,COUNTIF($AG$2:$AG$50,"?*"),23),15,FALSE),"")</f>
        <v>30</v>
      </c>
      <c r="K15" s="415" t="str">
        <f ca="1">IFERROR(VLOOKUP(G14,OFFSET($AG$2,,,COUNTIF($AG$2:$AG$50,"?*"),23),16,FALSE),"")</f>
        <v>186/87</v>
      </c>
      <c r="L15" s="416"/>
      <c r="M15" s="426" t="str">
        <f ca="1">IFERROR(IF(VLOOKUP(M12,OFFSET($AG$2,,,COUNTIF($AG$2:$AG$50,"?*"),23),13,FALSE)&lt;&gt;0,VLOOKUP(M12,OFFSET($AG$2,,,COUNTIF($AG$2:$AG$50,"?*"),23),13,FALSE),"?"),"")</f>
        <v>FBC Česká Lípa</v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>-</v>
      </c>
      <c r="Q15" s="43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 t="s">
        <v>220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1192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11 OZ, 10 (1+9), -2 ±</v>
      </c>
      <c r="H16" s="418"/>
      <c r="I16" s="418"/>
      <c r="J16" s="419" t="str">
        <f ca="1">IFERROR(VLOOKUP(G14,OFFSET($AG$2,,,COUNTIF($AG$2:$AG$50,"?*"),23),19,FALSE),"")</f>
        <v>114 OZ, 86 (26+60)</v>
      </c>
      <c r="K16" s="419"/>
      <c r="L16" s="420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 t="s">
        <v>220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1193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421" t="s">
        <v>406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26" t="str">
        <f ca="1">IFERROR(IF(VLOOKUP(G14,OFFSET($AG$2,,,COUNTIF($AG$2:$AG$50,"?*"),23),13,FALSE)&lt;&gt;0,VLOOKUP(G14,OFFSET($AG$2,,,COUNTIF($AG$2:$AG$50,"?*"),23),13,FALSE),"?"),"")</f>
        <v>FBC Česká Lípa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2006</v>
      </c>
      <c r="K17" s="430"/>
      <c r="L17" s="7">
        <f ca="1">IFERROR(IF(VLOOKUP(G14,OFFSET($AG$2,,,COUNTIF($AG$2:$AG$50,"?*"),23),7,FALSE)&lt;&gt;0,VLOOKUP(G14,OFFSET($AG$2,,,COUNTIF($AG$2:$AG$50,"?*"),23),7,FALSE),"?"),"")</f>
        <v>6</v>
      </c>
      <c r="M17" s="421" t="s">
        <v>642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 t="s">
        <v>220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4">
        <f ca="1">IFERROR(IF(VLOOKUP(A17,OFFSET($AG$2,,,COUNTIF($AG$2:$AG$50,"?*"),23),2,FALSE)&lt;&gt;0,YEAR(VLOOKUP(A17,OFFSET($AG$2,,,COUNTIF($AG$2:$AG$50,"?*"),23),2,FALSE)),""),"")</f>
        <v>1994</v>
      </c>
      <c r="C18" s="425"/>
      <c r="D18" s="149">
        <f ca="1">IFERROR(VLOOKUP(A17,OFFSET($AG$2,,,COUNTIF($AG$2:$AG$50,"?*"),23),15,FALSE),"")</f>
        <v>27</v>
      </c>
      <c r="E18" s="415" t="str">
        <f ca="1">IFERROR(VLOOKUP(A17,OFFSET($AG$2,,,COUNTIF($AG$2:$AG$50,"?*"),23),16,FALSE),"")</f>
        <v>174/76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1983</v>
      </c>
      <c r="O18" s="425"/>
      <c r="P18" s="117">
        <f ca="1">IFERROR(VLOOKUP(M17,OFFSET($AG$2,,,COUNTIF($AG$2:$AG$50,"?*"),23),15,FALSE),"")</f>
        <v>38</v>
      </c>
      <c r="Q18" s="415" t="str">
        <f ca="1">IFERROR(VLOOKUP(M17,OFFSET($AG$2,,,COUNTIF($AG$2:$AG$50,"?*"),23),16,FALSE),"")</f>
        <v>184/91</v>
      </c>
      <c r="R18" s="416"/>
      <c r="S18" s="110" t="s">
        <v>1185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>6 OZ, 0 (0+0), -2 ±</v>
      </c>
      <c r="B19" s="418"/>
      <c r="C19" s="418"/>
      <c r="D19" s="419" t="str">
        <f ca="1">IFERROR(VLOOKUP(A17,OFFSET($AG$2,,,COUNTIF($AG$2:$AG$50,"?*"),23),19,FALSE),"")</f>
        <v>74 OZ, 44 (21+23)</v>
      </c>
      <c r="E19" s="419"/>
      <c r="F19" s="420"/>
      <c r="H19" s="431" t="str">
        <f>H$8</f>
        <v>CLP</v>
      </c>
      <c r="I19" s="431"/>
      <c r="J19" s="431"/>
      <c r="K19" s="431"/>
      <c r="M19" s="417" t="str">
        <f ca="1">IFERROR(VLOOKUP(M17,OFFSET($AG$2,,,COUNTIF($AG$2:$AG$50,"?*"),23),18,FALSE),"")</f>
        <v>11 OZ, 12 (8+4), -3 ±</v>
      </c>
      <c r="N19" s="418"/>
      <c r="O19" s="418"/>
      <c r="P19" s="419" t="str">
        <f ca="1">IFERROR(VLOOKUP(M17,OFFSET($AG$2,,,COUNTIF($AG$2:$AG$50,"?*"),23),19,FALSE),"")</f>
        <v>320 OZ, 332 (164+168)</v>
      </c>
      <c r="Q19" s="419"/>
      <c r="R19" s="420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1196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Pitbulls Kolín</v>
      </c>
      <c r="B20" s="427"/>
      <c r="C20" s="428"/>
      <c r="D20" s="429">
        <f ca="1">IFERROR(IF(VLOOKUP(A17,OFFSET($AG$2,,,COUNTIF($AG$2:$AG$50,"?*"),23),14,FALSE)&lt;&gt;0,VLOOKUP(A17,OFFSET($AG$2,,,COUNTIF($AG$2:$AG$50,"?*"),23),14,FALSE),"?"),"")</f>
        <v>2007</v>
      </c>
      <c r="E20" s="430"/>
      <c r="F20" s="7">
        <f ca="1">IFERROR(IF(VLOOKUP(A17,OFFSET($AG$2,,,COUNTIF($AG$2:$AG$50,"?*"),23),7,FALSE)&lt;&gt;0,VLOOKUP(A17,OFFSET($AG$2,,,COUNTIF($AG$2:$AG$50,"?*"),23),7,FALSE),"?"),"")</f>
        <v>5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FBC Líný FŠI Česká Lípa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1998</v>
      </c>
      <c r="Q20" s="43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1186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 t="s">
        <v>220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1199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421" t="s">
        <v>641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3" t="s">
        <v>13</v>
      </c>
      <c r="I23" s="423"/>
      <c r="J23" s="423"/>
      <c r="K23" s="423"/>
      <c r="M23" s="421" t="s">
        <v>639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4">
        <f ca="1">IFERROR(IF(VLOOKUP(A23,OFFSET($AG$2,,,COUNTIF($AG$2:$AG$50,"?*"),23),2,FALSE)&lt;&gt;0,YEAR(VLOOKUP(A23,OFFSET($AG$2,,,COUNTIF($AG$2:$AG$50,"?*"),23),2,FALSE)),""),"")</f>
        <v>1990</v>
      </c>
      <c r="C24" s="425"/>
      <c r="D24" s="117">
        <f ca="1">IFERROR(VLOOKUP(A23,OFFSET($AG$2,,,COUNTIF($AG$2:$AG$50,"?*"),23),15,FALSE),"")</f>
        <v>31</v>
      </c>
      <c r="E24" s="415" t="str">
        <f ca="1">IFERROR(VLOOKUP(A23,OFFSET($AG$2,,,COUNTIF($AG$2:$AG$50,"?*"),23),16,FALSE),"")</f>
        <v>186/86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1986</v>
      </c>
      <c r="O24" s="425"/>
      <c r="P24" s="117">
        <f ca="1">IFERROR(VLOOKUP(M23,OFFSET($AG$2,,,COUNTIF($AG$2:$AG$50,"?*"),23),15,FALSE),"")</f>
        <v>35</v>
      </c>
      <c r="Q24" s="415" t="str">
        <f ca="1">IFERROR(VLOOKUP(M23,OFFSET($AG$2,,,COUNTIF($AG$2:$AG$50,"?*"),23),16,FALSE),"")</f>
        <v>182/79</v>
      </c>
      <c r="R24" s="416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1060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>10 OZ, 5 (0+5), -8 ±</v>
      </c>
      <c r="B25" s="418"/>
      <c r="C25" s="418"/>
      <c r="D25" s="419" t="str">
        <f ca="1">IFERROR(VLOOKUP(A23,OFFSET($AG$2,,,COUNTIF($AG$2:$AG$50,"?*"),23),19,FALSE),"")</f>
        <v>101 OZ, 31 (8+23)</v>
      </c>
      <c r="E25" s="419"/>
      <c r="F25" s="420"/>
      <c r="G25" s="421" t="s">
        <v>647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17" t="str">
        <f ca="1">IFERROR(VLOOKUP(M23,OFFSET($AG$2,,,COUNTIF($AG$2:$AG$50,"?*"),23),18,FALSE),"")</f>
        <v>11 OZ, 1 (1+0), -15 ±</v>
      </c>
      <c r="N25" s="418"/>
      <c r="O25" s="418"/>
      <c r="P25" s="419" t="str">
        <f ca="1">IFERROR(VLOOKUP(M23,OFFSET($AG$2,,,COUNTIF($AG$2:$AG$50,"?*"),23),19,FALSE),"")</f>
        <v>114 OZ, 51 (32+19)</v>
      </c>
      <c r="Q25" s="419"/>
      <c r="R25" s="420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FBC Česká Lípa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2006</v>
      </c>
      <c r="E26" s="43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1987</v>
      </c>
      <c r="I26" s="425"/>
      <c r="J26" s="117">
        <f ca="1">IFERROR(VLOOKUP(G25,OFFSET($AG$2,,,COUNTIF($AG$2:$AG$50,"?*"),23),15,FALSE),"")</f>
        <v>34</v>
      </c>
      <c r="K26" s="415" t="str">
        <f ca="1">IFERROR(VLOOKUP(G25,OFFSET($AG$2,,,COUNTIF($AG$2:$AG$50,"?*"),23),16,FALSE),"")</f>
        <v>185/85</v>
      </c>
      <c r="L26" s="416"/>
      <c r="M26" s="426" t="str">
        <f ca="1">IFERROR(IF(VLOOKUP(M23,OFFSET($AG$2,,,COUNTIF($AG$2:$AG$50,"?*"),23),13,FALSE)&lt;&gt;0,VLOOKUP(M23,OFFSET($AG$2,,,COUNTIF($AG$2:$AG$50,"?*"),23),13,FALSE),"?"),"")</f>
        <v>S.K. P.E.M.A. Opava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2005</v>
      </c>
      <c r="Q26" s="430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1061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11 OZ, 8 (6+2), -9 ±</v>
      </c>
      <c r="H27" s="418"/>
      <c r="I27" s="418"/>
      <c r="J27" s="419" t="str">
        <f ca="1">IFERROR(VLOOKUP(G25,OFFSET($AG$2,,,COUNTIF($AG$2:$AG$50,"?*"),23),19,FALSE),"")</f>
        <v>94 OZ, 28 (18+10)</v>
      </c>
      <c r="K27" s="419"/>
      <c r="L27" s="420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 t="s">
        <v>220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1" t="s">
        <v>646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26" t="str">
        <f ca="1">IFERROR(IF(VLOOKUP(G25,OFFSET($AG$2,,,COUNTIF($AG$2:$AG$50,"?*"),23),13,FALSE)&lt;&gt;0,VLOOKUP(G25,OFFSET($AG$2,,,COUNTIF($AG$2:$AG$50,"?*"),23),13,FALSE),"?"),"")</f>
        <v>Radiaci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1999</v>
      </c>
      <c r="K28" s="430"/>
      <c r="L28" s="7">
        <f ca="1">IFERROR(IF(VLOOKUP(G25,OFFSET($AG$2,,,COUNTIF($AG$2:$AG$50,"?*"),23),7,FALSE)&lt;&gt;0,VLOOKUP(G25,OFFSET($AG$2,,,COUNTIF($AG$2:$AG$50,"?*"),23),7,FALSE),"?"),"")</f>
        <v>6</v>
      </c>
      <c r="M28" s="421" t="s">
        <v>658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973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2003</v>
      </c>
      <c r="C29" s="425"/>
      <c r="D29" s="117">
        <f ca="1">IFERROR(VLOOKUP(A28,OFFSET($AG$2,,,COUNTIF($AG$2:$AG$50,"?*"),23),15,FALSE),"")</f>
        <v>18</v>
      </c>
      <c r="E29" s="415" t="str">
        <f ca="1">IFERROR(VLOOKUP(A28,OFFSET($AG$2,,,COUNTIF($AG$2:$AG$50,"?*"),23),16,FALSE),"")</f>
        <v>192/82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1993</v>
      </c>
      <c r="O29" s="425"/>
      <c r="P29" s="117">
        <f ca="1">IFERROR(VLOOKUP(M28,OFFSET($AG$2,,,COUNTIF($AG$2:$AG$50,"?*"),23),15,FALSE),"")</f>
        <v>28</v>
      </c>
      <c r="Q29" s="415" t="str">
        <f ca="1">IFERROR(VLOOKUP(M28,OFFSET($AG$2,,,COUNTIF($AG$2:$AG$50,"?*"),23),16,FALSE),"")</f>
        <v>178/75</v>
      </c>
      <c r="R29" s="416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1191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17" t="str">
        <f ca="1">IFERROR(VLOOKUP(A28,OFFSET($AG$2,,,COUNTIF($AG$2:$AG$50,"?*"),23),18,FALSE),"")</f>
        <v>9 OZ, 1 (1+0), +2 ±</v>
      </c>
      <c r="B30" s="418"/>
      <c r="C30" s="418"/>
      <c r="D30" s="419" t="str">
        <f ca="1">IFERROR(VLOOKUP(A28,OFFSET($AG$2,,,COUNTIF($AG$2:$AG$50,"?*"),23),19,FALSE),"")</f>
        <v>30 OZ, 3 (3+0)</v>
      </c>
      <c r="E30" s="419"/>
      <c r="F30" s="420"/>
      <c r="H30" s="431" t="str">
        <f>H$8</f>
        <v>CLP</v>
      </c>
      <c r="I30" s="431"/>
      <c r="J30" s="431"/>
      <c r="K30" s="431"/>
      <c r="M30" s="417" t="str">
        <f ca="1">IFERROR(VLOOKUP(M28,OFFSET($AG$2,,,COUNTIF($AG$2:$AG$50,"?*"),23),18,FALSE),"")</f>
        <v>6 OZ, 3 (2+1), -10 ±</v>
      </c>
      <c r="N30" s="418"/>
      <c r="O30" s="418"/>
      <c r="P30" s="419" t="str">
        <f ca="1">IFERROR(VLOOKUP(M28,OFFSET($AG$2,,,COUNTIF($AG$2:$AG$50,"?*"),23),19,FALSE),"")</f>
        <v>198 OZ, 74 (35+39)</v>
      </c>
      <c r="Q30" s="419"/>
      <c r="R30" s="420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 t="s">
        <v>220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974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FBC Česká Lípa</v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>-</v>
      </c>
      <c r="E31" s="430"/>
      <c r="F31" s="7">
        <f ca="1">IFERROR(IF(VLOOKUP(A28,OFFSET($AG$2,,,COUNTIF($AG$2:$AG$50,"?*"),23),7,FALSE)&lt;&gt;0,VLOOKUP(A28,OFFSET($AG$2,,,COUNTIF($AG$2:$AG$50,"?*"),23),7,FALSE),"?"),"")</f>
        <v>2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FbK Sokol Mladá Boleslav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2005</v>
      </c>
      <c r="Q31" s="43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1061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 t="s">
        <v>652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2" t="s">
        <v>16</v>
      </c>
      <c r="J34" s="421" t="s">
        <v>971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4">
        <f ca="1">IFERROR(IF(VLOOKUP(A34,OFFSET($AG$2,,,COUNTIF($AG$2:$AG$50,"?*"),23),2,FALSE)&lt;&gt;0,YEAR(VLOOKUP(A34,OFFSET($AG$2,,,COUNTIF($AG$2:$AG$50,"?*"),23),2,FALSE)),""),"")</f>
        <v>1997</v>
      </c>
      <c r="C35" s="425"/>
      <c r="D35" s="117">
        <f ca="1">IFERROR(VLOOKUP(A34,OFFSET($AG$2,,,COUNTIF($AG$2:$AG$50,"?*"),23),15,FALSE),"")</f>
        <v>24</v>
      </c>
      <c r="E35" s="415" t="str">
        <f ca="1">IFERROR(VLOOKUP(A34,OFFSET($AG$2,,,COUNTIF($AG$2:$AG$50,"?*"),23),16,FALSE),"")</f>
        <v>181/79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76" t="str">
        <f ca="1">IFERROR(VLOOKUP(J34,OFFSET($AG$2,,,COUNTIF($AG$2:$AG$50,"?*"),23),15,FALSE),"")</f>
        <v>?</v>
      </c>
      <c r="N35" s="433" t="str">
        <f ca="1">IFERROR(VLOOKUP(J34,OFFSET($AG$2,,,COUNTIF($AG$2:$AG$50,"?*"),23),16,FALSE),"")</f>
        <v>? / ?</v>
      </c>
      <c r="O35" s="433"/>
      <c r="P35" s="433" t="str">
        <f ca="1">IFERROR(VLOOKUP(J34,OFFSET($AG$2,,,COUNTIF($AG$2:$AG$50,"?*"),23),18,FALSE),"")</f>
        <v>6 OZ, 2 (0+2), -5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41" t="str">
        <f ca="1">IFERROR(VLOOKUP(A34,OFFSET($AG$2,,,COUNTIF($AG$2:$AG$50,"?*"),23),18,FALSE),"")</f>
        <v>2 V, 3 P</v>
      </c>
      <c r="C36" s="441"/>
      <c r="D36" s="442">
        <f ca="1">IFERROR(VLOOKUP(A34,OFFSET($S$45,,,COUNTIF($S$45:$S$50,"?*"),14),5,FALSE),"")</f>
        <v>29</v>
      </c>
      <c r="E36" s="443"/>
      <c r="F36" s="17">
        <f ca="1">IFERROR(VLOOKUP(A34,OFFSET($S$45,,,COUNTIF($S$45:$S$50,"?*"),14),14,FALSE),"")</f>
        <v>71.568627450980387</v>
      </c>
      <c r="H36" s="432"/>
      <c r="J36" s="18" t="str">
        <f ca="1">IFERROR(IF(VLOOKUP(J34,OFFSET($AG$2,,,COUNTIF($AG$2:$AG$50,"?*"),23),7,FALSE)&lt;&gt;0,VLOOKUP(J34,OFFSET($AG$2,,,COUNTIF($AG$2:$AG$50,"?*"),23),7,FALSE),"?"),"")</f>
        <v>?</v>
      </c>
      <c r="K36" s="444" t="str">
        <f ca="1">IFERROR(VLOOKUP(J34,OFFSET($AG$2,,,COUNTIF($AG$2:$AG$50,"?*"),23),19,FALSE),"")</f>
        <v>6 OZ, 2 (0+2)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?</v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>?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225.57</v>
      </c>
      <c r="B37" s="435"/>
      <c r="C37" s="436">
        <f ca="1">IFERROR(VLOOKUP(A34,OFFSET($S$45,,,COUNTIF($S$45:$S$50,"?*"),14),13,FALSE),"")</f>
        <v>7.7137917276233541</v>
      </c>
      <c r="D37" s="437"/>
      <c r="E37" s="438" t="str">
        <f ca="1">IFERROR(VLOOKUP(A34,OFFSET($AG$2,,,COUNTIF($AG$2:$AG$50,"?*"),23),19,FALSE),"")</f>
        <v>48 OZ, 0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FBC Česká Lípa</v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>-</v>
      </c>
      <c r="E38" s="430"/>
      <c r="F38" s="19">
        <f ca="1">IFERROR(VLOOKUP(A34,OFFSET($S$45,,,COUNTIF($S$45:$S$50,"?*"),14),6,FALSE),"")</f>
        <v>0</v>
      </c>
      <c r="H38" s="432"/>
      <c r="J38" s="421" t="s">
        <v>648</v>
      </c>
      <c r="K38" s="422"/>
      <c r="L38" s="422"/>
      <c r="M38" s="422"/>
      <c r="N38" s="422"/>
      <c r="O38" s="422"/>
      <c r="P38" s="42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76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189/91</v>
      </c>
      <c r="O39" s="433"/>
      <c r="P39" s="433" t="str">
        <f ca="1">IFERROR(VLOOKUP(J38,OFFSET($AG$2,,,COUNTIF($AG$2:$AG$50,"?*"),23),18,FALSE),"")</f>
        <v>6 OZ, 0 (0+0), -2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643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2"/>
      <c r="J40" s="18">
        <f ca="1">IFERROR(IF(VLOOKUP(J38,OFFSET($AG$2,,,COUNTIF($AG$2:$AG$50,"?*"),23),7,FALSE)&lt;&gt;0,VLOOKUP(J38,OFFSET($AG$2,,,COUNTIF($AG$2:$AG$50,"?*"),23),7,FALSE),"?"),"")</f>
        <v>1</v>
      </c>
      <c r="K40" s="444" t="str">
        <f ca="1">IFERROR(VLOOKUP(J38,OFFSET($AG$2,,,COUNTIF($AG$2:$AG$50,"?*"),23),19,FALSE),"")</f>
        <v>6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FBC Česká Lípa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2014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4">
        <f ca="1">IFERROR(IF(VLOOKUP(A40,OFFSET($AG$2,,,COUNTIF($AG$2:$AG$50,"?*"),23),2,FALSE)&lt;&gt;0,YEAR(VLOOKUP(A40,OFFSET($AG$2,,,COUNTIF($AG$2:$AG$50,"?*"),23),2,FALSE)),""),"")</f>
        <v>1984</v>
      </c>
      <c r="C41" s="425"/>
      <c r="D41" s="117">
        <f ca="1">IFERROR(VLOOKUP(A40,OFFSET($AG$2,,,COUNTIF($AG$2:$AG$50,"?*"),23),15,FALSE),"")</f>
        <v>37</v>
      </c>
      <c r="E41" s="415" t="str">
        <f ca="1">IFERROR(VLOOKUP(A40,OFFSET($AG$2,,,COUNTIF($AG$2:$AG$50,"?*"),23),16,FALSE),"")</f>
        <v>172/72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41" t="str">
        <f ca="1">IFERROR(VLOOKUP(A40,OFFSET($AG$2,,,COUNTIF($AG$2:$AG$50,"?*"),23),18,FALSE),"")</f>
        <v>1 V, 7 P</v>
      </c>
      <c r="C42" s="441"/>
      <c r="D42" s="442">
        <f ca="1">IFERROR(VLOOKUP(A40,OFFSET($S$45,,,COUNTIF($S$45:$S$50,"?*"),14),5,FALSE),"")</f>
        <v>53</v>
      </c>
      <c r="E42" s="443"/>
      <c r="F42" s="17">
        <f ca="1">IFERROR(VLOOKUP(A40,OFFSET($S$45,,,COUNTIF($S$45:$S$50,"?*"),14),14,FALSE),"")</f>
        <v>76.339285714285708</v>
      </c>
      <c r="H42" s="432"/>
      <c r="J42" s="421" t="s">
        <v>651</v>
      </c>
      <c r="K42" s="422"/>
      <c r="L42" s="422"/>
      <c r="M42" s="422"/>
      <c r="N42" s="422"/>
      <c r="O42" s="422"/>
      <c r="P42" s="42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409.45</v>
      </c>
      <c r="B43" s="435"/>
      <c r="C43" s="436">
        <f ca="1">IFERROR(VLOOKUP(A40,OFFSET($S$45,,,COUNTIF($S$45:$S$50,"?*"),14),13,FALSE),"")</f>
        <v>7.7665160581267552</v>
      </c>
      <c r="D43" s="437"/>
      <c r="E43" s="438" t="str">
        <f ca="1">IFERROR(VLOOKUP(A40,OFFSET($AG$2,,,COUNTIF($AG$2:$AG$50,"?*"),23),19,FALSE),"")</f>
        <v>140 OZ, 7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2004</v>
      </c>
      <c r="L43" s="433"/>
      <c r="M43" s="176">
        <f ca="1">IFERROR(VLOOKUP(J42,OFFSET($AG$2,,,COUNTIF($AG$2:$AG$50,"?*"),23),15,FALSE),"")</f>
        <v>17</v>
      </c>
      <c r="N43" s="433" t="str">
        <f ca="1">IFERROR(VLOOKUP(J42,OFFSET($AG$2,,,COUNTIF($AG$2:$AG$50,"?*"),23),16,FALSE),"")</f>
        <v>? / ?</v>
      </c>
      <c r="O43" s="433"/>
      <c r="P43" s="433" t="str">
        <f ca="1">IFERROR(VLOOKUP(J42,OFFSET($AG$2,,,COUNTIF($AG$2:$AG$50,"?*"),23),18,FALSE),"")</f>
        <v>7 OZ, 0 (0+0), -1 ±</v>
      </c>
      <c r="Q43" s="433"/>
      <c r="R43" s="44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Taifun Moskva</v>
      </c>
      <c r="B44" s="427"/>
      <c r="C44" s="428"/>
      <c r="D44" s="429">
        <f ca="1">IFERROR(IF(VLOOKUP(A40,OFFSET($AG$2,,,COUNTIF($AG$2:$AG$50,"?*"),23),14,FALSE)&lt;&gt;0,VLOOKUP(A40,OFFSET($AG$2,,,COUNTIF($AG$2:$AG$50,"?*"),23),14,FALSE),"?"),"")</f>
        <v>1998</v>
      </c>
      <c r="E44" s="430"/>
      <c r="F44" s="19">
        <f ca="1">IFERROR(VLOOKUP(A40,OFFSET($S$45,,,COUNTIF($S$45:$S$50,"?*"),14),6,FALSE),"")</f>
        <v>0</v>
      </c>
      <c r="H44" s="432"/>
      <c r="J44" s="18">
        <f ca="1">IFERROR(IF(VLOOKUP(J42,OFFSET($AG$2,,,COUNTIF($AG$2:$AG$50,"?*"),23),7,FALSE)&lt;&gt;0,VLOOKUP(J42,OFFSET($AG$2,,,COUNTIF($AG$2:$AG$50,"?*"),23),7,FALSE),"?"),"")</f>
        <v>1</v>
      </c>
      <c r="K44" s="444" t="str">
        <f ca="1">IFERROR(VLOOKUP(J42,OFFSET($AG$2,,,COUNTIF($AG$2:$AG$50,"?*"),23),19,FALSE),"")</f>
        <v>7 OZ, 0 (0+0)</v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>FBC Česká Lípa</v>
      </c>
      <c r="O44" s="445"/>
      <c r="P44" s="445"/>
      <c r="Q44" s="444">
        <f ca="1">IFERROR(IF(VLOOKUP(J42,OFFSET($AG$2,,,COUNTIF($AG$2:$AG$50,"?*"),23),14,FALSE)&lt;&gt;0,VLOOKUP(J42,OFFSET($AG$2,,,COUNTIF($AG$2:$AG$50,"?*"),23),14,FALSE),"?"),"")</f>
        <v>2012</v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673</v>
      </c>
      <c r="B47" s="462"/>
      <c r="C47" s="462"/>
      <c r="D47" s="462"/>
      <c r="E47" s="457" t="str">
        <f ca="1">IFERROR(VLOOKUP(A47,OFFSET($BN$2,,,COUNTIF($BN$2:$BN$11,"?*"),5),3,FALSE),"")</f>
        <v>trenér</v>
      </c>
      <c r="F47" s="457"/>
      <c r="G47" s="457"/>
      <c r="H47" s="457"/>
      <c r="I47" s="458"/>
      <c r="J47" s="461" t="s">
        <v>674</v>
      </c>
      <c r="K47" s="462"/>
      <c r="L47" s="462"/>
      <c r="M47" s="462"/>
      <c r="N47" s="457" t="str">
        <f ca="1">IFERROR(VLOOKUP(J47,OFFSET($BN$2,,,COUNTIF($BN$2:$BN$11,"?*"),5),3,FALSE),"")</f>
        <v>asistent trenéra</v>
      </c>
      <c r="O47" s="457"/>
      <c r="P47" s="457"/>
      <c r="Q47" s="457"/>
      <c r="R47" s="458"/>
      <c r="S47" s="111" t="s">
        <v>1185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36</v>
      </c>
      <c r="B48" s="449" t="str">
        <f ca="1">IFERROR(IF(VLOOKUP(A47,OFFSET($BN$2,,,COUNTIF($BN$2:$BN$11,"?*"),5),4,FALSE)&lt;&gt;0,VLOOKUP(A47,OFFSET($BN$2,,,COUNTIF($BN$2:$BN$11,"?*"),5),4,FALSE),"-"),"")</f>
        <v>-</v>
      </c>
      <c r="C48" s="449"/>
      <c r="D48" s="449"/>
      <c r="E48" s="449"/>
      <c r="F48" s="449"/>
      <c r="G48" s="449"/>
      <c r="H48" s="449"/>
      <c r="I48" s="450"/>
      <c r="J48" s="119">
        <f ca="1">IFERROR(VLOOKUP(J47,OFFSET($BN$2,,,COUNTIF($BN$2:$BN$11,"?*"),5),5,FALSE),"")</f>
        <v>38</v>
      </c>
      <c r="K48" s="453" t="str">
        <f ca="1">IFERROR(IF(VLOOKUP(J47,OFFSET($BN$2,,,COUNTIF($BN$2:$BN$11,"?*"),5),4,FALSE)&lt;&gt;0,VLOOKUP(J47,OFFSET($BN$2,,,COUNTIF($BN$2:$BN$11,"?*"),5),4,FALSE),"-"),"")</f>
        <v>-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675</v>
      </c>
      <c r="K49" s="456"/>
      <c r="L49" s="456"/>
      <c r="M49" s="456"/>
      <c r="N49" s="457" t="str">
        <f ca="1">IFERROR(VLOOKUP(J49,OFFSET($BN$2,,,COUNTIF($BN$2:$BN$11,"?*"),5),3,FALSE),"")</f>
        <v>kondiční trenér</v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>
        <f ca="1">IFERROR(VLOOKUP(J49,OFFSET($BN$2,,,COUNTIF($BN$2:$BN$11,"?*"),5),5,FALSE),"")</f>
        <v>34</v>
      </c>
      <c r="K50" s="453" t="str">
        <f ca="1">IFERROR(IF(VLOOKUP(J49,OFFSET($BN$2,,,COUNTIF($BN$2:$BN$11,"?*"),5),4,FALSE)&lt;&gt;0,VLOOKUP(J49,OFFSET($BN$2,,,COUNTIF($BN$2:$BN$11,"?*"),5),4,FALSE),"-"),"")</f>
        <v>-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702</v>
      </c>
      <c r="U2" s="102">
        <v>12</v>
      </c>
      <c r="V2" s="102">
        <v>4</v>
      </c>
      <c r="W2" s="102">
        <v>1</v>
      </c>
      <c r="X2" s="102">
        <v>0</v>
      </c>
      <c r="Y2" s="102">
        <v>9</v>
      </c>
      <c r="Z2" s="102">
        <v>13</v>
      </c>
      <c r="AA2" s="102">
        <v>8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719</v>
      </c>
      <c r="BU2" s="103">
        <v>13</v>
      </c>
      <c r="BV2" s="104" t="str">
        <f>IFERROR(RIGHT(BT2,LEN(BT2)-SEARCH(" ",BT2)),"")</f>
        <v>Lukáš Jalový</v>
      </c>
      <c r="BW2" s="102">
        <f>IF(BT2&lt;&gt;0,_xlfn.NUMBERVALUE(BU2,","),"")</f>
        <v>13</v>
      </c>
      <c r="BX2" s="459" t="s">
        <v>192</v>
      </c>
      <c r="BY2" s="103" t="s">
        <v>1449</v>
      </c>
      <c r="BZ2" s="103" t="s">
        <v>834</v>
      </c>
      <c r="CA2" s="115" t="s">
        <v>787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706</v>
      </c>
      <c r="T3" s="102" t="s">
        <v>58</v>
      </c>
      <c r="U3" s="102">
        <v>12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4</v>
      </c>
      <c r="AB3" s="102">
        <v>-4</v>
      </c>
      <c r="AC3" s="102" t="str">
        <f t="shared" ca="1" si="0"/>
        <v>ANO</v>
      </c>
      <c r="AG3" s="121" t="s">
        <v>706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12 OZ, 10 (6+4), -4 ±</v>
      </c>
      <c r="AY3" s="129" t="str">
        <f t="shared" ca="1" si="2"/>
        <v>12 OZ, 10 (6+4)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0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459"/>
      <c r="BY3" s="103" t="s">
        <v>861</v>
      </c>
      <c r="BZ3" s="103" t="s">
        <v>835</v>
      </c>
      <c r="CA3" s="115" t="s">
        <v>1209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12 OZ, 1 (1+0), -11 ±</v>
      </c>
      <c r="AY4" s="129" t="str">
        <f t="shared" ca="1" si="2"/>
        <v>12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0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59"/>
      <c r="BY4" s="103" t="s">
        <v>841</v>
      </c>
      <c r="BZ4" s="103" t="s">
        <v>846</v>
      </c>
      <c r="CA4" s="115" t="s">
        <v>1050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701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12 OZ, 8 (6+2)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867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59"/>
      <c r="BY5" s="103" t="s">
        <v>853</v>
      </c>
      <c r="BZ5" s="103" t="s">
        <v>847</v>
      </c>
      <c r="CA5" s="115" t="s">
        <v>1074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491</v>
      </c>
      <c r="U6" s="102">
        <v>12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10</v>
      </c>
      <c r="AB6" s="102">
        <v>-15</v>
      </c>
      <c r="AC6" s="102" t="str">
        <f t="shared" ca="1" si="0"/>
        <v>ANO</v>
      </c>
      <c r="AG6" s="121" t="s">
        <v>491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12 OZ, 6 (3+3), -15 ±</v>
      </c>
      <c r="AY6" s="129" t="str">
        <f t="shared" ca="1" si="2"/>
        <v>12 OZ, 6 (3+3)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1451</v>
      </c>
      <c r="BU6" s="103">
        <v>6</v>
      </c>
      <c r="BV6" s="104" t="str">
        <f t="shared" si="13"/>
        <v>Matěj Hronek</v>
      </c>
      <c r="BW6" s="102">
        <f t="shared" si="14"/>
        <v>6</v>
      </c>
      <c r="BX6" s="459"/>
      <c r="BY6" s="103" t="s">
        <v>975</v>
      </c>
      <c r="BZ6" s="103" t="s">
        <v>849</v>
      </c>
      <c r="CA6" s="115" t="s">
        <v>1210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718</v>
      </c>
      <c r="U7" s="102">
        <v>12</v>
      </c>
      <c r="V7" s="102">
        <v>3</v>
      </c>
      <c r="W7" s="102">
        <v>0</v>
      </c>
      <c r="X7" s="102">
        <v>0</v>
      </c>
      <c r="Y7" s="102">
        <v>3</v>
      </c>
      <c r="Z7" s="102">
        <v>6</v>
      </c>
      <c r="AA7" s="102">
        <v>4</v>
      </c>
      <c r="AB7" s="102">
        <v>-7</v>
      </c>
      <c r="AC7" s="102" t="str">
        <f t="shared" ca="1" si="0"/>
        <v>ANO</v>
      </c>
      <c r="AG7" s="121" t="s">
        <v>718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12 OZ, 6 (3+3), -7 ±</v>
      </c>
      <c r="AY7" s="129" t="str">
        <f t="shared" ca="1" si="2"/>
        <v>12 OZ, 6 (3+3)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1200</v>
      </c>
      <c r="BU7" s="103" t="s">
        <v>1452</v>
      </c>
      <c r="BV7" s="104" t="str">
        <f t="shared" si="13"/>
        <v>Zdeněk Raška</v>
      </c>
      <c r="BW7" s="112">
        <f t="shared" si="14"/>
        <v>6.19</v>
      </c>
      <c r="BX7" s="459" t="s">
        <v>193</v>
      </c>
      <c r="BY7" s="103" t="s">
        <v>1052</v>
      </c>
      <c r="BZ7" s="103" t="s">
        <v>833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97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717</v>
      </c>
      <c r="T8" s="102" t="s">
        <v>58</v>
      </c>
      <c r="U8" s="102">
        <v>11</v>
      </c>
      <c r="V8" s="102">
        <v>2</v>
      </c>
      <c r="W8" s="102">
        <v>0</v>
      </c>
      <c r="X8" s="102">
        <v>0</v>
      </c>
      <c r="Y8" s="102">
        <v>4</v>
      </c>
      <c r="Z8" s="102">
        <v>6</v>
      </c>
      <c r="AA8" s="102">
        <v>2</v>
      </c>
      <c r="AB8" s="102">
        <v>-11</v>
      </c>
      <c r="AC8" s="102" t="str">
        <f t="shared" ca="1" si="0"/>
        <v>ANO</v>
      </c>
      <c r="AG8" s="121" t="s">
        <v>702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12 OZ, 13 (4+9), -7 ±</v>
      </c>
      <c r="AY8" s="129" t="str">
        <f t="shared" ca="1" si="2"/>
        <v>12 OZ, 13 (4+9)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1201</v>
      </c>
      <c r="BU8" s="103" t="s">
        <v>1063</v>
      </c>
      <c r="BV8" s="104" t="str">
        <f t="shared" si="13"/>
        <v>Filip Létal</v>
      </c>
      <c r="BW8" s="112">
        <f t="shared" si="14"/>
        <v>7.42</v>
      </c>
      <c r="BX8" s="459"/>
      <c r="BY8" s="103" t="s">
        <v>1158</v>
      </c>
      <c r="BZ8" s="103" t="s">
        <v>880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704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-13</v>
      </c>
      <c r="AC9" s="102" t="str">
        <f t="shared" ca="1" si="0"/>
        <v>ANO</v>
      </c>
      <c r="AG9" s="121" t="s">
        <v>711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9 OZ, 4 (0+4), -6 ±</v>
      </c>
      <c r="AY9" s="129" t="str">
        <f t="shared" ca="1" si="2"/>
        <v>9 OZ, 4 (0+4)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1202</v>
      </c>
      <c r="BU9" s="103" t="s">
        <v>1064</v>
      </c>
      <c r="BV9" s="104" t="str">
        <f t="shared" si="13"/>
        <v>Ondřej Kolajta</v>
      </c>
      <c r="BW9" s="112">
        <f t="shared" si="14"/>
        <v>9.09</v>
      </c>
      <c r="BX9" s="459"/>
      <c r="BY9" s="103" t="s">
        <v>1141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716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4</v>
      </c>
      <c r="AB10" s="102">
        <v>-19</v>
      </c>
      <c r="AC10" s="102" t="str">
        <f t="shared" ca="1" si="0"/>
        <v>ANO</v>
      </c>
      <c r="AG10" s="121" t="s">
        <v>714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1142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705</v>
      </c>
      <c r="U11" s="102">
        <v>11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7</v>
      </c>
      <c r="AB11" s="102">
        <v>-11</v>
      </c>
      <c r="AC11" s="102" t="str">
        <f t="shared" ca="1" si="0"/>
        <v>ANO</v>
      </c>
      <c r="AG11" s="121" t="s">
        <v>716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12 OZ, 4 (3+1), -19 ±</v>
      </c>
      <c r="AY11" s="129" t="str">
        <f t="shared" ca="1" si="2"/>
        <v>12 OZ, 4 (3+1)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851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708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-6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1450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710</v>
      </c>
      <c r="T13" s="102" t="s">
        <v>107</v>
      </c>
      <c r="U13" s="102">
        <v>12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713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10 OZ, 2 (1+1), -14 ±</v>
      </c>
      <c r="AY13" s="129" t="str">
        <f t="shared" ca="1" si="2"/>
        <v>10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1453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703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1454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705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11 OZ, 4 (2+2), -11 ±</v>
      </c>
      <c r="AY15" s="129" t="str">
        <f t="shared" ca="1" si="2"/>
        <v>11 OZ, 4 (2+2)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1203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1205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12 OZ, 2 (2+0), -17 ±</v>
      </c>
      <c r="AY16" s="129" t="str">
        <f t="shared" ca="1" si="2"/>
        <v>12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1451</v>
      </c>
      <c r="BU16" s="103">
        <v>3</v>
      </c>
      <c r="BV16" s="104" t="str">
        <f t="shared" si="13"/>
        <v>Matěj Hronek</v>
      </c>
      <c r="BW16" s="102">
        <f t="shared" si="14"/>
        <v>3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1207</v>
      </c>
      <c r="T17" s="102" t="s">
        <v>107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717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11 OZ, 6 (2+4), -11 ±</v>
      </c>
      <c r="AY17" s="129" t="str">
        <f t="shared" ca="1" si="2"/>
        <v>11 OZ, 6 (2+4)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1200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1206</v>
      </c>
      <c r="T18" s="102" t="s">
        <v>58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715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12 OZ, 9 (8+1), -11 ±</v>
      </c>
      <c r="AY18" s="129" t="str">
        <f t="shared" ca="1" si="2"/>
        <v>12 OZ, 9 (8+1)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1201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HAT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1208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NE</v>
      </c>
      <c r="AG19" s="121" t="s">
        <v>709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11 OZ, 0 (0+0), -14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1202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708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704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12 OZ, 6 (2+4), -13 ±</v>
      </c>
      <c r="AY20" s="129" t="str">
        <f t="shared" ca="1" si="2"/>
        <v>12 OZ, 6 (2+4)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501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795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NE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0" t="s">
        <v>38</v>
      </c>
      <c r="BT22" s="104" t="s">
        <v>719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0"/>
      <c r="BT23" s="104" t="s">
        <v>1455</v>
      </c>
      <c r="BU23" s="103">
        <v>4</v>
      </c>
      <c r="BV23" s="104" t="str">
        <f t="shared" si="13"/>
        <v>David Sládeček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707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0"/>
      <c r="BT24" s="104" t="s">
        <v>1456</v>
      </c>
      <c r="BU24" s="103">
        <v>4</v>
      </c>
      <c r="BV24" s="104" t="str">
        <f t="shared" si="13"/>
        <v>Jiří Juhaňák</v>
      </c>
      <c r="BW24" s="102">
        <f t="shared" si="14"/>
        <v>4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0"/>
      <c r="BT25" s="104" t="s">
        <v>1457</v>
      </c>
      <c r="BU25" s="103">
        <v>4</v>
      </c>
      <c r="BV25" s="104" t="str">
        <f t="shared" si="13"/>
        <v>Lukáš Vlach</v>
      </c>
      <c r="BW25" s="102">
        <f t="shared" si="14"/>
        <v>4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0"/>
      <c r="BT26" s="104" t="s">
        <v>1458</v>
      </c>
      <c r="BU26" s="103">
        <v>4</v>
      </c>
      <c r="BV26" s="104" t="str">
        <f t="shared" si="13"/>
        <v>Tomáš Brom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1204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1459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812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HAT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1460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1065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7</v>
      </c>
      <c r="U45" s="112">
        <v>416.7</v>
      </c>
      <c r="V45" s="102">
        <v>2</v>
      </c>
      <c r="W45" s="102">
        <v>43</v>
      </c>
      <c r="X45" s="102">
        <v>0</v>
      </c>
      <c r="Y45" s="102">
        <v>165</v>
      </c>
      <c r="Z45" s="102">
        <v>0</v>
      </c>
      <c r="AA45" s="102">
        <v>5</v>
      </c>
      <c r="AB45" s="102">
        <v>122</v>
      </c>
      <c r="AC45" s="102">
        <v>0</v>
      </c>
      <c r="AD45" s="102">
        <v>0</v>
      </c>
      <c r="AE45" s="112">
        <f>IF(S45&lt;&gt;"",IF(T45&gt;0,W45/(U45/60),0),"")</f>
        <v>6.1915046796256306</v>
      </c>
      <c r="AF45" s="112">
        <f>IF(S45&lt;&gt;"",IF(Y45&gt;0,(AB45/Y45)*100,"-"),"")</f>
        <v>73.939393939393938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5">IF(S46&lt;&gt;"",IF(T46&gt;0,W46/(U46/60),0),"")</f>
        <v>7.4177097821047768</v>
      </c>
      <c r="AF46" s="112">
        <f t="shared" ref="AF46:AF50" si="26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5"/>
        <v>9.0946190170815591</v>
      </c>
      <c r="AF47" s="112">
        <f t="shared" si="26"/>
        <v>62.857142857142854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460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459" t="s">
        <v>192</v>
      </c>
      <c r="BY2" s="103" t="s">
        <v>861</v>
      </c>
      <c r="BZ2" s="103" t="s">
        <v>865</v>
      </c>
      <c r="CA2" s="115" t="s">
        <v>1212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460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459"/>
      <c r="BY3" s="103" t="s">
        <v>841</v>
      </c>
      <c r="BZ3" s="103" t="s">
        <v>831</v>
      </c>
      <c r="CA3" s="115" t="s">
        <v>1213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460"/>
      <c r="BT4" s="104" t="s">
        <v>1216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459"/>
      <c r="BY4" s="103" t="s">
        <v>839</v>
      </c>
      <c r="BZ4" s="103" t="s">
        <v>873</v>
      </c>
      <c r="CA4" s="115" t="s">
        <v>1214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460"/>
      <c r="BT5" s="104" t="s">
        <v>1072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459"/>
      <c r="BY5" s="103" t="s">
        <v>872</v>
      </c>
      <c r="BZ5" s="103" t="s">
        <v>833</v>
      </c>
      <c r="CA5" s="115" t="s">
        <v>1067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460"/>
      <c r="BT6" s="104" t="s">
        <v>1217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459"/>
      <c r="BY6" s="103" t="s">
        <v>758</v>
      </c>
      <c r="BZ6" s="103" t="s">
        <v>857</v>
      </c>
      <c r="CA6" s="115" t="s">
        <v>1068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1069</v>
      </c>
      <c r="BU7" s="103" t="s">
        <v>1218</v>
      </c>
      <c r="BV7" s="104" t="str">
        <f t="shared" si="13"/>
        <v>Karel Hodík</v>
      </c>
      <c r="BW7" s="112">
        <f t="shared" si="14"/>
        <v>5.42</v>
      </c>
      <c r="BX7" s="459" t="s">
        <v>193</v>
      </c>
      <c r="BY7" s="103" t="s">
        <v>1052</v>
      </c>
      <c r="BZ7" s="103" t="s">
        <v>840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24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1070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459"/>
      <c r="BY8" s="103" t="s">
        <v>1158</v>
      </c>
      <c r="BZ8" s="103" t="s">
        <v>849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877</v>
      </c>
      <c r="BU9" s="103" t="s">
        <v>1219</v>
      </c>
      <c r="BV9" s="104" t="str">
        <f t="shared" si="13"/>
        <v>Karel Pergler</v>
      </c>
      <c r="BW9" s="112">
        <f t="shared" si="14"/>
        <v>1.58</v>
      </c>
      <c r="BX9" s="459"/>
      <c r="BY9" s="103" t="s">
        <v>1141</v>
      </c>
      <c r="BZ9" s="103" t="s">
        <v>848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1160</v>
      </c>
      <c r="BZ10" s="103" t="s">
        <v>847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846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1220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1221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1069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1070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CHO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1216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1222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1071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1223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CHO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1220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1224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195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23" t="s">
        <v>1</v>
      </c>
      <c r="I1" s="423"/>
      <c r="J1" s="423"/>
      <c r="K1" s="423"/>
      <c r="M1" s="421" t="s">
        <v>201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4">
        <f ca="1">IFERROR(IF(VLOOKUP(A1,OFFSET($AG$2,,,COUNTIF($AG$2:$AG$50,"?*"),23),2,FALSE)&lt;&gt;0,YEAR(VLOOKUP(A1,OFFSET($AG$2,,,COUNTIF($AG$2:$AG$50,"?*"),23),2,FALSE)),""),"")</f>
        <v>1998</v>
      </c>
      <c r="C2" s="425"/>
      <c r="D2" s="94">
        <f ca="1">IFERROR(VLOOKUP(A1,OFFSET($AG$2,,,COUNTIF($AG$2:$AG$50,"?*"),23),15,FALSE),"")</f>
        <v>23</v>
      </c>
      <c r="E2" s="415" t="str">
        <f ca="1">IFERROR(VLOOKUP(A1,OFFSET($AG$2,,,COUNTIF($AG$2:$AG$50,"?*"),23),16,FALSE),"")</f>
        <v>177/74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2003</v>
      </c>
      <c r="O2" s="425"/>
      <c r="P2" s="94">
        <f ca="1">IFERROR(VLOOKUP(M1,OFFSET($AG$2,,,COUNTIF($AG$2:$AG$50,"?*"),23),15,FALSE),"")</f>
        <v>18</v>
      </c>
      <c r="Q2" s="415" t="str">
        <f ca="1">IFERROR(VLOOKUP(M1,OFFSET($AG$2,,,COUNTIF($AG$2:$AG$50,"?*"),23),16,FALSE),"")</f>
        <v>187/83</v>
      </c>
      <c r="R2" s="416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60" t="s">
        <v>36</v>
      </c>
      <c r="BT2" s="104" t="s">
        <v>1226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459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2 (2+0), -3 ±</v>
      </c>
      <c r="B3" s="418"/>
      <c r="C3" s="418"/>
      <c r="D3" s="419" t="str">
        <f ca="1">IFERROR(VLOOKUP(A1,OFFSET($AG$2,,,COUNTIF($AG$2:$AG$50,"?*"),23),19,FALSE),"")</f>
        <v>105 OZ, 31 (22+9)</v>
      </c>
      <c r="E3" s="419"/>
      <c r="F3" s="420"/>
      <c r="G3" s="421" t="s">
        <v>194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17" t="str">
        <f ca="1">IFERROR(VLOOKUP(M1,OFFSET($AG$2,,,COUNTIF($AG$2:$AG$50,"?*"),23),18,FALSE),"")</f>
        <v>11 OZ, 22 (12+10), +1 ±</v>
      </c>
      <c r="N3" s="418"/>
      <c r="O3" s="418"/>
      <c r="P3" s="419" t="str">
        <f ca="1">IFERROR(VLOOKUP(M1,OFFSET($AG$2,,,COUNTIF($AG$2:$AG$50,"?*"),23),19,FALSE),"")</f>
        <v>29 OZ, 36 (21+15)</v>
      </c>
      <c r="Q3" s="419"/>
      <c r="R3" s="420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2">IF(BN3&lt;&gt;"",IF(BO3&lt;&gt;"",INT((TODAY()-BO3)/365),"?"),"")</f>
        <v>26</v>
      </c>
      <c r="BS3" s="460"/>
      <c r="BT3" s="104" t="s">
        <v>775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459"/>
      <c r="BY3" s="103" t="s">
        <v>1075</v>
      </c>
      <c r="BZ3" s="103" t="s">
        <v>837</v>
      </c>
      <c r="CA3" s="115" t="s">
        <v>791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FBC Liberec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2011</v>
      </c>
      <c r="E4" s="43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1998</v>
      </c>
      <c r="I4" s="425"/>
      <c r="J4" s="94">
        <f ca="1">IFERROR(VLOOKUP(G3,OFFSET($AG$2,,,COUNTIF($AG$2:$AG$50,"?*"),23),15,FALSE),"")</f>
        <v>23</v>
      </c>
      <c r="K4" s="415" t="str">
        <f ca="1">IFERROR(VLOOKUP(G3,OFFSET($AG$2,,,COUNTIF($AG$2:$AG$50,"?*"),23),16,FALSE),"")</f>
        <v>185/74</v>
      </c>
      <c r="L4" s="416"/>
      <c r="M4" s="426" t="str">
        <f ca="1">IFERROR(IF(VLOOKUP(M1,OFFSET($AG$2,,,COUNTIF($AG$2:$AG$50,"?*"),23),13,FALSE)&lt;&gt;0,VLOOKUP(M1,OFFSET($AG$2,,,COUNTIF($AG$2:$AG$50,"?*"),23),13,FALSE),"?"),"")</f>
        <v>FBC Lomnice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2010</v>
      </c>
      <c r="Q4" s="43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2"/>
        <v>42</v>
      </c>
      <c r="BS4" s="460"/>
      <c r="BT4" s="104" t="s">
        <v>1227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459"/>
      <c r="BY4" s="103" t="s">
        <v>853</v>
      </c>
      <c r="BZ4" s="103" t="s">
        <v>880</v>
      </c>
      <c r="CA4" s="115" t="s">
        <v>1093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7 OZ, 8 (3+5), +1 ±</v>
      </c>
      <c r="H5" s="418"/>
      <c r="I5" s="418"/>
      <c r="J5" s="419" t="str">
        <f ca="1">IFERROR(VLOOKUP(G3,OFFSET($AG$2,,,COUNTIF($AG$2:$AG$50,"?*"),23),19,FALSE),"")</f>
        <v>107 OZ, 93 (53+40)</v>
      </c>
      <c r="K5" s="419"/>
      <c r="L5" s="420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2"/>
        <v>38</v>
      </c>
      <c r="BS5" s="460"/>
      <c r="BT5" s="104" t="s">
        <v>1228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459"/>
      <c r="BY5" s="103" t="s">
        <v>872</v>
      </c>
      <c r="BZ5" s="103" t="s">
        <v>832</v>
      </c>
      <c r="CA5" s="115" t="s">
        <v>1074</v>
      </c>
    </row>
    <row r="6" spans="1:79" ht="15" customHeight="1" thickTop="1" thickBot="1" x14ac:dyDescent="0.25">
      <c r="A6" s="421" t="s">
        <v>210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26" t="str">
        <f ca="1">IFERROR(IF(VLOOKUP(G3,OFFSET($AG$2,,,COUNTIF($AG$2:$AG$50,"?*"),23),13,FALSE)&lt;&gt;0,VLOOKUP(G3,OFFSET($AG$2,,,COUNTIF($AG$2:$AG$50,"?*"),23),13,FALSE),"?"),"")</f>
        <v>TJ Sokol Jaroměř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2007</v>
      </c>
      <c r="K6" s="430"/>
      <c r="L6" s="7">
        <f ca="1">IFERROR(IF(VLOOKUP(G3,OFFSET($AG$2,,,COUNTIF($AG$2:$AG$50,"?*"),23),7,FALSE)&lt;&gt;0,VLOOKUP(G3,OFFSET($AG$2,,,COUNTIF($AG$2:$AG$50,"?*"),23),7,FALSE),"?"),"")</f>
        <v>5</v>
      </c>
      <c r="M6" s="421" t="s">
        <v>204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2"/>
        <v>23</v>
      </c>
      <c r="BS6" s="460"/>
      <c r="BT6" s="104" t="s">
        <v>1073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459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2002</v>
      </c>
      <c r="C7" s="425"/>
      <c r="D7" s="94">
        <f ca="1">IFERROR(VLOOKUP(A6,OFFSET($AG$2,,,COUNTIF($AG$2:$AG$50,"?*"),23),15,FALSE),"")</f>
        <v>19</v>
      </c>
      <c r="E7" s="415" t="str">
        <f ca="1">IFERROR(VLOOKUP(A6,OFFSET($AG$2,,,COUNTIF($AG$2:$AG$50,"?*"),23),16,FALSE),"")</f>
        <v>164/68</v>
      </c>
      <c r="F7" s="416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1986</v>
      </c>
      <c r="O7" s="425"/>
      <c r="P7" s="94">
        <f ca="1">IFERROR(VLOOKUP(M6,OFFSET($AG$2,,,COUNTIF($AG$2:$AG$50,"?*"),23),15,FALSE),"")</f>
        <v>35</v>
      </c>
      <c r="Q7" s="415" t="str">
        <f ca="1">IFERROR(VLOOKUP(M6,OFFSET($AG$2,,,COUNTIF($AG$2:$AG$50,"?*"),23),16,FALSE),"")</f>
        <v>185/69</v>
      </c>
      <c r="R7" s="416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241</v>
      </c>
      <c r="BU7" s="103" t="s">
        <v>1229</v>
      </c>
      <c r="BV7" s="104" t="str">
        <f t="shared" si="13"/>
        <v>Petr Chlad</v>
      </c>
      <c r="BW7" s="112">
        <f t="shared" si="14"/>
        <v>5.5</v>
      </c>
      <c r="BX7" s="459" t="s">
        <v>193</v>
      </c>
      <c r="BY7" s="103" t="s">
        <v>1052</v>
      </c>
      <c r="BZ7" s="103" t="s">
        <v>850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11 OZ, 0 (0+0), -3 ±</v>
      </c>
      <c r="B8" s="418"/>
      <c r="C8" s="418"/>
      <c r="D8" s="419" t="str">
        <f ca="1">IFERROR(VLOOKUP(A6,OFFSET($AG$2,,,COUNTIF($AG$2:$AG$50,"?*"),23),19,FALSE),"")</f>
        <v>25 OZ, 1 (1+0)</v>
      </c>
      <c r="E8" s="419"/>
      <c r="F8" s="420"/>
      <c r="H8" s="431" t="s">
        <v>99</v>
      </c>
      <c r="I8" s="431"/>
      <c r="J8" s="431"/>
      <c r="K8" s="431"/>
      <c r="M8" s="417" t="str">
        <f ca="1">IFERROR(VLOOKUP(M6,OFFSET($AG$2,,,COUNTIF($AG$2:$AG$50,"?*"),23),18,FALSE),"")</f>
        <v>8 OZ, 3 (0+3), +2 ±</v>
      </c>
      <c r="N8" s="418"/>
      <c r="O8" s="418"/>
      <c r="P8" s="419" t="str">
        <f ca="1">IFERROR(VLOOKUP(M6,OFFSET($AG$2,,,COUNTIF($AG$2:$AG$50,"?*"),23),19,FALSE),"")</f>
        <v>310 OZ, 234 (95+139)</v>
      </c>
      <c r="Q8" s="419"/>
      <c r="R8" s="420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1230</v>
      </c>
      <c r="BU8" s="103" t="s">
        <v>183</v>
      </c>
      <c r="BV8" s="104" t="str">
        <f t="shared" si="13"/>
        <v>Daniel Mück</v>
      </c>
      <c r="BW8" s="112">
        <f t="shared" si="14"/>
        <v>0</v>
      </c>
      <c r="BX8" s="459"/>
      <c r="BY8" s="103" t="s">
        <v>1158</v>
      </c>
      <c r="BZ8" s="103" t="s">
        <v>871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Florbal Mladá Boleslav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2005</v>
      </c>
      <c r="E9" s="430"/>
      <c r="F9" s="7">
        <f ca="1">IFERROR(IF(VLOOKUP(A6,OFFSET($AG$2,,,COUNTIF($AG$2:$AG$50,"?*"),23),7,FALSE)&lt;&gt;0,VLOOKUP(A6,OFFSET($AG$2,,,COUNTIF($AG$2:$AG$50,"?*"),23),7,FALSE),"?"),"")</f>
        <v>4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FBC Mustang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1996</v>
      </c>
      <c r="Q9" s="43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777</v>
      </c>
      <c r="BU9" s="103" t="s">
        <v>183</v>
      </c>
      <c r="BV9" s="104" t="str">
        <f t="shared" si="13"/>
        <v>Jan Král</v>
      </c>
      <c r="BW9" s="112">
        <f t="shared" si="14"/>
        <v>0</v>
      </c>
      <c r="BX9" s="459"/>
      <c r="BY9" s="103" t="s">
        <v>1141</v>
      </c>
      <c r="BZ9" s="103" t="s">
        <v>870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T10" s="104" t="s">
        <v>1231</v>
      </c>
      <c r="BU10" s="103" t="s">
        <v>875</v>
      </c>
      <c r="BV10" s="104" t="str">
        <f t="shared" si="13"/>
        <v>Jakub Levínský</v>
      </c>
      <c r="BW10" s="112">
        <f t="shared" si="14"/>
        <v>5.64</v>
      </c>
      <c r="BX10" s="459"/>
      <c r="BY10" s="103" t="s">
        <v>1142</v>
      </c>
      <c r="BZ10" s="103" t="s">
        <v>869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1461</v>
      </c>
      <c r="BZ11" s="103" t="s">
        <v>868</v>
      </c>
      <c r="CA11" s="115" t="s">
        <v>188</v>
      </c>
    </row>
    <row r="12" spans="1:79" ht="15" customHeight="1" thickTop="1" thickBot="1" x14ac:dyDescent="0.25">
      <c r="A12" s="421" t="s">
        <v>198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23" t="s">
        <v>7</v>
      </c>
      <c r="I12" s="423"/>
      <c r="J12" s="423"/>
      <c r="K12" s="423"/>
      <c r="M12" s="421" t="s">
        <v>206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1239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1226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1992</v>
      </c>
      <c r="C13" s="425"/>
      <c r="D13" s="94">
        <f ca="1">IFERROR(VLOOKUP(A12,OFFSET($AG$2,,,COUNTIF($AG$2:$AG$50,"?*"),23),15,FALSE),"")</f>
        <v>29</v>
      </c>
      <c r="E13" s="415" t="str">
        <f ca="1">IFERROR(VLOOKUP(A12,OFFSET($AG$2,,,COUNTIF($AG$2:$AG$50,"?*"),23),16,FALSE),"")</f>
        <v>176/74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2003</v>
      </c>
      <c r="O13" s="425"/>
      <c r="P13" s="94">
        <f ca="1">IFERROR(VLOOKUP(M12,OFFSET($AG$2,,,COUNTIF($AG$2:$AG$50,"?*"),23),15,FALSE),"")</f>
        <v>18</v>
      </c>
      <c r="Q13" s="415" t="str">
        <f ca="1">IFERROR(VLOOKUP(M12,OFFSET($AG$2,,,COUNTIF($AG$2:$AG$50,"?*"),23),16,FALSE),"")</f>
        <v>178/70</v>
      </c>
      <c r="R13" s="416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1232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17" t="str">
        <f ca="1">IFERROR(VLOOKUP(A12,OFFSET($AG$2,,,COUNTIF($AG$2:$AG$50,"?*"),23),18,FALSE),"")</f>
        <v>10 OZ, 19 (8+11), +7 ±</v>
      </c>
      <c r="B14" s="418"/>
      <c r="C14" s="418"/>
      <c r="D14" s="419" t="str">
        <f ca="1">IFERROR(VLOOKUP(A12,OFFSET($AG$2,,,COUNTIF($AG$2:$AG$50,"?*"),23),19,FALSE),"")</f>
        <v>195 OZ, 243 (134+109)</v>
      </c>
      <c r="E14" s="419"/>
      <c r="F14" s="420"/>
      <c r="G14" s="421" t="s">
        <v>196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17" t="str">
        <f ca="1">IFERROR(VLOOKUP(M12,OFFSET($AG$2,,,COUNTIF($AG$2:$AG$50,"?*"),23),18,FALSE),"")</f>
        <v>11 OZ, 12 (7+5), +6 ±</v>
      </c>
      <c r="N14" s="418"/>
      <c r="O14" s="418"/>
      <c r="P14" s="419" t="str">
        <f ca="1">IFERROR(VLOOKUP(M12,OFFSET($AG$2,,,COUNTIF($AG$2:$AG$50,"?*"),23),19,FALSE),"")</f>
        <v>33 OZ, 38 (16+22)</v>
      </c>
      <c r="Q14" s="419"/>
      <c r="R14" s="420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1227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TJ Centropen Dačice</v>
      </c>
      <c r="B15" s="427"/>
      <c r="C15" s="428"/>
      <c r="D15" s="429">
        <f ca="1">IFERROR(IF(VLOOKUP(A12,OFFSET($AG$2,,,COUNTIF($AG$2:$AG$50,"?*"),23),14,FALSE)&lt;&gt;0,VLOOKUP(A12,OFFSET($AG$2,,,COUNTIF($AG$2:$AG$50,"?*"),23),14,FALSE),"?"),"")</f>
        <v>2006</v>
      </c>
      <c r="E15" s="43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1994</v>
      </c>
      <c r="I15" s="425"/>
      <c r="J15" s="94">
        <f ca="1">IFERROR(VLOOKUP(G14,OFFSET($AG$2,,,COUNTIF($AG$2:$AG$50,"?*"),23),15,FALSE),"")</f>
        <v>27</v>
      </c>
      <c r="K15" s="415" t="str">
        <f ca="1">IFERROR(VLOOKUP(G14,OFFSET($AG$2,,,COUNTIF($AG$2:$AG$50,"?*"),23),16,FALSE),"")</f>
        <v>187/76</v>
      </c>
      <c r="L15" s="416"/>
      <c r="M15" s="426" t="str">
        <f ca="1">IFERROR(IF(VLOOKUP(M12,OFFSET($AG$2,,,COUNTIF($AG$2:$AG$50,"?*"),23),13,FALSE)&lt;&gt;0,VLOOKUP(M12,OFFSET($AG$2,,,COUNTIF($AG$2:$AG$50,"?*"),23),13,FALSE),"?"),"")</f>
        <v>FBC Liberec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2010</v>
      </c>
      <c r="Q15" s="43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1233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11 OZ, 18 (10+8), +4 ±</v>
      </c>
      <c r="H16" s="418"/>
      <c r="I16" s="418"/>
      <c r="J16" s="419" t="str">
        <f ca="1">IFERROR(VLOOKUP(G14,OFFSET($AG$2,,,COUNTIF($AG$2:$AG$50,"?*"),23),19,FALSE),"")</f>
        <v>200 OZ, 323 (176+147)</v>
      </c>
      <c r="K16" s="419"/>
      <c r="L16" s="420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1073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421" t="s">
        <v>209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26" t="str">
        <f ca="1">IFERROR(IF(VLOOKUP(G14,OFFSET($AG$2,,,COUNTIF($AG$2:$AG$50,"?*"),23),13,FALSE)&lt;&gt;0,VLOOKUP(G14,OFFSET($AG$2,,,COUNTIF($AG$2:$AG$50,"?*"),23),13,FALSE),"?"),"")</f>
        <v>FBC Liberec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2002</v>
      </c>
      <c r="K17" s="430"/>
      <c r="L17" s="7">
        <f ca="1">IFERROR(IF(VLOOKUP(G14,OFFSET($AG$2,,,COUNTIF($AG$2:$AG$50,"?*"),23),7,FALSE)&lt;&gt;0,VLOOKUP(G14,OFFSET($AG$2,,,COUNTIF($AG$2:$AG$50,"?*"),23),7,FALSE),"?"),"")</f>
        <v>10</v>
      </c>
      <c r="M17" s="421" t="s">
        <v>203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241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4">
        <f ca="1">IFERROR(IF(VLOOKUP(A17,OFFSET($AG$2,,,COUNTIF($AG$2:$AG$50,"?*"),23),2,FALSE)&lt;&gt;0,YEAR(VLOOKUP(A17,OFFSET($AG$2,,,COUNTIF($AG$2:$AG$50,"?*"),23),2,FALSE)),""),"")</f>
        <v>1994</v>
      </c>
      <c r="C18" s="425"/>
      <c r="D18" s="149">
        <f ca="1">IFERROR(VLOOKUP(A17,OFFSET($AG$2,,,COUNTIF($AG$2:$AG$50,"?*"),23),15,FALSE),"")</f>
        <v>27</v>
      </c>
      <c r="E18" s="415" t="str">
        <f ca="1">IFERROR(VLOOKUP(A17,OFFSET($AG$2,,,COUNTIF($AG$2:$AG$50,"?*"),23),16,FALSE),"")</f>
        <v>180/82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2003</v>
      </c>
      <c r="O18" s="425"/>
      <c r="P18" s="94">
        <f ca="1">IFERROR(VLOOKUP(M17,OFFSET($AG$2,,,COUNTIF($AG$2:$AG$50,"?*"),23),15,FALSE),"")</f>
        <v>18</v>
      </c>
      <c r="Q18" s="415" t="str">
        <f ca="1">IFERROR(VLOOKUP(M17,OFFSET($AG$2,,,COUNTIF($AG$2:$AG$50,"?*"),23),16,FALSE),"")</f>
        <v>178/74</v>
      </c>
      <c r="R18" s="416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776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>11 OZ, 1 (1+0), +2 ±</v>
      </c>
      <c r="B19" s="418"/>
      <c r="C19" s="418"/>
      <c r="D19" s="419" t="str">
        <f ca="1">IFERROR(VLOOKUP(A17,OFFSET($AG$2,,,COUNTIF($AG$2:$AG$50,"?*"),23),19,FALSE),"")</f>
        <v>205 OZ, 117 (51+66)</v>
      </c>
      <c r="E19" s="419"/>
      <c r="F19" s="420"/>
      <c r="H19" s="431" t="str">
        <f>H$8</f>
        <v>LIB</v>
      </c>
      <c r="I19" s="431"/>
      <c r="J19" s="431"/>
      <c r="K19" s="431"/>
      <c r="M19" s="417" t="str">
        <f ca="1">IFERROR(VLOOKUP(M17,OFFSET($AG$2,,,COUNTIF($AG$2:$AG$50,"?*"),23),18,FALSE),"")</f>
        <v>11 OZ, 1 (0+1), +5 ±</v>
      </c>
      <c r="N19" s="418"/>
      <c r="O19" s="418"/>
      <c r="P19" s="419" t="str">
        <f ca="1">IFERROR(VLOOKUP(M17,OFFSET($AG$2,,,COUNTIF($AG$2:$AG$50,"?*"),23),19,FALSE),"")</f>
        <v>33 OZ, 5 (2+3)</v>
      </c>
      <c r="Q19" s="419"/>
      <c r="R19" s="420"/>
      <c r="S19" s="110" t="s">
        <v>1240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1234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Sokol Pardubice</v>
      </c>
      <c r="B20" s="427"/>
      <c r="C20" s="428"/>
      <c r="D20" s="429">
        <f ca="1">IFERROR(IF(VLOOKUP(A17,OFFSET($AG$2,,,COUNTIF($AG$2:$AG$50,"?*"),23),14,FALSE)&lt;&gt;0,VLOOKUP(A17,OFFSET($AG$2,,,COUNTIF($AG$2:$AG$50,"?*"),23),14,FALSE),"?"),"")</f>
        <v>2009</v>
      </c>
      <c r="E20" s="430"/>
      <c r="F20" s="7">
        <f ca="1">IFERROR(IF(VLOOKUP(A17,OFFSET($AG$2,,,COUNTIF($AG$2:$AG$50,"?*"),23),7,FALSE)&lt;&gt;0,VLOOKUP(A17,OFFSET($AG$2,,,COUNTIF($AG$2:$AG$50,"?*"),23),7,FALSE),"?"),"")</f>
        <v>11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FBC Liberec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2010</v>
      </c>
      <c r="Q20" s="43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T20" s="104" t="s">
        <v>1235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977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421" t="s">
        <v>200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23" t="s">
        <v>13</v>
      </c>
      <c r="I23" s="423"/>
      <c r="J23" s="423"/>
      <c r="K23" s="423"/>
      <c r="M23" s="421" t="s">
        <v>211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976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4">
        <f ca="1">IFERROR(IF(VLOOKUP(A23,OFFSET($AG$2,,,COUNTIF($AG$2:$AG$50,"?*"),23),2,FALSE)&lt;&gt;0,YEAR(VLOOKUP(A23,OFFSET($AG$2,,,COUNTIF($AG$2:$AG$50,"?*"),23),2,FALSE)),""),"")</f>
        <v>1999</v>
      </c>
      <c r="C24" s="425"/>
      <c r="D24" s="94">
        <f ca="1">IFERROR(VLOOKUP(A23,OFFSET($AG$2,,,COUNTIF($AG$2:$AG$50,"?*"),23),15,FALSE),"")</f>
        <v>22</v>
      </c>
      <c r="E24" s="415" t="str">
        <f ca="1">IFERROR(VLOOKUP(A23,OFFSET($AG$2,,,COUNTIF($AG$2:$AG$50,"?*"),23),16,FALSE),"")</f>
        <v>164/60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1998</v>
      </c>
      <c r="O24" s="425"/>
      <c r="P24" s="94">
        <f ca="1">IFERROR(VLOOKUP(M23,OFFSET($AG$2,,,COUNTIF($AG$2:$AG$50,"?*"),23),15,FALSE),"")</f>
        <v>23</v>
      </c>
      <c r="Q24" s="415" t="str">
        <f ca="1">IFERROR(VLOOKUP(M23,OFFSET($AG$2,,,COUNTIF($AG$2:$AG$50,"?*"),23),16,FALSE),"")</f>
        <v>187/82</v>
      </c>
      <c r="R24" s="416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1227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17" t="str">
        <f ca="1">IFERROR(VLOOKUP(A23,OFFSET($AG$2,,,COUNTIF($AG$2:$AG$50,"?*"),23),18,FALSE),"")</f>
        <v>11 OZ, 1 (0+1), -6 ±</v>
      </c>
      <c r="B25" s="418"/>
      <c r="C25" s="418"/>
      <c r="D25" s="419" t="str">
        <f ca="1">IFERROR(VLOOKUP(A23,OFFSET($AG$2,,,COUNTIF($AG$2:$AG$50,"?*"),23),19,FALSE),"")</f>
        <v>86 OZ, 45 (23+22)</v>
      </c>
      <c r="E25" s="419"/>
      <c r="F25" s="420"/>
      <c r="G25" s="421" t="s">
        <v>202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17" t="str">
        <f ca="1">IFERROR(VLOOKUP(M23,OFFSET($AG$2,,,COUNTIF($AG$2:$AG$50,"?*"),23),18,FALSE),"")</f>
        <v>11 OZ, 5 (3+2), -10 ±</v>
      </c>
      <c r="N25" s="418"/>
      <c r="O25" s="418"/>
      <c r="P25" s="419" t="str">
        <f ca="1">IFERROR(VLOOKUP(M23,OFFSET($AG$2,,,COUNTIF($AG$2:$AG$50,"?*"),23),19,FALSE),"")</f>
        <v>52 OZ, 30 (18+12)</v>
      </c>
      <c r="Q25" s="419"/>
      <c r="R25" s="420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1228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Florbal Mladá Boleslav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2008</v>
      </c>
      <c r="E26" s="43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1994</v>
      </c>
      <c r="I26" s="425"/>
      <c r="J26" s="94">
        <f ca="1">IFERROR(VLOOKUP(G25,OFFSET($AG$2,,,COUNTIF($AG$2:$AG$50,"?*"),23),15,FALSE),"")</f>
        <v>27</v>
      </c>
      <c r="K26" s="415" t="str">
        <f ca="1">IFERROR(VLOOKUP(G25,OFFSET($AG$2,,,COUNTIF($AG$2:$AG$50,"?*"),23),16,FALSE),"")</f>
        <v>185/86</v>
      </c>
      <c r="L26" s="416"/>
      <c r="M26" s="426" t="str">
        <f ca="1">IFERROR(IF(VLOOKUP(M23,OFFSET($AG$2,,,COUNTIF($AG$2:$AG$50,"?*"),23),13,FALSE)&lt;&gt;0,VLOOKUP(M23,OFFSET($AG$2,,,COUNTIF($AG$2:$AG$50,"?*"),23),13,FALSE),"?"),"")</f>
        <v>DTJ Trutnov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2014</v>
      </c>
      <c r="Q26" s="430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881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10 OZ, 3 (2+1), -10 ±</v>
      </c>
      <c r="H27" s="418"/>
      <c r="I27" s="418"/>
      <c r="J27" s="419" t="str">
        <f ca="1">IFERROR(VLOOKUP(G25,OFFSET($AG$2,,,COUNTIF($AG$2:$AG$50,"?*"),23),19,FALSE),"")</f>
        <v>128 OZ, 38 (28+10)</v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1226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421" t="s">
        <v>199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26" t="str">
        <f ca="1">IFERROR(IF(VLOOKUP(G25,OFFSET($AG$2,,,COUNTIF($AG$2:$AG$50,"?*"),23),13,FALSE)&lt;&gt;0,VLOOKUP(G25,OFFSET($AG$2,,,COUNTIF($AG$2:$AG$50,"?*"),23),13,FALSE),"?"),"")</f>
        <v>Sokol Dvůr Králové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2001</v>
      </c>
      <c r="K28" s="430"/>
      <c r="L28" s="7">
        <f ca="1">IFERROR(IF(VLOOKUP(G25,OFFSET($AG$2,,,COUNTIF($AG$2:$AG$50,"?*"),23),7,FALSE)&lt;&gt;0,VLOOKUP(G25,OFFSET($AG$2,,,COUNTIF($AG$2:$AG$50,"?*"),23),7,FALSE),"?"),"")</f>
        <v>11</v>
      </c>
      <c r="M28" s="421" t="s">
        <v>197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1236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4">
        <f ca="1">IFERROR(IF(VLOOKUP(A28,OFFSET($AG$2,,,COUNTIF($AG$2:$AG$50,"?*"),23),2,FALSE)&lt;&gt;0,YEAR(VLOOKUP(A28,OFFSET($AG$2,,,COUNTIF($AG$2:$AG$50,"?*"),23),2,FALSE)),""),"")</f>
        <v>2000</v>
      </c>
      <c r="C29" s="425"/>
      <c r="D29" s="94">
        <f ca="1">IFERROR(VLOOKUP(A28,OFFSET($AG$2,,,COUNTIF($AG$2:$AG$50,"?*"),23),15,FALSE),"")</f>
        <v>21</v>
      </c>
      <c r="E29" s="415" t="str">
        <f ca="1">IFERROR(VLOOKUP(A28,OFFSET($AG$2,,,COUNTIF($AG$2:$AG$50,"?*"),23),16,FALSE),"")</f>
        <v>180/72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1989</v>
      </c>
      <c r="O29" s="425"/>
      <c r="P29" s="94">
        <f ca="1">IFERROR(VLOOKUP(M28,OFFSET($AG$2,,,COUNTIF($AG$2:$AG$50,"?*"),23),15,FALSE),"")</f>
        <v>32</v>
      </c>
      <c r="Q29" s="415" t="str">
        <f ca="1">IFERROR(VLOOKUP(M28,OFFSET($AG$2,,,COUNTIF($AG$2:$AG$50,"?*"),23),16,FALSE),"")</f>
        <v>194/98</v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1237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>7 OZ, 1 (0+1), -8 ±</v>
      </c>
      <c r="B30" s="418"/>
      <c r="C30" s="418"/>
      <c r="D30" s="419" t="str">
        <f ca="1">IFERROR(VLOOKUP(A28,OFFSET($AG$2,,,COUNTIF($AG$2:$AG$50,"?*"),23),19,FALSE),"")</f>
        <v>57 OZ, 14 (5+9)</v>
      </c>
      <c r="E30" s="419"/>
      <c r="F30" s="420"/>
      <c r="H30" s="431" t="str">
        <f>H$8</f>
        <v>LIB</v>
      </c>
      <c r="I30" s="431"/>
      <c r="J30" s="431"/>
      <c r="K30" s="431"/>
      <c r="M30" s="417" t="str">
        <f ca="1">IFERROR(VLOOKUP(M28,OFFSET($AG$2,,,COUNTIF($AG$2:$AG$50,"?*"),23),18,FALSE),"")</f>
        <v>10 OZ, 1 (1+0), -2 ±</v>
      </c>
      <c r="N30" s="418"/>
      <c r="O30" s="418"/>
      <c r="P30" s="419" t="str">
        <f ca="1">IFERROR(VLOOKUP(M28,OFFSET($AG$2,,,COUNTIF($AG$2:$AG$50,"?*"),23),19,FALSE),"")</f>
        <v>252 OZ, 119 (64+55)</v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1238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FA Mladá Boleslav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2006</v>
      </c>
      <c r="E31" s="430"/>
      <c r="F31" s="7">
        <f ca="1">IFERROR(IF(VLOOKUP(A28,OFFSET($AG$2,,,COUNTIF($AG$2:$AG$50,"?*"),23),7,FALSE)&lt;&gt;0,VLOOKUP(A28,OFFSET($AG$2,,,COUNTIF($AG$2:$AG$50,"?*"),23),7,FALSE),"?"),"")</f>
        <v>3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FBC Liberec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1999</v>
      </c>
      <c r="Q31" s="43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1073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 t="s">
        <v>212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32" t="s">
        <v>16</v>
      </c>
      <c r="J34" s="421" t="s">
        <v>208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424">
        <f ca="1">IFERROR(IF(VLOOKUP(A34,OFFSET($AG$2,,,COUNTIF($AG$2:$AG$50,"?*"),23),2,FALSE)&lt;&gt;0,YEAR(VLOOKUP(A34,OFFSET($AG$2,,,COUNTIF($AG$2:$AG$50,"?*"),23),2,FALSE)),""),"")</f>
        <v>2001</v>
      </c>
      <c r="C35" s="425"/>
      <c r="D35" s="94">
        <f ca="1">IFERROR(VLOOKUP(A34,OFFSET($AG$2,,,COUNTIF($AG$2:$AG$50,"?*"),23),15,FALSE),"")</f>
        <v>20</v>
      </c>
      <c r="E35" s="415" t="str">
        <f ca="1">IFERROR(VLOOKUP(A34,OFFSET($AG$2,,,COUNTIF($AG$2:$AG$50,"?*"),23),16,FALSE),"")</f>
        <v>195/93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P</v>
      </c>
      <c r="K35" s="425">
        <f ca="1">IFERROR(IF(VLOOKUP(J34,OFFSET($AG$2,,,COUNTIF($AG$2:$AG$50,"?*"),23),2,FALSE)&lt;&gt;0,YEAR(VLOOKUP(J34,OFFSET($AG$2,,,COUNTIF($AG$2:$AG$50,"?*"),23),2,FALSE)),""),"")</f>
        <v>2004</v>
      </c>
      <c r="L35" s="433"/>
      <c r="M35" s="93">
        <f ca="1">IFERROR(VLOOKUP(J34,OFFSET($AG$2,,,COUNTIF($AG$2:$AG$50,"?*"),23),15,FALSE),"")</f>
        <v>17</v>
      </c>
      <c r="N35" s="433" t="str">
        <f ca="1">IFERROR(VLOOKUP(J34,OFFSET($AG$2,,,COUNTIF($AG$2:$AG$50,"?*"),23),16,FALSE),"")</f>
        <v>183/79</v>
      </c>
      <c r="O35" s="433"/>
      <c r="P35" s="433" t="str">
        <f ca="1">IFERROR(VLOOKUP(J34,OFFSET($AG$2,,,COUNTIF($AG$2:$AG$50,"?*"),23),18,FALSE),"")</f>
        <v>10 OZ, 17 (11+6), +1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1" t="str">
        <f ca="1">IFERROR(VLOOKUP(A34,OFFSET($AG$2,,,COUNTIF($AG$2:$AG$50,"?*"),23),18,FALSE),"")</f>
        <v>6 V, 4 P</v>
      </c>
      <c r="C36" s="441"/>
      <c r="D36" s="442">
        <f ca="1">IFERROR(VLOOKUP(A34,OFFSET($S$45,,,COUNTIF($S$45:$S$50,"?*"),14),5,FALSE),"")</f>
        <v>54</v>
      </c>
      <c r="E36" s="443"/>
      <c r="F36" s="17">
        <f ca="1">IFERROR(VLOOKUP(A34,OFFSET($S$45,,,COUNTIF($S$45:$S$50,"?*"),14),14,FALSE),"")</f>
        <v>76.724137931034491</v>
      </c>
      <c r="H36" s="432"/>
      <c r="J36" s="18">
        <f ca="1">IFERROR(IF(VLOOKUP(J34,OFFSET($AG$2,,,COUNTIF($AG$2:$AG$50,"?*"),23),7,FALSE)&lt;&gt;0,VLOOKUP(J34,OFFSET($AG$2,,,COUNTIF($AG$2:$AG$50,"?*"),23),7,FALSE),"?"),"")</f>
        <v>1</v>
      </c>
      <c r="K36" s="444" t="str">
        <f ca="1">IFERROR(VLOOKUP(J34,OFFSET($AG$2,,,COUNTIF($AG$2:$AG$50,"?*"),23),19,FALSE),"")</f>
        <v>10 OZ, 17 (11+6)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FBC Panthers Liberec</v>
      </c>
      <c r="O36" s="445"/>
      <c r="P36" s="445"/>
      <c r="Q36" s="444">
        <f ca="1">IFERROR(IF(VLOOKUP(J34,OFFSET($AG$2,,,COUNTIF($AG$2:$AG$50,"?*"),23),14,FALSE)&lt;&gt;0,VLOOKUP(J34,OFFSET($AG$2,,,COUNTIF($AG$2:$AG$50,"?*"),23),14,FALSE),"?"),"")</f>
        <v>2010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589.4</v>
      </c>
      <c r="B37" s="435"/>
      <c r="C37" s="436">
        <f ca="1">IFERROR(VLOOKUP(A34,OFFSET($S$45,,,COUNTIF($S$45:$S$50,"?*"),14),13,FALSE),"")</f>
        <v>5.4971157108924338</v>
      </c>
      <c r="D37" s="437"/>
      <c r="E37" s="438" t="str">
        <f ca="1">IFERROR(VLOOKUP(A34,OFFSET($AG$2,,,COUNTIF($AG$2:$AG$50,"?*"),23),19,FALSE),"")</f>
        <v>10 OZ, 1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FBC Liberec</v>
      </c>
      <c r="B38" s="427"/>
      <c r="C38" s="428"/>
      <c r="D38" s="429">
        <f ca="1">IFERROR(IF(VLOOKUP(A34,OFFSET($AG$2,,,COUNTIF($AG$2:$AG$50,"?*"),23),14,FALSE)&lt;&gt;0,VLOOKUP(A34,OFFSET($AG$2,,,COUNTIF($AG$2:$AG$50,"?*"),23),14,FALSE),"?"),"")</f>
        <v>2014</v>
      </c>
      <c r="E38" s="430"/>
      <c r="F38" s="19">
        <f ca="1">IFERROR(VLOOKUP(A34,OFFSET($S$45,,,COUNTIF($S$45:$S$50,"?*"),14),6,FALSE),"")</f>
        <v>0</v>
      </c>
      <c r="H38" s="432"/>
      <c r="J38" s="421" t="s">
        <v>213</v>
      </c>
      <c r="K38" s="422"/>
      <c r="L38" s="422"/>
      <c r="M38" s="422"/>
      <c r="N38" s="422"/>
      <c r="O38" s="422"/>
      <c r="P38" s="42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>P</v>
      </c>
      <c r="K39" s="425">
        <f ca="1">IFERROR(IF(VLOOKUP(J38,OFFSET($AG$2,,,COUNTIF($AG$2:$AG$50,"?*"),23),2,FALSE)&lt;&gt;0,YEAR(VLOOKUP(J38,OFFSET($AG$2,,,COUNTIF($AG$2:$AG$50,"?*"),23),2,FALSE)),""),"")</f>
        <v>2001</v>
      </c>
      <c r="L39" s="433"/>
      <c r="M39" s="150">
        <f ca="1">IFERROR(VLOOKUP(J38,OFFSET($AG$2,,,COUNTIF($AG$2:$AG$50,"?*"),23),15,FALSE),"")</f>
        <v>20</v>
      </c>
      <c r="N39" s="433" t="str">
        <f ca="1">IFERROR(VLOOKUP(J38,OFFSET($AG$2,,,COUNTIF($AG$2:$AG$50,"?*"),23),16,FALSE),"")</f>
        <v>170/67</v>
      </c>
      <c r="O39" s="433"/>
      <c r="P39" s="433" t="str">
        <f ca="1">IFERROR(VLOOKUP(J38,OFFSET($AG$2,,,COUNTIF($AG$2:$AG$50,"?*"),23),18,FALSE),"")</f>
        <v>7 OZ, 0 (0+0), 0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773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>
        <f ca="1">IFERROR(IF(VLOOKUP(J38,OFFSET($AG$2,,,COUNTIF($AG$2:$AG$50,"?*"),23),7,FALSE)&lt;&gt;0,VLOOKUP(J38,OFFSET($AG$2,,,COUNTIF($AG$2:$AG$50,"?*"),23),7,FALSE),"?"),"")</f>
        <v>4</v>
      </c>
      <c r="K40" s="444" t="str">
        <f ca="1">IFERROR(VLOOKUP(J38,OFFSET($AG$2,,,COUNTIF($AG$2:$AG$50,"?*"),23),19,FALSE),"")</f>
        <v>21 OZ, 0 (0+0)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Sokol Benátky nad Jizerou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2006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94" t="str">
        <f ca="1">IFERROR(VLOOKUP(A40,OFFSET($AG$2,,,COUNTIF($AG$2:$AG$50,"?*"),23),15,FALSE),"")</f>
        <v>?</v>
      </c>
      <c r="E41" s="415" t="str">
        <f ca="1">IFERROR(VLOOKUP(A40,OFFSET($AG$2,,,COUNTIF($AG$2:$AG$50,"?*"),23),16,FALSE),"")</f>
        <v>? / ?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1" t="str">
        <f ca="1">IFERROR(VLOOKUP(A40,OFFSET($AG$2,,,COUNTIF($AG$2:$AG$50,"?*"),23),18,FALSE),"")</f>
        <v>1 V, 1 P</v>
      </c>
      <c r="C42" s="441"/>
      <c r="D42" s="442">
        <f ca="1">IFERROR(VLOOKUP(A40,OFFSET($S$45,,,COUNTIF($S$45:$S$50,"?*"),14),5,FALSE),"")</f>
        <v>7</v>
      </c>
      <c r="E42" s="443"/>
      <c r="F42" s="17">
        <f ca="1">IFERROR(VLOOKUP(A40,OFFSET($S$45,,,COUNTIF($S$45:$S$50,"?*"),14),14,FALSE),"")</f>
        <v>77.41935483870968</v>
      </c>
      <c r="H42" s="432"/>
      <c r="J42" s="421"/>
      <c r="K42" s="422"/>
      <c r="L42" s="422"/>
      <c r="M42" s="422"/>
      <c r="N42" s="422"/>
      <c r="O42" s="422"/>
      <c r="P42" s="42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74.48</v>
      </c>
      <c r="B43" s="435"/>
      <c r="C43" s="436">
        <f ca="1">IFERROR(VLOOKUP(A40,OFFSET($S$45,,,COUNTIF($S$45:$S$50,"?*"),14),13,FALSE),"")</f>
        <v>5.6390977443609023</v>
      </c>
      <c r="D43" s="437"/>
      <c r="E43" s="438" t="str">
        <f ca="1">IFERROR(VLOOKUP(A40,OFFSET($AG$2,,,COUNTIF($AG$2:$AG$50,"?*"),23),19,FALSE),"")</f>
        <v>2 OZ, 0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?</v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>?</v>
      </c>
      <c r="E44" s="430"/>
      <c r="F44" s="19">
        <f ca="1">IFERROR(VLOOKUP(A40,OFFSET($S$45,,,COUNTIF($S$45:$S$50,"?*"),14),6,FALSE),"")</f>
        <v>0</v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231</v>
      </c>
      <c r="B47" s="462"/>
      <c r="C47" s="462"/>
      <c r="D47" s="462"/>
      <c r="E47" s="457" t="str">
        <f ca="1">IFERROR(VLOOKUP(A47,OFFSET($BN$2,,,COUNTIF($BN$2:$BN$11,"?*"),5),3,FALSE),"")</f>
        <v>hlavní trenér</v>
      </c>
      <c r="F47" s="457"/>
      <c r="G47" s="457"/>
      <c r="H47" s="457"/>
      <c r="I47" s="458"/>
      <c r="J47" s="461" t="s">
        <v>232</v>
      </c>
      <c r="K47" s="462"/>
      <c r="L47" s="462"/>
      <c r="M47" s="462"/>
      <c r="N47" s="457" t="str">
        <f ca="1">IFERROR(VLOOKUP(J47,OFFSET($BN$2,,,COUNTIF($BN$2:$BN$11,"?*"),5),3,FALSE),"")</f>
        <v>asistent trenéra</v>
      </c>
      <c r="O47" s="457"/>
      <c r="P47" s="457"/>
      <c r="Q47" s="457"/>
      <c r="R47" s="458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53</v>
      </c>
      <c r="B48" s="449" t="str">
        <f ca="1">IFERROR(IF(VLOOKUP(A47,OFFSET($BN$2,,,COUNTIF($BN$2:$BN$11,"?*"),5),4,FALSE)&lt;&gt;0,VLOOKUP(A47,OFFSET($BN$2,,,COUNTIF($BN$2:$BN$11,"?*"),5),4,FALSE),"-"),"")</f>
        <v>stříbro a bronz z MS</v>
      </c>
      <c r="C48" s="449"/>
      <c r="D48" s="449"/>
      <c r="E48" s="449"/>
      <c r="F48" s="449"/>
      <c r="G48" s="449"/>
      <c r="H48" s="449"/>
      <c r="I48" s="450"/>
      <c r="J48" s="92">
        <f ca="1">IFERROR(VLOOKUP(J47,OFFSET($BN$2,,,COUNTIF($BN$2:$BN$11,"?*"),5),5,FALSE),"")</f>
        <v>26</v>
      </c>
      <c r="K48" s="453" t="str">
        <f ca="1">IFERROR(IF(VLOOKUP(J47,OFFSET($BN$2,,,COUNTIF($BN$2:$BN$11,"?*"),5),4,FALSE)&lt;&gt;0,VLOOKUP(J47,OFFSET($BN$2,,,COUNTIF($BN$2:$BN$11,"?*"),5),4,FALSE),"-"),"")</f>
        <v>-</v>
      </c>
      <c r="L48" s="453"/>
      <c r="M48" s="453"/>
      <c r="N48" s="453"/>
      <c r="O48" s="453"/>
      <c r="P48" s="453"/>
      <c r="Q48" s="453"/>
      <c r="R48" s="454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233</v>
      </c>
      <c r="K49" s="456"/>
      <c r="L49" s="456"/>
      <c r="M49" s="456"/>
      <c r="N49" s="457" t="str">
        <f ca="1">IFERROR(VLOOKUP(J49,OFFSET($BN$2,,,COUNTIF($BN$2:$BN$11,"?*"),5),3,FALSE),"")</f>
        <v>kondiční trenér</v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92">
        <f ca="1">IFERROR(VLOOKUP(J49,OFFSET($BN$2,,,COUNTIF($BN$2:$BN$11,"?*"),5),5,FALSE),"")</f>
        <v>42</v>
      </c>
      <c r="K50" s="453" t="str">
        <f ca="1">IFERROR(IF(VLOOKUP(J49,OFFSET($BN$2,,,COUNTIF($BN$2:$BN$11,"?*"),5),4,FALSE)&lt;&gt;0,VLOOKUP(J49,OFFSET($BN$2,,,COUNTIF($BN$2:$BN$11,"?*"),5),4,FALSE),"-"),"")</f>
        <v>-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 t="s">
        <v>375</v>
      </c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23" t="s">
        <v>1</v>
      </c>
      <c r="I1" s="423"/>
      <c r="J1" s="423"/>
      <c r="K1" s="423"/>
      <c r="M1" s="421" t="s">
        <v>377</v>
      </c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1994</v>
      </c>
      <c r="C2" s="425"/>
      <c r="D2" s="117">
        <f ca="1">IFERROR(VLOOKUP(A1,OFFSET($AG$2,,,COUNTIF($AG$2:$AG$50,"?*"),23),15,FALSE),"")</f>
        <v>27</v>
      </c>
      <c r="E2" s="415" t="str">
        <f ca="1">IFERROR(VLOOKUP(A1,OFFSET($AG$2,,,COUNTIF($AG$2:$AG$50,"?*"),23),16,FALSE),"")</f>
        <v>177/82</v>
      </c>
      <c r="F2" s="416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1998</v>
      </c>
      <c r="O2" s="425"/>
      <c r="P2" s="117">
        <f ca="1">IFERROR(VLOOKUP(M1,OFFSET($AG$2,,,COUNTIF($AG$2:$AG$50,"?*"),23),15,FALSE),"")</f>
        <v>23</v>
      </c>
      <c r="Q2" s="415" t="str">
        <f ca="1">IFERROR(VLOOKUP(M1,OFFSET($AG$2,,,COUNTIF($AG$2:$AG$50,"?*"),23),16,FALSE),"")</f>
        <v>181/62</v>
      </c>
      <c r="R2" s="416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460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459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417" t="str">
        <f ca="1">IFERROR(VLOOKUP(A1,OFFSET($AG$2,,,COUNTIF($AG$2:$AG$50,"?*"),23),18,FALSE),"")</f>
        <v>11 OZ, 10 (7+3), +13 ±</v>
      </c>
      <c r="B3" s="418"/>
      <c r="C3" s="418"/>
      <c r="D3" s="419" t="str">
        <f ca="1">IFERROR(VLOOKUP(A1,OFFSET($AG$2,,,COUNTIF($AG$2:$AG$50,"?*"),23),19,FALSE),"")</f>
        <v>221 OZ, 194 (118+76)</v>
      </c>
      <c r="E3" s="419"/>
      <c r="F3" s="420"/>
      <c r="G3" s="421" t="s">
        <v>369</v>
      </c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17" t="str">
        <f ca="1">IFERROR(VLOOKUP(M1,OFFSET($AG$2,,,COUNTIF($AG$2:$AG$50,"?*"),23),18,FALSE),"")</f>
        <v>11 OZ, 13 (11+2), +7 ±</v>
      </c>
      <c r="N3" s="418"/>
      <c r="O3" s="418"/>
      <c r="P3" s="419" t="str">
        <f ca="1">IFERROR(VLOOKUP(M1,OFFSET($AG$2,,,COUNTIF($AG$2:$AG$50,"?*"),23),19,FALSE),"")</f>
        <v>149 OZ, 127 (95+32)</v>
      </c>
      <c r="Q3" s="419"/>
      <c r="R3" s="420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12">IF(BN3&lt;&gt;"",IF(BO3&lt;&gt;"",INT((TODAY()-BO3)/365),"?"),"")</f>
        <v>30</v>
      </c>
      <c r="BS3" s="460"/>
      <c r="BT3" s="104" t="s">
        <v>884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459"/>
      <c r="BY3" s="103" t="s">
        <v>841</v>
      </c>
      <c r="BZ3" s="103" t="s">
        <v>836</v>
      </c>
      <c r="CA3" s="115" t="s">
        <v>1067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>Vosy Praha</v>
      </c>
      <c r="B4" s="427"/>
      <c r="C4" s="428"/>
      <c r="D4" s="429">
        <f ca="1">IFERROR(IF(VLOOKUP(A1,OFFSET($AG$2,,,COUNTIF($AG$2:$AG$50,"?*"),23),14,FALSE)&lt;&gt;0,VLOOKUP(A1,OFFSET($AG$2,,,COUNTIF($AG$2:$AG$50,"?*"),23),14,FALSE),"?"),"")</f>
        <v>2005</v>
      </c>
      <c r="E4" s="430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1989</v>
      </c>
      <c r="I4" s="425"/>
      <c r="J4" s="117">
        <f ca="1">IFERROR(VLOOKUP(G3,OFFSET($AG$2,,,COUNTIF($AG$2:$AG$50,"?*"),23),15,FALSE),"")</f>
        <v>32</v>
      </c>
      <c r="K4" s="415" t="str">
        <f ca="1">IFERROR(VLOOKUP(G3,OFFSET($AG$2,,,COUNTIF($AG$2:$AG$50,"?*"),23),16,FALSE),"")</f>
        <v>180/77</v>
      </c>
      <c r="L4" s="416"/>
      <c r="M4" s="426" t="str">
        <f ca="1">IFERROR(IF(VLOOKUP(M1,OFFSET($AG$2,,,COUNTIF($AG$2:$AG$50,"?*"),23),13,FALSE)&lt;&gt;0,VLOOKUP(M1,OFFSET($AG$2,,,COUNTIF($AG$2:$AG$50,"?*"),23),13,FALSE),"?"),"")</f>
        <v>ED Havlíčkův Brod</v>
      </c>
      <c r="N4" s="427"/>
      <c r="O4" s="428"/>
      <c r="P4" s="429">
        <f ca="1">IFERROR(IF(VLOOKUP(M1,OFFSET($AG$2,,,COUNTIF($AG$2:$AG$50,"?*"),23),14,FALSE)&lt;&gt;0,VLOOKUP(M1,OFFSET($AG$2,,,COUNTIF($AG$2:$AG$50,"?*"),23),14,FALSE),"?"),"")</f>
        <v>2006</v>
      </c>
      <c r="Q4" s="430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12"/>
        <v>38</v>
      </c>
      <c r="BS4" s="460"/>
      <c r="BT4" s="104" t="s">
        <v>885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459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>11 OZ, 22 (10+12), +16 ±</v>
      </c>
      <c r="H5" s="418"/>
      <c r="I5" s="418"/>
      <c r="J5" s="419" t="str">
        <f ca="1">IFERROR(VLOOKUP(G3,OFFSET($AG$2,,,COUNTIF($AG$2:$AG$50,"?*"),23),19,FALSE),"")</f>
        <v>346 OZ, 757 (413+344)</v>
      </c>
      <c r="K5" s="419"/>
      <c r="L5" s="420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12"/>
        <v>27</v>
      </c>
      <c r="BS5" s="460"/>
      <c r="BT5" s="104" t="s">
        <v>817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459"/>
      <c r="BY5" s="103" t="s">
        <v>1139</v>
      </c>
      <c r="BZ5" s="103" t="s">
        <v>842</v>
      </c>
      <c r="CA5" s="115" t="s">
        <v>1242</v>
      </c>
    </row>
    <row r="6" spans="1:79" ht="15" customHeight="1" thickTop="1" thickBot="1" x14ac:dyDescent="0.25">
      <c r="A6" s="421" t="s">
        <v>373</v>
      </c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26" t="str">
        <f ca="1">IFERROR(IF(VLOOKUP(G3,OFFSET($AG$2,,,COUNTIF($AG$2:$AG$50,"?*"),23),13,FALSE)&lt;&gt;0,VLOOKUP(G3,OFFSET($AG$2,,,COUNTIF($AG$2:$AG$50,"?*"),23),13,FALSE),"?"),"")</f>
        <v>SK FBC Třinec</v>
      </c>
      <c r="H6" s="427"/>
      <c r="I6" s="428"/>
      <c r="J6" s="429">
        <f ca="1">IFERROR(IF(VLOOKUP(G3,OFFSET($AG$2,,,COUNTIF($AG$2:$AG$50,"?*"),23),14,FALSE)&lt;&gt;0,VLOOKUP(G3,OFFSET($AG$2,,,COUNTIF($AG$2:$AG$50,"?*"),23),14,FALSE),"?"),"")</f>
        <v>2004</v>
      </c>
      <c r="K6" s="430"/>
      <c r="L6" s="7">
        <f ca="1">IFERROR(IF(VLOOKUP(G3,OFFSET($AG$2,,,COUNTIF($AG$2:$AG$50,"?*"),23),7,FALSE)&lt;&gt;0,VLOOKUP(G3,OFFSET($AG$2,,,COUNTIF($AG$2:$AG$50,"?*"),23),7,FALSE),"?"),"")</f>
        <v>16</v>
      </c>
      <c r="M6" s="421" t="s">
        <v>389</v>
      </c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12"/>
        <v>29</v>
      </c>
      <c r="BS6" s="460"/>
      <c r="BT6" s="104" t="s">
        <v>1244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459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1994</v>
      </c>
      <c r="C7" s="425"/>
      <c r="D7" s="117">
        <f ca="1">IFERROR(VLOOKUP(A6,OFFSET($AG$2,,,COUNTIF($AG$2:$AG$50,"?*"),23),15,FALSE),"")</f>
        <v>27</v>
      </c>
      <c r="E7" s="415" t="str">
        <f ca="1">IFERROR(VLOOKUP(A6,OFFSET($AG$2,,,COUNTIF($AG$2:$AG$50,"?*"),23),16,FALSE),"")</f>
        <v>185/84</v>
      </c>
      <c r="F7" s="416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2002</v>
      </c>
      <c r="O7" s="425"/>
      <c r="P7" s="117">
        <f ca="1">IFERROR(VLOOKUP(M6,OFFSET($AG$2,,,COUNTIF($AG$2:$AG$50,"?*"),23),15,FALSE),"")</f>
        <v>19</v>
      </c>
      <c r="Q7" s="415" t="str">
        <f ca="1">IFERROR(VLOOKUP(M6,OFFSET($AG$2,,,COUNTIF($AG$2:$AG$50,"?*"),23),16,FALSE),"")</f>
        <v>187/80</v>
      </c>
      <c r="R7" s="416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417</v>
      </c>
      <c r="BU7" s="103" t="s">
        <v>1245</v>
      </c>
      <c r="BV7" s="104" t="str">
        <f t="shared" si="13"/>
        <v>Lukáš Bauer</v>
      </c>
      <c r="BW7" s="112">
        <f t="shared" si="14"/>
        <v>2.98</v>
      </c>
      <c r="BX7" s="459" t="s">
        <v>193</v>
      </c>
      <c r="BY7" s="103" t="s">
        <v>1062</v>
      </c>
      <c r="BZ7" s="103" t="s">
        <v>835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>11 OZ, 5 (0+5), +12 ±</v>
      </c>
      <c r="B8" s="418"/>
      <c r="C8" s="418"/>
      <c r="D8" s="419" t="str">
        <f ca="1">IFERROR(VLOOKUP(A6,OFFSET($AG$2,,,COUNTIF($AG$2:$AG$50,"?*"),23),19,FALSE),"")</f>
        <v>218 OZ, 140 (78+62)</v>
      </c>
      <c r="E8" s="419"/>
      <c r="F8" s="420"/>
      <c r="H8" s="431" t="s">
        <v>23</v>
      </c>
      <c r="I8" s="431"/>
      <c r="J8" s="431"/>
      <c r="K8" s="431"/>
      <c r="M8" s="417" t="str">
        <f ca="1">IFERROR(VLOOKUP(M6,OFFSET($AG$2,,,COUNTIF($AG$2:$AG$50,"?*"),23),18,FALSE),"")</f>
        <v>9 OZ, 7 (2+5), +15 ±</v>
      </c>
      <c r="N8" s="418"/>
      <c r="O8" s="418"/>
      <c r="P8" s="419" t="str">
        <f ca="1">IFERROR(VLOOKUP(M6,OFFSET($AG$2,,,COUNTIF($AG$2:$AG$50,"?*"),23),19,FALSE),"")</f>
        <v>22 OZ, 18 (9+9)</v>
      </c>
      <c r="Q8" s="419"/>
      <c r="R8" s="420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1246</v>
      </c>
      <c r="BU8" s="103" t="s">
        <v>183</v>
      </c>
      <c r="BV8" s="104" t="str">
        <f t="shared" si="13"/>
        <v>Dominik Hanuš</v>
      </c>
      <c r="BW8" s="112">
        <f t="shared" si="14"/>
        <v>0</v>
      </c>
      <c r="BX8" s="459"/>
      <c r="BY8" s="103" t="s">
        <v>1158</v>
      </c>
      <c r="BZ8" s="103" t="s">
        <v>887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>TJ SKV</v>
      </c>
      <c r="B9" s="427"/>
      <c r="C9" s="428"/>
      <c r="D9" s="429">
        <f ca="1">IFERROR(IF(VLOOKUP(A6,OFFSET($AG$2,,,COUNTIF($AG$2:$AG$50,"?*"),23),14,FALSE)&lt;&gt;0,VLOOKUP(A6,OFFSET($AG$2,,,COUNTIF($AG$2:$AG$50,"?*"),23),14,FALSE),"?"),"")</f>
        <v>2005</v>
      </c>
      <c r="E9" s="430"/>
      <c r="F9" s="7">
        <f ca="1">IFERROR(IF(VLOOKUP(A6,OFFSET($AG$2,,,COUNTIF($AG$2:$AG$50,"?*"),23),7,FALSE)&lt;&gt;0,VLOOKUP(A6,OFFSET($AG$2,,,COUNTIF($AG$2:$AG$50,"?*"),23),7,FALSE),"?"),"")</f>
        <v>11</v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>FBŠ Hattrick Brno</v>
      </c>
      <c r="N9" s="427"/>
      <c r="O9" s="428"/>
      <c r="P9" s="429">
        <f ca="1">IFERROR(IF(VLOOKUP(M6,OFFSET($AG$2,,,COUNTIF($AG$2:$AG$50,"?*"),23),14,FALSE)&lt;&gt;0,VLOOKUP(M6,OFFSET($AG$2,,,COUNTIF($AG$2:$AG$50,"?*"),23),14,FALSE),"?"),"")</f>
        <v>2011</v>
      </c>
      <c r="Q9" s="430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1247</v>
      </c>
      <c r="BU9" s="103" t="s">
        <v>1248</v>
      </c>
      <c r="BV9" s="104" t="str">
        <f t="shared" si="13"/>
        <v>Ondřej Tomšík</v>
      </c>
      <c r="BW9" s="112">
        <f t="shared" si="14"/>
        <v>1</v>
      </c>
      <c r="BX9" s="459"/>
      <c r="BY9" s="103" t="s">
        <v>1141</v>
      </c>
      <c r="BZ9" s="103" t="s">
        <v>860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1241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1360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880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837</v>
      </c>
      <c r="CA11" s="115" t="s">
        <v>188</v>
      </c>
    </row>
    <row r="12" spans="1:79" ht="15" customHeight="1" thickTop="1" thickBot="1" x14ac:dyDescent="0.25">
      <c r="A12" s="421" t="s">
        <v>381</v>
      </c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23" t="s">
        <v>7</v>
      </c>
      <c r="I12" s="423"/>
      <c r="J12" s="423"/>
      <c r="K12" s="423"/>
      <c r="M12" s="421" t="s">
        <v>371</v>
      </c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1249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191</v>
      </c>
      <c r="BY12" s="100" t="s">
        <v>1243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1989</v>
      </c>
      <c r="C13" s="425"/>
      <c r="D13" s="117">
        <f ca="1">IFERROR(VLOOKUP(A12,OFFSET($AG$2,,,COUNTIF($AG$2:$AG$50,"?*"),23),15,FALSE),"")</f>
        <v>32</v>
      </c>
      <c r="E13" s="415" t="str">
        <f ca="1">IFERROR(VLOOKUP(A12,OFFSET($AG$2,,,COUNTIF($AG$2:$AG$50,"?*"),23),16,FALSE),"")</f>
        <v>185/86</v>
      </c>
      <c r="F13" s="416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1990</v>
      </c>
      <c r="O13" s="425"/>
      <c r="P13" s="117">
        <f ca="1">IFERROR(VLOOKUP(M12,OFFSET($AG$2,,,COUNTIF($AG$2:$AG$50,"?*"),23),15,FALSE),"")</f>
        <v>31</v>
      </c>
      <c r="Q13" s="415" t="str">
        <f ca="1">IFERROR(VLOOKUP(M12,OFFSET($AG$2,,,COUNTIF($AG$2:$AG$50,"?*"),23),16,FALSE),"")</f>
        <v>183/76</v>
      </c>
      <c r="R13" s="416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1250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17" t="str">
        <f ca="1">IFERROR(VLOOKUP(A12,OFFSET($AG$2,,,COUNTIF($AG$2:$AG$50,"?*"),23),18,FALSE),"")</f>
        <v>9 OZ, 11 (6+5), +11 ±</v>
      </c>
      <c r="B14" s="418"/>
      <c r="C14" s="418"/>
      <c r="D14" s="419" t="str">
        <f ca="1">IFERROR(VLOOKUP(A12,OFFSET($AG$2,,,COUNTIF($AG$2:$AG$50,"?*"),23),19,FALSE),"")</f>
        <v>150 OZ, 199 (107+92)</v>
      </c>
      <c r="E14" s="419"/>
      <c r="F14" s="420"/>
      <c r="G14" s="421" t="s">
        <v>374</v>
      </c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17" t="str">
        <f ca="1">IFERROR(VLOOKUP(M12,OFFSET($AG$2,,,COUNTIF($AG$2:$AG$50,"?*"),23),18,FALSE),"")</f>
        <v>11 OZ, 12 (8+4), +16 ±</v>
      </c>
      <c r="N14" s="418"/>
      <c r="O14" s="418"/>
      <c r="P14" s="419" t="str">
        <f ca="1">IFERROR(VLOOKUP(M12,OFFSET($AG$2,,,COUNTIF($AG$2:$AG$50,"?*"),23),19,FALSE),"")</f>
        <v>244 OZ, 307 (191+116)</v>
      </c>
      <c r="Q14" s="419"/>
      <c r="R14" s="420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1077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>Faraos Praha</v>
      </c>
      <c r="B15" s="427"/>
      <c r="C15" s="428"/>
      <c r="D15" s="429">
        <f ca="1">IFERROR(IF(VLOOKUP(A12,OFFSET($AG$2,,,COUNTIF($AG$2:$AG$50,"?*"),23),14,FALSE)&lt;&gt;0,VLOOKUP(A12,OFFSET($AG$2,,,COUNTIF($AG$2:$AG$50,"?*"),23),14,FALSE),"?"),"")</f>
        <v>1999</v>
      </c>
      <c r="E15" s="43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2001</v>
      </c>
      <c r="I15" s="425"/>
      <c r="J15" s="117">
        <f ca="1">IFERROR(VLOOKUP(G14,OFFSET($AG$2,,,COUNTIF($AG$2:$AG$50,"?*"),23),15,FALSE),"")</f>
        <v>20</v>
      </c>
      <c r="K15" s="415" t="str">
        <f ca="1">IFERROR(VLOOKUP(G14,OFFSET($AG$2,,,COUNTIF($AG$2:$AG$50,"?*"),23),16,FALSE),"")</f>
        <v>185/75</v>
      </c>
      <c r="L15" s="416"/>
      <c r="M15" s="426" t="str">
        <f ca="1">IFERROR(IF(VLOOKUP(M12,OFFSET($AG$2,,,COUNTIF($AG$2:$AG$50,"?*"),23),13,FALSE)&lt;&gt;0,VLOOKUP(M12,OFFSET($AG$2,,,COUNTIF($AG$2:$AG$50,"?*"),23),13,FALSE),"?"),"")</f>
        <v>FBC Sok. Poruba Škorpioni</v>
      </c>
      <c r="N15" s="427"/>
      <c r="O15" s="428"/>
      <c r="P15" s="429">
        <f ca="1">IFERROR(IF(VLOOKUP(M12,OFFSET($AG$2,,,COUNTIF($AG$2:$AG$50,"?*"),23),14,FALSE)&lt;&gt;0,VLOOKUP(M12,OFFSET($AG$2,,,COUNTIF($AG$2:$AG$50,"?*"),23),14,FALSE),"?"),"")</f>
        <v>1998</v>
      </c>
      <c r="Q15" s="430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817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>11 OZ, 11 (3+8), +21 ±</v>
      </c>
      <c r="H16" s="418"/>
      <c r="I16" s="418"/>
      <c r="J16" s="419" t="str">
        <f ca="1">IFERROR(VLOOKUP(G14,OFFSET($AG$2,,,COUNTIF($AG$2:$AG$50,"?*"),23),19,FALSE),"")</f>
        <v>32 OZ, 33 (19+14)</v>
      </c>
      <c r="K16" s="419"/>
      <c r="L16" s="420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1251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421" t="s">
        <v>379</v>
      </c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26" t="str">
        <f ca="1">IFERROR(IF(VLOOKUP(G14,OFFSET($AG$2,,,COUNTIF($AG$2:$AG$50,"?*"),23),13,FALSE)&lt;&gt;0,VLOOKUP(G14,OFFSET($AG$2,,,COUNTIF($AG$2:$AG$50,"?*"),23),13,FALSE),"?"),"")</f>
        <v>Florbal Ústí</v>
      </c>
      <c r="H17" s="427"/>
      <c r="I17" s="428"/>
      <c r="J17" s="429">
        <f ca="1">IFERROR(IF(VLOOKUP(G14,OFFSET($AG$2,,,COUNTIF($AG$2:$AG$50,"?*"),23),14,FALSE)&lt;&gt;0,VLOOKUP(G14,OFFSET($AG$2,,,COUNTIF($AG$2:$AG$50,"?*"),23),14,FALSE),"?"),"")</f>
        <v>2010</v>
      </c>
      <c r="K17" s="430"/>
      <c r="L17" s="7">
        <f ca="1">IFERROR(IF(VLOOKUP(G14,OFFSET($AG$2,,,COUNTIF($AG$2:$AG$50,"?*"),23),7,FALSE)&lt;&gt;0,VLOOKUP(G14,OFFSET($AG$2,,,COUNTIF($AG$2:$AG$50,"?*"),23),7,FALSE),"?"),"")</f>
        <v>2</v>
      </c>
      <c r="M17" s="421" t="s">
        <v>384</v>
      </c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417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1990</v>
      </c>
      <c r="C18" s="425"/>
      <c r="D18" s="149">
        <f ca="1">IFERROR(VLOOKUP(A17,OFFSET($AG$2,,,COUNTIF($AG$2:$AG$50,"?*"),23),15,FALSE),"")</f>
        <v>30</v>
      </c>
      <c r="E18" s="415" t="str">
        <f ca="1">IFERROR(VLOOKUP(A17,OFFSET($AG$2,,,COUNTIF($AG$2:$AG$50,"?*"),23),16,FALSE),"")</f>
        <v>170/69</v>
      </c>
      <c r="F18" s="416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1999</v>
      </c>
      <c r="O18" s="425"/>
      <c r="P18" s="117">
        <f ca="1">IFERROR(VLOOKUP(M17,OFFSET($AG$2,,,COUNTIF($AG$2:$AG$50,"?*"),23),15,FALSE),"")</f>
        <v>22</v>
      </c>
      <c r="Q18" s="415" t="str">
        <f ca="1">IFERROR(VLOOKUP(M17,OFFSET($AG$2,,,COUNTIF($AG$2:$AG$50,"?*"),23),16,FALSE),"")</f>
        <v>186/78</v>
      </c>
      <c r="R18" s="416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418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>11 OZ, 10 (3+7), +12 ±</v>
      </c>
      <c r="B19" s="418"/>
      <c r="C19" s="418"/>
      <c r="D19" s="419" t="str">
        <f ca="1">IFERROR(VLOOKUP(A17,OFFSET($AG$2,,,COUNTIF($AG$2:$AG$50,"?*"),23),19,FALSE),"")</f>
        <v>194 OZ, 193 (90+103)</v>
      </c>
      <c r="E19" s="419"/>
      <c r="F19" s="420"/>
      <c r="H19" s="431" t="str">
        <f>H$8</f>
        <v>MB</v>
      </c>
      <c r="I19" s="431"/>
      <c r="J19" s="431"/>
      <c r="K19" s="431"/>
      <c r="M19" s="417" t="str">
        <f ca="1">IFERROR(VLOOKUP(M17,OFFSET($AG$2,,,COUNTIF($AG$2:$AG$50,"?*"),23),18,FALSE),"")</f>
        <v>11 OZ, 4 (1+3), +13 ±</v>
      </c>
      <c r="N19" s="418"/>
      <c r="O19" s="418"/>
      <c r="P19" s="419" t="str">
        <f ca="1">IFERROR(VLOOKUP(M17,OFFSET($AG$2,,,COUNTIF($AG$2:$AG$50,"?*"),23),19,FALSE),"")</f>
        <v>133 OZ, 47 (19+28)</v>
      </c>
      <c r="Q19" s="419"/>
      <c r="R19" s="420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1252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>1. SC Vítkovice</v>
      </c>
      <c r="B20" s="427"/>
      <c r="C20" s="428"/>
      <c r="D20" s="429">
        <f ca="1">IFERROR(IF(VLOOKUP(A17,OFFSET($AG$2,,,COUNTIF($AG$2:$AG$50,"?*"),23),14,FALSE)&lt;&gt;0,VLOOKUP(A17,OFFSET($AG$2,,,COUNTIF($AG$2:$AG$50,"?*"),23),14,FALSE),"?"),"")</f>
        <v>2001</v>
      </c>
      <c r="E20" s="430"/>
      <c r="F20" s="7">
        <f ca="1">IFERROR(IF(VLOOKUP(A17,OFFSET($AG$2,,,COUNTIF($AG$2:$AG$50,"?*"),23),7,FALSE)&lt;&gt;0,VLOOKUP(A17,OFFSET($AG$2,,,COUNTIF($AG$2:$AG$50,"?*"),23),7,FALSE),"?"),"")</f>
        <v>10</v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>Mladá Boleslav</v>
      </c>
      <c r="N20" s="427"/>
      <c r="O20" s="428"/>
      <c r="P20" s="429">
        <f ca="1">IFERROR(IF(VLOOKUP(M17,OFFSET($AG$2,,,COUNTIF($AG$2:$AG$50,"?*"),23),14,FALSE)&lt;&gt;0,VLOOKUP(M17,OFFSET($AG$2,,,COUNTIF($AG$2:$AG$50,"?*"),23),14,FALSE),"?"),"")</f>
        <v>2009</v>
      </c>
      <c r="Q20" s="430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1241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883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421" t="s">
        <v>370</v>
      </c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23" t="s">
        <v>13</v>
      </c>
      <c r="I23" s="423"/>
      <c r="J23" s="423"/>
      <c r="K23" s="423"/>
      <c r="M23" s="421" t="s">
        <v>385</v>
      </c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1253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2002</v>
      </c>
      <c r="C24" s="425"/>
      <c r="D24" s="117">
        <f ca="1">IFERROR(VLOOKUP(A23,OFFSET($AG$2,,,COUNTIF($AG$2:$AG$50,"?*"),23),15,FALSE),"")</f>
        <v>19</v>
      </c>
      <c r="E24" s="415" t="str">
        <f ca="1">IFERROR(VLOOKUP(A23,OFFSET($AG$2,,,COUNTIF($AG$2:$AG$50,"?*"),23),16,FALSE),"")</f>
        <v>168/75</v>
      </c>
      <c r="F24" s="416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2002</v>
      </c>
      <c r="O24" s="425"/>
      <c r="P24" s="117">
        <f ca="1">IFERROR(VLOOKUP(M23,OFFSET($AG$2,,,COUNTIF($AG$2:$AG$50,"?*"),23),15,FALSE),"")</f>
        <v>19</v>
      </c>
      <c r="Q24" s="415" t="str">
        <f ca="1">IFERROR(VLOOKUP(M23,OFFSET($AG$2,,,COUNTIF($AG$2:$AG$50,"?*"),23),16,FALSE),"")</f>
        <v>187/71</v>
      </c>
      <c r="R24" s="416"/>
      <c r="S24" s="111"/>
      <c r="AC24" s="102" t="str">
        <f t="shared" ca="1" si="0"/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1254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>11 OZ, 15 (12+3), +13 ±</v>
      </c>
      <c r="B25" s="418"/>
      <c r="C25" s="418"/>
      <c r="D25" s="419" t="str">
        <f ca="1">IFERROR(VLOOKUP(A23,OFFSET($AG$2,,,COUNTIF($AG$2:$AG$50,"?*"),23),19,FALSE),"")</f>
        <v>44 OZ, 61 (43+18)</v>
      </c>
      <c r="E25" s="419"/>
      <c r="F25" s="420"/>
      <c r="G25" s="421" t="s">
        <v>383</v>
      </c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17" t="str">
        <f ca="1">IFERROR(VLOOKUP(M23,OFFSET($AG$2,,,COUNTIF($AG$2:$AG$50,"?*"),23),18,FALSE),"")</f>
        <v>11 OZ, 5 (4+1), +4 ±</v>
      </c>
      <c r="N25" s="418"/>
      <c r="O25" s="418"/>
      <c r="P25" s="419" t="str">
        <f ca="1">IFERROR(VLOOKUP(M23,OFFSET($AG$2,,,COUNTIF($AG$2:$AG$50,"?*"),23),19,FALSE),"")</f>
        <v>41 OZ, 19 (12+7)</v>
      </c>
      <c r="Q25" s="419"/>
      <c r="R25" s="420"/>
      <c r="S25" s="111"/>
      <c r="AC25" s="102" t="str">
        <f t="shared" ca="1" si="0"/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1255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>Vosy Praha</v>
      </c>
      <c r="B26" s="427"/>
      <c r="C26" s="428"/>
      <c r="D26" s="429">
        <f ca="1">IFERROR(IF(VLOOKUP(A23,OFFSET($AG$2,,,COUNTIF($AG$2:$AG$50,"?*"),23),14,FALSE)&lt;&gt;0,VLOOKUP(A23,OFFSET($AG$2,,,COUNTIF($AG$2:$AG$50,"?*"),23),14,FALSE),"?"),"")</f>
        <v>2011</v>
      </c>
      <c r="E26" s="430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117">
        <f ca="1">IFERROR(VLOOKUP(G25,OFFSET($AG$2,,,COUNTIF($AG$2:$AG$50,"?*"),23),15,FALSE),"")</f>
        <v>18</v>
      </c>
      <c r="K26" s="415" t="str">
        <f ca="1">IFERROR(VLOOKUP(G25,OFFSET($AG$2,,,COUNTIF($AG$2:$AG$50,"?*"),23),16,FALSE),"")</f>
        <v>187/73</v>
      </c>
      <c r="L26" s="416"/>
      <c r="M26" s="426" t="str">
        <f ca="1">IFERROR(IF(VLOOKUP(M23,OFFSET($AG$2,,,COUNTIF($AG$2:$AG$50,"?*"),23),13,FALSE)&lt;&gt;0,VLOOKUP(M23,OFFSET($AG$2,,,COUNTIF($AG$2:$AG$50,"?*"),23),13,FALSE),"?"),"")</f>
        <v>Mladá Boleslav</v>
      </c>
      <c r="N26" s="427"/>
      <c r="O26" s="428"/>
      <c r="P26" s="429">
        <f ca="1">IFERROR(IF(VLOOKUP(M23,OFFSET($AG$2,,,COUNTIF($AG$2:$AG$50,"?*"),23),14,FALSE)&lt;&gt;0,VLOOKUP(M23,OFFSET($AG$2,,,COUNTIF($AG$2:$AG$50,"?*"),23),14,FALSE),"?"),"")</f>
        <v>2010</v>
      </c>
      <c r="Q26" s="430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1256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>11 OZ, 5 (1+4), +13 ±</v>
      </c>
      <c r="H27" s="418"/>
      <c r="I27" s="418"/>
      <c r="J27" s="419" t="str">
        <f ca="1">IFERROR(VLOOKUP(G25,OFFSET($AG$2,,,COUNTIF($AG$2:$AG$50,"?*"),23),19,FALSE),"")</f>
        <v>26 OZ, 12 (5+7)</v>
      </c>
      <c r="K27" s="419"/>
      <c r="L27" s="420"/>
      <c r="S27" s="111"/>
      <c r="AC27" s="102" t="str">
        <f t="shared" ca="1" si="0"/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1257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421" t="s">
        <v>386</v>
      </c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26" t="str">
        <f ca="1">IFERROR(IF(VLOOKUP(G25,OFFSET($AG$2,,,COUNTIF($AG$2:$AG$50,"?*"),23),13,FALSE)&lt;&gt;0,VLOOKUP(G25,OFFSET($AG$2,,,COUNTIF($AG$2:$AG$50,"?*"),23),13,FALSE),"?"),"")</f>
        <v>Bulldogs Brno</v>
      </c>
      <c r="H28" s="427"/>
      <c r="I28" s="428"/>
      <c r="J28" s="429">
        <f ca="1">IFERROR(IF(VLOOKUP(G25,OFFSET($AG$2,,,COUNTIF($AG$2:$AG$50,"?*"),23),14,FALSE)&lt;&gt;0,VLOOKUP(G25,OFFSET($AG$2,,,COUNTIF($AG$2:$AG$50,"?*"),23),14,FALSE),"?"),"")</f>
        <v>2014</v>
      </c>
      <c r="K28" s="430"/>
      <c r="L28" s="7">
        <f ca="1">IFERROR(IF(VLOOKUP(G25,OFFSET($AG$2,,,COUNTIF($AG$2:$AG$50,"?*"),23),7,FALSE)&lt;&gt;0,VLOOKUP(G25,OFFSET($AG$2,,,COUNTIF($AG$2:$AG$50,"?*"),23),7,FALSE),"?"),"")</f>
        <v>2</v>
      </c>
      <c r="M28" s="421" t="s">
        <v>380</v>
      </c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1076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2001</v>
      </c>
      <c r="C29" s="425"/>
      <c r="D29" s="117">
        <f ca="1">IFERROR(VLOOKUP(A28,OFFSET($AG$2,,,COUNTIF($AG$2:$AG$50,"?*"),23),15,FALSE),"")</f>
        <v>20</v>
      </c>
      <c r="E29" s="415" t="str">
        <f ca="1">IFERROR(VLOOKUP(A28,OFFSET($AG$2,,,COUNTIF($AG$2:$AG$50,"?*"),23),16,FALSE),"")</f>
        <v>181/70</v>
      </c>
      <c r="F29" s="416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2000</v>
      </c>
      <c r="O29" s="425"/>
      <c r="P29" s="117">
        <f ca="1">IFERROR(VLOOKUP(M28,OFFSET($AG$2,,,COUNTIF($AG$2:$AG$50,"?*"),23),15,FALSE),"")</f>
        <v>21</v>
      </c>
      <c r="Q29" s="415" t="str">
        <f ca="1">IFERROR(VLOOKUP(M28,OFFSET($AG$2,,,COUNTIF($AG$2:$AG$50,"?*"),23),16,FALSE),"")</f>
        <v>185/77</v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1258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17" t="str">
        <f ca="1">IFERROR(VLOOKUP(A28,OFFSET($AG$2,,,COUNTIF($AG$2:$AG$50,"?*"),23),18,FALSE),"")</f>
        <v>11 OZ, 5 (3+2), +11 ±</v>
      </c>
      <c r="B30" s="418"/>
      <c r="C30" s="418"/>
      <c r="D30" s="419" t="str">
        <f ca="1">IFERROR(VLOOKUP(A28,OFFSET($AG$2,,,COUNTIF($AG$2:$AG$50,"?*"),23),19,FALSE),"")</f>
        <v>11 OZ, 5 (3+2)</v>
      </c>
      <c r="E30" s="419"/>
      <c r="F30" s="420"/>
      <c r="H30" s="431" t="str">
        <f>H$8</f>
        <v>MB</v>
      </c>
      <c r="I30" s="431"/>
      <c r="J30" s="431"/>
      <c r="K30" s="431"/>
      <c r="M30" s="417" t="str">
        <f ca="1">IFERROR(VLOOKUP(M28,OFFSET($AG$2,,,COUNTIF($AG$2:$AG$50,"?*"),23),18,FALSE),"")</f>
        <v>11 OZ, 9 (4+5), +11 ±</v>
      </c>
      <c r="N30" s="418"/>
      <c r="O30" s="418"/>
      <c r="P30" s="419" t="str">
        <f ca="1">IFERROR(VLOOKUP(M28,OFFSET($AG$2,,,COUNTIF($AG$2:$AG$50,"?*"),23),19,FALSE),"")</f>
        <v>102 OZ, 72 (40+32)</v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1078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>Florbal Ústí</v>
      </c>
      <c r="B31" s="427"/>
      <c r="C31" s="428"/>
      <c r="D31" s="429">
        <f ca="1">IFERROR(IF(VLOOKUP(A28,OFFSET($AG$2,,,COUNTIF($AG$2:$AG$50,"?*"),23),14,FALSE)&lt;&gt;0,VLOOKUP(A28,OFFSET($AG$2,,,COUNTIF($AG$2:$AG$50,"?*"),23),14,FALSE),"?"),"")</f>
        <v>2007</v>
      </c>
      <c r="E31" s="430"/>
      <c r="F31" s="7">
        <f ca="1">IFERROR(IF(VLOOKUP(A28,OFFSET($AG$2,,,COUNTIF($AG$2:$AG$50,"?*"),23),7,FALSE)&lt;&gt;0,VLOOKUP(A28,OFFSET($AG$2,,,COUNTIF($AG$2:$AG$50,"?*"),23),7,FALSE),"?"),"")</f>
        <v>1</v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>Bulldogs Brno</v>
      </c>
      <c r="N31" s="427"/>
      <c r="O31" s="428"/>
      <c r="P31" s="429">
        <f ca="1">IFERROR(IF(VLOOKUP(M28,OFFSET($AG$2,,,COUNTIF($AG$2:$AG$50,"?*"),23),14,FALSE)&lt;&gt;0,VLOOKUP(M28,OFFSET($AG$2,,,COUNTIF($AG$2:$AG$50,"?*"),23),14,FALSE),"?"),"")</f>
        <v>2008</v>
      </c>
      <c r="Q31" s="430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1244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 t="s">
        <v>382</v>
      </c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2" t="s">
        <v>16</v>
      </c>
      <c r="J34" s="421" t="s">
        <v>815</v>
      </c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4">
        <f ca="1">IFERROR(IF(VLOOKUP(A34,OFFSET($AG$2,,,COUNTIF($AG$2:$AG$50,"?*"),23),2,FALSE)&lt;&gt;0,YEAR(VLOOKUP(A34,OFFSET($AG$2,,,COUNTIF($AG$2:$AG$50,"?*"),23),2,FALSE)),""),"")</f>
        <v>1991</v>
      </c>
      <c r="C35" s="425"/>
      <c r="D35" s="117">
        <f ca="1">IFERROR(VLOOKUP(A34,OFFSET($AG$2,,,COUNTIF($AG$2:$AG$50,"?*"),23),15,FALSE),"")</f>
        <v>30</v>
      </c>
      <c r="E35" s="415" t="str">
        <f ca="1">IFERROR(VLOOKUP(A34,OFFSET($AG$2,,,COUNTIF($AG$2:$AG$50,"?*"),23),16,FALSE),"")</f>
        <v>192/98</v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2004</v>
      </c>
      <c r="L35" s="433"/>
      <c r="M35" s="118">
        <f ca="1">IFERROR(VLOOKUP(J34,OFFSET($AG$2,,,COUNTIF($AG$2:$AG$50,"?*"),23),15,FALSE),"")</f>
        <v>17</v>
      </c>
      <c r="N35" s="433" t="str">
        <f ca="1">IFERROR(VLOOKUP(J34,OFFSET($AG$2,,,COUNTIF($AG$2:$AG$50,"?*"),23),16,FALSE),"")</f>
        <v>172/72</v>
      </c>
      <c r="O35" s="433"/>
      <c r="P35" s="433" t="str">
        <f ca="1">IFERROR(VLOOKUP(J34,OFFSET($AG$2,,,COUNTIF($AG$2:$AG$50,"?*"),23),18,FALSE),"")</f>
        <v>6 OZ, 0 (0+0), +2 ±</v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1" t="str">
        <f ca="1">IFERROR(VLOOKUP(A34,OFFSET($AG$2,,,COUNTIF($AG$2:$AG$50,"?*"),23),18,FALSE),"")</f>
        <v>9 V, 1 P</v>
      </c>
      <c r="C36" s="441"/>
      <c r="D36" s="442">
        <f ca="1">IFERROR(VLOOKUP(A34,OFFSET($S$45,,,COUNTIF($S$45:$S$50,"?*"),14),5,FALSE),"")</f>
        <v>30</v>
      </c>
      <c r="E36" s="443"/>
      <c r="F36" s="17">
        <f ca="1">IFERROR(VLOOKUP(A34,OFFSET($S$45,,,COUNTIF($S$45:$S$50,"?*"),14),14,FALSE),"")</f>
        <v>78.102189781021906</v>
      </c>
      <c r="H36" s="432"/>
      <c r="J36" s="18">
        <f ca="1">IFERROR(IF(VLOOKUP(J34,OFFSET($AG$2,,,COUNTIF($AG$2:$AG$50,"?*"),23),7,FALSE)&lt;&gt;0,VLOOKUP(J34,OFFSET($AG$2,,,COUNTIF($AG$2:$AG$50,"?*"),23),7,FALSE),"?"),"")</f>
        <v>1</v>
      </c>
      <c r="K36" s="444" t="str">
        <f ca="1">IFERROR(VLOOKUP(J34,OFFSET($AG$2,,,COUNTIF($AG$2:$AG$50,"?*"),23),19,FALSE),"")</f>
        <v>6 OZ, 0 (0+0)</v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>Mladá Boleslav</v>
      </c>
      <c r="O36" s="445"/>
      <c r="P36" s="445"/>
      <c r="Q36" s="444">
        <f ca="1">IFERROR(IF(VLOOKUP(J34,OFFSET($AG$2,,,COUNTIF($AG$2:$AG$50,"?*"),23),14,FALSE)&lt;&gt;0,VLOOKUP(J34,OFFSET($AG$2,,,COUNTIF($AG$2:$AG$50,"?*"),23),14,FALSE),"?"),"")</f>
        <v>2013</v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>
        <f ca="1">IFERROR(VLOOKUP(A34,OFFSET($S$45,,,COUNTIF($S$45:$S$50,"?*"),14),3,FALSE),"")</f>
        <v>603.20000000000005</v>
      </c>
      <c r="B37" s="435"/>
      <c r="C37" s="436">
        <f ca="1">IFERROR(VLOOKUP(A34,OFFSET($S$45,,,COUNTIF($S$45:$S$50,"?*"),14),13,FALSE),"")</f>
        <v>2.9840848806366043</v>
      </c>
      <c r="D37" s="437"/>
      <c r="E37" s="438" t="str">
        <f ca="1">IFERROR(VLOOKUP(A34,OFFSET($AG$2,,,COUNTIF($AG$2:$AG$50,"?*"),23),19,FALSE),"")</f>
        <v>170 OZ, 9 A</v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>TJ SKV</v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>?</v>
      </c>
      <c r="E38" s="430"/>
      <c r="F38" s="19">
        <f ca="1">IFERROR(VLOOKUP(A34,OFFSET($S$45,,,COUNTIF($S$45:$S$50,"?*"),14),6,FALSE),"")</f>
        <v>0</v>
      </c>
      <c r="H38" s="432"/>
      <c r="J38" s="421" t="s">
        <v>376</v>
      </c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5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185/71</v>
      </c>
      <c r="O39" s="433"/>
      <c r="P39" s="433" t="str">
        <f ca="1">IFERROR(VLOOKUP(J38,OFFSET($AG$2,,,COUNTIF($AG$2:$AG$50,"?*"),23),18,FALSE),"")</f>
        <v>8 OZ, 1 (1+0), +3 ±</v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 t="s">
        <v>387</v>
      </c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2"/>
      <c r="J40" s="18">
        <f ca="1">IFERROR(IF(VLOOKUP(J38,OFFSET($AG$2,,,COUNTIF($AG$2:$AG$50,"?*"),23),7,FALSE)&lt;&gt;0,VLOOKUP(J38,OFFSET($AG$2,,,COUNTIF($AG$2:$AG$50,"?*"),23),7,FALSE),"?"),"")</f>
        <v>2</v>
      </c>
      <c r="K40" s="444" t="str">
        <f ca="1">IFERROR(VLOOKUP(J38,OFFSET($AG$2,,,COUNTIF($AG$2:$AG$50,"?*"),23),19,FALSE),"")</f>
        <v>33 OZ, 12 (7+5)</v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>Mladá Boleslav</v>
      </c>
      <c r="O40" s="445"/>
      <c r="P40" s="445"/>
      <c r="Q40" s="444">
        <f ca="1">IFERROR(IF(VLOOKUP(J38,OFFSET($AG$2,,,COUNTIF($AG$2:$AG$50,"?*"),23),14,FALSE)&lt;&gt;0,VLOOKUP(J38,OFFSET($AG$2,,,COUNTIF($AG$2:$AG$50,"?*"),23),14,FALSE),"?"),"")</f>
        <v>2011</v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4">
        <f ca="1">IFERROR(IF(VLOOKUP(A40,OFFSET($AG$2,,,COUNTIF($AG$2:$AG$50,"?*"),23),2,FALSE)&lt;&gt;0,YEAR(VLOOKUP(A40,OFFSET($AG$2,,,COUNTIF($AG$2:$AG$50,"?*"),23),2,FALSE)),""),"")</f>
        <v>2003</v>
      </c>
      <c r="C41" s="425"/>
      <c r="D41" s="117">
        <f ca="1">IFERROR(VLOOKUP(A40,OFFSET($AG$2,,,COUNTIF($AG$2:$AG$50,"?*"),23),15,FALSE),"")</f>
        <v>18</v>
      </c>
      <c r="E41" s="415" t="str">
        <f ca="1">IFERROR(VLOOKUP(A40,OFFSET($AG$2,,,COUNTIF($AG$2:$AG$50,"?*"),23),16,FALSE),"")</f>
        <v>189/77</v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1" t="str">
        <f ca="1">IFERROR(VLOOKUP(A40,OFFSET($AG$2,,,COUNTIF($AG$2:$AG$50,"?*"),23),18,FALSE),"")</f>
        <v>1 V, 0 P</v>
      </c>
      <c r="C42" s="441"/>
      <c r="D42" s="442">
        <f ca="1">IFERROR(VLOOKUP(A40,OFFSET($S$45,,,COUNTIF($S$45:$S$50,"?*"),14),5,FALSE),"")</f>
        <v>1</v>
      </c>
      <c r="E42" s="443"/>
      <c r="F42" s="17">
        <f ca="1">IFERROR(VLOOKUP(A40,OFFSET($S$45,,,COUNTIF($S$45:$S$50,"?*"),14),14,FALSE),"")</f>
        <v>90.909090909090907</v>
      </c>
      <c r="H42" s="432"/>
      <c r="J42" s="421" t="s">
        <v>372</v>
      </c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>
        <f ca="1">IFERROR(VLOOKUP(A40,OFFSET($S$45,,,COUNTIF($S$45:$S$50,"?*"),14),3,FALSE),"")</f>
        <v>60</v>
      </c>
      <c r="B43" s="435"/>
      <c r="C43" s="436">
        <f ca="1">IFERROR(VLOOKUP(A40,OFFSET($S$45,,,COUNTIF($S$45:$S$50,"?*"),14),13,FALSE),"")</f>
        <v>1</v>
      </c>
      <c r="D43" s="437"/>
      <c r="E43" s="438" t="str">
        <f ca="1">IFERROR(VLOOKUP(A40,OFFSET($AG$2,,,COUNTIF($AG$2:$AG$50,"?*"),23),19,FALSE),"")</f>
        <v>2 OZ, 0 A</v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>P</v>
      </c>
      <c r="K43" s="425">
        <f ca="1">IFERROR(IF(VLOOKUP(J42,OFFSET($AG$2,,,COUNTIF($AG$2:$AG$50,"?*"),23),2,FALSE)&lt;&gt;0,YEAR(VLOOKUP(J42,OFFSET($AG$2,,,COUNTIF($AG$2:$AG$50,"?*"),23),2,FALSE)),""),"")</f>
        <v>1992</v>
      </c>
      <c r="L43" s="433"/>
      <c r="M43" s="150">
        <f ca="1">IFERROR(VLOOKUP(J42,OFFSET($AG$2,,,COUNTIF($AG$2:$AG$50,"?*"),23),15,FALSE),"")</f>
        <v>28</v>
      </c>
      <c r="N43" s="433" t="str">
        <f ca="1">IFERROR(VLOOKUP(J42,OFFSET($AG$2,,,COUNTIF($AG$2:$AG$50,"?*"),23),16,FALSE),"")</f>
        <v>181/76</v>
      </c>
      <c r="O43" s="433"/>
      <c r="P43" s="433" t="str">
        <f ca="1">IFERROR(VLOOKUP(J42,OFFSET($AG$2,,,COUNTIF($AG$2:$AG$50,"?*"),23),18,FALSE),"")</f>
        <v>6 OZ, 6 (4+2), +8 ±</v>
      </c>
      <c r="Q43" s="433"/>
      <c r="R43" s="440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>FA Mladá Boleslav</v>
      </c>
      <c r="B44" s="427"/>
      <c r="C44" s="428"/>
      <c r="D44" s="429">
        <f ca="1">IFERROR(IF(VLOOKUP(A40,OFFSET($AG$2,,,COUNTIF($AG$2:$AG$50,"?*"),23),14,FALSE)&lt;&gt;0,VLOOKUP(A40,OFFSET($AG$2,,,COUNTIF($AG$2:$AG$50,"?*"),23),14,FALSE),"?"),"")</f>
        <v>2009</v>
      </c>
      <c r="E44" s="430"/>
      <c r="F44" s="19">
        <f ca="1">IFERROR(VLOOKUP(A40,OFFSET($S$45,,,COUNTIF($S$45:$S$50,"?*"),14),6,FALSE),"")</f>
        <v>0</v>
      </c>
      <c r="H44" s="432"/>
      <c r="J44" s="18">
        <f ca="1">IFERROR(IF(VLOOKUP(J42,OFFSET($AG$2,,,COUNTIF($AG$2:$AG$50,"?*"),23),7,FALSE)&lt;&gt;0,VLOOKUP(J42,OFFSET($AG$2,,,COUNTIF($AG$2:$AG$50,"?*"),23),7,FALSE),"?"),"")</f>
        <v>14</v>
      </c>
      <c r="K44" s="444" t="str">
        <f ca="1">IFERROR(VLOOKUP(J42,OFFSET($AG$2,,,COUNTIF($AG$2:$AG$50,"?*"),23),19,FALSE),"")</f>
        <v>279 OZ, 462 (279+183)</v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>Torpedo Havířov</v>
      </c>
      <c r="O44" s="445"/>
      <c r="P44" s="445"/>
      <c r="Q44" s="444">
        <f ca="1">IFERROR(IF(VLOOKUP(J42,OFFSET($AG$2,,,COUNTIF($AG$2:$AG$50,"?*"),23),14,FALSE)&lt;&gt;0,VLOOKUP(J42,OFFSET($AG$2,,,COUNTIF($AG$2:$AG$50,"?*"),23),14,FALSE),"?"),"")</f>
        <v>2000</v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 t="s">
        <v>406</v>
      </c>
      <c r="B47" s="462"/>
      <c r="C47" s="462"/>
      <c r="D47" s="462"/>
      <c r="E47" s="457" t="str">
        <f ca="1">IFERROR(VLOOKUP(A47,OFFSET($BN$2,,,COUNTIF($BN$2:$BN$11,"?*"),5),3,FALSE),"")</f>
        <v>hlavní trenér</v>
      </c>
      <c r="F47" s="457"/>
      <c r="G47" s="457"/>
      <c r="H47" s="457"/>
      <c r="I47" s="458"/>
      <c r="J47" s="461" t="s">
        <v>408</v>
      </c>
      <c r="K47" s="462"/>
      <c r="L47" s="462"/>
      <c r="M47" s="462"/>
      <c r="N47" s="457" t="str">
        <f ca="1">IFERROR(VLOOKUP(J47,OFFSET($BN$2,,,COUNTIF($BN$2:$BN$11,"?*"),5),3,FALSE),"")</f>
        <v>kondiční trenér</v>
      </c>
      <c r="O47" s="457"/>
      <c r="P47" s="457"/>
      <c r="Q47" s="457"/>
      <c r="R47" s="458"/>
      <c r="S47" s="111" t="s">
        <v>1241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>
        <f ca="1">IFERROR(VLOOKUP(A47,OFFSET($BN$2,,,COUNTIF($BN$2:$BN$11,"?*"),5),5,FALSE),"")</f>
        <v>39</v>
      </c>
      <c r="B48" s="449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49"/>
      <c r="D48" s="449"/>
      <c r="E48" s="449"/>
      <c r="F48" s="449"/>
      <c r="G48" s="449"/>
      <c r="H48" s="449"/>
      <c r="I48" s="450"/>
      <c r="J48" s="119">
        <f ca="1">IFERROR(VLOOKUP(J47,OFFSET($BN$2,,,COUNTIF($BN$2:$BN$11,"?*"),5),5,FALSE),"")</f>
        <v>30</v>
      </c>
      <c r="K48" s="453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 t="s">
        <v>410</v>
      </c>
      <c r="K49" s="456"/>
      <c r="L49" s="456"/>
      <c r="M49" s="456"/>
      <c r="N49" s="457" t="str">
        <f ca="1">IFERROR(VLOOKUP(J49,OFFSET($BN$2,,,COUNTIF($BN$2:$BN$11,"?*"),5),3,FALSE),"")</f>
        <v>asistent trenéra</v>
      </c>
      <c r="O49" s="457"/>
      <c r="P49" s="457"/>
      <c r="Q49" s="457"/>
      <c r="R49" s="45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>
        <f ca="1">IFERROR(VLOOKUP(J49,OFFSET($BN$2,,,COUNTIF($BN$2:$BN$11,"?*"),5),5,FALSE),"")</f>
        <v>38</v>
      </c>
      <c r="K50" s="453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721</v>
      </c>
      <c r="T2" s="102" t="s">
        <v>107</v>
      </c>
      <c r="U2" s="102">
        <v>12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1263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459" t="s">
        <v>192</v>
      </c>
      <c r="BY2" s="103" t="s">
        <v>1449</v>
      </c>
      <c r="BZ2" s="103" t="s">
        <v>842</v>
      </c>
      <c r="CA2" s="115" t="s">
        <v>774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722</v>
      </c>
      <c r="T3" s="102" t="s">
        <v>107</v>
      </c>
      <c r="U3" s="102">
        <v>11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12 OZ, 11 (10+1), +5 ±</v>
      </c>
      <c r="AY3" s="129" t="str">
        <f t="shared" ca="1" si="2"/>
        <v>12 OZ, 11 (10+1)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0"/>
      <c r="BT3" s="104" t="s">
        <v>1264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459"/>
      <c r="BY3" s="103" t="s">
        <v>861</v>
      </c>
      <c r="BZ3" s="103" t="s">
        <v>840</v>
      </c>
      <c r="CA3" s="115" t="s">
        <v>311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11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12 OZ, 1 (0+1), -6 ±</v>
      </c>
      <c r="AY4" s="129" t="str">
        <f t="shared" ca="1" si="2"/>
        <v>12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0"/>
      <c r="BT4" s="104" t="s">
        <v>1265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59"/>
      <c r="BY4" s="103" t="s">
        <v>841</v>
      </c>
      <c r="BZ4" s="103" t="s">
        <v>838</v>
      </c>
      <c r="CA4" s="115" t="s">
        <v>1261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335</v>
      </c>
      <c r="T5" s="102" t="s">
        <v>58</v>
      </c>
      <c r="U5" s="102">
        <v>12</v>
      </c>
      <c r="V5" s="102">
        <v>4</v>
      </c>
      <c r="W5" s="102">
        <v>0</v>
      </c>
      <c r="X5" s="102">
        <v>0</v>
      </c>
      <c r="Y5" s="102">
        <v>12</v>
      </c>
      <c r="Z5" s="102">
        <v>16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10 OZ, 1 (1+0), -5 ±</v>
      </c>
      <c r="AY5" s="129" t="str">
        <f t="shared" ca="1" si="2"/>
        <v>10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1266</v>
      </c>
      <c r="BU5" s="103">
        <v>16</v>
      </c>
      <c r="BV5" s="104" t="str">
        <f t="shared" si="13"/>
        <v>Šimon Kuczera</v>
      </c>
      <c r="BW5" s="102">
        <f t="shared" si="14"/>
        <v>16</v>
      </c>
      <c r="BX5" s="459"/>
      <c r="BY5" s="103" t="s">
        <v>839</v>
      </c>
      <c r="BZ5" s="103" t="s">
        <v>865</v>
      </c>
      <c r="CA5" s="115" t="s">
        <v>792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12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12 OZ, 13 (10+3), -3 ±</v>
      </c>
      <c r="AY6" s="129" t="str">
        <f t="shared" ca="1" si="2"/>
        <v>12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459"/>
      <c r="BY6" s="103" t="s">
        <v>1139</v>
      </c>
      <c r="BZ6" s="103" t="s">
        <v>831</v>
      </c>
      <c r="CA6" s="115" t="s">
        <v>1262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489</v>
      </c>
      <c r="T7" s="102" t="s">
        <v>107</v>
      </c>
      <c r="U7" s="102">
        <v>12</v>
      </c>
      <c r="V7" s="102">
        <v>10</v>
      </c>
      <c r="W7" s="102">
        <v>0</v>
      </c>
      <c r="X7" s="102">
        <v>0</v>
      </c>
      <c r="Y7" s="102">
        <v>1</v>
      </c>
      <c r="Z7" s="102">
        <v>11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734</v>
      </c>
      <c r="BU7" s="103" t="s">
        <v>1267</v>
      </c>
      <c r="BV7" s="104" t="str">
        <f t="shared" si="13"/>
        <v>Jan Binder</v>
      </c>
      <c r="BW7" s="112">
        <f t="shared" si="14"/>
        <v>4.97</v>
      </c>
      <c r="BX7" s="459" t="s">
        <v>193</v>
      </c>
      <c r="BY7" s="103" t="s">
        <v>1083</v>
      </c>
      <c r="BZ7" s="103" t="s">
        <v>859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93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732</v>
      </c>
      <c r="U8" s="102">
        <v>12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12 OZ, 2 (2+0), -7 ±</v>
      </c>
      <c r="AY8" s="129" t="str">
        <f t="shared" ca="1" si="2"/>
        <v>12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783</v>
      </c>
      <c r="BU8" s="103" t="s">
        <v>1268</v>
      </c>
      <c r="BV8" s="104" t="str">
        <f t="shared" si="13"/>
        <v>Martin Janík</v>
      </c>
      <c r="BW8" s="112">
        <f t="shared" si="14"/>
        <v>4.37</v>
      </c>
      <c r="BX8" s="459"/>
      <c r="BY8" s="103" t="s">
        <v>1158</v>
      </c>
      <c r="BZ8" s="103" t="s">
        <v>847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12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12 OZ, 7 (4+3), +16 ±</v>
      </c>
      <c r="AY9" s="129" t="str">
        <f t="shared" ca="1" si="2"/>
        <v>12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784</v>
      </c>
      <c r="BU9" s="103" t="s">
        <v>1463</v>
      </c>
      <c r="BV9" s="104" t="str">
        <f t="shared" si="13"/>
        <v>Jan Klinka</v>
      </c>
      <c r="BW9" s="112">
        <f t="shared" si="14"/>
        <v>4.62</v>
      </c>
      <c r="BX9" s="459"/>
      <c r="BY9" s="103" t="s">
        <v>1141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12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12 OZ, 16 (4+12), +18 ±</v>
      </c>
      <c r="AY11" s="129" t="str">
        <f t="shared" ca="1" si="2"/>
        <v>12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836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10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1263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1462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780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11 OZ, 20 (11+9), +19 ±</v>
      </c>
      <c r="AY13" s="129" t="str">
        <f t="shared" ca="1" si="2"/>
        <v>11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1269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729</v>
      </c>
      <c r="U14" s="102">
        <v>12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11 OZ, 21 (7+14), +20 ±</v>
      </c>
      <c r="AY14" s="129" t="str">
        <f t="shared" ca="1" si="2"/>
        <v>11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1270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1259</v>
      </c>
      <c r="T15" s="102" t="s">
        <v>58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1080</v>
      </c>
      <c r="BU15" s="103">
        <v>10</v>
      </c>
      <c r="BV15" s="104" t="str">
        <f t="shared" si="13"/>
        <v>Ladislav Gál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1260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12 OZ, 21 (11+10), +5 ±</v>
      </c>
      <c r="AY16" s="129" t="str">
        <f t="shared" ca="1" si="2"/>
        <v>12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1081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12 OZ, 8 (2+6), -6 ±</v>
      </c>
      <c r="AY17" s="129" t="str">
        <f t="shared" ca="1" si="2"/>
        <v>12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OST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10 OZ, 0 (0+0), -8 ±</v>
      </c>
      <c r="AY19" s="129" t="str">
        <f t="shared" ca="1" si="2"/>
        <v>10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1082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727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0" t="s">
        <v>38</v>
      </c>
      <c r="BT22" s="104" t="s">
        <v>1271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0"/>
      <c r="BT23" s="104" t="s">
        <v>1272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509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-8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0"/>
      <c r="BT24" s="104" t="s">
        <v>1079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781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1</v>
      </c>
      <c r="AC25" s="102" t="str">
        <f t="shared" ca="1" si="0"/>
        <v>NE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0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725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0"/>
      <c r="BT26" s="104" t="s">
        <v>1273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1274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1275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1276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OST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1277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1278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778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726</v>
      </c>
      <c r="T47" s="102">
        <v>4</v>
      </c>
      <c r="U47" s="112">
        <v>155.74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4.6230897649929368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60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459" t="s">
        <v>192</v>
      </c>
      <c r="BY2" s="103" t="s">
        <v>861</v>
      </c>
      <c r="BZ2" s="103" t="s">
        <v>869</v>
      </c>
      <c r="CA2" s="115" t="s">
        <v>1293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60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459"/>
      <c r="BY3" s="103" t="s">
        <v>841</v>
      </c>
      <c r="BZ3" s="103" t="s">
        <v>870</v>
      </c>
      <c r="CA3" s="115" t="s">
        <v>1294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460"/>
      <c r="BT4" s="104" t="s">
        <v>1279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459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1087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59"/>
      <c r="BY5" s="103" t="s">
        <v>975</v>
      </c>
      <c r="BZ5" s="103" t="s">
        <v>850</v>
      </c>
      <c r="CA5" s="115" t="s">
        <v>1102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1088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459"/>
      <c r="BY6" s="103" t="s">
        <v>1139</v>
      </c>
      <c r="BZ6" s="103" t="s">
        <v>836</v>
      </c>
      <c r="CA6" s="115" t="s">
        <v>1295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1084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888</v>
      </c>
      <c r="BU7" s="103" t="s">
        <v>1280</v>
      </c>
      <c r="BV7" s="104" t="str">
        <f t="shared" si="13"/>
        <v>Adam Kohút</v>
      </c>
      <c r="BW7" s="112">
        <f t="shared" si="14"/>
        <v>6.03</v>
      </c>
      <c r="BX7" s="459" t="s">
        <v>193</v>
      </c>
      <c r="BY7" s="103" t="s">
        <v>1083</v>
      </c>
      <c r="BZ7" s="103" t="s">
        <v>857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94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459"/>
      <c r="BY8" s="103" t="s">
        <v>1158</v>
      </c>
      <c r="BZ8" s="103" t="s">
        <v>832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891</v>
      </c>
      <c r="BU9" s="103" t="s">
        <v>1281</v>
      </c>
      <c r="BV9" s="104" t="str">
        <f t="shared" si="13"/>
        <v>Miroslav Steiger</v>
      </c>
      <c r="BW9" s="112">
        <f t="shared" si="14"/>
        <v>11.35</v>
      </c>
      <c r="BX9" s="459"/>
      <c r="BY9" s="103" t="s">
        <v>1141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838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1296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1085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1086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1282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1283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OTR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1284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1285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1286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1287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1288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1289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1290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OTR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1291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1292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0" t="s">
        <v>36</v>
      </c>
      <c r="BT2" s="104" t="s">
        <v>1300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459" t="s">
        <v>192</v>
      </c>
      <c r="BY2" s="103" t="s">
        <v>861</v>
      </c>
      <c r="BZ2" s="103" t="s">
        <v>860</v>
      </c>
      <c r="CA2" s="115" t="s">
        <v>1297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0"/>
      <c r="BT3" s="104" t="s">
        <v>1301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459"/>
      <c r="BY3" s="103" t="s">
        <v>1075</v>
      </c>
      <c r="BZ3" s="103" t="s">
        <v>887</v>
      </c>
      <c r="CA3" s="115" t="s">
        <v>792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0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459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738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0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459"/>
      <c r="BY5" s="103" t="s">
        <v>1139</v>
      </c>
      <c r="BZ5" s="103" t="s">
        <v>868</v>
      </c>
      <c r="CA5" s="115" t="s">
        <v>1298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0"/>
      <c r="BT6" s="104" t="s">
        <v>1090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459"/>
      <c r="BY6" s="103" t="s">
        <v>758</v>
      </c>
      <c r="BZ6" s="103" t="s">
        <v>846</v>
      </c>
      <c r="CA6" s="115" t="s">
        <v>1089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708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752</v>
      </c>
      <c r="BU7" s="103" t="s">
        <v>1302</v>
      </c>
      <c r="BV7" s="104" t="str">
        <f t="shared" si="13"/>
        <v>Martin Haleš</v>
      </c>
      <c r="BW7" s="112">
        <f t="shared" si="14"/>
        <v>7.79</v>
      </c>
      <c r="BX7" s="459" t="s">
        <v>193</v>
      </c>
      <c r="BY7" s="103" t="s">
        <v>1062</v>
      </c>
      <c r="BZ7" s="103" t="s">
        <v>873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98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749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753</v>
      </c>
      <c r="BU8" s="103" t="s">
        <v>1303</v>
      </c>
      <c r="BV8" s="104" t="str">
        <f t="shared" si="13"/>
        <v>Karel Aubus</v>
      </c>
      <c r="BW8" s="112">
        <f t="shared" si="14"/>
        <v>7.32</v>
      </c>
      <c r="BX8" s="459"/>
      <c r="BY8" s="103" t="s">
        <v>1158</v>
      </c>
      <c r="BZ8" s="103" t="s">
        <v>851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897</v>
      </c>
      <c r="BU9" s="103" t="s">
        <v>1304</v>
      </c>
      <c r="BV9" s="104" t="str">
        <f t="shared" si="13"/>
        <v>Matěj Denemark</v>
      </c>
      <c r="BW9" s="112">
        <f t="shared" si="14"/>
        <v>10.14</v>
      </c>
      <c r="BX9" s="459"/>
      <c r="BY9" s="103" t="s">
        <v>1141</v>
      </c>
      <c r="BZ9" s="103" t="s">
        <v>850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859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736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848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1300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1299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1301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746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1305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739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PAR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0" t="s">
        <v>38</v>
      </c>
      <c r="BT22" s="104" t="s">
        <v>1300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0"/>
      <c r="BT23" s="104" t="s">
        <v>1306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0"/>
      <c r="BT24" s="104" t="s">
        <v>1307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0"/>
      <c r="BT25" s="104" t="s">
        <v>1091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0"/>
      <c r="BT26" s="104" t="s">
        <v>1308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0" t="s">
        <v>39</v>
      </c>
      <c r="BT27" s="104" t="s">
        <v>1309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0"/>
      <c r="BT28" s="104" t="s">
        <v>1310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1092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PAR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1311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1312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460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459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460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459"/>
      <c r="BY3" s="103" t="s">
        <v>841</v>
      </c>
      <c r="BZ3" s="103" t="s">
        <v>849</v>
      </c>
      <c r="CA3" s="115" t="s">
        <v>1315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460"/>
      <c r="BT4" s="104" t="s">
        <v>1094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459"/>
      <c r="BY4" s="103" t="s">
        <v>853</v>
      </c>
      <c r="BZ4" s="103" t="s">
        <v>850</v>
      </c>
      <c r="CA4" s="115" t="s">
        <v>1067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460"/>
      <c r="BT5" s="104" t="s">
        <v>1317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459"/>
      <c r="BY5" s="103" t="s">
        <v>1139</v>
      </c>
      <c r="BZ5" s="103" t="s">
        <v>851</v>
      </c>
      <c r="CA5" s="115" t="s">
        <v>768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460"/>
      <c r="BT6" s="104" t="s">
        <v>1095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459"/>
      <c r="BY6" s="103" t="s">
        <v>758</v>
      </c>
      <c r="BZ6" s="103" t="s">
        <v>858</v>
      </c>
      <c r="CA6" s="115" t="s">
        <v>1093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459" t="s">
        <v>193</v>
      </c>
      <c r="BY7" s="103" t="s">
        <v>1052</v>
      </c>
      <c r="BZ7" s="103" t="s">
        <v>869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95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1318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59"/>
      <c r="BY8" s="103" t="s">
        <v>1158</v>
      </c>
      <c r="BZ8" s="103" t="s">
        <v>834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1319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459"/>
      <c r="BY9" s="103" t="s">
        <v>1141</v>
      </c>
      <c r="BZ9" s="103" t="s">
        <v>833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1160</v>
      </c>
      <c r="BZ10" s="103" t="s">
        <v>832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1211</v>
      </c>
      <c r="BZ11" s="103" t="s">
        <v>831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1316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1094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1317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1095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1314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SPA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1313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1320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1321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1322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1323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1324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1096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1325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SPA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1326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1324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1313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460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459" t="s">
        <v>192</v>
      </c>
      <c r="BY2" s="103" t="s">
        <v>861</v>
      </c>
      <c r="BZ2" s="103" t="s">
        <v>850</v>
      </c>
      <c r="CA2" s="115" t="s">
        <v>1329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460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459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460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459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460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459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460"/>
      <c r="BT6" s="104" t="s">
        <v>1332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459"/>
      <c r="BY6" s="103" t="s">
        <v>1139</v>
      </c>
      <c r="BZ6" s="103" t="s">
        <v>837</v>
      </c>
      <c r="CA6" s="115" t="s">
        <v>1330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467</v>
      </c>
      <c r="BU7" s="103" t="s">
        <v>1333</v>
      </c>
      <c r="BV7" s="104" t="str">
        <f t="shared" si="13"/>
        <v>Lukáš Kříž</v>
      </c>
      <c r="BW7" s="112">
        <f t="shared" si="14"/>
        <v>3.96</v>
      </c>
      <c r="BX7" s="459" t="s">
        <v>193</v>
      </c>
      <c r="BY7" s="103" t="s">
        <v>1062</v>
      </c>
      <c r="BZ7" s="103" t="s">
        <v>848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88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468</v>
      </c>
      <c r="BU8" s="103" t="s">
        <v>1334</v>
      </c>
      <c r="BV8" s="104" t="str">
        <f t="shared" si="13"/>
        <v>Jan Buzík</v>
      </c>
      <c r="BW8" s="112">
        <f t="shared" si="14"/>
        <v>1.5</v>
      </c>
      <c r="BX8" s="459"/>
      <c r="BY8" s="103" t="s">
        <v>1140</v>
      </c>
      <c r="BZ8" s="103" t="s">
        <v>869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1335</v>
      </c>
      <c r="BU9" s="103" t="s">
        <v>1336</v>
      </c>
      <c r="BV9" s="104" t="str">
        <f t="shared" si="13"/>
        <v>Tomáš Jurco</v>
      </c>
      <c r="BW9" s="112">
        <f t="shared" si="14"/>
        <v>3.59</v>
      </c>
      <c r="BX9" s="459"/>
      <c r="BY9" s="103" t="s">
        <v>1141</v>
      </c>
      <c r="BZ9" s="103" t="s">
        <v>836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V10" s="104" t="str">
        <f t="shared" si="13"/>
        <v/>
      </c>
      <c r="BW10" s="112" t="str">
        <f t="shared" si="14"/>
        <v/>
      </c>
      <c r="BX10" s="459"/>
      <c r="BY10" s="103" t="s">
        <v>1159</v>
      </c>
      <c r="BZ10" s="103" t="s">
        <v>834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V11" s="104" t="str">
        <f t="shared" si="13"/>
        <v/>
      </c>
      <c r="BW11" s="112" t="str">
        <f t="shared" si="14"/>
        <v/>
      </c>
      <c r="BX11" s="459"/>
      <c r="BY11" s="103" t="s">
        <v>1461</v>
      </c>
      <c r="BZ11" s="103" t="s">
        <v>833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1097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1098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1337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1327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1338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TAT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1335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1339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1328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1340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1341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1342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0"/>
      <c r="BT29" s="104" t="s">
        <v>1343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TAT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0"/>
      <c r="BT30" s="104" t="s">
        <v>1344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0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1"/>
      <c r="B1" s="422"/>
      <c r="C1" s="422"/>
      <c r="D1" s="42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3" t="s">
        <v>1</v>
      </c>
      <c r="I1" s="423"/>
      <c r="J1" s="423"/>
      <c r="K1" s="423"/>
      <c r="M1" s="421"/>
      <c r="N1" s="422"/>
      <c r="O1" s="422"/>
      <c r="P1" s="42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15" t="str">
        <f ca="1">IFERROR(VLOOKUP(A1,OFFSET($AG$2,,,COUNTIF($AG$2:$AG$50,"?*"),23),16,FALSE),"")</f>
        <v/>
      </c>
      <c r="F2" s="416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15" t="str">
        <f ca="1">IFERROR(VLOOKUP(M1,OFFSET($AG$2,,,COUNTIF($AG$2:$AG$50,"?*"),23),16,FALSE),"")</f>
        <v/>
      </c>
      <c r="R2" s="416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460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459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417" t="str">
        <f ca="1">IFERROR(VLOOKUP(A1,OFFSET($AG$2,,,COUNTIF($AG$2:$AG$50,"?*"),23),18,FALSE),"")</f>
        <v/>
      </c>
      <c r="B3" s="418"/>
      <c r="C3" s="418"/>
      <c r="D3" s="419" t="str">
        <f ca="1">IFERROR(VLOOKUP(A1,OFFSET($AG$2,,,COUNTIF($AG$2:$AG$50,"?*"),23),19,FALSE),"")</f>
        <v/>
      </c>
      <c r="E3" s="419"/>
      <c r="F3" s="420"/>
      <c r="G3" s="421"/>
      <c r="H3" s="422"/>
      <c r="I3" s="422"/>
      <c r="J3" s="42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7" t="str">
        <f ca="1">IFERROR(VLOOKUP(M1,OFFSET($AG$2,,,COUNTIF($AG$2:$AG$50,"?*"),23),18,FALSE),"")</f>
        <v/>
      </c>
      <c r="N3" s="418"/>
      <c r="O3" s="418"/>
      <c r="P3" s="419" t="str">
        <f ca="1">IFERROR(VLOOKUP(M1,OFFSET($AG$2,,,COUNTIF($AG$2:$AG$50,"?*"),23),19,FALSE),"")</f>
        <v/>
      </c>
      <c r="Q3" s="419"/>
      <c r="R3" s="420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60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459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426" t="str">
        <f ca="1">IFERROR(IF(VLOOKUP(A1,OFFSET($AG$2,,,COUNTIF($AG$2:$AG$50,"?*"),23),13,FALSE)&lt;&gt;0,VLOOKUP(A1,OFFSET($AG$2,,,COUNTIF($AG$2:$AG$50,"?*"),23),13,FALSE),"?"),"")</f>
        <v/>
      </c>
      <c r="B4" s="427"/>
      <c r="C4" s="428"/>
      <c r="D4" s="429" t="str">
        <f ca="1">IFERROR(IF(VLOOKUP(A1,OFFSET($AG$2,,,COUNTIF($AG$2:$AG$50,"?*"),23),14,FALSE)&lt;&gt;0,VLOOKUP(A1,OFFSET($AG$2,,,COUNTIF($AG$2:$AG$50,"?*"),23),14,FALSE),"?"),"")</f>
        <v/>
      </c>
      <c r="E4" s="43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15" t="str">
        <f ca="1">IFERROR(VLOOKUP(G3,OFFSET($AG$2,,,COUNTIF($AG$2:$AG$50,"?*"),23),16,FALSE),"")</f>
        <v/>
      </c>
      <c r="L4" s="416"/>
      <c r="M4" s="426" t="str">
        <f ca="1">IFERROR(IF(VLOOKUP(M1,OFFSET($AG$2,,,COUNTIF($AG$2:$AG$50,"?*"),23),13,FALSE)&lt;&gt;0,VLOOKUP(M1,OFFSET($AG$2,,,COUNTIF($AG$2:$AG$50,"?*"),23),13,FALSE),"?"),"")</f>
        <v/>
      </c>
      <c r="N4" s="427"/>
      <c r="O4" s="428"/>
      <c r="P4" s="429" t="str">
        <f ca="1">IFERROR(IF(VLOOKUP(M1,OFFSET($AG$2,,,COUNTIF($AG$2:$AG$50,"?*"),23),14,FALSE)&lt;&gt;0,VLOOKUP(M1,OFFSET($AG$2,,,COUNTIF($AG$2:$AG$50,"?*"),23),14,FALSE),"?"),"")</f>
        <v/>
      </c>
      <c r="Q4" s="43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460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459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417" t="str">
        <f ca="1">IFERROR(VLOOKUP(G3,OFFSET($AG$2,,,COUNTIF($AG$2:$AG$50,"?*"),23),18,FALSE),"")</f>
        <v/>
      </c>
      <c r="H5" s="418"/>
      <c r="I5" s="418"/>
      <c r="J5" s="419" t="str">
        <f ca="1">IFERROR(VLOOKUP(G3,OFFSET($AG$2,,,COUNTIF($AG$2:$AG$50,"?*"),23),19,FALSE),"")</f>
        <v/>
      </c>
      <c r="K5" s="419"/>
      <c r="L5" s="420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460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59"/>
      <c r="BY5" s="103" t="s">
        <v>1139</v>
      </c>
      <c r="BZ5" s="103" t="s">
        <v>870</v>
      </c>
      <c r="CA5" s="115" t="s">
        <v>1346</v>
      </c>
    </row>
    <row r="6" spans="1:79" ht="15" customHeight="1" thickTop="1" thickBot="1" x14ac:dyDescent="0.25">
      <c r="A6" s="421"/>
      <c r="B6" s="422"/>
      <c r="C6" s="422"/>
      <c r="D6" s="42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6" t="str">
        <f ca="1">IFERROR(IF(VLOOKUP(G3,OFFSET($AG$2,,,COUNTIF($AG$2:$AG$50,"?*"),23),13,FALSE)&lt;&gt;0,VLOOKUP(G3,OFFSET($AG$2,,,COUNTIF($AG$2:$AG$50,"?*"),23),13,FALSE),"?"),"")</f>
        <v/>
      </c>
      <c r="H6" s="427"/>
      <c r="I6" s="428"/>
      <c r="J6" s="429" t="str">
        <f ca="1">IFERROR(IF(VLOOKUP(G3,OFFSET($AG$2,,,COUNTIF($AG$2:$AG$50,"?*"),23),14,FALSE)&lt;&gt;0,VLOOKUP(G3,OFFSET($AG$2,,,COUNTIF($AG$2:$AG$50,"?*"),23),14,FALSE),"?"),"")</f>
        <v/>
      </c>
      <c r="K6" s="430"/>
      <c r="L6" s="7" t="str">
        <f ca="1">IFERROR(IF(VLOOKUP(G3,OFFSET($AG$2,,,COUNTIF($AG$2:$AG$50,"?*"),23),7,FALSE)&lt;&gt;0,VLOOKUP(G3,OFFSET($AG$2,,,COUNTIF($AG$2:$AG$50,"?*"),23),7,FALSE),"?"),"")</f>
        <v/>
      </c>
      <c r="M6" s="421"/>
      <c r="N6" s="422"/>
      <c r="O6" s="422"/>
      <c r="P6" s="42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460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459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15" t="str">
        <f ca="1">IFERROR(VLOOKUP(A6,OFFSET($AG$2,,,COUNTIF($AG$2:$AG$50,"?*"),23),16,FALSE),"")</f>
        <v/>
      </c>
      <c r="F7" s="416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15" t="str">
        <f ca="1">IFERROR(VLOOKUP(M6,OFFSET($AG$2,,,COUNTIF($AG$2:$AG$50,"?*"),23),16,FALSE),"")</f>
        <v/>
      </c>
      <c r="R7" s="416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0" t="s">
        <v>40</v>
      </c>
      <c r="BT7" s="104" t="s">
        <v>366</v>
      </c>
      <c r="BU7" s="103" t="s">
        <v>1348</v>
      </c>
      <c r="BV7" s="104" t="str">
        <f t="shared" si="13"/>
        <v>Denis Jasiok</v>
      </c>
      <c r="BW7" s="112">
        <f t="shared" si="14"/>
        <v>4.03</v>
      </c>
      <c r="BX7" s="459" t="s">
        <v>193</v>
      </c>
      <c r="BY7" s="103" t="s">
        <v>1052</v>
      </c>
      <c r="BZ7" s="103" t="s">
        <v>860</v>
      </c>
      <c r="CA7" s="115" t="s">
        <v>188</v>
      </c>
    </row>
    <row r="8" spans="1:79" ht="15" customHeight="1" x14ac:dyDescent="0.2">
      <c r="A8" s="417" t="str">
        <f ca="1">IFERROR(VLOOKUP(A6,OFFSET($AG$2,,,COUNTIF($AG$2:$AG$50,"?*"),23),18,FALSE),"")</f>
        <v/>
      </c>
      <c r="B8" s="418"/>
      <c r="C8" s="418"/>
      <c r="D8" s="419" t="str">
        <f ca="1">IFERROR(VLOOKUP(A6,OFFSET($AG$2,,,COUNTIF($AG$2:$AG$50,"?*"),23),19,FALSE),"")</f>
        <v/>
      </c>
      <c r="E8" s="419"/>
      <c r="F8" s="420"/>
      <c r="H8" s="431" t="s">
        <v>90</v>
      </c>
      <c r="I8" s="431"/>
      <c r="J8" s="431"/>
      <c r="K8" s="431"/>
      <c r="M8" s="417" t="str">
        <f ca="1">IFERROR(VLOOKUP(M6,OFFSET($AG$2,,,COUNTIF($AG$2:$AG$50,"?*"),23),18,FALSE),"")</f>
        <v/>
      </c>
      <c r="N8" s="418"/>
      <c r="O8" s="418"/>
      <c r="P8" s="419" t="str">
        <f ca="1">IFERROR(VLOOKUP(M6,OFFSET($AG$2,,,COUNTIF($AG$2:$AG$50,"?*"),23),19,FALSE),"")</f>
        <v/>
      </c>
      <c r="Q8" s="419"/>
      <c r="R8" s="420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0"/>
      <c r="BT8" s="104" t="s">
        <v>912</v>
      </c>
      <c r="BU8" s="103" t="s">
        <v>1165</v>
      </c>
      <c r="BV8" s="104" t="str">
        <f t="shared" si="13"/>
        <v>Lukáš Souček</v>
      </c>
      <c r="BW8" s="112">
        <f t="shared" si="14"/>
        <v>4.5</v>
      </c>
      <c r="BX8" s="459"/>
      <c r="BY8" s="103" t="s">
        <v>1158</v>
      </c>
      <c r="BZ8" s="103" t="s">
        <v>865</v>
      </c>
      <c r="CA8" s="115" t="s">
        <v>188</v>
      </c>
    </row>
    <row r="9" spans="1:79" ht="15" customHeight="1" thickBot="1" x14ac:dyDescent="0.25">
      <c r="A9" s="426" t="str">
        <f ca="1">IFERROR(IF(VLOOKUP(A6,OFFSET($AG$2,,,COUNTIF($AG$2:$AG$50,"?*"),23),13,FALSE)&lt;&gt;0,VLOOKUP(A6,OFFSET($AG$2,,,COUNTIF($AG$2:$AG$50,"?*"),23),13,FALSE),"?"),"")</f>
        <v/>
      </c>
      <c r="B9" s="427"/>
      <c r="C9" s="428"/>
      <c r="D9" s="429" t="str">
        <f ca="1">IFERROR(IF(VLOOKUP(A6,OFFSET($AG$2,,,COUNTIF($AG$2:$AG$50,"?*"),23),14,FALSE)&lt;&gt;0,VLOOKUP(A6,OFFSET($AG$2,,,COUNTIF($AG$2:$AG$50,"?*"),23),14,FALSE),"?"),"")</f>
        <v/>
      </c>
      <c r="E9" s="430"/>
      <c r="F9" s="7" t="str">
        <f ca="1">IFERROR(IF(VLOOKUP(A6,OFFSET($AG$2,,,COUNTIF($AG$2:$AG$50,"?*"),23),7,FALSE)&lt;&gt;0,VLOOKUP(A6,OFFSET($AG$2,,,COUNTIF($AG$2:$AG$50,"?*"),23),7,FALSE),"?"),"")</f>
        <v/>
      </c>
      <c r="H9" s="431"/>
      <c r="I9" s="431"/>
      <c r="J9" s="431"/>
      <c r="K9" s="431"/>
      <c r="M9" s="426" t="str">
        <f ca="1">IFERROR(IF(VLOOKUP(M6,OFFSET($AG$2,,,COUNTIF($AG$2:$AG$50,"?*"),23),13,FALSE)&lt;&gt;0,VLOOKUP(M6,OFFSET($AG$2,,,COUNTIF($AG$2:$AG$50,"?*"),23),13,FALSE),"?"),"")</f>
        <v/>
      </c>
      <c r="N9" s="427"/>
      <c r="O9" s="428"/>
      <c r="P9" s="429" t="str">
        <f ca="1">IFERROR(IF(VLOOKUP(M6,OFFSET($AG$2,,,COUNTIF($AG$2:$AG$50,"?*"),23),14,FALSE)&lt;&gt;0,VLOOKUP(M6,OFFSET($AG$2,,,COUNTIF($AG$2:$AG$50,"?*"),23),14,FALSE),"?"),"")</f>
        <v/>
      </c>
      <c r="Q9" s="43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0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59"/>
      <c r="BY9" s="103" t="s">
        <v>1141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0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59"/>
      <c r="BY10" s="103" t="s">
        <v>1142</v>
      </c>
      <c r="BZ10" s="103" t="s">
        <v>873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0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59"/>
      <c r="BY11" s="103" t="s">
        <v>1211</v>
      </c>
      <c r="BZ11" s="103" t="s">
        <v>850</v>
      </c>
      <c r="CA11" s="115" t="s">
        <v>188</v>
      </c>
    </row>
    <row r="12" spans="1:79" ht="15" customHeight="1" thickTop="1" thickBot="1" x14ac:dyDescent="0.25">
      <c r="A12" s="421"/>
      <c r="B12" s="422"/>
      <c r="C12" s="422"/>
      <c r="D12" s="42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3" t="s">
        <v>7</v>
      </c>
      <c r="I12" s="423"/>
      <c r="J12" s="423"/>
      <c r="K12" s="423"/>
      <c r="M12" s="421"/>
      <c r="N12" s="422"/>
      <c r="O12" s="422"/>
      <c r="P12" s="42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0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15" t="str">
        <f ca="1">IFERROR(VLOOKUP(A12,OFFSET($AG$2,,,COUNTIF($AG$2:$AG$50,"?*"),23),16,FALSE),"")</f>
        <v/>
      </c>
      <c r="F13" s="416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15" t="str">
        <f ca="1">IFERROR(VLOOKUP(M12,OFFSET($AG$2,,,COUNTIF($AG$2:$AG$50,"?*"),23),16,FALSE),"")</f>
        <v/>
      </c>
      <c r="R13" s="416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0"/>
      <c r="BT13" s="104" t="s">
        <v>1349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17" t="str">
        <f ca="1">IFERROR(VLOOKUP(A12,OFFSET($AG$2,,,COUNTIF($AG$2:$AG$50,"?*"),23),18,FALSE),"")</f>
        <v/>
      </c>
      <c r="B14" s="418"/>
      <c r="C14" s="418"/>
      <c r="D14" s="419" t="str">
        <f ca="1">IFERROR(VLOOKUP(A12,OFFSET($AG$2,,,COUNTIF($AG$2:$AG$50,"?*"),23),19,FALSE),"")</f>
        <v/>
      </c>
      <c r="E14" s="419"/>
      <c r="F14" s="420"/>
      <c r="G14" s="421"/>
      <c r="H14" s="422"/>
      <c r="I14" s="422"/>
      <c r="J14" s="42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7" t="str">
        <f ca="1">IFERROR(VLOOKUP(M12,OFFSET($AG$2,,,COUNTIF($AG$2:$AG$50,"?*"),23),18,FALSE),"")</f>
        <v/>
      </c>
      <c r="N14" s="418"/>
      <c r="O14" s="418"/>
      <c r="P14" s="419" t="str">
        <f ca="1">IFERROR(VLOOKUP(M12,OFFSET($AG$2,,,COUNTIF($AG$2:$AG$50,"?*"),23),19,FALSE),"")</f>
        <v/>
      </c>
      <c r="Q14" s="419"/>
      <c r="R14" s="420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0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26" t="str">
        <f ca="1">IFERROR(IF(VLOOKUP(A12,OFFSET($AG$2,,,COUNTIF($AG$2:$AG$50,"?*"),23),13,FALSE)&lt;&gt;0,VLOOKUP(A12,OFFSET($AG$2,,,COUNTIF($AG$2:$AG$50,"?*"),23),13,FALSE),"?"),"")</f>
        <v/>
      </c>
      <c r="B15" s="427"/>
      <c r="C15" s="428"/>
      <c r="D15" s="429" t="str">
        <f ca="1">IFERROR(IF(VLOOKUP(A12,OFFSET($AG$2,,,COUNTIF($AG$2:$AG$50,"?*"),23),14,FALSE)&lt;&gt;0,VLOOKUP(A12,OFFSET($AG$2,,,COUNTIF($AG$2:$AG$50,"?*"),23),14,FALSE),"?"),"")</f>
        <v/>
      </c>
      <c r="E15" s="43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15" t="str">
        <f ca="1">IFERROR(VLOOKUP(G14,OFFSET($AG$2,,,COUNTIF($AG$2:$AG$50,"?*"),23),16,FALSE),"")</f>
        <v/>
      </c>
      <c r="L15" s="416"/>
      <c r="M15" s="426" t="str">
        <f ca="1">IFERROR(IF(VLOOKUP(M12,OFFSET($AG$2,,,COUNTIF($AG$2:$AG$50,"?*"),23),13,FALSE)&lt;&gt;0,VLOOKUP(M12,OFFSET($AG$2,,,COUNTIF($AG$2:$AG$50,"?*"),23),13,FALSE),"?"),"")</f>
        <v/>
      </c>
      <c r="N15" s="427"/>
      <c r="O15" s="428"/>
      <c r="P15" s="429" t="str">
        <f ca="1">IFERROR(IF(VLOOKUP(M12,OFFSET($AG$2,,,COUNTIF($AG$2:$AG$50,"?*"),23),14,FALSE)&lt;&gt;0,VLOOKUP(M12,OFFSET($AG$2,,,COUNTIF($AG$2:$AG$50,"?*"),23),14,FALSE),"?"),"")</f>
        <v/>
      </c>
      <c r="Q15" s="43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0"/>
      <c r="BT15" s="104" t="s">
        <v>1350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7" t="str">
        <f ca="1">IFERROR(VLOOKUP(G14,OFFSET($AG$2,,,COUNTIF($AG$2:$AG$50,"?*"),23),18,FALSE),"")</f>
        <v/>
      </c>
      <c r="H16" s="418"/>
      <c r="I16" s="418"/>
      <c r="J16" s="419" t="str">
        <f ca="1">IFERROR(VLOOKUP(G14,OFFSET($AG$2,,,COUNTIF($AG$2:$AG$50,"?*"),23),19,FALSE),"")</f>
        <v/>
      </c>
      <c r="K16" s="419"/>
      <c r="L16" s="420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0"/>
      <c r="BT16" s="104" t="s">
        <v>1351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1"/>
      <c r="B17" s="422"/>
      <c r="C17" s="422"/>
      <c r="D17" s="42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6" t="str">
        <f ca="1">IFERROR(IF(VLOOKUP(G14,OFFSET($AG$2,,,COUNTIF($AG$2:$AG$50,"?*"),23),13,FALSE)&lt;&gt;0,VLOOKUP(G14,OFFSET($AG$2,,,COUNTIF($AG$2:$AG$50,"?*"),23),13,FALSE),"?"),"")</f>
        <v/>
      </c>
      <c r="H17" s="427"/>
      <c r="I17" s="428"/>
      <c r="J17" s="429" t="str">
        <f ca="1">IFERROR(IF(VLOOKUP(G14,OFFSET($AG$2,,,COUNTIF($AG$2:$AG$50,"?*"),23),14,FALSE)&lt;&gt;0,VLOOKUP(G14,OFFSET($AG$2,,,COUNTIF($AG$2:$AG$50,"?*"),23),14,FALSE),"?"),"")</f>
        <v/>
      </c>
      <c r="K17" s="430"/>
      <c r="L17" s="7" t="str">
        <f ca="1">IFERROR(IF(VLOOKUP(G14,OFFSET($AG$2,,,COUNTIF($AG$2:$AG$50,"?*"),23),7,FALSE)&lt;&gt;0,VLOOKUP(G14,OFFSET($AG$2,,,COUNTIF($AG$2:$AG$50,"?*"),23),7,FALSE),"?"),"")</f>
        <v/>
      </c>
      <c r="M17" s="421"/>
      <c r="N17" s="422"/>
      <c r="O17" s="422"/>
      <c r="P17" s="42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0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15" t="str">
        <f ca="1">IFERROR(VLOOKUP(A17,OFFSET($AG$2,,,COUNTIF($AG$2:$AG$50,"?*"),23),16,FALSE),"")</f>
        <v/>
      </c>
      <c r="F18" s="416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15" t="str">
        <f ca="1">IFERROR(VLOOKUP(M17,OFFSET($AG$2,,,COUNTIF($AG$2:$AG$50,"?*"),23),16,FALSE),"")</f>
        <v/>
      </c>
      <c r="R18" s="416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0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17" t="str">
        <f ca="1">IFERROR(VLOOKUP(A17,OFFSET($AG$2,,,COUNTIF($AG$2:$AG$50,"?*"),23),18,FALSE),"")</f>
        <v/>
      </c>
      <c r="B19" s="418"/>
      <c r="C19" s="418"/>
      <c r="D19" s="419" t="str">
        <f ca="1">IFERROR(VLOOKUP(A17,OFFSET($AG$2,,,COUNTIF($AG$2:$AG$50,"?*"),23),19,FALSE),"")</f>
        <v/>
      </c>
      <c r="E19" s="419"/>
      <c r="F19" s="420"/>
      <c r="H19" s="431" t="str">
        <f>H$8</f>
        <v>VIT</v>
      </c>
      <c r="I19" s="431"/>
      <c r="J19" s="431"/>
      <c r="K19" s="431"/>
      <c r="M19" s="417" t="str">
        <f ca="1">IFERROR(VLOOKUP(M17,OFFSET($AG$2,,,COUNTIF($AG$2:$AG$50,"?*"),23),18,FALSE),"")</f>
        <v/>
      </c>
      <c r="N19" s="418"/>
      <c r="O19" s="418"/>
      <c r="P19" s="419" t="str">
        <f ca="1">IFERROR(VLOOKUP(M17,OFFSET($AG$2,,,COUNTIF($AG$2:$AG$50,"?*"),23),19,FALSE),"")</f>
        <v/>
      </c>
      <c r="Q19" s="419"/>
      <c r="R19" s="420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0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26" t="str">
        <f ca="1">IFERROR(IF(VLOOKUP(A17,OFFSET($AG$2,,,COUNTIF($AG$2:$AG$50,"?*"),23),13,FALSE)&lt;&gt;0,VLOOKUP(A17,OFFSET($AG$2,,,COUNTIF($AG$2:$AG$50,"?*"),23),13,FALSE),"?"),"")</f>
        <v/>
      </c>
      <c r="B20" s="427"/>
      <c r="C20" s="428"/>
      <c r="D20" s="429" t="str">
        <f ca="1">IFERROR(IF(VLOOKUP(A17,OFFSET($AG$2,,,COUNTIF($AG$2:$AG$50,"?*"),23),14,FALSE)&lt;&gt;0,VLOOKUP(A17,OFFSET($AG$2,,,COUNTIF($AG$2:$AG$50,"?*"),23),14,FALSE),"?"),"")</f>
        <v/>
      </c>
      <c r="E20" s="430"/>
      <c r="F20" s="7" t="str">
        <f ca="1">IFERROR(IF(VLOOKUP(A17,OFFSET($AG$2,,,COUNTIF($AG$2:$AG$50,"?*"),23),7,FALSE)&lt;&gt;0,VLOOKUP(A17,OFFSET($AG$2,,,COUNTIF($AG$2:$AG$50,"?*"),23),7,FALSE),"?"),"")</f>
        <v/>
      </c>
      <c r="H20" s="431"/>
      <c r="I20" s="431"/>
      <c r="J20" s="431"/>
      <c r="K20" s="431"/>
      <c r="M20" s="426" t="str">
        <f ca="1">IFERROR(IF(VLOOKUP(M17,OFFSET($AG$2,,,COUNTIF($AG$2:$AG$50,"?*"),23),13,FALSE)&lt;&gt;0,VLOOKUP(M17,OFFSET($AG$2,,,COUNTIF($AG$2:$AG$50,"?*"),23),13,FALSE),"?"),"")</f>
        <v/>
      </c>
      <c r="N20" s="427"/>
      <c r="O20" s="428"/>
      <c r="P20" s="429" t="str">
        <f ca="1">IFERROR(IF(VLOOKUP(M17,OFFSET($AG$2,,,COUNTIF($AG$2:$AG$50,"?*"),23),14,FALSE)&lt;&gt;0,VLOOKUP(M17,OFFSET($AG$2,,,COUNTIF($AG$2:$AG$50,"?*"),23),14,FALSE),"?"),"")</f>
        <v/>
      </c>
      <c r="Q20" s="43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0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0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0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421"/>
      <c r="B23" s="422"/>
      <c r="C23" s="422"/>
      <c r="D23" s="42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3" t="s">
        <v>13</v>
      </c>
      <c r="I23" s="423"/>
      <c r="J23" s="423"/>
      <c r="K23" s="423"/>
      <c r="M23" s="421"/>
      <c r="N23" s="422"/>
      <c r="O23" s="422"/>
      <c r="P23" s="42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0"/>
      <c r="BT23" s="104" t="s">
        <v>1352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15" t="str">
        <f ca="1">IFERROR(VLOOKUP(A23,OFFSET($AG$2,,,COUNTIF($AG$2:$AG$50,"?*"),23),16,FALSE),"")</f>
        <v/>
      </c>
      <c r="F24" s="416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15" t="str">
        <f ca="1">IFERROR(VLOOKUP(M23,OFFSET($AG$2,,,COUNTIF($AG$2:$AG$50,"?*"),23),16,FALSE),"")</f>
        <v/>
      </c>
      <c r="R24" s="416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0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17" t="str">
        <f ca="1">IFERROR(VLOOKUP(A23,OFFSET($AG$2,,,COUNTIF($AG$2:$AG$50,"?*"),23),18,FALSE),"")</f>
        <v/>
      </c>
      <c r="B25" s="418"/>
      <c r="C25" s="418"/>
      <c r="D25" s="419" t="str">
        <f ca="1">IFERROR(VLOOKUP(A23,OFFSET($AG$2,,,COUNTIF($AG$2:$AG$50,"?*"),23),19,FALSE),"")</f>
        <v/>
      </c>
      <c r="E25" s="419"/>
      <c r="F25" s="420"/>
      <c r="G25" s="421"/>
      <c r="H25" s="422"/>
      <c r="I25" s="422"/>
      <c r="J25" s="42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7" t="str">
        <f ca="1">IFERROR(VLOOKUP(M23,OFFSET($AG$2,,,COUNTIF($AG$2:$AG$50,"?*"),23),18,FALSE),"")</f>
        <v/>
      </c>
      <c r="N25" s="418"/>
      <c r="O25" s="418"/>
      <c r="P25" s="419" t="str">
        <f ca="1">IFERROR(VLOOKUP(M23,OFFSET($AG$2,,,COUNTIF($AG$2:$AG$50,"?*"),23),19,FALSE),"")</f>
        <v/>
      </c>
      <c r="Q25" s="419"/>
      <c r="R25" s="420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0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26" t="str">
        <f ca="1">IFERROR(IF(VLOOKUP(A23,OFFSET($AG$2,,,COUNTIF($AG$2:$AG$50,"?*"),23),13,FALSE)&lt;&gt;0,VLOOKUP(A23,OFFSET($AG$2,,,COUNTIF($AG$2:$AG$50,"?*"),23),13,FALSE),"?"),"")</f>
        <v/>
      </c>
      <c r="B26" s="427"/>
      <c r="C26" s="428"/>
      <c r="D26" s="429" t="str">
        <f ca="1">IFERROR(IF(VLOOKUP(A23,OFFSET($AG$2,,,COUNTIF($AG$2:$AG$50,"?*"),23),14,FALSE)&lt;&gt;0,VLOOKUP(A23,OFFSET($AG$2,,,COUNTIF($AG$2:$AG$50,"?*"),23),14,FALSE),"?"),"")</f>
        <v/>
      </c>
      <c r="E26" s="43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15" t="str">
        <f ca="1">IFERROR(VLOOKUP(G25,OFFSET($AG$2,,,COUNTIF($AG$2:$AG$50,"?*"),23),16,FALSE),"")</f>
        <v/>
      </c>
      <c r="L26" s="416"/>
      <c r="M26" s="426" t="str">
        <f ca="1">IFERROR(IF(VLOOKUP(M23,OFFSET($AG$2,,,COUNTIF($AG$2:$AG$50,"?*"),23),13,FALSE)&lt;&gt;0,VLOOKUP(M23,OFFSET($AG$2,,,COUNTIF($AG$2:$AG$50,"?*"),23),13,FALSE),"?"),"")</f>
        <v/>
      </c>
      <c r="N26" s="427"/>
      <c r="O26" s="428"/>
      <c r="P26" s="429" t="str">
        <f ca="1">IFERROR(IF(VLOOKUP(M23,OFFSET($AG$2,,,COUNTIF($AG$2:$AG$50,"?*"),23),14,FALSE)&lt;&gt;0,VLOOKUP(M23,OFFSET($AG$2,,,COUNTIF($AG$2:$AG$50,"?*"),23),14,FALSE),"?"),"")</f>
        <v/>
      </c>
      <c r="Q26" s="43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0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7" t="str">
        <f ca="1">IFERROR(VLOOKUP(G25,OFFSET($AG$2,,,COUNTIF($AG$2:$AG$50,"?*"),23),18,FALSE),"")</f>
        <v/>
      </c>
      <c r="H27" s="418"/>
      <c r="I27" s="418"/>
      <c r="J27" s="419" t="str">
        <f ca="1">IFERROR(VLOOKUP(G25,OFFSET($AG$2,,,COUNTIF($AG$2:$AG$50,"?*"),23),19,FALSE),"")</f>
        <v/>
      </c>
      <c r="K27" s="419"/>
      <c r="L27" s="420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0" t="s">
        <v>39</v>
      </c>
      <c r="BT27" s="104" t="s">
        <v>1353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421"/>
      <c r="B28" s="422"/>
      <c r="C28" s="422"/>
      <c r="D28" s="42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6" t="str">
        <f ca="1">IFERROR(IF(VLOOKUP(G25,OFFSET($AG$2,,,COUNTIF($AG$2:$AG$50,"?*"),23),13,FALSE)&lt;&gt;0,VLOOKUP(G25,OFFSET($AG$2,,,COUNTIF($AG$2:$AG$50,"?*"),23),13,FALSE),"?"),"")</f>
        <v/>
      </c>
      <c r="H28" s="427"/>
      <c r="I28" s="428"/>
      <c r="J28" s="429" t="str">
        <f ca="1">IFERROR(IF(VLOOKUP(G25,OFFSET($AG$2,,,COUNTIF($AG$2:$AG$50,"?*"),23),14,FALSE)&lt;&gt;0,VLOOKUP(G25,OFFSET($AG$2,,,COUNTIF($AG$2:$AG$50,"?*"),23),14,FALSE),"?"),"")</f>
        <v/>
      </c>
      <c r="K28" s="430"/>
      <c r="L28" s="7" t="str">
        <f ca="1">IFERROR(IF(VLOOKUP(G25,OFFSET($AG$2,,,COUNTIF($AG$2:$AG$50,"?*"),23),7,FALSE)&lt;&gt;0,VLOOKUP(G25,OFFSET($AG$2,,,COUNTIF($AG$2:$AG$50,"?*"),23),7,FALSE),"?"),"")</f>
        <v/>
      </c>
      <c r="M28" s="421"/>
      <c r="N28" s="422"/>
      <c r="O28" s="422"/>
      <c r="P28" s="42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0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15" t="str">
        <f ca="1">IFERROR(VLOOKUP(A28,OFFSET($AG$2,,,COUNTIF($AG$2:$AG$50,"?*"),23),16,FALSE),"")</f>
        <v/>
      </c>
      <c r="F29" s="416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15" t="str">
        <f ca="1">IFERROR(VLOOKUP(M28,OFFSET($AG$2,,,COUNTIF($AG$2:$AG$50,"?*"),23),16,FALSE),"")</f>
        <v/>
      </c>
      <c r="R29" s="41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0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17" t="str">
        <f ca="1">IFERROR(VLOOKUP(A28,OFFSET($AG$2,,,COUNTIF($AG$2:$AG$50,"?*"),23),18,FALSE),"")</f>
        <v/>
      </c>
      <c r="B30" s="418"/>
      <c r="C30" s="418"/>
      <c r="D30" s="419" t="str">
        <f ca="1">IFERROR(VLOOKUP(A28,OFFSET($AG$2,,,COUNTIF($AG$2:$AG$50,"?*"),23),19,FALSE),"")</f>
        <v/>
      </c>
      <c r="E30" s="419"/>
      <c r="F30" s="420"/>
      <c r="H30" s="431" t="str">
        <f>H$8</f>
        <v>VIT</v>
      </c>
      <c r="I30" s="431"/>
      <c r="J30" s="431"/>
      <c r="K30" s="431"/>
      <c r="M30" s="417" t="str">
        <f ca="1">IFERROR(VLOOKUP(M28,OFFSET($AG$2,,,COUNTIF($AG$2:$AG$50,"?*"),23),18,FALSE),"")</f>
        <v/>
      </c>
      <c r="N30" s="418"/>
      <c r="O30" s="418"/>
      <c r="P30" s="419" t="str">
        <f ca="1">IFERROR(VLOOKUP(M28,OFFSET($AG$2,,,COUNTIF($AG$2:$AG$50,"?*"),23),19,FALSE),"")</f>
        <v/>
      </c>
      <c r="Q30" s="419"/>
      <c r="R30" s="42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0"/>
      <c r="BT30" s="104" t="s">
        <v>1354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26" t="str">
        <f ca="1">IFERROR(IF(VLOOKUP(A28,OFFSET($AG$2,,,COUNTIF($AG$2:$AG$50,"?*"),23),13,FALSE)&lt;&gt;0,VLOOKUP(A28,OFFSET($AG$2,,,COUNTIF($AG$2:$AG$50,"?*"),23),13,FALSE),"?"),"")</f>
        <v/>
      </c>
      <c r="B31" s="427"/>
      <c r="C31" s="428"/>
      <c r="D31" s="429" t="str">
        <f ca="1">IFERROR(IF(VLOOKUP(A28,OFFSET($AG$2,,,COUNTIF($AG$2:$AG$50,"?*"),23),14,FALSE)&lt;&gt;0,VLOOKUP(A28,OFFSET($AG$2,,,COUNTIF($AG$2:$AG$50,"?*"),23),14,FALSE),"?"),"")</f>
        <v/>
      </c>
      <c r="E31" s="430"/>
      <c r="F31" s="7" t="str">
        <f ca="1">IFERROR(IF(VLOOKUP(A28,OFFSET($AG$2,,,COUNTIF($AG$2:$AG$50,"?*"),23),7,FALSE)&lt;&gt;0,VLOOKUP(A28,OFFSET($AG$2,,,COUNTIF($AG$2:$AG$50,"?*"),23),7,FALSE),"?"),"")</f>
        <v/>
      </c>
      <c r="H31" s="431"/>
      <c r="I31" s="431"/>
      <c r="J31" s="431"/>
      <c r="K31" s="431"/>
      <c r="M31" s="426" t="str">
        <f ca="1">IFERROR(IF(VLOOKUP(M28,OFFSET($AG$2,,,COUNTIF($AG$2:$AG$50,"?*"),23),13,FALSE)&lt;&gt;0,VLOOKUP(M28,OFFSET($AG$2,,,COUNTIF($AG$2:$AG$50,"?*"),23),13,FALSE),"?"),"")</f>
        <v/>
      </c>
      <c r="N31" s="427"/>
      <c r="O31" s="428"/>
      <c r="P31" s="429" t="str">
        <f ca="1">IFERROR(IF(VLOOKUP(M28,OFFSET($AG$2,,,COUNTIF($AG$2:$AG$50,"?*"),23),14,FALSE)&lt;&gt;0,VLOOKUP(M28,OFFSET($AG$2,,,COUNTIF($AG$2:$AG$50,"?*"),23),14,FALSE),"?"),"")</f>
        <v/>
      </c>
      <c r="Q31" s="43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0"/>
      <c r="BT31" s="104" t="s">
        <v>1355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1"/>
      <c r="B34" s="422"/>
      <c r="C34" s="422"/>
      <c r="D34" s="42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2" t="s">
        <v>16</v>
      </c>
      <c r="J34" s="421"/>
      <c r="K34" s="422"/>
      <c r="L34" s="422"/>
      <c r="M34" s="422"/>
      <c r="N34" s="422"/>
      <c r="O34" s="422"/>
      <c r="P34" s="42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15" t="str">
        <f ca="1">IFERROR(VLOOKUP(A34,OFFSET($AG$2,,,COUNTIF($AG$2:$AG$50,"?*"),23),16,FALSE),"")</f>
        <v/>
      </c>
      <c r="F35" s="416"/>
      <c r="H35" s="432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4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1" t="str">
        <f ca="1">IFERROR(VLOOKUP(A34,OFFSET($AG$2,,,COUNTIF($AG$2:$AG$50,"?*"),23),18,FALSE),"")</f>
        <v/>
      </c>
      <c r="C36" s="441"/>
      <c r="D36" s="442" t="str">
        <f ca="1">IFERROR(VLOOKUP(A34,OFFSET($S$45,,,COUNTIF($S$45:$S$50,"?*"),14),5,FALSE),"")</f>
        <v/>
      </c>
      <c r="E36" s="443"/>
      <c r="F36" s="17" t="str">
        <f ca="1">IFERROR(VLOOKUP(A34,OFFSET($S$45,,,COUNTIF($S$45:$S$50,"?*"),14),14,FALSE),"")</f>
        <v/>
      </c>
      <c r="H36" s="432"/>
      <c r="J36" s="18" t="str">
        <f ca="1">IFERROR(IF(VLOOKUP(J34,OFFSET($AG$2,,,COUNTIF($AG$2:$AG$50,"?*"),23),7,FALSE)&lt;&gt;0,VLOOKUP(J34,OFFSET($AG$2,,,COUNTIF($AG$2:$AG$50,"?*"),23),7,FALSE),"?"),"")</f>
        <v/>
      </c>
      <c r="K36" s="444" t="str">
        <f ca="1">IFERROR(VLOOKUP(J34,OFFSET($AG$2,,,COUNTIF($AG$2:$AG$50,"?*"),23),19,FALSE),"")</f>
        <v/>
      </c>
      <c r="L36" s="444"/>
      <c r="M36" s="444"/>
      <c r="N36" s="445" t="str">
        <f ca="1">IFERROR(IF(VLOOKUP(J34,OFFSET($AG$2,,,COUNTIF($AG$2:$AG$50,"?*"),23),13,FALSE)&lt;&gt;0,VLOOKUP(J34,OFFSET($AG$2,,,COUNTIF($AG$2:$AG$50,"?*"),23),13,FALSE),"?"),"")</f>
        <v/>
      </c>
      <c r="O36" s="445"/>
      <c r="P36" s="445"/>
      <c r="Q36" s="444" t="str">
        <f ca="1">IFERROR(IF(VLOOKUP(J34,OFFSET($AG$2,,,COUNTIF($AG$2:$AG$50,"?*"),23),14,FALSE)&lt;&gt;0,VLOOKUP(J34,OFFSET($AG$2,,,COUNTIF($AG$2:$AG$50,"?*"),23),14,FALSE),"?"),"")</f>
        <v/>
      </c>
      <c r="R36" s="44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4" t="str">
        <f ca="1">IFERROR(VLOOKUP(A34,OFFSET($S$45,,,COUNTIF($S$45:$S$50,"?*"),14),3,FALSE),"")</f>
        <v/>
      </c>
      <c r="B37" s="435"/>
      <c r="C37" s="436" t="str">
        <f ca="1">IFERROR(VLOOKUP(A34,OFFSET($S$45,,,COUNTIF($S$45:$S$50,"?*"),14),13,FALSE),"")</f>
        <v/>
      </c>
      <c r="D37" s="437"/>
      <c r="E37" s="438" t="str">
        <f ca="1">IFERROR(VLOOKUP(A34,OFFSET($AG$2,,,COUNTIF($AG$2:$AG$50,"?*"),23),19,FALSE),"")</f>
        <v/>
      </c>
      <c r="F37" s="439"/>
      <c r="H37" s="43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6" t="str">
        <f ca="1">IFERROR(IF(VLOOKUP(A34,OFFSET($AG$2,,,COUNTIF($AG$2:$AG$50,"?*"),23),13,FALSE)&lt;&gt;0,VLOOKUP(A34,OFFSET($AG$2,,,COUNTIF($AG$2:$AG$50,"?*"),23),13,FALSE),"?"),"")</f>
        <v/>
      </c>
      <c r="B38" s="427"/>
      <c r="C38" s="428"/>
      <c r="D38" s="429" t="str">
        <f ca="1">IFERROR(IF(VLOOKUP(A34,OFFSET($AG$2,,,COUNTIF($AG$2:$AG$50,"?*"),23),14,FALSE)&lt;&gt;0,VLOOKUP(A34,OFFSET($AG$2,,,COUNTIF($AG$2:$AG$50,"?*"),23),14,FALSE),"?"),"")</f>
        <v/>
      </c>
      <c r="E38" s="430"/>
      <c r="F38" s="19" t="str">
        <f ca="1">IFERROR(VLOOKUP(A34,OFFSET($S$45,,,COUNTIF($S$45:$S$50,"?*"),14),6,FALSE),"")</f>
        <v/>
      </c>
      <c r="H38" s="432"/>
      <c r="J38" s="421"/>
      <c r="K38" s="422"/>
      <c r="L38" s="422"/>
      <c r="M38" s="422"/>
      <c r="N38" s="422"/>
      <c r="O38" s="422"/>
      <c r="P38" s="42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2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4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1"/>
      <c r="B40" s="422"/>
      <c r="C40" s="422"/>
      <c r="D40" s="42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2"/>
      <c r="J40" s="18" t="str">
        <f ca="1">IFERROR(IF(VLOOKUP(J38,OFFSET($AG$2,,,COUNTIF($AG$2:$AG$50,"?*"),23),7,FALSE)&lt;&gt;0,VLOOKUP(J38,OFFSET($AG$2,,,COUNTIF($AG$2:$AG$50,"?*"),23),7,FALSE),"?"),"")</f>
        <v/>
      </c>
      <c r="K40" s="444" t="str">
        <f ca="1">IFERROR(VLOOKUP(J38,OFFSET($AG$2,,,COUNTIF($AG$2:$AG$50,"?*"),23),19,FALSE),"")</f>
        <v/>
      </c>
      <c r="L40" s="444"/>
      <c r="M40" s="444"/>
      <c r="N40" s="445" t="str">
        <f ca="1">IFERROR(IF(VLOOKUP(J38,OFFSET($AG$2,,,COUNTIF($AG$2:$AG$50,"?*"),23),13,FALSE)&lt;&gt;0,VLOOKUP(J38,OFFSET($AG$2,,,COUNTIF($AG$2:$AG$50,"?*"),23),13,FALSE),"?"),"")</f>
        <v/>
      </c>
      <c r="O40" s="445"/>
      <c r="P40" s="445"/>
      <c r="Q40" s="444" t="str">
        <f ca="1">IFERROR(IF(VLOOKUP(J38,OFFSET($AG$2,,,COUNTIF($AG$2:$AG$50,"?*"),23),14,FALSE)&lt;&gt;0,VLOOKUP(J38,OFFSET($AG$2,,,COUNTIF($AG$2:$AG$50,"?*"),23),14,FALSE),"?"),"")</f>
        <v/>
      </c>
      <c r="R40" s="44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15" t="str">
        <f ca="1">IFERROR(VLOOKUP(A40,OFFSET($AG$2,,,COUNTIF($AG$2:$AG$50,"?*"),23),16,FALSE),"")</f>
        <v/>
      </c>
      <c r="F41" s="416"/>
      <c r="H41" s="43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1" t="str">
        <f ca="1">IFERROR(VLOOKUP(A40,OFFSET($AG$2,,,COUNTIF($AG$2:$AG$50,"?*"),23),18,FALSE),"")</f>
        <v/>
      </c>
      <c r="C42" s="441"/>
      <c r="D42" s="442" t="str">
        <f ca="1">IFERROR(VLOOKUP(A40,OFFSET($S$45,,,COUNTIF($S$45:$S$50,"?*"),14),5,FALSE),"")</f>
        <v/>
      </c>
      <c r="E42" s="443"/>
      <c r="F42" s="17" t="str">
        <f ca="1">IFERROR(VLOOKUP(A40,OFFSET($S$45,,,COUNTIF($S$45:$S$50,"?*"),14),14,FALSE),"")</f>
        <v/>
      </c>
      <c r="H42" s="432"/>
      <c r="J42" s="421"/>
      <c r="K42" s="422"/>
      <c r="L42" s="422"/>
      <c r="M42" s="422"/>
      <c r="N42" s="422"/>
      <c r="O42" s="422"/>
      <c r="P42" s="42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4" t="str">
        <f ca="1">IFERROR(VLOOKUP(A40,OFFSET($S$45,,,COUNTIF($S$45:$S$50,"?*"),14),3,FALSE),"")</f>
        <v/>
      </c>
      <c r="B43" s="435"/>
      <c r="C43" s="436" t="str">
        <f ca="1">IFERROR(VLOOKUP(A40,OFFSET($S$45,,,COUNTIF($S$45:$S$50,"?*"),14),13,FALSE),"")</f>
        <v/>
      </c>
      <c r="D43" s="437"/>
      <c r="E43" s="438" t="str">
        <f ca="1">IFERROR(VLOOKUP(A40,OFFSET($AG$2,,,COUNTIF($AG$2:$AG$50,"?*"),23),19,FALSE),"")</f>
        <v/>
      </c>
      <c r="F43" s="439"/>
      <c r="H43" s="432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4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6" t="str">
        <f ca="1">IFERROR(IF(VLOOKUP(A40,OFFSET($AG$2,,,COUNTIF($AG$2:$AG$50,"?*"),23),13,FALSE)&lt;&gt;0,VLOOKUP(A40,OFFSET($AG$2,,,COUNTIF($AG$2:$AG$50,"?*"),23),13,FALSE),"?"),"")</f>
        <v/>
      </c>
      <c r="B44" s="427"/>
      <c r="C44" s="428"/>
      <c r="D44" s="429" t="str">
        <f ca="1">IFERROR(IF(VLOOKUP(A40,OFFSET($AG$2,,,COUNTIF($AG$2:$AG$50,"?*"),23),14,FALSE)&lt;&gt;0,VLOOKUP(A40,OFFSET($AG$2,,,COUNTIF($AG$2:$AG$50,"?*"),23),14,FALSE),"?"),"")</f>
        <v/>
      </c>
      <c r="E44" s="430"/>
      <c r="F44" s="19" t="str">
        <f ca="1">IFERROR(VLOOKUP(A40,OFFSET($S$45,,,COUNTIF($S$45:$S$50,"?*"),14),6,FALSE),"")</f>
        <v/>
      </c>
      <c r="H44" s="432"/>
      <c r="J44" s="18" t="str">
        <f ca="1">IFERROR(IF(VLOOKUP(J42,OFFSET($AG$2,,,COUNTIF($AG$2:$AG$50,"?*"),23),7,FALSE)&lt;&gt;0,VLOOKUP(J42,OFFSET($AG$2,,,COUNTIF($AG$2:$AG$50,"?*"),23),7,FALSE),"?"),"")</f>
        <v/>
      </c>
      <c r="K44" s="444" t="str">
        <f ca="1">IFERROR(VLOOKUP(J42,OFFSET($AG$2,,,COUNTIF($AG$2:$AG$50,"?*"),23),19,FALSE),"")</f>
        <v/>
      </c>
      <c r="L44" s="444"/>
      <c r="M44" s="444"/>
      <c r="N44" s="445" t="str">
        <f ca="1">IFERROR(IF(VLOOKUP(J42,OFFSET($AG$2,,,COUNTIF($AG$2:$AG$50,"?*"),23),13,FALSE)&lt;&gt;0,VLOOKUP(J42,OFFSET($AG$2,,,COUNTIF($AG$2:$AG$50,"?*"),23),13,FALSE),"?"),"")</f>
        <v/>
      </c>
      <c r="O44" s="445"/>
      <c r="P44" s="445"/>
      <c r="Q44" s="444" t="str">
        <f ca="1">IFERROR(IF(VLOOKUP(J42,OFFSET($AG$2,,,COUNTIF($AG$2:$AG$50,"?*"),23),14,FALSE)&lt;&gt;0,VLOOKUP(J42,OFFSET($AG$2,,,COUNTIF($AG$2:$AG$50,"?*"),23),14,FALSE),"?"),"")</f>
        <v/>
      </c>
      <c r="R44" s="446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1"/>
      <c r="B47" s="462"/>
      <c r="C47" s="462"/>
      <c r="D47" s="462"/>
      <c r="E47" s="457" t="str">
        <f ca="1">IFERROR(VLOOKUP(A47,OFFSET($BN$2,,,COUNTIF($BN$2:$BN$11,"?*"),5),3,FALSE),"")</f>
        <v/>
      </c>
      <c r="F47" s="457"/>
      <c r="G47" s="457"/>
      <c r="H47" s="457"/>
      <c r="I47" s="458"/>
      <c r="J47" s="461"/>
      <c r="K47" s="462"/>
      <c r="L47" s="462"/>
      <c r="M47" s="462"/>
      <c r="N47" s="457" t="str">
        <f ca="1">IFERROR(VLOOKUP(J47,OFFSET($BN$2,,,COUNTIF($BN$2:$BN$11,"?*"),5),3,FALSE),"")</f>
        <v/>
      </c>
      <c r="O47" s="457"/>
      <c r="P47" s="457"/>
      <c r="Q47" s="457"/>
      <c r="R47" s="458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47" t="str">
        <f ca="1">IFERROR(VLOOKUP(A47,OFFSET($BN$2,,,COUNTIF($BN$2:$BN$11,"?*"),5),5,FALSE),"")</f>
        <v/>
      </c>
      <c r="B48" s="449" t="str">
        <f ca="1">IFERROR(IF(VLOOKUP(A47,OFFSET($BN$2,,,COUNTIF($BN$2:$BN$11,"?*"),5),4,FALSE)&lt;&gt;0,VLOOKUP(A47,OFFSET($BN$2,,,COUNTIF($BN$2:$BN$11,"?*"),5),4,FALSE),"-"),"")</f>
        <v/>
      </c>
      <c r="C48" s="449"/>
      <c r="D48" s="449"/>
      <c r="E48" s="449"/>
      <c r="F48" s="449"/>
      <c r="G48" s="449"/>
      <c r="H48" s="449"/>
      <c r="I48" s="450"/>
      <c r="J48" s="119" t="str">
        <f ca="1">IFERROR(VLOOKUP(J47,OFFSET($BN$2,,,COUNTIF($BN$2:$BN$11,"?*"),5),5,FALSE),"")</f>
        <v/>
      </c>
      <c r="K48" s="453" t="str">
        <f ca="1">IFERROR(IF(VLOOKUP(J47,OFFSET($BN$2,,,COUNTIF($BN$2:$BN$11,"?*"),5),4,FALSE)&lt;&gt;0,VLOOKUP(J47,OFFSET($BN$2,,,COUNTIF($BN$2:$BN$11,"?*"),5),4,FALSE),"-"),"")</f>
        <v/>
      </c>
      <c r="L48" s="453"/>
      <c r="M48" s="453"/>
      <c r="N48" s="453"/>
      <c r="O48" s="453"/>
      <c r="P48" s="453"/>
      <c r="Q48" s="453"/>
      <c r="R48" s="454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47"/>
      <c r="B49" s="449"/>
      <c r="C49" s="449"/>
      <c r="D49" s="449"/>
      <c r="E49" s="449"/>
      <c r="F49" s="449"/>
      <c r="G49" s="449"/>
      <c r="H49" s="449"/>
      <c r="I49" s="450"/>
      <c r="J49" s="455"/>
      <c r="K49" s="456"/>
      <c r="L49" s="456"/>
      <c r="M49" s="456"/>
      <c r="N49" s="457" t="str">
        <f ca="1">IFERROR(VLOOKUP(J49,OFFSET($BN$2,,,COUNTIF($BN$2:$BN$11,"?*"),5),3,FALSE),"")</f>
        <v/>
      </c>
      <c r="O49" s="457"/>
      <c r="P49" s="457"/>
      <c r="Q49" s="457"/>
      <c r="R49" s="458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48"/>
      <c r="B50" s="451"/>
      <c r="C50" s="451"/>
      <c r="D50" s="451"/>
      <c r="E50" s="451"/>
      <c r="F50" s="451"/>
      <c r="G50" s="451"/>
      <c r="H50" s="451"/>
      <c r="I50" s="452"/>
      <c r="J50" s="119" t="str">
        <f ca="1">IFERROR(VLOOKUP(J49,OFFSET($BN$2,,,COUNTIF($BN$2:$BN$11,"?*"),5),5,FALSE),"")</f>
        <v/>
      </c>
      <c r="K50" s="453" t="str">
        <f ca="1">IFERROR(IF(VLOOKUP(J49,OFFSET($BN$2,,,COUNTIF($BN$2:$BN$11,"?*"),5),4,FALSE)&lt;&gt;0,VLOOKUP(J49,OFFSET($BN$2,,,COUNTIF($BN$2:$BN$11,"?*"),5),4,FALSE),"-"),"")</f>
        <v/>
      </c>
      <c r="L50" s="453"/>
      <c r="M50" s="453"/>
      <c r="N50" s="453"/>
      <c r="O50" s="453"/>
      <c r="P50" s="453"/>
      <c r="Q50" s="453"/>
      <c r="R50" s="45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2021-10-31T14:37:37Z</cp:lastPrinted>
  <dcterms:created xsi:type="dcterms:W3CDTF">2021-09-13T20:56:50Z</dcterms:created>
  <dcterms:modified xsi:type="dcterms:W3CDTF">2021-10-31T14:38:13Z</dcterms:modified>
</cp:coreProperties>
</file>