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priprava_BOH!$S$2:$AB$25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priprava_CLP!$S$2:$AB$23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priprava_CHO!$S$2:$AB$26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priprava_OTR!$S$2:$AB$24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priprava_SKV!$S$2:$AB$25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priprava_SPA!$S$2:$AB$22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priprava_TAT!$S$2:$AB$25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2" i="14" l="1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18" i="19"/>
  <c r="G9" i="19"/>
  <c r="A8" i="19"/>
  <c r="G10" i="19"/>
  <c r="G27" i="19"/>
  <c r="A24" i="19"/>
  <c r="A11" i="19"/>
  <c r="A21" i="19"/>
  <c r="G29" i="19"/>
  <c r="A30" i="19"/>
  <c r="G15" i="19"/>
  <c r="A27" i="19"/>
  <c r="G22" i="19"/>
  <c r="A13" i="19"/>
  <c r="G17" i="19"/>
  <c r="A16" i="19"/>
  <c r="G24" i="19"/>
  <c r="A29" i="19"/>
  <c r="A31" i="19"/>
  <c r="G13" i="19"/>
  <c r="G11" i="19"/>
  <c r="G20" i="19"/>
  <c r="G31" i="19"/>
  <c r="G8" i="19"/>
  <c r="G30" i="19"/>
  <c r="G25" i="19"/>
  <c r="G21" i="19"/>
  <c r="A26" i="19"/>
  <c r="G12" i="19"/>
  <c r="G23" i="19"/>
  <c r="G19" i="19"/>
  <c r="G14" i="19"/>
  <c r="A23" i="19"/>
  <c r="G16" i="19"/>
  <c r="A25" i="19"/>
  <c r="G26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J27" i="19"/>
  <c r="L25" i="19"/>
  <c r="F16" i="19"/>
  <c r="C23" i="19"/>
  <c r="K30" i="19"/>
  <c r="J13" i="19"/>
  <c r="B31" i="19"/>
  <c r="K21" i="19"/>
  <c r="A20" i="19"/>
  <c r="B24" i="19"/>
  <c r="D13" i="19"/>
  <c r="J21" i="19"/>
  <c r="B30" i="19"/>
  <c r="D24" i="19"/>
  <c r="J12" i="19"/>
  <c r="J10" i="19"/>
  <c r="K17" i="19"/>
  <c r="E21" i="19"/>
  <c r="D8" i="19"/>
  <c r="K23" i="19"/>
  <c r="E13" i="19"/>
  <c r="C31" i="19"/>
  <c r="K20" i="19"/>
  <c r="H22" i="19"/>
  <c r="D29" i="19"/>
  <c r="E11" i="19"/>
  <c r="H13" i="19"/>
  <c r="B16" i="19"/>
  <c r="L11" i="19"/>
  <c r="H10" i="19"/>
  <c r="K26" i="19"/>
  <c r="A15" i="19"/>
  <c r="I11" i="19"/>
  <c r="L12" i="19"/>
  <c r="A22" i="19"/>
  <c r="L9" i="19"/>
  <c r="H19" i="19"/>
  <c r="F11" i="19"/>
  <c r="L15" i="19"/>
  <c r="L10" i="19"/>
  <c r="B13" i="19"/>
  <c r="E29" i="19"/>
  <c r="A17" i="19"/>
  <c r="K29" i="19"/>
  <c r="I31" i="19"/>
  <c r="E30" i="19"/>
  <c r="C21" i="19"/>
  <c r="H29" i="19"/>
  <c r="J24" i="19"/>
  <c r="H12" i="19"/>
  <c r="J15" i="19"/>
  <c r="K18" i="19"/>
  <c r="J9" i="19"/>
  <c r="D11" i="19"/>
  <c r="L23" i="19"/>
  <c r="H16" i="19"/>
  <c r="A18" i="19"/>
  <c r="L22" i="19"/>
  <c r="H8" i="19"/>
  <c r="C26" i="19"/>
  <c r="J11" i="19"/>
  <c r="E8" i="19"/>
  <c r="C30" i="19"/>
  <c r="I8" i="19"/>
  <c r="I19" i="19"/>
  <c r="C13" i="19"/>
  <c r="D26" i="19"/>
  <c r="I30" i="19"/>
  <c r="H14" i="19"/>
  <c r="B29" i="19"/>
  <c r="H20" i="19"/>
  <c r="B23" i="19"/>
  <c r="I12" i="19"/>
  <c r="J25" i="19"/>
  <c r="L8" i="19"/>
  <c r="L13" i="19"/>
  <c r="I14" i="19"/>
  <c r="I24" i="19"/>
  <c r="H21" i="19"/>
  <c r="I13" i="19"/>
  <c r="C25" i="19"/>
  <c r="K9" i="19"/>
  <c r="J22" i="19"/>
  <c r="F31" i="19"/>
  <c r="C11" i="19"/>
  <c r="A9" i="19"/>
  <c r="L30" i="19"/>
  <c r="K27" i="19"/>
  <c r="H25" i="19"/>
  <c r="I9" i="19"/>
  <c r="F23" i="19"/>
  <c r="K10" i="19"/>
  <c r="J19" i="19"/>
  <c r="H27" i="19"/>
  <c r="I10" i="19"/>
  <c r="I22" i="19"/>
  <c r="K14" i="19"/>
  <c r="B27" i="19"/>
  <c r="J18" i="19"/>
  <c r="I27" i="19"/>
  <c r="L31" i="19"/>
  <c r="K19" i="19"/>
  <c r="L18" i="19"/>
  <c r="K16" i="19"/>
  <c r="L24" i="19"/>
  <c r="I23" i="19"/>
  <c r="H23" i="19"/>
  <c r="E24" i="19"/>
  <c r="F8" i="19"/>
  <c r="K22" i="19"/>
  <c r="E27" i="19"/>
  <c r="J20" i="19"/>
  <c r="C16" i="19"/>
  <c r="I18" i="19"/>
  <c r="I20" i="19"/>
  <c r="L26" i="19"/>
  <c r="B8" i="19"/>
  <c r="D31" i="19"/>
  <c r="J17" i="19"/>
  <c r="H26" i="19"/>
  <c r="K24" i="19"/>
  <c r="A14" i="19"/>
  <c r="E25" i="19"/>
  <c r="F24" i="19"/>
  <c r="I17" i="19"/>
  <c r="L29" i="19"/>
  <c r="J23" i="19"/>
  <c r="C27" i="19"/>
  <c r="H18" i="19"/>
  <c r="E16" i="19"/>
  <c r="L16" i="19"/>
  <c r="L17" i="19"/>
  <c r="B11" i="19"/>
  <c r="I21" i="19"/>
  <c r="D16" i="19"/>
  <c r="K13" i="19"/>
  <c r="A19" i="19"/>
  <c r="D23" i="19"/>
  <c r="F27" i="19"/>
  <c r="J31" i="19"/>
  <c r="F29" i="19"/>
  <c r="I16" i="19"/>
  <c r="F25" i="19"/>
  <c r="B21" i="19"/>
  <c r="H31" i="19"/>
  <c r="I25" i="19"/>
  <c r="F30" i="19"/>
  <c r="L21" i="19"/>
  <c r="H15" i="19"/>
  <c r="E23" i="19"/>
  <c r="A12" i="19"/>
  <c r="D21" i="19"/>
  <c r="I15" i="19"/>
  <c r="J26" i="19"/>
  <c r="H11" i="19"/>
  <c r="H30" i="19"/>
  <c r="B26" i="19"/>
  <c r="J29" i="19"/>
  <c r="K12" i="19"/>
  <c r="K31" i="19"/>
  <c r="L20" i="19"/>
  <c r="F26" i="19"/>
  <c r="J16" i="19"/>
  <c r="L27" i="19"/>
  <c r="A10" i="19"/>
  <c r="D30" i="19"/>
  <c r="K15" i="19"/>
  <c r="K25" i="19"/>
  <c r="J8" i="19"/>
  <c r="H17" i="19"/>
  <c r="D25" i="19"/>
  <c r="C24" i="19"/>
  <c r="H9" i="19"/>
  <c r="E31" i="19"/>
  <c r="L19" i="19"/>
  <c r="K11" i="19"/>
  <c r="F21" i="19"/>
  <c r="J30" i="19"/>
  <c r="E26" i="19"/>
  <c r="C8" i="19"/>
  <c r="J14" i="19"/>
  <c r="I29" i="19"/>
  <c r="H24" i="19"/>
  <c r="I26" i="19"/>
  <c r="C29" i="19"/>
  <c r="B25" i="19"/>
  <c r="F13" i="19"/>
  <c r="L14" i="19"/>
  <c r="D27" i="19"/>
  <c r="K8" i="19"/>
  <c r="K45" i="3" l="1"/>
  <c r="O45" i="3"/>
  <c r="P45" i="3"/>
  <c r="K46" i="3"/>
  <c r="O46" i="3"/>
  <c r="P46" i="3"/>
  <c r="K47" i="3"/>
  <c r="O47" i="3"/>
  <c r="P47" i="3"/>
  <c r="K48" i="3"/>
  <c r="O48" i="3"/>
  <c r="P48" i="3"/>
  <c r="C15" i="19"/>
  <c r="F9" i="19"/>
  <c r="F18" i="19"/>
  <c r="F12" i="19"/>
  <c r="B18" i="19"/>
  <c r="C9" i="19"/>
  <c r="E14" i="19"/>
  <c r="D17" i="19"/>
  <c r="E10" i="19"/>
  <c r="E19" i="19"/>
  <c r="C14" i="19"/>
  <c r="B17" i="19"/>
  <c r="F10" i="19"/>
  <c r="E22" i="19"/>
  <c r="D22" i="19"/>
  <c r="C17" i="19"/>
  <c r="C12" i="19"/>
  <c r="C18" i="19"/>
  <c r="F15" i="19"/>
  <c r="C20" i="19"/>
  <c r="B20" i="19"/>
  <c r="D15" i="19"/>
  <c r="F20" i="19"/>
  <c r="D20" i="19"/>
  <c r="F22" i="19"/>
  <c r="E20" i="19"/>
  <c r="E17" i="19"/>
  <c r="D19" i="19"/>
  <c r="B15" i="19"/>
  <c r="E15" i="19"/>
  <c r="E18" i="19"/>
  <c r="B14" i="19"/>
  <c r="B19" i="19"/>
  <c r="D9" i="19"/>
  <c r="E9" i="19"/>
  <c r="C19" i="19"/>
  <c r="F17" i="19"/>
  <c r="B22" i="19"/>
  <c r="F19" i="19"/>
  <c r="C10" i="19"/>
  <c r="C22" i="19"/>
  <c r="D10" i="19"/>
  <c r="B10" i="19"/>
  <c r="D14" i="19"/>
  <c r="E12" i="19"/>
  <c r="B12" i="19"/>
  <c r="D18" i="19"/>
  <c r="D12" i="19"/>
  <c r="F14" i="19"/>
  <c r="B9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F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C37" i="14"/>
  <c r="A37" i="14"/>
  <c r="BF36" i="14"/>
  <c r="BD36" i="14"/>
  <c r="AX36" i="14"/>
  <c r="AV41" i="14"/>
  <c r="AU41" i="14"/>
  <c r="AC36" i="14"/>
  <c r="F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K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AU18" i="14"/>
  <c r="J26" i="14" s="1"/>
  <c r="AL18" i="14"/>
  <c r="AC18" i="14"/>
  <c r="Q18" i="14"/>
  <c r="N18" i="14"/>
  <c r="M18" i="14"/>
  <c r="B18" i="14"/>
  <c r="A18" i="14"/>
  <c r="BW17" i="14"/>
  <c r="BV17" i="14"/>
  <c r="BF17" i="14"/>
  <c r="BD17" i="14"/>
  <c r="AX17" i="14"/>
  <c r="G5" i="14" s="1"/>
  <c r="AV17" i="14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AU29" i="14"/>
  <c r="D7" i="14" s="1"/>
  <c r="AC13" i="14"/>
  <c r="Q13" i="14"/>
  <c r="N13" i="14"/>
  <c r="M13" i="14"/>
  <c r="E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AU30" i="14"/>
  <c r="D13" i="14" s="1"/>
  <c r="AC7" i="14"/>
  <c r="Q7" i="14"/>
  <c r="N7" i="14"/>
  <c r="M7" i="14"/>
  <c r="E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K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Q2" i="14"/>
  <c r="N2" i="14"/>
  <c r="M2" i="14"/>
  <c r="B2" i="14"/>
  <c r="A2" i="14"/>
  <c r="R1" i="14"/>
  <c r="Q1" i="14"/>
  <c r="F1" i="14"/>
  <c r="E1" i="14"/>
  <c r="A8" i="14" l="1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X38" i="11"/>
  <c r="AW38" i="11"/>
  <c r="AV38" i="11"/>
  <c r="AU38" i="11"/>
  <c r="AL38" i="11"/>
  <c r="AY38" i="11" s="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X37" i="11"/>
  <c r="AW37" i="11"/>
  <c r="AV37" i="11"/>
  <c r="AU37" i="11"/>
  <c r="AL37" i="11"/>
  <c r="AY37" i="11" s="1"/>
  <c r="AC37" i="11"/>
  <c r="E37" i="11"/>
  <c r="C37" i="11"/>
  <c r="A37" i="11"/>
  <c r="BF36" i="11"/>
  <c r="BD36" i="11"/>
  <c r="BE36" i="11" s="1"/>
  <c r="AX36" i="11"/>
  <c r="AV36" i="11"/>
  <c r="AU36" i="11"/>
  <c r="AL36" i="11"/>
  <c r="AY36" i="11" s="1"/>
  <c r="AC36" i="11"/>
  <c r="F36" i="11"/>
  <c r="D36" i="11"/>
  <c r="B36" i="11"/>
  <c r="A36" i="11"/>
  <c r="BF35" i="11"/>
  <c r="BD35" i="11"/>
  <c r="AX35" i="11"/>
  <c r="AV35" i="11"/>
  <c r="AU35" i="11"/>
  <c r="AL35" i="11"/>
  <c r="AY35" i="11" s="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X31" i="11"/>
  <c r="AV31" i="11"/>
  <c r="AU31" i="11"/>
  <c r="AL31" i="11"/>
  <c r="AY31" i="11" s="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B3" i="5"/>
  <c r="I8" i="5"/>
  <c r="M8" i="5"/>
  <c r="E8" i="5"/>
  <c r="J8" i="5"/>
  <c r="K8" i="5"/>
  <c r="D8" i="5"/>
  <c r="H8" i="5"/>
  <c r="L8" i="5"/>
  <c r="B8" i="5"/>
  <c r="C8" i="5"/>
  <c r="G8" i="5"/>
  <c r="N8" i="5"/>
  <c r="O8" i="5"/>
  <c r="F8" i="5"/>
  <c r="K36" i="14" l="1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31" i="14" l="1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30" i="14" l="1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31" i="14" l="1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30" i="14" l="1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AW23" i="14" l="1"/>
  <c r="AW26" i="14"/>
  <c r="BL8" i="9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H6" i="5"/>
  <c r="E6" i="5"/>
  <c r="J4" i="5"/>
  <c r="G6" i="5"/>
  <c r="C4" i="5"/>
  <c r="N6" i="5"/>
  <c r="J6" i="5"/>
  <c r="I6" i="5"/>
  <c r="N4" i="5"/>
  <c r="B4" i="5"/>
  <c r="D4" i="5"/>
  <c r="M4" i="5"/>
  <c r="O6" i="5"/>
  <c r="B6" i="5"/>
  <c r="K4" i="5"/>
  <c r="I4" i="5"/>
  <c r="C6" i="5"/>
  <c r="E4" i="5"/>
  <c r="G4" i="5"/>
  <c r="K6" i="5"/>
  <c r="M6" i="5"/>
  <c r="D6" i="5"/>
  <c r="H4" i="5"/>
  <c r="F4" i="5"/>
  <c r="O4" i="5"/>
  <c r="L6" i="5"/>
  <c r="F6" i="5"/>
  <c r="L4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C43" i="4" s="1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I5" i="5"/>
  <c r="K2" i="5"/>
  <c r="E7" i="5"/>
  <c r="B5" i="5"/>
  <c r="G7" i="5"/>
  <c r="O3" i="5"/>
  <c r="L5" i="5"/>
  <c r="H3" i="5"/>
  <c r="L7" i="5"/>
  <c r="D2" i="5"/>
  <c r="H7" i="5"/>
  <c r="O2" i="5"/>
  <c r="N2" i="5"/>
  <c r="I3" i="5"/>
  <c r="J2" i="5"/>
  <c r="J7" i="5"/>
  <c r="D7" i="5"/>
  <c r="C3" i="5"/>
  <c r="M3" i="5"/>
  <c r="O7" i="5"/>
  <c r="O5" i="5"/>
  <c r="H5" i="5"/>
  <c r="L3" i="5"/>
  <c r="K3" i="5"/>
  <c r="E3" i="5"/>
  <c r="C7" i="5"/>
  <c r="F5" i="5"/>
  <c r="E5" i="5"/>
  <c r="G5" i="5"/>
  <c r="C2" i="5"/>
  <c r="H2" i="5"/>
  <c r="M5" i="5"/>
  <c r="E2" i="5"/>
  <c r="N5" i="5"/>
  <c r="F3" i="5"/>
  <c r="D5" i="5"/>
  <c r="K7" i="5"/>
  <c r="J5" i="5"/>
  <c r="B2" i="5"/>
  <c r="N3" i="5"/>
  <c r="M2" i="5"/>
  <c r="N7" i="5"/>
  <c r="I2" i="5"/>
  <c r="K5" i="5"/>
  <c r="I7" i="5"/>
  <c r="G2" i="5"/>
  <c r="L2" i="5"/>
  <c r="F7" i="5"/>
  <c r="C5" i="5"/>
  <c r="B7" i="5"/>
  <c r="M7" i="5"/>
  <c r="F2" i="5"/>
  <c r="D3" i="5"/>
  <c r="J3" i="5"/>
  <c r="G3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5" i="3"/>
  <c r="P29" i="3"/>
  <c r="E15" i="3"/>
  <c r="M30" i="3"/>
  <c r="N13" i="3"/>
  <c r="A14" i="3"/>
  <c r="E13" i="3"/>
  <c r="E12" i="3"/>
  <c r="G30" i="3"/>
  <c r="N12" i="3"/>
  <c r="C8" i="3"/>
  <c r="L8" i="3"/>
  <c r="D29" i="3"/>
  <c r="A11" i="3"/>
  <c r="A13" i="3"/>
  <c r="N11" i="3"/>
  <c r="D28" i="3"/>
  <c r="G29" i="3"/>
  <c r="J13" i="3"/>
  <c r="D30" i="3"/>
  <c r="E11" i="3"/>
  <c r="J14" i="3"/>
  <c r="P30" i="3"/>
  <c r="E14" i="3"/>
  <c r="N15" i="3"/>
  <c r="J15" i="3"/>
  <c r="N14" i="3"/>
  <c r="M29" i="3"/>
  <c r="J12" i="3"/>
  <c r="A12" i="3"/>
  <c r="G28" i="3"/>
  <c r="J11" i="3"/>
  <c r="K15" i="1" l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C15" i="3"/>
  <c r="G11" i="3"/>
  <c r="J30" i="3"/>
  <c r="J28" i="3"/>
  <c r="M22" i="3"/>
  <c r="P26" i="3"/>
  <c r="G13" i="3"/>
  <c r="G15" i="3"/>
  <c r="C14" i="3"/>
  <c r="C11" i="3"/>
  <c r="L14" i="3"/>
  <c r="P15" i="3"/>
  <c r="G12" i="3"/>
  <c r="P23" i="3"/>
  <c r="J23" i="3"/>
  <c r="P12" i="3"/>
  <c r="P14" i="3"/>
  <c r="P22" i="3"/>
  <c r="P11" i="3"/>
  <c r="L11" i="3"/>
  <c r="P13" i="3"/>
  <c r="L13" i="3"/>
  <c r="M26" i="3"/>
  <c r="M23" i="3"/>
  <c r="L15" i="3"/>
  <c r="G14" i="3"/>
  <c r="C12" i="3"/>
  <c r="L12" i="3"/>
  <c r="C13" i="3"/>
  <c r="F36" i="1" l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BC4" i="2"/>
  <c r="BC15" i="2"/>
  <c r="A5" i="3" s="1"/>
  <c r="BC11" i="2"/>
  <c r="BC7" i="2"/>
  <c r="L28" i="3"/>
  <c r="R26" i="3"/>
  <c r="R23" i="3"/>
  <c r="L30" i="3"/>
  <c r="O23" i="3"/>
  <c r="G19" i="3"/>
  <c r="A30" i="3"/>
  <c r="R22" i="3"/>
  <c r="O22" i="3"/>
  <c r="L23" i="3"/>
  <c r="O26" i="3"/>
  <c r="Q6" i="3" l="1"/>
  <c r="J5" i="3"/>
  <c r="R6" i="3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A27" i="3"/>
  <c r="D20" i="3"/>
  <c r="G20" i="3"/>
  <c r="A26" i="3"/>
  <c r="P19" i="3"/>
  <c r="A20" i="3"/>
  <c r="C30" i="3"/>
  <c r="J26" i="3"/>
  <c r="A21" i="3"/>
  <c r="J19" i="3"/>
  <c r="M20" i="3"/>
  <c r="J22" i="3"/>
  <c r="G23" i="3"/>
  <c r="I19" i="3"/>
  <c r="J27" i="3"/>
  <c r="J29" i="3"/>
  <c r="P20" i="3"/>
  <c r="J21" i="3"/>
  <c r="J20" i="3"/>
  <c r="D21" i="3"/>
  <c r="M21" i="3"/>
  <c r="M19" i="3"/>
  <c r="P21" i="3"/>
  <c r="A22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C26" i="3"/>
  <c r="O21" i="3"/>
  <c r="A29" i="3"/>
  <c r="L27" i="3"/>
  <c r="D22" i="3"/>
  <c r="I23" i="3"/>
  <c r="C21" i="3"/>
  <c r="L20" i="3"/>
  <c r="L26" i="3"/>
  <c r="L21" i="3"/>
  <c r="G21" i="3"/>
  <c r="I20" i="3"/>
  <c r="D23" i="3"/>
  <c r="C22" i="3"/>
  <c r="L29" i="3"/>
  <c r="R20" i="3"/>
  <c r="C27" i="3"/>
  <c r="O20" i="3"/>
  <c r="A19" i="3"/>
  <c r="G22" i="3"/>
  <c r="D19" i="3"/>
  <c r="L22" i="3"/>
  <c r="G26" i="3"/>
  <c r="R21" i="3"/>
  <c r="R19" i="3"/>
  <c r="A28" i="3"/>
  <c r="L19" i="3"/>
  <c r="C20" i="3"/>
  <c r="F21" i="3"/>
  <c r="F20" i="3"/>
  <c r="O19" i="3"/>
  <c r="D26" i="3"/>
  <c r="A23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C29" i="3"/>
  <c r="I21" i="3"/>
  <c r="C23" i="3"/>
  <c r="I22" i="3"/>
  <c r="F23" i="3"/>
  <c r="F19" i="3"/>
  <c r="F26" i="3"/>
  <c r="C19" i="3"/>
  <c r="F22" i="3"/>
  <c r="C28" i="3"/>
  <c r="I26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8" i="3"/>
  <c r="P28" i="3"/>
  <c r="M27" i="3"/>
  <c r="P27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<sst xmlns="http://schemas.openxmlformats.org/spreadsheetml/2006/main" count="4049" uniqueCount="1334">
  <si>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</si>
  <si>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</si>
  <si>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</si>
  <si>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</si>
  <si>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</si>
  <si>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</si>
  <si>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</si>
  <si>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</si>
  <si>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</si>
  <si>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</si>
  <si>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</si>
  <si>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</si>
  <si>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</si>
  <si>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</si>
  <si>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</si>
  <si>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</si>
  <si>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</si>
  <si>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</si>
  <si>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</si>
  <si>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</si>
  <si>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</si>
  <si>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</si>
  <si>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</si>
  <si>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</si>
  <si>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</si>
  <si>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</si>
  <si>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</si>
  <si>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</si>
  <si>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</si>
  <si>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</si>
  <si>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</si>
  <si>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</si>
  <si>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</si>
  <si>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</si>
  <si>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</si>
  <si>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</si>
  <si>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</si>
  <si>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</si>
  <si>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</si>
  <si>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</si>
  <si>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</si>
  <si>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</si>
  <si>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</si>
  <si>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</si>
  <si>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</si>
  <si>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</si>
  <si>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</si>
  <si>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</si>
  <si>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</si>
  <si>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</si>
  <si>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</si>
  <si>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</si>
  <si>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</si>
  <si>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</si>
  <si>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</si>
  <si>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</si>
  <si>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</si>
  <si>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</si>
  <si>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</si>
  <si>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</si>
  <si>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</si>
  <si>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</si>
  <si>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</si>
  <si>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</si>
  <si>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</si>
  <si>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</si>
  <si>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</si>
  <si>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</si>
  <si>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</si>
  <si>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</si>
  <si>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</si>
  <si>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</si>
  <si>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</si>
  <si>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</si>
  <si>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</si>
  <si>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</si>
  <si>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</si>
  <si>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</si>
  <si>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</si>
  <si>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</si>
  <si>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</si>
  <si>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</si>
  <si>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</si>
  <si>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</si>
  <si>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</si>
  <si>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</si>
  <si>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</si>
  <si>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</si>
  <si>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</si>
  <si>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</si>
  <si>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</si>
  <si>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</si>
  <si>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</si>
  <si>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</si>
  <si>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</si>
  <si>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</si>
  <si>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</si>
  <si>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</si>
  <si>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</si>
  <si>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</si>
  <si>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</si>
  <si>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</si>
  <si>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</si>
  <si>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</si>
  <si>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</si>
  <si>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</si>
  <si>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</si>
  <si>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</si>
  <si>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</si>
  <si>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</si>
  <si>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</si>
  <si>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</si>
  <si>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</si>
  <si>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7:6p</t>
  </si>
  <si>
    <t>2019/2020</t>
  </si>
  <si>
    <t>2018/2019</t>
  </si>
  <si>
    <t>5:6p</t>
  </si>
  <si>
    <t>11:4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</si>
  <si>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</si>
  <si>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</si>
  <si>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</si>
  <si>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</si>
  <si>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</si>
  <si>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</si>
  <si>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</si>
  <si>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</si>
  <si>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</si>
  <si>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</si>
  <si>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</si>
  <si>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</si>
  <si>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</si>
  <si>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</si>
  <si>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</si>
  <si>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</si>
  <si>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</si>
  <si>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</si>
  <si>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</si>
  <si>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</si>
  <si>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</si>
  <si>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</si>
  <si>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</si>
  <si>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</si>
  <si>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</si>
  <si>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</si>
  <si>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</si>
  <si>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</si>
  <si>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</si>
  <si>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</si>
  <si>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</si>
  <si>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</si>
  <si>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</si>
  <si>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</si>
  <si>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</si>
  <si>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</si>
  <si>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</si>
  <si>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</si>
  <si>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</si>
  <si>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</si>
  <si>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</si>
  <si>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</si>
  <si>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</si>
  <si>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</si>
  <si>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</si>
  <si>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</si>
  <si>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</si>
  <si>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</si>
  <si>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</si>
  <si>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</si>
  <si>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</si>
  <si>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</si>
  <si>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</si>
  <si>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</si>
  <si>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</si>
  <si>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</si>
  <si>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</si>
  <si>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</si>
  <si>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</si>
  <si>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</si>
  <si>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</si>
  <si>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</si>
  <si>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</si>
  <si>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</si>
  <si>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</si>
  <si>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</si>
  <si>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</si>
  <si>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</si>
  <si>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</si>
  <si>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</si>
  <si>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</si>
  <si>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</si>
  <si>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</si>
  <si>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</si>
  <si>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</si>
  <si>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</si>
  <si>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</si>
  <si>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</si>
  <si>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</si>
  <si>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</si>
  <si>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</si>
  <si>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</si>
  <si>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</si>
  <si>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</si>
  <si>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</si>
  <si>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</si>
  <si>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</si>
  <si>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</si>
  <si>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</si>
  <si>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</si>
  <si>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</si>
  <si>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</si>
  <si>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</si>
  <si>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</si>
  <si>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</si>
  <si>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</si>
  <si>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</si>
  <si>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</si>
  <si>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</si>
  <si>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</si>
  <si>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</si>
  <si>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</si>
  <si>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</si>
  <si>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</si>
  <si>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</si>
  <si>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</si>
  <si>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</si>
  <si>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</si>
  <si>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</si>
  <si>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</si>
  <si>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</si>
  <si>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</si>
  <si>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</si>
  <si>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</si>
  <si>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</si>
  <si>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</si>
  <si>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</si>
  <si>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</si>
  <si>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</si>
  <si>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</si>
  <si>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</si>
  <si>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</si>
  <si>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</si>
  <si>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</si>
  <si>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</si>
  <si>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</si>
  <si>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</si>
  <si>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</si>
  <si>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</si>
  <si>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</si>
  <si>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</si>
  <si>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</si>
  <si>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</si>
  <si>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</si>
  <si>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</si>
  <si>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</si>
  <si>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</si>
  <si>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</si>
  <si>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</si>
  <si>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</si>
  <si>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</si>
  <si>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</si>
  <si>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</si>
  <si>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</si>
  <si>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</si>
  <si>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</si>
  <si>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</si>
  <si>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11. 9.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</si>
  <si>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</si>
  <si>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</si>
  <si>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</si>
  <si>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</si>
  <si>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</si>
  <si>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</si>
  <si>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</si>
  <si>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</si>
  <si>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</si>
  <si>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</si>
  <si>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</si>
  <si>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</si>
  <si>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</si>
  <si>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</si>
  <si>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</si>
  <si>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</si>
  <si>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</si>
  <si>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</si>
  <si>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</si>
  <si>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</si>
  <si>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</si>
  <si>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</si>
  <si>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</si>
  <si>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</si>
  <si>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</si>
  <si>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</si>
  <si>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</si>
  <si>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</si>
  <si>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</si>
  <si>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</si>
  <si>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</si>
  <si>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</si>
  <si>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</si>
  <si>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</si>
  <si>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</si>
  <si>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</si>
  <si>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</si>
  <si>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</si>
  <si>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</si>
  <si>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</si>
  <si>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</si>
  <si>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</si>
  <si>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</si>
  <si>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</si>
  <si>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</si>
  <si>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</si>
  <si>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</si>
  <si>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</si>
  <si>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</si>
  <si>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</si>
  <si>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</si>
  <si>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</si>
  <si>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</si>
  <si>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</si>
  <si>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</si>
  <si>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</si>
  <si>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</si>
  <si>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</si>
  <si>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</si>
  <si>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</si>
  <si>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</si>
  <si>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</si>
  <si>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</si>
  <si>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</si>
  <si>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</si>
  <si>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</si>
  <si>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</si>
  <si>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</si>
  <si>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</si>
  <si>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</si>
  <si>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2. Karel Pergler</t>
  </si>
  <si>
    <t>1. Michal Podhráský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</si>
  <si>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</si>
  <si>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</si>
  <si>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</si>
  <si>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</si>
  <si>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</si>
  <si>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</si>
  <si>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</si>
  <si>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</si>
  <si>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</si>
  <si>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</si>
  <si>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</si>
  <si>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</si>
  <si>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</si>
  <si>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</si>
  <si>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</si>
  <si>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</si>
  <si>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</si>
  <si>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</si>
  <si>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</si>
  <si>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</si>
  <si>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</si>
  <si>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</si>
  <si>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</si>
  <si>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</si>
  <si>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</si>
  <si>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</si>
  <si>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</si>
  <si>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</si>
  <si>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</si>
  <si>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</si>
  <si>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</si>
  <si>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</si>
  <si>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</si>
  <si>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</si>
  <si>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</si>
  <si>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</si>
  <si>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</si>
  <si>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</si>
  <si>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</si>
  <si>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</si>
  <si>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</si>
  <si>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</si>
  <si>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</si>
  <si>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</si>
  <si>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</si>
  <si>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</si>
  <si>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</si>
  <si>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</si>
  <si>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</si>
  <si>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</si>
  <si>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</si>
  <si>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</si>
  <si>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</si>
  <si>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</si>
  <si>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</si>
  <si>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</si>
  <si>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4. Matyáš Šindler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</si>
  <si>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</si>
  <si>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</si>
  <si>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</si>
  <si>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</si>
  <si>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</si>
  <si>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</si>
  <si>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</si>
  <si>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</si>
  <si>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</si>
  <si>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</si>
  <si>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</si>
  <si>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</si>
  <si>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</si>
  <si>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</si>
  <si>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</si>
  <si>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</si>
  <si>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</si>
  <si>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</si>
  <si>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</si>
  <si>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</si>
  <si>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</si>
  <si>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</si>
  <si>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</si>
  <si>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</si>
  <si>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</si>
  <si>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</si>
  <si>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</si>
  <si>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</si>
  <si>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</si>
  <si>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</si>
  <si>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</si>
  <si>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</si>
  <si>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</si>
  <si>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</si>
  <si>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</si>
  <si>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</si>
  <si>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</si>
  <si>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</si>
  <si>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</si>
  <si>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</si>
  <si>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</si>
  <si>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</si>
  <si>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</si>
  <si>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</si>
  <si>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</si>
  <si>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</si>
  <si>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</si>
  <si>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</si>
  <si>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</si>
  <si>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</si>
  <si>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</si>
  <si>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</si>
  <si>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</si>
  <si>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</si>
  <si>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</si>
  <si>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</si>
  <si>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</si>
  <si>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</si>
  <si>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</si>
  <si>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</si>
  <si>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</si>
  <si>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</si>
  <si>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</si>
  <si>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</si>
  <si>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</si>
  <si>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</si>
  <si>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</si>
  <si>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</si>
  <si>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</si>
  <si>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</si>
  <si>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</si>
  <si>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</si>
  <si>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</si>
  <si>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</si>
  <si>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</si>
  <si>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</si>
  <si>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</si>
  <si>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</si>
  <si>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</si>
  <si>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</si>
  <si>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</si>
  <si>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</si>
  <si>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</si>
  <si>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</si>
  <si>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</si>
  <si>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</si>
  <si>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</si>
  <si>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</si>
  <si>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</si>
  <si>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</si>
  <si>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</si>
  <si>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</si>
  <si>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</si>
  <si>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</si>
  <si>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</si>
  <si>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</si>
  <si>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</si>
  <si>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</si>
  <si>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</si>
  <si>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</si>
  <si>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</si>
  <si>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</si>
  <si>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</si>
  <si>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</si>
  <si>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</si>
  <si>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</si>
  <si>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</si>
  <si>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</si>
  <si>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</si>
  <si>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</si>
  <si>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</si>
  <si>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</si>
  <si>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</si>
  <si>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</si>
  <si>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</si>
  <si>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</si>
  <si>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</si>
  <si>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</si>
  <si>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</si>
  <si>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</si>
  <si>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</si>
  <si>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</si>
  <si>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</si>
  <si>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</si>
  <si>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</si>
  <si>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</si>
  <si>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</si>
  <si>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</si>
  <si>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</si>
  <si>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</si>
  <si>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</si>
  <si>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</si>
  <si>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</si>
  <si>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</si>
  <si>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</si>
  <si>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</si>
  <si>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</si>
  <si>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</si>
  <si>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</si>
  <si>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</si>
  <si>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</si>
  <si>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</si>
  <si>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</si>
  <si>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</si>
  <si>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</si>
  <si>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</si>
  <si>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</si>
  <si>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</si>
  <si>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</si>
  <si>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</si>
  <si>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</si>
  <si>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</si>
  <si>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</si>
  <si>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</si>
  <si>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</si>
  <si>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</si>
  <si>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</si>
  <si>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</si>
  <si>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</si>
  <si>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</si>
  <si>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</si>
  <si>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</si>
  <si>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</si>
  <si>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</si>
  <si>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</si>
  <si>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</si>
  <si>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</si>
  <si>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</si>
  <si>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</si>
  <si>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</si>
  <si>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</si>
  <si>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</si>
  <si>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</si>
  <si>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</si>
  <si>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</si>
  <si>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</si>
  <si>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</si>
  <si>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</si>
  <si>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</si>
  <si>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</si>
  <si>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</si>
  <si>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</si>
  <si>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</si>
  <si>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</si>
  <si>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</si>
  <si>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</si>
  <si>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</si>
  <si>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</si>
  <si>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</si>
  <si>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</si>
  <si>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</si>
  <si>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</si>
  <si>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</si>
  <si>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</si>
  <si>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</si>
  <si>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</si>
  <si>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</si>
  <si>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</si>
  <si>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</si>
  <si>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</si>
  <si>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</si>
  <si>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</si>
  <si>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</si>
  <si>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</si>
  <si>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</si>
  <si>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</si>
  <si>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</si>
  <si>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</si>
  <si>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</si>
  <si>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</si>
  <si>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</si>
  <si>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</si>
  <si>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</si>
  <si>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</si>
  <si>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</si>
  <si>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</si>
  <si>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</si>
  <si>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</si>
  <si>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</si>
  <si>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</si>
  <si>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</si>
  <si>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</si>
  <si>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</si>
  <si>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</si>
  <si>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</si>
  <si>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1. Filip Forman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</si>
  <si>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</si>
  <si>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</si>
  <si>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</si>
  <si>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</si>
  <si>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</si>
  <si>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</si>
  <si>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</si>
  <si>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</si>
  <si>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</si>
  <si>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</si>
  <si>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</si>
  <si>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</si>
  <si>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</si>
  <si>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</si>
  <si>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</si>
  <si>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</si>
  <si>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</si>
  <si>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</si>
  <si>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</si>
  <si>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</si>
  <si>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</si>
  <si>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</si>
  <si>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</si>
  <si>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</si>
  <si>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</si>
  <si>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</si>
  <si>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</si>
  <si>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</si>
  <si>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</si>
  <si>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</si>
  <si>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</si>
  <si>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</si>
  <si>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</si>
  <si>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</si>
  <si>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</si>
  <si>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</si>
  <si>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</si>
  <si>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</si>
  <si>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</si>
  <si>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</si>
  <si>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</si>
  <si>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</si>
  <si>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</si>
  <si>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</si>
  <si>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</si>
  <si>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</si>
  <si>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</si>
  <si>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</si>
  <si>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</si>
  <si>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</si>
  <si>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</si>
  <si>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</si>
  <si>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</si>
  <si>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</si>
  <si>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</si>
  <si>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</si>
  <si>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</si>
  <si>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</si>
  <si>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</si>
  <si>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3. Josef Juha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</si>
  <si>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</si>
  <si>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</si>
  <si>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</si>
  <si>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</si>
  <si>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</si>
  <si>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</si>
  <si>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</si>
  <si>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</si>
  <si>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</si>
  <si>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</si>
  <si>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</si>
  <si>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</si>
  <si>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</si>
  <si>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</si>
  <si>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</si>
  <si>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</si>
  <si>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</si>
  <si>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</si>
  <si>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</si>
  <si>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</si>
  <si>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</si>
  <si>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</si>
  <si>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</si>
  <si>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</si>
  <si>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</si>
  <si>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</si>
  <si>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</si>
  <si>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</si>
  <si>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</si>
  <si>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</si>
  <si>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</si>
  <si>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</si>
  <si>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</si>
  <si>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</si>
  <si>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</si>
  <si>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</si>
  <si>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</si>
  <si>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</si>
  <si>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</si>
  <si>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</si>
  <si>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</si>
  <si>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</si>
  <si>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</si>
  <si>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</si>
  <si>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</si>
  <si>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</si>
  <si>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</si>
  <si>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</si>
  <si>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</si>
  <si>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</si>
  <si>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</si>
  <si>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</si>
  <si>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</si>
  <si>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</si>
  <si>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</si>
  <si>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</si>
  <si>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</si>
  <si>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</si>
  <si>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</si>
  <si>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</si>
  <si>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</si>
  <si>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</si>
  <si>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</si>
  <si>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</si>
  <si>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</si>
  <si>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</si>
  <si>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</si>
  <si>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</si>
  <si>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</si>
  <si>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</si>
  <si>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</si>
  <si>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</si>
  <si>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</si>
  <si>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</si>
  <si>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</si>
  <si>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</si>
  <si>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</si>
  <si>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</si>
  <si>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</si>
  <si>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</si>
  <si>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</si>
  <si>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</si>
  <si>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</si>
  <si>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</si>
  <si>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</si>
  <si>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</si>
  <si>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Filip Létal</t>
  </si>
  <si>
    <t>2. Ondřej Kolajta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</si>
  <si>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</si>
  <si>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</si>
  <si>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</si>
  <si>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</si>
  <si>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</si>
  <si>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</si>
  <si>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</si>
  <si>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</si>
  <si>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</si>
  <si>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</si>
  <si>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</si>
  <si>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</si>
  <si>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</si>
  <si>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</si>
  <si>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</si>
  <si>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</si>
  <si>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</si>
  <si>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</si>
  <si>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1. Jan Binder</t>
  </si>
  <si>
    <t>2. Jan Klinka</t>
  </si>
  <si>
    <t>2. Daniel Chatrný</t>
  </si>
  <si>
    <t>3. Ladislav Gál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</si>
  <si>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</si>
  <si>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</si>
  <si>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</si>
  <si>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</si>
  <si>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</si>
  <si>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</si>
  <si>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</si>
  <si>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</si>
  <si>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</si>
  <si>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</si>
  <si>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</si>
  <si>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</si>
  <si>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</si>
  <si>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</si>
  <si>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</si>
  <si>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</si>
  <si>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</si>
  <si>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</si>
  <si>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</si>
  <si>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1. Adam Šmíd</t>
  </si>
  <si>
    <t>2. Matyáš Velc</t>
  </si>
  <si>
    <t>SKF Draci 99 Liberec</t>
  </si>
  <si>
    <t>Jiří Buchta</t>
  </si>
  <si>
    <t>FBC Panthers Liberec</t>
  </si>
  <si>
    <t>1:8</t>
  </si>
  <si>
    <t>8. 10.</t>
  </si>
  <si>
    <t>4. Daniel Cabejšek</t>
  </si>
  <si>
    <t>1. Karel Šantora</t>
  </si>
  <si>
    <t>2. Petr Musil</t>
  </si>
  <si>
    <t>1. Jan Fiala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</si>
  <si>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</si>
  <si>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</si>
  <si>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</si>
  <si>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</si>
  <si>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</si>
  <si>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</si>
  <si>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</si>
  <si>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</si>
  <si>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3. Karel Petrák</t>
  </si>
  <si>
    <t>4:6</t>
  </si>
  <si>
    <t>1. Marek Vávra</t>
  </si>
  <si>
    <t>3. Mikuláš Komárek</t>
  </si>
  <si>
    <t>4. Daniel Eremiáš</t>
  </si>
  <si>
    <t>1. Petr Majer</t>
  </si>
  <si>
    <t>Lukáš Kafka</t>
  </si>
  <si>
    <t>4:5p</t>
  </si>
  <si>
    <t>Jakub Levínský</t>
  </si>
  <si>
    <t>2:4</t>
  </si>
  <si>
    <t>2. Prokop Ferdan</t>
  </si>
  <si>
    <t>2. Jakub Levínský</t>
  </si>
  <si>
    <t>3. Jan Král</t>
  </si>
  <si>
    <t>5:4p</t>
  </si>
  <si>
    <t>5. Jakub Bína</t>
  </si>
  <si>
    <t>Martin Janík</t>
  </si>
  <si>
    <t>Adam Mikoláš</t>
  </si>
  <si>
    <t>Martin Sedláček</t>
  </si>
  <si>
    <t>Petr Vítovec</t>
  </si>
  <si>
    <t>8:1</t>
  </si>
  <si>
    <t>3. Martin Janík</t>
  </si>
  <si>
    <t>2. Martin Janík</t>
  </si>
  <si>
    <t>3. Jan Klinka</t>
  </si>
  <si>
    <t>1. Michal Sládek</t>
  </si>
  <si>
    <t>3. Šimon Kuczera</t>
  </si>
  <si>
    <t>4. Wojciech Malajka</t>
  </si>
  <si>
    <t>1. Ronald Gašparík</t>
  </si>
  <si>
    <t>2. František Vykopal</t>
  </si>
  <si>
    <t>2. David Medek</t>
  </si>
  <si>
    <t>4:2</t>
  </si>
  <si>
    <t>Lukáš Macháček</t>
  </si>
  <si>
    <t>2. David Šimek</t>
  </si>
  <si>
    <t>Adam Palčinský</t>
  </si>
  <si>
    <t>4:7</t>
  </si>
  <si>
    <t>2. Marek Matejčík</t>
  </si>
  <si>
    <t>8:4</t>
  </si>
  <si>
    <t>4:8</t>
  </si>
  <si>
    <t>Hráči</t>
  </si>
  <si>
    <t>Trenéři</t>
  </si>
  <si>
    <t>Matyáš Kůra</t>
  </si>
  <si>
    <t>18. 9.</t>
  </si>
  <si>
    <t>1. René Slezák</t>
  </si>
  <si>
    <t>Lukáš Slabý</t>
  </si>
  <si>
    <t>Petr Křinka</t>
  </si>
  <si>
    <t>3. Jan Savický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</si>
  <si>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</si>
  <si>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</si>
  <si>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</si>
  <si>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</si>
  <si>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</si>
  <si>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</si>
  <si>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</si>
  <si>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</si>
  <si>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</si>
  <si>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</si>
  <si>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2. Ivan Pergler</t>
  </si>
  <si>
    <t>2. Daniel Cabejšek</t>
  </si>
  <si>
    <t>2. Radek Hanák</t>
  </si>
  <si>
    <t>1. Matěj Boček</t>
  </si>
  <si>
    <t>3. Jakub Boček</t>
  </si>
  <si>
    <t>2. Matěj Boček</t>
  </si>
  <si>
    <t>5. Jakub Hromada</t>
  </si>
  <si>
    <t>9:6</t>
  </si>
  <si>
    <t>3. Filip Forman</t>
  </si>
  <si>
    <t>4. Jan Malič</t>
  </si>
  <si>
    <t>5. Adam Růžek</t>
  </si>
  <si>
    <t>1. Jan Malič</t>
  </si>
  <si>
    <t>2. Karel Petrák</t>
  </si>
  <si>
    <t>3:8</t>
  </si>
  <si>
    <t>1. Lukáš Chyna</t>
  </si>
  <si>
    <t>2. Ivan Ponomarev</t>
  </si>
  <si>
    <t>3. René Slezák</t>
  </si>
  <si>
    <t>4. Lukáš Vlach</t>
  </si>
  <si>
    <t>5. Marek Fuchs</t>
  </si>
  <si>
    <t>6:9</t>
  </si>
  <si>
    <t>2. Tom Ondrušek</t>
  </si>
  <si>
    <t>5. Jiří Bauer</t>
  </si>
  <si>
    <t>2. Michal Strnad</t>
  </si>
  <si>
    <t>7:2</t>
  </si>
  <si>
    <t>Michal Fišera</t>
  </si>
  <si>
    <t>6:5p</t>
  </si>
  <si>
    <t>4. 10.</t>
  </si>
  <si>
    <t>2. Jiří Curney</t>
  </si>
  <si>
    <t>3. Milan Tomašík</t>
  </si>
  <si>
    <t>4. Martin Tokoš</t>
  </si>
  <si>
    <t>3. Martin Tokoš</t>
  </si>
  <si>
    <t>4. Dominik Beneš</t>
  </si>
  <si>
    <t>5. Jan Natov</t>
  </si>
  <si>
    <t>3. Lukáš Pešat</t>
  </si>
  <si>
    <t>4. David Ležatka</t>
  </si>
  <si>
    <t>1. Kevin Majrich</t>
  </si>
  <si>
    <t>2. Adam Kohút</t>
  </si>
  <si>
    <t>2. Ronald Gašparík</t>
  </si>
  <si>
    <t>3. Martin Ležatka</t>
  </si>
  <si>
    <t>4. Přemek Pakosta</t>
  </si>
  <si>
    <t>2. Jan Savický</t>
  </si>
  <si>
    <t>3. Matyáš Velc</t>
  </si>
  <si>
    <t>2. David Petržela</t>
  </si>
  <si>
    <t>2. Viktor Hejna</t>
  </si>
  <si>
    <t>3. Ondřej Němeček</t>
  </si>
  <si>
    <t>5. Jonáš Kreysa</t>
  </si>
  <si>
    <t>1. Martin Čermák</t>
  </si>
  <si>
    <t>Michal Bartoň</t>
  </si>
  <si>
    <t>8:3</t>
  </si>
  <si>
    <t>3. Rostislav Gattnar</t>
  </si>
  <si>
    <t>3:4p</t>
  </si>
  <si>
    <t>11:5</t>
  </si>
  <si>
    <t>6:7p</t>
  </si>
  <si>
    <t>8:5</t>
  </si>
  <si>
    <t>6 zápasů, 1 - 2 - 0 - 1 - 2, skóre 35:43</t>
  </si>
  <si>
    <t>Taifun Moskva</t>
  </si>
  <si>
    <t>Pitbulls Kolín</t>
  </si>
  <si>
    <t>Polsko</t>
  </si>
  <si>
    <t>3. Vojtěch Klápa</t>
  </si>
  <si>
    <t>4. Zbyněk Stuchlík</t>
  </si>
  <si>
    <t>5. Jan Fiala</t>
  </si>
  <si>
    <t>1. Petr Musil</t>
  </si>
  <si>
    <t>8,48</t>
  </si>
  <si>
    <t>2. Karel Šantora</t>
  </si>
  <si>
    <t>10,72</t>
  </si>
  <si>
    <t>5. Lukáš Lanc</t>
  </si>
  <si>
    <t>1. Ivan Pergler</t>
  </si>
  <si>
    <t>2. Jan Fiala</t>
  </si>
  <si>
    <t>5. Ondřej Stuchlík</t>
  </si>
  <si>
    <t>3. David Ježek</t>
  </si>
  <si>
    <t>4. Ondřej Stuchlík</t>
  </si>
  <si>
    <t>5. Vojtěch Klápa</t>
  </si>
  <si>
    <t>BA (d)</t>
  </si>
  <si>
    <t>CHO (h)</t>
  </si>
  <si>
    <t>7:13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</si>
  <si>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</si>
  <si>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</si>
  <si>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</si>
  <si>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</si>
  <si>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</si>
  <si>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</si>
  <si>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</si>
  <si>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</si>
  <si>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</si>
  <si>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</si>
  <si>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P - P - P - P - P</t>
  </si>
  <si>
    <t>3. Radek Hanák</t>
  </si>
  <si>
    <t>4. Tomáš Hanák</t>
  </si>
  <si>
    <t>2,96</t>
  </si>
  <si>
    <t>6,08</t>
  </si>
  <si>
    <t>3. Tomáš Hanák</t>
  </si>
  <si>
    <t>5. Jan Bauman</t>
  </si>
  <si>
    <t>4. Adam Bouček</t>
  </si>
  <si>
    <t>1. Filip Neklan</t>
  </si>
  <si>
    <t>2. Jakub Boček</t>
  </si>
  <si>
    <t>3. Matouš Burian</t>
  </si>
  <si>
    <t>4. Matěj Boček</t>
  </si>
  <si>
    <t>5. Vojtěch Novotný</t>
  </si>
  <si>
    <t>SKV (h)</t>
  </si>
  <si>
    <t>SPA (d)</t>
  </si>
  <si>
    <t>7:8</t>
  </si>
  <si>
    <t>MB (h)</t>
  </si>
  <si>
    <t>OTR (d)</t>
  </si>
  <si>
    <t>HAT (h)</t>
  </si>
  <si>
    <t>VIT (d)</t>
  </si>
  <si>
    <t>11. 10.</t>
  </si>
  <si>
    <t>23. 10.</t>
  </si>
  <si>
    <t>V - V - PP - P - V</t>
  </si>
  <si>
    <t>4:9</t>
  </si>
  <si>
    <t>8:2</t>
  </si>
  <si>
    <t>V - V - V - V - P</t>
  </si>
  <si>
    <t>3. Jakub Buršík</t>
  </si>
  <si>
    <t>5. Patrik Šebek</t>
  </si>
  <si>
    <t>4,32</t>
  </si>
  <si>
    <t>6,94</t>
  </si>
  <si>
    <t>5. Jan Dobisík</t>
  </si>
  <si>
    <t>2. Vojtěch Bílek</t>
  </si>
  <si>
    <t>4. Karel Petrák</t>
  </si>
  <si>
    <t>5. Marek Ďopan</t>
  </si>
  <si>
    <t>OST (d)</t>
  </si>
  <si>
    <t>5:13</t>
  </si>
  <si>
    <t>BOH (h)</t>
  </si>
  <si>
    <t>OTR (h)</t>
  </si>
  <si>
    <t>CHO (d)</t>
  </si>
  <si>
    <t>28. 10.</t>
  </si>
  <si>
    <t>2. Milan Tichý</t>
  </si>
  <si>
    <t>3. Ondřej Kopič</t>
  </si>
  <si>
    <t>4. Jaromír Ekl</t>
  </si>
  <si>
    <t>5. Štěpán Slaný</t>
  </si>
  <si>
    <t>9,08</t>
  </si>
  <si>
    <t>2. Daniel Štěrba</t>
  </si>
  <si>
    <t>1. Tomáš Novák</t>
  </si>
  <si>
    <t>3. Radek Krajcigr</t>
  </si>
  <si>
    <t>4. Štěpán Slaný</t>
  </si>
  <si>
    <t>5. Lukáš Chyna</t>
  </si>
  <si>
    <t>3:15</t>
  </si>
  <si>
    <t>PAR (h)</t>
  </si>
  <si>
    <t>P - P - P - P - PP</t>
  </si>
  <si>
    <t>1. Tomáš Brom</t>
  </si>
  <si>
    <t>2. Lukáš Jalový</t>
  </si>
  <si>
    <t>1. Ondřej Kolajta</t>
  </si>
  <si>
    <t>5,60</t>
  </si>
  <si>
    <t>2. Filip Létal</t>
  </si>
  <si>
    <t>12,05</t>
  </si>
  <si>
    <t>2. Tomáš Brom</t>
  </si>
  <si>
    <t>3. Lukáš Jalový</t>
  </si>
  <si>
    <t>4. Marek Fuchs</t>
  </si>
  <si>
    <t>5. Matěj Kostka</t>
  </si>
  <si>
    <t>3. Lukáš Vlach</t>
  </si>
  <si>
    <t>4. David Sládeček</t>
  </si>
  <si>
    <t>5. Jiří Juhaňák</t>
  </si>
  <si>
    <t>2. Lukáš Lhota</t>
  </si>
  <si>
    <t>3. Matěj Hronek</t>
  </si>
  <si>
    <t>TAT (h)</t>
  </si>
  <si>
    <t>SKV (d)</t>
  </si>
  <si>
    <t>13:7</t>
  </si>
  <si>
    <t>SPA (h)</t>
  </si>
  <si>
    <t>MB (d)</t>
  </si>
  <si>
    <t>9. 10.</t>
  </si>
  <si>
    <t>CLP (h)</t>
  </si>
  <si>
    <t>V - PP - P - V - P</t>
  </si>
  <si>
    <t>2. Petr Majer</t>
  </si>
  <si>
    <t>4. Tom Ondrušek</t>
  </si>
  <si>
    <t>5. Daniel Eremiáš</t>
  </si>
  <si>
    <t>5,64</t>
  </si>
  <si>
    <t>3. Karel Hodík</t>
  </si>
  <si>
    <t>7,10</t>
  </si>
  <si>
    <t>3. Daniel Eremiáš</t>
  </si>
  <si>
    <t>4. Martin Skřivánek</t>
  </si>
  <si>
    <t>5. Martin Řezáč</t>
  </si>
  <si>
    <t>2. Karel Hodík</t>
  </si>
  <si>
    <t>3. Karel Pergler</t>
  </si>
  <si>
    <t>3. Jiří Bauer</t>
  </si>
  <si>
    <t>5. Daniel Maxa</t>
  </si>
  <si>
    <t>3. Radim Slunečko</t>
  </si>
  <si>
    <t>Marek Matoušek</t>
  </si>
  <si>
    <t>Matěj Netrefa</t>
  </si>
  <si>
    <t>6:5sn</t>
  </si>
  <si>
    <t>5:10</t>
  </si>
  <si>
    <t>BA (h)</t>
  </si>
  <si>
    <t>3. Prokop Ferdan</t>
  </si>
  <si>
    <t>5. Jakub Kopecký</t>
  </si>
  <si>
    <t>1. Filip Smutný</t>
  </si>
  <si>
    <t>1. Šimon Stránský</t>
  </si>
  <si>
    <t>1. Jan Světlík</t>
  </si>
  <si>
    <t>4. Radek Valeš</t>
  </si>
  <si>
    <t>9:4</t>
  </si>
  <si>
    <t>V - VP - VP - V - V</t>
  </si>
  <si>
    <t>1. Jiří Curney</t>
  </si>
  <si>
    <t>2. Matěj Pěnička</t>
  </si>
  <si>
    <t>3,36</t>
  </si>
  <si>
    <t>3. Jakub Bína</t>
  </si>
  <si>
    <t>1. Dominik Beneš</t>
  </si>
  <si>
    <t>4. Patrik Suchánek</t>
  </si>
  <si>
    <t>5. Adam Hemerka</t>
  </si>
  <si>
    <t>1. Patrik Suchánek</t>
  </si>
  <si>
    <t>2. Martin Tokoš</t>
  </si>
  <si>
    <t>3. Adam Hemerka</t>
  </si>
  <si>
    <t>4. Daniel Šebek</t>
  </si>
  <si>
    <t>5. Jiří Curney</t>
  </si>
  <si>
    <t>5:6sn</t>
  </si>
  <si>
    <t>13:5</t>
  </si>
  <si>
    <t>V - V - P - V - PP</t>
  </si>
  <si>
    <t>2. Michal Sládek</t>
  </si>
  <si>
    <t>4. Lukáš Pešat</t>
  </si>
  <si>
    <t>5. Daniel Chatrný</t>
  </si>
  <si>
    <t>4,22</t>
  </si>
  <si>
    <t>7,17</t>
  </si>
  <si>
    <t>5. Michal Sládek</t>
  </si>
  <si>
    <t>1. Adam Choma</t>
  </si>
  <si>
    <t>3. Denis Zimmer</t>
  </si>
  <si>
    <t>4. Jan Binder</t>
  </si>
  <si>
    <t>5. Lukáš Herblich</t>
  </si>
  <si>
    <t>3:13</t>
  </si>
  <si>
    <t>2:8</t>
  </si>
  <si>
    <t>LIB (h)</t>
  </si>
  <si>
    <t>P - P - V - P - P</t>
  </si>
  <si>
    <t>3. Lukáš Petřík</t>
  </si>
  <si>
    <t>4. Peter Nehila</t>
  </si>
  <si>
    <t>5. David Ležatka</t>
  </si>
  <si>
    <t>1. Adam Kohút</t>
  </si>
  <si>
    <t>2. Kevin Majrich</t>
  </si>
  <si>
    <t>8,09</t>
  </si>
  <si>
    <t>3. Miroslav Steiger</t>
  </si>
  <si>
    <t>11,10</t>
  </si>
  <si>
    <t>5. David Medek</t>
  </si>
  <si>
    <t>5. Ronald Gašparík</t>
  </si>
  <si>
    <t>Miroslav Steiger</t>
  </si>
  <si>
    <t>Marek Maťcha</t>
  </si>
  <si>
    <t>Samuel Kelemen</t>
  </si>
  <si>
    <t>P - V - P - P - P</t>
  </si>
  <si>
    <t>5. David Žáček</t>
  </si>
  <si>
    <t>5,12</t>
  </si>
  <si>
    <t>8,81</t>
  </si>
  <si>
    <t>3. Matěj Denemark</t>
  </si>
  <si>
    <t>3. David Žáček</t>
  </si>
  <si>
    <t>4. Ivo Teichman</t>
  </si>
  <si>
    <t>5. Matyáš Velc</t>
  </si>
  <si>
    <t>4. Lukáš Kučera</t>
  </si>
  <si>
    <t>5. Přemek Pakosta</t>
  </si>
  <si>
    <t>1. Lukáš Prix</t>
  </si>
  <si>
    <t>2. Ivo Teichman</t>
  </si>
  <si>
    <t>3. Lukáš Kučera</t>
  </si>
  <si>
    <t>4. Patrik Petr</t>
  </si>
  <si>
    <t>5. Vojtěch Rusin</t>
  </si>
  <si>
    <t>Matěj Denemark</t>
  </si>
  <si>
    <t>4,75</t>
  </si>
  <si>
    <t>2. Mikuláš Krbec</t>
  </si>
  <si>
    <t>1. Jakub Kolstrunk</t>
  </si>
  <si>
    <t>3. Marek Zouzal</t>
  </si>
  <si>
    <t>4. Lukáš Ujhélyi</t>
  </si>
  <si>
    <t>5. Mikuláš Krbec</t>
  </si>
  <si>
    <t>1. Dominik Bartoš</t>
  </si>
  <si>
    <t>3. Kristián Kozák</t>
  </si>
  <si>
    <t>5. Michal Pažák</t>
  </si>
  <si>
    <t>Adam Kuchynka</t>
  </si>
  <si>
    <t>8:7</t>
  </si>
  <si>
    <t>P - V - V - V - V</t>
  </si>
  <si>
    <t>10:5</t>
  </si>
  <si>
    <t>V - V - V - V - V</t>
  </si>
  <si>
    <t>4. Jakub Kolísko</t>
  </si>
  <si>
    <t>3,80</t>
  </si>
  <si>
    <t>3. Martin Šindelář</t>
  </si>
  <si>
    <t>4. Ondřej Němeček</t>
  </si>
  <si>
    <t>5. Jakub Kolísko</t>
  </si>
  <si>
    <t>2. Jonáš Kreysa</t>
  </si>
  <si>
    <t>4. Milan Meliš</t>
  </si>
  <si>
    <t>5. Ondřej Němeček</t>
  </si>
  <si>
    <t>Vojtěch Kún</t>
  </si>
  <si>
    <t>Tomáš Kuchyňa</t>
  </si>
  <si>
    <t>Vojtěch Panuška</t>
  </si>
  <si>
    <t>Michael Chalupecký</t>
  </si>
  <si>
    <t>13:3</t>
  </si>
  <si>
    <t>15:3</t>
  </si>
  <si>
    <t>V - P - V - V - V</t>
  </si>
  <si>
    <t>2. Matyáš Šindler</t>
  </si>
  <si>
    <t>4. Marek Matejčík</t>
  </si>
  <si>
    <t>4,06</t>
  </si>
  <si>
    <t>2. Michael Chalupecký</t>
  </si>
  <si>
    <t>3. Michal Bartoň</t>
  </si>
  <si>
    <t>4. Petr Maláč</t>
  </si>
  <si>
    <t>5. Lukáš Souček</t>
  </si>
  <si>
    <t>3,00</t>
  </si>
  <si>
    <t>2. Rostislav Gattnar</t>
  </si>
  <si>
    <t>3. Marek Bräuer</t>
  </si>
  <si>
    <t>5. Filip Čonka-Skyba</t>
  </si>
  <si>
    <t>2. Lukáš Souček</t>
  </si>
  <si>
    <t>3. Michael Chalupecký</t>
  </si>
  <si>
    <t>4. Michal Bartoň</t>
  </si>
  <si>
    <t>5. Petr Maláč</t>
  </si>
  <si>
    <t>1. Matyáš Šindler</t>
  </si>
  <si>
    <t>3. Adam Delong</t>
  </si>
  <si>
    <t>4. Adam Zubek</t>
  </si>
  <si>
    <t>5. Ondřej Vítovec</t>
  </si>
  <si>
    <t>1. Jiří Besta</t>
  </si>
  <si>
    <t>2. Marek Bräuer</t>
  </si>
  <si>
    <t>3. Marek Matejčík</t>
  </si>
  <si>
    <t>4. Martin Gattnar</t>
  </si>
  <si>
    <t>5. Rostislav Gattnar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</si>
  <si>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</si>
  <si>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</si>
  <si>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</si>
  <si>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</si>
  <si>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</si>
  <si>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</si>
  <si>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</si>
  <si>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</si>
  <si>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</si>
  <si>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</si>
  <si>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</si>
  <si>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</si>
  <si>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</si>
  <si>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</si>
  <si>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</si>
  <si>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</si>
  <si>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</si>
  <si>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</si>
  <si>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</si>
  <si>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</si>
  <si>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</si>
  <si>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</si>
  <si>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</si>
  <si>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</si>
  <si>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</si>
  <si>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</si>
  <si>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</si>
  <si>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</si>
  <si>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</si>
  <si>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</si>
  <si>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</si>
  <si>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</si>
  <si>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Štěpán Švejda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</si>
  <si>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</si>
  <si>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</si>
  <si>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</si>
  <si>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</si>
  <si>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</si>
  <si>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</si>
  <si>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</si>
  <si>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</si>
  <si>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</si>
  <si>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</si>
  <si>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</si>
  <si>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</si>
  <si>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</si>
  <si>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</si>
  <si>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</si>
  <si>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</si>
  <si>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10 zápasů bez výhry</t>
  </si>
  <si>
    <t>naposledy výhra 30. 1. Hattrick Brno</t>
  </si>
  <si>
    <t>klub založen 1997</t>
  </si>
  <si>
    <t>v sezóně 06/07 poprvé v extralize</t>
  </si>
  <si>
    <t>Lukáš Staněk</t>
  </si>
  <si>
    <t>29. 9.</t>
  </si>
  <si>
    <t>31. 10.</t>
  </si>
  <si>
    <t>P - P - P - P - VP - P</t>
  </si>
  <si>
    <t>6,47</t>
  </si>
  <si>
    <t>1. Ondřej Kopič</t>
  </si>
  <si>
    <t>2. Radek Krajcigr</t>
  </si>
  <si>
    <t>3. Jaromír Ekl</t>
  </si>
  <si>
    <t>4. Milan Tichý</t>
  </si>
  <si>
    <t>4. Jakub Jirsa</t>
  </si>
  <si>
    <t>5. Jaromír Ekl</t>
  </si>
  <si>
    <t>18. 10.</t>
  </si>
  <si>
    <t>P - P - V - P - VP - V</t>
  </si>
  <si>
    <t>3. Filip Smutný</t>
  </si>
  <si>
    <t>5,42</t>
  </si>
  <si>
    <t>2. Šimon Stránský</t>
  </si>
  <si>
    <t>1. Prokop Ferdan</t>
  </si>
  <si>
    <t>3. Jakub Kopecký</t>
  </si>
  <si>
    <t>4. Petr Kološ</t>
  </si>
  <si>
    <t>5. Radek Valeš</t>
  </si>
  <si>
    <t>3. Daniel Martínek</t>
  </si>
  <si>
    <t>2. Matěj Denemark</t>
  </si>
  <si>
    <t>3. Karel Aubus</t>
  </si>
  <si>
    <t>3. Jakub Kolstrunk</t>
  </si>
  <si>
    <t>4. Marek Zouzal</t>
  </si>
  <si>
    <t>5. Dominik Bartoš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</si>
  <si>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</si>
  <si>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</si>
  <si>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</si>
  <si>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</si>
  <si>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</si>
  <si>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</si>
  <si>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</si>
  <si>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</si>
  <si>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</si>
  <si>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</si>
  <si>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</si>
  <si>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</si>
  <si>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</si>
  <si>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</si>
  <si>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</si>
  <si>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</si>
  <si>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</si>
  <si>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</si>
  <si>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</si>
  <si>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</si>
  <si>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145.1.996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</si>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</sst>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83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268</v>
      </c>
      <c r="B2" s="71">
        <f ca="1">IFERROR(COUNTIF(INDIRECT("priprava_" &amp; B$1 &amp; "!$S$2:$S$42"),"?*"),"")</f>
        <v>24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24</v>
      </c>
      <c r="E2" s="71">
        <f t="shared" ca="1" si="0"/>
        <v>22</v>
      </c>
      <c r="F2" s="71">
        <f t="shared" ca="1" si="0"/>
        <v>20</v>
      </c>
      <c r="G2" s="71">
        <f t="shared" ca="1" si="0"/>
        <v>25</v>
      </c>
      <c r="H2" s="71">
        <f t="shared" ca="1" si="0"/>
        <v>21</v>
      </c>
      <c r="I2" s="71">
        <f t="shared" ca="1" si="0"/>
        <v>21</v>
      </c>
      <c r="J2" s="71">
        <f t="shared" ca="1" si="0"/>
        <v>22</v>
      </c>
      <c r="K2" s="71">
        <f t="shared" ca="1" si="0"/>
        <v>23</v>
      </c>
      <c r="L2" s="71">
        <f t="shared" ca="1" si="0"/>
        <v>21</v>
      </c>
      <c r="M2" s="71">
        <f t="shared" ca="1" si="0"/>
        <v>21</v>
      </c>
      <c r="N2" s="71">
        <f t="shared" ca="1" si="0"/>
        <v>24</v>
      </c>
      <c r="O2" s="71">
        <f t="shared" ca="1" si="0"/>
        <v>23</v>
      </c>
    </row>
    <row r="3" spans="1:15" s="71" customFormat="1" x14ac:dyDescent="0.25">
      <c r="A3" s="108" t="s">
        <v>273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269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9</v>
      </c>
      <c r="E4" s="71">
        <f t="shared" ca="1" si="2"/>
        <v>0</v>
      </c>
      <c r="F4" s="71">
        <f t="shared" ca="1" si="2"/>
        <v>1</v>
      </c>
      <c r="G4" s="71">
        <f t="shared" ca="1" si="2"/>
        <v>6</v>
      </c>
      <c r="H4" s="71">
        <f t="shared" ca="1" si="2"/>
        <v>0</v>
      </c>
      <c r="I4" s="71">
        <f t="shared" ca="1" si="2"/>
        <v>6</v>
      </c>
      <c r="J4" s="71">
        <f t="shared" ca="1" si="2"/>
        <v>4</v>
      </c>
      <c r="K4" s="71">
        <f t="shared" ca="1" si="2"/>
        <v>11</v>
      </c>
      <c r="L4" s="71">
        <f t="shared" ca="1" si="2"/>
        <v>3</v>
      </c>
      <c r="M4" s="71">
        <f t="shared" ca="1" si="2"/>
        <v>5</v>
      </c>
      <c r="N4" s="71">
        <f t="shared" ca="1" si="2"/>
        <v>9</v>
      </c>
      <c r="O4" s="71">
        <f t="shared" ca="1" si="2"/>
        <v>6</v>
      </c>
    </row>
    <row r="5" spans="1:15" s="71" customFormat="1" x14ac:dyDescent="0.25">
      <c r="A5" s="108" t="s">
        <v>270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271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272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571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5</v>
      </c>
      <c r="D2" s="76">
        <f t="shared" si="0"/>
        <v>5</v>
      </c>
      <c r="E2" s="76">
        <f t="shared" si="0"/>
        <v>0</v>
      </c>
      <c r="F2" s="76">
        <f t="shared" si="0"/>
        <v>0</v>
      </c>
      <c r="G2" s="76">
        <f t="shared" si="0"/>
        <v>0</v>
      </c>
      <c r="H2" s="78">
        <f t="shared" si="0"/>
        <v>15</v>
      </c>
      <c r="I2" s="76">
        <f t="shared" si="0"/>
        <v>41</v>
      </c>
      <c r="J2" s="76">
        <f t="shared" si="0"/>
        <v>19</v>
      </c>
      <c r="K2" s="76">
        <f t="shared" si="0"/>
        <v>22</v>
      </c>
      <c r="L2" s="76">
        <f t="shared" si="0"/>
        <v>10</v>
      </c>
      <c r="M2" s="76">
        <f t="shared" si="0"/>
        <v>5</v>
      </c>
      <c r="N2" s="76">
        <f t="shared" si="0"/>
        <v>1</v>
      </c>
      <c r="O2" s="67">
        <f t="shared" si="0"/>
        <v>50</v>
      </c>
      <c r="P2" s="76">
        <f t="shared" si="0"/>
        <v>8</v>
      </c>
      <c r="Q2" s="76">
        <f t="shared" si="0"/>
        <v>3</v>
      </c>
      <c r="R2" s="76">
        <f t="shared" si="0"/>
        <v>1</v>
      </c>
      <c r="S2" s="67">
        <f t="shared" si="0"/>
        <v>62.5</v>
      </c>
      <c r="T2" s="76">
        <f>AU2</f>
        <v>16</v>
      </c>
      <c r="U2" s="76">
        <f t="shared" ref="U2:V2" si="1">AV2</f>
        <v>154</v>
      </c>
      <c r="V2" s="68">
        <f t="shared" si="1"/>
        <v>26.62</v>
      </c>
      <c r="W2" s="72" t="s">
        <v>70</v>
      </c>
      <c r="X2" s="71">
        <v>5</v>
      </c>
      <c r="Y2" s="71">
        <v>5</v>
      </c>
      <c r="Z2" s="71">
        <v>0</v>
      </c>
      <c r="AA2" s="71">
        <v>0</v>
      </c>
      <c r="AB2" s="71">
        <v>0</v>
      </c>
      <c r="AC2" s="71">
        <v>15</v>
      </c>
      <c r="AD2" s="71">
        <v>41</v>
      </c>
      <c r="AE2" s="71">
        <v>19</v>
      </c>
      <c r="AF2" s="71">
        <v>22</v>
      </c>
      <c r="AG2" s="71">
        <v>10</v>
      </c>
      <c r="AH2" s="71">
        <v>5</v>
      </c>
      <c r="AI2" s="71">
        <v>1</v>
      </c>
      <c r="AJ2" s="70">
        <v>50</v>
      </c>
      <c r="AK2" s="71">
        <v>8</v>
      </c>
      <c r="AL2" s="71">
        <v>3</v>
      </c>
      <c r="AM2" s="71">
        <v>1</v>
      </c>
      <c r="AN2" s="70">
        <v>62.5</v>
      </c>
      <c r="AO2" s="71">
        <v>8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16</v>
      </c>
      <c r="AV2" s="71">
        <v>154</v>
      </c>
      <c r="AW2" s="70">
        <v>26.62</v>
      </c>
      <c r="AX2" s="71">
        <v>275</v>
      </c>
      <c r="AY2" s="71">
        <v>406</v>
      </c>
      <c r="AZ2" s="71">
        <v>136</v>
      </c>
      <c r="BA2" s="3" t="s">
        <v>72</v>
      </c>
      <c r="BB2" s="62" t="s">
        <v>96</v>
      </c>
      <c r="BC2" s="62">
        <f>MATCH(BA2,$B$2:$B$15,0)</f>
        <v>3</v>
      </c>
      <c r="BD2" s="62">
        <f>_xlfn.RANK.EQ(VLOOKUP(BA2,$B$2:$V$15,14,FALSE),$O$2:$O$15,0)</f>
        <v>2</v>
      </c>
      <c r="BE2" s="62">
        <f>_xlfn.RANK.EQ(VLOOKUP(BA2,$B$2:$V$15,18,FALSE),$S$2:$S$15,0)</f>
        <v>5</v>
      </c>
      <c r="BF2" s="62">
        <f>_xlfn.RANK.EQ(VLOOKUP(BA2,$B$2:$V$16,19,FALSE),$T$2:$T$15,1)</f>
        <v>1</v>
      </c>
    </row>
    <row r="3" spans="1:58" ht="24" customHeight="1" x14ac:dyDescent="0.25">
      <c r="A3" s="138">
        <v>2</v>
      </c>
      <c r="B3" s="25" t="str">
        <f t="shared" ref="B3:B15" si="2">W3</f>
        <v>Předvýběr.CZ Florbal MB</v>
      </c>
      <c r="C3" s="76">
        <f t="shared" ref="C3:C15" si="3">X3</f>
        <v>5</v>
      </c>
      <c r="D3" s="76">
        <f t="shared" ref="D3:D15" si="4">Y3</f>
        <v>3</v>
      </c>
      <c r="E3" s="76">
        <f t="shared" ref="E3:E15" si="5">Z3</f>
        <v>2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13</v>
      </c>
      <c r="I3" s="76">
        <f t="shared" ref="I3:I15" si="9">AD3</f>
        <v>41</v>
      </c>
      <c r="J3" s="76">
        <f t="shared" ref="J3:J15" si="10">AE3</f>
        <v>17</v>
      </c>
      <c r="K3" s="76">
        <f t="shared" ref="K3:K15" si="11">AF3</f>
        <v>24</v>
      </c>
      <c r="L3" s="76">
        <f t="shared" ref="L3:L15" si="12">AG3</f>
        <v>5</v>
      </c>
      <c r="M3" s="76">
        <f t="shared" ref="M3:M15" si="13">AH3</f>
        <v>2</v>
      </c>
      <c r="N3" s="76">
        <f t="shared" ref="N3:N15" si="14">AI3</f>
        <v>0</v>
      </c>
      <c r="O3" s="67">
        <f t="shared" ref="O3:O15" si="15">AJ3</f>
        <v>40</v>
      </c>
      <c r="P3" s="76">
        <f t="shared" ref="P3:P15" si="16">AK3</f>
        <v>9</v>
      </c>
      <c r="Q3" s="76">
        <f t="shared" ref="Q3:Q15" si="17">AL3</f>
        <v>2</v>
      </c>
      <c r="R3" s="76">
        <f t="shared" ref="R3:R15" si="18">AM3</f>
        <v>0</v>
      </c>
      <c r="S3" s="67">
        <f t="shared" ref="S3:S15" si="19">AN3</f>
        <v>77.78</v>
      </c>
      <c r="T3" s="76">
        <f t="shared" ref="T3:T15" si="20">AU3</f>
        <v>22</v>
      </c>
      <c r="U3" s="76">
        <f t="shared" ref="U3:U15" si="21">AV3</f>
        <v>147</v>
      </c>
      <c r="V3" s="68">
        <f t="shared" ref="V3:V15" si="22">AW3</f>
        <v>27.89</v>
      </c>
      <c r="W3" s="72" t="s">
        <v>71</v>
      </c>
      <c r="X3" s="71">
        <v>5</v>
      </c>
      <c r="Y3" s="71">
        <v>3</v>
      </c>
      <c r="Z3" s="71">
        <v>2</v>
      </c>
      <c r="AA3" s="71">
        <v>0</v>
      </c>
      <c r="AB3" s="71">
        <v>0</v>
      </c>
      <c r="AC3" s="71">
        <v>13</v>
      </c>
      <c r="AD3" s="71">
        <v>41</v>
      </c>
      <c r="AE3" s="71">
        <v>17</v>
      </c>
      <c r="AF3" s="71">
        <v>24</v>
      </c>
      <c r="AG3" s="71">
        <v>5</v>
      </c>
      <c r="AH3" s="71">
        <v>2</v>
      </c>
      <c r="AI3" s="71">
        <v>0</v>
      </c>
      <c r="AJ3" s="70">
        <v>40</v>
      </c>
      <c r="AK3" s="71">
        <v>9</v>
      </c>
      <c r="AL3" s="71">
        <v>2</v>
      </c>
      <c r="AM3" s="71">
        <v>0</v>
      </c>
      <c r="AN3" s="70">
        <v>77.78</v>
      </c>
      <c r="AO3" s="71">
        <v>11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22</v>
      </c>
      <c r="AV3" s="71">
        <v>147</v>
      </c>
      <c r="AW3" s="70">
        <v>27.89</v>
      </c>
      <c r="AX3" s="71">
        <v>815</v>
      </c>
      <c r="AY3" s="71">
        <v>246</v>
      </c>
      <c r="AZ3" s="71">
        <v>212</v>
      </c>
      <c r="BA3" s="3" t="s">
        <v>78</v>
      </c>
      <c r="BB3" s="62" t="s">
        <v>101</v>
      </c>
      <c r="BC3" s="62">
        <f t="shared" ref="BC3:BC15" si="23">MATCH(BA3,$B$2:$B$15,0)</f>
        <v>5</v>
      </c>
      <c r="BD3" s="62">
        <f t="shared" ref="BD3:BD15" si="24">_xlfn.RANK.EQ(VLOOKUP(BA3,$B$2:$V$15,14,FALSE),$O$2:$O$15,0)</f>
        <v>7</v>
      </c>
      <c r="BE3" s="62">
        <f t="shared" ref="BE3:BE15" si="25">_xlfn.RANK.EQ(VLOOKUP(BA3,$B$2:$V$15,18,FALSE),$S$2:$S$15,0)</f>
        <v>11</v>
      </c>
      <c r="BF3" s="62">
        <f t="shared" ref="BF3:BF15" si="26">_xlfn.RANK.EQ(VLOOKUP(BA3,$B$2:$V$16,19,FALSE),$T$2:$T$15,1)</f>
        <v>8</v>
      </c>
    </row>
    <row r="4" spans="1:58" ht="24" customHeight="1" x14ac:dyDescent="0.25">
      <c r="A4" s="138">
        <v>3</v>
      </c>
      <c r="B4" s="25" t="str">
        <f t="shared" si="2"/>
        <v>1. SC TEMPISH Vítkovice</v>
      </c>
      <c r="C4" s="76">
        <f t="shared" si="3"/>
        <v>5</v>
      </c>
      <c r="D4" s="76">
        <f t="shared" si="4"/>
        <v>4</v>
      </c>
      <c r="E4" s="76">
        <f t="shared" si="5"/>
        <v>0</v>
      </c>
      <c r="F4" s="76">
        <f t="shared" si="6"/>
        <v>0</v>
      </c>
      <c r="G4" s="76">
        <f t="shared" si="7"/>
        <v>1</v>
      </c>
      <c r="H4" s="78">
        <f t="shared" si="8"/>
        <v>12</v>
      </c>
      <c r="I4" s="76">
        <f t="shared" si="9"/>
        <v>51</v>
      </c>
      <c r="J4" s="76">
        <f t="shared" si="10"/>
        <v>20</v>
      </c>
      <c r="K4" s="76">
        <f t="shared" si="11"/>
        <v>31</v>
      </c>
      <c r="L4" s="76">
        <f t="shared" si="12"/>
        <v>8</v>
      </c>
      <c r="M4" s="76">
        <f t="shared" si="13"/>
        <v>5</v>
      </c>
      <c r="N4" s="76">
        <f t="shared" si="14"/>
        <v>0</v>
      </c>
      <c r="O4" s="67">
        <f t="shared" si="15"/>
        <v>62.5</v>
      </c>
      <c r="P4" s="76">
        <f t="shared" si="16"/>
        <v>6</v>
      </c>
      <c r="Q4" s="76">
        <f t="shared" si="17"/>
        <v>2</v>
      </c>
      <c r="R4" s="76">
        <f t="shared" si="18"/>
        <v>0</v>
      </c>
      <c r="S4" s="67">
        <f t="shared" si="19"/>
        <v>66.67</v>
      </c>
      <c r="T4" s="76">
        <f t="shared" si="20"/>
        <v>12</v>
      </c>
      <c r="U4" s="76">
        <f t="shared" si="21"/>
        <v>159</v>
      </c>
      <c r="V4" s="68">
        <f t="shared" si="22"/>
        <v>32.08</v>
      </c>
      <c r="W4" s="72" t="s">
        <v>72</v>
      </c>
      <c r="X4" s="71">
        <v>5</v>
      </c>
      <c r="Y4" s="71">
        <v>4</v>
      </c>
      <c r="Z4" s="71">
        <v>0</v>
      </c>
      <c r="AA4" s="71">
        <v>0</v>
      </c>
      <c r="AB4" s="71">
        <v>1</v>
      </c>
      <c r="AC4" s="71">
        <v>12</v>
      </c>
      <c r="AD4" s="71">
        <v>51</v>
      </c>
      <c r="AE4" s="71">
        <v>20</v>
      </c>
      <c r="AF4" s="71">
        <v>31</v>
      </c>
      <c r="AG4" s="71">
        <v>8</v>
      </c>
      <c r="AH4" s="71">
        <v>5</v>
      </c>
      <c r="AI4" s="71">
        <v>0</v>
      </c>
      <c r="AJ4" s="70">
        <v>62.5</v>
      </c>
      <c r="AK4" s="71">
        <v>6</v>
      </c>
      <c r="AL4" s="71">
        <v>2</v>
      </c>
      <c r="AM4" s="71">
        <v>0</v>
      </c>
      <c r="AN4" s="70">
        <v>66.67</v>
      </c>
      <c r="AO4" s="71">
        <v>6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12</v>
      </c>
      <c r="AV4" s="71">
        <v>159</v>
      </c>
      <c r="AW4" s="70">
        <v>32.08</v>
      </c>
      <c r="AX4" s="71">
        <v>316</v>
      </c>
      <c r="AY4" s="71">
        <v>314</v>
      </c>
      <c r="AZ4" s="71">
        <v>126</v>
      </c>
      <c r="BA4" s="3" t="s">
        <v>73</v>
      </c>
      <c r="BB4" s="62" t="s">
        <v>97</v>
      </c>
      <c r="BC4" s="62">
        <f t="shared" si="23"/>
        <v>7</v>
      </c>
      <c r="BD4" s="62">
        <f t="shared" si="24"/>
        <v>5</v>
      </c>
      <c r="BE4" s="62">
        <f t="shared" si="25"/>
        <v>8</v>
      </c>
      <c r="BF4" s="62">
        <f t="shared" si="26"/>
        <v>12</v>
      </c>
    </row>
    <row r="5" spans="1:58" ht="24" customHeight="1" x14ac:dyDescent="0.25">
      <c r="A5" s="138">
        <v>4</v>
      </c>
      <c r="B5" s="25" t="str">
        <f t="shared" si="2"/>
        <v>FbŠ Bohemians</v>
      </c>
      <c r="C5" s="76">
        <f t="shared" si="3"/>
        <v>5</v>
      </c>
      <c r="D5" s="76">
        <f t="shared" si="4"/>
        <v>4</v>
      </c>
      <c r="E5" s="76">
        <f t="shared" si="5"/>
        <v>0</v>
      </c>
      <c r="F5" s="76">
        <f t="shared" si="6"/>
        <v>0</v>
      </c>
      <c r="G5" s="76">
        <f t="shared" si="7"/>
        <v>1</v>
      </c>
      <c r="H5" s="78">
        <f t="shared" si="8"/>
        <v>12</v>
      </c>
      <c r="I5" s="76">
        <f t="shared" si="9"/>
        <v>38</v>
      </c>
      <c r="J5" s="76">
        <f t="shared" si="10"/>
        <v>27</v>
      </c>
      <c r="K5" s="76">
        <f t="shared" si="11"/>
        <v>11</v>
      </c>
      <c r="L5" s="76">
        <f t="shared" si="12"/>
        <v>15</v>
      </c>
      <c r="M5" s="76">
        <f t="shared" si="13"/>
        <v>4</v>
      </c>
      <c r="N5" s="76">
        <f t="shared" si="14"/>
        <v>1</v>
      </c>
      <c r="O5" s="67">
        <f t="shared" si="15"/>
        <v>26.67</v>
      </c>
      <c r="P5" s="76">
        <f t="shared" si="16"/>
        <v>7</v>
      </c>
      <c r="Q5" s="76">
        <f t="shared" si="17"/>
        <v>1</v>
      </c>
      <c r="R5" s="76">
        <f t="shared" si="18"/>
        <v>0</v>
      </c>
      <c r="S5" s="67">
        <f t="shared" si="19"/>
        <v>85.71</v>
      </c>
      <c r="T5" s="76">
        <f t="shared" si="20"/>
        <v>16</v>
      </c>
      <c r="U5" s="76">
        <f t="shared" si="21"/>
        <v>121</v>
      </c>
      <c r="V5" s="68">
        <f t="shared" si="22"/>
        <v>31.41</v>
      </c>
      <c r="W5" s="72" t="s">
        <v>74</v>
      </c>
      <c r="X5" s="71">
        <v>5</v>
      </c>
      <c r="Y5" s="71">
        <v>4</v>
      </c>
      <c r="Z5" s="71">
        <v>0</v>
      </c>
      <c r="AA5" s="71">
        <v>0</v>
      </c>
      <c r="AB5" s="71">
        <v>1</v>
      </c>
      <c r="AC5" s="71">
        <v>12</v>
      </c>
      <c r="AD5" s="71">
        <v>38</v>
      </c>
      <c r="AE5" s="71">
        <v>27</v>
      </c>
      <c r="AF5" s="71">
        <v>11</v>
      </c>
      <c r="AG5" s="71">
        <v>15</v>
      </c>
      <c r="AH5" s="71">
        <v>4</v>
      </c>
      <c r="AI5" s="71">
        <v>1</v>
      </c>
      <c r="AJ5" s="70">
        <v>26.67</v>
      </c>
      <c r="AK5" s="71">
        <v>7</v>
      </c>
      <c r="AL5" s="71">
        <v>1</v>
      </c>
      <c r="AM5" s="71">
        <v>0</v>
      </c>
      <c r="AN5" s="70">
        <v>85.71</v>
      </c>
      <c r="AO5" s="71">
        <v>8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16</v>
      </c>
      <c r="AV5" s="71">
        <v>121</v>
      </c>
      <c r="AW5" s="70">
        <v>31.41</v>
      </c>
      <c r="AX5" s="71">
        <v>325</v>
      </c>
      <c r="AY5" s="71">
        <v>434</v>
      </c>
      <c r="AZ5" s="71">
        <v>152</v>
      </c>
      <c r="BA5" s="3" t="s">
        <v>76</v>
      </c>
      <c r="BB5" s="62" t="s">
        <v>24</v>
      </c>
      <c r="BC5" s="62">
        <f t="shared" si="23"/>
        <v>9</v>
      </c>
      <c r="BD5" s="62">
        <f t="shared" si="24"/>
        <v>7</v>
      </c>
      <c r="BE5" s="62">
        <f t="shared" si="25"/>
        <v>6</v>
      </c>
      <c r="BF5" s="62">
        <f t="shared" si="26"/>
        <v>10</v>
      </c>
    </row>
    <row r="6" spans="1:58" ht="24" customHeight="1" x14ac:dyDescent="0.25">
      <c r="A6" s="138">
        <v>5</v>
      </c>
      <c r="B6" s="25" t="str">
        <f t="shared" si="2"/>
        <v>ACEMA Sparta Praha</v>
      </c>
      <c r="C6" s="76">
        <f t="shared" si="3"/>
        <v>5</v>
      </c>
      <c r="D6" s="76">
        <f t="shared" si="4"/>
        <v>4</v>
      </c>
      <c r="E6" s="76">
        <f t="shared" si="5"/>
        <v>0</v>
      </c>
      <c r="F6" s="76">
        <f t="shared" si="6"/>
        <v>0</v>
      </c>
      <c r="G6" s="76">
        <f t="shared" si="7"/>
        <v>1</v>
      </c>
      <c r="H6" s="78">
        <f t="shared" si="8"/>
        <v>12</v>
      </c>
      <c r="I6" s="76">
        <f t="shared" si="9"/>
        <v>32</v>
      </c>
      <c r="J6" s="76">
        <f t="shared" si="10"/>
        <v>24</v>
      </c>
      <c r="K6" s="76">
        <f t="shared" si="11"/>
        <v>8</v>
      </c>
      <c r="L6" s="76">
        <f t="shared" si="12"/>
        <v>7</v>
      </c>
      <c r="M6" s="76">
        <f t="shared" si="13"/>
        <v>3</v>
      </c>
      <c r="N6" s="76">
        <f t="shared" si="14"/>
        <v>0</v>
      </c>
      <c r="O6" s="67">
        <f t="shared" si="15"/>
        <v>42.86</v>
      </c>
      <c r="P6" s="76">
        <f t="shared" si="16"/>
        <v>9</v>
      </c>
      <c r="Q6" s="76">
        <f t="shared" si="17"/>
        <v>5</v>
      </c>
      <c r="R6" s="76">
        <f t="shared" si="18"/>
        <v>0</v>
      </c>
      <c r="S6" s="67">
        <f t="shared" si="19"/>
        <v>44.44</v>
      </c>
      <c r="T6" s="76">
        <f t="shared" si="20"/>
        <v>18</v>
      </c>
      <c r="U6" s="76">
        <f t="shared" si="21"/>
        <v>149</v>
      </c>
      <c r="V6" s="68">
        <f t="shared" si="22"/>
        <v>21.48</v>
      </c>
      <c r="W6" s="72" t="s">
        <v>78</v>
      </c>
      <c r="X6" s="71">
        <v>5</v>
      </c>
      <c r="Y6" s="71">
        <v>4</v>
      </c>
      <c r="Z6" s="71">
        <v>0</v>
      </c>
      <c r="AA6" s="71">
        <v>0</v>
      </c>
      <c r="AB6" s="71">
        <v>1</v>
      </c>
      <c r="AC6" s="71">
        <v>12</v>
      </c>
      <c r="AD6" s="71">
        <v>32</v>
      </c>
      <c r="AE6" s="71">
        <v>24</v>
      </c>
      <c r="AF6" s="71">
        <v>8</v>
      </c>
      <c r="AG6" s="71">
        <v>7</v>
      </c>
      <c r="AH6" s="71">
        <v>3</v>
      </c>
      <c r="AI6" s="71">
        <v>0</v>
      </c>
      <c r="AJ6" s="70">
        <v>42.86</v>
      </c>
      <c r="AK6" s="71">
        <v>9</v>
      </c>
      <c r="AL6" s="71">
        <v>5</v>
      </c>
      <c r="AM6" s="71">
        <v>0</v>
      </c>
      <c r="AN6" s="70">
        <v>44.44</v>
      </c>
      <c r="AO6" s="71">
        <v>9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18</v>
      </c>
      <c r="AV6" s="71">
        <v>149</v>
      </c>
      <c r="AW6" s="70">
        <v>21.48</v>
      </c>
      <c r="AX6" s="71">
        <v>987</v>
      </c>
      <c r="AY6" s="71">
        <v>337</v>
      </c>
      <c r="AZ6" s="71">
        <v>265</v>
      </c>
      <c r="BA6" s="3" t="s">
        <v>79</v>
      </c>
      <c r="BB6" s="62" t="s">
        <v>102</v>
      </c>
      <c r="BC6" s="62">
        <f t="shared" si="23"/>
        <v>12</v>
      </c>
      <c r="BD6" s="62">
        <f t="shared" si="24"/>
        <v>3</v>
      </c>
      <c r="BE6" s="62">
        <f t="shared" si="25"/>
        <v>13</v>
      </c>
      <c r="BF6" s="62">
        <f t="shared" si="26"/>
        <v>14</v>
      </c>
    </row>
    <row r="7" spans="1:58" ht="24" customHeight="1" x14ac:dyDescent="0.25">
      <c r="A7" s="138">
        <v>6</v>
      </c>
      <c r="B7" s="25" t="str">
        <f t="shared" si="2"/>
        <v>FBC ČPP OSTRAVA</v>
      </c>
      <c r="C7" s="76">
        <f t="shared" si="3"/>
        <v>5</v>
      </c>
      <c r="D7" s="76">
        <f t="shared" si="4"/>
        <v>3</v>
      </c>
      <c r="E7" s="76">
        <f t="shared" si="5"/>
        <v>0</v>
      </c>
      <c r="F7" s="76">
        <f t="shared" si="6"/>
        <v>1</v>
      </c>
      <c r="G7" s="76">
        <f t="shared" si="7"/>
        <v>1</v>
      </c>
      <c r="H7" s="78">
        <f t="shared" si="8"/>
        <v>10</v>
      </c>
      <c r="I7" s="76">
        <f t="shared" si="9"/>
        <v>37</v>
      </c>
      <c r="J7" s="76">
        <f t="shared" si="10"/>
        <v>23</v>
      </c>
      <c r="K7" s="76">
        <f t="shared" si="11"/>
        <v>14</v>
      </c>
      <c r="L7" s="76">
        <f t="shared" si="12"/>
        <v>10</v>
      </c>
      <c r="M7" s="76">
        <f t="shared" si="13"/>
        <v>11</v>
      </c>
      <c r="N7" s="76">
        <f t="shared" si="14"/>
        <v>0</v>
      </c>
      <c r="O7" s="67">
        <f t="shared" si="15"/>
        <v>110</v>
      </c>
      <c r="P7" s="76">
        <f t="shared" si="16"/>
        <v>7</v>
      </c>
      <c r="Q7" s="76">
        <f t="shared" si="17"/>
        <v>2</v>
      </c>
      <c r="R7" s="76">
        <f t="shared" si="18"/>
        <v>0</v>
      </c>
      <c r="S7" s="67">
        <f t="shared" si="19"/>
        <v>71.430000000000007</v>
      </c>
      <c r="T7" s="76">
        <f t="shared" si="20"/>
        <v>14</v>
      </c>
      <c r="U7" s="76">
        <f t="shared" si="21"/>
        <v>118</v>
      </c>
      <c r="V7" s="68">
        <f t="shared" si="22"/>
        <v>31.36</v>
      </c>
      <c r="W7" s="72" t="s">
        <v>75</v>
      </c>
      <c r="X7" s="71">
        <v>5</v>
      </c>
      <c r="Y7" s="71">
        <v>3</v>
      </c>
      <c r="Z7" s="71">
        <v>0</v>
      </c>
      <c r="AA7" s="71">
        <v>1</v>
      </c>
      <c r="AB7" s="71">
        <v>1</v>
      </c>
      <c r="AC7" s="71">
        <v>10</v>
      </c>
      <c r="AD7" s="71">
        <v>37</v>
      </c>
      <c r="AE7" s="71">
        <v>23</v>
      </c>
      <c r="AF7" s="71">
        <v>14</v>
      </c>
      <c r="AG7" s="71">
        <v>10</v>
      </c>
      <c r="AH7" s="71">
        <v>11</v>
      </c>
      <c r="AI7" s="71">
        <v>0</v>
      </c>
      <c r="AJ7" s="70">
        <v>110</v>
      </c>
      <c r="AK7" s="71">
        <v>7</v>
      </c>
      <c r="AL7" s="71">
        <v>2</v>
      </c>
      <c r="AM7" s="71">
        <v>0</v>
      </c>
      <c r="AN7" s="70">
        <v>71.430000000000007</v>
      </c>
      <c r="AO7" s="71">
        <v>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14</v>
      </c>
      <c r="AV7" s="71">
        <v>118</v>
      </c>
      <c r="AW7" s="70">
        <v>31.36</v>
      </c>
      <c r="AX7" s="71">
        <v>224</v>
      </c>
      <c r="AY7" s="71">
        <v>618</v>
      </c>
      <c r="AZ7" s="71">
        <v>168</v>
      </c>
      <c r="BA7" s="3" t="s">
        <v>75</v>
      </c>
      <c r="BB7" s="62" t="s">
        <v>99</v>
      </c>
      <c r="BC7" s="62">
        <f t="shared" si="23"/>
        <v>6</v>
      </c>
      <c r="BD7" s="62">
        <f t="shared" si="24"/>
        <v>1</v>
      </c>
      <c r="BE7" s="62">
        <f t="shared" si="25"/>
        <v>4</v>
      </c>
      <c r="BF7" s="62">
        <f t="shared" si="26"/>
        <v>3</v>
      </c>
    </row>
    <row r="8" spans="1:58" ht="24" customHeight="1" x14ac:dyDescent="0.25">
      <c r="A8" s="138">
        <v>7</v>
      </c>
      <c r="B8" s="25" t="str">
        <f t="shared" si="2"/>
        <v>BLACK ANGELS</v>
      </c>
      <c r="C8" s="76">
        <f t="shared" si="3"/>
        <v>5</v>
      </c>
      <c r="D8" s="76">
        <f t="shared" si="4"/>
        <v>3</v>
      </c>
      <c r="E8" s="76">
        <f t="shared" si="5"/>
        <v>0</v>
      </c>
      <c r="F8" s="76">
        <f t="shared" si="6"/>
        <v>1</v>
      </c>
      <c r="G8" s="76">
        <f t="shared" si="7"/>
        <v>1</v>
      </c>
      <c r="H8" s="78">
        <f t="shared" si="8"/>
        <v>10</v>
      </c>
      <c r="I8" s="76">
        <f t="shared" si="9"/>
        <v>30</v>
      </c>
      <c r="J8" s="76">
        <f t="shared" si="10"/>
        <v>21</v>
      </c>
      <c r="K8" s="76">
        <f t="shared" si="11"/>
        <v>9</v>
      </c>
      <c r="L8" s="76">
        <f t="shared" si="12"/>
        <v>13</v>
      </c>
      <c r="M8" s="76">
        <f t="shared" si="13"/>
        <v>6</v>
      </c>
      <c r="N8" s="76">
        <f t="shared" si="14"/>
        <v>0</v>
      </c>
      <c r="O8" s="67">
        <f t="shared" si="15"/>
        <v>46.15</v>
      </c>
      <c r="P8" s="76">
        <f t="shared" si="16"/>
        <v>13</v>
      </c>
      <c r="Q8" s="76">
        <f t="shared" si="17"/>
        <v>5</v>
      </c>
      <c r="R8" s="76">
        <f t="shared" si="18"/>
        <v>0</v>
      </c>
      <c r="S8" s="67">
        <f t="shared" si="19"/>
        <v>61.54</v>
      </c>
      <c r="T8" s="76">
        <f t="shared" si="20"/>
        <v>28</v>
      </c>
      <c r="U8" s="76">
        <f t="shared" si="21"/>
        <v>108</v>
      </c>
      <c r="V8" s="68">
        <f t="shared" si="22"/>
        <v>27.78</v>
      </c>
      <c r="W8" s="72" t="s">
        <v>73</v>
      </c>
      <c r="X8" s="71">
        <v>5</v>
      </c>
      <c r="Y8" s="71">
        <v>3</v>
      </c>
      <c r="Z8" s="71">
        <v>0</v>
      </c>
      <c r="AA8" s="71">
        <v>1</v>
      </c>
      <c r="AB8" s="71">
        <v>1</v>
      </c>
      <c r="AC8" s="71">
        <v>10</v>
      </c>
      <c r="AD8" s="71">
        <v>30</v>
      </c>
      <c r="AE8" s="71">
        <v>21</v>
      </c>
      <c r="AF8" s="71">
        <v>9</v>
      </c>
      <c r="AG8" s="71">
        <v>13</v>
      </c>
      <c r="AH8" s="71">
        <v>6</v>
      </c>
      <c r="AI8" s="71">
        <v>0</v>
      </c>
      <c r="AJ8" s="70">
        <v>46.15</v>
      </c>
      <c r="AK8" s="71">
        <v>13</v>
      </c>
      <c r="AL8" s="71">
        <v>5</v>
      </c>
      <c r="AM8" s="71">
        <v>0</v>
      </c>
      <c r="AN8" s="70">
        <v>61.54</v>
      </c>
      <c r="AO8" s="71">
        <v>14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28</v>
      </c>
      <c r="AV8" s="71">
        <v>108</v>
      </c>
      <c r="AW8" s="70">
        <v>27.78</v>
      </c>
      <c r="AX8" s="71">
        <v>276</v>
      </c>
      <c r="AY8" s="71">
        <v>462</v>
      </c>
      <c r="AZ8" s="71">
        <v>148</v>
      </c>
      <c r="BA8" s="3" t="s">
        <v>82</v>
      </c>
      <c r="BB8" s="62" t="s">
        <v>105</v>
      </c>
      <c r="BC8" s="62">
        <f t="shared" si="23"/>
        <v>8</v>
      </c>
      <c r="BD8" s="62">
        <f t="shared" si="24"/>
        <v>6</v>
      </c>
      <c r="BE8" s="62">
        <f t="shared" si="25"/>
        <v>11</v>
      </c>
      <c r="BF8" s="62">
        <f t="shared" si="26"/>
        <v>8</v>
      </c>
    </row>
    <row r="9" spans="1:58" ht="24" customHeight="1" x14ac:dyDescent="0.25">
      <c r="A9" s="138">
        <v>8</v>
      </c>
      <c r="B9" s="25" t="str">
        <f t="shared" si="2"/>
        <v>FBC Liberec</v>
      </c>
      <c r="C9" s="76">
        <f t="shared" si="3"/>
        <v>6</v>
      </c>
      <c r="D9" s="76">
        <f t="shared" si="4"/>
        <v>2</v>
      </c>
      <c r="E9" s="76">
        <f t="shared" si="5"/>
        <v>1</v>
      </c>
      <c r="F9" s="76">
        <f t="shared" si="6"/>
        <v>0</v>
      </c>
      <c r="G9" s="76">
        <f t="shared" si="7"/>
        <v>3</v>
      </c>
      <c r="H9" s="78">
        <f t="shared" si="8"/>
        <v>8</v>
      </c>
      <c r="I9" s="76">
        <f t="shared" si="9"/>
        <v>30</v>
      </c>
      <c r="J9" s="76">
        <f t="shared" si="10"/>
        <v>35</v>
      </c>
      <c r="K9" s="76">
        <f t="shared" si="11"/>
        <v>-5</v>
      </c>
      <c r="L9" s="76">
        <f t="shared" si="12"/>
        <v>9</v>
      </c>
      <c r="M9" s="76">
        <f t="shared" si="13"/>
        <v>4</v>
      </c>
      <c r="N9" s="76">
        <f t="shared" si="14"/>
        <v>0</v>
      </c>
      <c r="O9" s="67">
        <f t="shared" si="15"/>
        <v>44.44</v>
      </c>
      <c r="P9" s="76">
        <f t="shared" si="16"/>
        <v>9</v>
      </c>
      <c r="Q9" s="76">
        <f t="shared" si="17"/>
        <v>5</v>
      </c>
      <c r="R9" s="76">
        <f t="shared" si="18"/>
        <v>0</v>
      </c>
      <c r="S9" s="67">
        <f t="shared" si="19"/>
        <v>44.44</v>
      </c>
      <c r="T9" s="76">
        <f t="shared" si="20"/>
        <v>18</v>
      </c>
      <c r="U9" s="76">
        <f t="shared" si="21"/>
        <v>110</v>
      </c>
      <c r="V9" s="68">
        <f t="shared" si="22"/>
        <v>27.27</v>
      </c>
      <c r="W9" s="72" t="s">
        <v>82</v>
      </c>
      <c r="X9" s="71">
        <v>6</v>
      </c>
      <c r="Y9" s="71">
        <v>2</v>
      </c>
      <c r="Z9" s="71">
        <v>1</v>
      </c>
      <c r="AA9" s="71">
        <v>0</v>
      </c>
      <c r="AB9" s="71">
        <v>3</v>
      </c>
      <c r="AC9" s="71">
        <v>8</v>
      </c>
      <c r="AD9" s="71">
        <v>30</v>
      </c>
      <c r="AE9" s="71">
        <v>35</v>
      </c>
      <c r="AF9" s="71">
        <v>-5</v>
      </c>
      <c r="AG9" s="71">
        <v>9</v>
      </c>
      <c r="AH9" s="71">
        <v>4</v>
      </c>
      <c r="AI9" s="71">
        <v>0</v>
      </c>
      <c r="AJ9" s="70">
        <v>44.44</v>
      </c>
      <c r="AK9" s="71">
        <v>9</v>
      </c>
      <c r="AL9" s="71">
        <v>5</v>
      </c>
      <c r="AM9" s="71">
        <v>0</v>
      </c>
      <c r="AN9" s="70">
        <v>44.44</v>
      </c>
      <c r="AO9" s="71">
        <v>9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18</v>
      </c>
      <c r="AV9" s="71">
        <v>110</v>
      </c>
      <c r="AW9" s="70">
        <v>27.27</v>
      </c>
      <c r="AX9" s="71">
        <v>272</v>
      </c>
      <c r="AY9" s="71">
        <v>836</v>
      </c>
      <c r="AZ9" s="71">
        <v>185</v>
      </c>
      <c r="BA9" s="3" t="s">
        <v>74</v>
      </c>
      <c r="BB9" s="62" t="s">
        <v>98</v>
      </c>
      <c r="BC9" s="62">
        <f t="shared" si="23"/>
        <v>4</v>
      </c>
      <c r="BD9" s="62">
        <f t="shared" si="24"/>
        <v>12</v>
      </c>
      <c r="BE9" s="62">
        <f t="shared" si="25"/>
        <v>2</v>
      </c>
      <c r="BF9" s="62">
        <f t="shared" si="26"/>
        <v>5</v>
      </c>
    </row>
    <row r="10" spans="1:58" ht="24" customHeight="1" x14ac:dyDescent="0.25">
      <c r="A10" s="138">
        <v>9</v>
      </c>
      <c r="B10" s="25" t="str">
        <f t="shared" si="2"/>
        <v>FAT PIPE FLORBAL CHODOV</v>
      </c>
      <c r="C10" s="76">
        <f t="shared" si="3"/>
        <v>5</v>
      </c>
      <c r="D10" s="76">
        <f t="shared" si="4"/>
        <v>2</v>
      </c>
      <c r="E10" s="76">
        <f t="shared" si="5"/>
        <v>0</v>
      </c>
      <c r="F10" s="76">
        <f t="shared" si="6"/>
        <v>1</v>
      </c>
      <c r="G10" s="76">
        <f t="shared" si="7"/>
        <v>2</v>
      </c>
      <c r="H10" s="78">
        <f t="shared" si="8"/>
        <v>7</v>
      </c>
      <c r="I10" s="76">
        <f t="shared" si="9"/>
        <v>32</v>
      </c>
      <c r="J10" s="76">
        <f t="shared" si="10"/>
        <v>33</v>
      </c>
      <c r="K10" s="76">
        <f t="shared" si="11"/>
        <v>-1</v>
      </c>
      <c r="L10" s="76">
        <f t="shared" si="12"/>
        <v>7</v>
      </c>
      <c r="M10" s="76">
        <f t="shared" si="13"/>
        <v>3</v>
      </c>
      <c r="N10" s="76">
        <f t="shared" si="14"/>
        <v>0</v>
      </c>
      <c r="O10" s="67">
        <f t="shared" si="15"/>
        <v>42.86</v>
      </c>
      <c r="P10" s="76">
        <f t="shared" si="16"/>
        <v>11</v>
      </c>
      <c r="Q10" s="76">
        <f t="shared" si="17"/>
        <v>4</v>
      </c>
      <c r="R10" s="76">
        <f t="shared" si="18"/>
        <v>2</v>
      </c>
      <c r="S10" s="67">
        <f t="shared" si="19"/>
        <v>63.64</v>
      </c>
      <c r="T10" s="76">
        <f t="shared" si="20"/>
        <v>22</v>
      </c>
      <c r="U10" s="76">
        <f t="shared" si="21"/>
        <v>138</v>
      </c>
      <c r="V10" s="68">
        <f t="shared" si="22"/>
        <v>23.19</v>
      </c>
      <c r="W10" s="72" t="s">
        <v>76</v>
      </c>
      <c r="X10" s="71">
        <v>5</v>
      </c>
      <c r="Y10" s="71">
        <v>2</v>
      </c>
      <c r="Z10" s="71">
        <v>0</v>
      </c>
      <c r="AA10" s="71">
        <v>1</v>
      </c>
      <c r="AB10" s="71">
        <v>2</v>
      </c>
      <c r="AC10" s="71">
        <v>7</v>
      </c>
      <c r="AD10" s="71">
        <v>32</v>
      </c>
      <c r="AE10" s="71">
        <v>33</v>
      </c>
      <c r="AF10" s="71">
        <v>-1</v>
      </c>
      <c r="AG10" s="71">
        <v>7</v>
      </c>
      <c r="AH10" s="71">
        <v>3</v>
      </c>
      <c r="AI10" s="71">
        <v>0</v>
      </c>
      <c r="AJ10" s="70">
        <v>42.86</v>
      </c>
      <c r="AK10" s="71">
        <v>11</v>
      </c>
      <c r="AL10" s="71">
        <v>4</v>
      </c>
      <c r="AM10" s="71">
        <v>2</v>
      </c>
      <c r="AN10" s="70">
        <v>63.64</v>
      </c>
      <c r="AO10" s="71">
        <v>11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22</v>
      </c>
      <c r="AV10" s="71">
        <v>138</v>
      </c>
      <c r="AW10" s="70">
        <v>23.19</v>
      </c>
      <c r="AX10" s="71">
        <v>188</v>
      </c>
      <c r="AY10" s="71">
        <v>577</v>
      </c>
      <c r="AZ10" s="71">
        <v>153</v>
      </c>
      <c r="BA10" s="3" t="s">
        <v>80</v>
      </c>
      <c r="BB10" s="62" t="s">
        <v>103</v>
      </c>
      <c r="BC10" s="62">
        <f t="shared" si="23"/>
        <v>13</v>
      </c>
      <c r="BD10" s="62">
        <f t="shared" si="24"/>
        <v>11</v>
      </c>
      <c r="BE10" s="62">
        <f t="shared" si="25"/>
        <v>10</v>
      </c>
      <c r="BF10" s="62">
        <f t="shared" si="26"/>
        <v>13</v>
      </c>
    </row>
    <row r="11" spans="1:58" ht="24" customHeight="1" x14ac:dyDescent="0.25">
      <c r="A11" s="138">
        <v>10</v>
      </c>
      <c r="B11" s="25" t="str">
        <f t="shared" si="2"/>
        <v>Navláčil PANTHERS OTROKOVICE</v>
      </c>
      <c r="C11" s="76">
        <f t="shared" si="3"/>
        <v>5</v>
      </c>
      <c r="D11" s="76">
        <f t="shared" si="4"/>
        <v>1</v>
      </c>
      <c r="E11" s="76">
        <f t="shared" si="5"/>
        <v>0</v>
      </c>
      <c r="F11" s="76">
        <f t="shared" si="6"/>
        <v>0</v>
      </c>
      <c r="G11" s="76">
        <f t="shared" si="7"/>
        <v>4</v>
      </c>
      <c r="H11" s="78">
        <f t="shared" si="8"/>
        <v>3</v>
      </c>
      <c r="I11" s="76">
        <f t="shared" si="9"/>
        <v>23</v>
      </c>
      <c r="J11" s="76">
        <f t="shared" si="10"/>
        <v>38</v>
      </c>
      <c r="K11" s="76">
        <f t="shared" si="11"/>
        <v>-15</v>
      </c>
      <c r="L11" s="76">
        <f t="shared" si="12"/>
        <v>12</v>
      </c>
      <c r="M11" s="76">
        <f t="shared" si="13"/>
        <v>5</v>
      </c>
      <c r="N11" s="76">
        <f t="shared" si="14"/>
        <v>0</v>
      </c>
      <c r="O11" s="67">
        <f t="shared" si="15"/>
        <v>41.67</v>
      </c>
      <c r="P11" s="76">
        <f t="shared" si="16"/>
        <v>7</v>
      </c>
      <c r="Q11" s="76">
        <f t="shared" si="17"/>
        <v>3</v>
      </c>
      <c r="R11" s="76">
        <f t="shared" si="18"/>
        <v>0</v>
      </c>
      <c r="S11" s="67">
        <f t="shared" si="19"/>
        <v>57.14</v>
      </c>
      <c r="T11" s="76">
        <f t="shared" si="20"/>
        <v>14</v>
      </c>
      <c r="U11" s="76">
        <f t="shared" si="21"/>
        <v>96</v>
      </c>
      <c r="V11" s="68">
        <f t="shared" si="22"/>
        <v>23.96</v>
      </c>
      <c r="W11" s="72" t="s">
        <v>77</v>
      </c>
      <c r="X11" s="71">
        <v>5</v>
      </c>
      <c r="Y11" s="71">
        <v>1</v>
      </c>
      <c r="Z11" s="71">
        <v>0</v>
      </c>
      <c r="AA11" s="71">
        <v>0</v>
      </c>
      <c r="AB11" s="71">
        <v>4</v>
      </c>
      <c r="AC11" s="71">
        <v>3</v>
      </c>
      <c r="AD11" s="71">
        <v>23</v>
      </c>
      <c r="AE11" s="71">
        <v>38</v>
      </c>
      <c r="AF11" s="71">
        <v>-15</v>
      </c>
      <c r="AG11" s="71">
        <v>12</v>
      </c>
      <c r="AH11" s="71">
        <v>5</v>
      </c>
      <c r="AI11" s="71">
        <v>0</v>
      </c>
      <c r="AJ11" s="70">
        <v>41.67</v>
      </c>
      <c r="AK11" s="71">
        <v>7</v>
      </c>
      <c r="AL11" s="71">
        <v>3</v>
      </c>
      <c r="AM11" s="71">
        <v>0</v>
      </c>
      <c r="AN11" s="70">
        <v>57.14</v>
      </c>
      <c r="AO11" s="71">
        <v>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14</v>
      </c>
      <c r="AV11" s="71">
        <v>96</v>
      </c>
      <c r="AW11" s="70">
        <v>23.96</v>
      </c>
      <c r="AX11" s="71">
        <v>321</v>
      </c>
      <c r="AY11" s="71">
        <v>429</v>
      </c>
      <c r="AZ11" s="71">
        <v>150</v>
      </c>
      <c r="BA11" s="3" t="s">
        <v>77</v>
      </c>
      <c r="BB11" s="62" t="s">
        <v>100</v>
      </c>
      <c r="BC11" s="62">
        <f t="shared" si="23"/>
        <v>10</v>
      </c>
      <c r="BD11" s="62">
        <f t="shared" si="24"/>
        <v>9</v>
      </c>
      <c r="BE11" s="62">
        <f t="shared" si="25"/>
        <v>9</v>
      </c>
      <c r="BF11" s="62">
        <f t="shared" si="26"/>
        <v>3</v>
      </c>
    </row>
    <row r="12" spans="1:58" ht="24" customHeight="1" x14ac:dyDescent="0.25">
      <c r="A12" s="138">
        <v>11</v>
      </c>
      <c r="B12" s="25" t="str">
        <f t="shared" si="2"/>
        <v>SOKOLI Pardubice</v>
      </c>
      <c r="C12" s="76">
        <f t="shared" si="3"/>
        <v>5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4</v>
      </c>
      <c r="H12" s="78">
        <f t="shared" si="8"/>
        <v>3</v>
      </c>
      <c r="I12" s="76">
        <f t="shared" si="9"/>
        <v>21</v>
      </c>
      <c r="J12" s="76">
        <f t="shared" si="10"/>
        <v>43</v>
      </c>
      <c r="K12" s="76">
        <f t="shared" si="11"/>
        <v>-22</v>
      </c>
      <c r="L12" s="76">
        <f t="shared" si="12"/>
        <v>6</v>
      </c>
      <c r="M12" s="76">
        <f t="shared" si="13"/>
        <v>1</v>
      </c>
      <c r="N12" s="76">
        <f t="shared" si="14"/>
        <v>0</v>
      </c>
      <c r="O12" s="67">
        <f t="shared" si="15"/>
        <v>16.670000000000002</v>
      </c>
      <c r="P12" s="76">
        <f t="shared" si="16"/>
        <v>7</v>
      </c>
      <c r="Q12" s="76">
        <f t="shared" si="17"/>
        <v>0</v>
      </c>
      <c r="R12" s="76">
        <f t="shared" si="18"/>
        <v>0</v>
      </c>
      <c r="S12" s="67">
        <f t="shared" si="19"/>
        <v>100</v>
      </c>
      <c r="T12" s="76">
        <f t="shared" si="20"/>
        <v>12</v>
      </c>
      <c r="U12" s="76">
        <f t="shared" si="21"/>
        <v>89</v>
      </c>
      <c r="V12" s="68">
        <f t="shared" si="22"/>
        <v>23.6</v>
      </c>
      <c r="W12" s="72" t="s">
        <v>81</v>
      </c>
      <c r="X12" s="71">
        <v>5</v>
      </c>
      <c r="Y12" s="71">
        <v>1</v>
      </c>
      <c r="Z12" s="71">
        <v>0</v>
      </c>
      <c r="AA12" s="71">
        <v>0</v>
      </c>
      <c r="AB12" s="71">
        <v>4</v>
      </c>
      <c r="AC12" s="71">
        <v>3</v>
      </c>
      <c r="AD12" s="71">
        <v>21</v>
      </c>
      <c r="AE12" s="71">
        <v>43</v>
      </c>
      <c r="AF12" s="71">
        <v>-22</v>
      </c>
      <c r="AG12" s="71">
        <v>6</v>
      </c>
      <c r="AH12" s="71">
        <v>1</v>
      </c>
      <c r="AI12" s="71">
        <v>0</v>
      </c>
      <c r="AJ12" s="70">
        <v>16.670000000000002</v>
      </c>
      <c r="AK12" s="71">
        <v>7</v>
      </c>
      <c r="AL12" s="71">
        <v>0</v>
      </c>
      <c r="AM12" s="71">
        <v>0</v>
      </c>
      <c r="AN12" s="70">
        <v>100</v>
      </c>
      <c r="AO12" s="71">
        <v>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12</v>
      </c>
      <c r="AV12" s="71">
        <v>89</v>
      </c>
      <c r="AW12" s="70">
        <v>23.6</v>
      </c>
      <c r="AX12" s="71">
        <v>514</v>
      </c>
      <c r="AY12" s="71">
        <v>457</v>
      </c>
      <c r="AZ12" s="71">
        <v>194</v>
      </c>
      <c r="BA12" s="3" t="s">
        <v>71</v>
      </c>
      <c r="BB12" s="62" t="s">
        <v>23</v>
      </c>
      <c r="BC12" s="62">
        <f t="shared" si="23"/>
        <v>2</v>
      </c>
      <c r="BD12" s="62">
        <f t="shared" si="24"/>
        <v>10</v>
      </c>
      <c r="BE12" s="62">
        <f t="shared" si="25"/>
        <v>3</v>
      </c>
      <c r="BF12" s="62">
        <f t="shared" si="26"/>
        <v>10</v>
      </c>
    </row>
    <row r="13" spans="1:58" ht="24" customHeight="1" x14ac:dyDescent="0.25">
      <c r="A13" s="138">
        <v>12</v>
      </c>
      <c r="B13" s="25" t="str">
        <f t="shared" si="2"/>
        <v>FBC 4CLEAN Česká Lípa</v>
      </c>
      <c r="C13" s="76">
        <f t="shared" si="3"/>
        <v>6</v>
      </c>
      <c r="D13" s="76">
        <f t="shared" si="4"/>
        <v>0</v>
      </c>
      <c r="E13" s="76">
        <f t="shared" si="5"/>
        <v>1</v>
      </c>
      <c r="F13" s="76">
        <f t="shared" si="6"/>
        <v>0</v>
      </c>
      <c r="G13" s="76">
        <f t="shared" si="7"/>
        <v>5</v>
      </c>
      <c r="H13" s="78">
        <f t="shared" si="8"/>
        <v>2</v>
      </c>
      <c r="I13" s="76">
        <f t="shared" si="9"/>
        <v>29</v>
      </c>
      <c r="J13" s="76">
        <f t="shared" si="10"/>
        <v>51</v>
      </c>
      <c r="K13" s="76">
        <f t="shared" si="11"/>
        <v>-22</v>
      </c>
      <c r="L13" s="76">
        <f t="shared" si="12"/>
        <v>6</v>
      </c>
      <c r="M13" s="76">
        <f t="shared" si="13"/>
        <v>3</v>
      </c>
      <c r="N13" s="76">
        <f t="shared" si="14"/>
        <v>0</v>
      </c>
      <c r="O13" s="67">
        <f t="shared" si="15"/>
        <v>50</v>
      </c>
      <c r="P13" s="76">
        <f t="shared" si="16"/>
        <v>15</v>
      </c>
      <c r="Q13" s="76">
        <f t="shared" si="17"/>
        <v>11</v>
      </c>
      <c r="R13" s="76">
        <f t="shared" si="18"/>
        <v>1</v>
      </c>
      <c r="S13" s="67">
        <f t="shared" si="19"/>
        <v>26.67</v>
      </c>
      <c r="T13" s="76">
        <f t="shared" si="20"/>
        <v>53</v>
      </c>
      <c r="U13" s="76">
        <f t="shared" si="21"/>
        <v>145</v>
      </c>
      <c r="V13" s="68">
        <f t="shared" si="22"/>
        <v>20</v>
      </c>
      <c r="W13" s="72" t="s">
        <v>79</v>
      </c>
      <c r="X13" s="71">
        <v>6</v>
      </c>
      <c r="Y13" s="71">
        <v>0</v>
      </c>
      <c r="Z13" s="71">
        <v>1</v>
      </c>
      <c r="AA13" s="71">
        <v>0</v>
      </c>
      <c r="AB13" s="71">
        <v>5</v>
      </c>
      <c r="AC13" s="71">
        <v>2</v>
      </c>
      <c r="AD13" s="71">
        <v>29</v>
      </c>
      <c r="AE13" s="71">
        <v>51</v>
      </c>
      <c r="AF13" s="71">
        <v>-22</v>
      </c>
      <c r="AG13" s="71">
        <v>6</v>
      </c>
      <c r="AH13" s="71">
        <v>3</v>
      </c>
      <c r="AI13" s="71">
        <v>0</v>
      </c>
      <c r="AJ13" s="70">
        <v>50</v>
      </c>
      <c r="AK13" s="71">
        <v>15</v>
      </c>
      <c r="AL13" s="71">
        <v>11</v>
      </c>
      <c r="AM13" s="71">
        <v>1</v>
      </c>
      <c r="AN13" s="70">
        <v>26.67</v>
      </c>
      <c r="AO13" s="71">
        <v>14</v>
      </c>
      <c r="AP13" s="71">
        <v>1</v>
      </c>
      <c r="AQ13" s="71">
        <v>0</v>
      </c>
      <c r="AR13" s="71">
        <v>1</v>
      </c>
      <c r="AS13" s="71">
        <v>0</v>
      </c>
      <c r="AT13" s="71">
        <v>0</v>
      </c>
      <c r="AU13" s="71">
        <v>53</v>
      </c>
      <c r="AV13" s="71">
        <v>145</v>
      </c>
      <c r="AW13" s="70">
        <v>20</v>
      </c>
      <c r="AX13" s="71">
        <v>753</v>
      </c>
      <c r="AY13" s="71">
        <v>406</v>
      </c>
      <c r="AZ13" s="71">
        <v>193</v>
      </c>
      <c r="BA13" s="3" t="s">
        <v>81</v>
      </c>
      <c r="BB13" s="62" t="s">
        <v>104</v>
      </c>
      <c r="BC13" s="62">
        <f t="shared" si="23"/>
        <v>11</v>
      </c>
      <c r="BD13" s="62">
        <f t="shared" si="24"/>
        <v>13</v>
      </c>
      <c r="BE13" s="62">
        <f t="shared" si="25"/>
        <v>1</v>
      </c>
      <c r="BF13" s="62">
        <f t="shared" si="26"/>
        <v>1</v>
      </c>
    </row>
    <row r="14" spans="1:58" ht="24" customHeight="1" x14ac:dyDescent="0.25">
      <c r="A14" s="138">
        <v>13</v>
      </c>
      <c r="B14" s="25" t="str">
        <f t="shared" si="2"/>
        <v>FBŠ Hummel Hattrick Brno</v>
      </c>
      <c r="C14" s="76">
        <f t="shared" si="3"/>
        <v>5</v>
      </c>
      <c r="D14" s="76">
        <f t="shared" si="4"/>
        <v>0</v>
      </c>
      <c r="E14" s="76">
        <f t="shared" si="5"/>
        <v>0</v>
      </c>
      <c r="F14" s="76">
        <f t="shared" si="6"/>
        <v>1</v>
      </c>
      <c r="G14" s="76">
        <f t="shared" si="7"/>
        <v>4</v>
      </c>
      <c r="H14" s="78">
        <f t="shared" si="8"/>
        <v>1</v>
      </c>
      <c r="I14" s="76">
        <f t="shared" si="9"/>
        <v>21</v>
      </c>
      <c r="J14" s="76">
        <f t="shared" si="10"/>
        <v>43</v>
      </c>
      <c r="K14" s="76">
        <f t="shared" si="11"/>
        <v>-22</v>
      </c>
      <c r="L14" s="76">
        <f t="shared" si="12"/>
        <v>10</v>
      </c>
      <c r="M14" s="76">
        <f t="shared" si="13"/>
        <v>3</v>
      </c>
      <c r="N14" s="76">
        <f t="shared" si="14"/>
        <v>0</v>
      </c>
      <c r="O14" s="67">
        <f t="shared" si="15"/>
        <v>30</v>
      </c>
      <c r="P14" s="76">
        <f t="shared" si="16"/>
        <v>13</v>
      </c>
      <c r="Q14" s="76">
        <f t="shared" si="17"/>
        <v>7</v>
      </c>
      <c r="R14" s="76">
        <f t="shared" si="18"/>
        <v>0</v>
      </c>
      <c r="S14" s="67">
        <f t="shared" si="19"/>
        <v>46.15</v>
      </c>
      <c r="T14" s="76">
        <f t="shared" si="20"/>
        <v>31</v>
      </c>
      <c r="U14" s="76">
        <f t="shared" si="21"/>
        <v>114</v>
      </c>
      <c r="V14" s="68">
        <f t="shared" si="22"/>
        <v>18.420000000000002</v>
      </c>
      <c r="W14" s="72" t="s">
        <v>80</v>
      </c>
      <c r="X14" s="71">
        <v>5</v>
      </c>
      <c r="Y14" s="71">
        <v>0</v>
      </c>
      <c r="Z14" s="71">
        <v>0</v>
      </c>
      <c r="AA14" s="71">
        <v>1</v>
      </c>
      <c r="AB14" s="71">
        <v>4</v>
      </c>
      <c r="AC14" s="71">
        <v>1</v>
      </c>
      <c r="AD14" s="71">
        <v>21</v>
      </c>
      <c r="AE14" s="71">
        <v>43</v>
      </c>
      <c r="AF14" s="71">
        <v>-22</v>
      </c>
      <c r="AG14" s="71">
        <v>10</v>
      </c>
      <c r="AH14" s="71">
        <v>3</v>
      </c>
      <c r="AI14" s="71">
        <v>0</v>
      </c>
      <c r="AJ14" s="70">
        <v>30</v>
      </c>
      <c r="AK14" s="71">
        <v>13</v>
      </c>
      <c r="AL14" s="71">
        <v>7</v>
      </c>
      <c r="AM14" s="71">
        <v>0</v>
      </c>
      <c r="AN14" s="70">
        <v>46.15</v>
      </c>
      <c r="AO14" s="71">
        <v>13</v>
      </c>
      <c r="AP14" s="71">
        <v>1</v>
      </c>
      <c r="AQ14" s="71">
        <v>0</v>
      </c>
      <c r="AR14" s="71">
        <v>0</v>
      </c>
      <c r="AS14" s="71">
        <v>0</v>
      </c>
      <c r="AT14" s="71">
        <v>0</v>
      </c>
      <c r="AU14" s="71">
        <v>31</v>
      </c>
      <c r="AV14" s="71">
        <v>114</v>
      </c>
      <c r="AW14" s="70">
        <v>18.420000000000002</v>
      </c>
      <c r="AX14" s="71">
        <v>435</v>
      </c>
      <c r="AY14" s="71">
        <v>295</v>
      </c>
      <c r="AZ14" s="71">
        <v>146</v>
      </c>
      <c r="BA14" s="3" t="s">
        <v>70</v>
      </c>
      <c r="BB14" s="62" t="s">
        <v>94</v>
      </c>
      <c r="BC14" s="62">
        <f t="shared" si="23"/>
        <v>1</v>
      </c>
      <c r="BD14" s="62">
        <f t="shared" si="24"/>
        <v>3</v>
      </c>
      <c r="BE14" s="62">
        <f t="shared" si="25"/>
        <v>7</v>
      </c>
      <c r="BF14" s="62">
        <f t="shared" si="26"/>
        <v>5</v>
      </c>
    </row>
    <row r="15" spans="1:58" ht="24" customHeight="1" thickBot="1" x14ac:dyDescent="0.3">
      <c r="A15" s="139">
        <v>14</v>
      </c>
      <c r="B15" s="134" t="str">
        <f t="shared" si="2"/>
        <v>TJ Sokol Královské Vinohrady</v>
      </c>
      <c r="C15" s="135">
        <f t="shared" si="3"/>
        <v>5</v>
      </c>
      <c r="D15" s="135">
        <f t="shared" si="4"/>
        <v>0</v>
      </c>
      <c r="E15" s="135">
        <f t="shared" si="5"/>
        <v>0</v>
      </c>
      <c r="F15" s="135">
        <f t="shared" si="6"/>
        <v>0</v>
      </c>
      <c r="G15" s="135">
        <f t="shared" si="7"/>
        <v>5</v>
      </c>
      <c r="H15" s="79">
        <f t="shared" si="8"/>
        <v>0</v>
      </c>
      <c r="I15" s="135">
        <f t="shared" si="9"/>
        <v>14</v>
      </c>
      <c r="J15" s="135">
        <f t="shared" si="10"/>
        <v>46</v>
      </c>
      <c r="K15" s="135">
        <f t="shared" si="11"/>
        <v>-32</v>
      </c>
      <c r="L15" s="135">
        <f t="shared" si="12"/>
        <v>11</v>
      </c>
      <c r="M15" s="135">
        <f t="shared" si="13"/>
        <v>1</v>
      </c>
      <c r="N15" s="135">
        <f t="shared" si="14"/>
        <v>2</v>
      </c>
      <c r="O15" s="136">
        <f t="shared" si="15"/>
        <v>9.09</v>
      </c>
      <c r="P15" s="135">
        <f t="shared" si="16"/>
        <v>8</v>
      </c>
      <c r="Q15" s="135">
        <f t="shared" si="17"/>
        <v>6</v>
      </c>
      <c r="R15" s="135">
        <f t="shared" si="18"/>
        <v>0</v>
      </c>
      <c r="S15" s="136">
        <f t="shared" si="19"/>
        <v>25</v>
      </c>
      <c r="T15" s="135">
        <f t="shared" si="20"/>
        <v>16</v>
      </c>
      <c r="U15" s="135">
        <f t="shared" si="21"/>
        <v>89</v>
      </c>
      <c r="V15" s="137">
        <f t="shared" si="22"/>
        <v>15.73</v>
      </c>
      <c r="W15" s="72" t="s">
        <v>83</v>
      </c>
      <c r="X15" s="71">
        <v>5</v>
      </c>
      <c r="Y15" s="71">
        <v>0</v>
      </c>
      <c r="Z15" s="71">
        <v>0</v>
      </c>
      <c r="AA15" s="71">
        <v>0</v>
      </c>
      <c r="AB15" s="71">
        <v>5</v>
      </c>
      <c r="AC15" s="71">
        <v>0</v>
      </c>
      <c r="AD15" s="71">
        <v>14</v>
      </c>
      <c r="AE15" s="71">
        <v>46</v>
      </c>
      <c r="AF15" s="71">
        <v>-32</v>
      </c>
      <c r="AG15" s="71">
        <v>11</v>
      </c>
      <c r="AH15" s="71">
        <v>1</v>
      </c>
      <c r="AI15" s="71">
        <v>2</v>
      </c>
      <c r="AJ15" s="70">
        <v>9.09</v>
      </c>
      <c r="AK15" s="71">
        <v>8</v>
      </c>
      <c r="AL15" s="71">
        <v>6</v>
      </c>
      <c r="AM15" s="71">
        <v>0</v>
      </c>
      <c r="AN15" s="70">
        <v>25</v>
      </c>
      <c r="AO15" s="71">
        <v>8</v>
      </c>
      <c r="AP15" s="71">
        <v>0</v>
      </c>
      <c r="AQ15" s="71">
        <v>0</v>
      </c>
      <c r="AR15" s="71">
        <v>0</v>
      </c>
      <c r="AS15" s="71">
        <v>0</v>
      </c>
      <c r="AT15" s="71">
        <v>0</v>
      </c>
      <c r="AU15" s="71">
        <v>16</v>
      </c>
      <c r="AV15" s="71">
        <v>89</v>
      </c>
      <c r="AW15" s="70">
        <v>15.73</v>
      </c>
      <c r="AX15" s="71">
        <v>301</v>
      </c>
      <c r="AY15" s="71">
        <v>185</v>
      </c>
      <c r="AZ15" s="71">
        <v>97</v>
      </c>
      <c r="BA15" s="3" t="s">
        <v>83</v>
      </c>
      <c r="BB15" s="62" t="s">
        <v>5</v>
      </c>
      <c r="BC15" s="62">
        <f t="shared" si="23"/>
        <v>14</v>
      </c>
      <c r="BD15" s="62">
        <f t="shared" si="24"/>
        <v>14</v>
      </c>
      <c r="BE15" s="62">
        <f t="shared" si="25"/>
        <v>14</v>
      </c>
      <c r="BF15" s="62">
        <f t="shared" si="26"/>
        <v>5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03" t="s">
        <v>5</v>
      </c>
      <c r="B1" s="303"/>
      <c r="C1" s="303"/>
      <c r="D1" s="303"/>
      <c r="E1" s="303"/>
      <c r="F1" s="303"/>
      <c r="G1" s="303"/>
      <c r="H1" s="303"/>
      <c r="I1" s="303"/>
      <c r="J1" s="303" t="s">
        <v>102</v>
      </c>
      <c r="K1" s="303"/>
      <c r="L1" s="303"/>
      <c r="M1" s="303"/>
      <c r="N1" s="303"/>
      <c r="O1" s="303"/>
      <c r="P1" s="303"/>
      <c r="Q1" s="303"/>
      <c r="R1" s="303"/>
      <c r="S1" s="247" t="s">
        <v>52</v>
      </c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9"/>
    </row>
    <row r="2" spans="1:31" ht="15" customHeight="1" thickBot="1" x14ac:dyDescent="0.3">
      <c r="A2" s="304"/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155" t="s">
        <v>47</v>
      </c>
      <c r="T2" s="156" t="s">
        <v>48</v>
      </c>
      <c r="U2" s="156" t="s">
        <v>28</v>
      </c>
      <c r="V2" s="157" t="s">
        <v>49</v>
      </c>
      <c r="W2" s="158" t="s">
        <v>211</v>
      </c>
      <c r="X2" s="250" t="s">
        <v>50</v>
      </c>
      <c r="Y2" s="251"/>
      <c r="Z2" s="251"/>
      <c r="AA2" s="251"/>
      <c r="AB2" s="64" t="s">
        <v>28</v>
      </c>
      <c r="AC2" s="251" t="s">
        <v>49</v>
      </c>
      <c r="AD2" s="251"/>
      <c r="AE2" s="252"/>
    </row>
    <row r="3" spans="1:31" ht="15" customHeight="1" thickTop="1" thickBot="1" x14ac:dyDescent="0.3">
      <c r="A3" s="305" t="str">
        <f>INDEX(tabulka!$BA$2:$BA$15,MATCH($A$1,tabulka!$BB$2:$BB$15,0))</f>
        <v>TJ Sokol Královské Vinohrady</v>
      </c>
      <c r="B3" s="305"/>
      <c r="C3" s="305"/>
      <c r="D3" s="305"/>
      <c r="E3" s="305"/>
      <c r="F3" s="305"/>
      <c r="G3" s="305"/>
      <c r="H3" s="305"/>
      <c r="I3" s="305"/>
      <c r="J3" s="305" t="str">
        <f>INDEX(tabulka!$BA$2:$BA$15,MATCH($J$1,tabulka!$BB$2:$BB$15,0))</f>
        <v>FBC 4CLEAN Česká Lípa</v>
      </c>
      <c r="K3" s="305"/>
      <c r="L3" s="305"/>
      <c r="M3" s="305"/>
      <c r="N3" s="305"/>
      <c r="O3" s="305"/>
      <c r="P3" s="305"/>
      <c r="Q3" s="305"/>
      <c r="R3" s="305"/>
      <c r="S3" s="159" t="s">
        <v>5</v>
      </c>
      <c r="T3" s="160" t="s">
        <v>102</v>
      </c>
      <c r="U3" s="160" t="s">
        <v>934</v>
      </c>
      <c r="V3" s="161" t="s">
        <v>112</v>
      </c>
      <c r="W3" s="162" t="s">
        <v>43</v>
      </c>
      <c r="X3" s="198" t="str">
        <f>IF(S3&lt;&gt;"",CONCATENATE(S3, " - ",T3),"")</f>
        <v>SKV - CLP</v>
      </c>
      <c r="Y3" s="198"/>
      <c r="Z3" s="198"/>
      <c r="AA3" s="253"/>
      <c r="AB3" s="171" t="str">
        <f>IF(U3&lt;&gt;"",U3,"")</f>
        <v>3:4p</v>
      </c>
      <c r="AC3" s="197" t="str">
        <f>IF(AND(V3&lt;&gt;"",W3&lt;&gt;""),CONCATENATE(V3," (",W3,")"),IF(V3&lt;&gt;"",V3,""))</f>
        <v>2020/2021 (ZČ)</v>
      </c>
      <c r="AD3" s="198"/>
      <c r="AE3" s="199"/>
    </row>
    <row r="4" spans="1:31" ht="15" customHeight="1" thickTop="1" thickBot="1" x14ac:dyDescent="0.3">
      <c r="A4" s="261" t="s">
        <v>25</v>
      </c>
      <c r="B4" s="262"/>
      <c r="C4" s="28" t="s">
        <v>26</v>
      </c>
      <c r="D4" s="28" t="s">
        <v>27</v>
      </c>
      <c r="E4" s="262" t="s">
        <v>28</v>
      </c>
      <c r="F4" s="262"/>
      <c r="G4" s="28" t="s">
        <v>29</v>
      </c>
      <c r="H4" s="28" t="s">
        <v>30</v>
      </c>
      <c r="I4" s="29" t="s">
        <v>31</v>
      </c>
      <c r="J4" s="268" t="s">
        <v>25</v>
      </c>
      <c r="K4" s="269"/>
      <c r="L4" s="30" t="s">
        <v>26</v>
      </c>
      <c r="M4" s="30" t="s">
        <v>27</v>
      </c>
      <c r="N4" s="269" t="s">
        <v>28</v>
      </c>
      <c r="O4" s="269"/>
      <c r="P4" s="30" t="s">
        <v>29</v>
      </c>
      <c r="Q4" s="30" t="s">
        <v>30</v>
      </c>
      <c r="R4" s="181" t="s">
        <v>31</v>
      </c>
      <c r="S4" s="163" t="s">
        <v>102</v>
      </c>
      <c r="T4" s="164" t="s">
        <v>5</v>
      </c>
      <c r="U4" s="164" t="s">
        <v>935</v>
      </c>
      <c r="V4" s="165" t="s">
        <v>112</v>
      </c>
      <c r="W4" s="166" t="s">
        <v>43</v>
      </c>
      <c r="X4" s="201" t="str">
        <f t="shared" ref="X4:X14" si="0">IF(S4&lt;&gt;"",CONCATENATE(S4, " - ",T4),"")</f>
        <v>CLP - SKV</v>
      </c>
      <c r="Y4" s="201"/>
      <c r="Z4" s="201"/>
      <c r="AA4" s="212"/>
      <c r="AB4" s="148" t="str">
        <f t="shared" ref="AB4:AB14" si="1">IF(U4&lt;&gt;"",U4,"")</f>
        <v>11:5</v>
      </c>
      <c r="AC4" s="200" t="str">
        <f t="shared" ref="AC4:AC14" si="2">IF(AND(V4&lt;&gt;"",W4&lt;&gt;""),CONCATENATE(V4," (",W4,")"),IF(V4&lt;&gt;"",V4,""))</f>
        <v>2020/2021 (ZČ)</v>
      </c>
      <c r="AD4" s="201"/>
      <c r="AE4" s="202"/>
    </row>
    <row r="5" spans="1:31" ht="15" customHeight="1" thickBot="1" x14ac:dyDescent="0.3">
      <c r="A5" s="310" t="str">
        <f>IFERROR(CONCATENATE(VLOOKUP($A$1,tabulka!$BB$2:$BF$15,2,FALSE),". místo"),"")</f>
        <v>14. místo</v>
      </c>
      <c r="B5" s="311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5</v>
      </c>
      <c r="E5" s="311" t="str">
        <f>IFERROR(CONCATENATE(VLOOKUP($A$3,tabulka!$B$2:$V$15,8,FALSE),":",VLOOKUP($A$3,tabulka!$B$2:$V$15,9,FALSE)),"")</f>
        <v>14:46</v>
      </c>
      <c r="F5" s="311"/>
      <c r="G5" s="82">
        <f>IFERROR(VLOOKUP($A$3,tabulka!$B$2:$V$15,14,FALSE),"")</f>
        <v>9.09</v>
      </c>
      <c r="H5" s="82">
        <f>IFERROR(VLOOKUP($A$3,tabulka!$B$2:$V$15,18,FALSE),"")</f>
        <v>25</v>
      </c>
      <c r="I5" s="33">
        <f>IFERROR(VLOOKUP($A$3,tabulka!$B$2:$V$15,19,FALSE),"")</f>
        <v>16</v>
      </c>
      <c r="J5" s="312" t="str">
        <f>IFERROR(CONCATENATE(VLOOKUP($J$1,tabulka!$BB$2:$BF$15,2,FALSE),". místo"),"")</f>
        <v>12. místo</v>
      </c>
      <c r="K5" s="313"/>
      <c r="L5" s="34">
        <f>IFERROR(VLOOKUP($J$3,tabulka!$B$2:$V$15,3,FALSE)+VLOOKUP($J$3,tabulka!$B$2:$V$15,4,FALSE),"")</f>
        <v>1</v>
      </c>
      <c r="M5" s="35">
        <f>IFERROR(VLOOKUP($J$3,tabulka!$B$2:$V$15,5,FALSE)+VLOOKUP($J$3,tabulka!$B$2:$V$15,6,FALSE),"")</f>
        <v>5</v>
      </c>
      <c r="N5" s="313" t="str">
        <f>IFERROR(CONCATENATE(VLOOKUP($J$3,tabulka!$B$2:$V$15,8,FALSE),":",VLOOKUP($J$3,tabulka!$B$2:$V$15,9,FALSE)),"")</f>
        <v>29:51</v>
      </c>
      <c r="O5" s="313"/>
      <c r="P5" s="83">
        <f>IFERROR(VLOOKUP($J$3,tabulka!$B$2:$V$15,14,FALSE),"")</f>
        <v>50</v>
      </c>
      <c r="Q5" s="83">
        <f>IFERROR(VLOOKUP($J$3,tabulka!$B$2:$V$15,18,FALSE),"")</f>
        <v>26.67</v>
      </c>
      <c r="R5" s="182">
        <f>IFERROR(VLOOKUP($J$3,tabulka!$B$2:$V$15,19,FALSE),"")</f>
        <v>53</v>
      </c>
      <c r="S5" s="163" t="s">
        <v>102</v>
      </c>
      <c r="T5" s="164" t="s">
        <v>5</v>
      </c>
      <c r="U5" s="164" t="s">
        <v>936</v>
      </c>
      <c r="V5" s="165" t="s">
        <v>114</v>
      </c>
      <c r="W5" s="166" t="s">
        <v>43</v>
      </c>
      <c r="X5" s="201" t="str">
        <f t="shared" si="0"/>
        <v>CLP - SKV</v>
      </c>
      <c r="Y5" s="201"/>
      <c r="Z5" s="201"/>
      <c r="AA5" s="212"/>
      <c r="AB5" s="148" t="str">
        <f t="shared" si="1"/>
        <v>6:7p</v>
      </c>
      <c r="AC5" s="200" t="str">
        <f t="shared" si="2"/>
        <v>2019/2020 (ZČ)</v>
      </c>
      <c r="AD5" s="201"/>
      <c r="AE5" s="202"/>
    </row>
    <row r="6" spans="1:31" ht="15" customHeight="1" thickTop="1" x14ac:dyDescent="0.25">
      <c r="A6" s="26"/>
      <c r="B6" s="26"/>
      <c r="C6" s="26"/>
      <c r="D6" s="26"/>
      <c r="E6" s="203" t="s">
        <v>110</v>
      </c>
      <c r="F6" s="203"/>
      <c r="G6" s="36">
        <f>IFERROR(VLOOKUP($A$1,tabulka!$BB$2:$BF$15,3,FALSE),"")</f>
        <v>14</v>
      </c>
      <c r="H6" s="36">
        <f>IFERROR(VLOOKUP($A$1,tabulka!$BB$2:$BF$15,4,FALSE),"")</f>
        <v>14</v>
      </c>
      <c r="I6" s="36">
        <f>IFERROR(VLOOKUP($A$1,tabulka!$BB$2:$BF$15,5,FALSE),"")</f>
        <v>5</v>
      </c>
      <c r="J6" s="26"/>
      <c r="K6" s="26"/>
      <c r="L6" s="26"/>
      <c r="N6" s="203" t="s">
        <v>110</v>
      </c>
      <c r="O6" s="203"/>
      <c r="P6" s="36">
        <f>IFERROR(VLOOKUP($J$1,tabulka!$BB$2:$BF$15,3,FALSE),"")</f>
        <v>3</v>
      </c>
      <c r="Q6" s="36">
        <f>IFERROR(VLOOKUP($J$1,tabulka!$BB$2:$BF$15,4,FALSE),"")</f>
        <v>13</v>
      </c>
      <c r="R6" s="36">
        <f>IFERROR(VLOOKUP($J$1,tabulka!$BB$2:$BF$15,5,FALSE),"")</f>
        <v>14</v>
      </c>
      <c r="S6" s="163" t="s">
        <v>5</v>
      </c>
      <c r="T6" s="164" t="s">
        <v>102</v>
      </c>
      <c r="U6" s="164" t="s">
        <v>937</v>
      </c>
      <c r="V6" s="165" t="s">
        <v>114</v>
      </c>
      <c r="W6" s="166" t="s">
        <v>43</v>
      </c>
      <c r="X6" s="201" t="str">
        <f t="shared" si="0"/>
        <v>SKV - CLP</v>
      </c>
      <c r="Y6" s="201"/>
      <c r="Z6" s="201"/>
      <c r="AA6" s="212"/>
      <c r="AB6" s="148" t="str">
        <f t="shared" si="1"/>
        <v>8:5</v>
      </c>
      <c r="AC6" s="200" t="str">
        <f t="shared" si="2"/>
        <v>2019/2020 (ZČ)</v>
      </c>
      <c r="AD6" s="201"/>
      <c r="AE6" s="202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3" t="s">
        <v>5</v>
      </c>
      <c r="T7" s="164" t="s">
        <v>102</v>
      </c>
      <c r="U7" s="164" t="s">
        <v>113</v>
      </c>
      <c r="V7" s="165" t="s">
        <v>115</v>
      </c>
      <c r="W7" s="166" t="s">
        <v>43</v>
      </c>
      <c r="X7" s="201" t="str">
        <f t="shared" si="0"/>
        <v>SKV - CLP</v>
      </c>
      <c r="Y7" s="201"/>
      <c r="Z7" s="201"/>
      <c r="AA7" s="212"/>
      <c r="AB7" s="148" t="str">
        <f t="shared" si="1"/>
        <v>7:6p</v>
      </c>
      <c r="AC7" s="200" t="str">
        <f t="shared" si="2"/>
        <v>2018/2019 (ZČ)</v>
      </c>
      <c r="AD7" s="201"/>
      <c r="AE7" s="202"/>
    </row>
    <row r="8" spans="1:31" ht="15" customHeight="1" thickTop="1" thickBot="1" x14ac:dyDescent="0.3">
      <c r="A8" s="314" t="s">
        <v>32</v>
      </c>
      <c r="B8" s="315"/>
      <c r="C8" s="316" t="str">
        <f ca="1">IFERROR(IF(INDIRECT("priprava_" &amp; A1 &amp; "!BY12")&lt;&gt;0,INDIRECT("priprava_" &amp; A1 &amp; "!BY12"),""),"")</f>
        <v>P - P - P - P - P</v>
      </c>
      <c r="D8" s="316"/>
      <c r="E8" s="316"/>
      <c r="F8" s="316"/>
      <c r="G8" s="316"/>
      <c r="H8" s="317"/>
      <c r="I8" s="25"/>
      <c r="J8" s="318" t="s">
        <v>32</v>
      </c>
      <c r="K8" s="319"/>
      <c r="L8" s="320" t="str">
        <f ca="1">IFERROR(IF(INDIRECT("priprava_" &amp; J1 &amp; "!BY12")&lt;&gt;0,INDIRECT("priprava_" &amp; J1 &amp; "!BY12"),""),"")</f>
        <v>P - P - P - P - VP - P</v>
      </c>
      <c r="M8" s="320"/>
      <c r="N8" s="320"/>
      <c r="O8" s="320"/>
      <c r="P8" s="320"/>
      <c r="Q8" s="321"/>
      <c r="R8" s="25"/>
      <c r="S8" s="163" t="s">
        <v>102</v>
      </c>
      <c r="T8" s="164" t="s">
        <v>5</v>
      </c>
      <c r="U8" s="164" t="s">
        <v>935</v>
      </c>
      <c r="V8" s="165" t="s">
        <v>115</v>
      </c>
      <c r="W8" s="166" t="s">
        <v>43</v>
      </c>
      <c r="X8" s="201" t="str">
        <f t="shared" si="0"/>
        <v>CLP - SKV</v>
      </c>
      <c r="Y8" s="201"/>
      <c r="Z8" s="201"/>
      <c r="AA8" s="212"/>
      <c r="AB8" s="148" t="str">
        <f t="shared" si="1"/>
        <v>11:5</v>
      </c>
      <c r="AC8" s="200" t="str">
        <f t="shared" si="2"/>
        <v>2018/2019 (ZČ)</v>
      </c>
      <c r="AD8" s="201"/>
      <c r="AE8" s="202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3"/>
      <c r="T9" s="164"/>
      <c r="U9" s="164"/>
      <c r="V9" s="165"/>
      <c r="W9" s="166"/>
      <c r="X9" s="201" t="str">
        <f t="shared" si="0"/>
        <v/>
      </c>
      <c r="Y9" s="201"/>
      <c r="Z9" s="201"/>
      <c r="AA9" s="212"/>
      <c r="AB9" s="148" t="str">
        <f t="shared" si="1"/>
        <v/>
      </c>
      <c r="AC9" s="200" t="str">
        <f t="shared" si="2"/>
        <v/>
      </c>
      <c r="AD9" s="201"/>
      <c r="AE9" s="202"/>
    </row>
    <row r="10" spans="1:31" ht="15" customHeight="1" thickTop="1" thickBot="1" x14ac:dyDescent="0.3">
      <c r="A10" s="261" t="s">
        <v>33</v>
      </c>
      <c r="B10" s="262"/>
      <c r="C10" s="262"/>
      <c r="D10" s="267"/>
      <c r="E10" s="266" t="s">
        <v>34</v>
      </c>
      <c r="F10" s="262"/>
      <c r="G10" s="262"/>
      <c r="H10" s="267"/>
      <c r="I10" s="25"/>
      <c r="J10" s="261" t="s">
        <v>33</v>
      </c>
      <c r="K10" s="262"/>
      <c r="L10" s="262"/>
      <c r="M10" s="267"/>
      <c r="N10" s="266" t="s">
        <v>34</v>
      </c>
      <c r="O10" s="262"/>
      <c r="P10" s="262"/>
      <c r="Q10" s="267"/>
      <c r="R10" s="37"/>
      <c r="S10" s="163"/>
      <c r="T10" s="164"/>
      <c r="U10" s="164"/>
      <c r="V10" s="165"/>
      <c r="W10" s="166"/>
      <c r="X10" s="201" t="str">
        <f t="shared" si="0"/>
        <v/>
      </c>
      <c r="Y10" s="201"/>
      <c r="Z10" s="201"/>
      <c r="AA10" s="212"/>
      <c r="AB10" s="148" t="str">
        <f t="shared" si="1"/>
        <v/>
      </c>
      <c r="AC10" s="200" t="str">
        <f t="shared" si="2"/>
        <v/>
      </c>
      <c r="AD10" s="201"/>
      <c r="AE10" s="202"/>
    </row>
    <row r="11" spans="1:31" ht="15" customHeight="1" x14ac:dyDescent="0.25">
      <c r="A11" s="322" t="str">
        <f ca="1">IFERROR(IF(INDIRECT("priprava_" &amp; A$1 &amp; "!BZ2")&lt;&gt;"",INDIRECT("priprava_" &amp; A$1 &amp; "!BZ2"),""),"")</f>
        <v>BA (d)</v>
      </c>
      <c r="B11" s="218"/>
      <c r="C11" s="323" t="str">
        <f ca="1">IFERROR(IF(A11&lt;&gt;"",INDIRECT("priprava_" &amp; A$1 &amp; "!CA2"),""),"")</f>
        <v>2:7</v>
      </c>
      <c r="D11" s="324"/>
      <c r="E11" s="217" t="str">
        <f ca="1">IFERROR(IF(INDIRECT("priprava_" &amp; A$1 &amp; "!BZ7")&lt;&gt;"",INDIRECT("priprava_" &amp; A$1 &amp; "!BZ7"),""),"")</f>
        <v>PAR (d)</v>
      </c>
      <c r="F11" s="218"/>
      <c r="G11" s="323" t="str">
        <f ca="1">IFERROR(IF(E11&lt;&gt;"",INDIRECT("priprava_" &amp; A$1 &amp; "!BY7"),""),"")</f>
        <v>8. 10.</v>
      </c>
      <c r="H11" s="324"/>
      <c r="I11" s="25"/>
      <c r="J11" s="322" t="str">
        <f ca="1">IFERROR(IF(INDIRECT("priprava_" &amp; J$1 &amp; "!BZ2")&lt;&gt;"",INDIRECT("priprava_" &amp; J$1 &amp; "!BZ2"),""),"")</f>
        <v>LIB (d)</v>
      </c>
      <c r="K11" s="218"/>
      <c r="L11" s="323" t="str">
        <f ca="1">IFERROR(IF(J11&lt;&gt;"",INDIRECT("priprava_" &amp; J$1 &amp; "!CA2"),""),"")</f>
        <v>4:8</v>
      </c>
      <c r="M11" s="324"/>
      <c r="N11" s="217" t="str">
        <f ca="1">IFERROR(IF(INDIRECT("priprava_" &amp; J$1 &amp; "!BZ7")&lt;&gt;"",INDIRECT("priprava_" &amp; J$1 &amp; "!BZ7"),""),"")</f>
        <v>OTR (h)</v>
      </c>
      <c r="O11" s="218"/>
      <c r="P11" s="323" t="str">
        <f ca="1">IFERROR(IF(N11&lt;&gt;"",INDIRECT("priprava_" &amp; J$1 &amp; "!BY7"),""),"")</f>
        <v>10. 10.</v>
      </c>
      <c r="Q11" s="324"/>
      <c r="R11" s="38"/>
      <c r="S11" s="163"/>
      <c r="T11" s="164"/>
      <c r="U11" s="164"/>
      <c r="V11" s="165"/>
      <c r="W11" s="166"/>
      <c r="X11" s="201" t="str">
        <f t="shared" si="0"/>
        <v/>
      </c>
      <c r="Y11" s="201"/>
      <c r="Z11" s="201"/>
      <c r="AA11" s="212"/>
      <c r="AB11" s="148" t="str">
        <f t="shared" si="1"/>
        <v/>
      </c>
      <c r="AC11" s="200" t="str">
        <f t="shared" si="2"/>
        <v/>
      </c>
      <c r="AD11" s="201"/>
      <c r="AE11" s="202"/>
    </row>
    <row r="12" spans="1:31" ht="15" customHeight="1" x14ac:dyDescent="0.25">
      <c r="A12" s="301" t="str">
        <f ca="1">IFERROR(IF(INDIRECT("priprava_" &amp; A$1 &amp; "!BZ3")&lt;&gt;"",INDIRECT("priprava_" &amp; A$1 &amp; "!BZ3"),""),"")</f>
        <v>CHO (h)</v>
      </c>
      <c r="B12" s="300"/>
      <c r="C12" s="298" t="str">
        <f ca="1">IFERROR(IF(A12&lt;&gt;"",INDIRECT("priprava_" &amp; A$1 &amp; "!CA3"),""),"")</f>
        <v>7:13</v>
      </c>
      <c r="D12" s="299"/>
      <c r="E12" s="212" t="str">
        <f ca="1">IFERROR(IF(INDIRECT("priprava_" &amp; A$1 &amp; "!BZ8")&lt;&gt;"",INDIRECT("priprava_" &amp; A$1 &amp; "!BZ8"),""),"")</f>
        <v>BOH (d)</v>
      </c>
      <c r="F12" s="300"/>
      <c r="G12" s="298" t="str">
        <f ca="1">IFERROR(IF(E12&lt;&gt;"",INDIRECT("priprava_" &amp; A$1 &amp; "!BY8"),""),"")</f>
        <v>10. 10.</v>
      </c>
      <c r="H12" s="299"/>
      <c r="I12" s="26"/>
      <c r="J12" s="301" t="str">
        <f ca="1">IFERROR(IF(INDIRECT("priprava_" &amp; J$1 &amp; "!BZ3")&lt;&gt;"",INDIRECT("priprava_" &amp; J$1 &amp; "!BZ3"),""),"")</f>
        <v>HAT (h)</v>
      </c>
      <c r="K12" s="300"/>
      <c r="L12" s="298" t="str">
        <f ca="1">IFERROR(IF(J12&lt;&gt;"",INDIRECT("priprava_" &amp; J$1 &amp; "!CA3"),""),"")</f>
        <v>7:6p</v>
      </c>
      <c r="M12" s="299"/>
      <c r="N12" s="212" t="str">
        <f ca="1">IFERROR(IF(INDIRECT("priprava_" &amp; J$1 &amp; "!BZ8")&lt;&gt;"",INDIRECT("priprava_" &amp; J$1 &amp; "!BZ8"),""),"")</f>
        <v>CHO (d)</v>
      </c>
      <c r="O12" s="300"/>
      <c r="P12" s="298" t="str">
        <f ca="1">IFERROR(IF(N12&lt;&gt;"",INDIRECT("priprava_" &amp; J$1 &amp; "!BY8"),""),"")</f>
        <v>22. 10.</v>
      </c>
      <c r="Q12" s="299"/>
      <c r="R12" s="25"/>
      <c r="S12" s="163"/>
      <c r="T12" s="164"/>
      <c r="U12" s="164"/>
      <c r="V12" s="165"/>
      <c r="W12" s="166"/>
      <c r="X12" s="201" t="str">
        <f t="shared" si="0"/>
        <v/>
      </c>
      <c r="Y12" s="201"/>
      <c r="Z12" s="201"/>
      <c r="AA12" s="212"/>
      <c r="AB12" s="148" t="str">
        <f t="shared" si="1"/>
        <v/>
      </c>
      <c r="AC12" s="200" t="str">
        <f t="shared" si="2"/>
        <v/>
      </c>
      <c r="AD12" s="201"/>
      <c r="AE12" s="202"/>
    </row>
    <row r="13" spans="1:31" ht="15" customHeight="1" x14ac:dyDescent="0.25">
      <c r="A13" s="302" t="str">
        <f ca="1">IFERROR(IF(INDIRECT("priprava_" &amp; A$1 &amp; "!BZ4")&lt;&gt;"",INDIRECT("priprava_" &amp; A$1 &amp; "!BZ4"),""),"")</f>
        <v>LIB (d)</v>
      </c>
      <c r="B13" s="214"/>
      <c r="C13" s="215" t="str">
        <f ca="1">IFERROR(IF(A13&lt;&gt;"",INDIRECT("priprava_" &amp; A$1 &amp; "!CA4"),""),"")</f>
        <v>2:7</v>
      </c>
      <c r="D13" s="216"/>
      <c r="E13" s="213" t="str">
        <f ca="1">IFERROR(IF(INDIRECT("priprava_" &amp; A$1 &amp; "!BZ9")&lt;&gt;"",INDIRECT("priprava_" &amp; A$1 &amp; "!BZ9"),""),"")</f>
        <v>VIT (h)</v>
      </c>
      <c r="F13" s="214"/>
      <c r="G13" s="215" t="str">
        <f ca="1">IFERROR(IF(E13&lt;&gt;"",INDIRECT("priprava_" &amp; A$1 &amp; "!BY9"),""),"")</f>
        <v>22. 10.</v>
      </c>
      <c r="H13" s="216"/>
      <c r="I13" s="25"/>
      <c r="J13" s="302" t="str">
        <f ca="1">IFERROR(IF(INDIRECT("priprava_" &amp; J$1 &amp; "!BZ4")&lt;&gt;"",INDIRECT("priprava_" &amp; J$1 &amp; "!BZ4"),""),"")</f>
        <v>OST (d)</v>
      </c>
      <c r="K13" s="214"/>
      <c r="L13" s="215" t="str">
        <f ca="1">IFERROR(IF(J13&lt;&gt;"",INDIRECT("priprava_" &amp; J$1 &amp; "!CA4"),""),"")</f>
        <v>5:13</v>
      </c>
      <c r="M13" s="216"/>
      <c r="N13" s="213" t="str">
        <f ca="1">IFERROR(IF(INDIRECT("priprava_" &amp; J$1 &amp; "!BZ9")&lt;&gt;"",INDIRECT("priprava_" &amp; J$1 &amp; "!BZ9"),""),"")</f>
        <v>MB (h)</v>
      </c>
      <c r="O13" s="214"/>
      <c r="P13" s="215" t="str">
        <f ca="1">IFERROR(IF(N13&lt;&gt;"",INDIRECT("priprava_" &amp; J$1 &amp; "!BY9"),""),"")</f>
        <v>24. 10.</v>
      </c>
      <c r="Q13" s="216"/>
      <c r="R13" s="27"/>
      <c r="S13" s="163"/>
      <c r="T13" s="164"/>
      <c r="U13" s="164"/>
      <c r="V13" s="165"/>
      <c r="W13" s="166"/>
      <c r="X13" s="201" t="str">
        <f t="shared" si="0"/>
        <v/>
      </c>
      <c r="Y13" s="201"/>
      <c r="Z13" s="201"/>
      <c r="AA13" s="212"/>
      <c r="AB13" s="148" t="str">
        <f t="shared" si="1"/>
        <v/>
      </c>
      <c r="AC13" s="200" t="str">
        <f t="shared" si="2"/>
        <v/>
      </c>
      <c r="AD13" s="201"/>
      <c r="AE13" s="202"/>
    </row>
    <row r="14" spans="1:31" ht="15" customHeight="1" x14ac:dyDescent="0.25">
      <c r="A14" s="301" t="str">
        <f ca="1">IFERROR(IF(INDIRECT("priprava_" &amp; A$1 &amp; "!BZ5")&lt;&gt;"",INDIRECT("priprava_" &amp; A$1 &amp; "!BZ5"),""),"")</f>
        <v>OST (h)</v>
      </c>
      <c r="B14" s="300"/>
      <c r="C14" s="298" t="str">
        <f ca="1">IFERROR(IF(A14&lt;&gt;"",INDIRECT("priprava_" &amp; A$1 &amp; "!CA5"),""),"")</f>
        <v>1:8</v>
      </c>
      <c r="D14" s="299"/>
      <c r="E14" s="212" t="str">
        <f ca="1">IFERROR(IF(INDIRECT("priprava_" &amp; A$1 &amp; "!BZ10")&lt;&gt;"",INDIRECT("priprava_" &amp; A$1 &amp; "!BZ10"),""),"")</f>
        <v>HAT (d)</v>
      </c>
      <c r="F14" s="300"/>
      <c r="G14" s="298" t="str">
        <f ca="1">IFERROR(IF(E14&lt;&gt;"",INDIRECT("priprava_" &amp; A$1 &amp; "!BY10"),""),"")</f>
        <v>24. 10.</v>
      </c>
      <c r="H14" s="299"/>
      <c r="I14" s="26"/>
      <c r="J14" s="301" t="str">
        <f ca="1">IFERROR(IF(INDIRECT("priprava_" &amp; J$1 &amp; "!BZ5")&lt;&gt;"",INDIRECT("priprava_" &amp; J$1 &amp; "!BZ5"),""),"")</f>
        <v>VIT (h)</v>
      </c>
      <c r="K14" s="300"/>
      <c r="L14" s="298" t="str">
        <f ca="1">IFERROR(IF(J14&lt;&gt;"",INDIRECT("priprava_" &amp; J$1 &amp; "!CA5"),""),"")</f>
        <v>3:8</v>
      </c>
      <c r="M14" s="299"/>
      <c r="N14" s="212" t="str">
        <f ca="1">IFERROR(IF(INDIRECT("priprava_" &amp; J$1 &amp; "!BZ10")&lt;&gt;"",INDIRECT("priprava_" &amp; J$1 &amp; "!BZ10"),""),"")</f>
        <v>BA (d)</v>
      </c>
      <c r="O14" s="300"/>
      <c r="P14" s="298" t="str">
        <f ca="1">IFERROR(IF(N14&lt;&gt;"",INDIRECT("priprava_" &amp; J$1 &amp; "!BY10"),""),"")</f>
        <v>28. 10.</v>
      </c>
      <c r="Q14" s="299"/>
      <c r="R14" s="25"/>
      <c r="S14" s="163"/>
      <c r="T14" s="164"/>
      <c r="U14" s="164"/>
      <c r="V14" s="165"/>
      <c r="W14" s="166"/>
      <c r="X14" s="201" t="str">
        <f t="shared" si="0"/>
        <v/>
      </c>
      <c r="Y14" s="201"/>
      <c r="Z14" s="201"/>
      <c r="AA14" s="212"/>
      <c r="AB14" s="148" t="str">
        <f t="shared" si="1"/>
        <v/>
      </c>
      <c r="AC14" s="200" t="str">
        <f t="shared" si="2"/>
        <v/>
      </c>
      <c r="AD14" s="201"/>
      <c r="AE14" s="202"/>
    </row>
    <row r="15" spans="1:31" ht="15" customHeight="1" thickBot="1" x14ac:dyDescent="0.3">
      <c r="A15" s="275" t="str">
        <f ca="1">IFERROR(IF(INDIRECT("priprava_" &amp; A$1 &amp; "!BZ6")&lt;&gt;"",INDIRECT("priprava_" &amp; A$1 &amp; "!BZ6"),""),"")</f>
        <v>TAT (d)</v>
      </c>
      <c r="B15" s="259"/>
      <c r="C15" s="210" t="str">
        <f ca="1">IFERROR(IF(A15&lt;&gt;"",INDIRECT("priprava_" &amp; A$1 &amp; "!CA6"),""),"")</f>
        <v>2:11</v>
      </c>
      <c r="D15" s="211"/>
      <c r="E15" s="258" t="str">
        <f ca="1">IFERROR(IF(INDIRECT("priprava_" &amp; A$1 &amp; "!BZ11")&lt;&gt;"",INDIRECT("priprava_" &amp; A$1 &amp; "!BZ11"),""),"")</f>
        <v>OTR (h)</v>
      </c>
      <c r="F15" s="259"/>
      <c r="G15" s="210" t="str">
        <f ca="1">IFERROR(IF(E15&lt;&gt;"",INDIRECT("priprava_" &amp; A$1 &amp; "!BY11"),""),"")</f>
        <v>28. 10.</v>
      </c>
      <c r="H15" s="211"/>
      <c r="I15" s="25"/>
      <c r="J15" s="275" t="str">
        <f ca="1">IFERROR(IF(INDIRECT("priprava_" &amp; J$1 &amp; "!BZ6")&lt;&gt;"",INDIRECT("priprava_" &amp; J$1 &amp; "!BZ6"),""),"")</f>
        <v>TAT (d)</v>
      </c>
      <c r="K15" s="259"/>
      <c r="L15" s="210" t="str">
        <f ca="1">IFERROR(IF(J15&lt;&gt;"",INDIRECT("priprava_" &amp; J$1 &amp; "!CA6"),""),"")</f>
        <v>4:6</v>
      </c>
      <c r="M15" s="211"/>
      <c r="N15" s="258" t="str">
        <f ca="1">IFERROR(IF(INDIRECT("priprava_" &amp; J$1 &amp; "!BZ11")&lt;&gt;"",INDIRECT("priprava_" &amp; J$1 &amp; "!BZ11"),""),"")</f>
        <v>SPA (h)</v>
      </c>
      <c r="O15" s="259"/>
      <c r="P15" s="210" t="str">
        <f ca="1">IFERROR(IF(N15&lt;&gt;"",INDIRECT("priprava_" &amp; J$1 &amp; "!BY11"),""),"")</f>
        <v>31. 10.</v>
      </c>
      <c r="Q15" s="211"/>
      <c r="R15" s="25"/>
      <c r="S15" s="163"/>
      <c r="T15" s="164"/>
      <c r="U15" s="164"/>
      <c r="V15" s="165"/>
      <c r="W15" s="166"/>
      <c r="X15" s="201" t="str">
        <f t="shared" ref="X15:X18" si="3">IF(S15&lt;&gt;"",CONCATENATE(S15, " - ",T15),"")</f>
        <v/>
      </c>
      <c r="Y15" s="201"/>
      <c r="Z15" s="201"/>
      <c r="AA15" s="212"/>
      <c r="AB15" s="148" t="str">
        <f t="shared" ref="AB15:AB18" si="4">IF(U15&lt;&gt;"",U15,"")</f>
        <v/>
      </c>
      <c r="AC15" s="200" t="str">
        <f t="shared" ref="AC15:AC18" si="5">IF(AND(V15&lt;&gt;"",W15&lt;&gt;""),CONCATENATE(V15," (",W15,")"),IF(V15&lt;&gt;"",V15,""))</f>
        <v/>
      </c>
      <c r="AD15" s="201"/>
      <c r="AE15" s="202"/>
    </row>
    <row r="16" spans="1:31" ht="15" customHeight="1" thickTop="1" x14ac:dyDescent="0.25">
      <c r="R16" s="37"/>
      <c r="S16" s="163"/>
      <c r="T16" s="164"/>
      <c r="U16" s="164"/>
      <c r="V16" s="165"/>
      <c r="W16" s="166"/>
      <c r="X16" s="201" t="str">
        <f t="shared" si="3"/>
        <v/>
      </c>
      <c r="Y16" s="201"/>
      <c r="Z16" s="201"/>
      <c r="AA16" s="212"/>
      <c r="AB16" s="148" t="str">
        <f t="shared" si="4"/>
        <v/>
      </c>
      <c r="AC16" s="200" t="str">
        <f t="shared" si="5"/>
        <v/>
      </c>
      <c r="AD16" s="201"/>
      <c r="AE16" s="202"/>
    </row>
    <row r="17" spans="1:31" ht="15" customHeight="1" thickBot="1" x14ac:dyDescent="0.3">
      <c r="A17" s="260" t="s">
        <v>35</v>
      </c>
      <c r="B17" s="260"/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163"/>
      <c r="T17" s="164"/>
      <c r="U17" s="164"/>
      <c r="V17" s="165"/>
      <c r="W17" s="166"/>
      <c r="X17" s="201" t="str">
        <f t="shared" si="3"/>
        <v/>
      </c>
      <c r="Y17" s="201"/>
      <c r="Z17" s="201"/>
      <c r="AA17" s="212"/>
      <c r="AB17" s="148" t="str">
        <f t="shared" si="4"/>
        <v/>
      </c>
      <c r="AC17" s="200" t="str">
        <f t="shared" si="5"/>
        <v/>
      </c>
      <c r="AD17" s="201"/>
      <c r="AE17" s="202"/>
    </row>
    <row r="18" spans="1:31" ht="15" customHeight="1" thickTop="1" thickBot="1" x14ac:dyDescent="0.3">
      <c r="A18" s="261" t="s">
        <v>36</v>
      </c>
      <c r="B18" s="262"/>
      <c r="C18" s="263"/>
      <c r="D18" s="264" t="s">
        <v>37</v>
      </c>
      <c r="E18" s="262"/>
      <c r="F18" s="265"/>
      <c r="G18" s="266" t="s">
        <v>38</v>
      </c>
      <c r="H18" s="262"/>
      <c r="I18" s="267"/>
      <c r="J18" s="268" t="s">
        <v>36</v>
      </c>
      <c r="K18" s="269"/>
      <c r="L18" s="270"/>
      <c r="M18" s="271" t="s">
        <v>37</v>
      </c>
      <c r="N18" s="269"/>
      <c r="O18" s="272"/>
      <c r="P18" s="273" t="s">
        <v>38</v>
      </c>
      <c r="Q18" s="269"/>
      <c r="R18" s="274"/>
      <c r="S18" s="167"/>
      <c r="T18" s="168"/>
      <c r="U18" s="168"/>
      <c r="V18" s="169"/>
      <c r="W18" s="170"/>
      <c r="X18" s="306" t="str">
        <f t="shared" si="3"/>
        <v/>
      </c>
      <c r="Y18" s="306"/>
      <c r="Z18" s="306"/>
      <c r="AA18" s="307"/>
      <c r="AB18" s="172" t="str">
        <f t="shared" si="4"/>
        <v/>
      </c>
      <c r="AC18" s="308" t="str">
        <f t="shared" si="5"/>
        <v/>
      </c>
      <c r="AD18" s="306"/>
      <c r="AE18" s="309"/>
    </row>
    <row r="19" spans="1:31" ht="15" customHeight="1" x14ac:dyDescent="0.25">
      <c r="A19" s="292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93"/>
      <c r="C19" s="39">
        <f ca="1">IFERROR(IF(A19&lt;&gt;"",INDIRECT("priprava_" &amp; A$1 &amp; "!BW2"),""),"")</f>
        <v>6</v>
      </c>
      <c r="D19" s="294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93"/>
      <c r="F19" s="39">
        <f ca="1">IFERROR(IF(D19&lt;&gt;"",INDIRECT("priprava_" &amp; A$1 &amp; "!BW12"),""),"")</f>
        <v>5</v>
      </c>
      <c r="G19" s="294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Pergler</v>
      </c>
      <c r="H19" s="293"/>
      <c r="I19" s="39">
        <f ca="1">IFERROR(IF(G19&lt;&gt;"",INDIRECT("priprava_" &amp; A$1 &amp; "!BW22"),""),"")</f>
        <v>2</v>
      </c>
      <c r="J19" s="295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Krajcigr</v>
      </c>
      <c r="K19" s="296"/>
      <c r="L19" s="40">
        <f ca="1">IFERROR(IF(J19&lt;&gt;"",INDIRECT("priprava_" &amp; J$1 &amp; "!BW2"),""),"")</f>
        <v>10</v>
      </c>
      <c r="M19" s="297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Kopič</v>
      </c>
      <c r="N19" s="296"/>
      <c r="O19" s="40">
        <f ca="1">IFERROR(IF(M19&lt;&gt;"",INDIRECT("priprava_" &amp; J$1 &amp; "!BW12"),""),"")</f>
        <v>6</v>
      </c>
      <c r="P19" s="297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Tichý</v>
      </c>
      <c r="Q19" s="296"/>
      <c r="R19" s="41">
        <f ca="1">IFERROR(IF(P19&lt;&gt;"",INDIRECT("priprava_" &amp; J$1 &amp; "!BW22"),""),"")</f>
        <v>5</v>
      </c>
    </row>
    <row r="20" spans="1:31" ht="15" customHeight="1" x14ac:dyDescent="0.25">
      <c r="A20" s="284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Pergler</v>
      </c>
      <c r="B20" s="285"/>
      <c r="C20" s="42">
        <f ca="1">IFERROR(IF(A20&lt;&gt;"",INDIRECT("priprava_" &amp; A$1 &amp; "!BW3"),""),"")</f>
        <v>4</v>
      </c>
      <c r="D20" s="286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Pergler</v>
      </c>
      <c r="E20" s="285"/>
      <c r="F20" s="43">
        <f ca="1">IFERROR(IF(D20&lt;&gt;"",INDIRECT("priprava_" &amp; A$1 &amp; "!BW13"),""),"")</f>
        <v>2</v>
      </c>
      <c r="G20" s="287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85"/>
      <c r="I20" s="44">
        <f ca="1">IFERROR(IF(G20&lt;&gt;"",INDIRECT("priprava_" &amp; A$1 &amp; "!BW23"),""),"")</f>
        <v>2</v>
      </c>
      <c r="J20" s="288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Tichý</v>
      </c>
      <c r="K20" s="289"/>
      <c r="L20" s="45">
        <f ca="1">IFERROR(IF(J20&lt;&gt;"",INDIRECT("priprava_" &amp; J$1 &amp; "!BW3"),""),"")</f>
        <v>8</v>
      </c>
      <c r="M20" s="290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Krajcigr</v>
      </c>
      <c r="N20" s="289"/>
      <c r="O20" s="46">
        <f ca="1">IFERROR(IF(M20&lt;&gt;"",INDIRECT("priprava_" &amp; J$1 &amp; "!BW13"),""),"")</f>
        <v>6</v>
      </c>
      <c r="P20" s="291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Štěrba</v>
      </c>
      <c r="Q20" s="289"/>
      <c r="R20" s="47">
        <f ca="1">IFERROR(IF(P20&lt;&gt;"",INDIRECT("priprava_" &amp; J$1 &amp; "!BW23"),""),"")</f>
        <v>4</v>
      </c>
    </row>
    <row r="21" spans="1:31" ht="15" customHeight="1" x14ac:dyDescent="0.25">
      <c r="A21" s="284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85"/>
      <c r="C21" s="42">
        <f ca="1">IFERROR(IF(A21&lt;&gt;"",INDIRECT("priprava_" &amp; A$1 &amp; "!BW4"),""),"")</f>
        <v>4</v>
      </c>
      <c r="D21" s="286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Klápa</v>
      </c>
      <c r="E21" s="285"/>
      <c r="F21" s="43">
        <f ca="1">IFERROR(IF(D21&lt;&gt;"",INDIRECT("priprava_" &amp; A$1 &amp; "!BW14"),""),"")</f>
        <v>2</v>
      </c>
      <c r="G21" s="287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Klápa</v>
      </c>
      <c r="H21" s="285"/>
      <c r="I21" s="44">
        <f ca="1">IFERROR(IF(G21&lt;&gt;"",INDIRECT("priprava_" &amp; A$1 &amp; "!BW24"),""),"")</f>
        <v>2</v>
      </c>
      <c r="J21" s="288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Kopič</v>
      </c>
      <c r="K21" s="289"/>
      <c r="L21" s="45">
        <f ca="1">IFERROR(IF(J21&lt;&gt;"",INDIRECT("priprava_" &amp; J$1 &amp; "!BW4"),""),"")</f>
        <v>7</v>
      </c>
      <c r="M21" s="290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Ekl</v>
      </c>
      <c r="N21" s="289"/>
      <c r="O21" s="46">
        <f ca="1">IFERROR(IF(M21&lt;&gt;"",INDIRECT("priprava_" &amp; J$1 &amp; "!BW14"),""),"")</f>
        <v>3</v>
      </c>
      <c r="P21" s="291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Krajcigr</v>
      </c>
      <c r="Q21" s="289"/>
      <c r="R21" s="47">
        <f ca="1">IFERROR(IF(P21&lt;&gt;"",INDIRECT("priprava_" &amp; J$1 &amp; "!BW24"),""),"")</f>
        <v>4</v>
      </c>
    </row>
    <row r="22" spans="1:31" ht="15" customHeight="1" x14ac:dyDescent="0.25">
      <c r="A22" s="284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Stuchlík Z.</v>
      </c>
      <c r="B22" s="285"/>
      <c r="C22" s="42">
        <f ca="1">IFERROR(IF(A22&lt;&gt;"",INDIRECT("priprava_" &amp; A$1 &amp; "!BW5"),""),"")</f>
        <v>3</v>
      </c>
      <c r="D22" s="286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Stuchlík Z.</v>
      </c>
      <c r="E22" s="285"/>
      <c r="F22" s="43">
        <f ca="1">IFERROR(IF(D22&lt;&gt;"",INDIRECT("priprava_" &amp; A$1 &amp; "!BW15"),""),"")</f>
        <v>2</v>
      </c>
      <c r="G22" s="287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Cabejšek</v>
      </c>
      <c r="H22" s="285"/>
      <c r="I22" s="44">
        <f ca="1">IFERROR(IF(G22&lt;&gt;"",INDIRECT("priprava_" &amp; A$1 &amp; "!BW25"),""),"")</f>
        <v>1</v>
      </c>
      <c r="J22" s="288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Ekl</v>
      </c>
      <c r="K22" s="289"/>
      <c r="L22" s="45">
        <f ca="1">IFERROR(IF(J22&lt;&gt;"",INDIRECT("priprava_" &amp; J$1 &amp; "!BW5"),""),"")</f>
        <v>6</v>
      </c>
      <c r="M22" s="290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Tichý</v>
      </c>
      <c r="N22" s="289"/>
      <c r="O22" s="46">
        <f ca="1">IFERROR(IF(M22&lt;&gt;"",INDIRECT("priprava_" &amp; J$1 &amp; "!BW15"),""),"")</f>
        <v>3</v>
      </c>
      <c r="P22" s="291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Jirsa</v>
      </c>
      <c r="Q22" s="289"/>
      <c r="R22" s="47">
        <f ca="1">IFERROR(IF(P22&lt;&gt;"",INDIRECT("priprava_" &amp; J$1 &amp; "!BW25"),""),"")</f>
        <v>3</v>
      </c>
    </row>
    <row r="23" spans="1:31" ht="15" customHeight="1" thickBot="1" x14ac:dyDescent="0.3">
      <c r="A23" s="219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Fiala</v>
      </c>
      <c r="B23" s="220"/>
      <c r="C23" s="48">
        <f ca="1">IFERROR(IF(A23&lt;&gt;"",INDIRECT("priprava_" &amp; A$1 &amp; "!BW6"),""),"")</f>
        <v>2</v>
      </c>
      <c r="D23" s="221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Lanc</v>
      </c>
      <c r="E23" s="220"/>
      <c r="F23" s="49">
        <f ca="1">IFERROR(IF(D23&lt;&gt;"",INDIRECT("priprava_" &amp; A$1 &amp; "!BW16"),""),"")</f>
        <v>1</v>
      </c>
      <c r="G23" s="222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Stuchlík O.</v>
      </c>
      <c r="H23" s="220"/>
      <c r="I23" s="50">
        <f ca="1">IFERROR(IF(G23&lt;&gt;"",INDIRECT("priprava_" &amp; A$1 &amp; "!BW26"),""),"")</f>
        <v>1</v>
      </c>
      <c r="J23" s="223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Slaný</v>
      </c>
      <c r="K23" s="224"/>
      <c r="L23" s="51">
        <f ca="1">IFERROR(IF(J23&lt;&gt;"",INDIRECT("priprava_" &amp; J$1 &amp; "!BW6"),""),"")</f>
        <v>5</v>
      </c>
      <c r="M23" s="225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Slaný</v>
      </c>
      <c r="N23" s="224"/>
      <c r="O23" s="52">
        <f ca="1">IFERROR(IF(M23&lt;&gt;"",INDIRECT("priprava_" &amp; J$1 &amp; "!BW16"),""),"")</f>
        <v>3</v>
      </c>
      <c r="P23" s="257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Ekl</v>
      </c>
      <c r="Q23" s="224"/>
      <c r="R23" s="53">
        <f ca="1">IFERROR(IF(P23&lt;&gt;"",INDIRECT("priprava_" &amp; J$1 &amp; "!BW26"),""),"")</f>
        <v>3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61" t="s">
        <v>39</v>
      </c>
      <c r="B25" s="262"/>
      <c r="C25" s="263"/>
      <c r="D25" s="264" t="s">
        <v>40</v>
      </c>
      <c r="E25" s="262"/>
      <c r="F25" s="265"/>
      <c r="G25" s="266" t="s">
        <v>41</v>
      </c>
      <c r="H25" s="262"/>
      <c r="I25" s="267"/>
      <c r="J25" s="268" t="s">
        <v>39</v>
      </c>
      <c r="K25" s="269"/>
      <c r="L25" s="270"/>
      <c r="M25" s="271" t="s">
        <v>40</v>
      </c>
      <c r="N25" s="269"/>
      <c r="O25" s="272"/>
      <c r="P25" s="273" t="s">
        <v>41</v>
      </c>
      <c r="Q25" s="269"/>
      <c r="R25" s="274"/>
    </row>
    <row r="26" spans="1:31" ht="15" customHeight="1" x14ac:dyDescent="0.25">
      <c r="A26" s="292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93"/>
      <c r="C26" s="39">
        <f ca="1">IFERROR(IF(A26&lt;&gt;"",INDIRECT("priprava_" &amp; A$1 &amp; "!BW27"),""),"")</f>
        <v>4</v>
      </c>
      <c r="D26" s="294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93"/>
      <c r="F26" s="54">
        <f ca="1">IFERROR(IF(D26&lt;&gt;"",INDIRECT("priprava_" &amp; A$1 &amp; "!BW7"),""),"")</f>
        <v>8.48</v>
      </c>
      <c r="G26" s="294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93"/>
      <c r="I26" s="39">
        <f ca="1">IFERROR(IF(G26&lt;&gt;"",INDIRECT("priprava_" &amp; A$1 &amp; "!BW17"),""),"")</f>
        <v>0</v>
      </c>
      <c r="J26" s="295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Novák</v>
      </c>
      <c r="K26" s="296"/>
      <c r="L26" s="40">
        <f ca="1">IFERROR(IF(J26&lt;&gt;"",INDIRECT("priprava_" &amp; J$1 &amp; "!BW27"),""),"")</f>
        <v>27</v>
      </c>
      <c r="M26" s="297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Chyna</v>
      </c>
      <c r="N26" s="296"/>
      <c r="O26" s="55">
        <f ca="1">IFERROR(IF(M26&lt;&gt;"",INDIRECT("priprava_" &amp; J$1 &amp; "!BW7"),""),"")</f>
        <v>6.47</v>
      </c>
      <c r="P26" s="297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Chyna</v>
      </c>
      <c r="Q26" s="296"/>
      <c r="R26" s="41">
        <f ca="1">IFERROR(IF(P26&lt;&gt;"",INDIRECT("priprava_" &amp; J$1 &amp; "!BW17"),""),"")</f>
        <v>1</v>
      </c>
    </row>
    <row r="27" spans="1:31" ht="15" customHeight="1" x14ac:dyDescent="0.25">
      <c r="A27" s="284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85"/>
      <c r="C27" s="42">
        <f ca="1">IFERROR(IF(A27&lt;&gt;"",INDIRECT("priprava_" &amp; A$1 &amp; "!BW28"),""),"")</f>
        <v>2</v>
      </c>
      <c r="D27" s="286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85"/>
      <c r="F27" s="56">
        <f ca="1">IFERROR(IF(D27&lt;&gt;"",INDIRECT("priprava_" &amp; A$1 &amp; "!BW8"),""),"")</f>
        <v>10.72</v>
      </c>
      <c r="G27" s="287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85"/>
      <c r="I27" s="44">
        <f ca="1">IFERROR(IF(G27&lt;&gt;"",INDIRECT("priprava_" &amp; A$1 &amp; "!BW18"),""),"")</f>
        <v>0</v>
      </c>
      <c r="J27" s="288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Tichý</v>
      </c>
      <c r="K27" s="289"/>
      <c r="L27" s="45">
        <f ca="1">IFERROR(IF(J27&lt;&gt;"",INDIRECT("priprava_" &amp; J$1 &amp; "!BW28"),""),"")</f>
        <v>6</v>
      </c>
      <c r="M27" s="290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Ponomarev</v>
      </c>
      <c r="N27" s="289"/>
      <c r="O27" s="57">
        <f ca="1">IFERROR(IF(M27&lt;&gt;"",INDIRECT("priprava_" &amp; J$1 &amp; "!BW8"),""),"")</f>
        <v>9.08</v>
      </c>
      <c r="P27" s="291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Ponomarev</v>
      </c>
      <c r="Q27" s="289"/>
      <c r="R27" s="47">
        <f ca="1">IFERROR(IF(P27&lt;&gt;"",INDIRECT("priprava_" &amp; J$1 &amp; "!BW18"),""),"")</f>
        <v>0</v>
      </c>
    </row>
    <row r="28" spans="1:31" ht="15" customHeight="1" x14ac:dyDescent="0.25">
      <c r="A28" s="284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85"/>
      <c r="C28" s="42">
        <f ca="1">IFERROR(IF(A28&lt;&gt;"",INDIRECT("priprava_" &amp; A$1 &amp; "!BW29"),""),"")</f>
        <v>2</v>
      </c>
      <c r="D28" s="286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85"/>
      <c r="F28" s="56" t="str">
        <f ca="1">IFERROR(IF(D28&lt;&gt;"",INDIRECT("priprava_" &amp; A$1 &amp; "!BW9"),""),"")</f>
        <v/>
      </c>
      <c r="G28" s="287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85"/>
      <c r="I28" s="44" t="str">
        <f ca="1">IFERROR(IF(G28&lt;&gt;"",INDIRECT("priprava_" &amp; A$1 &amp; "!BW19"),""),"")</f>
        <v/>
      </c>
      <c r="J28" s="288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Krajcigr</v>
      </c>
      <c r="K28" s="289"/>
      <c r="L28" s="45">
        <f ca="1">IFERROR(IF(J28&lt;&gt;"",INDIRECT("priprava_" &amp; J$1 &amp; "!BW29"),""),"")</f>
        <v>6</v>
      </c>
      <c r="M28" s="290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89"/>
      <c r="O28" s="57" t="str">
        <f ca="1">IFERROR(IF(M28&lt;&gt;"",INDIRECT("priprava_" &amp; J$1 &amp; "!BW9"),""),"")</f>
        <v/>
      </c>
      <c r="P28" s="291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89"/>
      <c r="R28" s="47" t="str">
        <f ca="1">IFERROR(IF(P28&lt;&gt;"",INDIRECT("priprava_" &amp; J$1 &amp; "!BW19"),""),"")</f>
        <v/>
      </c>
    </row>
    <row r="29" spans="1:31" ht="15" customHeight="1" x14ac:dyDescent="0.25">
      <c r="A29" s="284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O.</v>
      </c>
      <c r="B29" s="285"/>
      <c r="C29" s="42">
        <f ca="1">IFERROR(IF(A29&lt;&gt;"",INDIRECT("priprava_" &amp; A$1 &amp; "!BW30"),""),"")</f>
        <v>2</v>
      </c>
      <c r="D29" s="286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85"/>
      <c r="F29" s="56" t="str">
        <f ca="1">IFERROR(IF(D29&lt;&gt;"",INDIRECT("priprava_" &amp; A$1 &amp; "!BW10"),""),"")</f>
        <v/>
      </c>
      <c r="G29" s="287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85"/>
      <c r="I29" s="44" t="str">
        <f ca="1">IFERROR(IF(G29&lt;&gt;"",INDIRECT("priprava_" &amp; A$1 &amp; "!BW20"),""),"")</f>
        <v/>
      </c>
      <c r="J29" s="288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Slaný</v>
      </c>
      <c r="K29" s="289"/>
      <c r="L29" s="45">
        <f ca="1">IFERROR(IF(J29&lt;&gt;"",INDIRECT("priprava_" &amp; J$1 &amp; "!BW30"),""),"")</f>
        <v>4</v>
      </c>
      <c r="M29" s="290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89"/>
      <c r="O29" s="57" t="str">
        <f ca="1">IFERROR(IF(M29&lt;&gt;"",INDIRECT("priprava_" &amp; J$1 &amp; "!BW10"),""),"")</f>
        <v/>
      </c>
      <c r="P29" s="291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89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19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Klápa</v>
      </c>
      <c r="B30" s="220"/>
      <c r="C30" s="48">
        <f ca="1">IFERROR(IF(A30&lt;&gt;"",INDIRECT("priprava_" &amp; A$1 &amp; "!BW31"),""),"")</f>
        <v>2</v>
      </c>
      <c r="D30" s="221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20"/>
      <c r="F30" s="58" t="str">
        <f ca="1">IFERROR(IF(D30&lt;&gt;"",INDIRECT("priprava_" &amp; A$1 &amp; "!BW11"),""),"")</f>
        <v/>
      </c>
      <c r="G30" s="222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20"/>
      <c r="I30" s="50" t="str">
        <f ca="1">IFERROR(IF(G30&lt;&gt;"",INDIRECT("priprava_" &amp; A$1 &amp; "!BW21"),""),"")</f>
        <v/>
      </c>
      <c r="J30" s="223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Chyna</v>
      </c>
      <c r="K30" s="224"/>
      <c r="L30" s="51">
        <f ca="1">IFERROR(IF(J30&lt;&gt;"",INDIRECT("priprava_" &amp; J$1 &amp; "!BW31"),""),"")</f>
        <v>2</v>
      </c>
      <c r="M30" s="225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24"/>
      <c r="O30" s="59" t="str">
        <f ca="1">IFERROR(IF(M30&lt;&gt;"",INDIRECT("priprava_" &amp; J$1 &amp; "!BW11"),""),"")</f>
        <v/>
      </c>
      <c r="P30" s="257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24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54" t="s">
        <v>46</v>
      </c>
      <c r="L32" s="255"/>
      <c r="M32" s="255"/>
      <c r="N32" s="255"/>
      <c r="O32" s="255"/>
      <c r="P32" s="255"/>
      <c r="Q32" s="255"/>
      <c r="R32" s="256"/>
    </row>
    <row r="33" spans="1:18" ht="15" customHeight="1" x14ac:dyDescent="0.25">
      <c r="I33" s="140"/>
      <c r="J33" s="141"/>
      <c r="K33" s="238" t="str">
        <f t="shared" ref="K33:K44" si="6">X3</f>
        <v>SKV - CLP</v>
      </c>
      <c r="L33" s="205"/>
      <c r="M33" s="205"/>
      <c r="N33" s="205"/>
      <c r="O33" s="142" t="str">
        <f t="shared" ref="O33:O44" si="7">AB3</f>
        <v>3:4p</v>
      </c>
      <c r="P33" s="204" t="str">
        <f t="shared" ref="P33:P44" si="8">AC3</f>
        <v>2020/2021 (ZČ)</v>
      </c>
      <c r="Q33" s="205"/>
      <c r="R33" s="206"/>
    </row>
    <row r="34" spans="1:18" ht="15" customHeight="1" thickBot="1" x14ac:dyDescent="0.3">
      <c r="I34" s="140"/>
      <c r="J34" s="141"/>
      <c r="K34" s="242" t="str">
        <f t="shared" si="6"/>
        <v>CLP - SKV</v>
      </c>
      <c r="L34" s="208"/>
      <c r="M34" s="208"/>
      <c r="N34" s="208"/>
      <c r="O34" s="143" t="str">
        <f t="shared" si="7"/>
        <v>11:5</v>
      </c>
      <c r="P34" s="207" t="str">
        <f t="shared" si="8"/>
        <v>2020/2021 (ZČ)</v>
      </c>
      <c r="Q34" s="208"/>
      <c r="R34" s="209"/>
    </row>
    <row r="35" spans="1:18" ht="15" customHeight="1" thickTop="1" thickBot="1" x14ac:dyDescent="0.3">
      <c r="A35" s="239" t="s">
        <v>45</v>
      </c>
      <c r="B35" s="240"/>
      <c r="C35" s="240"/>
      <c r="D35" s="240"/>
      <c r="E35" s="240"/>
      <c r="F35" s="240"/>
      <c r="G35" s="240"/>
      <c r="H35" s="241"/>
      <c r="I35" s="144"/>
      <c r="J35" s="144"/>
      <c r="K35" s="242" t="str">
        <f t="shared" si="6"/>
        <v>CLP - SKV</v>
      </c>
      <c r="L35" s="208"/>
      <c r="M35" s="208"/>
      <c r="N35" s="208"/>
      <c r="O35" s="143" t="str">
        <f t="shared" si="7"/>
        <v>6:7p</v>
      </c>
      <c r="P35" s="207" t="str">
        <f t="shared" si="8"/>
        <v>2019/2020 (ZČ)</v>
      </c>
      <c r="Q35" s="208"/>
      <c r="R35" s="209"/>
    </row>
    <row r="36" spans="1:18" ht="15" customHeight="1" x14ac:dyDescent="0.25">
      <c r="A36" s="232" t="str">
        <f>A1</f>
        <v>SKV</v>
      </c>
      <c r="B36" s="233"/>
      <c r="C36" s="233"/>
      <c r="D36" s="234"/>
      <c r="E36" s="235" t="str">
        <f>J1</f>
        <v>CLP</v>
      </c>
      <c r="F36" s="236"/>
      <c r="G36" s="236"/>
      <c r="H36" s="237"/>
      <c r="I36" s="144"/>
      <c r="J36" s="144"/>
      <c r="K36" s="192" t="str">
        <f t="shared" si="6"/>
        <v>SKV - CLP</v>
      </c>
      <c r="L36" s="190"/>
      <c r="M36" s="190"/>
      <c r="N36" s="190"/>
      <c r="O36" s="145" t="str">
        <f t="shared" si="7"/>
        <v>8:5</v>
      </c>
      <c r="P36" s="189" t="str">
        <f t="shared" si="8"/>
        <v>2019/2020 (ZČ)</v>
      </c>
      <c r="Q36" s="190"/>
      <c r="R36" s="191"/>
    </row>
    <row r="37" spans="1:18" ht="15" customHeight="1" x14ac:dyDescent="0.25">
      <c r="A37" s="226" t="s">
        <v>42</v>
      </c>
      <c r="B37" s="227"/>
      <c r="C37" s="243" t="s">
        <v>938</v>
      </c>
      <c r="D37" s="243"/>
      <c r="E37" s="243"/>
      <c r="F37" s="243"/>
      <c r="G37" s="243"/>
      <c r="H37" s="244"/>
      <c r="I37" s="144"/>
      <c r="J37" s="144"/>
      <c r="K37" s="192" t="str">
        <f t="shared" si="6"/>
        <v>SKV - CLP</v>
      </c>
      <c r="L37" s="190"/>
      <c r="M37" s="190"/>
      <c r="N37" s="190"/>
      <c r="O37" s="145" t="str">
        <f t="shared" si="7"/>
        <v>7:6p</v>
      </c>
      <c r="P37" s="189" t="str">
        <f t="shared" si="8"/>
        <v>2018/2019 (ZČ)</v>
      </c>
      <c r="Q37" s="190"/>
      <c r="R37" s="191"/>
    </row>
    <row r="38" spans="1:18" ht="15" customHeight="1" x14ac:dyDescent="0.25">
      <c r="A38" s="228" t="s">
        <v>43</v>
      </c>
      <c r="B38" s="229"/>
      <c r="C38" s="245" t="s">
        <v>938</v>
      </c>
      <c r="D38" s="245"/>
      <c r="E38" s="245"/>
      <c r="F38" s="245"/>
      <c r="G38" s="245"/>
      <c r="H38" s="246"/>
      <c r="I38" s="140"/>
      <c r="J38" s="146"/>
      <c r="K38" s="278" t="str">
        <f t="shared" si="6"/>
        <v>CLP - SKV</v>
      </c>
      <c r="L38" s="279"/>
      <c r="M38" s="279"/>
      <c r="N38" s="279"/>
      <c r="O38" s="147" t="str">
        <f t="shared" si="7"/>
        <v>11:5</v>
      </c>
      <c r="P38" s="280" t="str">
        <f t="shared" si="8"/>
        <v>2018/2019 (ZČ)</v>
      </c>
      <c r="Q38" s="279"/>
      <c r="R38" s="281"/>
    </row>
    <row r="39" spans="1:18" ht="15" customHeight="1" x14ac:dyDescent="0.25">
      <c r="A39" s="226"/>
      <c r="B39" s="227"/>
      <c r="C39" s="243"/>
      <c r="D39" s="243"/>
      <c r="E39" s="243"/>
      <c r="F39" s="243"/>
      <c r="G39" s="243"/>
      <c r="H39" s="244"/>
      <c r="I39" s="140"/>
      <c r="J39" s="146"/>
      <c r="K39" s="192" t="str">
        <f t="shared" si="6"/>
        <v/>
      </c>
      <c r="L39" s="190"/>
      <c r="M39" s="190"/>
      <c r="N39" s="190"/>
      <c r="O39" s="145" t="str">
        <f t="shared" si="7"/>
        <v/>
      </c>
      <c r="P39" s="189" t="str">
        <f t="shared" si="8"/>
        <v/>
      </c>
      <c r="Q39" s="190"/>
      <c r="R39" s="191"/>
    </row>
    <row r="40" spans="1:18" ht="15" customHeight="1" x14ac:dyDescent="0.25">
      <c r="A40" s="228"/>
      <c r="B40" s="229"/>
      <c r="C40" s="245"/>
      <c r="D40" s="245"/>
      <c r="E40" s="245"/>
      <c r="F40" s="245"/>
      <c r="G40" s="245"/>
      <c r="H40" s="246"/>
      <c r="I40" s="144"/>
      <c r="J40" s="144"/>
      <c r="K40" s="192" t="str">
        <f t="shared" si="6"/>
        <v/>
      </c>
      <c r="L40" s="190"/>
      <c r="M40" s="190"/>
      <c r="N40" s="190"/>
      <c r="O40" s="145" t="str">
        <f t="shared" si="7"/>
        <v/>
      </c>
      <c r="P40" s="189" t="str">
        <f t="shared" si="8"/>
        <v/>
      </c>
      <c r="Q40" s="190"/>
      <c r="R40" s="191"/>
    </row>
    <row r="41" spans="1:18" ht="15" customHeight="1" x14ac:dyDescent="0.25">
      <c r="A41" s="226"/>
      <c r="B41" s="227"/>
      <c r="C41" s="243"/>
      <c r="D41" s="243"/>
      <c r="E41" s="243"/>
      <c r="F41" s="243"/>
      <c r="G41" s="243"/>
      <c r="H41" s="244"/>
      <c r="I41" s="144"/>
      <c r="J41" s="144"/>
      <c r="K41" s="278" t="str">
        <f t="shared" si="6"/>
        <v/>
      </c>
      <c r="L41" s="279"/>
      <c r="M41" s="279"/>
      <c r="N41" s="279"/>
      <c r="O41" s="147" t="str">
        <f t="shared" si="7"/>
        <v/>
      </c>
      <c r="P41" s="280" t="str">
        <f t="shared" si="8"/>
        <v/>
      </c>
      <c r="Q41" s="279"/>
      <c r="R41" s="281"/>
    </row>
    <row r="42" spans="1:18" ht="15" customHeight="1" x14ac:dyDescent="0.25">
      <c r="A42" s="228"/>
      <c r="B42" s="229"/>
      <c r="C42" s="245"/>
      <c r="D42" s="245"/>
      <c r="E42" s="245"/>
      <c r="F42" s="245"/>
      <c r="G42" s="245"/>
      <c r="H42" s="246"/>
      <c r="I42" s="144"/>
      <c r="J42" s="144"/>
      <c r="K42" s="192" t="str">
        <f t="shared" si="6"/>
        <v/>
      </c>
      <c r="L42" s="190"/>
      <c r="M42" s="190"/>
      <c r="N42" s="190"/>
      <c r="O42" s="145" t="str">
        <f t="shared" si="7"/>
        <v/>
      </c>
      <c r="P42" s="189" t="str">
        <f t="shared" si="8"/>
        <v/>
      </c>
      <c r="Q42" s="190"/>
      <c r="R42" s="191"/>
    </row>
    <row r="43" spans="1:18" ht="15" customHeight="1" x14ac:dyDescent="0.25">
      <c r="A43" s="226"/>
      <c r="B43" s="227"/>
      <c r="C43" s="243"/>
      <c r="D43" s="243"/>
      <c r="E43" s="243"/>
      <c r="F43" s="243"/>
      <c r="G43" s="243"/>
      <c r="H43" s="244"/>
      <c r="I43" s="144"/>
      <c r="J43" s="144"/>
      <c r="K43" s="192" t="str">
        <f t="shared" si="6"/>
        <v/>
      </c>
      <c r="L43" s="190"/>
      <c r="M43" s="190"/>
      <c r="N43" s="190"/>
      <c r="O43" s="145" t="str">
        <f t="shared" si="7"/>
        <v/>
      </c>
      <c r="P43" s="189" t="str">
        <f t="shared" si="8"/>
        <v/>
      </c>
      <c r="Q43" s="190"/>
      <c r="R43" s="191"/>
    </row>
    <row r="44" spans="1:18" ht="15" customHeight="1" thickBot="1" x14ac:dyDescent="0.3">
      <c r="A44" s="230"/>
      <c r="B44" s="231"/>
      <c r="C44" s="282"/>
      <c r="D44" s="282"/>
      <c r="E44" s="282"/>
      <c r="F44" s="282"/>
      <c r="G44" s="282"/>
      <c r="H44" s="283"/>
      <c r="I44" s="144"/>
      <c r="J44" s="144"/>
      <c r="K44" s="192" t="str">
        <f t="shared" si="6"/>
        <v/>
      </c>
      <c r="L44" s="190"/>
      <c r="M44" s="190"/>
      <c r="N44" s="190"/>
      <c r="O44" s="145" t="str">
        <f t="shared" si="7"/>
        <v/>
      </c>
      <c r="P44" s="189" t="str">
        <f t="shared" si="8"/>
        <v/>
      </c>
      <c r="Q44" s="190"/>
      <c r="R44" s="191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92" t="str">
        <f t="shared" ref="K45:K48" si="9">X15</f>
        <v/>
      </c>
      <c r="L45" s="190"/>
      <c r="M45" s="190"/>
      <c r="N45" s="190"/>
      <c r="O45" s="145" t="str">
        <f t="shared" ref="O45:P45" si="10">AB15</f>
        <v/>
      </c>
      <c r="P45" s="189" t="str">
        <f t="shared" si="10"/>
        <v/>
      </c>
      <c r="Q45" s="190"/>
      <c r="R45" s="191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192" t="str">
        <f t="shared" si="9"/>
        <v/>
      </c>
      <c r="L46" s="190"/>
      <c r="M46" s="190"/>
      <c r="N46" s="190"/>
      <c r="O46" s="145" t="str">
        <f t="shared" ref="O46:P46" si="11">AB16</f>
        <v/>
      </c>
      <c r="P46" s="189" t="str">
        <f t="shared" si="11"/>
        <v/>
      </c>
      <c r="Q46" s="190"/>
      <c r="R46" s="191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192" t="str">
        <f t="shared" si="9"/>
        <v/>
      </c>
      <c r="L47" s="190"/>
      <c r="M47" s="190"/>
      <c r="N47" s="190"/>
      <c r="O47" s="145" t="str">
        <f t="shared" ref="O47:P47" si="12">AB17</f>
        <v/>
      </c>
      <c r="P47" s="189" t="str">
        <f t="shared" si="12"/>
        <v/>
      </c>
      <c r="Q47" s="190"/>
      <c r="R47" s="191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193" t="str">
        <f t="shared" si="9"/>
        <v/>
      </c>
      <c r="L48" s="194"/>
      <c r="M48" s="194"/>
      <c r="N48" s="194"/>
      <c r="O48" s="149" t="str">
        <f t="shared" ref="O48:P48" si="13">AB18</f>
        <v/>
      </c>
      <c r="P48" s="195" t="str">
        <f t="shared" si="13"/>
        <v/>
      </c>
      <c r="Q48" s="194"/>
      <c r="R48" s="196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76">
        <f ca="1">TODAY()</f>
        <v>44471</v>
      </c>
      <c r="H50" s="277"/>
      <c r="I50" s="277"/>
      <c r="J50" s="277"/>
      <c r="K50" s="277"/>
      <c r="L50" s="277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sqref="A1:F2"/>
    </sheetView>
  </sheetViews>
  <sheetFormatPr defaultColWidth="9.140625" defaultRowHeight="14.25" x14ac:dyDescent="0.25"/>
  <cols>
    <col min="1" max="1" width="21.28515625" style="3" customWidth="1"/>
    <col min="2" max="6" width="21.28515625" style="187" customWidth="1"/>
    <col min="7" max="7" width="21.28515625" style="3" customWidth="1"/>
    <col min="8" max="12" width="21.28515625" style="187" customWidth="1"/>
    <col min="13" max="16384" width="9.140625" style="3"/>
  </cols>
  <sheetData>
    <row r="1" spans="1:12" x14ac:dyDescent="0.25">
      <c r="A1" s="377" t="str">
        <f>prehled!A1</f>
        <v>SKV</v>
      </c>
      <c r="B1" s="377"/>
      <c r="C1" s="377"/>
      <c r="D1" s="377"/>
      <c r="E1" s="377"/>
      <c r="F1" s="377"/>
      <c r="G1" s="377" t="str">
        <f>prehled!J1</f>
        <v>CLP</v>
      </c>
      <c r="H1" s="377"/>
      <c r="I1" s="377"/>
      <c r="J1" s="377"/>
      <c r="K1" s="377"/>
      <c r="L1" s="377"/>
    </row>
    <row r="2" spans="1:12" x14ac:dyDescent="0.25">
      <c r="A2" s="377"/>
      <c r="B2" s="377"/>
      <c r="C2" s="377"/>
      <c r="D2" s="377"/>
      <c r="E2" s="377"/>
      <c r="F2" s="377"/>
      <c r="G2" s="377"/>
      <c r="H2" s="377"/>
      <c r="I2" s="377"/>
      <c r="J2" s="377"/>
      <c r="K2" s="377"/>
      <c r="L2" s="377"/>
    </row>
    <row r="3" spans="1:12" s="153" customFormat="1" ht="19.5" x14ac:dyDescent="0.25">
      <c r="A3" s="378" t="s">
        <v>92</v>
      </c>
      <c r="B3" s="378"/>
      <c r="C3" s="378"/>
      <c r="D3" s="378"/>
      <c r="E3" s="378"/>
      <c r="F3" s="378"/>
      <c r="G3" s="378" t="s">
        <v>92</v>
      </c>
      <c r="H3" s="378"/>
      <c r="I3" s="378"/>
      <c r="J3" s="378"/>
      <c r="K3" s="378"/>
      <c r="L3" s="378"/>
    </row>
    <row r="4" spans="1:12" ht="14.25" customHeight="1" x14ac:dyDescent="0.25">
      <c r="A4" s="377" t="str">
        <f>A1</f>
        <v>SKV</v>
      </c>
      <c r="B4" s="379" t="str">
        <f ca="1">IF($A$4&lt;&gt;0,IFERROR(INDEX(zajimavosti_tymy!B:B,MATCH(prehled!$A$3,OFFSET(zajimavosti_tymy!$A$2,,,(COUNTA(zajimavosti_tymy!$A:$A)-1)*3),0)+1),""),"")</f>
        <v>10 zápasů bez výhry</v>
      </c>
      <c r="C4" s="380" t="str">
        <f ca="1">IF($A$4&lt;&gt;0,IFERROR(INDEX(zajimavosti_tymy!C:C,MATCH(prehled!$A$3,OFFSET(zajimavosti_tymy!$A$2,,,(COUNTA(zajimavosti_tymy!$A:$A)-1)*3),0)+1),""),"")</f>
        <v>naposledy výhra 30. 1. Hattrick Brno</v>
      </c>
      <c r="D4" s="380" t="str">
        <f ca="1">IF($A$4&lt;&gt;0,IFERROR(INDEX(zajimavosti_tymy!D:D,MATCH(prehled!$A$3,OFFSET(zajimavosti_tymy!$A$2,,,(COUNTA(zajimavosti_tymy!$A:$A)-1)*3),0)+1),""),"")</f>
        <v>klub založen 1997</v>
      </c>
      <c r="E4" s="380" t="str">
        <f ca="1">IF($A$4&lt;&gt;0,IFERROR(INDEX(zajimavosti_tymy!E:E,MATCH(prehled!$A$3,OFFSET(zajimavosti_tymy!$A$2,,,(COUNTA(zajimavosti_tymy!$A:$A)-1)*3),0)+1),""),"")</f>
        <v>v sezóně 06/07 poprvé v extralize</v>
      </c>
      <c r="F4" s="381">
        <f ca="1">IF($A$4&lt;&gt;0,IFERROR(INDEX(zajimavosti_tymy!F:F,MATCH(prehled!$A$3,OFFSET(zajimavosti_tymy!$A$2,,,(COUNTA(zajimavosti_tymy!$A:$A)-1)*3),0)+1),""),"")</f>
        <v>0</v>
      </c>
      <c r="G4" s="377" t="str">
        <f>G1</f>
        <v>CLP</v>
      </c>
      <c r="H4" s="379" t="str">
        <f ca="1">IF($G$4&lt;&gt;0,IFERROR(INDEX(zajimavosti_tymy!B:B,MATCH(prehled!$J$3,OFFSET(zajimavosti_tymy!$A$2,,,(COUNTA(zajimavosti_tymy!$A:$A)-1)*3),0)+1),""),"")</f>
        <v>Krajcigr + Ekl 53 gólů 20/21</v>
      </c>
      <c r="I4" s="380" t="str">
        <f ca="1">IF($G$4&lt;&gt;0,IFERROR(INDEX(zajimavosti_tymy!C:C,MATCH(prehled!$J$3,OFFSET(zajimavosti_tymy!$A$2,,,(COUNTA(zajimavosti_tymy!$A:$A)-1)*3),0)+1),""),"")</f>
        <v>v superlize od 17/18</v>
      </c>
      <c r="J4" s="380" t="str">
        <f ca="1">IF($G$4&lt;&gt;0,IFERROR(INDEX(zajimavosti_tymy!D:D,MATCH(prehled!$J$3,OFFSET(zajimavosti_tymy!$A$2,,,(COUNTA(zajimavosti_tymy!$A:$A)-1)*3),0)+1),""),"")</f>
        <v>klub založen 1998</v>
      </c>
      <c r="K4" s="380" t="str">
        <f ca="1">IF($G$4&lt;&gt;0,IFERROR(INDEX(zajimavosti_tymy!E:E,MATCH(prehled!$J$3,OFFSET(zajimavosti_tymy!$A$2,,,(COUNTA(zajimavosti_tymy!$A:$A)-1)*3),0)+1),""),"")</f>
        <v>10. místo (17/18, 18/19, 20/21)</v>
      </c>
      <c r="L4" s="381" t="str">
        <f ca="1">IF($G$4&lt;&gt;0,IFERROR(INDEX(zajimavosti_tymy!F:F,MATCH(prehled!$J$3,OFFSET(zajimavosti_tymy!$A$2,,,(COUNTA(zajimavosti_tymy!$A:$A)-1)*3),0)+1),""),"")</f>
        <v>12. místo (19/20)</v>
      </c>
    </row>
    <row r="5" spans="1:12" ht="14.25" customHeight="1" x14ac:dyDescent="0.25">
      <c r="A5" s="377"/>
      <c r="B5" s="379">
        <f ca="1">IF($A$4&lt;&gt;0,IFERROR(INDEX(zajimavosti_tymy!B:B,MATCH(prehled!$A$3,OFFSET(zajimavosti_tymy!$A$2,,,(COUNTA(zajimavosti_tymy!$A:$A)-1)*3),0)+2),""),"")</f>
        <v>0</v>
      </c>
      <c r="C5" s="380">
        <f ca="1">IF($A$4&lt;&gt;0,IFERROR(INDEX(zajimavosti_tymy!C:C,MATCH(prehled!$A$3,OFFSET(zajimavosti_tymy!$A$2,,,(COUNTA(zajimavosti_tymy!$A:$A)-1)*3),0)+2),""),"")</f>
        <v>0</v>
      </c>
      <c r="D5" s="380">
        <f ca="1">IF($A$4&lt;&gt;0,IFERROR(INDEX(zajimavosti_tymy!D:D,MATCH(prehled!$A$3,OFFSET(zajimavosti_tymy!$A$2,,,(COUNTA(zajimavosti_tymy!$A:$A)-1)*3),0)+2),""),"")</f>
        <v>0</v>
      </c>
      <c r="E5" s="380">
        <f ca="1">IF($A$4&lt;&gt;0,IFERROR(INDEX(zajimavosti_tymy!E:E,MATCH(prehled!$A$3,OFFSET(zajimavosti_tymy!$A$2,,,(COUNTA(zajimavosti_tymy!$A:$A)-1)*3),0)+2),""),"")</f>
        <v>0</v>
      </c>
      <c r="F5" s="381">
        <f ca="1">IF($A$4&lt;&gt;0,IFERROR(INDEX(zajimavosti_tymy!F:F,MATCH(prehled!$A$3,OFFSET(zajimavosti_tymy!$A$2,,,(COUNTA(zajimavosti_tymy!$A:$A)-1)*3),0)+2),""),"")</f>
        <v>0</v>
      </c>
      <c r="G5" s="377"/>
      <c r="H5" s="379">
        <f ca="1">IF($G$4&lt;&gt;0,IFERROR(INDEX(zajimavosti_tymy!B:B,MATCH(prehled!$J$3,OFFSET(zajimavosti_tymy!$A$2,,,(COUNTA(zajimavosti_tymy!$A:$A)-1)*3),0)+2),""),"")</f>
        <v>0</v>
      </c>
      <c r="I5" s="380">
        <f ca="1">IF($G$4&lt;&gt;0,IFERROR(INDEX(zajimavosti_tymy!C:C,MATCH(prehled!$J$3,OFFSET(zajimavosti_tymy!$A$2,,,(COUNTA(zajimavosti_tymy!$A:$A)-1)*3),0)+2),""),"")</f>
        <v>0</v>
      </c>
      <c r="J5" s="380">
        <f ca="1">IF($G$4&lt;&gt;0,IFERROR(INDEX(zajimavosti_tymy!D:D,MATCH(prehled!$J$3,OFFSET(zajimavosti_tymy!$A$2,,,(COUNTA(zajimavosti_tymy!$A:$A)-1)*3),0)+2),""),"")</f>
        <v>0</v>
      </c>
      <c r="K5" s="380">
        <f ca="1">IF($G$4&lt;&gt;0,IFERROR(INDEX(zajimavosti_tymy!E:E,MATCH(prehled!$J$3,OFFSET(zajimavosti_tymy!$A$2,,,(COUNTA(zajimavosti_tymy!$A:$A)-1)*3),0)+2),""),"")</f>
        <v>0</v>
      </c>
      <c r="L5" s="381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77"/>
      <c r="B6" s="379">
        <f ca="1">IF($A$4&lt;&gt;0,IFERROR(INDEX(zajimavosti_tymy!B:B,MATCH(prehled!$A$3,OFFSET(zajimavosti_tymy!$A$2,,,(COUNTA(zajimavosti_tymy!$A:$A)-1)*3),0)+3),""),"")</f>
        <v>0</v>
      </c>
      <c r="C6" s="380">
        <f ca="1">IF($A$4&lt;&gt;0,IFERROR(INDEX(zajimavosti_tymy!C:C,MATCH(prehled!$A$3,OFFSET(zajimavosti_tymy!$A$2,,,(COUNTA(zajimavosti_tymy!$A:$A)-1)*3),0)+3),""),"")</f>
        <v>0</v>
      </c>
      <c r="D6" s="380">
        <f ca="1">IF($A$4&lt;&gt;0,IFERROR(INDEX(zajimavosti_tymy!D:D,MATCH(prehled!$A$3,OFFSET(zajimavosti_tymy!$A$2,,,(COUNTA(zajimavosti_tymy!$A:$A)-1)*3),0)+3),""),"")</f>
        <v>0</v>
      </c>
      <c r="E6" s="380">
        <f ca="1">IF($A$4&lt;&gt;0,IFERROR(INDEX(zajimavosti_tymy!E:E,MATCH(prehled!$A$3,OFFSET(zajimavosti_tymy!$A$2,,,(COUNTA(zajimavosti_tymy!$A:$A)-1)*3),0)+3),""),"")</f>
        <v>0</v>
      </c>
      <c r="F6" s="381">
        <f ca="1">IF($A$4&lt;&gt;0,IFERROR(INDEX(zajimavosti_tymy!F:F,MATCH(prehled!$A$3,OFFSET(zajimavosti_tymy!$A$2,,,(COUNTA(zajimavosti_tymy!$A:$A)-1)*3),0)+3),""),"")</f>
        <v>0</v>
      </c>
      <c r="G6" s="377"/>
      <c r="H6" s="379">
        <f ca="1">IF($G$4&lt;&gt;0,IFERROR(INDEX(zajimavosti_tymy!B:B,MATCH(prehled!$J$3,OFFSET(zajimavosti_tymy!$A$2,,,(COUNTA(zajimavosti_tymy!$A:$A)-1)*3),0)+3),""),"")</f>
        <v>0</v>
      </c>
      <c r="I6" s="380">
        <f ca="1">IF($G$4&lt;&gt;0,IFERROR(INDEX(zajimavosti_tymy!C:C,MATCH(prehled!$J$3,OFFSET(zajimavosti_tymy!$A$2,,,(COUNTA(zajimavosti_tymy!$A:$A)-1)*3),0)+3),""),"")</f>
        <v>0</v>
      </c>
      <c r="J6" s="380">
        <f ca="1">IF($G$4&lt;&gt;0,IFERROR(INDEX(zajimavosti_tymy!D:D,MATCH(prehled!$J$3,OFFSET(zajimavosti_tymy!$A$2,,,(COUNTA(zajimavosti_tymy!$A:$A)-1)*3),0)+3),""),"")</f>
        <v>0</v>
      </c>
      <c r="K6" s="380">
        <f ca="1">IF($G$4&lt;&gt;0,IFERROR(INDEX(zajimavosti_tymy!E:E,MATCH(prehled!$J$3,OFFSET(zajimavosti_tymy!$A$2,,,(COUNTA(zajimavosti_tymy!$A:$A)-1)*3),0)+3),""),"")</f>
        <v>0</v>
      </c>
      <c r="L6" s="381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78" t="s">
        <v>866</v>
      </c>
      <c r="B7" s="378"/>
      <c r="C7" s="378"/>
      <c r="D7" s="378"/>
      <c r="E7" s="378"/>
      <c r="F7" s="378"/>
      <c r="G7" s="378" t="s">
        <v>866</v>
      </c>
      <c r="H7" s="378"/>
      <c r="I7" s="378"/>
      <c r="J7" s="378"/>
      <c r="K7" s="378"/>
      <c r="L7" s="378"/>
    </row>
    <row r="8" spans="1:12" x14ac:dyDescent="0.25">
      <c r="A8" s="382" t="str">
        <f ca="1">IF(INDIRECT("priprava_" &amp; A$1 &amp; "!A1")&lt;&gt;0,INDIRECT("priprava_" &amp; A$1 &amp; "!A1"),"")</f>
        <v>Jan Fiala</v>
      </c>
      <c r="B8" s="379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380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380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380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381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382" t="str">
        <f ca="1">IF(INDIRECT("priprava_" &amp; G$1 &amp; "!A1")&lt;&gt;0,INDIRECT("priprava_" &amp; G$1 &amp; "!A1"),"")</f>
        <v>Jaromír Ekl</v>
      </c>
      <c r="H8" s="380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do Lípy šel už do 1. ligy</v>
      </c>
      <c r="I8" s="380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pak zpět do MB a pak natrvalo ČL</v>
      </c>
      <c r="J8" s="380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nedával v MB náročný harmonogram</v>
      </c>
      <c r="K8" s="380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Boleslavi</v>
      </c>
      <c r="L8" s="381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9" spans="1:12" x14ac:dyDescent="0.25">
      <c r="A9" s="382" t="str">
        <f ca="1">IF(INDIRECT("priprava_" &amp; A$1 &amp; "!M1")&lt;&gt;0,INDIRECT("priprava_" &amp; A$1 &amp; "!M1"),"")</f>
        <v>Jan Procházka</v>
      </c>
      <c r="B9" s="379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380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380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380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381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382" t="str">
        <f ca="1">IF(INDIRECT("priprava_" &amp; G$1 &amp; "!M1")&lt;&gt;0,INDIRECT("priprava_" &amp; G$1 &amp; "!M1"),"")</f>
        <v>Ondřej Kopič</v>
      </c>
      <c r="H9" s="380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od elévů vynikal a sbíral body</v>
      </c>
      <c r="I9" s="380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jezdil na výběry</v>
      </c>
      <c r="J9" s="380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Kracjigr - Ekl - Kopič (= body)</v>
      </c>
      <c r="K9" s="380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kempy jun. repre (bez MS ale)</v>
      </c>
      <c r="L9" s="381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0" spans="1:12" x14ac:dyDescent="0.25">
      <c r="A10" s="382" t="str">
        <f ca="1">IF(INDIRECT("priprava_" &amp; A$1 &amp; "!G3")&lt;&gt;0,INDIRECT("priprava_" &amp; A$1 &amp; "!G3"),"")</f>
        <v>Zbyněk Stuchlík</v>
      </c>
      <c r="B10" s="379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380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380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380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381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382" t="str">
        <f ca="1">IF(INDIRECT("priprava_" &amp; G$1 &amp; "!G3")&lt;&gt;0,INDIRECT("priprava_" &amp; G$1 &amp; "!G3"),"")</f>
        <v>Radek Krajcigr</v>
      </c>
      <c r="H10" s="380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Havlbrod, Brno, Pardu, Bohe, MB</v>
      </c>
      <c r="I10" s="380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brejkový hráč (Ponomarev výhozy)</v>
      </c>
      <c r="J10" s="380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18/19 41+9, 19/20 29+19, 20/21 37+22</v>
      </c>
      <c r="K10" s="380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0" s="381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1" spans="1:12" x14ac:dyDescent="0.25">
      <c r="A11" s="382" t="str">
        <f ca="1">IF(INDIRECT("priprava_" &amp; A$1 &amp; "!A6")&lt;&gt;0,INDIRECT("priprava_" &amp; A$1 &amp; "!A6"),"")</f>
        <v>Oliver Gold</v>
      </c>
      <c r="B11" s="379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1" s="380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1" s="380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380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381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382" t="str">
        <f ca="1">IF(INDIRECT("priprava_" &amp; G$1 &amp; "!A6")&lt;&gt;0,INDIRECT("priprava_" &amp; G$1 &amp; "!A6"),"")</f>
        <v>Milan Tichý</v>
      </c>
      <c r="H11" s="380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při angažmá Bulldogs zranění kolene</v>
      </c>
      <c r="I11" s="380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kondiční příprava týmu</v>
      </c>
      <c r="J11" s="380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před Vánoci 2020 návrat do ČL</v>
      </c>
      <c r="K11" s="380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Boleslavi</v>
      </c>
      <c r="L11" s="381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2" spans="1:12" x14ac:dyDescent="0.25">
      <c r="A12" s="382" t="str">
        <f ca="1">IF(INDIRECT("priprava_" &amp; A$1 &amp; "!M6")&lt;&gt;0,INDIRECT("priprava_" &amp; A$1 &amp; "!M6"),"")</f>
        <v>Ondřej Stuchlík</v>
      </c>
      <c r="B12" s="379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2" s="380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2" s="380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2" s="380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2" s="381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382" t="str">
        <f ca="1">IF(INDIRECT("priprava_" &amp; G$1 &amp; "!M6")&lt;&gt;0,INDIRECT("priprava_" &amp; G$1 &amp; "!M6"),"")</f>
        <v>Daniel Štěrba</v>
      </c>
      <c r="H12" s="380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380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380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380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381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382" t="str">
        <f ca="1">IF(INDIRECT("priprava_" &amp; A$1 &amp; "!A12")&lt;&gt;0,INDIRECT("priprava_" &amp; A$1 &amp; "!A12"),"")</f>
        <v>Viktor Kopecký</v>
      </c>
      <c r="B13" s="379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380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380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380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381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382" t="str">
        <f ca="1">IF(INDIRECT("priprava_" &amp; G$1 &amp; "!A12")&lt;&gt;0,INDIRECT("priprava_" &amp; G$1 &amp; "!A12"),"")</f>
        <v>Jiří Vlček</v>
      </c>
      <c r="H13" s="380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ČVUT, bydlí v Lípě</v>
      </c>
      <c r="I13" s="380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dlouho se neprosazoval</v>
      </c>
      <c r="J13" s="380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poslední 2 roky stabilní člen na hrotu</v>
      </c>
      <c r="K13" s="380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3" s="381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4" spans="1:12" x14ac:dyDescent="0.25">
      <c r="A14" s="382" t="str">
        <f ca="1">IF(INDIRECT("priprava_" &amp; A$1 &amp; "!M12")&lt;&gt;0,INDIRECT("priprava_" &amp; A$1 &amp; "!M12"),"")</f>
        <v>Vojtěch Klápa</v>
      </c>
      <c r="B14" s="379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380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380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380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381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382" t="str">
        <f ca="1">IF(INDIRECT("priprava_" &amp; G$1 &amp; "!M12")&lt;&gt;0,INDIRECT("priprava_" &amp; G$1 &amp; "!M12"),"")</f>
        <v>Albert Kouba</v>
      </c>
      <c r="H14" s="380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Stárek &amp; Kopič &amp; Kouba</v>
      </c>
      <c r="I14" s="380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pohybově zdatný</v>
      </c>
      <c r="J14" s="380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teď 2. lajna, loni spíš seděl</v>
      </c>
      <c r="K14" s="380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4" s="381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5" spans="1:12" x14ac:dyDescent="0.25">
      <c r="A15" s="382" t="str">
        <f ca="1">IF(INDIRECT("priprava_" &amp; A$1 &amp; "!G14")&lt;&gt;0,INDIRECT("priprava_" &amp; A$1 &amp; "!G14"),"")</f>
        <v>Pavel Hájek</v>
      </c>
      <c r="B15" s="379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5" s="380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5" s="380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5" s="380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381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382" t="str">
        <f ca="1">IF(INDIRECT("priprava_" &amp; G$1 &amp; "!G14")&lt;&gt;0,INDIRECT("priprava_" &amp; G$1 &amp; "!G14"),"")</f>
        <v>Jakub Jirsa</v>
      </c>
      <c r="H15" s="380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vazy 5 let zpět</v>
      </c>
      <c r="I15" s="380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dříve hrál s Eklem (= body)</v>
      </c>
      <c r="J15" s="380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20/21 2. nejtrest. hráč ligy</v>
      </c>
      <c r="K15" s="380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srdcař českolipský</v>
      </c>
      <c r="L15" s="381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6" spans="1:12" x14ac:dyDescent="0.25">
      <c r="A16" s="382" t="str">
        <f ca="1">IF(INDIRECT("priprava_" &amp; A$1 &amp; "!A17")&lt;&gt;0,INDIRECT("priprava_" &amp; A$1 &amp; "!A17"),"")</f>
        <v>Štěpán Čuda</v>
      </c>
      <c r="B16" s="379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6" s="380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6" s="380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6" s="380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6" s="381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382" t="str">
        <f ca="1">IF(INDIRECT("priprava_" &amp; G$1 &amp; "!A17")&lt;&gt;0,INDIRECT("priprava_" &amp; G$1 &amp; "!A17"),"")</f>
        <v>Petr Novotný</v>
      </c>
      <c r="H16" s="380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Kolíně s manželkou</v>
      </c>
      <c r="I16" s="380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z Lípy do Tatranu a zpět</v>
      </c>
      <c r="J16" s="380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stará se o firmu</v>
      </c>
      <c r="K16" s="380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v Tatranu pak spíš nehrál</v>
      </c>
      <c r="L16" s="381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7" spans="1:12" x14ac:dyDescent="0.25">
      <c r="A17" s="382" t="str">
        <f ca="1">IF(INDIRECT("priprava_" &amp; A$1 &amp; "!M17")&lt;&gt;0,INDIRECT("priprava_" &amp; A$1 &amp; "!M17"),"")</f>
        <v>David Ježek</v>
      </c>
      <c r="B17" s="379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380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380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380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381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382" t="str">
        <f ca="1">IF(INDIRECT("priprava_" &amp; G$1 &amp; "!M17")&lt;&gt;0,INDIRECT("priprava_" &amp; G$1 &amp; "!M17"),"")</f>
        <v>Štěpán Slaný</v>
      </c>
      <c r="H17" s="380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Banát/Rumunsko</v>
      </c>
      <c r="I17" s="380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hospoda, festival, zájezdy do Banátu</v>
      </c>
      <c r="J17" s="380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manažer týmu</v>
      </c>
      <c r="K17" s="380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7" s="381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8" spans="1:12" x14ac:dyDescent="0.25">
      <c r="A18" s="382" t="str">
        <f ca="1">IF(INDIRECT("priprava_" &amp; A$1 &amp; "!A23")&lt;&gt;0,INDIRECT("priprava_" &amp; A$1 &amp; "!A23"),"")</f>
        <v>Štepán Švejda</v>
      </c>
      <c r="B18" s="379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380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380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380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381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382" t="str">
        <f ca="1">IF(INDIRECT("priprava_" &amp; G$1 &amp; "!A23")&lt;&gt;0,INDIRECT("priprava_" &amp; G$1 &amp; "!A23"),"")</f>
        <v>Jakub Karel</v>
      </c>
      <c r="H18" s="380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zažil oba postupy</v>
      </c>
      <c r="I18" s="380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dříč, člověk na černou práci</v>
      </c>
      <c r="J18" s="380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původně hokej</v>
      </c>
      <c r="K18" s="380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18" s="381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19" spans="1:12" x14ac:dyDescent="0.25">
      <c r="A19" s="382" t="str">
        <f ca="1">IF(INDIRECT("priprava_" &amp; A$1 &amp; "!M23")&lt;&gt;0,INDIRECT("priprava_" &amp; A$1 &amp; "!M23"),"")</f>
        <v>Jan Pinkas</v>
      </c>
      <c r="B19" s="379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19" s="380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19" s="380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19" s="380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19" s="381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382" t="str">
        <f ca="1">IF(INDIRECT("priprava_" &amp; G$1 &amp; "!M23")&lt;&gt;0,INDIRECT("priprava_" &amp; G$1 &amp; "!M23"),"")</f>
        <v>Marek Dzierža</v>
      </c>
      <c r="H19" s="380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Slaný si ho vyhlédl na Salming Gam.</v>
      </c>
      <c r="I19" s="380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trenér, pracuje pro klub</v>
      </c>
      <c r="J19" s="380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Lípě s přítelkyní</v>
      </c>
      <c r="K19" s="380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objevil se na kempu pod Kettunenem</v>
      </c>
      <c r="L19" s="381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0" spans="1:12" x14ac:dyDescent="0.25">
      <c r="A20" s="382" t="str">
        <f ca="1">IF(INDIRECT("priprava_" &amp; A$1 &amp; "!G25")&lt;&gt;0,INDIRECT("priprava_" &amp; A$1 &amp; "!G25"),"")</f>
        <v>Ivan Pergler</v>
      </c>
      <c r="B20" s="379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20" s="380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20" s="380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20" s="380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20" s="381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382" t="str">
        <f ca="1">IF(INDIRECT("priprava_" &amp; G$1 &amp; "!G25")&lt;&gt;0,INDIRECT("priprava_" &amp; G$1 &amp; "!G25"),"")</f>
        <v>Lukáš Mlejnek</v>
      </c>
      <c r="H20" s="380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aktuálně v solidní formě</v>
      </c>
      <c r="I20" s="380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laboroval s meniskem</v>
      </c>
      <c r="J20" s="380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kapitán týmu (od 11/12 do 18/19)</v>
      </c>
      <c r="K20" s="380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nyní opět kapitán</v>
      </c>
      <c r="L20" s="381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1" spans="1:12" x14ac:dyDescent="0.25">
      <c r="A21" s="382" t="str">
        <f ca="1">IF(INDIRECT("priprava_" &amp; A$1 &amp; "!A28")&lt;&gt;0,INDIRECT("priprava_" &amp; A$1 &amp; "!A28"),"")</f>
        <v>Lukáš Lanc</v>
      </c>
      <c r="B21" s="379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380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21" s="380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21" s="380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381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382" t="str">
        <f ca="1">IF(INDIRECT("priprava_" &amp; G$1 &amp; "!A28")&lt;&gt;0,INDIRECT("priprava_" &amp; G$1 &amp; "!A28"),"")</f>
        <v>Antonín Stárek</v>
      </c>
      <c r="H21" s="380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loni hrál hrot (192 cm)</v>
      </c>
      <c r="I21" s="380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letos stabilně beka</v>
      </c>
      <c r="J21" s="380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generace, co hraje od malička</v>
      </c>
      <c r="K21" s="380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1" s="381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2" spans="1:12" x14ac:dyDescent="0.25">
      <c r="A22" s="382" t="str">
        <f ca="1">IF(INDIRECT("priprava_" &amp; A$1 &amp; "!M28")&lt;&gt;0,INDIRECT("priprava_" &amp; A$1 &amp; "!M28"),"")</f>
        <v>Petr Hartman</v>
      </c>
      <c r="B22" s="379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22" s="380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22" s="380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22" s="380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381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382" t="str">
        <f ca="1">IF(INDIRECT("priprava_" &amp; G$1 &amp; "!M28")&lt;&gt;0,INDIRECT("priprava_" &amp; G$1 &amp; "!M28"),"")</f>
        <v>Tomáš Novák</v>
      </c>
      <c r="H22" s="380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součástí výměny Tichého do MB</v>
      </c>
      <c r="I22" s="380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loni zranění</v>
      </c>
      <c r="J22" s="380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Boleslavi</v>
      </c>
      <c r="K22" s="380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2" s="381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3" spans="1:12" x14ac:dyDescent="0.25">
      <c r="A23" s="382" t="str">
        <f ca="1">IF(INDIRECT("priprava_" &amp; A$1 &amp; "!J34")&lt;&gt;0,INDIRECT("priprava_" &amp; A$1 &amp; "!J34"),"")</f>
        <v>Marek Paštika</v>
      </c>
      <c r="B23" s="379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380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380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380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381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382" t="str">
        <f ca="1">IF(INDIRECT("priprava_" &amp; G$1 &amp; "!J34")&lt;&gt;0,INDIRECT("priprava_" &amp; G$1 &amp; "!J34"),"")</f>
        <v>Lukáš Staněk</v>
      </c>
      <c r="H23" s="380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380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380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380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381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382" t="str">
        <f ca="1">IF(INDIRECT("priprava_" &amp; A$1 &amp; "!J38")&lt;&gt;0,INDIRECT("priprava_" &amp; A$1 &amp; "!J38"),"")</f>
        <v>Matěj Horák</v>
      </c>
      <c r="B24" s="379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380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380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380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381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382" t="str">
        <f ca="1">IF(INDIRECT("priprava_" &amp; G$1 &amp; "!J38")&lt;&gt;0,INDIRECT("priprava_" &amp; G$1 &amp; "!J38"),"")</f>
        <v>Oliver Brodský</v>
      </c>
      <c r="H24" s="380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moc toho nenahrál</v>
      </c>
      <c r="I24" s="380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útočník</v>
      </c>
      <c r="J24" s="380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4" s="380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4" s="381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5" spans="1:12" x14ac:dyDescent="0.25">
      <c r="A25" s="382" t="str">
        <f ca="1">IF(INDIRECT("priprava_" &amp; A$1 &amp; "!J42")&lt;&gt;0,INDIRECT("priprava_" &amp; A$1 &amp; "!J42"),"")</f>
        <v>Milan Bína</v>
      </c>
      <c r="B25" s="379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380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380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380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381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382" t="str">
        <f ca="1">IF(INDIRECT("priprava_" &amp; G$1 &amp; "!J42")&lt;&gt;0,INDIRECT("priprava_" &amp; G$1 &amp; "!J42"),"")</f>
        <v>Jakub Horák</v>
      </c>
      <c r="H25" s="380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380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380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380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381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382" t="str">
        <f ca="1">IF(INDIRECT("priprava_" &amp; A$1 &amp; "!A34")&lt;&gt;0,INDIRECT("priprava_" &amp; A$1 &amp; "!A34"),"")</f>
        <v>Petr Musil</v>
      </c>
      <c r="B26" s="379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380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380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380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381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382" t="str">
        <f ca="1">IF(INDIRECT("priprava_" &amp; G$1 &amp; "!A34")&lt;&gt;0,INDIRECT("priprava_" &amp; G$1 &amp; "!A34"),"")</f>
        <v>Lukáš Chyna</v>
      </c>
      <c r="H26" s="380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České Lípě</v>
      </c>
      <c r="I26" s="380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chytal i v Liberci</v>
      </c>
      <c r="J26" s="380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6" s="380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6" s="381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7" spans="1:12" x14ac:dyDescent="0.25">
      <c r="A27" s="382" t="str">
        <f ca="1">IF(INDIRECT("priprava_" &amp; A$1 &amp; "!A40")&lt;&gt;0,INDIRECT("priprava_" &amp; A$1 &amp; "!A40"),"")</f>
        <v>Karel Šantora</v>
      </c>
      <c r="B27" s="379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380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380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380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381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382" t="str">
        <f ca="1">IF(INDIRECT("priprava_" &amp; G$1 &amp; "!A40")&lt;&gt;0,INDIRECT("priprava_" &amp; G$1 &amp; "!A40"),"")</f>
        <v>Ivan Ponomarev</v>
      </c>
      <c r="H27" s="380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bydlí v Liberci s rodinou</v>
      </c>
      <c r="I27" s="380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postup do 1. ligy i superligy</v>
      </c>
      <c r="J27" s="380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K27" s="380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7" s="381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28" spans="1:12" s="154" customFormat="1" ht="19.5" x14ac:dyDescent="0.25">
      <c r="A28" s="378" t="s">
        <v>867</v>
      </c>
      <c r="B28" s="378"/>
      <c r="C28" s="378"/>
      <c r="D28" s="378"/>
      <c r="E28" s="378"/>
      <c r="F28" s="378"/>
      <c r="G28" s="378" t="s">
        <v>867</v>
      </c>
      <c r="H28" s="378"/>
      <c r="I28" s="378"/>
      <c r="J28" s="378"/>
      <c r="K28" s="378"/>
      <c r="L28" s="378"/>
    </row>
    <row r="29" spans="1:12" x14ac:dyDescent="0.25">
      <c r="A29" s="382" t="str">
        <f ca="1">IF(INDIRECT("priprava_" &amp; A$1 &amp; "!A47")&lt;&gt;0,INDIRECT("priprava_" &amp; A$1 &amp; "!A47"),"")</f>
        <v>Michal Kotlas</v>
      </c>
      <c r="B29" s="380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380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380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380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381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382" t="str">
        <f ca="1">IF(INDIRECT("priprava_" &amp; G$1 &amp; "!A47")&lt;&gt;0,INDIRECT("priprava_" &amp; G$1 &amp; "!A47"),"")</f>
        <v>David Derka</v>
      </c>
      <c r="H29" s="380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přebíral po Bartošové a Stožickém</v>
      </c>
      <c r="I29" s="380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hrál za Liberec, Ústí, Bohemku</v>
      </c>
      <c r="J29" s="380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se Slaným v Liberci a Ústí</v>
      </c>
      <c r="K29" s="380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  <c r="L29" s="381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>0</v>
      </c>
    </row>
    <row r="30" spans="1:12" x14ac:dyDescent="0.25">
      <c r="A30" s="382" t="str">
        <f ca="1">IF(INDIRECT("priprava_" &amp; A$1 &amp; "!J47")&lt;&gt;0,INDIRECT("priprava_" &amp; A$1 &amp; "!J47"),"")</f>
        <v>David Bouša</v>
      </c>
      <c r="B30" s="380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380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380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380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381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382" t="str">
        <f ca="1">IF(INDIRECT("priprava_" &amp; G$1 &amp; "!J47")&lt;&gt;0,INDIRECT("priprava_" &amp; G$1 &amp; "!J47"),"")</f>
        <v>Petr Kopta</v>
      </c>
      <c r="H30" s="380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380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380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380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381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382" t="str">
        <f ca="1">IF(INDIRECT("priprava_" &amp; A$1 &amp; "!J49")&lt;&gt;0,INDIRECT("priprava_" &amp; A$1 &amp; "!J49"),"")</f>
        <v>Boleslav Kytka</v>
      </c>
      <c r="B31" s="380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380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380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380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381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382" t="str">
        <f ca="1">IF(INDIRECT("priprava_" &amp; G$1 &amp; "!J49")&lt;&gt;0,INDIRECT("priprava_" &amp; G$1 &amp; "!J49"),"")</f>
        <v>Daniel Obyt</v>
      </c>
      <c r="H31" s="380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380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380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380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381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75" customWidth="1"/>
    <col min="2" max="2" width="8.7109375" style="174" customWidth="1"/>
    <col min="3" max="7" width="21.28515625" style="186" customWidth="1"/>
    <col min="8" max="8" width="17.5703125" style="173" hidden="1" customWidth="1"/>
    <col min="9" max="16384" width="9.140625" style="173"/>
  </cols>
  <sheetData>
    <row r="1" spans="1:8" s="178" customFormat="1" ht="19.5" x14ac:dyDescent="0.25">
      <c r="A1" s="325" t="s">
        <v>881</v>
      </c>
      <c r="B1" s="325"/>
      <c r="C1" s="326" t="s">
        <v>880</v>
      </c>
      <c r="D1" s="326"/>
      <c r="E1" s="326"/>
      <c r="F1" s="326"/>
      <c r="G1" s="326"/>
      <c r="H1" s="178" t="s">
        <v>879</v>
      </c>
    </row>
    <row r="2" spans="1:8" x14ac:dyDescent="0.25">
      <c r="A2" s="176" t="s">
        <v>233</v>
      </c>
      <c r="B2" s="177">
        <v>37276</v>
      </c>
      <c r="C2" s="185" t="s">
        <v>876</v>
      </c>
      <c r="D2" s="185"/>
      <c r="E2" s="185"/>
      <c r="F2" s="185"/>
      <c r="G2" s="185"/>
      <c r="H2" s="173" t="str">
        <f t="shared" ref="H2:H33" si="0">IF(A2&lt;&gt;"",CONCATENATE(A2," (",B2,")"),"")</f>
        <v>Jakub Pařízek (37276)</v>
      </c>
    </row>
    <row r="3" spans="1:8" x14ac:dyDescent="0.25">
      <c r="A3" s="176" t="s">
        <v>162</v>
      </c>
      <c r="B3" s="177">
        <v>32379</v>
      </c>
      <c r="C3" s="185" t="s">
        <v>875</v>
      </c>
      <c r="D3" s="185" t="s">
        <v>1183</v>
      </c>
      <c r="E3" s="185" t="s">
        <v>1184</v>
      </c>
      <c r="F3" s="185"/>
      <c r="G3" s="185"/>
      <c r="H3" s="173" t="str">
        <f t="shared" si="0"/>
        <v>Lukáš Lanc (32379)</v>
      </c>
    </row>
    <row r="4" spans="1:8" x14ac:dyDescent="0.25">
      <c r="A4" s="176" t="s">
        <v>224</v>
      </c>
      <c r="B4" s="177">
        <v>37818</v>
      </c>
      <c r="C4" s="185" t="s">
        <v>878</v>
      </c>
      <c r="D4" s="185"/>
      <c r="E4" s="185"/>
      <c r="F4" s="185"/>
      <c r="G4" s="185"/>
      <c r="H4" s="173" t="str">
        <f t="shared" si="0"/>
        <v>Šimon Stránský (37818)</v>
      </c>
    </row>
    <row r="5" spans="1:8" x14ac:dyDescent="0.25">
      <c r="A5" s="176" t="s">
        <v>254</v>
      </c>
      <c r="B5" s="177">
        <v>24850</v>
      </c>
      <c r="C5" s="185" t="s">
        <v>877</v>
      </c>
      <c r="D5" s="185"/>
      <c r="E5" s="185"/>
      <c r="F5" s="185"/>
      <c r="G5" s="185"/>
      <c r="H5" s="173" t="str">
        <f t="shared" si="0"/>
        <v>Zdeněk Skružný (24850)</v>
      </c>
    </row>
    <row r="6" spans="1:8" x14ac:dyDescent="0.25">
      <c r="A6" s="176" t="s">
        <v>11</v>
      </c>
      <c r="B6" s="177">
        <v>37000</v>
      </c>
      <c r="C6" s="185" t="s">
        <v>1185</v>
      </c>
      <c r="D6" s="185" t="s">
        <v>1186</v>
      </c>
      <c r="E6" s="185"/>
      <c r="F6" s="185"/>
      <c r="G6" s="185"/>
      <c r="H6" s="173" t="str">
        <f t="shared" si="0"/>
        <v>Oliver Gold (37000)</v>
      </c>
    </row>
    <row r="7" spans="1:8" x14ac:dyDescent="0.25">
      <c r="A7" s="176" t="s">
        <v>127</v>
      </c>
      <c r="B7" s="177">
        <v>36658</v>
      </c>
      <c r="C7" s="185" t="s">
        <v>1229</v>
      </c>
      <c r="D7" s="185" t="s">
        <v>1230</v>
      </c>
      <c r="E7" s="185" t="s">
        <v>1231</v>
      </c>
      <c r="F7" s="185"/>
      <c r="G7" s="185"/>
      <c r="H7" s="173" t="str">
        <f t="shared" si="0"/>
        <v>Jan Procházka (36658)</v>
      </c>
    </row>
    <row r="8" spans="1:8" x14ac:dyDescent="0.25">
      <c r="A8" s="176" t="s">
        <v>18</v>
      </c>
      <c r="B8" s="177">
        <v>37561</v>
      </c>
      <c r="C8" s="185" t="s">
        <v>1187</v>
      </c>
      <c r="D8" s="185" t="s">
        <v>1188</v>
      </c>
      <c r="E8" s="185"/>
      <c r="F8" s="185"/>
      <c r="G8" s="185"/>
      <c r="H8" s="173" t="str">
        <f t="shared" si="0"/>
        <v>Matyáš Lorenc (37561)</v>
      </c>
    </row>
    <row r="9" spans="1:8" x14ac:dyDescent="0.25">
      <c r="A9" s="176" t="s">
        <v>4</v>
      </c>
      <c r="B9" s="177">
        <v>36364</v>
      </c>
      <c r="C9" s="185" t="s">
        <v>1189</v>
      </c>
      <c r="D9" s="185" t="s">
        <v>1190</v>
      </c>
      <c r="E9" s="185" t="s">
        <v>1191</v>
      </c>
      <c r="F9" s="185" t="s">
        <v>1192</v>
      </c>
      <c r="G9" s="185"/>
      <c r="H9" s="173" t="str">
        <f t="shared" si="0"/>
        <v>Štěpán Čuda (36364)</v>
      </c>
    </row>
    <row r="10" spans="1:8" x14ac:dyDescent="0.25">
      <c r="A10" s="176" t="s">
        <v>15</v>
      </c>
      <c r="B10" s="177">
        <v>35171</v>
      </c>
      <c r="C10" s="185" t="s">
        <v>1193</v>
      </c>
      <c r="D10" s="185" t="s">
        <v>1194</v>
      </c>
      <c r="E10" s="185" t="s">
        <v>1191</v>
      </c>
      <c r="F10" s="185" t="s">
        <v>1195</v>
      </c>
      <c r="G10" s="185"/>
      <c r="H10" s="173" t="str">
        <f t="shared" si="0"/>
        <v>Karel Šantora (35171)</v>
      </c>
    </row>
    <row r="11" spans="1:8" x14ac:dyDescent="0.25">
      <c r="A11" s="176" t="s">
        <v>10</v>
      </c>
      <c r="B11" s="177">
        <v>34200</v>
      </c>
      <c r="C11" s="185" t="s">
        <v>1196</v>
      </c>
      <c r="D11" s="185"/>
      <c r="E11" s="185"/>
      <c r="F11" s="185"/>
      <c r="G11" s="185"/>
      <c r="H11" s="173" t="str">
        <f t="shared" si="0"/>
        <v>Ondřej Stuchlík (34200)</v>
      </c>
    </row>
    <row r="12" spans="1:8" x14ac:dyDescent="0.25">
      <c r="A12" s="176" t="s">
        <v>123</v>
      </c>
      <c r="B12" s="177">
        <v>36650</v>
      </c>
      <c r="C12" s="185" t="s">
        <v>1197</v>
      </c>
      <c r="D12" s="185"/>
      <c r="E12" s="185"/>
      <c r="F12" s="185"/>
      <c r="G12" s="185"/>
      <c r="H12" s="173" t="str">
        <f t="shared" si="0"/>
        <v>Vojtěch Máca (36650)</v>
      </c>
    </row>
    <row r="13" spans="1:8" x14ac:dyDescent="0.25">
      <c r="A13" s="176" t="s">
        <v>19</v>
      </c>
      <c r="B13" s="177">
        <v>37455</v>
      </c>
      <c r="C13" s="185" t="s">
        <v>1198</v>
      </c>
      <c r="D13" s="185" t="s">
        <v>1199</v>
      </c>
      <c r="E13" s="185" t="s">
        <v>1200</v>
      </c>
      <c r="F13" s="185"/>
      <c r="G13" s="185"/>
      <c r="H13" s="173" t="str">
        <f t="shared" si="0"/>
        <v>Marek Paštika (37455)</v>
      </c>
    </row>
    <row r="14" spans="1:8" x14ac:dyDescent="0.25">
      <c r="A14" s="176" t="s">
        <v>118</v>
      </c>
      <c r="B14" s="177">
        <v>34883</v>
      </c>
      <c r="C14" s="185" t="s">
        <v>1201</v>
      </c>
      <c r="D14" s="185"/>
      <c r="E14" s="185"/>
      <c r="F14" s="185"/>
      <c r="G14" s="185"/>
      <c r="H14" s="173" t="str">
        <f t="shared" si="0"/>
        <v>Viktor Kopecký (34883)</v>
      </c>
    </row>
    <row r="15" spans="1:8" x14ac:dyDescent="0.25">
      <c r="A15" s="176" t="s">
        <v>14</v>
      </c>
      <c r="B15" s="177">
        <v>33357</v>
      </c>
      <c r="C15" s="185" t="s">
        <v>1202</v>
      </c>
      <c r="D15" s="185" t="s">
        <v>1203</v>
      </c>
      <c r="E15" s="185" t="s">
        <v>1204</v>
      </c>
      <c r="F15" s="185"/>
      <c r="G15" s="185"/>
      <c r="H15" s="173" t="str">
        <f t="shared" si="0"/>
        <v>Petr Hartman (33357)</v>
      </c>
    </row>
    <row r="16" spans="1:8" x14ac:dyDescent="0.25">
      <c r="A16" s="176" t="s">
        <v>17</v>
      </c>
      <c r="B16" s="177">
        <v>37402</v>
      </c>
      <c r="C16" s="185" t="s">
        <v>1198</v>
      </c>
      <c r="D16" s="185" t="s">
        <v>1200</v>
      </c>
      <c r="E16" s="185" t="s">
        <v>1205</v>
      </c>
      <c r="F16" s="185" t="s">
        <v>1206</v>
      </c>
      <c r="G16" s="185"/>
      <c r="H16" s="173" t="str">
        <f t="shared" si="0"/>
        <v>Jan Pinkas (37402)</v>
      </c>
    </row>
    <row r="17" spans="1:8" x14ac:dyDescent="0.25">
      <c r="A17" s="176" t="s">
        <v>8</v>
      </c>
      <c r="B17" s="177">
        <v>34105</v>
      </c>
      <c r="C17" s="185" t="s">
        <v>1207</v>
      </c>
      <c r="D17" s="185" t="s">
        <v>1208</v>
      </c>
      <c r="E17" s="185" t="s">
        <v>1209</v>
      </c>
      <c r="F17" s="185"/>
      <c r="G17" s="185"/>
      <c r="H17" s="173" t="str">
        <f t="shared" si="0"/>
        <v>Lukáš Gregor (34105)</v>
      </c>
    </row>
    <row r="18" spans="1:8" x14ac:dyDescent="0.25">
      <c r="A18" s="176" t="s">
        <v>6</v>
      </c>
      <c r="B18" s="177">
        <v>34880</v>
      </c>
      <c r="C18" s="185" t="s">
        <v>1193</v>
      </c>
      <c r="D18" s="185" t="s">
        <v>1210</v>
      </c>
      <c r="E18" s="185" t="s">
        <v>1211</v>
      </c>
      <c r="F18" s="185"/>
      <c r="G18" s="185"/>
      <c r="H18" s="173" t="str">
        <f t="shared" si="0"/>
        <v>Jan Fiala (34880)</v>
      </c>
    </row>
    <row r="19" spans="1:8" x14ac:dyDescent="0.25">
      <c r="A19" s="176" t="s">
        <v>157</v>
      </c>
      <c r="B19" s="177">
        <v>36825</v>
      </c>
      <c r="C19" s="185" t="s">
        <v>1212</v>
      </c>
      <c r="D19" s="185" t="s">
        <v>1213</v>
      </c>
      <c r="E19" s="185" t="s">
        <v>1214</v>
      </c>
      <c r="F19" s="185"/>
      <c r="G19" s="185"/>
      <c r="H19" s="173" t="str">
        <f t="shared" si="0"/>
        <v>Pavel Hájek (36825)</v>
      </c>
    </row>
    <row r="20" spans="1:8" x14ac:dyDescent="0.25">
      <c r="A20" s="175" t="s">
        <v>1215</v>
      </c>
      <c r="B20" s="184">
        <v>37297</v>
      </c>
      <c r="C20" s="186" t="s">
        <v>1216</v>
      </c>
      <c r="D20" s="186" t="s">
        <v>1217</v>
      </c>
      <c r="E20" s="186" t="s">
        <v>1218</v>
      </c>
      <c r="H20" s="173" t="str">
        <f t="shared" si="0"/>
        <v>Štěpán Švejda (37297)</v>
      </c>
    </row>
    <row r="21" spans="1:8" x14ac:dyDescent="0.25">
      <c r="A21" s="175" t="s">
        <v>9</v>
      </c>
      <c r="B21" s="184">
        <v>34200</v>
      </c>
      <c r="C21" s="186" t="s">
        <v>1219</v>
      </c>
      <c r="D21" s="186" t="s">
        <v>1220</v>
      </c>
      <c r="E21" s="186" t="s">
        <v>1221</v>
      </c>
      <c r="H21" s="173" t="str">
        <f t="shared" si="0"/>
        <v>Zbyněk Stuchlík (34200)</v>
      </c>
    </row>
    <row r="22" spans="1:8" x14ac:dyDescent="0.25">
      <c r="A22" s="175" t="s">
        <v>122</v>
      </c>
      <c r="B22" s="184">
        <v>36551</v>
      </c>
      <c r="C22" s="186" t="s">
        <v>1222</v>
      </c>
      <c r="D22" s="186" t="s">
        <v>1223</v>
      </c>
      <c r="E22" s="186" t="s">
        <v>1224</v>
      </c>
      <c r="F22" s="186" t="s">
        <v>1225</v>
      </c>
      <c r="H22" s="173" t="str">
        <f t="shared" si="0"/>
        <v>Ivan Pergler (36551)</v>
      </c>
    </row>
    <row r="23" spans="1:8" x14ac:dyDescent="0.25">
      <c r="A23" s="175" t="s">
        <v>0</v>
      </c>
      <c r="B23" s="184">
        <v>37777</v>
      </c>
      <c r="C23" s="186" t="s">
        <v>1226</v>
      </c>
      <c r="D23" s="186" t="s">
        <v>1227</v>
      </c>
      <c r="E23" s="186" t="s">
        <v>1228</v>
      </c>
      <c r="H23" s="173" t="str">
        <f t="shared" si="0"/>
        <v>Vojtěch Klápa (37777)</v>
      </c>
    </row>
    <row r="24" spans="1:8" x14ac:dyDescent="0.25">
      <c r="A24" s="175" t="s">
        <v>689</v>
      </c>
      <c r="B24" s="184">
        <v>30929</v>
      </c>
      <c r="C24" s="186" t="s">
        <v>1262</v>
      </c>
      <c r="D24" s="186" t="s">
        <v>1263</v>
      </c>
      <c r="H24" s="173" t="str">
        <f t="shared" si="0"/>
        <v>Ivan Ponomarev (30929)</v>
      </c>
    </row>
    <row r="25" spans="1:8" x14ac:dyDescent="0.25">
      <c r="A25" s="175" t="s">
        <v>698</v>
      </c>
      <c r="B25" s="184">
        <v>35663</v>
      </c>
      <c r="C25" s="186" t="s">
        <v>1264</v>
      </c>
      <c r="D25" s="186" t="s">
        <v>1265</v>
      </c>
      <c r="H25" s="173" t="str">
        <f t="shared" si="0"/>
        <v>Lukáš Chyna (35663)</v>
      </c>
    </row>
    <row r="26" spans="1:8" x14ac:dyDescent="0.25">
      <c r="A26" s="175" t="s">
        <v>426</v>
      </c>
      <c r="B26" s="184">
        <v>33976</v>
      </c>
      <c r="C26" s="186" t="s">
        <v>1266</v>
      </c>
      <c r="D26" s="186" t="s">
        <v>1267</v>
      </c>
      <c r="E26" s="186" t="s">
        <v>1268</v>
      </c>
      <c r="F26" s="186" t="s">
        <v>1269</v>
      </c>
      <c r="H26" s="173" t="str">
        <f t="shared" si="0"/>
        <v>Milan Tichý (33976)</v>
      </c>
    </row>
    <row r="27" spans="1:8" x14ac:dyDescent="0.25">
      <c r="A27" s="175" t="s">
        <v>693</v>
      </c>
      <c r="B27" s="184">
        <v>31959</v>
      </c>
      <c r="C27" s="186" t="s">
        <v>1270</v>
      </c>
      <c r="D27" s="186" t="s">
        <v>1271</v>
      </c>
      <c r="E27" s="186" t="s">
        <v>1272</v>
      </c>
      <c r="F27" s="186" t="s">
        <v>1273</v>
      </c>
      <c r="H27" s="173" t="str">
        <f t="shared" si="0"/>
        <v>Lukáš Mlejnek (31959)</v>
      </c>
    </row>
    <row r="28" spans="1:8" x14ac:dyDescent="0.25">
      <c r="A28" s="175" t="s">
        <v>707</v>
      </c>
      <c r="B28" s="184">
        <v>36660</v>
      </c>
      <c r="C28" s="186" t="s">
        <v>1274</v>
      </c>
      <c r="D28" s="186" t="s">
        <v>1275</v>
      </c>
      <c r="E28" s="186" t="s">
        <v>1276</v>
      </c>
      <c r="H28" s="173" t="str">
        <f t="shared" si="0"/>
        <v>Jan Spilka (36660)</v>
      </c>
    </row>
    <row r="29" spans="1:8" x14ac:dyDescent="0.25">
      <c r="A29" s="175" t="s">
        <v>703</v>
      </c>
      <c r="B29" s="184">
        <v>33176</v>
      </c>
      <c r="C29" s="186" t="s">
        <v>1277</v>
      </c>
      <c r="D29" s="186" t="s">
        <v>1278</v>
      </c>
      <c r="E29" s="186" t="s">
        <v>1279</v>
      </c>
      <c r="H29" s="173" t="str">
        <f t="shared" si="0"/>
        <v>Tomáš Kadlec (33176)</v>
      </c>
    </row>
    <row r="30" spans="1:8" x14ac:dyDescent="0.25">
      <c r="A30" s="175" t="s">
        <v>688</v>
      </c>
      <c r="B30" s="184">
        <v>30346</v>
      </c>
      <c r="C30" s="186" t="s">
        <v>1280</v>
      </c>
      <c r="D30" s="186" t="s">
        <v>1281</v>
      </c>
      <c r="E30" s="186" t="s">
        <v>333</v>
      </c>
      <c r="H30" s="173" t="str">
        <f t="shared" si="0"/>
        <v>Štěpán Slaný (30346)</v>
      </c>
    </row>
    <row r="31" spans="1:8" x14ac:dyDescent="0.25">
      <c r="A31" s="175" t="s">
        <v>686</v>
      </c>
      <c r="B31" s="174" t="s">
        <v>1282</v>
      </c>
      <c r="C31" s="186" t="s">
        <v>1283</v>
      </c>
      <c r="D31" s="186" t="s">
        <v>1284</v>
      </c>
      <c r="H31" s="173" t="str">
        <f t="shared" si="0"/>
        <v>Daniel Štěrba (145.1.996)</v>
      </c>
    </row>
    <row r="32" spans="1:8" x14ac:dyDescent="0.25">
      <c r="A32" s="175" t="s">
        <v>1285</v>
      </c>
      <c r="B32" s="184">
        <v>35852</v>
      </c>
      <c r="C32" s="186" t="s">
        <v>1286</v>
      </c>
      <c r="D32" s="186" t="s">
        <v>1287</v>
      </c>
      <c r="H32" s="173" t="str">
        <f t="shared" si="0"/>
        <v>Vojtěch Hrůza (35852)</v>
      </c>
    </row>
    <row r="33" spans="1:8" x14ac:dyDescent="0.25">
      <c r="A33" s="175" t="s">
        <v>704</v>
      </c>
      <c r="B33" s="184">
        <v>34046</v>
      </c>
      <c r="C33" s="186" t="s">
        <v>1288</v>
      </c>
      <c r="D33" s="186" t="s">
        <v>1289</v>
      </c>
      <c r="E33" s="186" t="s">
        <v>1269</v>
      </c>
      <c r="H33" s="173" t="str">
        <f t="shared" si="0"/>
        <v>Tomáš Novák (34046)</v>
      </c>
    </row>
    <row r="34" spans="1:8" x14ac:dyDescent="0.25">
      <c r="A34" s="175" t="s">
        <v>692</v>
      </c>
      <c r="B34" s="184">
        <v>37722</v>
      </c>
      <c r="C34" s="186" t="s">
        <v>1290</v>
      </c>
      <c r="D34" s="186" t="s">
        <v>1291</v>
      </c>
      <c r="E34" s="186" t="s">
        <v>1292</v>
      </c>
      <c r="H34" s="173" t="str">
        <f t="shared" ref="H34:H65" si="1">IF(A34&lt;&gt;"",CONCATENATE(A34," (",B34,")"),"")</f>
        <v>Antonín Stárek (37722)</v>
      </c>
    </row>
    <row r="35" spans="1:8" x14ac:dyDescent="0.25">
      <c r="A35" s="175" t="s">
        <v>694</v>
      </c>
      <c r="B35" s="184">
        <v>37697</v>
      </c>
      <c r="C35" s="186" t="s">
        <v>1293</v>
      </c>
      <c r="D35" s="186" t="s">
        <v>1294</v>
      </c>
      <c r="H35" s="173" t="str">
        <f t="shared" si="1"/>
        <v>Oliver Brodský (37697)</v>
      </c>
    </row>
    <row r="36" spans="1:8" x14ac:dyDescent="0.25">
      <c r="A36" s="175" t="s">
        <v>690</v>
      </c>
      <c r="B36" s="184">
        <v>35758</v>
      </c>
      <c r="C36" s="186" t="s">
        <v>1295</v>
      </c>
      <c r="D36" s="186" t="s">
        <v>1296</v>
      </c>
      <c r="E36" s="186" t="s">
        <v>1297</v>
      </c>
      <c r="H36" s="173" t="str">
        <f t="shared" si="1"/>
        <v>Jiří Vlček (35758)</v>
      </c>
    </row>
    <row r="37" spans="1:8" x14ac:dyDescent="0.25">
      <c r="A37" s="175" t="s">
        <v>685</v>
      </c>
      <c r="B37" s="184">
        <v>31655</v>
      </c>
      <c r="C37" s="186" t="s">
        <v>1298</v>
      </c>
      <c r="D37" s="186" t="s">
        <v>1299</v>
      </c>
      <c r="E37" s="186" t="s">
        <v>1300</v>
      </c>
      <c r="F37" s="186" t="s">
        <v>1301</v>
      </c>
      <c r="H37" s="173" t="str">
        <f t="shared" si="1"/>
        <v>Marek Dzierža (31655)</v>
      </c>
    </row>
    <row r="38" spans="1:8" x14ac:dyDescent="0.25">
      <c r="A38" s="175" t="s">
        <v>691</v>
      </c>
      <c r="B38" s="184">
        <v>37944</v>
      </c>
      <c r="C38" s="186" t="s">
        <v>1302</v>
      </c>
      <c r="D38" s="186" t="s">
        <v>1303</v>
      </c>
      <c r="E38" s="186" t="s">
        <v>1304</v>
      </c>
      <c r="H38" s="173" t="str">
        <f t="shared" si="1"/>
        <v>Albert Kouba (37944)</v>
      </c>
    </row>
    <row r="39" spans="1:8" x14ac:dyDescent="0.25">
      <c r="A39" s="175" t="s">
        <v>687</v>
      </c>
      <c r="B39" s="184">
        <v>33030</v>
      </c>
      <c r="C39" s="186" t="s">
        <v>1305</v>
      </c>
      <c r="D39" s="186" t="s">
        <v>1306</v>
      </c>
      <c r="E39" s="186" t="s">
        <v>1307</v>
      </c>
      <c r="H39" s="173" t="str">
        <f t="shared" si="1"/>
        <v>Jakub Karel (33030)</v>
      </c>
    </row>
    <row r="40" spans="1:8" x14ac:dyDescent="0.25">
      <c r="A40" s="175" t="s">
        <v>683</v>
      </c>
      <c r="B40" s="184">
        <v>37951</v>
      </c>
      <c r="C40" s="186" t="s">
        <v>1308</v>
      </c>
      <c r="D40" s="186" t="s">
        <v>1309</v>
      </c>
      <c r="E40" s="186" t="s">
        <v>1310</v>
      </c>
      <c r="F40" s="186" t="s">
        <v>1311</v>
      </c>
      <c r="H40" s="173" t="str">
        <f t="shared" si="1"/>
        <v>Ondřej Kopič (37951)</v>
      </c>
    </row>
    <row r="41" spans="1:8" x14ac:dyDescent="0.25">
      <c r="A41" s="175" t="s">
        <v>440</v>
      </c>
      <c r="B41" s="184">
        <v>34592</v>
      </c>
      <c r="C41" s="186" t="s">
        <v>1312</v>
      </c>
      <c r="D41" s="186" t="s">
        <v>1313</v>
      </c>
      <c r="E41" s="186" t="s">
        <v>1314</v>
      </c>
      <c r="F41" s="186" t="s">
        <v>1315</v>
      </c>
      <c r="H41" s="173" t="str">
        <f t="shared" si="1"/>
        <v>Petr Novotný (34592)</v>
      </c>
    </row>
    <row r="42" spans="1:8" x14ac:dyDescent="0.25">
      <c r="A42" s="175" t="s">
        <v>695</v>
      </c>
      <c r="B42" s="184">
        <v>33522</v>
      </c>
      <c r="C42" s="186" t="s">
        <v>1316</v>
      </c>
      <c r="D42" s="186" t="s">
        <v>1317</v>
      </c>
      <c r="E42" s="186" t="s">
        <v>1318</v>
      </c>
      <c r="F42" s="186" t="s">
        <v>1319</v>
      </c>
      <c r="H42" s="173" t="str">
        <f t="shared" si="1"/>
        <v>Jakub Jirsa (33522)</v>
      </c>
    </row>
    <row r="43" spans="1:8" x14ac:dyDescent="0.25">
      <c r="A43" s="175" t="s">
        <v>682</v>
      </c>
      <c r="B43" s="184">
        <v>33970</v>
      </c>
      <c r="C43" s="186" t="s">
        <v>1320</v>
      </c>
      <c r="D43" s="186" t="s">
        <v>1321</v>
      </c>
      <c r="E43" s="186" t="s">
        <v>1322</v>
      </c>
      <c r="H43" s="173" t="str">
        <f t="shared" si="1"/>
        <v>Radek Krajcigr (33970)</v>
      </c>
    </row>
    <row r="44" spans="1:8" x14ac:dyDescent="0.25">
      <c r="A44" s="175" t="s">
        <v>684</v>
      </c>
      <c r="B44" s="184">
        <v>32150</v>
      </c>
      <c r="C44" s="186" t="s">
        <v>1323</v>
      </c>
      <c r="D44" s="186" t="s">
        <v>1324</v>
      </c>
      <c r="E44" s="186" t="s">
        <v>1325</v>
      </c>
      <c r="F44" s="186" t="s">
        <v>1269</v>
      </c>
      <c r="H44" s="173" t="str">
        <f t="shared" si="1"/>
        <v>Jaromír Ekl (32150)</v>
      </c>
    </row>
    <row r="45" spans="1:8" x14ac:dyDescent="0.25">
      <c r="A45" s="175" t="s">
        <v>719</v>
      </c>
      <c r="B45" s="184">
        <v>31211</v>
      </c>
      <c r="C45" s="186" t="s">
        <v>1326</v>
      </c>
      <c r="D45" s="186" t="s">
        <v>1327</v>
      </c>
      <c r="E45" s="186" t="s">
        <v>1328</v>
      </c>
      <c r="H45" s="173" t="str">
        <f t="shared" si="1"/>
        <v>David Derka (31211)</v>
      </c>
    </row>
    <row r="46" spans="1:8" x14ac:dyDescent="0.25">
      <c r="H46" s="173" t="str">
        <f t="shared" si="1"/>
        <v/>
      </c>
    </row>
    <row r="47" spans="1:8" x14ac:dyDescent="0.25">
      <c r="H47" s="173" t="str">
        <f t="shared" si="1"/>
        <v/>
      </c>
    </row>
    <row r="48" spans="1:8" x14ac:dyDescent="0.25">
      <c r="H48" s="173" t="str">
        <f t="shared" si="1"/>
        <v/>
      </c>
    </row>
    <row r="49" spans="8:8" x14ac:dyDescent="0.25">
      <c r="H49" s="173" t="str">
        <f t="shared" si="1"/>
        <v/>
      </c>
    </row>
    <row r="50" spans="8:8" x14ac:dyDescent="0.25">
      <c r="H50" s="173" t="str">
        <f t="shared" si="1"/>
        <v/>
      </c>
    </row>
    <row r="51" spans="8:8" x14ac:dyDescent="0.25">
      <c r="H51" s="173" t="str">
        <f t="shared" si="1"/>
        <v/>
      </c>
    </row>
    <row r="52" spans="8:8" x14ac:dyDescent="0.25">
      <c r="H52" s="173" t="str">
        <f t="shared" si="1"/>
        <v/>
      </c>
    </row>
    <row r="53" spans="8:8" x14ac:dyDescent="0.25">
      <c r="H53" s="173" t="str">
        <f t="shared" si="1"/>
        <v/>
      </c>
    </row>
    <row r="54" spans="8:8" x14ac:dyDescent="0.25">
      <c r="H54" s="173" t="str">
        <f t="shared" si="1"/>
        <v/>
      </c>
    </row>
    <row r="55" spans="8:8" x14ac:dyDescent="0.25">
      <c r="H55" s="173" t="str">
        <f t="shared" si="1"/>
        <v/>
      </c>
    </row>
    <row r="56" spans="8:8" x14ac:dyDescent="0.25">
      <c r="H56" s="173" t="str">
        <f t="shared" si="1"/>
        <v/>
      </c>
    </row>
    <row r="57" spans="8:8" x14ac:dyDescent="0.25">
      <c r="H57" s="173" t="str">
        <f t="shared" si="1"/>
        <v/>
      </c>
    </row>
    <row r="58" spans="8:8" x14ac:dyDescent="0.25">
      <c r="H58" s="173" t="str">
        <f t="shared" si="1"/>
        <v/>
      </c>
    </row>
    <row r="59" spans="8:8" x14ac:dyDescent="0.25">
      <c r="H59" s="173" t="str">
        <f t="shared" si="1"/>
        <v/>
      </c>
    </row>
    <row r="60" spans="8:8" x14ac:dyDescent="0.25">
      <c r="H60" s="173" t="str">
        <f t="shared" si="1"/>
        <v/>
      </c>
    </row>
    <row r="61" spans="8:8" x14ac:dyDescent="0.25">
      <c r="H61" s="173" t="str">
        <f t="shared" si="1"/>
        <v/>
      </c>
    </row>
    <row r="62" spans="8:8" x14ac:dyDescent="0.25">
      <c r="H62" s="173" t="str">
        <f t="shared" si="1"/>
        <v/>
      </c>
    </row>
    <row r="63" spans="8:8" x14ac:dyDescent="0.25">
      <c r="H63" s="173" t="str">
        <f t="shared" si="1"/>
        <v/>
      </c>
    </row>
    <row r="64" spans="8:8" x14ac:dyDescent="0.25">
      <c r="H64" s="173" t="str">
        <f t="shared" si="1"/>
        <v/>
      </c>
    </row>
    <row r="65" spans="8:8" x14ac:dyDescent="0.25">
      <c r="H65" s="173" t="str">
        <f t="shared" si="1"/>
        <v/>
      </c>
    </row>
    <row r="66" spans="8:8" x14ac:dyDescent="0.25">
      <c r="H66" s="173" t="str">
        <f t="shared" ref="H66:H97" si="2">IF(A66&lt;&gt;"",CONCATENATE(A66," (",B66,")"),"")</f>
        <v/>
      </c>
    </row>
    <row r="67" spans="8:8" x14ac:dyDescent="0.25">
      <c r="H67" s="173" t="str">
        <f t="shared" si="2"/>
        <v/>
      </c>
    </row>
    <row r="68" spans="8:8" x14ac:dyDescent="0.25">
      <c r="H68" s="173" t="str">
        <f t="shared" si="2"/>
        <v/>
      </c>
    </row>
    <row r="69" spans="8:8" x14ac:dyDescent="0.25">
      <c r="H69" s="173" t="str">
        <f t="shared" si="2"/>
        <v/>
      </c>
    </row>
    <row r="70" spans="8:8" x14ac:dyDescent="0.25">
      <c r="H70" s="173" t="str">
        <f t="shared" si="2"/>
        <v/>
      </c>
    </row>
    <row r="71" spans="8:8" x14ac:dyDescent="0.25">
      <c r="H71" s="173" t="str">
        <f t="shared" si="2"/>
        <v/>
      </c>
    </row>
    <row r="72" spans="8:8" x14ac:dyDescent="0.25">
      <c r="H72" s="173" t="str">
        <f t="shared" si="2"/>
        <v/>
      </c>
    </row>
    <row r="73" spans="8:8" x14ac:dyDescent="0.25">
      <c r="H73" s="173" t="str">
        <f t="shared" si="2"/>
        <v/>
      </c>
    </row>
    <row r="74" spans="8:8" x14ac:dyDescent="0.25">
      <c r="H74" s="173" t="str">
        <f t="shared" si="2"/>
        <v/>
      </c>
    </row>
    <row r="75" spans="8:8" x14ac:dyDescent="0.25">
      <c r="H75" s="173" t="str">
        <f t="shared" si="2"/>
        <v/>
      </c>
    </row>
    <row r="76" spans="8:8" x14ac:dyDescent="0.25">
      <c r="H76" s="173" t="str">
        <f t="shared" si="2"/>
        <v/>
      </c>
    </row>
    <row r="77" spans="8:8" x14ac:dyDescent="0.25">
      <c r="H77" s="173" t="str">
        <f t="shared" si="2"/>
        <v/>
      </c>
    </row>
    <row r="78" spans="8:8" x14ac:dyDescent="0.25">
      <c r="H78" s="173" t="str">
        <f t="shared" si="2"/>
        <v/>
      </c>
    </row>
    <row r="79" spans="8:8" x14ac:dyDescent="0.25">
      <c r="H79" s="173" t="str">
        <f t="shared" si="2"/>
        <v/>
      </c>
    </row>
    <row r="80" spans="8:8" x14ac:dyDescent="0.25">
      <c r="H80" s="173" t="str">
        <f t="shared" si="2"/>
        <v/>
      </c>
    </row>
    <row r="81" spans="8:8" x14ac:dyDescent="0.25">
      <c r="H81" s="173" t="str">
        <f t="shared" si="2"/>
        <v/>
      </c>
    </row>
    <row r="82" spans="8:8" x14ac:dyDescent="0.25">
      <c r="H82" s="173" t="str">
        <f t="shared" si="2"/>
        <v/>
      </c>
    </row>
    <row r="83" spans="8:8" x14ac:dyDescent="0.25">
      <c r="H83" s="173" t="str">
        <f t="shared" si="2"/>
        <v/>
      </c>
    </row>
    <row r="84" spans="8:8" x14ac:dyDescent="0.25">
      <c r="H84" s="173" t="str">
        <f t="shared" si="2"/>
        <v/>
      </c>
    </row>
    <row r="85" spans="8:8" x14ac:dyDescent="0.25">
      <c r="H85" s="173" t="str">
        <f t="shared" si="2"/>
        <v/>
      </c>
    </row>
    <row r="86" spans="8:8" x14ac:dyDescent="0.25">
      <c r="H86" s="173" t="str">
        <f t="shared" si="2"/>
        <v/>
      </c>
    </row>
    <row r="87" spans="8:8" x14ac:dyDescent="0.25">
      <c r="H87" s="173" t="str">
        <f t="shared" si="2"/>
        <v/>
      </c>
    </row>
    <row r="88" spans="8:8" x14ac:dyDescent="0.25">
      <c r="H88" s="173" t="str">
        <f t="shared" si="2"/>
        <v/>
      </c>
    </row>
    <row r="89" spans="8:8" x14ac:dyDescent="0.25">
      <c r="H89" s="173" t="str">
        <f t="shared" si="2"/>
        <v/>
      </c>
    </row>
    <row r="90" spans="8:8" x14ac:dyDescent="0.25">
      <c r="H90" s="173" t="str">
        <f t="shared" si="2"/>
        <v/>
      </c>
    </row>
    <row r="91" spans="8:8" x14ac:dyDescent="0.25">
      <c r="H91" s="173" t="str">
        <f t="shared" si="2"/>
        <v/>
      </c>
    </row>
    <row r="92" spans="8:8" x14ac:dyDescent="0.25">
      <c r="H92" s="173" t="str">
        <f t="shared" si="2"/>
        <v/>
      </c>
    </row>
    <row r="93" spans="8:8" x14ac:dyDescent="0.25">
      <c r="H93" s="173" t="str">
        <f t="shared" si="2"/>
        <v/>
      </c>
    </row>
    <row r="94" spans="8:8" x14ac:dyDescent="0.25">
      <c r="H94" s="173" t="str">
        <f t="shared" si="2"/>
        <v/>
      </c>
    </row>
    <row r="95" spans="8:8" x14ac:dyDescent="0.25">
      <c r="H95" s="173" t="str">
        <f t="shared" si="2"/>
        <v/>
      </c>
    </row>
    <row r="96" spans="8:8" x14ac:dyDescent="0.25">
      <c r="H96" s="173" t="str">
        <f t="shared" si="2"/>
        <v/>
      </c>
    </row>
    <row r="97" spans="8:8" x14ac:dyDescent="0.25">
      <c r="H97" s="173" t="str">
        <f t="shared" si="2"/>
        <v/>
      </c>
    </row>
    <row r="98" spans="8:8" x14ac:dyDescent="0.25">
      <c r="H98" s="173" t="str">
        <f t="shared" ref="H98:H129" si="3">IF(A98&lt;&gt;"",CONCATENATE(A98," (",B98,")"),"")</f>
        <v/>
      </c>
    </row>
    <row r="99" spans="8:8" x14ac:dyDescent="0.25">
      <c r="H99" s="173" t="str">
        <f t="shared" si="3"/>
        <v/>
      </c>
    </row>
    <row r="100" spans="8:8" x14ac:dyDescent="0.25">
      <c r="H100" s="173" t="str">
        <f t="shared" si="3"/>
        <v/>
      </c>
    </row>
    <row r="101" spans="8:8" x14ac:dyDescent="0.25">
      <c r="H101" s="173" t="str">
        <f t="shared" si="3"/>
        <v/>
      </c>
    </row>
    <row r="102" spans="8:8" x14ac:dyDescent="0.25">
      <c r="H102" s="173" t="str">
        <f t="shared" si="3"/>
        <v/>
      </c>
    </row>
    <row r="103" spans="8:8" x14ac:dyDescent="0.25">
      <c r="H103" s="173" t="str">
        <f t="shared" si="3"/>
        <v/>
      </c>
    </row>
    <row r="104" spans="8:8" x14ac:dyDescent="0.25">
      <c r="H104" s="173" t="str">
        <f t="shared" si="3"/>
        <v/>
      </c>
    </row>
    <row r="105" spans="8:8" x14ac:dyDescent="0.25">
      <c r="H105" s="173" t="str">
        <f t="shared" si="3"/>
        <v/>
      </c>
    </row>
    <row r="106" spans="8:8" x14ac:dyDescent="0.25">
      <c r="H106" s="173" t="str">
        <f t="shared" si="3"/>
        <v/>
      </c>
    </row>
    <row r="107" spans="8:8" x14ac:dyDescent="0.25">
      <c r="H107" s="173" t="str">
        <f t="shared" si="3"/>
        <v/>
      </c>
    </row>
    <row r="108" spans="8:8" x14ac:dyDescent="0.25">
      <c r="H108" s="173" t="str">
        <f t="shared" si="3"/>
        <v/>
      </c>
    </row>
    <row r="109" spans="8:8" x14ac:dyDescent="0.25">
      <c r="H109" s="173" t="str">
        <f t="shared" si="3"/>
        <v/>
      </c>
    </row>
    <row r="110" spans="8:8" x14ac:dyDescent="0.25">
      <c r="H110" s="173" t="str">
        <f t="shared" si="3"/>
        <v/>
      </c>
    </row>
    <row r="111" spans="8:8" x14ac:dyDescent="0.25">
      <c r="H111" s="173" t="str">
        <f t="shared" si="3"/>
        <v/>
      </c>
    </row>
    <row r="112" spans="8:8" x14ac:dyDescent="0.25">
      <c r="H112" s="173" t="str">
        <f t="shared" si="3"/>
        <v/>
      </c>
    </row>
    <row r="113" spans="8:8" x14ac:dyDescent="0.25">
      <c r="H113" s="173" t="str">
        <f t="shared" si="3"/>
        <v/>
      </c>
    </row>
    <row r="114" spans="8:8" x14ac:dyDescent="0.25">
      <c r="H114" s="173" t="str">
        <f t="shared" si="3"/>
        <v/>
      </c>
    </row>
    <row r="115" spans="8:8" x14ac:dyDescent="0.25">
      <c r="H115" s="173" t="str">
        <f t="shared" si="3"/>
        <v/>
      </c>
    </row>
    <row r="116" spans="8:8" x14ac:dyDescent="0.25">
      <c r="H116" s="173" t="str">
        <f t="shared" si="3"/>
        <v/>
      </c>
    </row>
    <row r="117" spans="8:8" x14ac:dyDescent="0.25">
      <c r="H117" s="173" t="str">
        <f t="shared" si="3"/>
        <v/>
      </c>
    </row>
    <row r="118" spans="8:8" x14ac:dyDescent="0.25">
      <c r="H118" s="173" t="str">
        <f t="shared" si="3"/>
        <v/>
      </c>
    </row>
    <row r="119" spans="8:8" x14ac:dyDescent="0.25">
      <c r="H119" s="173" t="str">
        <f t="shared" si="3"/>
        <v/>
      </c>
    </row>
    <row r="120" spans="8:8" x14ac:dyDescent="0.25">
      <c r="H120" s="173" t="str">
        <f t="shared" si="3"/>
        <v/>
      </c>
    </row>
    <row r="121" spans="8:8" x14ac:dyDescent="0.25">
      <c r="H121" s="173" t="str">
        <f t="shared" si="3"/>
        <v/>
      </c>
    </row>
    <row r="122" spans="8:8" x14ac:dyDescent="0.25">
      <c r="H122" s="173" t="str">
        <f t="shared" si="3"/>
        <v/>
      </c>
    </row>
    <row r="123" spans="8:8" x14ac:dyDescent="0.25">
      <c r="H123" s="173" t="str">
        <f t="shared" si="3"/>
        <v/>
      </c>
    </row>
    <row r="124" spans="8:8" x14ac:dyDescent="0.25">
      <c r="H124" s="173" t="str">
        <f t="shared" si="3"/>
        <v/>
      </c>
    </row>
    <row r="125" spans="8:8" x14ac:dyDescent="0.25">
      <c r="H125" s="173" t="str">
        <f t="shared" si="3"/>
        <v/>
      </c>
    </row>
    <row r="126" spans="8:8" x14ac:dyDescent="0.25">
      <c r="H126" s="173" t="str">
        <f t="shared" si="3"/>
        <v/>
      </c>
    </row>
    <row r="127" spans="8:8" x14ac:dyDescent="0.25">
      <c r="H127" s="173" t="str">
        <f t="shared" si="3"/>
        <v/>
      </c>
    </row>
    <row r="128" spans="8:8" x14ac:dyDescent="0.25">
      <c r="H128" s="173" t="str">
        <f t="shared" si="3"/>
        <v/>
      </c>
    </row>
    <row r="129" spans="8:8" x14ac:dyDescent="0.25">
      <c r="H129" s="173" t="str">
        <f t="shared" si="3"/>
        <v/>
      </c>
    </row>
    <row r="130" spans="8:8" x14ac:dyDescent="0.25">
      <c r="H130" s="173" t="str">
        <f t="shared" ref="H130:H139" si="4">IF(A130&lt;&gt;"",CONCATENATE(A130," (",B130,")"),"")</f>
        <v/>
      </c>
    </row>
    <row r="131" spans="8:8" x14ac:dyDescent="0.25">
      <c r="H131" s="173" t="str">
        <f t="shared" si="4"/>
        <v/>
      </c>
    </row>
    <row r="132" spans="8:8" x14ac:dyDescent="0.25">
      <c r="H132" s="173" t="str">
        <f t="shared" si="4"/>
        <v/>
      </c>
    </row>
    <row r="133" spans="8:8" x14ac:dyDescent="0.25">
      <c r="H133" s="173" t="str">
        <f t="shared" si="4"/>
        <v/>
      </c>
    </row>
    <row r="134" spans="8:8" x14ac:dyDescent="0.25">
      <c r="H134" s="173" t="str">
        <f t="shared" si="4"/>
        <v/>
      </c>
    </row>
    <row r="135" spans="8:8" x14ac:dyDescent="0.25">
      <c r="H135" s="173" t="str">
        <f t="shared" si="4"/>
        <v/>
      </c>
    </row>
    <row r="136" spans="8:8" x14ac:dyDescent="0.25">
      <c r="H136" s="173" t="str">
        <f t="shared" si="4"/>
        <v/>
      </c>
    </row>
    <row r="137" spans="8:8" x14ac:dyDescent="0.25">
      <c r="H137" s="173" t="str">
        <f t="shared" si="4"/>
        <v/>
      </c>
    </row>
    <row r="138" spans="8:8" x14ac:dyDescent="0.25">
      <c r="H138" s="173" t="str">
        <f t="shared" si="4"/>
        <v/>
      </c>
    </row>
    <row r="139" spans="8:8" x14ac:dyDescent="0.25">
      <c r="H139" s="173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79" customWidth="1"/>
    <col min="2" max="6" width="21.28515625" style="188" customWidth="1"/>
    <col min="7" max="16384" width="9.140625" style="173"/>
  </cols>
  <sheetData>
    <row r="1" spans="1:6" ht="19.5" x14ac:dyDescent="0.25">
      <c r="A1" s="180" t="s">
        <v>92</v>
      </c>
      <c r="B1" s="326" t="s">
        <v>880</v>
      </c>
      <c r="C1" s="326"/>
      <c r="D1" s="326"/>
      <c r="E1" s="326"/>
      <c r="F1" s="326"/>
    </row>
    <row r="2" spans="1:6" ht="14.25" customHeight="1" x14ac:dyDescent="0.25">
      <c r="A2" s="327" t="s">
        <v>83</v>
      </c>
      <c r="B2" s="185" t="s">
        <v>1232</v>
      </c>
      <c r="C2" s="185" t="s">
        <v>1233</v>
      </c>
      <c r="D2" s="185" t="s">
        <v>1234</v>
      </c>
      <c r="E2" s="185" t="s">
        <v>1235</v>
      </c>
      <c r="F2" s="185"/>
    </row>
    <row r="3" spans="1:6" ht="14.25" x14ac:dyDescent="0.25">
      <c r="A3" s="327"/>
      <c r="B3" s="185"/>
      <c r="C3" s="185"/>
      <c r="D3" s="185"/>
      <c r="E3" s="185"/>
      <c r="F3" s="185"/>
    </row>
    <row r="4" spans="1:6" ht="14.25" x14ac:dyDescent="0.25">
      <c r="A4" s="327"/>
      <c r="B4" s="185"/>
      <c r="C4" s="185"/>
      <c r="D4" s="185"/>
      <c r="E4" s="185"/>
      <c r="F4" s="185"/>
    </row>
    <row r="5" spans="1:6" ht="14.25" x14ac:dyDescent="0.25">
      <c r="A5" s="328" t="s">
        <v>82</v>
      </c>
    </row>
    <row r="6" spans="1:6" ht="14.25" x14ac:dyDescent="0.25">
      <c r="A6" s="328"/>
    </row>
    <row r="7" spans="1:6" ht="14.25" x14ac:dyDescent="0.25">
      <c r="A7" s="328"/>
    </row>
    <row r="8" spans="1:6" ht="14.25" x14ac:dyDescent="0.25">
      <c r="A8" s="328" t="s">
        <v>79</v>
      </c>
      <c r="B8" s="188" t="s">
        <v>1329</v>
      </c>
      <c r="C8" s="188" t="s">
        <v>1330</v>
      </c>
      <c r="D8" s="188" t="s">
        <v>1331</v>
      </c>
      <c r="E8" s="188" t="s">
        <v>1332</v>
      </c>
      <c r="F8" s="188" t="s">
        <v>1333</v>
      </c>
    </row>
    <row r="9" spans="1:6" ht="14.25" x14ac:dyDescent="0.25">
      <c r="A9" s="328"/>
    </row>
    <row r="10" spans="1:6" ht="14.25" x14ac:dyDescent="0.25">
      <c r="A10" s="328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 t="s">
        <v>6</v>
      </c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76" t="s">
        <v>1</v>
      </c>
      <c r="I1" s="376"/>
      <c r="J1" s="376"/>
      <c r="K1" s="376"/>
      <c r="M1" s="342" t="s">
        <v>127</v>
      </c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35">
        <f ca="1">IFERROR(IF(VLOOKUP(A1,OFFSET($AG$2,,,COUNTIF($AG$2:$AG$50,"?*"),23),2,FALSE)&lt;&gt;0,YEAR(VLOOKUP(A1,OFFSET($AG$2,,,COUNTIF($AG$2:$AG$50,"?*"),23),2,FALSE)),""),"")</f>
        <v>1995</v>
      </c>
      <c r="C2" s="336"/>
      <c r="D2" s="5">
        <f ca="1">IFERROR(VLOOKUP(A1,OFFSET($AG$2,,,COUNTIF($AG$2:$AG$50,"?*"),23),15,FALSE),"")</f>
        <v>26</v>
      </c>
      <c r="E2" s="337" t="str">
        <f ca="1">IFERROR(VLOOKUP(A1,OFFSET($AG$2,,,COUNTIF($AG$2:$AG$50,"?*"),23),16,FALSE),"")</f>
        <v>183/76</v>
      </c>
      <c r="F2" s="338"/>
      <c r="M2" s="4" t="str">
        <f ca="1">IFERROR(IF(VLOOKUP(M1,OFFSET($AG$2,,,COUNTIF($AG$2:$AG$50,"?*"),23),10,FALSE)&lt;&gt;0,VLOOKUP(M1,OFFSET($AG$2,,,COUNTIF($AG$2:$AG$50,"?*"),23),10,FALSE),""),"")</f>
        <v>L</v>
      </c>
      <c r="N2" s="335">
        <f ca="1">IFERROR(IF(VLOOKUP(M1,OFFSET($AG$2,,,COUNTIF($AG$2:$AG$50,"?*"),23),2,FALSE)&lt;&gt;0,YEAR(VLOOKUP(M1,OFFSET($AG$2,,,COUNTIF($AG$2:$AG$50,"?*"),23),2,FALSE)),""),"")</f>
        <v>2000</v>
      </c>
      <c r="O2" s="336"/>
      <c r="P2" s="6">
        <f ca="1">IFERROR(VLOOKUP(M1,OFFSET($AG$2,,,COUNTIF($AG$2:$AG$50,"?*"),23),15,FALSE),"")</f>
        <v>21</v>
      </c>
      <c r="Q2" s="337" t="str">
        <f ca="1">IFERROR(VLOOKUP(M1,OFFSET($AG$2,,,COUNTIF($AG$2:$AG$50,"?*"),23),16,FALSE),"")</f>
        <v>186/80</v>
      </c>
      <c r="R2" s="338"/>
      <c r="S2" s="110" t="s">
        <v>118</v>
      </c>
      <c r="U2" s="102">
        <v>4</v>
      </c>
      <c r="V2" s="102">
        <v>5</v>
      </c>
      <c r="W2" s="102">
        <v>0</v>
      </c>
      <c r="X2" s="102">
        <v>0</v>
      </c>
      <c r="Y2" s="102">
        <v>1</v>
      </c>
      <c r="Z2" s="102">
        <v>6</v>
      </c>
      <c r="AA2" s="102">
        <v>0</v>
      </c>
      <c r="AB2" s="102">
        <v>-6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151</v>
      </c>
      <c r="AQ2" s="123">
        <v>181</v>
      </c>
      <c r="AR2" s="123">
        <v>78</v>
      </c>
      <c r="AS2" s="126" t="s">
        <v>152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193</v>
      </c>
      <c r="BQ2" s="132" t="s">
        <v>196</v>
      </c>
      <c r="BR2" s="127">
        <f ca="1">IF(BN2&lt;&gt;"",IF(BO2&lt;&gt;"",INT((TODAY()-BO2)/365),"?"),"")</f>
        <v>38</v>
      </c>
      <c r="BS2" s="330" t="s">
        <v>36</v>
      </c>
      <c r="BT2" s="104" t="s">
        <v>200</v>
      </c>
      <c r="BU2" s="103">
        <v>6</v>
      </c>
      <c r="BV2" s="104" t="str">
        <f>IFERROR(RIGHT(BT2,LEN(BT2)-SEARCH(" ",BT2)),"")</f>
        <v>Viktor Kopecký</v>
      </c>
      <c r="BW2" s="102">
        <f>IF(BT2&lt;&gt;0,_xlfn.NUMBERVALUE(BU2,","),"")</f>
        <v>6</v>
      </c>
      <c r="BX2" s="329" t="s">
        <v>214</v>
      </c>
      <c r="BY2" s="103" t="s">
        <v>210</v>
      </c>
      <c r="BZ2" s="103" t="s">
        <v>956</v>
      </c>
      <c r="CA2" s="115" t="s">
        <v>883</v>
      </c>
    </row>
    <row r="3" spans="1:79" ht="15" customHeight="1" thickTop="1" thickBot="1" x14ac:dyDescent="0.25">
      <c r="A3" s="371" t="str">
        <f ca="1">IFERROR(VLOOKUP(A1,OFFSET($AG$2,,,COUNTIF($AG$2:$AG$50,"?*"),23),18,FALSE),"")</f>
        <v>5 OZ, 2 (0+2), -13 ±</v>
      </c>
      <c r="B3" s="372"/>
      <c r="C3" s="372"/>
      <c r="D3" s="373" t="str">
        <f ca="1">IFERROR(VLOOKUP(A1,OFFSET($AG$2,,,COUNTIF($AG$2:$AG$50,"?*"),23),19,FALSE),"")</f>
        <v>108 OZ, 42 (26+16)</v>
      </c>
      <c r="E3" s="373"/>
      <c r="F3" s="374"/>
      <c r="G3" s="342" t="s">
        <v>9</v>
      </c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71" t="str">
        <f ca="1">IFERROR(VLOOKUP(M1,OFFSET($AG$2,,,COUNTIF($AG$2:$AG$50,"?*"),23),18,FALSE),"")</f>
        <v>5 OZ, 0 (0+0), -9 ±</v>
      </c>
      <c r="N3" s="372"/>
      <c r="O3" s="372"/>
      <c r="P3" s="373" t="str">
        <f ca="1">IFERROR(VLOOKUP(M1,OFFSET($AG$2,,,COUNTIF($AG$2:$AG$50,"?*"),23),19,FALSE),"")</f>
        <v>26 OZ, 13 (4+9)</v>
      </c>
      <c r="Q3" s="373"/>
      <c r="R3" s="374"/>
      <c r="S3" s="110" t="s">
        <v>0</v>
      </c>
      <c r="U3" s="102">
        <v>5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2</v>
      </c>
      <c r="AB3" s="102">
        <v>-11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193</v>
      </c>
      <c r="BQ3" s="132" t="s">
        <v>197</v>
      </c>
      <c r="BR3" s="127">
        <f t="shared" ref="BR3:BR11" ca="1" si="13">IF(BN3&lt;&gt;"",IF(BO3&lt;&gt;"",INT((TODAY()-BO3)/365),"?"),"")</f>
        <v>35</v>
      </c>
      <c r="BS3" s="330"/>
      <c r="BT3" s="104" t="s">
        <v>884</v>
      </c>
      <c r="BU3" s="103">
        <v>4</v>
      </c>
      <c r="BV3" s="104" t="str">
        <f t="shared" ref="BV3:BV31" si="14">IFERROR(RIGHT(BT3,LEN(BT3)-SEARCH(" ",BT3)),"")</f>
        <v>Ivan Pergler</v>
      </c>
      <c r="BW3" s="102">
        <f t="shared" ref="BW3:BW31" si="15">IF(BT3&lt;&gt;0,_xlfn.NUMBERVALUE(BU3,","),"")</f>
        <v>4</v>
      </c>
      <c r="BX3" s="329"/>
      <c r="BY3" s="103" t="s">
        <v>209</v>
      </c>
      <c r="BZ3" s="103" t="s">
        <v>957</v>
      </c>
      <c r="CA3" s="115" t="s">
        <v>958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>Chodov</v>
      </c>
      <c r="B4" s="360"/>
      <c r="C4" s="361"/>
      <c r="D4" s="362">
        <f ca="1">IFERROR(IF(VLOOKUP(A1,OFFSET($AG$2,,,COUNTIF($AG$2:$AG$50,"?*"),23),14,FALSE)&lt;&gt;0,VLOOKUP(A1,OFFSET($AG$2,,,COUNTIF($AG$2:$AG$50,"?*"),23),14,FALSE),"?"),"")</f>
        <v>2006</v>
      </c>
      <c r="E4" s="363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5">
        <f ca="1">IFERROR(IF(VLOOKUP(G3,OFFSET($AG$2,,,COUNTIF($AG$2:$AG$50,"?*"),23),2,FALSE)&lt;&gt;0,YEAR(VLOOKUP(G3,OFFSET($AG$2,,,COUNTIF($AG$2:$AG$50,"?*"),23),2,FALSE)),""),"")</f>
        <v>1993</v>
      </c>
      <c r="I4" s="336"/>
      <c r="J4" s="5">
        <f ca="1">IFERROR(VLOOKUP(G3,OFFSET($AG$2,,,COUNTIF($AG$2:$AG$50,"?*"),23),15,FALSE),"")</f>
        <v>28</v>
      </c>
      <c r="K4" s="337" t="str">
        <f ca="1">IFERROR(VLOOKUP(G3,OFFSET($AG$2,,,COUNTIF($AG$2:$AG$50,"?*"),23),16,FALSE),"")</f>
        <v>173/68</v>
      </c>
      <c r="L4" s="338"/>
      <c r="M4" s="359" t="str">
        <f ca="1">IFERROR(IF(VLOOKUP(M1,OFFSET($AG$2,,,COUNTIF($AG$2:$AG$50,"?*"),23),13,FALSE)&lt;&gt;0,VLOOKUP(M1,OFFSET($AG$2,,,COUNTIF($AG$2:$AG$50,"?*"),23),13,FALSE),"?"),"")</f>
        <v>Slovan J. Hradec</v>
      </c>
      <c r="N4" s="360"/>
      <c r="O4" s="361"/>
      <c r="P4" s="362">
        <f ca="1">IFERROR(IF(VLOOKUP(M1,OFFSET($AG$2,,,COUNTIF($AG$2:$AG$50,"?*"),23),14,FALSE)&lt;&gt;0,VLOOKUP(M1,OFFSET($AG$2,,,COUNTIF($AG$2:$AG$50,"?*"),23),14,FALSE),"?"),"")</f>
        <v>2014</v>
      </c>
      <c r="Q4" s="363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122</v>
      </c>
      <c r="T4" s="102" t="s">
        <v>121</v>
      </c>
      <c r="U4" s="102">
        <v>5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151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5 OZ, 1 (0+1), -9 ±</v>
      </c>
      <c r="AY4" s="129" t="str">
        <f t="shared" ca="1" si="2"/>
        <v>29 OZ, 2 (0+2)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192</v>
      </c>
      <c r="BO4" s="122">
        <v>35465</v>
      </c>
      <c r="BP4" s="131" t="s">
        <v>195</v>
      </c>
      <c r="BQ4" s="132" t="s">
        <v>198</v>
      </c>
      <c r="BR4" s="127">
        <f t="shared" ca="1" si="13"/>
        <v>24</v>
      </c>
      <c r="BS4" s="330"/>
      <c r="BT4" s="104" t="s">
        <v>942</v>
      </c>
      <c r="BU4" s="103">
        <v>4</v>
      </c>
      <c r="BV4" s="104" t="str">
        <f t="shared" si="14"/>
        <v>Vojtěch Klápa</v>
      </c>
      <c r="BW4" s="102">
        <f t="shared" si="15"/>
        <v>4</v>
      </c>
      <c r="BX4" s="329"/>
      <c r="BY4" s="103" t="s">
        <v>882</v>
      </c>
      <c r="BZ4" s="103" t="s">
        <v>959</v>
      </c>
      <c r="CA4" s="115" t="s">
        <v>883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>5 OZ, 3 (2+1), -11 ±</v>
      </c>
      <c r="H5" s="372"/>
      <c r="I5" s="372"/>
      <c r="J5" s="373" t="str">
        <f ca="1">IFERROR(VLOOKUP(G3,OFFSET($AG$2,,,COUNTIF($AG$2:$AG$50,"?*"),23),19,FALSE),"")</f>
        <v>102 OZ, 89 (28+61)</v>
      </c>
      <c r="K5" s="373"/>
      <c r="L5" s="374"/>
      <c r="R5" s="13"/>
      <c r="S5" s="110" t="s">
        <v>9</v>
      </c>
      <c r="U5" s="102">
        <v>5</v>
      </c>
      <c r="V5" s="102">
        <v>2</v>
      </c>
      <c r="W5" s="102">
        <v>1</v>
      </c>
      <c r="X5" s="102">
        <v>0</v>
      </c>
      <c r="Y5" s="102">
        <v>1</v>
      </c>
      <c r="Z5" s="102">
        <v>3</v>
      </c>
      <c r="AA5" s="102">
        <v>2</v>
      </c>
      <c r="AB5" s="102">
        <v>-11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5 OZ, 2 (0+2), -13 ±</v>
      </c>
      <c r="AY5" s="129" t="str">
        <f t="shared" ca="1" si="2"/>
        <v>108 OZ, 42 (26+16)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194</v>
      </c>
      <c r="BQ5" s="132" t="s">
        <v>199</v>
      </c>
      <c r="BR5" s="127">
        <f t="shared" ca="1" si="13"/>
        <v>31</v>
      </c>
      <c r="BS5" s="330"/>
      <c r="BT5" s="104" t="s">
        <v>943</v>
      </c>
      <c r="BU5" s="103">
        <v>3</v>
      </c>
      <c r="BV5" s="104" t="str">
        <f t="shared" si="14"/>
        <v>Zbyněk Stuchlík</v>
      </c>
      <c r="BW5" s="102">
        <f t="shared" si="15"/>
        <v>3</v>
      </c>
      <c r="BX5" s="329"/>
      <c r="BY5" s="103" t="s">
        <v>207</v>
      </c>
      <c r="BZ5" s="103" t="s">
        <v>960</v>
      </c>
      <c r="CA5" s="115" t="s">
        <v>815</v>
      </c>
    </row>
    <row r="6" spans="1:79" ht="15" customHeight="1" thickTop="1" thickBot="1" x14ac:dyDescent="0.25">
      <c r="A6" s="342" t="s">
        <v>11</v>
      </c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59" t="str">
        <f ca="1">IFERROR(IF(VLOOKUP(G3,OFFSET($AG$2,,,COUNTIF($AG$2:$AG$50,"?*"),23),13,FALSE)&lt;&gt;0,VLOOKUP(G3,OFFSET($AG$2,,,COUNTIF($AG$2:$AG$50,"?*"),23),13,FALSE),"?"),"")</f>
        <v>Future</v>
      </c>
      <c r="H6" s="360"/>
      <c r="I6" s="361"/>
      <c r="J6" s="362">
        <f ca="1">IFERROR(IF(VLOOKUP(G3,OFFSET($AG$2,,,COUNTIF($AG$2:$AG$50,"?*"),23),14,FALSE)&lt;&gt;0,VLOOKUP(G3,OFFSET($AG$2,,,COUNTIF($AG$2:$AG$50,"?*"),23),14,FALSE),"?"),"")</f>
        <v>2003</v>
      </c>
      <c r="K6" s="363"/>
      <c r="L6" s="7">
        <f ca="1">IFERROR(IF(VLOOKUP(G3,OFFSET($AG$2,,,COUNTIF($AG$2:$AG$50,"?*"),23),7,FALSE)&lt;&gt;0,VLOOKUP(G3,OFFSET($AG$2,,,COUNTIF($AG$2:$AG$50,"?*"),23),7,FALSE),"?"),"")</f>
        <v>6</v>
      </c>
      <c r="M6" s="342" t="s">
        <v>10</v>
      </c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6</v>
      </c>
      <c r="T6" s="102" t="s">
        <v>64</v>
      </c>
      <c r="U6" s="102">
        <v>5</v>
      </c>
      <c r="V6" s="102">
        <v>0</v>
      </c>
      <c r="W6" s="102">
        <v>0</v>
      </c>
      <c r="X6" s="102">
        <v>0</v>
      </c>
      <c r="Y6" s="102">
        <v>2</v>
      </c>
      <c r="Z6" s="102">
        <v>2</v>
      </c>
      <c r="AA6" s="102">
        <v>4</v>
      </c>
      <c r="AB6" s="102">
        <v>-13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151</v>
      </c>
      <c r="AQ6" s="123">
        <v>181</v>
      </c>
      <c r="AR6" s="123">
        <v>80</v>
      </c>
      <c r="AS6" s="126" t="s">
        <v>155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5 OZ, 0 (0+0), -9 ±</v>
      </c>
      <c r="AY6" s="129" t="str">
        <f t="shared" ca="1" si="2"/>
        <v>63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813</v>
      </c>
      <c r="BO6" s="122">
        <v>32155</v>
      </c>
      <c r="BP6" s="131" t="s">
        <v>447</v>
      </c>
      <c r="BQ6" s="132" t="s">
        <v>199</v>
      </c>
      <c r="BR6" s="127">
        <f t="shared" ca="1" si="13"/>
        <v>33</v>
      </c>
      <c r="BS6" s="330"/>
      <c r="BT6" s="104" t="s">
        <v>944</v>
      </c>
      <c r="BU6" s="103">
        <v>2</v>
      </c>
      <c r="BV6" s="104" t="str">
        <f t="shared" si="14"/>
        <v>Jan Fiala</v>
      </c>
      <c r="BW6" s="102">
        <f t="shared" si="15"/>
        <v>2</v>
      </c>
      <c r="BX6" s="329"/>
      <c r="BY6" s="103" t="s">
        <v>206</v>
      </c>
      <c r="BZ6" s="103" t="s">
        <v>961</v>
      </c>
      <c r="CA6" s="115" t="s">
        <v>216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35">
        <f ca="1">IFERROR(IF(VLOOKUP(A6,OFFSET($AG$2,,,COUNTIF($AG$2:$AG$50,"?*"),23),2,FALSE)&lt;&gt;0,YEAR(VLOOKUP(A6,OFFSET($AG$2,,,COUNTIF($AG$2:$AG$50,"?*"),23),2,FALSE)),""),"")</f>
        <v>2001</v>
      </c>
      <c r="C7" s="336"/>
      <c r="D7" s="5">
        <f ca="1">IFERROR(VLOOKUP(A6,OFFSET($AG$2,,,COUNTIF($AG$2:$AG$50,"?*"),23),15,FALSE),"")</f>
        <v>20</v>
      </c>
      <c r="E7" s="337" t="str">
        <f ca="1">IFERROR(VLOOKUP(A6,OFFSET($AG$2,,,COUNTIF($AG$2:$AG$50,"?*"),23),16,FALSE),"")</f>
        <v>181/80</v>
      </c>
      <c r="F7" s="338"/>
      <c r="M7" s="4" t="str">
        <f ca="1">IFERROR(IF(VLOOKUP(M6,OFFSET($AG$2,,,COUNTIF($AG$2:$AG$50,"?*"),23),10,FALSE)&lt;&gt;0,VLOOKUP(M6,OFFSET($AG$2,,,COUNTIF($AG$2:$AG$50,"?*"),23),10,FALSE),""),"")</f>
        <v>P</v>
      </c>
      <c r="N7" s="335">
        <f ca="1">IFERROR(IF(VLOOKUP(M6,OFFSET($AG$2,,,COUNTIF($AG$2:$AG$50,"?*"),23),2,FALSE)&lt;&gt;0,YEAR(VLOOKUP(M6,OFFSET($AG$2,,,COUNTIF($AG$2:$AG$50,"?*"),23),2,FALSE)),""),"")</f>
        <v>1993</v>
      </c>
      <c r="O7" s="336"/>
      <c r="P7" s="6">
        <f ca="1">IFERROR(VLOOKUP(M6,OFFSET($AG$2,,,COUNTIF($AG$2:$AG$50,"?*"),23),15,FALSE),"")</f>
        <v>28</v>
      </c>
      <c r="Q7" s="337" t="str">
        <f ca="1">IFERROR(VLOOKUP(M6,OFFSET($AG$2,,,COUNTIF($AG$2:$AG$50,"?*"),23),16,FALSE),"")</f>
        <v>169/65</v>
      </c>
      <c r="R7" s="338"/>
      <c r="S7" s="110" t="s">
        <v>120</v>
      </c>
      <c r="T7" s="102" t="s">
        <v>121</v>
      </c>
      <c r="U7" s="102">
        <v>4</v>
      </c>
      <c r="V7" s="102">
        <v>1</v>
      </c>
      <c r="W7" s="102">
        <v>0</v>
      </c>
      <c r="X7" s="102">
        <v>0</v>
      </c>
      <c r="Y7" s="102">
        <v>0</v>
      </c>
      <c r="Z7" s="102">
        <v>1</v>
      </c>
      <c r="AA7" s="102">
        <v>0</v>
      </c>
      <c r="AB7" s="102">
        <v>-5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151</v>
      </c>
      <c r="AQ7" s="123">
        <v>180</v>
      </c>
      <c r="AR7" s="123">
        <v>78</v>
      </c>
      <c r="AS7" s="126" t="s">
        <v>156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2 OZ, 0 (0+0), -1 ±</v>
      </c>
      <c r="AY7" s="129" t="str">
        <f t="shared" ca="1" si="2"/>
        <v>163 OZ, 139 (92+47)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30" t="s">
        <v>40</v>
      </c>
      <c r="BT7" s="104" t="s">
        <v>945</v>
      </c>
      <c r="BU7" s="103" t="s">
        <v>946</v>
      </c>
      <c r="BV7" s="104" t="str">
        <f t="shared" si="14"/>
        <v>Petr Musil</v>
      </c>
      <c r="BW7" s="112">
        <f t="shared" si="15"/>
        <v>8.48</v>
      </c>
      <c r="BX7" s="329" t="s">
        <v>215</v>
      </c>
      <c r="BY7" s="103" t="s">
        <v>816</v>
      </c>
      <c r="BZ7" s="103" t="s">
        <v>963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>5 OZ, 0 (0+0), -9 ±</v>
      </c>
      <c r="B8" s="372"/>
      <c r="C8" s="372"/>
      <c r="D8" s="373" t="str">
        <f ca="1">IFERROR(VLOOKUP(A6,OFFSET($AG$2,,,COUNTIF($AG$2:$AG$50,"?*"),23),19,FALSE),"")</f>
        <v>63 OZ, 16 (9+7)</v>
      </c>
      <c r="E8" s="373"/>
      <c r="F8" s="374"/>
      <c r="H8" s="375" t="s">
        <v>5</v>
      </c>
      <c r="I8" s="375"/>
      <c r="J8" s="375"/>
      <c r="K8" s="375"/>
      <c r="M8" s="371" t="str">
        <f ca="1">IFERROR(VLOOKUP(M6,OFFSET($AG$2,,,COUNTIF($AG$2:$AG$50,"?*"),23),18,FALSE),"")</f>
        <v>4 OZ, 1 (0+1), -8 ±</v>
      </c>
      <c r="N8" s="372"/>
      <c r="O8" s="372"/>
      <c r="P8" s="373" t="str">
        <f ca="1">IFERROR(VLOOKUP(M6,OFFSET($AG$2,,,COUNTIF($AG$2:$AG$50,"?*"),23),19,FALSE),"")</f>
        <v>113 OZ, 57 (32+25)</v>
      </c>
      <c r="Q8" s="373"/>
      <c r="R8" s="374"/>
      <c r="S8" s="110" t="s">
        <v>162</v>
      </c>
      <c r="U8" s="102">
        <v>4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-5</v>
      </c>
      <c r="AC8" s="102" t="str">
        <f t="shared" ca="1" si="0"/>
        <v>ANO</v>
      </c>
      <c r="AG8" s="121" t="s">
        <v>157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151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2 OZ, 0 (0+0), -1 ±</v>
      </c>
      <c r="AY8" s="129" t="str">
        <f t="shared" ca="1" si="2"/>
        <v>56 OZ, 16 (2+14)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30"/>
      <c r="BT8" s="104" t="s">
        <v>947</v>
      </c>
      <c r="BU8" s="103" t="s">
        <v>948</v>
      </c>
      <c r="BV8" s="104" t="str">
        <f t="shared" si="14"/>
        <v>Karel Šantora</v>
      </c>
      <c r="BW8" s="112">
        <f t="shared" si="15"/>
        <v>10.72</v>
      </c>
      <c r="BX8" s="329"/>
      <c r="BY8" s="103" t="s">
        <v>874</v>
      </c>
      <c r="BZ8" s="103" t="s">
        <v>964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>Bulldogs Brno</v>
      </c>
      <c r="B9" s="360"/>
      <c r="C9" s="361"/>
      <c r="D9" s="362">
        <f ca="1">IFERROR(IF(VLOOKUP(A6,OFFSET($AG$2,,,COUNTIF($AG$2:$AG$50,"?*"),23),14,FALSE)&lt;&gt;0,VLOOKUP(A6,OFFSET($AG$2,,,COUNTIF($AG$2:$AG$50,"?*"),23),14,FALSE),"?"),"")</f>
        <v>2013</v>
      </c>
      <c r="E9" s="363"/>
      <c r="F9" s="7">
        <f ca="1">IFERROR(IF(VLOOKUP(A6,OFFSET($AG$2,,,COUNTIF($AG$2:$AG$50,"?*"),23),7,FALSE)&lt;&gt;0,VLOOKUP(A6,OFFSET($AG$2,,,COUNTIF($AG$2:$AG$50,"?*"),23),7,FALSE),"?"),"")</f>
        <v>4</v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>Lhokamo</v>
      </c>
      <c r="N9" s="360"/>
      <c r="O9" s="361"/>
      <c r="P9" s="362">
        <f ca="1">IFERROR(IF(VLOOKUP(M6,OFFSET($AG$2,,,COUNTIF($AG$2:$AG$50,"?*"),23),14,FALSE)&lt;&gt;0,VLOOKUP(M6,OFFSET($AG$2,,,COUNTIF($AG$2:$AG$50,"?*"),23),14,FALSE),"?"),"")</f>
        <v>2004</v>
      </c>
      <c r="Q9" s="363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3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1</v>
      </c>
      <c r="Z9" s="102">
        <v>1</v>
      </c>
      <c r="AA9" s="102">
        <v>2</v>
      </c>
      <c r="AB9" s="102">
        <v>-5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151</v>
      </c>
      <c r="AQ9" s="123">
        <v>180</v>
      </c>
      <c r="AR9" s="123">
        <v>78</v>
      </c>
      <c r="AS9" s="126" t="s">
        <v>158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4 OZ, 1 (0+1), -8 ±</v>
      </c>
      <c r="AY9" s="129" t="str">
        <f t="shared" ca="1" si="2"/>
        <v>86 OZ, 68 (45+23)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30"/>
      <c r="BV9" s="104" t="str">
        <f t="shared" si="14"/>
        <v/>
      </c>
      <c r="BW9" s="112" t="str">
        <f t="shared" si="15"/>
        <v/>
      </c>
      <c r="BX9" s="329"/>
      <c r="BY9" s="103" t="s">
        <v>965</v>
      </c>
      <c r="BZ9" s="103" t="s">
        <v>966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14</v>
      </c>
      <c r="T10" s="102" t="s">
        <v>121</v>
      </c>
      <c r="U10" s="102">
        <v>4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-8</v>
      </c>
      <c r="AC10" s="102" t="str">
        <f t="shared" ca="1" si="0"/>
        <v>ANO</v>
      </c>
      <c r="AG10" s="121" t="s">
        <v>126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4 OZ, 0 (0+0), -4 ±</v>
      </c>
      <c r="AY10" s="129" t="str">
        <f t="shared" ca="1" si="2"/>
        <v>4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30"/>
      <c r="BV10" s="104" t="str">
        <f t="shared" si="14"/>
        <v/>
      </c>
      <c r="BW10" s="112" t="str">
        <f t="shared" si="15"/>
        <v/>
      </c>
      <c r="BX10" s="329"/>
      <c r="BY10" s="103" t="s">
        <v>967</v>
      </c>
      <c r="BZ10" s="103" t="s">
        <v>968</v>
      </c>
      <c r="CA10" s="115" t="s">
        <v>208</v>
      </c>
    </row>
    <row r="11" spans="1:79" ht="15" customHeight="1" thickTop="1" thickBot="1" x14ac:dyDescent="0.25">
      <c r="R11" s="13"/>
      <c r="S11" s="110" t="s">
        <v>10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-8</v>
      </c>
      <c r="AC11" s="102" t="str">
        <f t="shared" ca="1" si="0"/>
        <v>ANO</v>
      </c>
      <c r="AG11" s="121" t="s">
        <v>125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151</v>
      </c>
      <c r="AQ11" s="123">
        <v>169</v>
      </c>
      <c r="AR11" s="123">
        <v>70</v>
      </c>
      <c r="AS11" s="126" t="s">
        <v>812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5 OZ, 0 (0+0), -7 ±</v>
      </c>
      <c r="AY11" s="129" t="str">
        <f t="shared" ca="1" si="2"/>
        <v>207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30"/>
      <c r="BV11" s="104" t="str">
        <f t="shared" si="14"/>
        <v/>
      </c>
      <c r="BW11" s="112" t="str">
        <f t="shared" si="15"/>
        <v/>
      </c>
      <c r="BX11" s="329"/>
      <c r="BY11" s="103" t="s">
        <v>1008</v>
      </c>
      <c r="BZ11" s="103" t="s">
        <v>1006</v>
      </c>
      <c r="CA11" s="115" t="s">
        <v>208</v>
      </c>
    </row>
    <row r="12" spans="1:79" ht="15" customHeight="1" thickTop="1" thickBot="1" x14ac:dyDescent="0.25">
      <c r="A12" s="342" t="s">
        <v>118</v>
      </c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76" t="s">
        <v>7</v>
      </c>
      <c r="I12" s="376"/>
      <c r="J12" s="376"/>
      <c r="K12" s="376"/>
      <c r="M12" s="342" t="s">
        <v>0</v>
      </c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4</v>
      </c>
      <c r="T12" s="102" t="s">
        <v>64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-9</v>
      </c>
      <c r="AC12" s="102" t="str">
        <f t="shared" ca="1" si="0"/>
        <v>ANO</v>
      </c>
      <c r="AG12" s="121" t="s">
        <v>128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30" t="s">
        <v>37</v>
      </c>
      <c r="BT12" s="104" t="s">
        <v>200</v>
      </c>
      <c r="BU12" s="103">
        <v>5</v>
      </c>
      <c r="BV12" s="104" t="str">
        <f t="shared" si="14"/>
        <v>Viktor Kopecký</v>
      </c>
      <c r="BW12" s="102">
        <f t="shared" si="15"/>
        <v>5</v>
      </c>
      <c r="BX12" s="116" t="s">
        <v>213</v>
      </c>
      <c r="BY12" s="100" t="s">
        <v>969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35">
        <f ca="1">IFERROR(IF(VLOOKUP(A12,OFFSET($AG$2,,,COUNTIF($AG$2:$AG$50,"?*"),23),2,FALSE)&lt;&gt;0,YEAR(VLOOKUP(A12,OFFSET($AG$2,,,COUNTIF($AG$2:$AG$50,"?*"),23),2,FALSE)),""),"")</f>
        <v>1995</v>
      </c>
      <c r="C13" s="336"/>
      <c r="D13" s="5">
        <f ca="1">IFERROR(VLOOKUP(A12,OFFSET($AG$2,,,COUNTIF($AG$2:$AG$50,"?*"),23),15,FALSE),"")</f>
        <v>26</v>
      </c>
      <c r="E13" s="337" t="str">
        <f ca="1">IFERROR(VLOOKUP(A12,OFFSET($AG$2,,,COUNTIF($AG$2:$AG$50,"?*"),23),16,FALSE),"")</f>
        <v>191/78</v>
      </c>
      <c r="F13" s="338"/>
      <c r="M13" s="4" t="str">
        <f ca="1">IFERROR(IF(VLOOKUP(M12,OFFSET($AG$2,,,COUNTIF($AG$2:$AG$50,"?*"),23),10,FALSE)&lt;&gt;0,VLOOKUP(M12,OFFSET($AG$2,,,COUNTIF($AG$2:$AG$50,"?*"),23),10,FALSE),""),"")</f>
        <v>L</v>
      </c>
      <c r="N13" s="335">
        <f ca="1">IFERROR(IF(VLOOKUP(M12,OFFSET($AG$2,,,COUNTIF($AG$2:$AG$50,"?*"),23),2,FALSE)&lt;&gt;0,YEAR(VLOOKUP(M12,OFFSET($AG$2,,,COUNTIF($AG$2:$AG$50,"?*"),23),2,FALSE)),""),"")</f>
        <v>2003</v>
      </c>
      <c r="O13" s="336"/>
      <c r="P13" s="6">
        <f ca="1">IFERROR(VLOOKUP(M12,OFFSET($AG$2,,,COUNTIF($AG$2:$AG$50,"?*"),23),15,FALSE),"")</f>
        <v>18</v>
      </c>
      <c r="Q13" s="337" t="str">
        <f ca="1">IFERROR(VLOOKUP(M12,OFFSET($AG$2,,,COUNTIF($AG$2:$AG$50,"?*"),23),16,FALSE),"")</f>
        <v>185/71</v>
      </c>
      <c r="R13" s="338"/>
      <c r="S13" s="110" t="s">
        <v>157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151</v>
      </c>
      <c r="AQ13" s="123">
        <v>185</v>
      </c>
      <c r="AR13" s="123">
        <v>71</v>
      </c>
      <c r="AS13" s="126" t="s">
        <v>159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5 OZ, 4 (2+2), -11 ±</v>
      </c>
      <c r="AY13" s="129" t="str">
        <f t="shared" ca="1" si="2"/>
        <v>25 OZ, 9 (6+3)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30"/>
      <c r="BT13" s="104" t="s">
        <v>884</v>
      </c>
      <c r="BU13" s="103">
        <v>2</v>
      </c>
      <c r="BV13" s="104" t="str">
        <f t="shared" si="14"/>
        <v>Ivan Pergler</v>
      </c>
      <c r="BW13" s="102">
        <f t="shared" si="15"/>
        <v>2</v>
      </c>
    </row>
    <row r="14" spans="1:79" ht="15" customHeight="1" thickTop="1" thickBot="1" x14ac:dyDescent="0.25">
      <c r="A14" s="371" t="str">
        <f ca="1">IFERROR(VLOOKUP(A12,OFFSET($AG$2,,,COUNTIF($AG$2:$AG$50,"?*"),23),18,FALSE),"")</f>
        <v>4 OZ, 6 (5+1), -6 ±</v>
      </c>
      <c r="B14" s="372"/>
      <c r="C14" s="372"/>
      <c r="D14" s="373" t="str">
        <f ca="1">IFERROR(VLOOKUP(A12,OFFSET($AG$2,,,COUNTIF($AG$2:$AG$50,"?*"),23),19,FALSE),"")</f>
        <v>107 OZ, 130 (89+41)</v>
      </c>
      <c r="E14" s="373"/>
      <c r="F14" s="374"/>
      <c r="G14" s="342" t="s">
        <v>157</v>
      </c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32</v>
      </c>
      <c r="M14" s="371" t="str">
        <f ca="1">IFERROR(VLOOKUP(M12,OFFSET($AG$2,,,COUNTIF($AG$2:$AG$50,"?*"),23),18,FALSE),"")</f>
        <v>5 OZ, 4 (2+2), -11 ±</v>
      </c>
      <c r="N14" s="372"/>
      <c r="O14" s="372"/>
      <c r="P14" s="373" t="str">
        <f ca="1">IFERROR(VLOOKUP(M12,OFFSET($AG$2,,,COUNTIF($AG$2:$AG$50,"?*"),23),19,FALSE),"")</f>
        <v>25 OZ, 9 (6+3)</v>
      </c>
      <c r="Q14" s="373"/>
      <c r="R14" s="374"/>
      <c r="S14" s="110" t="s">
        <v>123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-2</v>
      </c>
      <c r="AC14" s="102" t="str">
        <f t="shared" ca="1" si="0"/>
        <v>ANO</v>
      </c>
      <c r="AG14" s="121" t="s">
        <v>118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151</v>
      </c>
      <c r="AQ14" s="123">
        <v>191</v>
      </c>
      <c r="AR14" s="123">
        <v>78</v>
      </c>
      <c r="AS14" s="126" t="s">
        <v>275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4 OZ, 6 (5+1), -6 ±</v>
      </c>
      <c r="AY14" s="129" t="str">
        <f t="shared" ca="1" si="2"/>
        <v>107 OZ, 130 (89+41)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30"/>
      <c r="BT14" s="104" t="s">
        <v>942</v>
      </c>
      <c r="BU14" s="103">
        <v>2</v>
      </c>
      <c r="BV14" s="104" t="str">
        <f t="shared" si="14"/>
        <v>Vojtěch Klápa</v>
      </c>
      <c r="BW14" s="102">
        <f t="shared" si="15"/>
        <v>2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>Florbal Ústí</v>
      </c>
      <c r="B15" s="360"/>
      <c r="C15" s="361"/>
      <c r="D15" s="362">
        <f ca="1">IFERROR(IF(VLOOKUP(A12,OFFSET($AG$2,,,COUNTIF($AG$2:$AG$50,"?*"),23),14,FALSE)&lt;&gt;0,VLOOKUP(A12,OFFSET($AG$2,,,COUNTIF($AG$2:$AG$50,"?*"),23),14,FALSE),"?"),"")</f>
        <v>2008</v>
      </c>
      <c r="E15" s="363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5">
        <f ca="1">IFERROR(IF(VLOOKUP(G14,OFFSET($AG$2,,,COUNTIF($AG$2:$AG$50,"?*"),23),2,FALSE)&lt;&gt;0,YEAR(VLOOKUP(G14,OFFSET($AG$2,,,COUNTIF($AG$2:$AG$50,"?*"),23),2,FALSE)),""),"")</f>
        <v>2000</v>
      </c>
      <c r="I15" s="336"/>
      <c r="J15" s="5">
        <f ca="1">IFERROR(VLOOKUP(G14,OFFSET($AG$2,,,COUNTIF($AG$2:$AG$50,"?*"),23),15,FALSE),"")</f>
        <v>20</v>
      </c>
      <c r="K15" s="337" t="str">
        <f ca="1">IFERROR(VLOOKUP(G14,OFFSET($AG$2,,,COUNTIF($AG$2:$AG$50,"?*"),23),16,FALSE),"")</f>
        <v>175/70</v>
      </c>
      <c r="L15" s="338"/>
      <c r="M15" s="359" t="str">
        <f ca="1">IFERROR(IF(VLOOKUP(M12,OFFSET($AG$2,,,COUNTIF($AG$2:$AG$50,"?*"),23),13,FALSE)&lt;&gt;0,VLOOKUP(M12,OFFSET($AG$2,,,COUNTIF($AG$2:$AG$50,"?*"),23),13,FALSE),"?"),"")</f>
        <v>SK Florbal Benešov</v>
      </c>
      <c r="N15" s="360"/>
      <c r="O15" s="361"/>
      <c r="P15" s="362">
        <f ca="1">IFERROR(IF(VLOOKUP(M12,OFFSET($AG$2,,,COUNTIF($AG$2:$AG$50,"?*"),23),14,FALSE)&lt;&gt;0,VLOOKUP(M12,OFFSET($AG$2,,,COUNTIF($AG$2:$AG$50,"?*"),23),14,FALSE),"?"),"")</f>
        <v>2009</v>
      </c>
      <c r="Q15" s="363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128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160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151</v>
      </c>
      <c r="AQ15" s="123">
        <v>173</v>
      </c>
      <c r="AR15" s="123">
        <v>70</v>
      </c>
      <c r="AS15" s="126" t="s">
        <v>161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30"/>
      <c r="BT15" s="104" t="s">
        <v>943</v>
      </c>
      <c r="BU15" s="103">
        <v>2</v>
      </c>
      <c r="BV15" s="104" t="str">
        <f t="shared" si="14"/>
        <v>Zbyněk Stuchlík</v>
      </c>
      <c r="BW15" s="102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>2 OZ, 0 (0+0), -1 ±</v>
      </c>
      <c r="H16" s="372"/>
      <c r="I16" s="372"/>
      <c r="J16" s="373" t="str">
        <f ca="1">IFERROR(VLOOKUP(G14,OFFSET($AG$2,,,COUNTIF($AG$2:$AG$50,"?*"),23),19,FALSE),"")</f>
        <v>56 OZ, 16 (2+14)</v>
      </c>
      <c r="K16" s="373"/>
      <c r="L16" s="374"/>
      <c r="R16" s="13"/>
      <c r="S16" s="110" t="s">
        <v>8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ANO</v>
      </c>
      <c r="AG16" s="121" t="s">
        <v>162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168</v>
      </c>
      <c r="AP16" s="125" t="s">
        <v>27</v>
      </c>
      <c r="AQ16" s="123">
        <v>187</v>
      </c>
      <c r="AR16" s="123">
        <v>92</v>
      </c>
      <c r="AS16" s="126" t="s">
        <v>163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4 OZ, 1 (1+0), -5 ±</v>
      </c>
      <c r="AY16" s="129" t="str">
        <f t="shared" ca="1" si="2"/>
        <v>100 OZ, 19 (11+8)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30"/>
      <c r="BT16" s="104" t="s">
        <v>949</v>
      </c>
      <c r="BU16" s="103">
        <v>1</v>
      </c>
      <c r="BV16" s="104" t="str">
        <f t="shared" si="14"/>
        <v>Lukáš Lanc</v>
      </c>
      <c r="BW16" s="102">
        <f t="shared" si="15"/>
        <v>1</v>
      </c>
    </row>
    <row r="17" spans="1:75" ht="15" customHeight="1" thickTop="1" thickBot="1" x14ac:dyDescent="0.25">
      <c r="A17" s="342" t="s">
        <v>4</v>
      </c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59" t="str">
        <f ca="1">IFERROR(IF(VLOOKUP(G14,OFFSET($AG$2,,,COUNTIF($AG$2:$AG$50,"?*"),23),13,FALSE)&lt;&gt;0,VLOOKUP(G14,OFFSET($AG$2,,,COUNTIF($AG$2:$AG$50,"?*"),23),13,FALSE),"?"),"")</f>
        <v>SKV</v>
      </c>
      <c r="H17" s="360"/>
      <c r="I17" s="361"/>
      <c r="J17" s="362">
        <f ca="1">IFERROR(IF(VLOOKUP(G14,OFFSET($AG$2,,,COUNTIF($AG$2:$AG$50,"?*"),23),14,FALSE)&lt;&gt;0,VLOOKUP(G14,OFFSET($AG$2,,,COUNTIF($AG$2:$AG$50,"?*"),23),14,FALSE),"?"),"")</f>
        <v>2015</v>
      </c>
      <c r="K17" s="363"/>
      <c r="L17" s="7">
        <f ca="1">IFERROR(IF(VLOOKUP(G14,OFFSET($AG$2,,,COUNTIF($AG$2:$AG$50,"?*"),23),7,FALSE)&lt;&gt;0,VLOOKUP(G14,OFFSET($AG$2,,,COUNTIF($AG$2:$AG$50,"?*"),23),7,FALSE),"?"),"")</f>
        <v>4</v>
      </c>
      <c r="M17" s="342" t="s">
        <v>125</v>
      </c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2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-3</v>
      </c>
      <c r="AC17" s="102" t="str">
        <f t="shared" ca="1" si="0"/>
        <v>ANO</v>
      </c>
      <c r="AG17" s="121" t="s">
        <v>164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30" t="s">
        <v>41</v>
      </c>
      <c r="BT17" s="104" t="s">
        <v>818</v>
      </c>
      <c r="BU17" s="103">
        <v>0</v>
      </c>
      <c r="BV17" s="104" t="str">
        <f t="shared" si="14"/>
        <v>Karel Šantora</v>
      </c>
      <c r="BW17" s="102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5">
        <f ca="1">IFERROR(IF(VLOOKUP(A17,OFFSET($AG$2,,,COUNTIF($AG$2:$AG$50,"?*"),23),2,FALSE)&lt;&gt;0,YEAR(VLOOKUP(A17,OFFSET($AG$2,,,COUNTIF($AG$2:$AG$50,"?*"),23),2,FALSE)),""),"")</f>
        <v>1999</v>
      </c>
      <c r="C18" s="336"/>
      <c r="D18" s="150">
        <f ca="1">IFERROR(VLOOKUP(A17,OFFSET($AG$2,,,COUNTIF($AG$2:$AG$50,"?*"),23),15,FALSE),"")</f>
        <v>22</v>
      </c>
      <c r="E18" s="337" t="str">
        <f ca="1">IFERROR(VLOOKUP(A17,OFFSET($AG$2,,,COUNTIF($AG$2:$AG$50,"?*"),23),16,FALSE),"")</f>
        <v>181/82</v>
      </c>
      <c r="F18" s="338"/>
      <c r="M18" s="4" t="str">
        <f ca="1">IFERROR(IF(VLOOKUP(M17,OFFSET($AG$2,,,COUNTIF($AG$2:$AG$50,"?*"),23),10,FALSE)&lt;&gt;0,VLOOKUP(M17,OFFSET($AG$2,,,COUNTIF($AG$2:$AG$50,"?*"),23),10,FALSE),""),"")</f>
        <v>L</v>
      </c>
      <c r="N18" s="335">
        <f ca="1">IFERROR(IF(VLOOKUP(M17,OFFSET($AG$2,,,COUNTIF($AG$2:$AG$50,"?*"),23),2,FALSE)&lt;&gt;0,YEAR(VLOOKUP(M17,OFFSET($AG$2,,,COUNTIF($AG$2:$AG$50,"?*"),23),2,FALSE)),""),"")</f>
        <v>1993</v>
      </c>
      <c r="O18" s="336"/>
      <c r="P18" s="6">
        <f ca="1">IFERROR(VLOOKUP(M17,OFFSET($AG$2,,,COUNTIF($AG$2:$AG$50,"?*"),23),15,FALSE),"")</f>
        <v>28</v>
      </c>
      <c r="Q18" s="337" t="str">
        <f ca="1">IFERROR(VLOOKUP(M17,OFFSET($AG$2,,,COUNTIF($AG$2:$AG$50,"?*"),23),16,FALSE),"")</f>
        <v>169/70</v>
      </c>
      <c r="R18" s="338"/>
      <c r="S18" s="110" t="s">
        <v>19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30"/>
      <c r="BT18" s="104" t="s">
        <v>819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71" t="str">
        <f ca="1">IFERROR(VLOOKUP(A17,OFFSET($AG$2,,,COUNTIF($AG$2:$AG$50,"?*"),23),18,FALSE),"")</f>
        <v>5 OZ, 1 (0+1), -9 ±</v>
      </c>
      <c r="B19" s="372"/>
      <c r="C19" s="372"/>
      <c r="D19" s="373" t="str">
        <f ca="1">IFERROR(VLOOKUP(A17,OFFSET($AG$2,,,COUNTIF($AG$2:$AG$50,"?*"),23),19,FALSE),"")</f>
        <v>29 OZ, 2 (0+2)</v>
      </c>
      <c r="E19" s="373"/>
      <c r="F19" s="374"/>
      <c r="H19" s="375" t="str">
        <f>H$8</f>
        <v>SKV</v>
      </c>
      <c r="I19" s="375"/>
      <c r="J19" s="375"/>
      <c r="K19" s="375"/>
      <c r="M19" s="371" t="str">
        <f ca="1">IFERROR(VLOOKUP(M17,OFFSET($AG$2,,,COUNTIF($AG$2:$AG$50,"?*"),23),18,FALSE),"")</f>
        <v>5 OZ, 0 (0+0), -7 ±</v>
      </c>
      <c r="N19" s="372"/>
      <c r="O19" s="372"/>
      <c r="P19" s="373" t="str">
        <f ca="1">IFERROR(VLOOKUP(M17,OFFSET($AG$2,,,COUNTIF($AG$2:$AG$50,"?*"),23),19,FALSE),"")</f>
        <v>207 OZ, 67 (36+31)</v>
      </c>
      <c r="Q19" s="373"/>
      <c r="R19" s="374"/>
      <c r="S19" s="110" t="s">
        <v>126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123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151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2 OZ, 0 (0+0), -2 ±</v>
      </c>
      <c r="AY19" s="129" t="str">
        <f t="shared" ca="1" si="2"/>
        <v>15 OZ, 1 (0+1)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3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>Bohemians</v>
      </c>
      <c r="B20" s="360"/>
      <c r="C20" s="361"/>
      <c r="D20" s="362">
        <f ca="1">IFERROR(IF(VLOOKUP(A17,OFFSET($AG$2,,,COUNTIF($AG$2:$AG$50,"?*"),23),14,FALSE)&lt;&gt;0,VLOOKUP(A17,OFFSET($AG$2,,,COUNTIF($AG$2:$AG$50,"?*"),23),14,FALSE),"?"),"")</f>
        <v>2009</v>
      </c>
      <c r="E20" s="363"/>
      <c r="F20" s="7">
        <f ca="1">IFERROR(IF(VLOOKUP(A17,OFFSET($AG$2,,,COUNTIF($AG$2:$AG$50,"?*"),23),7,FALSE)&lt;&gt;0,VLOOKUP(A17,OFFSET($AG$2,,,COUNTIF($AG$2:$AG$50,"?*"),23),7,FALSE),"?"),"")</f>
        <v>2</v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>SKF Draci 99 Liberec</v>
      </c>
      <c r="N20" s="360"/>
      <c r="O20" s="361"/>
      <c r="P20" s="362">
        <f ca="1">IFERROR(IF(VLOOKUP(M17,OFFSET($AG$2,,,COUNTIF($AG$2:$AG$50,"?*"),23),14,FALSE)&lt;&gt;0,VLOOKUP(M17,OFFSET($AG$2,,,COUNTIF($AG$2:$AG$50,"?*"),23),14,FALSE),"?"),"")</f>
        <v>1998</v>
      </c>
      <c r="Q20" s="363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124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124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276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4 P</v>
      </c>
      <c r="AY20" s="129" t="str">
        <f t="shared" ca="1" si="2"/>
        <v>41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3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151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4 OZ, 0 (0+0), -1 ±</v>
      </c>
      <c r="AY21" s="129" t="str">
        <f t="shared" ca="1" si="2"/>
        <v>22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3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127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433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5 OZ, 4 (2+2), -8 ±</v>
      </c>
      <c r="AY22" s="129" t="str">
        <f t="shared" ca="1" si="2"/>
        <v>17 OZ, 5 (2+3)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30" t="s">
        <v>38</v>
      </c>
      <c r="BT22" s="104" t="s">
        <v>950</v>
      </c>
      <c r="BU22" s="103">
        <v>2</v>
      </c>
      <c r="BV22" s="104" t="str">
        <f t="shared" si="14"/>
        <v>Ivan Pergler</v>
      </c>
      <c r="BW22" s="102">
        <f t="shared" si="15"/>
        <v>2</v>
      </c>
    </row>
    <row r="23" spans="1:75" ht="15" customHeight="1" thickTop="1" thickBot="1" x14ac:dyDescent="0.25">
      <c r="A23" s="342" t="s">
        <v>120</v>
      </c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76" t="s">
        <v>13</v>
      </c>
      <c r="I23" s="376"/>
      <c r="J23" s="376"/>
      <c r="K23" s="376"/>
      <c r="M23" s="342" t="s">
        <v>17</v>
      </c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11</v>
      </c>
      <c r="T23" s="102" t="s">
        <v>64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-9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151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5 OZ, 0 (0+0), -8 ±</v>
      </c>
      <c r="AY23" s="129" t="str">
        <f t="shared" ca="1" si="2"/>
        <v>28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30"/>
      <c r="BT23" s="104" t="s">
        <v>951</v>
      </c>
      <c r="BU23" s="103">
        <v>2</v>
      </c>
      <c r="BV23" s="104" t="str">
        <f t="shared" si="14"/>
        <v>Jan Fiala</v>
      </c>
      <c r="BW23" s="102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35">
        <f ca="1">IFERROR(IF(VLOOKUP(A23,OFFSET($AG$2,,,COUNTIF($AG$2:$AG$50,"?*"),23),2,FALSE)&lt;&gt;0,YEAR(VLOOKUP(A23,OFFSET($AG$2,,,COUNTIF($AG$2:$AG$50,"?*"),23),2,FALSE)),""),"")</f>
        <v>2002</v>
      </c>
      <c r="C24" s="336"/>
      <c r="D24" s="5">
        <f ca="1">IFERROR(VLOOKUP(A23,OFFSET($AG$2,,,COUNTIF($AG$2:$AG$50,"?*"),23),15,FALSE),"")</f>
        <v>19</v>
      </c>
      <c r="E24" s="337" t="str">
        <f ca="1">IFERROR(VLOOKUP(A23,OFFSET($AG$2,,,COUNTIF($AG$2:$AG$50,"?*"),23),16,FALSE),"")</f>
        <v>182/75</v>
      </c>
      <c r="F24" s="338"/>
      <c r="M24" s="4" t="str">
        <f ca="1">IFERROR(IF(VLOOKUP(M23,OFFSET($AG$2,,,COUNTIF($AG$2:$AG$50,"?*"),23),10,FALSE)&lt;&gt;0,VLOOKUP(M23,OFFSET($AG$2,,,COUNTIF($AG$2:$AG$50,"?*"),23),10,FALSE),""),"")</f>
        <v>L</v>
      </c>
      <c r="N24" s="335">
        <f ca="1">IFERROR(IF(VLOOKUP(M23,OFFSET($AG$2,,,COUNTIF($AG$2:$AG$50,"?*"),23),2,FALSE)&lt;&gt;0,YEAR(VLOOKUP(M23,OFFSET($AG$2,,,COUNTIF($AG$2:$AG$50,"?*"),23),2,FALSE)),""),"")</f>
        <v>2002</v>
      </c>
      <c r="O24" s="336"/>
      <c r="P24" s="6">
        <f ca="1">IFERROR(VLOOKUP(M23,OFFSET($AG$2,,,COUNTIF($AG$2:$AG$50,"?*"),23),15,FALSE),"")</f>
        <v>19</v>
      </c>
      <c r="Q24" s="337" t="str">
        <f ca="1">IFERROR(VLOOKUP(M23,OFFSET($AG$2,,,COUNTIF($AG$2:$AG$50,"?*"),23),16,FALSE),"")</f>
        <v>181/66</v>
      </c>
      <c r="R24" s="338"/>
      <c r="S24" s="110" t="s">
        <v>125</v>
      </c>
      <c r="T24" s="102" t="s">
        <v>64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-7</v>
      </c>
      <c r="AC24" s="102" t="str">
        <f t="shared" ca="1" si="16"/>
        <v>ANO</v>
      </c>
      <c r="AG24" s="121" t="s">
        <v>127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151</v>
      </c>
      <c r="AQ24" s="123">
        <v>186</v>
      </c>
      <c r="AR24" s="123">
        <v>80</v>
      </c>
      <c r="AS24" s="126" t="s">
        <v>166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5 OZ, 0 (0+0), -9 ±</v>
      </c>
      <c r="AY24" s="129" t="str">
        <f t="shared" ca="1" si="2"/>
        <v>26 OZ, 13 (4+9)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30"/>
      <c r="BT24" s="104" t="s">
        <v>942</v>
      </c>
      <c r="BU24" s="103">
        <v>2</v>
      </c>
      <c r="BV24" s="104" t="str">
        <f t="shared" si="14"/>
        <v>Vojtěch Klápa</v>
      </c>
      <c r="BW24" s="102">
        <f t="shared" si="15"/>
        <v>2</v>
      </c>
    </row>
    <row r="25" spans="1:75" ht="15" customHeight="1" thickTop="1" thickBot="1" x14ac:dyDescent="0.25">
      <c r="A25" s="371" t="str">
        <f ca="1">IFERROR(VLOOKUP(A23,OFFSET($AG$2,,,COUNTIF($AG$2:$AG$50,"?*"),23),18,FALSE),"")</f>
        <v>4 OZ, 1 (1+0), -5 ±</v>
      </c>
      <c r="B25" s="372"/>
      <c r="C25" s="372"/>
      <c r="D25" s="373" t="str">
        <f ca="1">IFERROR(VLOOKUP(A23,OFFSET($AG$2,,,COUNTIF($AG$2:$AG$50,"?*"),23),19,FALSE),"")</f>
        <v>21 OZ, 3 (2+1)</v>
      </c>
      <c r="E25" s="373"/>
      <c r="F25" s="374"/>
      <c r="G25" s="342" t="s">
        <v>122</v>
      </c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71" t="str">
        <f ca="1">IFERROR(VLOOKUP(M23,OFFSET($AG$2,,,COUNTIF($AG$2:$AG$50,"?*"),23),18,FALSE),"")</f>
        <v>5 OZ, 0 (0+0), -8 ±</v>
      </c>
      <c r="N25" s="372"/>
      <c r="O25" s="372"/>
      <c r="P25" s="373" t="str">
        <f ca="1">IFERROR(VLOOKUP(M23,OFFSET($AG$2,,,COUNTIF($AG$2:$AG$50,"?*"),23),19,FALSE),"")</f>
        <v>28 OZ, 0 (0+0)</v>
      </c>
      <c r="Q25" s="373"/>
      <c r="R25" s="374"/>
      <c r="S25" s="110" t="s">
        <v>17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-8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4 OZ, 1 (0+1), -8 ±</v>
      </c>
      <c r="AY25" s="129" t="str">
        <f t="shared" ca="1" si="2"/>
        <v>113 OZ, 57 (32+25)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30"/>
      <c r="BT25" s="104" t="s">
        <v>817</v>
      </c>
      <c r="BU25" s="103">
        <v>1</v>
      </c>
      <c r="BV25" s="104" t="str">
        <f t="shared" si="14"/>
        <v>Daniel Cabejšek</v>
      </c>
      <c r="BW25" s="102">
        <f t="shared" si="15"/>
        <v>1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>FA Mladá Boleslav</v>
      </c>
      <c r="B26" s="360"/>
      <c r="C26" s="361"/>
      <c r="D26" s="362">
        <f ca="1">IFERROR(IF(VLOOKUP(A23,OFFSET($AG$2,,,COUNTIF($AG$2:$AG$50,"?*"),23),14,FALSE)&lt;&gt;0,VLOOKUP(A23,OFFSET($AG$2,,,COUNTIF($AG$2:$AG$50,"?*"),23),14,FALSE),"?"),"")</f>
        <v>2010</v>
      </c>
      <c r="E26" s="363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35">
        <f ca="1">IFERROR(IF(VLOOKUP(G25,OFFSET($AG$2,,,COUNTIF($AG$2:$AG$50,"?*"),23),2,FALSE)&lt;&gt;0,YEAR(VLOOKUP(G25,OFFSET($AG$2,,,COUNTIF($AG$2:$AG$50,"?*"),23),2,FALSE)),""),"")</f>
        <v>2000</v>
      </c>
      <c r="I26" s="336"/>
      <c r="J26" s="5">
        <f ca="1">IFERROR(VLOOKUP(G25,OFFSET($AG$2,,,COUNTIF($AG$2:$AG$50,"?*"),23),15,FALSE),"")</f>
        <v>21</v>
      </c>
      <c r="K26" s="337" t="str">
        <f ca="1">IFERROR(VLOOKUP(G25,OFFSET($AG$2,,,COUNTIF($AG$2:$AG$50,"?*"),23),16,FALSE),"")</f>
        <v>180/72</v>
      </c>
      <c r="L26" s="338"/>
      <c r="M26" s="359" t="str">
        <f ca="1">IFERROR(IF(VLOOKUP(M23,OFFSET($AG$2,,,COUNTIF($AG$2:$AG$50,"?*"),23),13,FALSE)&lt;&gt;0,VLOOKUP(M23,OFFSET($AG$2,,,COUNTIF($AG$2:$AG$50,"?*"),23),13,FALSE),"?"),"")</f>
        <v>SKV</v>
      </c>
      <c r="N26" s="360"/>
      <c r="O26" s="361"/>
      <c r="P26" s="362">
        <f ca="1">IFERROR(IF(VLOOKUP(M23,OFFSET($AG$2,,,COUNTIF($AG$2:$AG$50,"?*"),23),14,FALSE)&lt;&gt;0,VLOOKUP(M23,OFFSET($AG$2,,,COUNTIF($AG$2:$AG$50,"?*"),23),14,FALSE),"?"),"")</f>
        <v>2012</v>
      </c>
      <c r="Q26" s="363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151</v>
      </c>
      <c r="AQ26" s="123">
        <v>173</v>
      </c>
      <c r="AR26" s="123">
        <v>68</v>
      </c>
      <c r="AS26" s="126" t="s">
        <v>167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5 OZ, 3 (2+1), -11 ±</v>
      </c>
      <c r="AY26" s="129" t="str">
        <f t="shared" ca="1" si="2"/>
        <v>102 OZ, 89 (28+61)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30"/>
      <c r="BT26" s="104" t="s">
        <v>952</v>
      </c>
      <c r="BU26" s="103">
        <v>1</v>
      </c>
      <c r="BV26" s="104" t="str">
        <f t="shared" si="14"/>
        <v>Ondřej Stuchlík</v>
      </c>
      <c r="BW26" s="102">
        <f t="shared" si="15"/>
        <v>1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>5 OZ, 4 (2+2), -8 ±</v>
      </c>
      <c r="H27" s="372"/>
      <c r="I27" s="372"/>
      <c r="J27" s="373" t="str">
        <f ca="1">IFERROR(VLOOKUP(G25,OFFSET($AG$2,,,COUNTIF($AG$2:$AG$50,"?*"),23),19,FALSE),"")</f>
        <v>17 OZ, 5 (2+3)</v>
      </c>
      <c r="K27" s="373"/>
      <c r="L27" s="374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0 V, 2 P</v>
      </c>
      <c r="AY27" s="129" t="str">
        <f t="shared" ca="1" si="2"/>
        <v>42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30" t="s">
        <v>39</v>
      </c>
      <c r="BT27" s="104" t="s">
        <v>820</v>
      </c>
      <c r="BU27" s="103">
        <v>4</v>
      </c>
      <c r="BV27" s="104" t="str">
        <f t="shared" si="14"/>
        <v>Jan Fiala</v>
      </c>
      <c r="BW27" s="102">
        <f t="shared" si="15"/>
        <v>4</v>
      </c>
    </row>
    <row r="28" spans="1:75" ht="15" customHeight="1" thickTop="1" thickBot="1" x14ac:dyDescent="0.25">
      <c r="A28" s="342" t="s">
        <v>162</v>
      </c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59" t="str">
        <f ca="1">IFERROR(IF(VLOOKUP(G25,OFFSET($AG$2,,,COUNTIF($AG$2:$AG$50,"?*"),23),13,FALSE)&lt;&gt;0,VLOOKUP(G25,OFFSET($AG$2,,,COUNTIF($AG$2:$AG$50,"?*"),23),13,FALSE),"?"),"")</f>
        <v>Vosy Praha</v>
      </c>
      <c r="H28" s="360"/>
      <c r="I28" s="361"/>
      <c r="J28" s="362">
        <f ca="1">IFERROR(IF(VLOOKUP(G25,OFFSET($AG$2,,,COUNTIF($AG$2:$AG$50,"?*"),23),14,FALSE)&lt;&gt;0,VLOOKUP(G25,OFFSET($AG$2,,,COUNTIF($AG$2:$AG$50,"?*"),23),14,FALSE),"?"),"")</f>
        <v>2010</v>
      </c>
      <c r="K28" s="363"/>
      <c r="L28" s="7">
        <f ca="1">IFERROR(IF(VLOOKUP(G25,OFFSET($AG$2,,,COUNTIF($AG$2:$AG$50,"?*"),23),7,FALSE)&lt;&gt;0,VLOOKUP(G25,OFFSET($AG$2,,,COUNTIF($AG$2:$AG$50,"?*"),23),7,FALSE),"?"),"")</f>
        <v>4</v>
      </c>
      <c r="M28" s="342" t="s">
        <v>14</v>
      </c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170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30"/>
      <c r="BT28" s="104" t="s">
        <v>885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35">
        <f ca="1">IFERROR(IF(VLOOKUP(A28,OFFSET($AG$2,,,COUNTIF($AG$2:$AG$50,"?*"),23),2,FALSE)&lt;&gt;0,YEAR(VLOOKUP(A28,OFFSET($AG$2,,,COUNTIF($AG$2:$AG$50,"?*"),23),2,FALSE)),""),"")</f>
        <v>1988</v>
      </c>
      <c r="C29" s="336"/>
      <c r="D29" s="5">
        <f ca="1">IFERROR(VLOOKUP(A28,OFFSET($AG$2,,,COUNTIF($AG$2:$AG$50,"?*"),23),15,FALSE),"")</f>
        <v>33</v>
      </c>
      <c r="E29" s="337" t="str">
        <f ca="1">IFERROR(VLOOKUP(A28,OFFSET($AG$2,,,COUNTIF($AG$2:$AG$50,"?*"),23),16,FALSE),"")</f>
        <v>187/92</v>
      </c>
      <c r="F29" s="338"/>
      <c r="M29" s="4" t="str">
        <f ca="1">IFERROR(IF(VLOOKUP(M28,OFFSET($AG$2,,,COUNTIF($AG$2:$AG$50,"?*"),23),10,FALSE)&lt;&gt;0,VLOOKUP(M28,OFFSET($AG$2,,,COUNTIF($AG$2:$AG$50,"?*"),23),10,FALSE),""),"")</f>
        <v>L</v>
      </c>
      <c r="N29" s="335">
        <f ca="1">IFERROR(IF(VLOOKUP(M28,OFFSET($AG$2,,,COUNTIF($AG$2:$AG$50,"?*"),23),2,FALSE)&lt;&gt;0,YEAR(VLOOKUP(M28,OFFSET($AG$2,,,COUNTIF($AG$2:$AG$50,"?*"),23),2,FALSE)),""),"")</f>
        <v>1991</v>
      </c>
      <c r="O29" s="336"/>
      <c r="P29" s="6">
        <f ca="1">IFERROR(VLOOKUP(M28,OFFSET($AG$2,,,COUNTIF($AG$2:$AG$50,"?*"),23),15,FALSE),"")</f>
        <v>30</v>
      </c>
      <c r="Q29" s="337" t="str">
        <f ca="1">IFERROR(VLOOKUP(M28,OFFSET($AG$2,,,COUNTIF($AG$2:$AG$50,"?*"),23),16,FALSE),"")</f>
        <v>180/78</v>
      </c>
      <c r="R29" s="338"/>
      <c r="S29" s="111"/>
      <c r="AC29" s="102" t="str">
        <f t="shared" ca="1" si="16"/>
        <v/>
      </c>
      <c r="AG29" s="121" t="s">
        <v>171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151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30"/>
      <c r="BT29" s="104" t="s">
        <v>953</v>
      </c>
      <c r="BU29" s="103">
        <v>2</v>
      </c>
      <c r="BV29" s="104" t="str">
        <f t="shared" si="14"/>
        <v>David Ježek</v>
      </c>
      <c r="BW29" s="102">
        <f t="shared" si="15"/>
        <v>2</v>
      </c>
    </row>
    <row r="30" spans="1:75" ht="15" customHeight="1" x14ac:dyDescent="0.2">
      <c r="A30" s="371" t="str">
        <f ca="1">IFERROR(VLOOKUP(A28,OFFSET($AG$2,,,COUNTIF($AG$2:$AG$50,"?*"),23),18,FALSE),"")</f>
        <v>4 OZ, 1 (1+0), -5 ±</v>
      </c>
      <c r="B30" s="372"/>
      <c r="C30" s="372"/>
      <c r="D30" s="373" t="str">
        <f ca="1">IFERROR(VLOOKUP(A28,OFFSET($AG$2,,,COUNTIF($AG$2:$AG$50,"?*"),23),19,FALSE),"")</f>
        <v>100 OZ, 19 (11+8)</v>
      </c>
      <c r="E30" s="373"/>
      <c r="F30" s="374"/>
      <c r="H30" s="375" t="str">
        <f>H$8</f>
        <v>SKV</v>
      </c>
      <c r="I30" s="375"/>
      <c r="J30" s="375"/>
      <c r="K30" s="375"/>
      <c r="M30" s="371" t="str">
        <f ca="1">IFERROR(VLOOKUP(M28,OFFSET($AG$2,,,COUNTIF($AG$2:$AG$50,"?*"),23),18,FALSE),"")</f>
        <v>4 OZ, 1 (0+1), -8 ±</v>
      </c>
      <c r="N30" s="372"/>
      <c r="O30" s="372"/>
      <c r="P30" s="373" t="str">
        <f ca="1">IFERROR(VLOOKUP(M28,OFFSET($AG$2,,,COUNTIF($AG$2:$AG$50,"?*"),23),19,FALSE),"")</f>
        <v>86 OZ, 68 (45+23)</v>
      </c>
      <c r="Q30" s="373"/>
      <c r="R30" s="374"/>
      <c r="S30" s="111"/>
      <c r="AC30" s="102" t="str">
        <f t="shared" ca="1" si="16"/>
        <v/>
      </c>
      <c r="AG30" s="121" t="s">
        <v>120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244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4 OZ, 1 (1+0), -5 ±</v>
      </c>
      <c r="AY30" s="129" t="str">
        <f t="shared" ca="1" si="2"/>
        <v>21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30"/>
      <c r="BT30" s="104" t="s">
        <v>954</v>
      </c>
      <c r="BU30" s="103">
        <v>2</v>
      </c>
      <c r="BV30" s="104" t="str">
        <f t="shared" si="14"/>
        <v>Ondřej Stuchlík</v>
      </c>
      <c r="BW30" s="102">
        <f t="shared" si="15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>SC Sportcentrum</v>
      </c>
      <c r="B31" s="360"/>
      <c r="C31" s="361"/>
      <c r="D31" s="362">
        <f ca="1">IFERROR(IF(VLOOKUP(A28,OFFSET($AG$2,,,COUNTIF($AG$2:$AG$50,"?*"),23),14,FALSE)&lt;&gt;0,VLOOKUP(A28,OFFSET($AG$2,,,COUNTIF($AG$2:$AG$50,"?*"),23),14,FALSE),"?"),"")</f>
        <v>2000</v>
      </c>
      <c r="E31" s="363"/>
      <c r="F31" s="7">
        <f ca="1">IFERROR(IF(VLOOKUP(A28,OFFSET($AG$2,,,COUNTIF($AG$2:$AG$50,"?*"),23),7,FALSE)&lt;&gt;0,VLOOKUP(A28,OFFSET($AG$2,,,COUNTIF($AG$2:$AG$50,"?*"),23),7,FALSE),"?"),"")</f>
        <v>7</v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>FBK Kunovští Orli</v>
      </c>
      <c r="N31" s="360"/>
      <c r="O31" s="361"/>
      <c r="P31" s="362">
        <f ca="1">IFERROR(IF(VLOOKUP(M28,OFFSET($AG$2,,,COUNTIF($AG$2:$AG$50,"?*"),23),14,FALSE)&lt;&gt;0,VLOOKUP(M28,OFFSET($AG$2,,,COUNTIF($AG$2:$AG$50,"?*"),23),14,FALSE),"?"),"")</f>
        <v>2008</v>
      </c>
      <c r="Q31" s="363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30"/>
      <c r="BT31" s="104" t="s">
        <v>955</v>
      </c>
      <c r="BU31" s="103">
        <v>2</v>
      </c>
      <c r="BV31" s="104" t="str">
        <f t="shared" si="14"/>
        <v>Vojtěch Klápa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2" t="s">
        <v>124</v>
      </c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70" t="s">
        <v>16</v>
      </c>
      <c r="J34" s="342" t="s">
        <v>19</v>
      </c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35">
        <f ca="1">IFERROR(IF(VLOOKUP(A34,OFFSET($AG$2,,,COUNTIF($AG$2:$AG$50,"?*"),23),2,FALSE)&lt;&gt;0,YEAR(VLOOKUP(A34,OFFSET($AG$2,,,COUNTIF($AG$2:$AG$50,"?*"),23),2,FALSE)),""),"")</f>
        <v>1998</v>
      </c>
      <c r="C35" s="336"/>
      <c r="D35" s="5">
        <f ca="1">IFERROR(VLOOKUP(A34,OFFSET($AG$2,,,COUNTIF($AG$2:$AG$50,"?*"),23),15,FALSE),"")</f>
        <v>23</v>
      </c>
      <c r="E35" s="337" t="str">
        <f ca="1">IFERROR(VLOOKUP(A34,OFFSET($AG$2,,,COUNTIF($AG$2:$AG$50,"?*"),23),16,FALSE),"")</f>
        <v>175/69</v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>L</v>
      </c>
      <c r="K35" s="336">
        <f ca="1">IFERROR(IF(VLOOKUP(J34,OFFSET($AG$2,,,COUNTIF($AG$2:$AG$50,"?*"),23),2,FALSE)&lt;&gt;0,YEAR(VLOOKUP(J34,OFFSET($AG$2,,,COUNTIF($AG$2:$AG$50,"?*"),23),2,FALSE)),""),"")</f>
        <v>2002</v>
      </c>
      <c r="L35" s="344"/>
      <c r="M35" s="15">
        <f ca="1">IFERROR(VLOOKUP(J34,OFFSET($AG$2,,,COUNTIF($AG$2:$AG$50,"?*"),23),15,FALSE),"")</f>
        <v>19</v>
      </c>
      <c r="N35" s="344" t="str">
        <f ca="1">IFERROR(VLOOKUP(J34,OFFSET($AG$2,,,COUNTIF($AG$2:$AG$50,"?*"),23),16,FALSE),"")</f>
        <v>187/61</v>
      </c>
      <c r="O35" s="344"/>
      <c r="P35" s="344" t="str">
        <f ca="1">IFERROR(VLOOKUP(J34,OFFSET($AG$2,,,COUNTIF($AG$2:$AG$50,"?*"),23),18,FALSE),"")</f>
        <v>4 OZ, 0 (0+0), -1 ±</v>
      </c>
      <c r="Q35" s="344"/>
      <c r="R35" s="345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39" t="str">
        <f ca="1">IFERROR(VLOOKUP(A34,OFFSET($AG$2,,,COUNTIF($AG$2:$AG$50,"?*"),23),18,FALSE),"")</f>
        <v>0 V, 4 P</v>
      </c>
      <c r="C36" s="339"/>
      <c r="D36" s="340">
        <f ca="1">IFERROR(VLOOKUP(A34,OFFSET($S$45,,,COUNTIF($S$45:$S$50,"?*"),14),5,FALSE),"")</f>
        <v>28</v>
      </c>
      <c r="E36" s="341"/>
      <c r="F36" s="17">
        <f ca="1">IFERROR(VLOOKUP(A34,OFFSET($S$45,,,COUNTIF($S$45:$S$50,"?*"),14),14,FALSE),"")</f>
        <v>74.545454545454547</v>
      </c>
      <c r="H36" s="370"/>
      <c r="J36" s="18">
        <f ca="1">IFERROR(IF(VLOOKUP(J34,OFFSET($AG$2,,,COUNTIF($AG$2:$AG$50,"?*"),23),7,FALSE)&lt;&gt;0,VLOOKUP(J34,OFFSET($AG$2,,,COUNTIF($AG$2:$AG$50,"?*"),23),7,FALSE),"?"),"")</f>
        <v>2</v>
      </c>
      <c r="K36" s="346" t="str">
        <f ca="1">IFERROR(VLOOKUP(J34,OFFSET($AG$2,,,COUNTIF($AG$2:$AG$50,"?*"),23),19,FALSE),"")</f>
        <v>22 OZ, 3 (2+1)</v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>SKV</v>
      </c>
      <c r="O36" s="347"/>
      <c r="P36" s="347"/>
      <c r="Q36" s="346">
        <f ca="1">IFERROR(IF(VLOOKUP(J34,OFFSET($AG$2,,,COUNTIF($AG$2:$AG$50,"?*"),23),14,FALSE)&lt;&gt;0,VLOOKUP(J34,OFFSET($AG$2,,,COUNTIF($AG$2:$AG$50,"?*"),23),14,FALSE),"?"),"")</f>
        <v>2013</v>
      </c>
      <c r="R36" s="348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64">
        <f ca="1">IFERROR(VLOOKUP(A34,OFFSET($S$45,,,COUNTIF($S$45:$S$50,"?*"),14),3,FALSE),"")</f>
        <v>198.22</v>
      </c>
      <c r="B37" s="365"/>
      <c r="C37" s="366">
        <f ca="1">IFERROR(VLOOKUP(A34,OFFSET($S$45,,,COUNTIF($S$45:$S$50,"?*"),14),13,FALSE),"")</f>
        <v>8.4754313389163567</v>
      </c>
      <c r="D37" s="367"/>
      <c r="E37" s="368" t="str">
        <f ca="1">IFERROR(VLOOKUP(A34,OFFSET($AG$2,,,COUNTIF($AG$2:$AG$50,"?*"),23),19,FALSE),"")</f>
        <v>41 OZ, 0 A</v>
      </c>
      <c r="F37" s="369"/>
      <c r="H37" s="370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>FTC Vysoké Mýto</v>
      </c>
      <c r="B38" s="360"/>
      <c r="C38" s="361"/>
      <c r="D38" s="362">
        <f ca="1">IFERROR(IF(VLOOKUP(A34,OFFSET($AG$2,,,COUNTIF($AG$2:$AG$50,"?*"),23),14,FALSE)&lt;&gt;0,VLOOKUP(A34,OFFSET($AG$2,,,COUNTIF($AG$2:$AG$50,"?*"),23),14,FALSE),"?"),"")</f>
        <v>2012</v>
      </c>
      <c r="E38" s="363"/>
      <c r="F38" s="19">
        <f ca="1">IFERROR(VLOOKUP(A34,OFFSET($S$45,,,COUNTIF($S$45:$S$50,"?*"),14),6,FALSE),"")</f>
        <v>0</v>
      </c>
      <c r="H38" s="370"/>
      <c r="J38" s="342" t="s">
        <v>126</v>
      </c>
      <c r="K38" s="343"/>
      <c r="L38" s="343"/>
      <c r="M38" s="343"/>
      <c r="N38" s="343"/>
      <c r="O38" s="343"/>
      <c r="P38" s="343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>
        <f ca="1">IFERROR(IF(VLOOKUP(J38,OFFSET($AG$2,,,COUNTIF($AG$2:$AG$50,"?*"),23),2,FALSE)&lt;&gt;0,YEAR(VLOOKUP(J38,OFFSET($AG$2,,,COUNTIF($AG$2:$AG$50,"?*"),23),2,FALSE)),""),"")</f>
        <v>2002</v>
      </c>
      <c r="L39" s="344"/>
      <c r="M39" s="151">
        <f ca="1">IFERROR(VLOOKUP(J38,OFFSET($AG$2,,,COUNTIF($AG$2:$AG$50,"?*"),23),15,FALSE),"")</f>
        <v>19</v>
      </c>
      <c r="N39" s="344" t="str">
        <f ca="1">IFERROR(VLOOKUP(J38,OFFSET($AG$2,,,COUNTIF($AG$2:$AG$50,"?*"),23),16,FALSE),"")</f>
        <v>? / ?</v>
      </c>
      <c r="O39" s="344"/>
      <c r="P39" s="344" t="str">
        <f ca="1">IFERROR(VLOOKUP(J38,OFFSET($AG$2,,,COUNTIF($AG$2:$AG$50,"?*"),23),18,FALSE),"")</f>
        <v>4 OZ, 0 (0+0), -4 ±</v>
      </c>
      <c r="Q39" s="344"/>
      <c r="R39" s="345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42" t="s">
        <v>15</v>
      </c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70"/>
      <c r="J40" s="18">
        <f ca="1">IFERROR(IF(VLOOKUP(J38,OFFSET($AG$2,,,COUNTIF($AG$2:$AG$50,"?*"),23),7,FALSE)&lt;&gt;0,VLOOKUP(J38,OFFSET($AG$2,,,COUNTIF($AG$2:$AG$50,"?*"),23),7,FALSE),"?"),"")</f>
        <v>1</v>
      </c>
      <c r="K40" s="346" t="str">
        <f ca="1">IFERROR(VLOOKUP(J38,OFFSET($AG$2,,,COUNTIF($AG$2:$AG$50,"?*"),23),19,FALSE),"")</f>
        <v>4 OZ, 0 (0+0)</v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>Tatran Střešovice</v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>?</v>
      </c>
      <c r="R40" s="348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35">
        <f ca="1">IFERROR(IF(VLOOKUP(A40,OFFSET($AG$2,,,COUNTIF($AG$2:$AG$50,"?*"),23),2,FALSE)&lt;&gt;0,YEAR(VLOOKUP(A40,OFFSET($AG$2,,,COUNTIF($AG$2:$AG$50,"?*"),23),2,FALSE)),""),"")</f>
        <v>1996</v>
      </c>
      <c r="C41" s="336"/>
      <c r="D41" s="5">
        <f ca="1">IFERROR(VLOOKUP(A40,OFFSET($AG$2,,,COUNTIF($AG$2:$AG$50,"?*"),23),15,FALSE),"")</f>
        <v>25</v>
      </c>
      <c r="E41" s="337" t="str">
        <f ca="1">IFERROR(VLOOKUP(A40,OFFSET($AG$2,,,COUNTIF($AG$2:$AG$50,"?*"),23),16,FALSE),"")</f>
        <v>187/88</v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39" t="str">
        <f ca="1">IFERROR(VLOOKUP(A40,OFFSET($AG$2,,,COUNTIF($AG$2:$AG$50,"?*"),23),18,FALSE),"")</f>
        <v>0 V, 2 P</v>
      </c>
      <c r="C42" s="339"/>
      <c r="D42" s="340">
        <f ca="1">IFERROR(VLOOKUP(A40,OFFSET($S$45,,,COUNTIF($S$45:$S$50,"?*"),14),5,FALSE),"")</f>
        <v>17</v>
      </c>
      <c r="E42" s="341"/>
      <c r="F42" s="17">
        <f ca="1">IFERROR(VLOOKUP(A40,OFFSET($S$45,,,COUNTIF($S$45:$S$50,"?*"),14),14,FALSE),"")</f>
        <v>56.410256410256409</v>
      </c>
      <c r="H42" s="370"/>
      <c r="J42" s="342" t="s">
        <v>2</v>
      </c>
      <c r="K42" s="343"/>
      <c r="L42" s="343"/>
      <c r="M42" s="343"/>
      <c r="N42" s="343"/>
      <c r="O42" s="343"/>
      <c r="P42" s="343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64">
        <f ca="1">IFERROR(VLOOKUP(A40,OFFSET($S$45,,,COUNTIF($S$45:$S$50,"?*"),14),3,FALSE),"")</f>
        <v>95.12</v>
      </c>
      <c r="B43" s="365"/>
      <c r="C43" s="366">
        <f ca="1">IFERROR(VLOOKUP(A40,OFFSET($S$45,,,COUNTIF($S$45:$S$50,"?*"),14),13,FALSE),"")</f>
        <v>10.723296888141293</v>
      </c>
      <c r="D43" s="367"/>
      <c r="E43" s="368" t="str">
        <f ca="1">IFERROR(VLOOKUP(A40,OFFSET($AG$2,,,COUNTIF($AG$2:$AG$50,"?*"),23),19,FALSE),"")</f>
        <v>42 OZ, 2 A</v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>L</v>
      </c>
      <c r="K43" s="336">
        <f ca="1">IFERROR(IF(VLOOKUP(J42,OFFSET($AG$2,,,COUNTIF($AG$2:$AG$50,"?*"),23),2,FALSE)&lt;&gt;0,YEAR(VLOOKUP(J42,OFFSET($AG$2,,,COUNTIF($AG$2:$AG$50,"?*"),23),2,FALSE)),""),"")</f>
        <v>1992</v>
      </c>
      <c r="L43" s="344"/>
      <c r="M43" s="151">
        <f ca="1">IFERROR(VLOOKUP(J42,OFFSET($AG$2,,,COUNTIF($AG$2:$AG$50,"?*"),23),15,FALSE),"")</f>
        <v>29</v>
      </c>
      <c r="N43" s="344" t="str">
        <f ca="1">IFERROR(VLOOKUP(J42,OFFSET($AG$2,,,COUNTIF($AG$2:$AG$50,"?*"),23),16,FALSE),"")</f>
        <v>181/78</v>
      </c>
      <c r="O43" s="344"/>
      <c r="P43" s="344" t="str">
        <f ca="1">IFERROR(VLOOKUP(J42,OFFSET($AG$2,,,COUNTIF($AG$2:$AG$50,"?*"),23),18,FALSE),"")</f>
        <v>3 OZ, 0 (0+0), -3 ±</v>
      </c>
      <c r="Q43" s="344"/>
      <c r="R43" s="345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>Chodov</v>
      </c>
      <c r="B44" s="360"/>
      <c r="C44" s="361"/>
      <c r="D44" s="362">
        <f ca="1">IFERROR(IF(VLOOKUP(A40,OFFSET($AG$2,,,COUNTIF($AG$2:$AG$50,"?*"),23),14,FALSE)&lt;&gt;0,VLOOKUP(A40,OFFSET($AG$2,,,COUNTIF($AG$2:$AG$50,"?*"),23),14,FALSE),"?"),"")</f>
        <v>2008</v>
      </c>
      <c r="E44" s="363"/>
      <c r="F44" s="19">
        <f ca="1">IFERROR(VLOOKUP(A40,OFFSET($S$45,,,COUNTIF($S$45:$S$50,"?*"),14),6,FALSE),"")</f>
        <v>0</v>
      </c>
      <c r="H44" s="370"/>
      <c r="J44" s="18">
        <f ca="1">IFERROR(IF(VLOOKUP(J42,OFFSET($AG$2,,,COUNTIF($AG$2:$AG$50,"?*"),23),7,FALSE)&lt;&gt;0,VLOOKUP(J42,OFFSET($AG$2,,,COUNTIF($AG$2:$AG$50,"?*"),23),7,FALSE),"?"),"")</f>
        <v>10</v>
      </c>
      <c r="K44" s="346" t="str">
        <f ca="1">IFERROR(VLOOKUP(J42,OFFSET($AG$2,,,COUNTIF($AG$2:$AG$50,"?*"),23),19,FALSE),"")</f>
        <v>144 OZ, 149 (90+59)</v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>Pelhřimov</v>
      </c>
      <c r="O44" s="347"/>
      <c r="P44" s="347"/>
      <c r="Q44" s="346">
        <f ca="1">IFERROR(IF(VLOOKUP(J42,OFFSET($AG$2,,,COUNTIF($AG$2:$AG$50,"?*"),23),14,FALSE)&lt;&gt;0,VLOOKUP(J42,OFFSET($AG$2,,,COUNTIF($AG$2:$AG$50,"?*"),23),14,FALSE),"?"),"")</f>
        <v>2003</v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124</v>
      </c>
      <c r="T45" s="102">
        <v>4</v>
      </c>
      <c r="U45" s="112">
        <v>198.22</v>
      </c>
      <c r="V45" s="102">
        <v>0</v>
      </c>
      <c r="W45" s="102">
        <v>28</v>
      </c>
      <c r="X45" s="102">
        <v>0</v>
      </c>
      <c r="Y45" s="102">
        <v>110</v>
      </c>
      <c r="Z45" s="102">
        <v>0</v>
      </c>
      <c r="AA45" s="102">
        <v>4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8.4754313389163567</v>
      </c>
      <c r="AF45" s="112">
        <f>IF(S45&lt;&gt;"",IF(Y45&gt;0,(AB45/Y45)*100,"-"),"")</f>
        <v>74.545454545454547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2</v>
      </c>
      <c r="U46" s="112">
        <v>95.12</v>
      </c>
      <c r="V46" s="102">
        <v>0</v>
      </c>
      <c r="W46" s="102">
        <v>17</v>
      </c>
      <c r="X46" s="102">
        <v>0</v>
      </c>
      <c r="Y46" s="102">
        <v>39</v>
      </c>
      <c r="Z46" s="102">
        <v>0</v>
      </c>
      <c r="AA46" s="102">
        <v>2</v>
      </c>
      <c r="AB46" s="102">
        <v>22</v>
      </c>
      <c r="AC46" s="102">
        <v>0</v>
      </c>
      <c r="AD46" s="102">
        <v>0</v>
      </c>
      <c r="AE46" s="112">
        <f t="shared" ref="AE46:AE50" si="36">IF(S46&lt;&gt;"",IF(T46&gt;0,W46/(U46/60),0),"")</f>
        <v>10.723296888141293</v>
      </c>
      <c r="AF46" s="112">
        <f t="shared" ref="AF46:AF50" si="37">IF(S46&lt;&gt;"",IF(Y46&gt;0,(AB46/Y46)*100,"-"),"")</f>
        <v>56.410256410256409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31" t="s">
        <v>20</v>
      </c>
      <c r="B47" s="332"/>
      <c r="C47" s="332"/>
      <c r="D47" s="332"/>
      <c r="E47" s="333" t="str">
        <f ca="1">IFERROR(VLOOKUP(A47,OFFSET($BN$2,,,COUNTIF($BN$2:$BN$11,"?*"),5),3,FALSE),"")</f>
        <v>trenér</v>
      </c>
      <c r="F47" s="333"/>
      <c r="G47" s="333"/>
      <c r="H47" s="333"/>
      <c r="I47" s="334"/>
      <c r="J47" s="331" t="s">
        <v>21</v>
      </c>
      <c r="K47" s="332"/>
      <c r="L47" s="332"/>
      <c r="M47" s="332"/>
      <c r="N47" s="333" t="str">
        <f ca="1">IFERROR(VLOOKUP(J47,OFFSET($BN$2,,,COUNTIF($BN$2:$BN$11,"?*"),5),3,FALSE),"")</f>
        <v>trenér</v>
      </c>
      <c r="O47" s="333"/>
      <c r="P47" s="333"/>
      <c r="Q47" s="333"/>
      <c r="R47" s="334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49">
        <f ca="1">IFERROR(VLOOKUP(A47,OFFSET($BN$2,,,COUNTIF($BN$2:$BN$11,"?*"),5),5,FALSE),"")</f>
        <v>38</v>
      </c>
      <c r="B48" s="351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51"/>
      <c r="D48" s="351"/>
      <c r="E48" s="351"/>
      <c r="F48" s="351"/>
      <c r="G48" s="351"/>
      <c r="H48" s="351"/>
      <c r="I48" s="352"/>
      <c r="J48" s="24">
        <f ca="1">IFERROR(VLOOKUP(J47,OFFSET($BN$2,,,COUNTIF($BN$2:$BN$11,"?*"),5),5,FALSE),"")</f>
        <v>35</v>
      </c>
      <c r="K48" s="355" t="str">
        <f ca="1">IFERROR(IF(VLOOKUP(J47,OFFSET($BN$2,,,COUNTIF($BN$2:$BN$11,"?*"),5),4,FALSE)&lt;&gt;0,VLOOKUP(J47,OFFSET($BN$2,,,COUNTIF($BN$2:$BN$11,"?*"),5),4,FALSE),"-"),"")</f>
        <v>2x mistr české ligy (Chodov)</v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 t="s">
        <v>22</v>
      </c>
      <c r="K49" s="358"/>
      <c r="L49" s="358"/>
      <c r="M49" s="358"/>
      <c r="N49" s="333" t="str">
        <f ca="1">IFERROR(VLOOKUP(J49,OFFSET($BN$2,,,COUNTIF($BN$2:$BN$11,"?*"),5),3,FALSE),"")</f>
        <v>kondiční trenér</v>
      </c>
      <c r="O49" s="333"/>
      <c r="P49" s="333"/>
      <c r="Q49" s="333"/>
      <c r="R49" s="334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24">
        <f ca="1">IFERROR(VLOOKUP(J49,OFFSET($BN$2,,,COUNTIF($BN$2:$BN$11,"?*"),5),5,FALSE),"")</f>
        <v>31</v>
      </c>
      <c r="K50" s="355" t="str">
        <f ca="1">IFERROR(IF(VLOOKUP(J49,OFFSET($BN$2,,,COUNTIF($BN$2:$BN$11,"?*"),5),4,FALSE)&lt;&gt;0,VLOOKUP(J49,OFFSET($BN$2,,,COUNTIF($BN$2:$BN$11,"?*"),5),4,FALSE),"-"),"")</f>
        <v>postup do Tipsport superligy (hráč)</v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732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3</v>
      </c>
      <c r="Z2" s="102">
        <v>8</v>
      </c>
      <c r="AA2" s="102">
        <v>4</v>
      </c>
      <c r="AB2" s="102">
        <v>10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726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(3+1), +5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0" t="s">
        <v>36</v>
      </c>
      <c r="BT2" s="104" t="s">
        <v>747</v>
      </c>
      <c r="BU2" s="103">
        <v>8</v>
      </c>
      <c r="BV2" s="104" t="str">
        <f>IFERROR(RIGHT(BT2,LEN(BT2)-SEARCH(" ",BT2)),"")</f>
        <v>Jakub Boček</v>
      </c>
      <c r="BW2" s="102">
        <f>IF(BT2&lt;&gt;0,_xlfn.NUMBERVALUE(BU2,","),"")</f>
        <v>8</v>
      </c>
      <c r="BX2" s="329" t="s">
        <v>214</v>
      </c>
      <c r="BY2" s="103" t="s">
        <v>210</v>
      </c>
      <c r="BZ2" s="103" t="s">
        <v>982</v>
      </c>
      <c r="CA2" s="115" t="s">
        <v>907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730</v>
      </c>
      <c r="T3" s="102" t="s">
        <v>121</v>
      </c>
      <c r="U3" s="102">
        <v>5</v>
      </c>
      <c r="V3" s="102">
        <v>4</v>
      </c>
      <c r="W3" s="102">
        <v>0</v>
      </c>
      <c r="X3" s="102">
        <v>0</v>
      </c>
      <c r="Y3" s="102">
        <v>4</v>
      </c>
      <c r="Z3" s="102">
        <v>8</v>
      </c>
      <c r="AA3" s="102">
        <v>4</v>
      </c>
      <c r="AB3" s="102">
        <v>11</v>
      </c>
      <c r="AC3" s="102" t="str">
        <f t="shared" ca="1" si="0"/>
        <v>ANO</v>
      </c>
      <c r="AG3" s="121" t="s">
        <v>732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5 OZ, 8 (5+3), +10 ±</v>
      </c>
      <c r="AY3" s="129" t="str">
        <f t="shared" ca="1" si="2"/>
        <v>5 OZ, 8 (5+3)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30"/>
      <c r="BT3" s="104" t="s">
        <v>889</v>
      </c>
      <c r="BU3" s="103">
        <v>8</v>
      </c>
      <c r="BV3" s="104" t="str">
        <f t="shared" ref="BV3:BV31" si="14">IFERROR(RIGHT(BT3,LEN(BT3)-SEARCH(" ",BT3)),"")</f>
        <v>Matěj Boček</v>
      </c>
      <c r="BW3" s="102">
        <f t="shared" ref="BW3:BW31" si="15">IF(BT3&lt;&gt;0,_xlfn.NUMBERVALUE(BU3,","),"")</f>
        <v>8</v>
      </c>
      <c r="BX3" s="329"/>
      <c r="BY3" s="103" t="s">
        <v>266</v>
      </c>
      <c r="BZ3" s="103" t="s">
        <v>983</v>
      </c>
      <c r="CA3" s="115" t="s">
        <v>984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731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2</v>
      </c>
      <c r="AB4" s="102">
        <v>4</v>
      </c>
      <c r="AC4" s="102" t="str">
        <f t="shared" ca="1" si="0"/>
        <v>ANO</v>
      </c>
      <c r="AG4" s="121" t="s">
        <v>730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5 OZ, 8 (4+4), +11 ±</v>
      </c>
      <c r="AY4" s="129" t="str">
        <f t="shared" ca="1" si="2"/>
        <v>5 OZ, 8 (4+4)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30"/>
      <c r="BT4" s="104" t="s">
        <v>970</v>
      </c>
      <c r="BU4" s="103">
        <v>7</v>
      </c>
      <c r="BV4" s="104" t="str">
        <f t="shared" si="14"/>
        <v>Radek Hanák</v>
      </c>
      <c r="BW4" s="102">
        <f t="shared" si="15"/>
        <v>7</v>
      </c>
      <c r="BX4" s="329"/>
      <c r="BY4" s="103" t="s">
        <v>882</v>
      </c>
      <c r="BZ4" s="103" t="s">
        <v>985</v>
      </c>
      <c r="CA4" s="115" t="s">
        <v>116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R5" s="13"/>
      <c r="S5" s="110" t="s">
        <v>728</v>
      </c>
      <c r="T5" s="102" t="s">
        <v>121</v>
      </c>
      <c r="U5" s="102">
        <v>5</v>
      </c>
      <c r="V5" s="102">
        <v>4</v>
      </c>
      <c r="W5" s="102">
        <v>1</v>
      </c>
      <c r="X5" s="102">
        <v>0</v>
      </c>
      <c r="Y5" s="102">
        <v>2</v>
      </c>
      <c r="Z5" s="102">
        <v>6</v>
      </c>
      <c r="AA5" s="102">
        <v>0</v>
      </c>
      <c r="AB5" s="102">
        <v>4</v>
      </c>
      <c r="AC5" s="102" t="str">
        <f t="shared" ca="1" si="0"/>
        <v>ANO</v>
      </c>
      <c r="AG5" s="121" t="s">
        <v>729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5 OZ, 3 (1+2), +4 ±</v>
      </c>
      <c r="AY5" s="129" t="str">
        <f t="shared" ca="1" si="2"/>
        <v>5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30"/>
      <c r="BT5" s="104" t="s">
        <v>971</v>
      </c>
      <c r="BU5" s="103">
        <v>6</v>
      </c>
      <c r="BV5" s="104" t="str">
        <f t="shared" si="14"/>
        <v>Tomáš Hanák</v>
      </c>
      <c r="BW5" s="102">
        <f t="shared" si="15"/>
        <v>6</v>
      </c>
      <c r="BX5" s="329"/>
      <c r="BY5" s="103" t="s">
        <v>207</v>
      </c>
      <c r="BZ5" s="103" t="s">
        <v>986</v>
      </c>
      <c r="CA5" s="115" t="s">
        <v>821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725</v>
      </c>
      <c r="U6" s="102">
        <v>4</v>
      </c>
      <c r="V6" s="102">
        <v>3</v>
      </c>
      <c r="W6" s="102">
        <v>2</v>
      </c>
      <c r="X6" s="102">
        <v>0</v>
      </c>
      <c r="Y6" s="102">
        <v>2</v>
      </c>
      <c r="Z6" s="102">
        <v>5</v>
      </c>
      <c r="AA6" s="102">
        <v>2</v>
      </c>
      <c r="AB6" s="102">
        <v>8</v>
      </c>
      <c r="AC6" s="102" t="str">
        <f t="shared" ca="1" si="0"/>
        <v>ANO</v>
      </c>
      <c r="AG6" s="121" t="s">
        <v>727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5 OZ, 3 (2+1), +5 ±</v>
      </c>
      <c r="AY6" s="129" t="str">
        <f t="shared" ca="1" si="2"/>
        <v>5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30"/>
      <c r="BT6" s="104" t="s">
        <v>890</v>
      </c>
      <c r="BU6" s="103">
        <v>5</v>
      </c>
      <c r="BV6" s="104" t="str">
        <f t="shared" si="14"/>
        <v>Jakub Hromada</v>
      </c>
      <c r="BW6" s="102">
        <f t="shared" si="15"/>
        <v>5</v>
      </c>
      <c r="BX6" s="329"/>
      <c r="BY6" s="103" t="s">
        <v>265</v>
      </c>
      <c r="BZ6" s="103" t="s">
        <v>987</v>
      </c>
      <c r="CA6" s="115" t="s">
        <v>748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726</v>
      </c>
      <c r="T7" s="102" t="s">
        <v>64</v>
      </c>
      <c r="U7" s="102">
        <v>5</v>
      </c>
      <c r="V7" s="102">
        <v>3</v>
      </c>
      <c r="W7" s="102">
        <v>1</v>
      </c>
      <c r="X7" s="102">
        <v>0</v>
      </c>
      <c r="Y7" s="102">
        <v>1</v>
      </c>
      <c r="Z7" s="102">
        <v>4</v>
      </c>
      <c r="AA7" s="102">
        <v>0</v>
      </c>
      <c r="AB7" s="102">
        <v>5</v>
      </c>
      <c r="AC7" s="102" t="str">
        <f t="shared" ca="1" si="0"/>
        <v>ANO</v>
      </c>
      <c r="AG7" s="121" t="s">
        <v>738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5 OZ, 0 (0+0), -8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30" t="s">
        <v>40</v>
      </c>
      <c r="BT7" s="104" t="s">
        <v>745</v>
      </c>
      <c r="BU7" s="103" t="s">
        <v>972</v>
      </c>
      <c r="BV7" s="104" t="str">
        <f t="shared" si="14"/>
        <v>Ondřej Matiášek</v>
      </c>
      <c r="BW7" s="112">
        <f t="shared" si="15"/>
        <v>2.96</v>
      </c>
      <c r="BX7" s="329" t="s">
        <v>215</v>
      </c>
      <c r="BY7" s="103" t="s">
        <v>874</v>
      </c>
      <c r="BZ7" s="103" t="s">
        <v>960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97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736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2</v>
      </c>
      <c r="AB8" s="102">
        <v>-1</v>
      </c>
      <c r="AC8" s="102" t="str">
        <f t="shared" ca="1" si="0"/>
        <v>ANO</v>
      </c>
      <c r="AG8" s="121" t="s">
        <v>731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5 OZ, 7 (3+4), +4 ±</v>
      </c>
      <c r="AY8" s="129" t="str">
        <f t="shared" ca="1" si="2"/>
        <v>5 OZ, 7 (3+4)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30"/>
      <c r="BT8" s="104" t="s">
        <v>746</v>
      </c>
      <c r="BU8" s="103" t="s">
        <v>973</v>
      </c>
      <c r="BV8" s="104" t="str">
        <f t="shared" si="14"/>
        <v>Daniel Körber</v>
      </c>
      <c r="BW8" s="112">
        <f t="shared" si="15"/>
        <v>6.08</v>
      </c>
      <c r="BX8" s="329"/>
      <c r="BY8" s="103" t="s">
        <v>989</v>
      </c>
      <c r="BZ8" s="103" t="s">
        <v>961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727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5</v>
      </c>
      <c r="AC9" s="102" t="str">
        <f t="shared" ca="1" si="0"/>
        <v>ANO</v>
      </c>
      <c r="AG9" s="121" t="s">
        <v>728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5 OZ, 6 (4+2), +4 ±</v>
      </c>
      <c r="AY9" s="129" t="str">
        <f t="shared" ca="1" si="2"/>
        <v>5 OZ, 6 (4+2)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30"/>
      <c r="BV9" s="104" t="str">
        <f t="shared" si="14"/>
        <v/>
      </c>
      <c r="BW9" s="112" t="str">
        <f t="shared" si="15"/>
        <v/>
      </c>
      <c r="BX9" s="329"/>
      <c r="BY9" s="103" t="s">
        <v>990</v>
      </c>
      <c r="BZ9" s="103" t="s">
        <v>959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729</v>
      </c>
      <c r="T10" s="102" t="s">
        <v>64</v>
      </c>
      <c r="U10" s="102">
        <v>5</v>
      </c>
      <c r="V10" s="102">
        <v>1</v>
      </c>
      <c r="W10" s="102">
        <v>1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725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4 OZ, 5 (3+2), +8 ±</v>
      </c>
      <c r="AY10" s="129" t="str">
        <f t="shared" ca="1" si="2"/>
        <v>4 OZ, 5 (3+2)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30"/>
      <c r="BV10" s="104" t="str">
        <f t="shared" si="14"/>
        <v/>
      </c>
      <c r="BW10" s="112" t="str">
        <f t="shared" si="15"/>
        <v/>
      </c>
      <c r="BX10" s="329"/>
      <c r="BY10" s="103" t="s">
        <v>967</v>
      </c>
      <c r="BZ10" s="103" t="s">
        <v>957</v>
      </c>
      <c r="CA10" s="115" t="s">
        <v>208</v>
      </c>
    </row>
    <row r="11" spans="1:79" ht="15" customHeight="1" thickTop="1" thickBot="1" x14ac:dyDescent="0.25">
      <c r="R11" s="13"/>
      <c r="S11" s="110" t="s">
        <v>734</v>
      </c>
      <c r="T11" s="102" t="s">
        <v>64</v>
      </c>
      <c r="U11" s="102">
        <v>5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0</v>
      </c>
      <c r="AB11" s="102">
        <v>11</v>
      </c>
      <c r="AC11" s="102" t="str">
        <f t="shared" ca="1" si="0"/>
        <v>ANO</v>
      </c>
      <c r="AG11" s="121" t="s">
        <v>743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5 OZ, 1 (1+0), -6 ±</v>
      </c>
      <c r="AY11" s="129" t="str">
        <f t="shared" ca="1" si="2"/>
        <v>5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30"/>
      <c r="BV11" s="104" t="str">
        <f t="shared" si="14"/>
        <v/>
      </c>
      <c r="BW11" s="112" t="str">
        <f t="shared" si="15"/>
        <v/>
      </c>
      <c r="BX11" s="329"/>
      <c r="BY11" s="103" t="s">
        <v>1008</v>
      </c>
      <c r="BZ11" s="103" t="s">
        <v>1043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T12" s="102" t="s">
        <v>121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-6</v>
      </c>
      <c r="AC12" s="102" t="str">
        <f t="shared" ca="1" si="0"/>
        <v>ANO</v>
      </c>
      <c r="AG12" s="121" t="s">
        <v>741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1 P</v>
      </c>
      <c r="AY12" s="129" t="str">
        <f t="shared" ca="1" si="2"/>
        <v>2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30" t="s">
        <v>37</v>
      </c>
      <c r="BT12" s="104" t="s">
        <v>747</v>
      </c>
      <c r="BU12" s="103">
        <v>5</v>
      </c>
      <c r="BV12" s="104" t="str">
        <f t="shared" si="14"/>
        <v>Jakub Boček</v>
      </c>
      <c r="BW12" s="102">
        <f t="shared" si="15"/>
        <v>5</v>
      </c>
      <c r="BX12" s="120" t="s">
        <v>213</v>
      </c>
      <c r="BY12" s="100" t="s">
        <v>991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825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742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5 OZ, 0 (0+0), -7 ±</v>
      </c>
      <c r="AY13" s="129" t="str">
        <f t="shared" ca="1" si="2"/>
        <v>5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30"/>
      <c r="BT13" s="104" t="s">
        <v>889</v>
      </c>
      <c r="BU13" s="103">
        <v>4</v>
      </c>
      <c r="BV13" s="104" t="str">
        <f t="shared" si="14"/>
        <v>Matěj Boček</v>
      </c>
      <c r="BW13" s="102">
        <f t="shared" si="15"/>
        <v>4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737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12</v>
      </c>
      <c r="AC14" s="102" t="str">
        <f t="shared" ca="1" si="0"/>
        <v>ANO</v>
      </c>
      <c r="AG14" s="121" t="s">
        <v>739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2 V, 1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30"/>
      <c r="BT14" s="104" t="s">
        <v>974</v>
      </c>
      <c r="BU14" s="103">
        <v>4</v>
      </c>
      <c r="BV14" s="104" t="str">
        <f t="shared" si="14"/>
        <v>Tomáš Hanák</v>
      </c>
      <c r="BW14" s="102">
        <f t="shared" si="15"/>
        <v>4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740</v>
      </c>
      <c r="T15" s="102" t="s">
        <v>121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740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30"/>
      <c r="BT15" s="104" t="s">
        <v>822</v>
      </c>
      <c r="BU15" s="103">
        <v>3</v>
      </c>
      <c r="BV15" s="104" t="str">
        <f t="shared" si="14"/>
        <v>Jakub Hromada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R16" s="13"/>
      <c r="S16" s="110" t="s">
        <v>735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737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5 OZ, 1 (0+1), +12 ±</v>
      </c>
      <c r="AY16" s="129" t="str">
        <f t="shared" ca="1" si="2"/>
        <v>5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30"/>
      <c r="BT16" s="104" t="s">
        <v>975</v>
      </c>
      <c r="BU16" s="103">
        <v>3</v>
      </c>
      <c r="BV16" s="104" t="str">
        <f t="shared" si="14"/>
        <v>Jan Bauman</v>
      </c>
      <c r="BW16" s="102">
        <f t="shared" si="15"/>
        <v>3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744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-1</v>
      </c>
      <c r="AC17" s="102" t="str">
        <f t="shared" ca="1" si="0"/>
        <v>ANO</v>
      </c>
      <c r="AG17" s="121" t="s">
        <v>733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5 OZ, 0 (0+0), -8 ±</v>
      </c>
      <c r="AY17" s="129" t="str">
        <f t="shared" ca="1" si="2"/>
        <v>5 OZ, 0 (0+0)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30" t="s">
        <v>41</v>
      </c>
      <c r="BT17" s="104" t="s">
        <v>745</v>
      </c>
      <c r="BU17" s="103">
        <v>2</v>
      </c>
      <c r="BV17" s="104" t="str">
        <f t="shared" si="14"/>
        <v>Ondřej Matiášek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824</v>
      </c>
      <c r="T18" s="102" t="s">
        <v>121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734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5 OZ, 3 (1+2), +11 ±</v>
      </c>
      <c r="AY18" s="129" t="str">
        <f t="shared" ca="1" si="2"/>
        <v>5 OZ, 3 (1+2)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30"/>
      <c r="BT18" s="104" t="s">
        <v>746</v>
      </c>
      <c r="BU18" s="103">
        <v>1</v>
      </c>
      <c r="BV18" s="104" t="str">
        <f t="shared" si="14"/>
        <v>Daniel Körber</v>
      </c>
      <c r="BW18" s="102">
        <f t="shared" si="15"/>
        <v>1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BA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823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-2</v>
      </c>
      <c r="AC19" s="102" t="str">
        <f t="shared" ca="1" si="0"/>
        <v>NE</v>
      </c>
      <c r="AG19" s="121" t="s">
        <v>736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5 OZ, 4 (2+2), -1 ±</v>
      </c>
      <c r="AY19" s="129" t="str">
        <f t="shared" ca="1" si="2"/>
        <v>5 OZ, 4 (2+2)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30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738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-8</v>
      </c>
      <c r="AC20" s="102" t="str">
        <f t="shared" ca="1" si="0"/>
        <v>ANO</v>
      </c>
      <c r="AG20" s="121" t="s">
        <v>735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2 OZ, 0 (0+0), 0 ±</v>
      </c>
      <c r="AY20" s="129" t="str">
        <f t="shared" ca="1" si="2"/>
        <v>2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30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733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4</v>
      </c>
      <c r="AB21" s="102">
        <v>-8</v>
      </c>
      <c r="AC21" s="102" t="str">
        <f ca="1">IF(S21&lt;&gt;"",IFERROR(IF(VLOOKUP(S21,OFFSET($AG$2,,,COUNTIF($AG$2:$AG$50,"?*")),1,FALSE)&lt;&gt;0,"ANO","NE"),"NE"),"")</f>
        <v>ANO</v>
      </c>
      <c r="AG21" s="121" t="s">
        <v>744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3 OZ, 0 (0+0), -1 ±</v>
      </c>
      <c r="AY21" s="129" t="str">
        <f t="shared" ca="1" si="2"/>
        <v>3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30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742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-7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30" t="s">
        <v>38</v>
      </c>
      <c r="BT22" s="104" t="s">
        <v>887</v>
      </c>
      <c r="BU22" s="103">
        <v>4</v>
      </c>
      <c r="BV22" s="104" t="str">
        <f t="shared" si="14"/>
        <v>Matěj Boček</v>
      </c>
      <c r="BW22" s="102">
        <f t="shared" si="15"/>
        <v>4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741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30"/>
      <c r="BT23" s="104" t="s">
        <v>886</v>
      </c>
      <c r="BU23" s="103">
        <v>4</v>
      </c>
      <c r="BV23" s="104" t="str">
        <f t="shared" si="14"/>
        <v>Radek Hanák</v>
      </c>
      <c r="BW23" s="102">
        <f t="shared" si="15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0" t="s">
        <v>739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30"/>
      <c r="BT24" s="104" t="s">
        <v>888</v>
      </c>
      <c r="BU24" s="103">
        <v>3</v>
      </c>
      <c r="BV24" s="104" t="str">
        <f t="shared" si="14"/>
        <v>Jakub Boček</v>
      </c>
      <c r="BW24" s="102">
        <f t="shared" si="15"/>
        <v>3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30"/>
      <c r="BT25" s="104" t="s">
        <v>976</v>
      </c>
      <c r="BU25" s="103">
        <v>2</v>
      </c>
      <c r="BV25" s="104" t="str">
        <f t="shared" si="14"/>
        <v>Adam Bouček</v>
      </c>
      <c r="BW25" s="102">
        <f t="shared" si="15"/>
        <v>2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30"/>
      <c r="BT26" s="104" t="s">
        <v>890</v>
      </c>
      <c r="BU26" s="103">
        <v>2</v>
      </c>
      <c r="BV26" s="104" t="str">
        <f t="shared" si="14"/>
        <v>Jakub Hromada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30" t="s">
        <v>39</v>
      </c>
      <c r="BT27" s="104" t="s">
        <v>977</v>
      </c>
      <c r="BU27" s="103">
        <v>4</v>
      </c>
      <c r="BV27" s="104" t="str">
        <f t="shared" si="14"/>
        <v>Filip Neklan</v>
      </c>
      <c r="BW27" s="102">
        <f t="shared" si="15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30"/>
      <c r="BT28" s="104" t="s">
        <v>978</v>
      </c>
      <c r="BU28" s="103">
        <v>4</v>
      </c>
      <c r="BV28" s="104" t="str">
        <f t="shared" si="14"/>
        <v>Jakub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30"/>
      <c r="BT29" s="104" t="s">
        <v>979</v>
      </c>
      <c r="BU29" s="103">
        <v>4</v>
      </c>
      <c r="BV29" s="104" t="str">
        <f t="shared" si="14"/>
        <v>Matouš Burian</v>
      </c>
      <c r="BW29" s="102">
        <f t="shared" si="15"/>
        <v>4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BA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30"/>
      <c r="BT30" s="104" t="s">
        <v>980</v>
      </c>
      <c r="BU30" s="103">
        <v>4</v>
      </c>
      <c r="BV30" s="104" t="str">
        <f t="shared" si="14"/>
        <v>Matěj Boček</v>
      </c>
      <c r="BW30" s="102">
        <f t="shared" si="15"/>
        <v>4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30"/>
      <c r="BT31" s="104" t="s">
        <v>981</v>
      </c>
      <c r="BU31" s="103">
        <v>4</v>
      </c>
      <c r="BV31" s="104" t="str">
        <f t="shared" si="14"/>
        <v>Vojtěch Novotný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739</v>
      </c>
      <c r="T45" s="102">
        <v>3</v>
      </c>
      <c r="U45" s="112">
        <v>182.18</v>
      </c>
      <c r="V45" s="102">
        <v>2</v>
      </c>
      <c r="W45" s="102">
        <v>9</v>
      </c>
      <c r="X45" s="102">
        <v>0</v>
      </c>
      <c r="Y45" s="102">
        <v>69</v>
      </c>
      <c r="Z45" s="102">
        <v>0</v>
      </c>
      <c r="AA45" s="102">
        <v>1</v>
      </c>
      <c r="AB45" s="102">
        <v>60</v>
      </c>
      <c r="AC45" s="102">
        <v>0</v>
      </c>
      <c r="AD45" s="102">
        <v>0</v>
      </c>
      <c r="AE45" s="112">
        <f>IF(S45&lt;&gt;"",IF(T45&gt;0,W45/(U45/60),0),"")</f>
        <v>2.9641014381381052</v>
      </c>
      <c r="AF45" s="112">
        <f>IF(S45&lt;&gt;"",IF(Y45&gt;0,(AB45/Y45)*100,"-"),"")</f>
        <v>86.956521739130437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741</v>
      </c>
      <c r="T46" s="102">
        <v>2</v>
      </c>
      <c r="U46" s="112">
        <v>118.33</v>
      </c>
      <c r="V46" s="102">
        <v>1</v>
      </c>
      <c r="W46" s="102">
        <v>12</v>
      </c>
      <c r="X46" s="102">
        <v>0</v>
      </c>
      <c r="Y46" s="102">
        <v>35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6">IF(S46&lt;&gt;"",IF(T46&gt;0,W46/(U46/60),0),"")</f>
        <v>6.0846784416462434</v>
      </c>
      <c r="AF46" s="112">
        <f t="shared" ref="AF46:AF50" si="27">IF(S46&lt;&gt;"",IF(Y46&gt;0,(AB46/Y46)*100,"-"),"")</f>
        <v>65.714285714285708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574</v>
      </c>
      <c r="T2" s="102" t="s">
        <v>121</v>
      </c>
      <c r="U2" s="102">
        <v>5</v>
      </c>
      <c r="V2" s="102">
        <v>6</v>
      </c>
      <c r="W2" s="102">
        <v>1</v>
      </c>
      <c r="X2" s="102">
        <v>0</v>
      </c>
      <c r="Y2" s="102">
        <v>12</v>
      </c>
      <c r="Z2" s="102">
        <v>18</v>
      </c>
      <c r="AA2" s="102">
        <v>0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573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151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12 (7+5), +18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77 OZ, 107 (69+38)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609</v>
      </c>
      <c r="BO2" s="122">
        <v>29350</v>
      </c>
      <c r="BP2" s="131" t="s">
        <v>259</v>
      </c>
      <c r="BQ2" s="132" t="s">
        <v>610</v>
      </c>
      <c r="BR2" s="127">
        <f ca="1">IF(BN2&lt;&gt;"",IF(BO2&lt;&gt;"",INT((TODAY()-BO2)/365),"?"),"")</f>
        <v>41</v>
      </c>
      <c r="BS2" s="330" t="s">
        <v>36</v>
      </c>
      <c r="BT2" s="104" t="s">
        <v>620</v>
      </c>
      <c r="BU2" s="103">
        <v>18</v>
      </c>
      <c r="BV2" s="104" t="str">
        <f>IFERROR(RIGHT(BT2,LEN(BT2)-SEARCH(" ",BT2)),"")</f>
        <v>Filip Forman</v>
      </c>
      <c r="BW2" s="102">
        <f>IF(BT2&lt;&gt;0,_xlfn.NUMBERVALUE(BU2,","),"")</f>
        <v>18</v>
      </c>
      <c r="BX2" s="329" t="s">
        <v>214</v>
      </c>
      <c r="BY2" s="103" t="s">
        <v>210</v>
      </c>
      <c r="BZ2" s="103" t="s">
        <v>985</v>
      </c>
      <c r="CA2" s="115" t="s">
        <v>992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572</v>
      </c>
      <c r="T3" s="102" t="s">
        <v>121</v>
      </c>
      <c r="U3" s="102">
        <v>5</v>
      </c>
      <c r="V3" s="102">
        <v>12</v>
      </c>
      <c r="W3" s="102">
        <v>1</v>
      </c>
      <c r="X3" s="102">
        <v>0</v>
      </c>
      <c r="Y3" s="102">
        <v>4</v>
      </c>
      <c r="Z3" s="102">
        <v>16</v>
      </c>
      <c r="AA3" s="102">
        <v>2</v>
      </c>
      <c r="AB3" s="102">
        <v>19</v>
      </c>
      <c r="AC3" s="102" t="str">
        <f t="shared" ca="1" si="0"/>
        <v>NE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2 OZ, 0 (0+0), -3 ±</v>
      </c>
      <c r="AY3" s="129" t="str">
        <f t="shared" ca="1" si="2"/>
        <v>99 OZ, 61 (35+26)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611</v>
      </c>
      <c r="BO3" s="122">
        <v>33849</v>
      </c>
      <c r="BP3" s="131" t="s">
        <v>260</v>
      </c>
      <c r="BQ3" s="132" t="s">
        <v>612</v>
      </c>
      <c r="BR3" s="127">
        <f t="shared" ref="BR3:BR11" ca="1" si="12">IF(BN3&lt;&gt;"",IF(BO3&lt;&gt;"",INT((TODAY()-BO3)/365),"?"),"")</f>
        <v>29</v>
      </c>
      <c r="BS3" s="330"/>
      <c r="BT3" s="104" t="s">
        <v>896</v>
      </c>
      <c r="BU3" s="103">
        <v>16</v>
      </c>
      <c r="BV3" s="104" t="str">
        <f t="shared" ref="BV3:BV31" si="13">IFERROR(RIGHT(BT3,LEN(BT3)-SEARCH(" ",BT3)),"")</f>
        <v>Karel Petrák</v>
      </c>
      <c r="BW3" s="102">
        <f t="shared" ref="BW3:BW31" si="14">IF(BT3&lt;&gt;0,_xlfn.NUMBERVALUE(BU3,","),"")</f>
        <v>16</v>
      </c>
      <c r="BX3" s="329"/>
      <c r="BY3" s="103" t="s">
        <v>266</v>
      </c>
      <c r="BZ3" s="103" t="s">
        <v>986</v>
      </c>
      <c r="CA3" s="115" t="s">
        <v>993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573</v>
      </c>
      <c r="U4" s="102">
        <v>5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2</v>
      </c>
      <c r="AB4" s="102">
        <v>18</v>
      </c>
      <c r="AC4" s="102" t="str">
        <f t="shared" ca="1" si="0"/>
        <v>ANO</v>
      </c>
      <c r="AG4" s="121" t="s">
        <v>585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602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5 OZ, 1 (1+0), -2 ±</v>
      </c>
      <c r="AY4" s="129" t="str">
        <f t="shared" ca="1" si="2"/>
        <v>248 OZ, 136 (70+66)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613</v>
      </c>
      <c r="BO4" s="122">
        <v>28301</v>
      </c>
      <c r="BP4" s="131" t="s">
        <v>260</v>
      </c>
      <c r="BQ4" s="132"/>
      <c r="BR4" s="127">
        <f t="shared" ca="1" si="12"/>
        <v>44</v>
      </c>
      <c r="BS4" s="330"/>
      <c r="BT4" s="104" t="s">
        <v>995</v>
      </c>
      <c r="BU4" s="103">
        <v>12</v>
      </c>
      <c r="BV4" s="104" t="str">
        <f t="shared" si="13"/>
        <v>Jakub Buršík</v>
      </c>
      <c r="BW4" s="102">
        <f t="shared" si="14"/>
        <v>12</v>
      </c>
      <c r="BX4" s="329"/>
      <c r="BY4" s="103" t="s">
        <v>882</v>
      </c>
      <c r="BZ4" s="103" t="s">
        <v>987</v>
      </c>
      <c r="CA4" s="115" t="s">
        <v>891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575</v>
      </c>
      <c r="U5" s="102">
        <v>5</v>
      </c>
      <c r="V5" s="102">
        <v>3</v>
      </c>
      <c r="W5" s="102">
        <v>2</v>
      </c>
      <c r="X5" s="102">
        <v>0</v>
      </c>
      <c r="Y5" s="102">
        <v>3</v>
      </c>
      <c r="Z5" s="102">
        <v>6</v>
      </c>
      <c r="AA5" s="102">
        <v>6</v>
      </c>
      <c r="AB5" s="102">
        <v>17</v>
      </c>
      <c r="AC5" s="102" t="str">
        <f t="shared" ca="1" si="0"/>
        <v>ANO</v>
      </c>
      <c r="AG5" s="121" t="s">
        <v>589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151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2 OZ, 2 (0+2), 0 ±</v>
      </c>
      <c r="AY5" s="129" t="str">
        <f t="shared" ca="1" si="2"/>
        <v>107 OZ, 33 (16+17)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614</v>
      </c>
      <c r="BO5" s="122">
        <v>24059</v>
      </c>
      <c r="BP5" s="131" t="s">
        <v>390</v>
      </c>
      <c r="BQ5" s="132"/>
      <c r="BR5" s="127">
        <f t="shared" ca="1" si="12"/>
        <v>55</v>
      </c>
      <c r="BS5" s="330"/>
      <c r="BT5" s="104" t="s">
        <v>893</v>
      </c>
      <c r="BU5" s="103">
        <v>6</v>
      </c>
      <c r="BV5" s="104" t="str">
        <f t="shared" si="13"/>
        <v>Jan Malič</v>
      </c>
      <c r="BW5" s="102">
        <f t="shared" si="14"/>
        <v>6</v>
      </c>
      <c r="BX5" s="329"/>
      <c r="BY5" s="103" t="s">
        <v>207</v>
      </c>
      <c r="BZ5" s="103" t="s">
        <v>988</v>
      </c>
      <c r="CA5" s="115" t="s">
        <v>828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576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17</v>
      </c>
      <c r="AC6" s="102" t="str">
        <f t="shared" ca="1" si="0"/>
        <v>ANO</v>
      </c>
      <c r="AG6" s="121" t="s">
        <v>584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603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5 OZ, 0 (0+0), -8 ±</v>
      </c>
      <c r="AY6" s="129" t="str">
        <f t="shared" ca="1" si="2"/>
        <v>194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615</v>
      </c>
      <c r="BO6" s="122">
        <v>33657</v>
      </c>
      <c r="BP6" s="131" t="s">
        <v>447</v>
      </c>
      <c r="BQ6" s="132"/>
      <c r="BR6" s="127">
        <f t="shared" ca="1" si="12"/>
        <v>29</v>
      </c>
      <c r="BS6" s="330"/>
      <c r="BT6" s="104" t="s">
        <v>996</v>
      </c>
      <c r="BU6" s="103">
        <v>4</v>
      </c>
      <c r="BV6" s="104" t="str">
        <f t="shared" si="13"/>
        <v>Patrik Šebek</v>
      </c>
      <c r="BW6" s="102">
        <f t="shared" si="14"/>
        <v>4</v>
      </c>
      <c r="BX6" s="329"/>
      <c r="BY6" s="103" t="s">
        <v>265</v>
      </c>
      <c r="BZ6" s="103" t="s">
        <v>962</v>
      </c>
      <c r="CA6" s="115" t="s">
        <v>621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598</v>
      </c>
      <c r="T7" s="102" t="s">
        <v>64</v>
      </c>
      <c r="U7" s="102">
        <v>2</v>
      </c>
      <c r="V7" s="102">
        <v>2</v>
      </c>
      <c r="W7" s="102">
        <v>0</v>
      </c>
      <c r="X7" s="102">
        <v>0</v>
      </c>
      <c r="Y7" s="102">
        <v>0</v>
      </c>
      <c r="Z7" s="102">
        <v>2</v>
      </c>
      <c r="AA7" s="102">
        <v>0</v>
      </c>
      <c r="AB7" s="102">
        <v>2</v>
      </c>
      <c r="AC7" s="102" t="str">
        <f t="shared" ca="1" si="0"/>
        <v>ANO</v>
      </c>
      <c r="AG7" s="121" t="s">
        <v>590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153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618</v>
      </c>
      <c r="BU7" s="103" t="s">
        <v>997</v>
      </c>
      <c r="BV7" s="104" t="str">
        <f t="shared" si="13"/>
        <v>Radovan Michajlovič</v>
      </c>
      <c r="BW7" s="112">
        <f t="shared" si="14"/>
        <v>4.32</v>
      </c>
      <c r="BX7" s="329" t="s">
        <v>215</v>
      </c>
      <c r="BY7" s="103" t="s">
        <v>267</v>
      </c>
      <c r="BZ7" s="103" t="s">
        <v>963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98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577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-7</v>
      </c>
      <c r="AC8" s="102" t="str">
        <f t="shared" ca="1" si="0"/>
        <v>ANO</v>
      </c>
      <c r="AG8" s="121" t="s">
        <v>574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5 OZ, 18 (6+12), +17 ±</v>
      </c>
      <c r="AY8" s="129" t="str">
        <f t="shared" ca="1" si="2"/>
        <v>147 OZ, 98 (41+57)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619</v>
      </c>
      <c r="BU8" s="103" t="s">
        <v>998</v>
      </c>
      <c r="BV8" s="104" t="str">
        <f t="shared" si="13"/>
        <v>Tomáš Hyršl</v>
      </c>
      <c r="BW8" s="112">
        <f t="shared" si="14"/>
        <v>6.94</v>
      </c>
      <c r="BX8" s="329"/>
      <c r="BY8" s="103" t="s">
        <v>816</v>
      </c>
      <c r="BZ8" s="103" t="s">
        <v>983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578</v>
      </c>
      <c r="U9" s="102">
        <v>3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0</v>
      </c>
      <c r="AB9" s="102">
        <v>-2</v>
      </c>
      <c r="AC9" s="102" t="str">
        <f t="shared" ca="1" si="0"/>
        <v>NE</v>
      </c>
      <c r="AG9" s="121" t="s">
        <v>591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V9" s="104" t="str">
        <f t="shared" si="13"/>
        <v/>
      </c>
      <c r="BW9" s="112" t="str">
        <f t="shared" si="14"/>
        <v/>
      </c>
      <c r="BX9" s="329"/>
      <c r="BY9" s="103" t="s">
        <v>874</v>
      </c>
      <c r="BZ9" s="103" t="s">
        <v>982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589</v>
      </c>
      <c r="U10" s="102">
        <v>2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0</v>
      </c>
      <c r="AC10" s="102" t="str">
        <f t="shared" ca="1" si="0"/>
        <v>ANO</v>
      </c>
      <c r="AG10" s="121" t="s">
        <v>579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1 V, 1 P</v>
      </c>
      <c r="AY10" s="129" t="str">
        <f t="shared" ca="1" si="2"/>
        <v>28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965</v>
      </c>
      <c r="BZ10" s="103" t="s">
        <v>961</v>
      </c>
      <c r="CA10" s="115" t="s">
        <v>208</v>
      </c>
    </row>
    <row r="11" spans="1:79" ht="15" customHeight="1" thickTop="1" thickBot="1" x14ac:dyDescent="0.25">
      <c r="R11" s="13"/>
      <c r="S11" s="110" t="s">
        <v>582</v>
      </c>
      <c r="U11" s="102">
        <v>5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-3</v>
      </c>
      <c r="AC11" s="102" t="str">
        <f t="shared" ca="1" si="0"/>
        <v>ANO</v>
      </c>
      <c r="AG11" s="121" t="s">
        <v>592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275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967</v>
      </c>
      <c r="BZ11" s="103" t="s">
        <v>960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586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-4</v>
      </c>
      <c r="AC12" s="102" t="str">
        <f t="shared" ca="1" si="0"/>
        <v>NE</v>
      </c>
      <c r="AG12" s="121" t="s">
        <v>593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151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616</v>
      </c>
      <c r="BU12" s="103">
        <v>12</v>
      </c>
      <c r="BV12" s="104" t="str">
        <f t="shared" si="13"/>
        <v>Karel Petrák</v>
      </c>
      <c r="BW12" s="102">
        <f t="shared" si="14"/>
        <v>12</v>
      </c>
      <c r="BX12" s="120" t="s">
        <v>213</v>
      </c>
      <c r="BY12" s="100" t="s">
        <v>994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585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118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151</v>
      </c>
      <c r="AQ13" s="123">
        <v>191</v>
      </c>
      <c r="AR13" s="123">
        <v>78</v>
      </c>
      <c r="AS13" s="126" t="s">
        <v>275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617</v>
      </c>
      <c r="BU13" s="103">
        <v>7</v>
      </c>
      <c r="BV13" s="104" t="str">
        <f t="shared" si="13"/>
        <v>Jakub Buršík</v>
      </c>
      <c r="BW13" s="102">
        <f t="shared" si="14"/>
        <v>7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482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-9</v>
      </c>
      <c r="AC14" s="102" t="str">
        <f t="shared" ca="1" si="0"/>
        <v>NE</v>
      </c>
      <c r="AG14" s="121" t="s">
        <v>582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5 OZ, 2 (0+2), -3 ±</v>
      </c>
      <c r="AY14" s="129" t="str">
        <f t="shared" ca="1" si="2"/>
        <v>25 OZ, 4 (2+2)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892</v>
      </c>
      <c r="BU14" s="103">
        <v>6</v>
      </c>
      <c r="BV14" s="104" t="str">
        <f t="shared" si="13"/>
        <v>Filip Forman</v>
      </c>
      <c r="BW14" s="102">
        <f t="shared" si="14"/>
        <v>6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826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594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151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893</v>
      </c>
      <c r="BU15" s="103">
        <v>3</v>
      </c>
      <c r="BV15" s="104" t="str">
        <f t="shared" si="13"/>
        <v>Jan Malič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580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595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151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894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827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588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5 OZ, 0 (0+0), -7 ±</v>
      </c>
      <c r="AY17" s="129" t="str">
        <f t="shared" ca="1" si="2"/>
        <v>183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618</v>
      </c>
      <c r="BU17" s="103">
        <v>3</v>
      </c>
      <c r="BV17" s="104" t="str">
        <f t="shared" si="13"/>
        <v>Radovan Michajlovič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3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575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151</v>
      </c>
      <c r="AQ18" s="123">
        <v>175</v>
      </c>
      <c r="AR18" s="123">
        <v>65</v>
      </c>
      <c r="AS18" s="126" t="s">
        <v>153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5 OZ, 6 (3+3), +17 ±</v>
      </c>
      <c r="AY18" s="129" t="str">
        <f t="shared" ca="1" si="2"/>
        <v>31 OZ, 37 (16+21)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619</v>
      </c>
      <c r="BU18" s="103">
        <v>1</v>
      </c>
      <c r="BV18" s="104" t="str">
        <f t="shared" si="13"/>
        <v>Tomáš Hyršl</v>
      </c>
      <c r="BW18" s="102">
        <f t="shared" si="14"/>
        <v>1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BOH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705</v>
      </c>
      <c r="T19" s="102" t="s">
        <v>64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581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604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3 V, 1 P</v>
      </c>
      <c r="AY19" s="129" t="str">
        <f t="shared" ca="1" si="2"/>
        <v>199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583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NE</v>
      </c>
      <c r="AG20" s="121" t="s">
        <v>596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151</v>
      </c>
      <c r="AQ20" s="123"/>
      <c r="AR20" s="123"/>
      <c r="AS20" s="126" t="s">
        <v>605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588</v>
      </c>
      <c r="T21" s="102" t="s">
        <v>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-7</v>
      </c>
      <c r="AC21" s="102" t="str">
        <f t="shared" ca="1" si="0"/>
        <v>ANO</v>
      </c>
      <c r="AG21" s="121" t="s">
        <v>399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319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584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-8</v>
      </c>
      <c r="AC22" s="102" t="str">
        <f t="shared" ca="1" si="0"/>
        <v>ANO</v>
      </c>
      <c r="AG22" s="121" t="s">
        <v>412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151</v>
      </c>
      <c r="AQ22" s="123">
        <v>187</v>
      </c>
      <c r="AR22" s="123">
        <v>73</v>
      </c>
      <c r="AS22" s="126" t="s">
        <v>155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620</v>
      </c>
      <c r="BU22" s="103">
        <v>12</v>
      </c>
      <c r="BV22" s="104" t="str">
        <f t="shared" si="13"/>
        <v>Filip Forman</v>
      </c>
      <c r="BW22" s="102">
        <f t="shared" si="14"/>
        <v>12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577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606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5 OZ, 2 (2+0), -7 ±</v>
      </c>
      <c r="AY23" s="129" t="str">
        <f t="shared" ca="1" si="2"/>
        <v>215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617</v>
      </c>
      <c r="BU23" s="103">
        <v>5</v>
      </c>
      <c r="BV23" s="104" t="str">
        <f t="shared" si="13"/>
        <v>Jakub Buršík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0" t="s">
        <v>581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597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321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829</v>
      </c>
      <c r="BU24" s="103">
        <v>4</v>
      </c>
      <c r="BV24" s="104" t="str">
        <f t="shared" si="13"/>
        <v>Karel Petrák</v>
      </c>
      <c r="BW24" s="102">
        <f t="shared" si="14"/>
        <v>4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0" t="s">
        <v>587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-7</v>
      </c>
      <c r="AC25" s="102" t="str">
        <f t="shared" ca="1" si="0"/>
        <v>NE</v>
      </c>
      <c r="AG25" s="121" t="s">
        <v>576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5 OZ, 4 (2+2), +17 ±</v>
      </c>
      <c r="AY25" s="129" t="str">
        <f t="shared" ca="1" si="16"/>
        <v>100 OZ, 98 (49+49)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893</v>
      </c>
      <c r="BU25" s="103">
        <v>3</v>
      </c>
      <c r="BV25" s="104" t="str">
        <f t="shared" si="13"/>
        <v>Jan Malič</v>
      </c>
      <c r="BW25" s="102">
        <f t="shared" si="14"/>
        <v>3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598</v>
      </c>
      <c r="AH26" s="122"/>
      <c r="AI26" s="123"/>
      <c r="AJ26" s="123"/>
      <c r="AK26" s="123"/>
      <c r="AL26" s="124">
        <f>IF(AG26&lt;&gt;"",AJ26+AK26,"")</f>
        <v>0</v>
      </c>
      <c r="AM26" s="123" t="s">
        <v>307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2 OZ, 2 (2+0), +2 ±</v>
      </c>
      <c r="AY26" s="129" t="str">
        <f t="shared" ca="1" si="16"/>
        <v>2 OZ, 2 (2+0)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999</v>
      </c>
      <c r="BU26" s="103">
        <v>2</v>
      </c>
      <c r="BV26" s="104" t="str">
        <f t="shared" si="13"/>
        <v>Jan Dobisík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 t="s">
        <v>599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151</v>
      </c>
      <c r="AQ27" s="123">
        <v>180</v>
      </c>
      <c r="AR27" s="123">
        <v>71</v>
      </c>
      <c r="AS27" s="126" t="s">
        <v>607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0" t="s">
        <v>39</v>
      </c>
      <c r="BT27" s="104" t="s">
        <v>895</v>
      </c>
      <c r="BU27" s="103">
        <v>6</v>
      </c>
      <c r="BV27" s="104" t="str">
        <f t="shared" si="13"/>
        <v>Jan Malič</v>
      </c>
      <c r="BW27" s="102">
        <f t="shared" si="14"/>
        <v>6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600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159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0"/>
      <c r="BT28" s="104" t="s">
        <v>1000</v>
      </c>
      <c r="BU28" s="103">
        <v>4</v>
      </c>
      <c r="BV28" s="104" t="str">
        <f t="shared" si="13"/>
        <v>Vojtěch Bílek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 t="s">
        <v>601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0"/>
      <c r="BT29" s="104" t="s">
        <v>995</v>
      </c>
      <c r="BU29" s="103">
        <v>2</v>
      </c>
      <c r="BV29" s="104" t="str">
        <f t="shared" si="13"/>
        <v>Jakub Buršík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BOH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 t="s">
        <v>580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168</v>
      </c>
      <c r="AP30" s="125" t="s">
        <v>151</v>
      </c>
      <c r="AQ30" s="123">
        <v>186</v>
      </c>
      <c r="AR30" s="123">
        <v>88</v>
      </c>
      <c r="AS30" s="126" t="s">
        <v>608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0"/>
      <c r="BT30" s="104" t="s">
        <v>1001</v>
      </c>
      <c r="BU30" s="103">
        <v>2</v>
      </c>
      <c r="BV30" s="104" t="str">
        <f t="shared" si="13"/>
        <v>Karel Petrák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1002</v>
      </c>
      <c r="BU31" s="103">
        <v>2</v>
      </c>
      <c r="BV31" s="104" t="str">
        <f t="shared" si="13"/>
        <v>Marek Ďopan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581</v>
      </c>
      <c r="T45" s="102">
        <v>4</v>
      </c>
      <c r="U45" s="112">
        <v>222.17</v>
      </c>
      <c r="V45" s="102">
        <v>3</v>
      </c>
      <c r="W45" s="102">
        <v>16</v>
      </c>
      <c r="X45" s="102">
        <v>0</v>
      </c>
      <c r="Y45" s="102">
        <v>87</v>
      </c>
      <c r="Z45" s="102">
        <v>0</v>
      </c>
      <c r="AA45" s="102">
        <v>1</v>
      </c>
      <c r="AB45" s="102">
        <v>71</v>
      </c>
      <c r="AC45" s="102">
        <v>0</v>
      </c>
      <c r="AD45" s="102">
        <v>0</v>
      </c>
      <c r="AE45" s="112">
        <f>IF(S45&lt;&gt;"",IF(T45&gt;0,W45/(U45/60),0),"")</f>
        <v>4.3210154386280779</v>
      </c>
      <c r="AF45" s="112">
        <f>IF(S45&lt;&gt;"",IF(Y45&gt;0,(AB45/Y45)*100,"-"),"")</f>
        <v>81.609195402298852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579</v>
      </c>
      <c r="T46" s="102">
        <v>2</v>
      </c>
      <c r="U46" s="112">
        <v>77.83</v>
      </c>
      <c r="V46" s="102">
        <v>1</v>
      </c>
      <c r="W46" s="102">
        <v>9</v>
      </c>
      <c r="X46" s="102">
        <v>0</v>
      </c>
      <c r="Y46" s="102">
        <v>32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3">IF(S46&lt;&gt;"",IF(T46&gt;0,W46/(U46/60),0),"")</f>
        <v>6.9381986380573046</v>
      </c>
      <c r="AF46" s="112">
        <f t="shared" ref="AF46:AF50" si="24">IF(S46&lt;&gt;"",IF(Y46&gt;0,(AB46/Y46)*100,"-"),"")</f>
        <v>71.875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 t="s">
        <v>684</v>
      </c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376" t="s">
        <v>1</v>
      </c>
      <c r="I1" s="376"/>
      <c r="J1" s="376"/>
      <c r="K1" s="376"/>
      <c r="M1" s="342" t="s">
        <v>683</v>
      </c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35">
        <f ca="1">IFERROR(IF(VLOOKUP(A1,OFFSET($AG$2,,,COUNTIF($AG$2:$AG$50,"?*"),23),2,FALSE)&lt;&gt;0,YEAR(VLOOKUP(A1,OFFSET($AG$2,,,COUNTIF($AG$2:$AG$50,"?*"),23),2,FALSE)),""),"")</f>
        <v>1988</v>
      </c>
      <c r="C2" s="336"/>
      <c r="D2" s="117">
        <f ca="1">IFERROR(VLOOKUP(A1,OFFSET($AG$2,,,COUNTIF($AG$2:$AG$50,"?*"),23),15,FALSE),"")</f>
        <v>33</v>
      </c>
      <c r="E2" s="337" t="str">
        <f ca="1">IFERROR(VLOOKUP(A1,OFFSET($AG$2,,,COUNTIF($AG$2:$AG$50,"?*"),23),16,FALSE),"")</f>
        <v>200/99</v>
      </c>
      <c r="F2" s="338"/>
      <c r="M2" s="4" t="str">
        <f ca="1">IFERROR(IF(VLOOKUP(M1,OFFSET($AG$2,,,COUNTIF($AG$2:$AG$50,"?*"),23),10,FALSE)&lt;&gt;0,VLOOKUP(M1,OFFSET($AG$2,,,COUNTIF($AG$2:$AG$50,"?*"),23),10,FALSE),""),"")</f>
        <v>L</v>
      </c>
      <c r="N2" s="335">
        <f ca="1">IFERROR(IF(VLOOKUP(M1,OFFSET($AG$2,,,COUNTIF($AG$2:$AG$50,"?*"),23),2,FALSE)&lt;&gt;0,YEAR(VLOOKUP(M1,OFFSET($AG$2,,,COUNTIF($AG$2:$AG$50,"?*"),23),2,FALSE)),""),"")</f>
        <v>2003</v>
      </c>
      <c r="O2" s="336"/>
      <c r="P2" s="117">
        <f ca="1">IFERROR(VLOOKUP(M1,OFFSET($AG$2,,,COUNTIF($AG$2:$AG$50,"?*"),23),15,FALSE),"")</f>
        <v>17</v>
      </c>
      <c r="Q2" s="337" t="str">
        <f ca="1">IFERROR(VLOOKUP(M1,OFFSET($AG$2,,,COUNTIF($AG$2:$AG$50,"?*"),23),16,FALSE),"")</f>
        <v>175/70</v>
      </c>
      <c r="R2" s="338"/>
      <c r="S2" s="110" t="s">
        <v>682</v>
      </c>
      <c r="T2" s="102" t="s">
        <v>121</v>
      </c>
      <c r="U2" s="102">
        <v>6</v>
      </c>
      <c r="V2" s="102">
        <v>6</v>
      </c>
      <c r="W2" s="102">
        <v>0</v>
      </c>
      <c r="X2" s="102">
        <v>1</v>
      </c>
      <c r="Y2" s="102">
        <v>4</v>
      </c>
      <c r="Z2" s="102">
        <v>10</v>
      </c>
      <c r="AA2" s="102">
        <v>6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694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438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719</v>
      </c>
      <c r="BO2" s="122">
        <v>31211</v>
      </c>
      <c r="BP2" s="131" t="s">
        <v>193</v>
      </c>
      <c r="BQ2" s="132"/>
      <c r="BR2" s="127">
        <f ca="1">IF(BN2&lt;&gt;"",IF(BO2&lt;&gt;"",INT((TODAY()-BO2)/365),"?"),"")</f>
        <v>36</v>
      </c>
      <c r="BS2" s="330" t="s">
        <v>36</v>
      </c>
      <c r="BT2" s="104" t="s">
        <v>723</v>
      </c>
      <c r="BU2" s="103">
        <v>10</v>
      </c>
      <c r="BV2" s="104" t="str">
        <f>IFERROR(RIGHT(BT2,LEN(BT2)-SEARCH(" ",BT2)),"")</f>
        <v>Radek Krajcigr</v>
      </c>
      <c r="BW2" s="102">
        <f>IF(BT2&lt;&gt;0,_xlfn.NUMBERVALUE(BU2,","),"")</f>
        <v>10</v>
      </c>
      <c r="BX2" s="329" t="s">
        <v>214</v>
      </c>
      <c r="BY2" s="103" t="s">
        <v>1237</v>
      </c>
      <c r="BZ2" s="103" t="s">
        <v>959</v>
      </c>
      <c r="CA2" s="115" t="s">
        <v>865</v>
      </c>
    </row>
    <row r="3" spans="1:79" ht="15" customHeight="1" thickTop="1" thickBot="1" x14ac:dyDescent="0.25">
      <c r="A3" s="371" t="str">
        <f ca="1">IFERROR(VLOOKUP(A1,OFFSET($AG$2,,,COUNTIF($AG$2:$AG$50,"?*"),23),18,FALSE),"")</f>
        <v>6 OZ, 6 (3+3), -11 ±</v>
      </c>
      <c r="B3" s="372"/>
      <c r="C3" s="372"/>
      <c r="D3" s="373" t="str">
        <f ca="1">IFERROR(VLOOKUP(A1,OFFSET($AG$2,,,COUNTIF($AG$2:$AG$50,"?*"),23),19,FALSE),"")</f>
        <v>313 OZ, 299 (179+120)</v>
      </c>
      <c r="E3" s="373"/>
      <c r="F3" s="374"/>
      <c r="G3" s="342" t="s">
        <v>682</v>
      </c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371" t="str">
        <f ca="1">IFERROR(VLOOKUP(M1,OFFSET($AG$2,,,COUNTIF($AG$2:$AG$50,"?*"),23),18,FALSE),"")</f>
        <v>6 OZ, 7 (6+1), -5 ±</v>
      </c>
      <c r="N3" s="372"/>
      <c r="O3" s="372"/>
      <c r="P3" s="373" t="str">
        <f ca="1">IFERROR(VLOOKUP(M1,OFFSET($AG$2,,,COUNTIF($AG$2:$AG$50,"?*"),23),19,FALSE),"")</f>
        <v>30 OZ, 28 (20+8)</v>
      </c>
      <c r="Q3" s="373"/>
      <c r="R3" s="374"/>
      <c r="S3" s="110" t="s">
        <v>426</v>
      </c>
      <c r="T3" s="102" t="s">
        <v>64</v>
      </c>
      <c r="U3" s="102">
        <v>6</v>
      </c>
      <c r="V3" s="102">
        <v>3</v>
      </c>
      <c r="W3" s="102">
        <v>0</v>
      </c>
      <c r="X3" s="102">
        <v>0</v>
      </c>
      <c r="Y3" s="102">
        <v>5</v>
      </c>
      <c r="Z3" s="102">
        <v>8</v>
      </c>
      <c r="AA3" s="102">
        <v>6</v>
      </c>
      <c r="AB3" s="102">
        <v>-10</v>
      </c>
      <c r="AC3" s="102" t="str">
        <f t="shared" ca="1" si="0"/>
        <v>ANO</v>
      </c>
      <c r="AG3" s="121" t="s">
        <v>699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243</v>
      </c>
      <c r="AQ3" s="123">
        <v>186</v>
      </c>
      <c r="AR3" s="123">
        <v>94</v>
      </c>
      <c r="AS3" s="126" t="s">
        <v>709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720</v>
      </c>
      <c r="BO3" s="122">
        <v>30597</v>
      </c>
      <c r="BP3" s="131" t="s">
        <v>260</v>
      </c>
      <c r="BQ3" s="132"/>
      <c r="BR3" s="127">
        <f t="shared" ref="BR3:BR11" ca="1" si="12">IF(BN3&lt;&gt;"",IF(BO3&lt;&gt;"",INT((TODAY()-BO3)/365),"?"),"")</f>
        <v>38</v>
      </c>
      <c r="BS3" s="330"/>
      <c r="BT3" s="104" t="s">
        <v>1009</v>
      </c>
      <c r="BU3" s="103">
        <v>8</v>
      </c>
      <c r="BV3" s="104" t="str">
        <f t="shared" ref="BV3:BV31" si="13">IFERROR(RIGHT(BT3,LEN(BT3)-SEARCH(" ",BT3)),"")</f>
        <v>Milan Tichý</v>
      </c>
      <c r="BW3" s="102">
        <f t="shared" ref="BW3:BW31" si="14">IF(BT3&lt;&gt;0,_xlfn.NUMBERVALUE(BU3,","),"")</f>
        <v>8</v>
      </c>
      <c r="BX3" s="329"/>
      <c r="BY3" s="103" t="s">
        <v>210</v>
      </c>
      <c r="BZ3" s="103" t="s">
        <v>987</v>
      </c>
      <c r="CA3" s="115" t="s">
        <v>113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>FbK Sokol Mladá Boleslav</v>
      </c>
      <c r="B4" s="360"/>
      <c r="C4" s="361"/>
      <c r="D4" s="362">
        <f ca="1">IFERROR(IF(VLOOKUP(A1,OFFSET($AG$2,,,COUNTIF($AG$2:$AG$50,"?*"),23),14,FALSE)&lt;&gt;0,VLOOKUP(A1,OFFSET($AG$2,,,COUNTIF($AG$2:$AG$50,"?*"),23),14,FALSE),"?"),"")</f>
        <v>2007</v>
      </c>
      <c r="E4" s="363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5">
        <f ca="1">IFERROR(IF(VLOOKUP(G3,OFFSET($AG$2,,,COUNTIF($AG$2:$AG$50,"?*"),23),2,FALSE)&lt;&gt;0,YEAR(VLOOKUP(G3,OFFSET($AG$2,,,COUNTIF($AG$2:$AG$50,"?*"),23),2,FALSE)),""),"")</f>
        <v>1993</v>
      </c>
      <c r="I4" s="336"/>
      <c r="J4" s="117">
        <f ca="1">IFERROR(VLOOKUP(G3,OFFSET($AG$2,,,COUNTIF($AG$2:$AG$50,"?*"),23),15,FALSE),"")</f>
        <v>28</v>
      </c>
      <c r="K4" s="337" t="str">
        <f ca="1">IFERROR(VLOOKUP(G3,OFFSET($AG$2,,,COUNTIF($AG$2:$AG$50,"?*"),23),16,FALSE),"")</f>
        <v>186/82</v>
      </c>
      <c r="L4" s="338"/>
      <c r="M4" s="359" t="str">
        <f ca="1">IFERROR(IF(VLOOKUP(M1,OFFSET($AG$2,,,COUNTIF($AG$2:$AG$50,"?*"),23),13,FALSE)&lt;&gt;0,VLOOKUP(M1,OFFSET($AG$2,,,COUNTIF($AG$2:$AG$50,"?*"),23),13,FALSE),"?"),"")</f>
        <v>FBC Česká Lípa</v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>-</v>
      </c>
      <c r="Q4" s="363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683</v>
      </c>
      <c r="T4" s="102" t="s">
        <v>121</v>
      </c>
      <c r="U4" s="102">
        <v>6</v>
      </c>
      <c r="V4" s="102">
        <v>6</v>
      </c>
      <c r="W4" s="102">
        <v>0</v>
      </c>
      <c r="X4" s="102">
        <v>0</v>
      </c>
      <c r="Y4" s="102">
        <v>1</v>
      </c>
      <c r="Z4" s="102">
        <v>7</v>
      </c>
      <c r="AA4" s="102">
        <v>2</v>
      </c>
      <c r="AB4" s="102">
        <v>-5</v>
      </c>
      <c r="AC4" s="102" t="str">
        <f t="shared" ca="1" si="0"/>
        <v>ANO</v>
      </c>
      <c r="AG4" s="121" t="s">
        <v>700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243</v>
      </c>
      <c r="AQ4" s="123">
        <v>191</v>
      </c>
      <c r="AR4" s="123">
        <v>84</v>
      </c>
      <c r="AS4" s="126" t="s">
        <v>710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721</v>
      </c>
      <c r="BO4" s="122">
        <v>31784</v>
      </c>
      <c r="BP4" s="131" t="s">
        <v>194</v>
      </c>
      <c r="BQ4" s="132"/>
      <c r="BR4" s="127">
        <f t="shared" ca="1" si="12"/>
        <v>34</v>
      </c>
      <c r="BS4" s="330"/>
      <c r="BT4" s="104" t="s">
        <v>1010</v>
      </c>
      <c r="BU4" s="103">
        <v>7</v>
      </c>
      <c r="BV4" s="104" t="str">
        <f t="shared" si="13"/>
        <v>Ondřej Kopič</v>
      </c>
      <c r="BW4" s="102">
        <f t="shared" si="14"/>
        <v>7</v>
      </c>
      <c r="BX4" s="329"/>
      <c r="BY4" s="103" t="s">
        <v>209</v>
      </c>
      <c r="BZ4" s="103" t="s">
        <v>1003</v>
      </c>
      <c r="CA4" s="115" t="s">
        <v>1004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>6 OZ, 10 (6+4), -1 ±</v>
      </c>
      <c r="H5" s="372"/>
      <c r="I5" s="372"/>
      <c r="J5" s="373" t="str">
        <f ca="1">IFERROR(VLOOKUP(G3,OFFSET($AG$2,,,COUNTIF($AG$2:$AG$50,"?*"),23),19,FALSE),"")</f>
        <v>200 OZ, 337 (240+97)</v>
      </c>
      <c r="K5" s="373"/>
      <c r="L5" s="374"/>
      <c r="S5" s="110" t="s">
        <v>684</v>
      </c>
      <c r="T5" s="102" t="s">
        <v>121</v>
      </c>
      <c r="U5" s="102">
        <v>6</v>
      </c>
      <c r="V5" s="102">
        <v>3</v>
      </c>
      <c r="W5" s="102">
        <v>0</v>
      </c>
      <c r="X5" s="102">
        <v>0</v>
      </c>
      <c r="Y5" s="102">
        <v>3</v>
      </c>
      <c r="Z5" s="102">
        <v>6</v>
      </c>
      <c r="AA5" s="102">
        <v>0</v>
      </c>
      <c r="AB5" s="102">
        <v>-11</v>
      </c>
      <c r="AC5" s="102" t="str">
        <f t="shared" ca="1" si="0"/>
        <v>ANO</v>
      </c>
      <c r="AG5" s="121" t="s">
        <v>685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151</v>
      </c>
      <c r="AQ5" s="123">
        <v>182</v>
      </c>
      <c r="AR5" s="123">
        <v>79</v>
      </c>
      <c r="AS5" s="126" t="s">
        <v>711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6 OZ, 1 (1+0), -11 ±</v>
      </c>
      <c r="AY5" s="129" t="str">
        <f t="shared" ca="1" si="2"/>
        <v>109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722</v>
      </c>
      <c r="BO5" s="122">
        <v>29101</v>
      </c>
      <c r="BP5" s="131" t="s">
        <v>194</v>
      </c>
      <c r="BQ5" s="132"/>
      <c r="BR5" s="127">
        <f t="shared" ca="1" si="12"/>
        <v>42</v>
      </c>
      <c r="BS5" s="330"/>
      <c r="BT5" s="104" t="s">
        <v>1011</v>
      </c>
      <c r="BU5" s="103">
        <v>6</v>
      </c>
      <c r="BV5" s="104" t="str">
        <f t="shared" si="13"/>
        <v>Jaromír Ekl</v>
      </c>
      <c r="BW5" s="102">
        <f t="shared" si="14"/>
        <v>6</v>
      </c>
      <c r="BX5" s="329"/>
      <c r="BY5" s="103" t="s">
        <v>882</v>
      </c>
      <c r="BZ5" s="103" t="s">
        <v>966</v>
      </c>
      <c r="CA5" s="115" t="s">
        <v>897</v>
      </c>
    </row>
    <row r="6" spans="1:79" ht="15" customHeight="1" thickTop="1" thickBot="1" x14ac:dyDescent="0.25">
      <c r="A6" s="342" t="s">
        <v>426</v>
      </c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359" t="str">
        <f ca="1">IFERROR(IF(VLOOKUP(G3,OFFSET($AG$2,,,COUNTIF($AG$2:$AG$50,"?*"),23),13,FALSE)&lt;&gt;0,VLOOKUP(G3,OFFSET($AG$2,,,COUNTIF($AG$2:$AG$50,"?*"),23),13,FALSE),"?"),"")</f>
        <v>Erupting Dragons H. B.</v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>-</v>
      </c>
      <c r="K6" s="363"/>
      <c r="L6" s="7">
        <f ca="1">IFERROR(IF(VLOOKUP(G3,OFFSET($AG$2,,,COUNTIF($AG$2:$AG$50,"?*"),23),7,FALSE)&lt;&gt;0,VLOOKUP(G3,OFFSET($AG$2,,,COUNTIF($AG$2:$AG$50,"?*"),23),7,FALSE),"?"),"")</f>
        <v>10</v>
      </c>
      <c r="M6" s="342" t="s">
        <v>686</v>
      </c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688</v>
      </c>
      <c r="T6" s="102" t="s">
        <v>64</v>
      </c>
      <c r="U6" s="102">
        <v>6</v>
      </c>
      <c r="V6" s="102">
        <v>3</v>
      </c>
      <c r="W6" s="102">
        <v>3</v>
      </c>
      <c r="X6" s="102">
        <v>0</v>
      </c>
      <c r="Y6" s="102">
        <v>2</v>
      </c>
      <c r="Z6" s="102">
        <v>5</v>
      </c>
      <c r="AA6" s="102">
        <v>4</v>
      </c>
      <c r="AB6" s="102">
        <v>-4</v>
      </c>
      <c r="AC6" s="102" t="str">
        <f t="shared" ca="1" si="0"/>
        <v>ANO</v>
      </c>
      <c r="AG6" s="121" t="s">
        <v>684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712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6 OZ, 6 (3+3), -11 ±</v>
      </c>
      <c r="AY6" s="129" t="str">
        <f t="shared" ca="1" si="2"/>
        <v>313 OZ, 299 (179+120)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0"/>
      <c r="BT6" s="104" t="s">
        <v>1012</v>
      </c>
      <c r="BU6" s="103">
        <v>5</v>
      </c>
      <c r="BV6" s="104" t="str">
        <f t="shared" si="13"/>
        <v>Štěpán Slaný</v>
      </c>
      <c r="BW6" s="102">
        <f t="shared" si="14"/>
        <v>5</v>
      </c>
      <c r="BX6" s="329"/>
      <c r="BY6" s="103" t="s">
        <v>207</v>
      </c>
      <c r="BZ6" s="103" t="s">
        <v>961</v>
      </c>
      <c r="CA6" s="115" t="s">
        <v>830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35">
        <f ca="1">IFERROR(IF(VLOOKUP(A6,OFFSET($AG$2,,,COUNTIF($AG$2:$AG$50,"?*"),23),2,FALSE)&lt;&gt;0,YEAR(VLOOKUP(A6,OFFSET($AG$2,,,COUNTIF($AG$2:$AG$50,"?*"),23),2,FALSE)),""),"")</f>
        <v>1993</v>
      </c>
      <c r="C7" s="336"/>
      <c r="D7" s="117">
        <f ca="1">IFERROR(VLOOKUP(A6,OFFSET($AG$2,,,COUNTIF($AG$2:$AG$50,"?*"),23),15,FALSE),"")</f>
        <v>28</v>
      </c>
      <c r="E7" s="337" t="str">
        <f ca="1">IFERROR(VLOOKUP(A6,OFFSET($AG$2,,,COUNTIF($AG$2:$AG$50,"?*"),23),16,FALSE),"")</f>
        <v>192/90</v>
      </c>
      <c r="F7" s="338"/>
      <c r="M7" s="4" t="str">
        <f ca="1">IFERROR(IF(VLOOKUP(M6,OFFSET($AG$2,,,COUNTIF($AG$2:$AG$50,"?*"),23),10,FALSE)&lt;&gt;0,VLOOKUP(M6,OFFSET($AG$2,,,COUNTIF($AG$2:$AG$50,"?*"),23),10,FALSE),""),"")</f>
        <v>P</v>
      </c>
      <c r="N7" s="335">
        <f ca="1">IFERROR(IF(VLOOKUP(M6,OFFSET($AG$2,,,COUNTIF($AG$2:$AG$50,"?*"),23),2,FALSE)&lt;&gt;0,YEAR(VLOOKUP(M6,OFFSET($AG$2,,,COUNTIF($AG$2:$AG$50,"?*"),23),2,FALSE)),""),"")</f>
        <v>1996</v>
      </c>
      <c r="O7" s="336"/>
      <c r="P7" s="117">
        <f ca="1">IFERROR(VLOOKUP(M6,OFFSET($AG$2,,,COUNTIF($AG$2:$AG$50,"?*"),23),15,FALSE),"")</f>
        <v>25</v>
      </c>
      <c r="Q7" s="337" t="str">
        <f ca="1">IFERROR(VLOOKUP(M6,OFFSET($AG$2,,,COUNTIF($AG$2:$AG$50,"?*"),23),16,FALSE),"")</f>
        <v>185/85</v>
      </c>
      <c r="R7" s="338"/>
      <c r="S7" s="110" t="s">
        <v>693</v>
      </c>
      <c r="T7" s="102" t="s">
        <v>64</v>
      </c>
      <c r="U7" s="102">
        <v>6</v>
      </c>
      <c r="V7" s="102">
        <v>2</v>
      </c>
      <c r="W7" s="102">
        <v>0</v>
      </c>
      <c r="X7" s="102">
        <v>0</v>
      </c>
      <c r="Y7" s="102">
        <v>2</v>
      </c>
      <c r="Z7" s="102">
        <v>4</v>
      </c>
      <c r="AA7" s="102">
        <v>2</v>
      </c>
      <c r="AB7" s="102">
        <v>-8</v>
      </c>
      <c r="AC7" s="102" t="str">
        <f t="shared" ca="1" si="0"/>
        <v>ANO</v>
      </c>
      <c r="AG7" s="121" t="s">
        <v>696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941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898</v>
      </c>
      <c r="BU7" s="103" t="s">
        <v>1240</v>
      </c>
      <c r="BV7" s="104" t="str">
        <f t="shared" si="13"/>
        <v>Lukáš Chyna</v>
      </c>
      <c r="BW7" s="112">
        <f t="shared" si="14"/>
        <v>6.47</v>
      </c>
      <c r="BX7" s="329" t="s">
        <v>215</v>
      </c>
      <c r="BY7" s="103" t="s">
        <v>874</v>
      </c>
      <c r="BZ7" s="103" t="s">
        <v>1006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>6 OZ, 8 (3+5), -10 ±</v>
      </c>
      <c r="B8" s="372"/>
      <c r="C8" s="372"/>
      <c r="D8" s="373" t="str">
        <f ca="1">IFERROR(VLOOKUP(A6,OFFSET($AG$2,,,COUNTIF($AG$2:$AG$50,"?*"),23),19,FALSE),"")</f>
        <v>80 OZ, 69 (40+29)</v>
      </c>
      <c r="E8" s="373"/>
      <c r="F8" s="374"/>
      <c r="H8" s="375" t="s">
        <v>102</v>
      </c>
      <c r="I8" s="375"/>
      <c r="J8" s="375"/>
      <c r="K8" s="375"/>
      <c r="M8" s="371" t="str">
        <f ca="1">IFERROR(VLOOKUP(M6,OFFSET($AG$2,,,COUNTIF($AG$2:$AG$50,"?*"),23),18,FALSE),"")</f>
        <v>5 OZ, 4 (0+4), -11 ±</v>
      </c>
      <c r="N8" s="372"/>
      <c r="O8" s="372"/>
      <c r="P8" s="373" t="str">
        <f ca="1">IFERROR(VLOOKUP(M6,OFFSET($AG$2,,,COUNTIF($AG$2:$AG$50,"?*"),23),19,FALSE),"")</f>
        <v>107 OZ, 80 (28+52)</v>
      </c>
      <c r="Q8" s="373"/>
      <c r="R8" s="374"/>
      <c r="S8" s="110" t="s">
        <v>686</v>
      </c>
      <c r="T8" s="102" t="s">
        <v>64</v>
      </c>
      <c r="U8" s="102">
        <v>5</v>
      </c>
      <c r="V8" s="102">
        <v>0</v>
      </c>
      <c r="W8" s="102">
        <v>0</v>
      </c>
      <c r="X8" s="102">
        <v>0</v>
      </c>
      <c r="Y8" s="102">
        <v>4</v>
      </c>
      <c r="Z8" s="102">
        <v>4</v>
      </c>
      <c r="AA8" s="102">
        <v>0</v>
      </c>
      <c r="AB8" s="102">
        <v>-11</v>
      </c>
      <c r="AC8" s="102" t="str">
        <f t="shared" ca="1" si="0"/>
        <v>ANO</v>
      </c>
      <c r="AG8" s="121" t="s">
        <v>697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151</v>
      </c>
      <c r="AQ8" s="123"/>
      <c r="AR8" s="123"/>
      <c r="AS8" s="126" t="s">
        <v>438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3 OZ, 0 (0+0), 0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899</v>
      </c>
      <c r="BU8" s="103" t="s">
        <v>1013</v>
      </c>
      <c r="BV8" s="104" t="str">
        <f t="shared" si="13"/>
        <v>Ivan Ponomarev</v>
      </c>
      <c r="BW8" s="112">
        <f t="shared" si="14"/>
        <v>9.08</v>
      </c>
      <c r="BX8" s="329"/>
      <c r="BY8" s="103" t="s">
        <v>965</v>
      </c>
      <c r="BZ8" s="103" t="s">
        <v>1007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>FBC Česká Lípa</v>
      </c>
      <c r="B9" s="360"/>
      <c r="C9" s="361"/>
      <c r="D9" s="362">
        <f ca="1">IFERROR(IF(VLOOKUP(A6,OFFSET($AG$2,,,COUNTIF($AG$2:$AG$50,"?*"),23),14,FALSE)&lt;&gt;0,VLOOKUP(A6,OFFSET($AG$2,,,COUNTIF($AG$2:$AG$50,"?*"),23),14,FALSE),"?"),"")</f>
        <v>2008</v>
      </c>
      <c r="E9" s="363"/>
      <c r="F9" s="7">
        <f ca="1">IFERROR(IF(VLOOKUP(A6,OFFSET($AG$2,,,COUNTIF($AG$2:$AG$50,"?*"),23),7,FALSE)&lt;&gt;0,VLOOKUP(A6,OFFSET($AG$2,,,COUNTIF($AG$2:$AG$50,"?*"),23),7,FALSE),"?"),"")</f>
        <v>7</v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>FbK Sokol Mladá Boleslav</v>
      </c>
      <c r="N9" s="360"/>
      <c r="O9" s="361"/>
      <c r="P9" s="362">
        <f ca="1">IFERROR(IF(VLOOKUP(M6,OFFSET($AG$2,,,COUNTIF($AG$2:$AG$50,"?*"),23),14,FALSE)&lt;&gt;0,VLOOKUP(M6,OFFSET($AG$2,,,COUNTIF($AG$2:$AG$50,"?*"),23),14,FALSE),"?"),"")</f>
        <v>2007</v>
      </c>
      <c r="Q9" s="363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695</v>
      </c>
      <c r="T9" s="102" t="s">
        <v>121</v>
      </c>
      <c r="U9" s="102">
        <v>6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0</v>
      </c>
      <c r="AB9" s="102">
        <v>-4</v>
      </c>
      <c r="AC9" s="102" t="str">
        <f t="shared" ca="1" si="0"/>
        <v>ANO</v>
      </c>
      <c r="AG9" s="121" t="s">
        <v>701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151</v>
      </c>
      <c r="AQ9" s="123">
        <v>185</v>
      </c>
      <c r="AR9" s="123">
        <v>76</v>
      </c>
      <c r="AS9" s="126" t="s">
        <v>438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V9" s="104" t="str">
        <f t="shared" si="13"/>
        <v/>
      </c>
      <c r="BW9" s="112" t="str">
        <f t="shared" si="14"/>
        <v/>
      </c>
      <c r="BX9" s="329"/>
      <c r="BY9" s="103" t="s">
        <v>967</v>
      </c>
      <c r="BZ9" s="103" t="s">
        <v>985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690</v>
      </c>
      <c r="T10" s="102" t="s">
        <v>121</v>
      </c>
      <c r="U10" s="102">
        <v>5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698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243</v>
      </c>
      <c r="AQ10" s="123">
        <v>181</v>
      </c>
      <c r="AR10" s="123">
        <v>79</v>
      </c>
      <c r="AS10" s="126" t="s">
        <v>438</v>
      </c>
      <c r="AT10" s="123" t="s">
        <v>243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1 V, 3 P</v>
      </c>
      <c r="AY10" s="129" t="str">
        <f t="shared" ca="1" si="2"/>
        <v>47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1008</v>
      </c>
      <c r="BZ10" s="103" t="s">
        <v>956</v>
      </c>
      <c r="CA10" s="115" t="s">
        <v>208</v>
      </c>
    </row>
    <row r="11" spans="1:79" ht="15" customHeight="1" thickTop="1" thickBot="1" x14ac:dyDescent="0.25">
      <c r="R11" s="13"/>
      <c r="S11" s="110" t="s">
        <v>704</v>
      </c>
      <c r="T11" s="102" t="s">
        <v>64</v>
      </c>
      <c r="U11" s="102">
        <v>3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27</v>
      </c>
      <c r="AB11" s="102">
        <v>-7</v>
      </c>
      <c r="AC11" s="102" t="str">
        <f t="shared" ca="1" si="0"/>
        <v>ANO</v>
      </c>
      <c r="AG11" s="121" t="s">
        <v>702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151</v>
      </c>
      <c r="AQ11" s="123">
        <v>186</v>
      </c>
      <c r="AR11" s="123">
        <v>63</v>
      </c>
      <c r="AS11" s="126" t="s">
        <v>709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1238</v>
      </c>
      <c r="BZ11" s="103" t="s">
        <v>1040</v>
      </c>
      <c r="CA11" s="115" t="s">
        <v>208</v>
      </c>
    </row>
    <row r="12" spans="1:79" ht="15" customHeight="1" thickTop="1" thickBot="1" x14ac:dyDescent="0.25">
      <c r="A12" s="342" t="s">
        <v>690</v>
      </c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76" t="s">
        <v>7</v>
      </c>
      <c r="I12" s="376"/>
      <c r="J12" s="376"/>
      <c r="K12" s="376"/>
      <c r="M12" s="342" t="s">
        <v>691</v>
      </c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687</v>
      </c>
      <c r="T12" s="102" t="s">
        <v>121</v>
      </c>
      <c r="U12" s="102">
        <v>6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-7</v>
      </c>
      <c r="AC12" s="102" t="str">
        <f t="shared" ca="1" si="0"/>
        <v>ANO</v>
      </c>
      <c r="AG12" s="121" t="s">
        <v>695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151</v>
      </c>
      <c r="AQ12" s="123">
        <v>186</v>
      </c>
      <c r="AR12" s="123">
        <v>87</v>
      </c>
      <c r="AS12" s="126" t="s">
        <v>438</v>
      </c>
      <c r="AT12" s="123">
        <v>2006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6 OZ, 3 (0+3), -4 ±</v>
      </c>
      <c r="AY12" s="129" t="str">
        <f t="shared" ca="1" si="2"/>
        <v>109 OZ, 79 (25+54)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1241</v>
      </c>
      <c r="BU12" s="103">
        <v>6</v>
      </c>
      <c r="BV12" s="104" t="str">
        <f t="shared" si="13"/>
        <v>Ondřej Kopič</v>
      </c>
      <c r="BW12" s="102">
        <f t="shared" si="14"/>
        <v>6</v>
      </c>
      <c r="BX12" s="120" t="s">
        <v>213</v>
      </c>
      <c r="BY12" s="100" t="s">
        <v>1239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35">
        <f ca="1">IFERROR(IF(VLOOKUP(A12,OFFSET($AG$2,,,COUNTIF($AG$2:$AG$50,"?*"),23),2,FALSE)&lt;&gt;0,YEAR(VLOOKUP(A12,OFFSET($AG$2,,,COUNTIF($AG$2:$AG$50,"?*"),23),2,FALSE)),""),"")</f>
        <v>1997</v>
      </c>
      <c r="C13" s="336"/>
      <c r="D13" s="117">
        <f ca="1">IFERROR(VLOOKUP(A12,OFFSET($AG$2,,,COUNTIF($AG$2:$AG$50,"?*"),23),15,FALSE),"")</f>
        <v>23</v>
      </c>
      <c r="E13" s="337" t="str">
        <f ca="1">IFERROR(VLOOKUP(A12,OFFSET($AG$2,,,COUNTIF($AG$2:$AG$50,"?*"),23),16,FALSE),"")</f>
        <v>185/75</v>
      </c>
      <c r="F13" s="338"/>
      <c r="M13" s="4" t="str">
        <f ca="1">IFERROR(IF(VLOOKUP(M12,OFFSET($AG$2,,,COUNTIF($AG$2:$AG$50,"?*"),23),10,FALSE)&lt;&gt;0,VLOOKUP(M12,OFFSET($AG$2,,,COUNTIF($AG$2:$AG$50,"?*"),23),10,FALSE),""),"")</f>
        <v>L</v>
      </c>
      <c r="N13" s="335">
        <f ca="1">IFERROR(IF(VLOOKUP(M12,OFFSET($AG$2,,,COUNTIF($AG$2:$AG$50,"?*"),23),2,FALSE)&lt;&gt;0,YEAR(VLOOKUP(M12,OFFSET($AG$2,,,COUNTIF($AG$2:$AG$50,"?*"),23),2,FALSE)),""),"")</f>
        <v>2003</v>
      </c>
      <c r="O13" s="336"/>
      <c r="P13" s="117">
        <f ca="1">IFERROR(VLOOKUP(M12,OFFSET($AG$2,,,COUNTIF($AG$2:$AG$50,"?*"),23),15,FALSE),"")</f>
        <v>17</v>
      </c>
      <c r="Q13" s="337" t="str">
        <f ca="1">IFERROR(VLOOKUP(M12,OFFSET($AG$2,,,COUNTIF($AG$2:$AG$50,"?*"),23),16,FALSE),"")</f>
        <v>170/62</v>
      </c>
      <c r="R13" s="338"/>
      <c r="S13" s="110" t="s">
        <v>692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703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151</v>
      </c>
      <c r="AQ13" s="123">
        <v>176</v>
      </c>
      <c r="AR13" s="123">
        <v>80</v>
      </c>
      <c r="AS13" s="126" t="s">
        <v>712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1242</v>
      </c>
      <c r="BU13" s="103">
        <v>6</v>
      </c>
      <c r="BV13" s="104" t="str">
        <f t="shared" si="13"/>
        <v>Radek Krajcigr</v>
      </c>
      <c r="BW13" s="102">
        <f t="shared" si="14"/>
        <v>6</v>
      </c>
    </row>
    <row r="14" spans="1:79" ht="15" customHeight="1" thickTop="1" thickBot="1" x14ac:dyDescent="0.25">
      <c r="A14" s="371" t="str">
        <f ca="1">IFERROR(VLOOKUP(A12,OFFSET($AG$2,,,COUNTIF($AG$2:$AG$50,"?*"),23),18,FALSE),"")</f>
        <v>5 OZ, 2 (2+0), -1 ±</v>
      </c>
      <c r="B14" s="372"/>
      <c r="C14" s="372"/>
      <c r="D14" s="373" t="str">
        <f ca="1">IFERROR(VLOOKUP(A12,OFFSET($AG$2,,,COUNTIF($AG$2:$AG$50,"?*"),23),19,FALSE),"")</f>
        <v>70 OZ, 19 (10+9)</v>
      </c>
      <c r="E14" s="373"/>
      <c r="F14" s="374"/>
      <c r="G14" s="342" t="s">
        <v>695</v>
      </c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371" t="str">
        <f ca="1">IFERROR(VLOOKUP(M12,OFFSET($AG$2,,,COUNTIF($AG$2:$AG$50,"?*"),23),18,FALSE),"")</f>
        <v>5 OZ, 1 (1+0), 0 ±</v>
      </c>
      <c r="N14" s="372"/>
      <c r="O14" s="372"/>
      <c r="P14" s="373" t="str">
        <f ca="1">IFERROR(VLOOKUP(M12,OFFSET($AG$2,,,COUNTIF($AG$2:$AG$50,"?*"),23),19,FALSE),"")</f>
        <v>13 OZ, 1 (1+0)</v>
      </c>
      <c r="Q14" s="373"/>
      <c r="R14" s="374"/>
      <c r="S14" s="110" t="s">
        <v>691</v>
      </c>
      <c r="T14" s="102" t="s">
        <v>121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687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151</v>
      </c>
      <c r="AQ14" s="123">
        <v>186</v>
      </c>
      <c r="AR14" s="123">
        <v>86</v>
      </c>
      <c r="AS14" s="126" t="s">
        <v>438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6 OZ, 2 (0+2), -7 ±</v>
      </c>
      <c r="AY14" s="129" t="str">
        <f t="shared" ca="1" si="2"/>
        <v>97 OZ, 28 (8+20)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1243</v>
      </c>
      <c r="BU14" s="103">
        <v>3</v>
      </c>
      <c r="BV14" s="104" t="str">
        <f t="shared" si="13"/>
        <v>Jaromír Ekl</v>
      </c>
      <c r="BW14" s="102">
        <f t="shared" si="14"/>
        <v>3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>Akademie Zákupy</v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>-</v>
      </c>
      <c r="E15" s="363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5">
        <f ca="1">IFERROR(IF(VLOOKUP(G14,OFFSET($AG$2,,,COUNTIF($AG$2:$AG$50,"?*"),23),2,FALSE)&lt;&gt;0,YEAR(VLOOKUP(G14,OFFSET($AG$2,,,COUNTIF($AG$2:$AG$50,"?*"),23),2,FALSE)),""),"")</f>
        <v>1991</v>
      </c>
      <c r="I15" s="336"/>
      <c r="J15" s="117">
        <f ca="1">IFERROR(VLOOKUP(G14,OFFSET($AG$2,,,COUNTIF($AG$2:$AG$50,"?*"),23),15,FALSE),"")</f>
        <v>29</v>
      </c>
      <c r="K15" s="337" t="str">
        <f ca="1">IFERROR(VLOOKUP(G14,OFFSET($AG$2,,,COUNTIF($AG$2:$AG$50,"?*"),23),16,FALSE),"")</f>
        <v>186/87</v>
      </c>
      <c r="L15" s="338"/>
      <c r="M15" s="359" t="str">
        <f ca="1">IFERROR(IF(VLOOKUP(M12,OFFSET($AG$2,,,COUNTIF($AG$2:$AG$50,"?*"),23),13,FALSE)&lt;&gt;0,VLOOKUP(M12,OFFSET($AG$2,,,COUNTIF($AG$2:$AG$50,"?*"),23),13,FALSE),"?"),"")</f>
        <v>FBC Česká Lípa</v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>-</v>
      </c>
      <c r="Q15" s="363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685</v>
      </c>
      <c r="T15" s="102" t="s">
        <v>121</v>
      </c>
      <c r="U15" s="102">
        <v>6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683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151</v>
      </c>
      <c r="AQ15" s="123">
        <v>175</v>
      </c>
      <c r="AR15" s="123">
        <v>70</v>
      </c>
      <c r="AS15" s="126" t="s">
        <v>438</v>
      </c>
      <c r="AT15" s="123" t="s">
        <v>243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6 OZ, 7 (6+1), -5 ±</v>
      </c>
      <c r="AY15" s="129" t="str">
        <f t="shared" ca="1" si="2"/>
        <v>30 OZ, 28 (20+8)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1244</v>
      </c>
      <c r="BU15" s="103">
        <v>3</v>
      </c>
      <c r="BV15" s="104" t="str">
        <f t="shared" si="13"/>
        <v>Milan Tichý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>6 OZ, 3 (0+3), -4 ±</v>
      </c>
      <c r="H16" s="372"/>
      <c r="I16" s="372"/>
      <c r="J16" s="373" t="str">
        <f ca="1">IFERROR(VLOOKUP(G14,OFFSET($AG$2,,,COUNTIF($AG$2:$AG$50,"?*"),23),19,FALSE),"")</f>
        <v>109 OZ, 79 (25+54)</v>
      </c>
      <c r="K16" s="373"/>
      <c r="L16" s="374"/>
      <c r="S16" s="110" t="s">
        <v>707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1</v>
      </c>
      <c r="AC16" s="102" t="str">
        <f t="shared" ca="1" si="0"/>
        <v>ANO</v>
      </c>
      <c r="AG16" s="121" t="s">
        <v>691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151</v>
      </c>
      <c r="AQ16" s="123">
        <v>170</v>
      </c>
      <c r="AR16" s="123">
        <v>62</v>
      </c>
      <c r="AS16" s="126" t="s">
        <v>438</v>
      </c>
      <c r="AT16" s="123" t="s">
        <v>243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5 OZ, 1 (1+0), 0 ±</v>
      </c>
      <c r="AY16" s="129" t="str">
        <f t="shared" ca="1" si="2"/>
        <v>13 OZ, 1 (1+0)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1012</v>
      </c>
      <c r="BU16" s="103">
        <v>3</v>
      </c>
      <c r="BV16" s="104" t="str">
        <f t="shared" si="13"/>
        <v>Štěpán Slaný</v>
      </c>
      <c r="BW16" s="102">
        <f t="shared" si="14"/>
        <v>3</v>
      </c>
    </row>
    <row r="17" spans="1:75" ht="15" customHeight="1" thickTop="1" thickBot="1" x14ac:dyDescent="0.25">
      <c r="A17" s="342" t="s">
        <v>440</v>
      </c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359" t="str">
        <f ca="1">IFERROR(IF(VLOOKUP(G14,OFFSET($AG$2,,,COUNTIF($AG$2:$AG$50,"?*"),23),13,FALSE)&lt;&gt;0,VLOOKUP(G14,OFFSET($AG$2,,,COUNTIF($AG$2:$AG$50,"?*"),23),13,FALSE),"?"),"")</f>
        <v>FBC Česká Lípa</v>
      </c>
      <c r="H17" s="360"/>
      <c r="I17" s="361"/>
      <c r="J17" s="362">
        <f ca="1">IFERROR(IF(VLOOKUP(G14,OFFSET($AG$2,,,COUNTIF($AG$2:$AG$50,"?*"),23),14,FALSE)&lt;&gt;0,VLOOKUP(G14,OFFSET($AG$2,,,COUNTIF($AG$2:$AG$50,"?*"),23),14,FALSE),"?"),"")</f>
        <v>2006</v>
      </c>
      <c r="K17" s="363"/>
      <c r="L17" s="7">
        <f ca="1">IFERROR(IF(VLOOKUP(G14,OFFSET($AG$2,,,COUNTIF($AG$2:$AG$50,"?*"),23),7,FALSE)&lt;&gt;0,VLOOKUP(G14,OFFSET($AG$2,,,COUNTIF($AG$2:$AG$50,"?*"),23),7,FALSE),"?"),"")</f>
        <v>6</v>
      </c>
      <c r="M17" s="342" t="s">
        <v>688</v>
      </c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1236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682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151</v>
      </c>
      <c r="AQ17" s="123">
        <v>186</v>
      </c>
      <c r="AR17" s="123">
        <v>82</v>
      </c>
      <c r="AS17" s="126" t="s">
        <v>713</v>
      </c>
      <c r="AT17" s="123" t="s">
        <v>243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6 OZ, 10 (6+4), -1 ±</v>
      </c>
      <c r="AY17" s="129" t="str">
        <f t="shared" ca="1" si="2"/>
        <v>200 OZ, 337 (240+97)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898</v>
      </c>
      <c r="BU17" s="103">
        <v>1</v>
      </c>
      <c r="BV17" s="104" t="str">
        <f t="shared" si="13"/>
        <v>Lukáš Chyna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5">
        <f ca="1">IFERROR(IF(VLOOKUP(A17,OFFSET($AG$2,,,COUNTIF($AG$2:$AG$50,"?*"),23),2,FALSE)&lt;&gt;0,YEAR(VLOOKUP(A17,OFFSET($AG$2,,,COUNTIF($AG$2:$AG$50,"?*"),23),2,FALSE)),""),"")</f>
        <v>1994</v>
      </c>
      <c r="C18" s="336"/>
      <c r="D18" s="150">
        <f ca="1">IFERROR(VLOOKUP(A17,OFFSET($AG$2,,,COUNTIF($AG$2:$AG$50,"?*"),23),15,FALSE),"")</f>
        <v>27</v>
      </c>
      <c r="E18" s="337" t="str">
        <f ca="1">IFERROR(VLOOKUP(A17,OFFSET($AG$2,,,COUNTIF($AG$2:$AG$50,"?*"),23),16,FALSE),"")</f>
        <v>174/76</v>
      </c>
      <c r="F18" s="338"/>
      <c r="M18" s="4" t="str">
        <f ca="1">IFERROR(IF(VLOOKUP(M17,OFFSET($AG$2,,,COUNTIF($AG$2:$AG$50,"?*"),23),10,FALSE)&lt;&gt;0,VLOOKUP(M17,OFFSET($AG$2,,,COUNTIF($AG$2:$AG$50,"?*"),23),10,FALSE),""),"")</f>
        <v>L</v>
      </c>
      <c r="N18" s="335">
        <f ca="1">IFERROR(IF(VLOOKUP(M17,OFFSET($AG$2,,,COUNTIF($AG$2:$AG$50,"?*"),23),2,FALSE)&lt;&gt;0,YEAR(VLOOKUP(M17,OFFSET($AG$2,,,COUNTIF($AG$2:$AG$50,"?*"),23),2,FALSE)),""),"")</f>
        <v>1983</v>
      </c>
      <c r="O18" s="336"/>
      <c r="P18" s="117">
        <f ca="1">IFERROR(VLOOKUP(M17,OFFSET($AG$2,,,COUNTIF($AG$2:$AG$50,"?*"),23),15,FALSE),"")</f>
        <v>38</v>
      </c>
      <c r="Q18" s="337" t="str">
        <f ca="1">IFERROR(VLOOKUP(M17,OFFSET($AG$2,,,COUNTIF($AG$2:$AG$50,"?*"),23),16,FALSE),"")</f>
        <v>184/91</v>
      </c>
      <c r="R18" s="338"/>
      <c r="S18" s="110" t="s">
        <v>696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693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168</v>
      </c>
      <c r="AP18" s="125" t="s">
        <v>151</v>
      </c>
      <c r="AQ18" s="123">
        <v>185</v>
      </c>
      <c r="AR18" s="123">
        <v>85</v>
      </c>
      <c r="AS18" s="126" t="s">
        <v>714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6 OZ, 4 (2+2), -8 ±</v>
      </c>
      <c r="AY18" s="129" t="str">
        <f t="shared" ca="1" si="2"/>
        <v>89 OZ, 24 (14+10)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899</v>
      </c>
      <c r="BU18" s="103">
        <v>0</v>
      </c>
      <c r="BV18" s="104" t="str">
        <f t="shared" si="13"/>
        <v>Ivan Ponomarev</v>
      </c>
      <c r="BW18" s="102">
        <f t="shared" si="14"/>
        <v>0</v>
      </c>
    </row>
    <row r="19" spans="1:75" ht="15" customHeight="1" x14ac:dyDescent="0.2">
      <c r="A19" s="371" t="str">
        <f ca="1">IFERROR(VLOOKUP(A17,OFFSET($AG$2,,,COUNTIF($AG$2:$AG$50,"?*"),23),18,FALSE),"")</f>
        <v>5 OZ, 0 (0+0), -1 ±</v>
      </c>
      <c r="B19" s="372"/>
      <c r="C19" s="372"/>
      <c r="D19" s="373" t="str">
        <f ca="1">IFERROR(VLOOKUP(A17,OFFSET($AG$2,,,COUNTIF($AG$2:$AG$50,"?*"),23),19,FALSE),"")</f>
        <v>73 OZ, 44 (21+23)</v>
      </c>
      <c r="E19" s="373"/>
      <c r="F19" s="374"/>
      <c r="H19" s="375" t="str">
        <f>H$8</f>
        <v>CLP</v>
      </c>
      <c r="I19" s="375"/>
      <c r="J19" s="375"/>
      <c r="K19" s="375"/>
      <c r="M19" s="371" t="str">
        <f ca="1">IFERROR(VLOOKUP(M17,OFFSET($AG$2,,,COUNTIF($AG$2:$AG$50,"?*"),23),18,FALSE),"")</f>
        <v>6 OZ, 5 (3+2), -4 ±</v>
      </c>
      <c r="N19" s="372"/>
      <c r="O19" s="372"/>
      <c r="P19" s="373" t="str">
        <f ca="1">IFERROR(VLOOKUP(M17,OFFSET($AG$2,,,COUNTIF($AG$2:$AG$50,"?*"),23),19,FALSE),"")</f>
        <v>315 OZ, 325 (159+166)</v>
      </c>
      <c r="Q19" s="373"/>
      <c r="R19" s="374"/>
      <c r="S19" s="110" t="s">
        <v>697</v>
      </c>
      <c r="T19" s="102" t="s">
        <v>64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704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151</v>
      </c>
      <c r="AQ19" s="123">
        <v>178</v>
      </c>
      <c r="AR19" s="123">
        <v>75</v>
      </c>
      <c r="AS19" s="126" t="s">
        <v>712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3 OZ, 2 (1+1), -7 ±</v>
      </c>
      <c r="AY19" s="129" t="str">
        <f t="shared" ca="1" si="2"/>
        <v>195 OZ, 73 (34+39)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>Pitbulls Kolín</v>
      </c>
      <c r="B20" s="360"/>
      <c r="C20" s="361"/>
      <c r="D20" s="362">
        <f ca="1">IFERROR(IF(VLOOKUP(A17,OFFSET($AG$2,,,COUNTIF($AG$2:$AG$50,"?*"),23),14,FALSE)&lt;&gt;0,VLOOKUP(A17,OFFSET($AG$2,,,COUNTIF($AG$2:$AG$50,"?*"),23),14,FALSE),"?"),"")</f>
        <v>2007</v>
      </c>
      <c r="E20" s="363"/>
      <c r="F20" s="7">
        <f ca="1">IFERROR(IF(VLOOKUP(A17,OFFSET($AG$2,,,COUNTIF($AG$2:$AG$50,"?*"),23),7,FALSE)&lt;&gt;0,VLOOKUP(A17,OFFSET($AG$2,,,COUNTIF($AG$2:$AG$50,"?*"),23),7,FALSE),"?"),"")</f>
        <v>5</v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>FBC Líný FŠI Česká Lípa</v>
      </c>
      <c r="N20" s="360"/>
      <c r="O20" s="361"/>
      <c r="P20" s="362">
        <f ca="1">IFERROR(IF(VLOOKUP(M17,OFFSET($AG$2,,,COUNTIF($AG$2:$AG$50,"?*"),23),14,FALSE)&lt;&gt;0,VLOOKUP(M17,OFFSET($AG$2,,,COUNTIF($AG$2:$AG$50,"?*"),23),14,FALSE),"?"),"")</f>
        <v>1998</v>
      </c>
      <c r="Q20" s="363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694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440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151</v>
      </c>
      <c r="AQ20" s="123">
        <v>174</v>
      </c>
      <c r="AR20" s="123">
        <v>76</v>
      </c>
      <c r="AS20" s="126" t="s">
        <v>940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5 OZ, 0 (0+0), -1 ±</v>
      </c>
      <c r="AY20" s="129" t="str">
        <f t="shared" ca="1" si="2"/>
        <v>73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440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t="shared" ca="1" si="0"/>
        <v>ANO</v>
      </c>
      <c r="AG21" s="121" t="s">
        <v>705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151</v>
      </c>
      <c r="AQ21" s="123">
        <v>185</v>
      </c>
      <c r="AR21" s="123">
        <v>88</v>
      </c>
      <c r="AS21" s="126" t="s">
        <v>438</v>
      </c>
      <c r="AT21" s="123" t="s">
        <v>243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698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689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939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3 P</v>
      </c>
      <c r="AY22" s="129" t="str">
        <f t="shared" ca="1" si="2"/>
        <v>135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724</v>
      </c>
      <c r="BU22" s="103">
        <v>5</v>
      </c>
      <c r="BV22" s="104" t="str">
        <f t="shared" si="13"/>
        <v>Milan Tichý</v>
      </c>
      <c r="BW22" s="102">
        <f t="shared" si="14"/>
        <v>5</v>
      </c>
    </row>
    <row r="23" spans="1:75" ht="15" customHeight="1" thickTop="1" thickBot="1" x14ac:dyDescent="0.25">
      <c r="A23" s="342" t="s">
        <v>687</v>
      </c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376" t="s">
        <v>13</v>
      </c>
      <c r="I23" s="376"/>
      <c r="J23" s="376"/>
      <c r="K23" s="376"/>
      <c r="M23" s="342" t="s">
        <v>685</v>
      </c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689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706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151</v>
      </c>
      <c r="AQ23" s="123">
        <v>180</v>
      </c>
      <c r="AR23" s="123">
        <v>69</v>
      </c>
      <c r="AS23" s="126" t="s">
        <v>715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1014</v>
      </c>
      <c r="BU23" s="103">
        <v>4</v>
      </c>
      <c r="BV23" s="104" t="str">
        <f t="shared" si="13"/>
        <v>Daniel Štěrba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35">
        <f ca="1">IFERROR(IF(VLOOKUP(A23,OFFSET($AG$2,,,COUNTIF($AG$2:$AG$50,"?*"),23),2,FALSE)&lt;&gt;0,YEAR(VLOOKUP(A23,OFFSET($AG$2,,,COUNTIF($AG$2:$AG$50,"?*"),23),2,FALSE)),""),"")</f>
        <v>1990</v>
      </c>
      <c r="C24" s="336"/>
      <c r="D24" s="117">
        <f ca="1">IFERROR(VLOOKUP(A23,OFFSET($AG$2,,,COUNTIF($AG$2:$AG$50,"?*"),23),15,FALSE),"")</f>
        <v>31</v>
      </c>
      <c r="E24" s="337" t="str">
        <f ca="1">IFERROR(VLOOKUP(A23,OFFSET($AG$2,,,COUNTIF($AG$2:$AG$50,"?*"),23),16,FALSE),"")</f>
        <v>186/86</v>
      </c>
      <c r="F24" s="338"/>
      <c r="M24" s="4" t="str">
        <f ca="1">IFERROR(IF(VLOOKUP(M23,OFFSET($AG$2,,,COUNTIF($AG$2:$AG$50,"?*"),23),10,FALSE)&lt;&gt;0,VLOOKUP(M23,OFFSET($AG$2,,,COUNTIF($AG$2:$AG$50,"?*"),23),10,FALSE),""),"")</f>
        <v>L</v>
      </c>
      <c r="N24" s="335">
        <f ca="1">IFERROR(IF(VLOOKUP(M23,OFFSET($AG$2,,,COUNTIF($AG$2:$AG$50,"?*"),23),2,FALSE)&lt;&gt;0,YEAR(VLOOKUP(M23,OFFSET($AG$2,,,COUNTIF($AG$2:$AG$50,"?*"),23),2,FALSE)),""),"")</f>
        <v>1986</v>
      </c>
      <c r="O24" s="336"/>
      <c r="P24" s="117">
        <f ca="1">IFERROR(VLOOKUP(M23,OFFSET($AG$2,,,COUNTIF($AG$2:$AG$50,"?*"),23),15,FALSE),"")</f>
        <v>35</v>
      </c>
      <c r="Q24" s="337" t="str">
        <f ca="1">IFERROR(VLOOKUP(M23,OFFSET($AG$2,,,COUNTIF($AG$2:$AG$50,"?*"),23),16,FALSE),"")</f>
        <v>182/79</v>
      </c>
      <c r="R24" s="338"/>
      <c r="S24" s="111"/>
      <c r="AC24" s="102" t="str">
        <f t="shared" ca="1" si="0"/>
        <v/>
      </c>
      <c r="AG24" s="121" t="s">
        <v>688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151</v>
      </c>
      <c r="AQ24" s="123">
        <v>184</v>
      </c>
      <c r="AR24" s="123">
        <v>91</v>
      </c>
      <c r="AS24" s="126" t="s">
        <v>716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5 (3+2), -4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315 OZ, 325 (159+166)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1016</v>
      </c>
      <c r="BU24" s="103">
        <v>4</v>
      </c>
      <c r="BV24" s="104" t="str">
        <f t="shared" si="13"/>
        <v>Radek Krajcigr</v>
      </c>
      <c r="BW24" s="102">
        <f t="shared" si="14"/>
        <v>4</v>
      </c>
    </row>
    <row r="25" spans="1:75" ht="15" customHeight="1" thickTop="1" thickBot="1" x14ac:dyDescent="0.25">
      <c r="A25" s="371" t="str">
        <f ca="1">IFERROR(VLOOKUP(A23,OFFSET($AG$2,,,COUNTIF($AG$2:$AG$50,"?*"),23),18,FALSE),"")</f>
        <v>6 OZ, 2 (0+2), -7 ±</v>
      </c>
      <c r="B25" s="372"/>
      <c r="C25" s="372"/>
      <c r="D25" s="373" t="str">
        <f ca="1">IFERROR(VLOOKUP(A23,OFFSET($AG$2,,,COUNTIF($AG$2:$AG$50,"?*"),23),19,FALSE),"")</f>
        <v>97 OZ, 28 (8+20)</v>
      </c>
      <c r="E25" s="373"/>
      <c r="F25" s="374"/>
      <c r="G25" s="342" t="s">
        <v>693</v>
      </c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371" t="str">
        <f ca="1">IFERROR(VLOOKUP(M23,OFFSET($AG$2,,,COUNTIF($AG$2:$AG$50,"?*"),23),18,FALSE),"")</f>
        <v>6 OZ, 1 (1+0), -11 ±</v>
      </c>
      <c r="N25" s="372"/>
      <c r="O25" s="372"/>
      <c r="P25" s="373" t="str">
        <f ca="1">IFERROR(VLOOKUP(M23,OFFSET($AG$2,,,COUNTIF($AG$2:$AG$50,"?*"),23),19,FALSE),"")</f>
        <v>109 OZ, 51 (32+19)</v>
      </c>
      <c r="Q25" s="373"/>
      <c r="R25" s="374"/>
      <c r="S25" s="111"/>
      <c r="AC25" s="102" t="str">
        <f t="shared" ca="1" si="0"/>
        <v/>
      </c>
      <c r="AG25" s="121" t="s">
        <v>707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151</v>
      </c>
      <c r="AQ25" s="123">
        <v>194</v>
      </c>
      <c r="AR25" s="123">
        <v>89</v>
      </c>
      <c r="AS25" s="126" t="s">
        <v>438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1245</v>
      </c>
      <c r="BU25" s="103">
        <v>3</v>
      </c>
      <c r="BV25" s="104" t="str">
        <f t="shared" si="13"/>
        <v>Jakub Jirsa</v>
      </c>
      <c r="BW25" s="102">
        <f t="shared" si="14"/>
        <v>3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>FBC Česká Lípa</v>
      </c>
      <c r="B26" s="360"/>
      <c r="C26" s="361"/>
      <c r="D26" s="362">
        <f ca="1">IFERROR(IF(VLOOKUP(A23,OFFSET($AG$2,,,COUNTIF($AG$2:$AG$50,"?*"),23),14,FALSE)&lt;&gt;0,VLOOKUP(A23,OFFSET($AG$2,,,COUNTIF($AG$2:$AG$50,"?*"),23),14,FALSE),"?"),"")</f>
        <v>2006</v>
      </c>
      <c r="E26" s="363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35">
        <f ca="1">IFERROR(IF(VLOOKUP(G25,OFFSET($AG$2,,,COUNTIF($AG$2:$AG$50,"?*"),23),2,FALSE)&lt;&gt;0,YEAR(VLOOKUP(G25,OFFSET($AG$2,,,COUNTIF($AG$2:$AG$50,"?*"),23),2,FALSE)),""),"")</f>
        <v>1987</v>
      </c>
      <c r="I26" s="336"/>
      <c r="J26" s="117">
        <f ca="1">IFERROR(VLOOKUP(G25,OFFSET($AG$2,,,COUNTIF($AG$2:$AG$50,"?*"),23),15,FALSE),"")</f>
        <v>34</v>
      </c>
      <c r="K26" s="337" t="str">
        <f ca="1">IFERROR(VLOOKUP(G25,OFFSET($AG$2,,,COUNTIF($AG$2:$AG$50,"?*"),23),16,FALSE),"")</f>
        <v>185/85</v>
      </c>
      <c r="L26" s="338"/>
      <c r="M26" s="359" t="str">
        <f ca="1">IFERROR(IF(VLOOKUP(M23,OFFSET($AG$2,,,COUNTIF($AG$2:$AG$50,"?*"),23),13,FALSE)&lt;&gt;0,VLOOKUP(M23,OFFSET($AG$2,,,COUNTIF($AG$2:$AG$50,"?*"),23),13,FALSE),"?"),"")</f>
        <v>S.K. P.E.M.A. Opava</v>
      </c>
      <c r="N26" s="360"/>
      <c r="O26" s="361"/>
      <c r="P26" s="362">
        <f ca="1">IFERROR(IF(VLOOKUP(M23,OFFSET($AG$2,,,COUNTIF($AG$2:$AG$50,"?*"),23),14,FALSE)&lt;&gt;0,VLOOKUP(M23,OFFSET($AG$2,,,COUNTIF($AG$2:$AG$50,"?*"),23),14,FALSE),"?"),"")</f>
        <v>2005</v>
      </c>
      <c r="Q26" s="363"/>
      <c r="R26" s="7">
        <f ca="1">IFERROR(IF(VLOOKUP(M23,OFFSET($AG$2,,,COUNTIF($AG$2:$AG$50,"?*"),23),7,FALSE)&lt;&gt;0,VLOOKUP(M23,OFFSET($AG$2,,,COUNTIF($AG$2:$AG$50,"?*"),23),7,FALSE),"?"),"")</f>
        <v>5</v>
      </c>
      <c r="S26" s="111"/>
      <c r="AC26" s="102" t="str">
        <f t="shared" ca="1" si="0"/>
        <v/>
      </c>
      <c r="AG26" s="121" t="s">
        <v>1236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1246</v>
      </c>
      <c r="BU26" s="103">
        <v>3</v>
      </c>
      <c r="BV26" s="104" t="str">
        <f t="shared" si="13"/>
        <v>Jaromír Ekl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>6 OZ, 4 (2+2), -8 ±</v>
      </c>
      <c r="H27" s="372"/>
      <c r="I27" s="372"/>
      <c r="J27" s="373" t="str">
        <f ca="1">IFERROR(VLOOKUP(G25,OFFSET($AG$2,,,COUNTIF($AG$2:$AG$50,"?*"),23),19,FALSE),"")</f>
        <v>89 OZ, 24 (14+10)</v>
      </c>
      <c r="K27" s="373"/>
      <c r="L27" s="374"/>
      <c r="S27" s="111"/>
      <c r="AC27" s="102" t="str">
        <f t="shared" ca="1" si="0"/>
        <v/>
      </c>
      <c r="AG27" s="121" t="s">
        <v>692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151</v>
      </c>
      <c r="AQ27" s="123">
        <v>192</v>
      </c>
      <c r="AR27" s="123">
        <v>82</v>
      </c>
      <c r="AS27" s="126" t="s">
        <v>438</v>
      </c>
      <c r="AT27" s="123" t="s">
        <v>243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5 OZ, 1 (1+0), 0 ±</v>
      </c>
      <c r="AY27" s="129" t="str">
        <f t="shared" ca="1" si="16"/>
        <v>26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0" t="s">
        <v>39</v>
      </c>
      <c r="BT27" s="104" t="s">
        <v>1015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42" t="s">
        <v>692</v>
      </c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359" t="str">
        <f ca="1">IFERROR(IF(VLOOKUP(G25,OFFSET($AG$2,,,COUNTIF($AG$2:$AG$50,"?*"),23),13,FALSE)&lt;&gt;0,VLOOKUP(G25,OFFSET($AG$2,,,COUNTIF($AG$2:$AG$50,"?*"),23),13,FALSE),"?"),"")</f>
        <v>Radiaci</v>
      </c>
      <c r="H28" s="360"/>
      <c r="I28" s="361"/>
      <c r="J28" s="362">
        <f ca="1">IFERROR(IF(VLOOKUP(G25,OFFSET($AG$2,,,COUNTIF($AG$2:$AG$50,"?*"),23),14,FALSE)&lt;&gt;0,VLOOKUP(G25,OFFSET($AG$2,,,COUNTIF($AG$2:$AG$50,"?*"),23),14,FALSE),"?"),"")</f>
        <v>1999</v>
      </c>
      <c r="K28" s="363"/>
      <c r="L28" s="7">
        <f ca="1">IFERROR(IF(VLOOKUP(G25,OFFSET($AG$2,,,COUNTIF($AG$2:$AG$50,"?*"),23),7,FALSE)&lt;&gt;0,VLOOKUP(G25,OFFSET($AG$2,,,COUNTIF($AG$2:$AG$50,"?*"),23),7,FALSE),"?"),"")</f>
        <v>6</v>
      </c>
      <c r="M28" s="342" t="s">
        <v>704</v>
      </c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686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712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4 (0+4), -11 ±</v>
      </c>
      <c r="AY28" s="129" t="str">
        <f t="shared" ca="1" si="16"/>
        <v>107 OZ, 80 (28+52)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0"/>
      <c r="BT28" s="104" t="s">
        <v>1009</v>
      </c>
      <c r="BU28" s="103">
        <v>6</v>
      </c>
      <c r="BV28" s="104" t="str">
        <f t="shared" si="13"/>
        <v>Milan Tichý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35">
        <f ca="1">IFERROR(IF(VLOOKUP(A28,OFFSET($AG$2,,,COUNTIF($AG$2:$AG$50,"?*"),23),2,FALSE)&lt;&gt;0,YEAR(VLOOKUP(A28,OFFSET($AG$2,,,COUNTIF($AG$2:$AG$50,"?*"),23),2,FALSE)),""),"")</f>
        <v>2003</v>
      </c>
      <c r="C29" s="336"/>
      <c r="D29" s="117">
        <f ca="1">IFERROR(VLOOKUP(A28,OFFSET($AG$2,,,COUNTIF($AG$2:$AG$50,"?*"),23),15,FALSE),"")</f>
        <v>18</v>
      </c>
      <c r="E29" s="337" t="str">
        <f ca="1">IFERROR(VLOOKUP(A28,OFFSET($AG$2,,,COUNTIF($AG$2:$AG$50,"?*"),23),16,FALSE),"")</f>
        <v>192/82</v>
      </c>
      <c r="F29" s="338"/>
      <c r="M29" s="4" t="str">
        <f ca="1">IFERROR(IF(VLOOKUP(M28,OFFSET($AG$2,,,COUNTIF($AG$2:$AG$50,"?*"),23),10,FALSE)&lt;&gt;0,VLOOKUP(M28,OFFSET($AG$2,,,COUNTIF($AG$2:$AG$50,"?*"),23),10,FALSE),""),"")</f>
        <v>L</v>
      </c>
      <c r="N29" s="335">
        <f ca="1">IFERROR(IF(VLOOKUP(M28,OFFSET($AG$2,,,COUNTIF($AG$2:$AG$50,"?*"),23),2,FALSE)&lt;&gt;0,YEAR(VLOOKUP(M28,OFFSET($AG$2,,,COUNTIF($AG$2:$AG$50,"?*"),23),2,FALSE)),""),"")</f>
        <v>1993</v>
      </c>
      <c r="O29" s="336"/>
      <c r="P29" s="117">
        <f ca="1">IFERROR(VLOOKUP(M28,OFFSET($AG$2,,,COUNTIF($AG$2:$AG$50,"?*"),23),15,FALSE),"")</f>
        <v>28</v>
      </c>
      <c r="Q29" s="337" t="str">
        <f ca="1">IFERROR(VLOOKUP(M28,OFFSET($AG$2,,,COUNTIF($AG$2:$AG$50,"?*"),23),16,FALSE),"")</f>
        <v>178/75</v>
      </c>
      <c r="R29" s="338"/>
      <c r="S29" s="111"/>
      <c r="AC29" s="102" t="str">
        <f t="shared" ca="1" si="0"/>
        <v/>
      </c>
      <c r="AG29" s="121" t="s">
        <v>426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151</v>
      </c>
      <c r="AQ29" s="123">
        <v>192</v>
      </c>
      <c r="AR29" s="123">
        <v>90</v>
      </c>
      <c r="AS29" s="126" t="s">
        <v>438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6 OZ, 8 (3+5), -10 ±</v>
      </c>
      <c r="AY29" s="129" t="str">
        <f t="shared" ca="1" si="16"/>
        <v>80 OZ, 69 (40+29)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0"/>
      <c r="BT29" s="104" t="s">
        <v>1016</v>
      </c>
      <c r="BU29" s="103">
        <v>6</v>
      </c>
      <c r="BV29" s="104" t="str">
        <f t="shared" si="13"/>
        <v>Radek Krajcigr</v>
      </c>
      <c r="BW29" s="102">
        <f t="shared" si="14"/>
        <v>6</v>
      </c>
    </row>
    <row r="30" spans="1:75" ht="15" customHeight="1" x14ac:dyDescent="0.2">
      <c r="A30" s="371" t="str">
        <f ca="1">IFERROR(VLOOKUP(A28,OFFSET($AG$2,,,COUNTIF($AG$2:$AG$50,"?*"),23),18,FALSE),"")</f>
        <v>5 OZ, 1 (1+0), 0 ±</v>
      </c>
      <c r="B30" s="372"/>
      <c r="C30" s="372"/>
      <c r="D30" s="373" t="str">
        <f ca="1">IFERROR(VLOOKUP(A28,OFFSET($AG$2,,,COUNTIF($AG$2:$AG$50,"?*"),23),19,FALSE),"")</f>
        <v>26 OZ, 3 (3+0)</v>
      </c>
      <c r="E30" s="373"/>
      <c r="F30" s="374"/>
      <c r="H30" s="375" t="str">
        <f>H$8</f>
        <v>CLP</v>
      </c>
      <c r="I30" s="375"/>
      <c r="J30" s="375"/>
      <c r="K30" s="375"/>
      <c r="M30" s="371" t="str">
        <f ca="1">IFERROR(VLOOKUP(M28,OFFSET($AG$2,,,COUNTIF($AG$2:$AG$50,"?*"),23),18,FALSE),"")</f>
        <v>3 OZ, 2 (1+1), -7 ±</v>
      </c>
      <c r="N30" s="372"/>
      <c r="O30" s="372"/>
      <c r="P30" s="373" t="str">
        <f ca="1">IFERROR(VLOOKUP(M28,OFFSET($AG$2,,,COUNTIF($AG$2:$AG$50,"?*"),23),19,FALSE),"")</f>
        <v>195 OZ, 73 (34+39)</v>
      </c>
      <c r="Q30" s="373"/>
      <c r="R30" s="374"/>
      <c r="S30" s="111"/>
      <c r="AC30" s="102" t="str">
        <f t="shared" ca="1" si="0"/>
        <v/>
      </c>
      <c r="AG30" s="121" t="s">
        <v>690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151</v>
      </c>
      <c r="AQ30" s="123">
        <v>185</v>
      </c>
      <c r="AR30" s="123">
        <v>75</v>
      </c>
      <c r="AS30" s="126" t="s">
        <v>718</v>
      </c>
      <c r="AT30" s="123" t="s">
        <v>243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5 OZ, 2 (2+0), -1 ±</v>
      </c>
      <c r="AY30" s="129" t="str">
        <f t="shared" ca="1" si="16"/>
        <v>70 OZ, 19 (10+9)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0"/>
      <c r="BT30" s="104" t="s">
        <v>1017</v>
      </c>
      <c r="BU30" s="103">
        <v>4</v>
      </c>
      <c r="BV30" s="104" t="str">
        <f t="shared" si="13"/>
        <v>Štěpán Slaný</v>
      </c>
      <c r="BW30" s="102">
        <f t="shared" si="14"/>
        <v>4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>FBC Česká Lípa</v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>-</v>
      </c>
      <c r="E31" s="363"/>
      <c r="F31" s="7">
        <f ca="1">IFERROR(IF(VLOOKUP(A28,OFFSET($AG$2,,,COUNTIF($AG$2:$AG$50,"?*"),23),7,FALSE)&lt;&gt;0,VLOOKUP(A28,OFFSET($AG$2,,,COUNTIF($AG$2:$AG$50,"?*"),23),7,FALSE),"?"),"")</f>
        <v>2</v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>FbK Sokol Mladá Boleslav</v>
      </c>
      <c r="N31" s="360"/>
      <c r="O31" s="361"/>
      <c r="P31" s="362">
        <f ca="1">IFERROR(IF(VLOOKUP(M28,OFFSET($AG$2,,,COUNTIF($AG$2:$AG$50,"?*"),23),14,FALSE)&lt;&gt;0,VLOOKUP(M28,OFFSET($AG$2,,,COUNTIF($AG$2:$AG$50,"?*"),23),14,FALSE),"?"),"")</f>
        <v>2005</v>
      </c>
      <c r="Q31" s="363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708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151</v>
      </c>
      <c r="AQ31" s="123">
        <v>184</v>
      </c>
      <c r="AR31" s="123">
        <v>76</v>
      </c>
      <c r="AS31" s="126" t="s">
        <v>717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30"/>
      <c r="BT31" s="104" t="s">
        <v>1018</v>
      </c>
      <c r="BU31" s="103">
        <v>2</v>
      </c>
      <c r="BV31" s="104" t="str">
        <f t="shared" si="13"/>
        <v>Lukáš Chyna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 t="s">
        <v>698</v>
      </c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370" t="s">
        <v>16</v>
      </c>
      <c r="J34" s="342" t="s">
        <v>1236</v>
      </c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35">
        <f ca="1">IFERROR(IF(VLOOKUP(A34,OFFSET($AG$2,,,COUNTIF($AG$2:$AG$50,"?*"),23),2,FALSE)&lt;&gt;0,YEAR(VLOOKUP(A34,OFFSET($AG$2,,,COUNTIF($AG$2:$AG$50,"?*"),23),2,FALSE)),""),"")</f>
        <v>1997</v>
      </c>
      <c r="C35" s="336"/>
      <c r="D35" s="117">
        <f ca="1">IFERROR(VLOOKUP(A34,OFFSET($AG$2,,,COUNTIF($AG$2:$AG$50,"?*"),23),15,FALSE),"")</f>
        <v>24</v>
      </c>
      <c r="E35" s="337" t="str">
        <f ca="1">IFERROR(VLOOKUP(A34,OFFSET($AG$2,,,COUNTIF($AG$2:$AG$50,"?*"),23),16,FALSE),"")</f>
        <v>181/79</v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83" t="str">
        <f ca="1">IFERROR(VLOOKUP(J34,OFFSET($AG$2,,,COUNTIF($AG$2:$AG$50,"?*"),23),15,FALSE),"")</f>
        <v>?</v>
      </c>
      <c r="N35" s="344" t="str">
        <f ca="1">IFERROR(VLOOKUP(J34,OFFSET($AG$2,,,COUNTIF($AG$2:$AG$50,"?*"),23),16,FALSE),"")</f>
        <v>? / ?</v>
      </c>
      <c r="O35" s="344"/>
      <c r="P35" s="344" t="str">
        <f ca="1">IFERROR(VLOOKUP(J34,OFFSET($AG$2,,,COUNTIF($AG$2:$AG$50,"?*"),23),18,FALSE),"")</f>
        <v>1 OZ, 0 (0+0), 0 ±</v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39" t="str">
        <f ca="1">IFERROR(VLOOKUP(A34,OFFSET($AG$2,,,COUNTIF($AG$2:$AG$50,"?*"),23),18,FALSE),"")</f>
        <v>1 V, 3 P</v>
      </c>
      <c r="C36" s="339"/>
      <c r="D36" s="340">
        <f ca="1">IFERROR(VLOOKUP(A34,OFFSET($S$45,,,COUNTIF($S$45:$S$50,"?*"),14),5,FALSE),"")</f>
        <v>21</v>
      </c>
      <c r="E36" s="341"/>
      <c r="F36" s="17">
        <f ca="1">IFERROR(VLOOKUP(A34,OFFSET($S$45,,,COUNTIF($S$45:$S$50,"?*"),14),14,FALSE),"")</f>
        <v>77.41935483870968</v>
      </c>
      <c r="H36" s="370"/>
      <c r="J36" s="18" t="str">
        <f ca="1">IFERROR(IF(VLOOKUP(J34,OFFSET($AG$2,,,COUNTIF($AG$2:$AG$50,"?*"),23),7,FALSE)&lt;&gt;0,VLOOKUP(J34,OFFSET($AG$2,,,COUNTIF($AG$2:$AG$50,"?*"),23),7,FALSE),"?"),"")</f>
        <v>?</v>
      </c>
      <c r="K36" s="346" t="str">
        <f ca="1">IFERROR(VLOOKUP(J34,OFFSET($AG$2,,,COUNTIF($AG$2:$AG$50,"?*"),23),19,FALSE),"")</f>
        <v>1 OZ, 0 (0+0)</v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>?</v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>?</v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>
        <f ca="1">IFERROR(VLOOKUP(A34,OFFSET($S$45,,,COUNTIF($S$45:$S$50,"?*"),14),3,FALSE),"")</f>
        <v>194.75</v>
      </c>
      <c r="B37" s="365"/>
      <c r="C37" s="366">
        <f ca="1">IFERROR(VLOOKUP(A34,OFFSET($S$45,,,COUNTIF($S$45:$S$50,"?*"),14),13,FALSE),"")</f>
        <v>6.4698331193838259</v>
      </c>
      <c r="D37" s="367"/>
      <c r="E37" s="368" t="str">
        <f ca="1">IFERROR(VLOOKUP(A34,OFFSET($AG$2,,,COUNTIF($AG$2:$AG$50,"?*"),23),19,FALSE),"")</f>
        <v>47 OZ, 0 A</v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>FBC Česká Lípa</v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>-</v>
      </c>
      <c r="E38" s="363"/>
      <c r="F38" s="19">
        <f ca="1">IFERROR(VLOOKUP(A34,OFFSET($S$45,,,COUNTIF($S$45:$S$50,"?*"),14),6,FALSE),"")</f>
        <v>0</v>
      </c>
      <c r="H38" s="370"/>
      <c r="J38" s="342" t="s">
        <v>694</v>
      </c>
      <c r="K38" s="343"/>
      <c r="L38" s="343"/>
      <c r="M38" s="343"/>
      <c r="N38" s="343"/>
      <c r="O38" s="343"/>
      <c r="P38" s="343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>
        <f ca="1">IFERROR(IF(VLOOKUP(J38,OFFSET($AG$2,,,COUNTIF($AG$2:$AG$50,"?*"),23),2,FALSE)&lt;&gt;0,YEAR(VLOOKUP(J38,OFFSET($AG$2,,,COUNTIF($AG$2:$AG$50,"?*"),23),2,FALSE)),""),"")</f>
        <v>2003</v>
      </c>
      <c r="L39" s="344"/>
      <c r="M39" s="183">
        <f ca="1">IFERROR(VLOOKUP(J38,OFFSET($AG$2,,,COUNTIF($AG$2:$AG$50,"?*"),23),15,FALSE),"")</f>
        <v>18</v>
      </c>
      <c r="N39" s="344" t="str">
        <f ca="1">IFERROR(VLOOKUP(J38,OFFSET($AG$2,,,COUNTIF($AG$2:$AG$50,"?*"),23),16,FALSE),"")</f>
        <v>189/91</v>
      </c>
      <c r="O39" s="344"/>
      <c r="P39" s="344" t="str">
        <f ca="1">IFERROR(VLOOKUP(J38,OFFSET($AG$2,,,COUNTIF($AG$2:$AG$50,"?*"),23),18,FALSE),"")</f>
        <v>5 OZ, 0 (0+0), -2 ±</v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 t="s">
        <v>689</v>
      </c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70"/>
      <c r="J40" s="18">
        <f ca="1">IFERROR(IF(VLOOKUP(J38,OFFSET($AG$2,,,COUNTIF($AG$2:$AG$50,"?*"),23),7,FALSE)&lt;&gt;0,VLOOKUP(J38,OFFSET($AG$2,,,COUNTIF($AG$2:$AG$50,"?*"),23),7,FALSE),"?"),"")</f>
        <v>1</v>
      </c>
      <c r="K40" s="346" t="str">
        <f ca="1">IFERROR(VLOOKUP(J38,OFFSET($AG$2,,,COUNTIF($AG$2:$AG$50,"?*"),23),19,FALSE),"")</f>
        <v>5 OZ, 0 (0+0)</v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>FBC Česká Lípa</v>
      </c>
      <c r="O40" s="347"/>
      <c r="P40" s="347"/>
      <c r="Q40" s="346">
        <f ca="1">IFERROR(IF(VLOOKUP(J38,OFFSET($AG$2,,,COUNTIF($AG$2:$AG$50,"?*"),23),14,FALSE)&lt;&gt;0,VLOOKUP(J38,OFFSET($AG$2,,,COUNTIF($AG$2:$AG$50,"?*"),23),14,FALSE),"?"),"")</f>
        <v>2014</v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35">
        <f ca="1">IFERROR(IF(VLOOKUP(A40,OFFSET($AG$2,,,COUNTIF($AG$2:$AG$50,"?*"),23),2,FALSE)&lt;&gt;0,YEAR(VLOOKUP(A40,OFFSET($AG$2,,,COUNTIF($AG$2:$AG$50,"?*"),23),2,FALSE)),""),"")</f>
        <v>1984</v>
      </c>
      <c r="C41" s="336"/>
      <c r="D41" s="117">
        <f ca="1">IFERROR(VLOOKUP(A40,OFFSET($AG$2,,,COUNTIF($AG$2:$AG$50,"?*"),23),15,FALSE),"")</f>
        <v>37</v>
      </c>
      <c r="E41" s="337" t="str">
        <f ca="1">IFERROR(VLOOKUP(A40,OFFSET($AG$2,,,COUNTIF($AG$2:$AG$50,"?*"),23),16,FALSE),"")</f>
        <v>172/72</v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3</v>
      </c>
      <c r="B42" s="339" t="str">
        <f ca="1">IFERROR(VLOOKUP(A40,OFFSET($AG$2,,,COUNTIF($AG$2:$AG$50,"?*"),23),18,FALSE),"")</f>
        <v>0 V, 3 P</v>
      </c>
      <c r="C42" s="339"/>
      <c r="D42" s="340">
        <f ca="1">IFERROR(VLOOKUP(A40,OFFSET($S$45,,,COUNTIF($S$45:$S$50,"?*"),14),5,FALSE),"")</f>
        <v>25</v>
      </c>
      <c r="E42" s="341"/>
      <c r="F42" s="17">
        <f ca="1">IFERROR(VLOOKUP(A40,OFFSET($S$45,,,COUNTIF($S$45:$S$50,"?*"),14),14,FALSE),"")</f>
        <v>75.490196078431367</v>
      </c>
      <c r="H42" s="370"/>
      <c r="J42" s="342" t="s">
        <v>697</v>
      </c>
      <c r="K42" s="343"/>
      <c r="L42" s="343"/>
      <c r="M42" s="343"/>
      <c r="N42" s="343"/>
      <c r="O42" s="343"/>
      <c r="P42" s="343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>
        <f ca="1">IFERROR(VLOOKUP(A40,OFFSET($S$45,,,COUNTIF($S$45:$S$50,"?*"),14),3,FALSE),"")</f>
        <v>165.25</v>
      </c>
      <c r="B43" s="365"/>
      <c r="C43" s="366">
        <f ca="1">IFERROR(VLOOKUP(A40,OFFSET($S$45,,,COUNTIF($S$45:$S$50,"?*"),14),13,FALSE),"")</f>
        <v>9.0771558245083206</v>
      </c>
      <c r="D43" s="367"/>
      <c r="E43" s="368" t="str">
        <f ca="1">IFERROR(VLOOKUP(A40,OFFSET($AG$2,,,COUNTIF($AG$2:$AG$50,"?*"),23),19,FALSE),"")</f>
        <v>135 OZ, 7 A</v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>L</v>
      </c>
      <c r="K43" s="336">
        <f ca="1">IFERROR(IF(VLOOKUP(J42,OFFSET($AG$2,,,COUNTIF($AG$2:$AG$50,"?*"),23),2,FALSE)&lt;&gt;0,YEAR(VLOOKUP(J42,OFFSET($AG$2,,,COUNTIF($AG$2:$AG$50,"?*"),23),2,FALSE)),""),"")</f>
        <v>2004</v>
      </c>
      <c r="L43" s="344"/>
      <c r="M43" s="183">
        <f ca="1">IFERROR(VLOOKUP(J42,OFFSET($AG$2,,,COUNTIF($AG$2:$AG$50,"?*"),23),15,FALSE),"")</f>
        <v>17</v>
      </c>
      <c r="N43" s="344" t="str">
        <f ca="1">IFERROR(VLOOKUP(J42,OFFSET($AG$2,,,COUNTIF($AG$2:$AG$50,"?*"),23),16,FALSE),"")</f>
        <v>? / ?</v>
      </c>
      <c r="O43" s="344"/>
      <c r="P43" s="344" t="str">
        <f ca="1">IFERROR(VLOOKUP(J42,OFFSET($AG$2,,,COUNTIF($AG$2:$AG$50,"?*"),23),18,FALSE),"")</f>
        <v>3 OZ, 0 (0+0), 0 ±</v>
      </c>
      <c r="Q43" s="344"/>
      <c r="R43" s="345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>Taifun Moskva</v>
      </c>
      <c r="B44" s="360"/>
      <c r="C44" s="361"/>
      <c r="D44" s="362">
        <f ca="1">IFERROR(IF(VLOOKUP(A40,OFFSET($AG$2,,,COUNTIF($AG$2:$AG$50,"?*"),23),14,FALSE)&lt;&gt;0,VLOOKUP(A40,OFFSET($AG$2,,,COUNTIF($AG$2:$AG$50,"?*"),23),14,FALSE),"?"),"")</f>
        <v>1998</v>
      </c>
      <c r="E44" s="363"/>
      <c r="F44" s="19">
        <f ca="1">IFERROR(VLOOKUP(A40,OFFSET($S$45,,,COUNTIF($S$45:$S$50,"?*"),14),6,FALSE),"")</f>
        <v>0</v>
      </c>
      <c r="H44" s="370"/>
      <c r="J44" s="18">
        <f ca="1">IFERROR(IF(VLOOKUP(J42,OFFSET($AG$2,,,COUNTIF($AG$2:$AG$50,"?*"),23),7,FALSE)&lt;&gt;0,VLOOKUP(J42,OFFSET($AG$2,,,COUNTIF($AG$2:$AG$50,"?*"),23),7,FALSE),"?"),"")</f>
        <v>1</v>
      </c>
      <c r="K44" s="346" t="str">
        <f ca="1">IFERROR(VLOOKUP(J42,OFFSET($AG$2,,,COUNTIF($AG$2:$AG$50,"?*"),23),19,FALSE),"")</f>
        <v>3 OZ, 0 (0+0)</v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>FBC Česká Lípa</v>
      </c>
      <c r="O44" s="347"/>
      <c r="P44" s="347"/>
      <c r="Q44" s="346">
        <f ca="1">IFERROR(IF(VLOOKUP(J42,OFFSET($AG$2,,,COUNTIF($AG$2:$AG$50,"?*"),23),14,FALSE)&lt;&gt;0,VLOOKUP(J42,OFFSET($AG$2,,,COUNTIF($AG$2:$AG$50,"?*"),23),14,FALSE),"?"),"")</f>
        <v>2012</v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698</v>
      </c>
      <c r="T45" s="102">
        <v>4</v>
      </c>
      <c r="U45" s="112">
        <v>194.75</v>
      </c>
      <c r="V45" s="102">
        <v>1</v>
      </c>
      <c r="W45" s="102">
        <v>21</v>
      </c>
      <c r="X45" s="102">
        <v>0</v>
      </c>
      <c r="Y45" s="102">
        <v>93</v>
      </c>
      <c r="Z45" s="102">
        <v>0</v>
      </c>
      <c r="AA45" s="102">
        <v>3</v>
      </c>
      <c r="AB45" s="102">
        <v>72</v>
      </c>
      <c r="AC45" s="102">
        <v>0</v>
      </c>
      <c r="AD45" s="102">
        <v>2</v>
      </c>
      <c r="AE45" s="112">
        <f>IF(S45&lt;&gt;"",IF(T45&gt;0,W45/(U45/60),0),"")</f>
        <v>6.4698331193838259</v>
      </c>
      <c r="AF45" s="112">
        <f>IF(S45&lt;&gt;"",IF(Y45&gt;0,(AB45/Y45)*100,"-"),"")</f>
        <v>77.41935483870968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689</v>
      </c>
      <c r="T46" s="102">
        <v>3</v>
      </c>
      <c r="U46" s="112">
        <v>165.25</v>
      </c>
      <c r="V46" s="102">
        <v>0</v>
      </c>
      <c r="W46" s="102">
        <v>25</v>
      </c>
      <c r="X46" s="102">
        <v>0</v>
      </c>
      <c r="Y46" s="102">
        <v>102</v>
      </c>
      <c r="Z46" s="102">
        <v>0</v>
      </c>
      <c r="AA46" s="102">
        <v>3</v>
      </c>
      <c r="AB46" s="102">
        <v>77</v>
      </c>
      <c r="AC46" s="102">
        <v>0</v>
      </c>
      <c r="AD46" s="102">
        <v>0</v>
      </c>
      <c r="AE46" s="112">
        <f t="shared" ref="AE46:AE50" si="26">IF(S46&lt;&gt;"",IF(T46&gt;0,W46/(U46/60),0),"")</f>
        <v>9.0771558245083206</v>
      </c>
      <c r="AF46" s="112">
        <f t="shared" ref="AF46:AF50" si="27">IF(S46&lt;&gt;"",IF(Y46&gt;0,(AB46/Y46)*100,"-"),"")</f>
        <v>75.490196078431367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 t="s">
        <v>719</v>
      </c>
      <c r="B47" s="332"/>
      <c r="C47" s="332"/>
      <c r="D47" s="332"/>
      <c r="E47" s="333" t="str">
        <f ca="1">IFERROR(VLOOKUP(A47,OFFSET($BN$2,,,COUNTIF($BN$2:$BN$11,"?*"),5),3,FALSE),"")</f>
        <v>trenér</v>
      </c>
      <c r="F47" s="333"/>
      <c r="G47" s="333"/>
      <c r="H47" s="333"/>
      <c r="I47" s="334"/>
      <c r="J47" s="331" t="s">
        <v>720</v>
      </c>
      <c r="K47" s="332"/>
      <c r="L47" s="332"/>
      <c r="M47" s="332"/>
      <c r="N47" s="333" t="str">
        <f ca="1">IFERROR(VLOOKUP(J47,OFFSET($BN$2,,,COUNTIF($BN$2:$BN$11,"?*"),5),3,FALSE),"")</f>
        <v>asistent trenéra</v>
      </c>
      <c r="O47" s="333"/>
      <c r="P47" s="333"/>
      <c r="Q47" s="333"/>
      <c r="R47" s="334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>
        <f ca="1">IFERROR(VLOOKUP(A47,OFFSET($BN$2,,,COUNTIF($BN$2:$BN$11,"?*"),5),5,FALSE),"")</f>
        <v>36</v>
      </c>
      <c r="B48" s="351" t="str">
        <f ca="1">IFERROR(IF(VLOOKUP(A47,OFFSET($BN$2,,,COUNTIF($BN$2:$BN$11,"?*"),5),4,FALSE)&lt;&gt;0,VLOOKUP(A47,OFFSET($BN$2,,,COUNTIF($BN$2:$BN$11,"?*"),5),4,FALSE),"-"),"")</f>
        <v>-</v>
      </c>
      <c r="C48" s="351"/>
      <c r="D48" s="351"/>
      <c r="E48" s="351"/>
      <c r="F48" s="351"/>
      <c r="G48" s="351"/>
      <c r="H48" s="351"/>
      <c r="I48" s="352"/>
      <c r="J48" s="119">
        <f ca="1">IFERROR(VLOOKUP(J47,OFFSET($BN$2,,,COUNTIF($BN$2:$BN$11,"?*"),5),5,FALSE),"")</f>
        <v>38</v>
      </c>
      <c r="K48" s="355" t="str">
        <f ca="1">IFERROR(IF(VLOOKUP(J47,OFFSET($BN$2,,,COUNTIF($BN$2:$BN$11,"?*"),5),4,FALSE)&lt;&gt;0,VLOOKUP(J47,OFFSET($BN$2,,,COUNTIF($BN$2:$BN$11,"?*"),5),4,FALSE),"-"),"")</f>
        <v>-</v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 t="s">
        <v>721</v>
      </c>
      <c r="K49" s="358"/>
      <c r="L49" s="358"/>
      <c r="M49" s="358"/>
      <c r="N49" s="333" t="str">
        <f ca="1">IFERROR(VLOOKUP(J49,OFFSET($BN$2,,,COUNTIF($BN$2:$BN$11,"?*"),5),3,FALSE),"")</f>
        <v>kondiční trenér</v>
      </c>
      <c r="O49" s="333"/>
      <c r="P49" s="333"/>
      <c r="Q49" s="333"/>
      <c r="R49" s="334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>
        <f ca="1">IFERROR(VLOOKUP(J49,OFFSET($BN$2,,,COUNTIF($BN$2:$BN$11,"?*"),5),5,FALSE),"")</f>
        <v>34</v>
      </c>
      <c r="K50" s="355" t="str">
        <f ca="1">IFERROR(IF(VLOOKUP(J49,OFFSET($BN$2,,,COUNTIF($BN$2:$BN$11,"?*"),5),4,FALSE)&lt;&gt;0,VLOOKUP(J49,OFFSET($BN$2,,,COUNTIF($BN$2:$BN$11,"?*"),5),4,FALSE),"-"),"")</f>
        <v>-</v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754</v>
      </c>
      <c r="T2" s="102" t="s">
        <v>64</v>
      </c>
      <c r="U2" s="102">
        <v>5</v>
      </c>
      <c r="V2" s="102">
        <v>3</v>
      </c>
      <c r="W2" s="102">
        <v>1</v>
      </c>
      <c r="X2" s="102">
        <v>0</v>
      </c>
      <c r="Y2" s="102">
        <v>4</v>
      </c>
      <c r="Z2" s="102">
        <v>7</v>
      </c>
      <c r="AA2" s="102">
        <v>0</v>
      </c>
      <c r="AB2" s="102">
        <v>-4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0" t="s">
        <v>36</v>
      </c>
      <c r="BT2" s="104" t="s">
        <v>1022</v>
      </c>
      <c r="BU2" s="103">
        <v>7</v>
      </c>
      <c r="BV2" s="104" t="str">
        <f>IFERROR(RIGHT(BT2,LEN(BT2)-SEARCH(" ",BT2)),"")</f>
        <v>Tomáš Brom</v>
      </c>
      <c r="BW2" s="102">
        <f>IF(BT2&lt;&gt;0,_xlfn.NUMBERVALUE(BU2,","),"")</f>
        <v>7</v>
      </c>
      <c r="BX2" s="329" t="s">
        <v>214</v>
      </c>
      <c r="BY2" s="103" t="s">
        <v>210</v>
      </c>
      <c r="BZ2" s="103" t="s">
        <v>962</v>
      </c>
      <c r="CA2" s="115" t="s">
        <v>936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750</v>
      </c>
      <c r="U3" s="102">
        <v>5</v>
      </c>
      <c r="V3" s="102">
        <v>2</v>
      </c>
      <c r="W3" s="102">
        <v>0</v>
      </c>
      <c r="X3" s="102">
        <v>0</v>
      </c>
      <c r="Y3" s="102">
        <v>5</v>
      </c>
      <c r="Z3" s="102">
        <v>7</v>
      </c>
      <c r="AA3" s="102">
        <v>2</v>
      </c>
      <c r="AB3" s="102">
        <v>-5</v>
      </c>
      <c r="AC3" s="102" t="str">
        <f t="shared" ca="1" si="0"/>
        <v>ANO</v>
      </c>
      <c r="AG3" s="121" t="s">
        <v>754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5 OZ, 7 (3+4), -4 ±</v>
      </c>
      <c r="AY3" s="129" t="str">
        <f t="shared" ca="1" si="2"/>
        <v>5 OZ, 7 (3+4)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0"/>
      <c r="BT3" s="104" t="s">
        <v>1023</v>
      </c>
      <c r="BU3" s="103">
        <v>7</v>
      </c>
      <c r="BV3" s="104" t="str">
        <f t="shared" ref="BV3:BV31" si="13">IFERROR(RIGHT(BT3,LEN(BT3)-SEARCH(" ",BT3)),"")</f>
        <v>Lukáš Jalový</v>
      </c>
      <c r="BW3" s="102">
        <f t="shared" ref="BW3:BW31" si="14">IF(BT3&lt;&gt;0,_xlfn.NUMBERVALUE(BU3,","),"")</f>
        <v>7</v>
      </c>
      <c r="BX3" s="329"/>
      <c r="BY3" s="103" t="s">
        <v>266</v>
      </c>
      <c r="BZ3" s="103" t="s">
        <v>966</v>
      </c>
      <c r="CA3" s="115" t="s">
        <v>1019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763</v>
      </c>
      <c r="U4" s="102">
        <v>5</v>
      </c>
      <c r="V4" s="102">
        <v>4</v>
      </c>
      <c r="W4" s="102">
        <v>1</v>
      </c>
      <c r="X4" s="102">
        <v>0</v>
      </c>
      <c r="Y4" s="102">
        <v>1</v>
      </c>
      <c r="Z4" s="102">
        <v>5</v>
      </c>
      <c r="AA4" s="102">
        <v>8</v>
      </c>
      <c r="AB4" s="102">
        <v>-2</v>
      </c>
      <c r="AC4" s="102" t="str">
        <f t="shared" ca="1" si="0"/>
        <v>ANO</v>
      </c>
      <c r="AG4" s="121" t="s">
        <v>760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5 OZ, 1 (1+0), -3 ±</v>
      </c>
      <c r="AY4" s="129" t="str">
        <f t="shared" ca="1" si="2"/>
        <v>5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0"/>
      <c r="BT4" s="104" t="s">
        <v>900</v>
      </c>
      <c r="BU4" s="103">
        <v>5</v>
      </c>
      <c r="BV4" s="104" t="str">
        <f t="shared" si="13"/>
        <v>René Slezák</v>
      </c>
      <c r="BW4" s="102">
        <f t="shared" si="14"/>
        <v>5</v>
      </c>
      <c r="BX4" s="329"/>
      <c r="BY4" s="103" t="s">
        <v>882</v>
      </c>
      <c r="BZ4" s="103" t="s">
        <v>964</v>
      </c>
      <c r="CA4" s="115" t="s">
        <v>903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752</v>
      </c>
      <c r="U5" s="102">
        <v>5</v>
      </c>
      <c r="V5" s="102">
        <v>1</v>
      </c>
      <c r="W5" s="102">
        <v>0</v>
      </c>
      <c r="X5" s="102">
        <v>0</v>
      </c>
      <c r="Y5" s="102">
        <v>3</v>
      </c>
      <c r="Z5" s="102">
        <v>4</v>
      </c>
      <c r="AA5" s="102">
        <v>0</v>
      </c>
      <c r="AB5" s="102">
        <v>-4</v>
      </c>
      <c r="AC5" s="102" t="str">
        <f t="shared" ca="1" si="0"/>
        <v>ANO</v>
      </c>
      <c r="AG5" s="121" t="s">
        <v>749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5 OZ, 3 (2+1), -4 ±</v>
      </c>
      <c r="AY5" s="129" t="str">
        <f t="shared" ca="1" si="2"/>
        <v>5 OZ, 3 (2+1)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0"/>
      <c r="BT5" s="104" t="s">
        <v>901</v>
      </c>
      <c r="BU5" s="103">
        <v>4</v>
      </c>
      <c r="BV5" s="104" t="str">
        <f t="shared" si="13"/>
        <v>Lukáš Vlach</v>
      </c>
      <c r="BW5" s="102">
        <f t="shared" si="14"/>
        <v>4</v>
      </c>
      <c r="BX5" s="329"/>
      <c r="BY5" s="103" t="s">
        <v>869</v>
      </c>
      <c r="BZ5" s="103" t="s">
        <v>1020</v>
      </c>
      <c r="CA5" s="115" t="s">
        <v>681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749</v>
      </c>
      <c r="T6" s="102" t="s">
        <v>121</v>
      </c>
      <c r="U6" s="102">
        <v>5</v>
      </c>
      <c r="V6" s="102">
        <v>2</v>
      </c>
      <c r="W6" s="102">
        <v>1</v>
      </c>
      <c r="X6" s="102">
        <v>0</v>
      </c>
      <c r="Y6" s="102">
        <v>1</v>
      </c>
      <c r="Z6" s="102">
        <v>3</v>
      </c>
      <c r="AA6" s="102">
        <v>2</v>
      </c>
      <c r="AB6" s="102">
        <v>-4</v>
      </c>
      <c r="AC6" s="102" t="str">
        <f t="shared" ca="1" si="0"/>
        <v>ANO</v>
      </c>
      <c r="AG6" s="121" t="s">
        <v>527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5 OZ, 2 (1+1), -5 ±</v>
      </c>
      <c r="AY6" s="129" t="str">
        <f t="shared" ca="1" si="2"/>
        <v>5 OZ, 2 (1+1)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0"/>
      <c r="BT6" s="104" t="s">
        <v>902</v>
      </c>
      <c r="BU6" s="103">
        <v>3</v>
      </c>
      <c r="BV6" s="104" t="str">
        <f t="shared" si="13"/>
        <v>Marek Fuchs</v>
      </c>
      <c r="BW6" s="102">
        <f t="shared" si="14"/>
        <v>3</v>
      </c>
      <c r="BX6" s="329"/>
      <c r="BY6" s="103" t="s">
        <v>265</v>
      </c>
      <c r="BZ6" s="103" t="s">
        <v>956</v>
      </c>
      <c r="CA6" s="115" t="s">
        <v>770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766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-8</v>
      </c>
      <c r="AC7" s="102" t="str">
        <f t="shared" ca="1" si="0"/>
        <v>ANO</v>
      </c>
      <c r="AG7" s="121" t="s">
        <v>766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5 OZ, 3 (2+1), -8 ±</v>
      </c>
      <c r="AY7" s="129" t="str">
        <f t="shared" ca="1" si="2"/>
        <v>5 OZ, 3 (2+1)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1024</v>
      </c>
      <c r="BU7" s="103" t="s">
        <v>1025</v>
      </c>
      <c r="BV7" s="104" t="str">
        <f t="shared" si="13"/>
        <v>Ondřej Kolajta</v>
      </c>
      <c r="BW7" s="112">
        <f t="shared" si="14"/>
        <v>5.6</v>
      </c>
      <c r="BX7" s="329" t="s">
        <v>215</v>
      </c>
      <c r="BY7" s="103" t="s">
        <v>267</v>
      </c>
      <c r="BZ7" s="103" t="s">
        <v>957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103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764</v>
      </c>
      <c r="T8" s="102" t="s">
        <v>64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2</v>
      </c>
      <c r="AB8" s="102">
        <v>-6</v>
      </c>
      <c r="AC8" s="102" t="str">
        <f t="shared" ca="1" si="0"/>
        <v>ANO</v>
      </c>
      <c r="AG8" s="121" t="s">
        <v>750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5 OZ, 7 (2+5), -5 ±</v>
      </c>
      <c r="AY8" s="129" t="str">
        <f t="shared" ca="1" si="2"/>
        <v>5 OZ, 7 (2+5)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1026</v>
      </c>
      <c r="BU8" s="103" t="s">
        <v>1027</v>
      </c>
      <c r="BV8" s="104" t="str">
        <f t="shared" si="13"/>
        <v>Filip Létal</v>
      </c>
      <c r="BW8" s="112">
        <f t="shared" si="14"/>
        <v>12.05</v>
      </c>
      <c r="BX8" s="329"/>
      <c r="BY8" s="103" t="s">
        <v>874</v>
      </c>
      <c r="BZ8" s="103" t="s">
        <v>985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761</v>
      </c>
      <c r="U9" s="102">
        <v>4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2</v>
      </c>
      <c r="AB9" s="102">
        <v>-2</v>
      </c>
      <c r="AC9" s="102" t="str">
        <f t="shared" ca="1" si="0"/>
        <v>ANO</v>
      </c>
      <c r="AG9" s="121" t="s">
        <v>759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5 OZ, 2 (0+2), -4 ±</v>
      </c>
      <c r="AY9" s="129" t="str">
        <f t="shared" ca="1" si="2"/>
        <v>5 OZ, 2 (0+2)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V9" s="104" t="str">
        <f t="shared" si="13"/>
        <v/>
      </c>
      <c r="BW9" s="112" t="str">
        <f t="shared" si="14"/>
        <v/>
      </c>
      <c r="BX9" s="329"/>
      <c r="BY9" s="103" t="s">
        <v>1247</v>
      </c>
      <c r="BZ9" s="103" t="s">
        <v>986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527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-5</v>
      </c>
      <c r="AC10" s="102" t="str">
        <f t="shared" ca="1" si="0"/>
        <v>ANO</v>
      </c>
      <c r="AG10" s="121" t="s">
        <v>762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990</v>
      </c>
      <c r="BZ10" s="103" t="s">
        <v>983</v>
      </c>
      <c r="CA10" s="115" t="s">
        <v>208</v>
      </c>
    </row>
    <row r="11" spans="1:79" ht="15" customHeight="1" thickTop="1" thickBot="1" x14ac:dyDescent="0.25">
      <c r="R11" s="13"/>
      <c r="S11" s="110" t="s">
        <v>765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2</v>
      </c>
      <c r="AB11" s="102">
        <v>-2</v>
      </c>
      <c r="AC11" s="102" t="str">
        <f t="shared" ca="1" si="0"/>
        <v>ANO</v>
      </c>
      <c r="AG11" s="121" t="s">
        <v>764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5 OZ, 2 (2+0), -6 ±</v>
      </c>
      <c r="AY11" s="129" t="str">
        <f t="shared" ca="1" si="2"/>
        <v>5 OZ, 2 (2+0)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967</v>
      </c>
      <c r="BZ11" s="103" t="s">
        <v>982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759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-4</v>
      </c>
      <c r="AC12" s="102" t="str">
        <f t="shared" ca="1" si="0"/>
        <v>ANO</v>
      </c>
      <c r="AG12" s="121" t="s">
        <v>756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5 OZ, 0 (0+0), -3 ±</v>
      </c>
      <c r="AY12" s="129" t="str">
        <f t="shared" ca="1" si="2"/>
        <v>5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870</v>
      </c>
      <c r="BU12" s="103">
        <v>4</v>
      </c>
      <c r="BV12" s="104" t="str">
        <f t="shared" si="13"/>
        <v>René Slezák</v>
      </c>
      <c r="BW12" s="102">
        <f t="shared" si="14"/>
        <v>4</v>
      </c>
      <c r="BX12" s="120" t="s">
        <v>213</v>
      </c>
      <c r="BY12" s="100" t="s">
        <v>1021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760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-3</v>
      </c>
      <c r="AC13" s="102" t="str">
        <f t="shared" ca="1" si="0"/>
        <v>ANO</v>
      </c>
      <c r="AG13" s="121" t="s">
        <v>761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4 OZ, 2 (1+1), -2 ±</v>
      </c>
      <c r="AY13" s="129" t="str">
        <f t="shared" ca="1" si="2"/>
        <v>4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1028</v>
      </c>
      <c r="BU13" s="103">
        <v>3</v>
      </c>
      <c r="BV13" s="104" t="str">
        <f t="shared" si="13"/>
        <v>Tomáš Brom</v>
      </c>
      <c r="BW13" s="102">
        <f t="shared" si="14"/>
        <v>3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758</v>
      </c>
      <c r="T14" s="102" t="s">
        <v>121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-4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1029</v>
      </c>
      <c r="BU14" s="103">
        <v>2</v>
      </c>
      <c r="BV14" s="104" t="str">
        <f t="shared" si="13"/>
        <v>Lukáš Jalový</v>
      </c>
      <c r="BW14" s="102">
        <f t="shared" si="14"/>
        <v>2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753</v>
      </c>
      <c r="U15" s="102">
        <v>5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7</v>
      </c>
      <c r="AB15" s="102">
        <v>-5</v>
      </c>
      <c r="AC15" s="102" t="str">
        <f t="shared" ca="1" si="0"/>
        <v>ANO</v>
      </c>
      <c r="AG15" s="121" t="s">
        <v>753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5 OZ, 1 (1+0), -5 ±</v>
      </c>
      <c r="AY15" s="129" t="str">
        <f t="shared" ca="1" si="2"/>
        <v>5 OZ, 1 (1+0)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1030</v>
      </c>
      <c r="BU15" s="103">
        <v>2</v>
      </c>
      <c r="BV15" s="104" t="str">
        <f t="shared" si="13"/>
        <v>Marek Fuchs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755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758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5 OZ, 1 (1+0), -4 ±</v>
      </c>
      <c r="AY16" s="129" t="str">
        <f t="shared" ca="1" si="2"/>
        <v>5 OZ, 1 (1+0)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1031</v>
      </c>
      <c r="BU16" s="103">
        <v>2</v>
      </c>
      <c r="BV16" s="104" t="str">
        <f t="shared" si="13"/>
        <v>Matěj Kostka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868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NE</v>
      </c>
      <c r="AG17" s="121" t="s">
        <v>765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4 OZ, 2 (0+2), -2 ±</v>
      </c>
      <c r="AY17" s="129" t="str">
        <f t="shared" ca="1" si="2"/>
        <v>4 OZ, 2 (0+2)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767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756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763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5 OZ, 5 (4+1), -2 ±</v>
      </c>
      <c r="AY18" s="129" t="str">
        <f t="shared" ca="1" si="2"/>
        <v>5 OZ, 5 (4+1)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768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HAT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751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757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5 OZ, 0 (0+0), -4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757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ANO</v>
      </c>
      <c r="AG20" s="121" t="s">
        <v>752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5 OZ, 4 (1+3), -4 ±</v>
      </c>
      <c r="AY20" s="129" t="str">
        <f t="shared" ca="1" si="2"/>
        <v>5 OZ, 4 (1+3)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0" t="s">
        <v>38</v>
      </c>
      <c r="BT22" s="104" t="s">
        <v>769</v>
      </c>
      <c r="BU22" s="103">
        <v>5</v>
      </c>
      <c r="BV22" s="104" t="str">
        <f t="shared" si="13"/>
        <v>Lukáš Jalový</v>
      </c>
      <c r="BW22" s="102">
        <f t="shared" si="14"/>
        <v>5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0"/>
      <c r="BT23" s="104" t="s">
        <v>1028</v>
      </c>
      <c r="BU23" s="103">
        <v>4</v>
      </c>
      <c r="BV23" s="104" t="str">
        <f t="shared" si="13"/>
        <v>Tomáš Brom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0"/>
      <c r="BT24" s="104" t="s">
        <v>1032</v>
      </c>
      <c r="BU24" s="103">
        <v>3</v>
      </c>
      <c r="BV24" s="104" t="str">
        <f t="shared" si="13"/>
        <v>Lukáš Vlach</v>
      </c>
      <c r="BW24" s="102">
        <f t="shared" si="14"/>
        <v>3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0"/>
      <c r="BT25" s="104" t="s">
        <v>1033</v>
      </c>
      <c r="BU25" s="103">
        <v>2</v>
      </c>
      <c r="BV25" s="104" t="str">
        <f t="shared" si="13"/>
        <v>David Sládeček</v>
      </c>
      <c r="BW25" s="102">
        <f t="shared" si="14"/>
        <v>2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0"/>
      <c r="BT26" s="104" t="s">
        <v>1034</v>
      </c>
      <c r="BU26" s="103">
        <v>2</v>
      </c>
      <c r="BV26" s="104" t="str">
        <f t="shared" si="13"/>
        <v>Jiří Juhaňák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0" t="s">
        <v>39</v>
      </c>
      <c r="BT27" s="104" t="s">
        <v>870</v>
      </c>
      <c r="BU27" s="103">
        <v>8</v>
      </c>
      <c r="BV27" s="104" t="str">
        <f t="shared" si="13"/>
        <v>René Slezák</v>
      </c>
      <c r="BW27" s="102">
        <f t="shared" si="14"/>
        <v>8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0"/>
      <c r="BT28" s="104" t="s">
        <v>1035</v>
      </c>
      <c r="BU28" s="103">
        <v>7</v>
      </c>
      <c r="BV28" s="104" t="str">
        <f t="shared" si="13"/>
        <v>Lukáš Lhota</v>
      </c>
      <c r="BW28" s="102">
        <f t="shared" si="14"/>
        <v>7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0"/>
      <c r="BT29" s="104" t="s">
        <v>1036</v>
      </c>
      <c r="BU29" s="103">
        <v>4</v>
      </c>
      <c r="BV29" s="104" t="str">
        <f t="shared" si="13"/>
        <v>Matěj Hronek</v>
      </c>
      <c r="BW29" s="102">
        <f t="shared" si="14"/>
        <v>4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HAT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0"/>
      <c r="BT30" s="104" t="s">
        <v>1033</v>
      </c>
      <c r="BU30" s="103">
        <v>2</v>
      </c>
      <c r="BV30" s="104" t="str">
        <f t="shared" si="13"/>
        <v>David Sládeček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1034</v>
      </c>
      <c r="BU31" s="103">
        <v>2</v>
      </c>
      <c r="BV31" s="104" t="str">
        <f t="shared" si="13"/>
        <v>Jiří Juhaňák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762</v>
      </c>
      <c r="T45" s="102">
        <v>3</v>
      </c>
      <c r="U45" s="112">
        <v>171.53</v>
      </c>
      <c r="V45" s="102">
        <v>0</v>
      </c>
      <c r="W45" s="102">
        <v>16</v>
      </c>
      <c r="X45" s="102">
        <v>0</v>
      </c>
      <c r="Y45" s="102">
        <v>70</v>
      </c>
      <c r="Z45" s="102">
        <v>0</v>
      </c>
      <c r="AA45" s="102">
        <v>3</v>
      </c>
      <c r="AB45" s="102">
        <v>54</v>
      </c>
      <c r="AC45" s="102">
        <v>0</v>
      </c>
      <c r="AD45" s="102">
        <v>0</v>
      </c>
      <c r="AE45" s="112">
        <f>IF(S45&lt;&gt;"",IF(T45&gt;0,W45/(U45/60),0),"")</f>
        <v>5.596688625896344</v>
      </c>
      <c r="AF45" s="112">
        <f>IF(S45&lt;&gt;"",IF(Y45&gt;0,(AB45/Y45)*100,"-"),"")</f>
        <v>77.142857142857153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751</v>
      </c>
      <c r="T46" s="102">
        <v>3</v>
      </c>
      <c r="U46" s="112">
        <v>129.41999999999999</v>
      </c>
      <c r="V46" s="102">
        <v>0</v>
      </c>
      <c r="W46" s="102">
        <v>26</v>
      </c>
      <c r="X46" s="102">
        <v>0</v>
      </c>
      <c r="Y46" s="102">
        <v>53</v>
      </c>
      <c r="Z46" s="102">
        <v>0</v>
      </c>
      <c r="AA46" s="102">
        <v>3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12.053778395920261</v>
      </c>
      <c r="AF46" s="112">
        <f t="shared" ref="AF46:AF50" si="26">IF(S46&lt;&gt;"",IF(Y46&gt;0,(AB46/Y46)*100,"-"),"")</f>
        <v>50.943396226415096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278</v>
      </c>
      <c r="T2" s="102" t="s">
        <v>121</v>
      </c>
      <c r="U2" s="102">
        <v>5</v>
      </c>
      <c r="V2" s="102">
        <v>10</v>
      </c>
      <c r="W2" s="102">
        <v>0</v>
      </c>
      <c r="X2" s="102">
        <v>2</v>
      </c>
      <c r="Y2" s="102">
        <v>2</v>
      </c>
      <c r="Z2" s="102">
        <v>12</v>
      </c>
      <c r="AA2" s="102">
        <v>0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287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308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(1+3), +4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213 OZ, 181 (94+87)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324</v>
      </c>
      <c r="BO2" s="122">
        <v>31582</v>
      </c>
      <c r="BP2" s="131" t="s">
        <v>259</v>
      </c>
      <c r="BQ2" s="132" t="s">
        <v>325</v>
      </c>
      <c r="BR2" s="127">
        <f ca="1">IF(BN2&lt;&gt;"",IF(BO2&lt;&gt;"",INT((TODAY()-BO2)/365),"?"),"")</f>
        <v>35</v>
      </c>
      <c r="BS2" s="330" t="s">
        <v>36</v>
      </c>
      <c r="BT2" s="104" t="s">
        <v>831</v>
      </c>
      <c r="BU2" s="103">
        <v>12</v>
      </c>
      <c r="BV2" s="104" t="str">
        <f>IFERROR(RIGHT(BT2,LEN(BT2)-SEARCH(" ",BT2)),"")</f>
        <v>Marek Vávra</v>
      </c>
      <c r="BW2" s="102">
        <f>IF(BT2&lt;&gt;0,_xlfn.NUMBERVALUE(BU2,","),"")</f>
        <v>12</v>
      </c>
      <c r="BX2" s="329" t="s">
        <v>214</v>
      </c>
      <c r="BY2" s="103" t="s">
        <v>210</v>
      </c>
      <c r="BZ2" s="103" t="s">
        <v>1037</v>
      </c>
      <c r="CA2" s="115" t="s">
        <v>865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281</v>
      </c>
      <c r="T3" s="102" t="s">
        <v>121</v>
      </c>
      <c r="U3" s="102">
        <v>5</v>
      </c>
      <c r="V3" s="102">
        <v>2</v>
      </c>
      <c r="W3" s="102">
        <v>1</v>
      </c>
      <c r="X3" s="102">
        <v>0</v>
      </c>
      <c r="Y3" s="102">
        <v>6</v>
      </c>
      <c r="Z3" s="102">
        <v>8</v>
      </c>
      <c r="AA3" s="102">
        <v>0</v>
      </c>
      <c r="AB3" s="102">
        <v>6</v>
      </c>
      <c r="AC3" s="102" t="str">
        <f t="shared" ca="1" si="0"/>
        <v>ANO</v>
      </c>
      <c r="AG3" s="121" t="s">
        <v>295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151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326</v>
      </c>
      <c r="BO3" s="122">
        <v>26801</v>
      </c>
      <c r="BP3" s="131" t="s">
        <v>260</v>
      </c>
      <c r="BQ3" s="132" t="s">
        <v>327</v>
      </c>
      <c r="BR3" s="127">
        <f t="shared" ref="BR3:BR11" ca="1" si="12">IF(BN3&lt;&gt;"",IF(BO3&lt;&gt;"",INT((TODAY()-BO3)/365),"?"),"")</f>
        <v>48</v>
      </c>
      <c r="BS3" s="330"/>
      <c r="BT3" s="104" t="s">
        <v>1045</v>
      </c>
      <c r="BU3" s="103">
        <v>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8</v>
      </c>
      <c r="BX3" s="329"/>
      <c r="BY3" s="103" t="s">
        <v>209</v>
      </c>
      <c r="BZ3" s="103" t="s">
        <v>1038</v>
      </c>
      <c r="CA3" s="115" t="s">
        <v>1039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277</v>
      </c>
      <c r="T4" s="102" t="s">
        <v>121</v>
      </c>
      <c r="U4" s="102">
        <v>5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2</v>
      </c>
      <c r="AB4" s="102">
        <v>1</v>
      </c>
      <c r="AC4" s="102" t="str">
        <f t="shared" ca="1" si="0"/>
        <v>NE</v>
      </c>
      <c r="AG4" s="121" t="s">
        <v>296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151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3 OZ, 0 (0+0), -2 ±</v>
      </c>
      <c r="AY4" s="129" t="str">
        <f t="shared" ca="1" si="2"/>
        <v>12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306</v>
      </c>
      <c r="BO4" s="122">
        <v>28909</v>
      </c>
      <c r="BP4" s="131" t="s">
        <v>260</v>
      </c>
      <c r="BQ4" s="132" t="s">
        <v>328</v>
      </c>
      <c r="BR4" s="127">
        <f t="shared" ca="1" si="12"/>
        <v>42</v>
      </c>
      <c r="BS4" s="330"/>
      <c r="BT4" s="104" t="s">
        <v>832</v>
      </c>
      <c r="BU4" s="103">
        <v>7</v>
      </c>
      <c r="BV4" s="104" t="str">
        <f t="shared" si="13"/>
        <v>Mikuláš Komárek</v>
      </c>
      <c r="BW4" s="102">
        <f t="shared" si="14"/>
        <v>7</v>
      </c>
      <c r="BX4" s="329"/>
      <c r="BY4" s="103" t="s">
        <v>882</v>
      </c>
      <c r="BZ4" s="103" t="s">
        <v>1040</v>
      </c>
      <c r="CA4" s="115" t="s">
        <v>862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284</v>
      </c>
      <c r="T5" s="102" t="s">
        <v>121</v>
      </c>
      <c r="U5" s="102">
        <v>4</v>
      </c>
      <c r="V5" s="102">
        <v>2</v>
      </c>
      <c r="W5" s="102">
        <v>0</v>
      </c>
      <c r="X5" s="102">
        <v>0</v>
      </c>
      <c r="Y5" s="102">
        <v>5</v>
      </c>
      <c r="Z5" s="102">
        <v>7</v>
      </c>
      <c r="AA5" s="102">
        <v>0</v>
      </c>
      <c r="AB5" s="102">
        <v>3</v>
      </c>
      <c r="AC5" s="102" t="str">
        <f t="shared" ca="1" si="0"/>
        <v>ANO</v>
      </c>
      <c r="AG5" s="121" t="s">
        <v>285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151</v>
      </c>
      <c r="AQ5" s="123">
        <v>183</v>
      </c>
      <c r="AR5" s="123">
        <v>92</v>
      </c>
      <c r="AS5" s="126" t="s">
        <v>309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5 OZ, 5 (3+2), +4 ±</v>
      </c>
      <c r="AY5" s="129" t="str">
        <f t="shared" ca="1" si="2"/>
        <v>51 OZ, 30 (20+10)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329</v>
      </c>
      <c r="BO5" s="122">
        <v>31168</v>
      </c>
      <c r="BP5" s="131" t="s">
        <v>330</v>
      </c>
      <c r="BQ5" s="132" t="s">
        <v>331</v>
      </c>
      <c r="BR5" s="127">
        <f t="shared" ca="1" si="12"/>
        <v>36</v>
      </c>
      <c r="BS5" s="330"/>
      <c r="BT5" s="104" t="s">
        <v>1046</v>
      </c>
      <c r="BU5" s="103">
        <v>7</v>
      </c>
      <c r="BV5" s="104" t="str">
        <f t="shared" si="13"/>
        <v>Tom Ondrušek</v>
      </c>
      <c r="BW5" s="102">
        <f t="shared" si="14"/>
        <v>7</v>
      </c>
      <c r="BX5" s="329"/>
      <c r="BY5" s="103" t="s">
        <v>207</v>
      </c>
      <c r="BZ5" s="103" t="s">
        <v>1041</v>
      </c>
      <c r="CA5" s="115" t="s">
        <v>836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285</v>
      </c>
      <c r="T6" s="102" t="s">
        <v>121</v>
      </c>
      <c r="U6" s="102">
        <v>5</v>
      </c>
      <c r="V6" s="102">
        <v>3</v>
      </c>
      <c r="W6" s="102">
        <v>0</v>
      </c>
      <c r="X6" s="102">
        <v>0</v>
      </c>
      <c r="Y6" s="102">
        <v>2</v>
      </c>
      <c r="Z6" s="102">
        <v>5</v>
      </c>
      <c r="AA6" s="102">
        <v>2</v>
      </c>
      <c r="AB6" s="102">
        <v>4</v>
      </c>
      <c r="AC6" s="102" t="str">
        <f t="shared" ca="1" si="0"/>
        <v>ANO</v>
      </c>
      <c r="AG6" s="121" t="s">
        <v>297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310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1 V, 1 P</v>
      </c>
      <c r="AY6" s="129" t="str">
        <f t="shared" ca="1" si="2"/>
        <v>13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332</v>
      </c>
      <c r="BO6" s="122">
        <v>32514</v>
      </c>
      <c r="BP6" s="131" t="s">
        <v>333</v>
      </c>
      <c r="BQ6" s="132" t="s">
        <v>334</v>
      </c>
      <c r="BR6" s="127">
        <f t="shared" ca="1" si="12"/>
        <v>32</v>
      </c>
      <c r="BS6" s="330"/>
      <c r="BT6" s="104" t="s">
        <v>1047</v>
      </c>
      <c r="BU6" s="103">
        <v>5</v>
      </c>
      <c r="BV6" s="104" t="str">
        <f t="shared" si="13"/>
        <v>Daniel Eremiáš</v>
      </c>
      <c r="BW6" s="102">
        <f t="shared" si="14"/>
        <v>5</v>
      </c>
      <c r="BX6" s="329"/>
      <c r="BY6" s="103" t="s">
        <v>265</v>
      </c>
      <c r="BZ6" s="103" t="s">
        <v>1006</v>
      </c>
      <c r="CA6" s="115" t="s">
        <v>339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283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1</v>
      </c>
      <c r="AC7" s="102" t="str">
        <f t="shared" ca="1" si="0"/>
        <v>NE</v>
      </c>
      <c r="AG7" s="121" t="s">
        <v>298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151</v>
      </c>
      <c r="AQ7" s="123">
        <v>175</v>
      </c>
      <c r="AR7" s="123">
        <v>67</v>
      </c>
      <c r="AS7" s="126" t="s">
        <v>311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4 OZ, 0 (0+0), -3 ±</v>
      </c>
      <c r="AY7" s="129" t="str">
        <f t="shared" ca="1" si="2"/>
        <v>27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335</v>
      </c>
      <c r="BU7" s="103" t="s">
        <v>1048</v>
      </c>
      <c r="BV7" s="104" t="str">
        <f t="shared" si="13"/>
        <v>Vojtěch Šimůnek</v>
      </c>
      <c r="BW7" s="112">
        <f t="shared" si="14"/>
        <v>5.64</v>
      </c>
      <c r="BX7" s="329" t="s">
        <v>215</v>
      </c>
      <c r="BY7" s="103" t="s">
        <v>267</v>
      </c>
      <c r="BZ7" s="103" t="s">
        <v>968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24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287</v>
      </c>
      <c r="T8" s="102" t="s">
        <v>64</v>
      </c>
      <c r="U8" s="102">
        <v>5</v>
      </c>
      <c r="V8" s="102">
        <v>1</v>
      </c>
      <c r="W8" s="102">
        <v>1</v>
      </c>
      <c r="X8" s="102">
        <v>0</v>
      </c>
      <c r="Y8" s="102">
        <v>3</v>
      </c>
      <c r="Z8" s="102">
        <v>4</v>
      </c>
      <c r="AA8" s="102">
        <v>2</v>
      </c>
      <c r="AB8" s="102">
        <v>4</v>
      </c>
      <c r="AC8" s="102" t="str">
        <f t="shared" ca="1" si="0"/>
        <v>ANO</v>
      </c>
      <c r="AG8" s="121" t="s">
        <v>299</v>
      </c>
      <c r="AH8" s="122"/>
      <c r="AI8" s="123"/>
      <c r="AJ8" s="123"/>
      <c r="AK8" s="123"/>
      <c r="AL8" s="124">
        <f>IF(AG8&lt;&gt;"",AJ8+AK8,"")</f>
        <v>0</v>
      </c>
      <c r="AM8" s="123" t="s">
        <v>307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0 OZ, 0 (0+0)</v>
      </c>
      <c r="AY8" s="129" t="str">
        <f t="shared" ca="1" si="2"/>
        <v xml:space="preserve"> OZ, 0 (+)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336</v>
      </c>
      <c r="BU8" s="103" t="s">
        <v>201</v>
      </c>
      <c r="BV8" s="104" t="str">
        <f t="shared" si="13"/>
        <v>Karel Pergler</v>
      </c>
      <c r="BW8" s="112">
        <f t="shared" si="14"/>
        <v>0</v>
      </c>
      <c r="BX8" s="329"/>
      <c r="BY8" s="103" t="s">
        <v>816</v>
      </c>
      <c r="BZ8" s="103" t="s">
        <v>1003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280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0</v>
      </c>
      <c r="AB9" s="102">
        <v>-5</v>
      </c>
      <c r="AC9" s="102" t="str">
        <f t="shared" ca="1" si="0"/>
        <v>ANO</v>
      </c>
      <c r="AG9" s="121" t="s">
        <v>300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151</v>
      </c>
      <c r="AQ9" s="123">
        <v>183</v>
      </c>
      <c r="AR9" s="123">
        <v>88</v>
      </c>
      <c r="AS9" s="126" t="s">
        <v>312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T9" s="104" t="s">
        <v>1049</v>
      </c>
      <c r="BU9" s="103" t="s">
        <v>1050</v>
      </c>
      <c r="BV9" s="104" t="str">
        <f t="shared" si="13"/>
        <v>Karel Hodík</v>
      </c>
      <c r="BW9" s="112">
        <f t="shared" si="14"/>
        <v>7.1</v>
      </c>
      <c r="BX9" s="329"/>
      <c r="BY9" s="103" t="s">
        <v>1042</v>
      </c>
      <c r="BZ9" s="103" t="s">
        <v>959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294</v>
      </c>
      <c r="T10" s="102" t="s">
        <v>121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301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151</v>
      </c>
      <c r="AQ10" s="123">
        <v>176</v>
      </c>
      <c r="AR10" s="123">
        <v>73</v>
      </c>
      <c r="AS10" s="126" t="s">
        <v>155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965</v>
      </c>
      <c r="BZ10" s="103" t="s">
        <v>1043</v>
      </c>
      <c r="CA10" s="115" t="s">
        <v>208</v>
      </c>
    </row>
    <row r="11" spans="1:79" ht="15" customHeight="1" thickTop="1" thickBot="1" x14ac:dyDescent="0.25">
      <c r="R11" s="13"/>
      <c r="S11" s="110" t="s">
        <v>282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-4</v>
      </c>
      <c r="AC11" s="102" t="str">
        <f t="shared" ca="1" si="0"/>
        <v>ANO</v>
      </c>
      <c r="AG11" s="121" t="s">
        <v>302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151</v>
      </c>
      <c r="AQ11" s="123">
        <v>186</v>
      </c>
      <c r="AR11" s="123">
        <v>84</v>
      </c>
      <c r="AS11" s="126" t="s">
        <v>313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967</v>
      </c>
      <c r="BZ11" s="103" t="s">
        <v>956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279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1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151</v>
      </c>
      <c r="AQ12" s="123">
        <v>177</v>
      </c>
      <c r="AR12" s="123">
        <v>75</v>
      </c>
      <c r="AS12" s="126" t="s">
        <v>314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831</v>
      </c>
      <c r="BU12" s="103">
        <v>10</v>
      </c>
      <c r="BV12" s="104" t="str">
        <f t="shared" si="13"/>
        <v>Marek Vávra</v>
      </c>
      <c r="BW12" s="102">
        <f t="shared" si="14"/>
        <v>10</v>
      </c>
      <c r="BX12" s="120" t="s">
        <v>213</v>
      </c>
      <c r="BY12" s="100" t="s">
        <v>1044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835</v>
      </c>
      <c r="T13" s="102" t="s">
        <v>121</v>
      </c>
      <c r="U13" s="102">
        <v>2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-3</v>
      </c>
      <c r="AC13" s="102" t="str">
        <f t="shared" ca="1" si="0"/>
        <v>NE</v>
      </c>
      <c r="AG13" s="121" t="s">
        <v>281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315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5 OZ, 8 (2+6), +6 ±</v>
      </c>
      <c r="AY13" s="129" t="str">
        <f t="shared" ca="1" si="2"/>
        <v>45 OZ, 73 (42+31)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338</v>
      </c>
      <c r="BU13" s="103">
        <v>6</v>
      </c>
      <c r="BV13" s="104" t="str">
        <f t="shared" si="13"/>
        <v>Mikuláš Komárek</v>
      </c>
      <c r="BW13" s="102">
        <f t="shared" si="14"/>
        <v>6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291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3</v>
      </c>
      <c r="AC14" s="102" t="str">
        <f t="shared" ca="1" si="0"/>
        <v>ANO</v>
      </c>
      <c r="AG14" s="121" t="s">
        <v>294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151</v>
      </c>
      <c r="AQ14" s="123">
        <v>184</v>
      </c>
      <c r="AR14" s="123">
        <v>78</v>
      </c>
      <c r="AS14" s="126" t="s">
        <v>316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5 OZ, 3 (1+2), +4 ±</v>
      </c>
      <c r="AY14" s="129" t="str">
        <f t="shared" ca="1" si="2"/>
        <v>99 OZ, 56 (37+19)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1051</v>
      </c>
      <c r="BU14" s="103">
        <v>3</v>
      </c>
      <c r="BV14" s="104" t="str">
        <f t="shared" si="13"/>
        <v>Daniel Eremiáš</v>
      </c>
      <c r="BW14" s="102">
        <f t="shared" si="14"/>
        <v>3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286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4</v>
      </c>
      <c r="AB15" s="102">
        <v>6</v>
      </c>
      <c r="AC15" s="102" t="str">
        <f t="shared" ca="1" si="0"/>
        <v>ANO</v>
      </c>
      <c r="AG15" s="121" t="s">
        <v>303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151</v>
      </c>
      <c r="AQ15" s="123">
        <v>182</v>
      </c>
      <c r="AR15" s="123">
        <v>82</v>
      </c>
      <c r="AS15" s="126" t="s">
        <v>317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1052</v>
      </c>
      <c r="BU15" s="103">
        <v>3</v>
      </c>
      <c r="BV15" s="104" t="str">
        <f t="shared" si="13"/>
        <v>Martin Skřivánek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293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3</v>
      </c>
      <c r="AC16" s="102" t="str">
        <f t="shared" ca="1" si="0"/>
        <v>NE</v>
      </c>
      <c r="AG16" s="121" t="s">
        <v>284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318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4 OZ, 7 (2+5), +3 ±</v>
      </c>
      <c r="AY16" s="129" t="str">
        <f t="shared" ca="1" si="2"/>
        <v>244 OZ, 530 (324+206)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1053</v>
      </c>
      <c r="BU16" s="103">
        <v>2</v>
      </c>
      <c r="BV16" s="104" t="str">
        <f t="shared" si="13"/>
        <v>Martin Řezáč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1059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122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307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335</v>
      </c>
      <c r="BU17" s="103">
        <v>1</v>
      </c>
      <c r="BV17" s="104" t="str">
        <f t="shared" si="13"/>
        <v>Vojtěch Šimůnek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1060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-1</v>
      </c>
      <c r="AC18" s="102" t="str">
        <f t="shared" ca="1" si="0"/>
        <v>NE</v>
      </c>
      <c r="AG18" s="121" t="s">
        <v>288</v>
      </c>
      <c r="AH18" s="122"/>
      <c r="AI18" s="123"/>
      <c r="AJ18" s="123"/>
      <c r="AK18" s="123"/>
      <c r="AL18" s="124">
        <f>IF(AG18&lt;&gt;"",AJ18+AK18,"")</f>
        <v>0</v>
      </c>
      <c r="AM18" s="123" t="s">
        <v>307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1054</v>
      </c>
      <c r="BU18" s="103">
        <v>1</v>
      </c>
      <c r="BV18" s="104" t="str">
        <f t="shared" si="13"/>
        <v>Karel Hodík</v>
      </c>
      <c r="BW18" s="102">
        <f t="shared" si="14"/>
        <v>1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CHO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297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290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151</v>
      </c>
      <c r="AQ19" s="123">
        <v>172</v>
      </c>
      <c r="AR19" s="123">
        <v>73</v>
      </c>
      <c r="AS19" s="126" t="s">
        <v>319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3 OZ, 0 (0+0), -1 ±</v>
      </c>
      <c r="AY19" s="129" t="str">
        <f t="shared" ca="1" si="2"/>
        <v>120 OZ, 48 (30+18)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T19" s="104" t="s">
        <v>1055</v>
      </c>
      <c r="BU19" s="103">
        <v>0</v>
      </c>
      <c r="BV19" s="104" t="str">
        <f t="shared" si="13"/>
        <v>Karel Pergler</v>
      </c>
      <c r="BW19" s="102">
        <f t="shared" si="14"/>
        <v>0</v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296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286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320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5 OZ, 1 (0+1), +6 ±</v>
      </c>
      <c r="AY20" s="129" t="str">
        <f t="shared" ca="1" si="2"/>
        <v>226 OZ, 152 (44+108)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288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304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320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290</v>
      </c>
      <c r="T22" s="102" t="s">
        <v>121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280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321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5 OZ, 3 (2+1), -5 ±</v>
      </c>
      <c r="AY22" s="129" t="str">
        <f t="shared" ca="1" si="2"/>
        <v>99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834</v>
      </c>
      <c r="BU22" s="103">
        <v>6</v>
      </c>
      <c r="BV22" s="104" t="str">
        <f t="shared" si="13"/>
        <v>Petr Majer</v>
      </c>
      <c r="BW22" s="102">
        <f t="shared" si="14"/>
        <v>6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305</v>
      </c>
      <c r="T23" s="102" t="s">
        <v>64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-5</v>
      </c>
      <c r="AC23" s="102" t="str">
        <f t="shared" ca="1" si="0"/>
        <v>ANO</v>
      </c>
      <c r="AG23" s="121" t="s">
        <v>291</v>
      </c>
      <c r="AH23" s="122"/>
      <c r="AI23" s="123"/>
      <c r="AJ23" s="123"/>
      <c r="AK23" s="123"/>
      <c r="AL23" s="124">
        <f>IF(AG23&lt;&gt;"",AJ23+AK23,"")</f>
        <v>0</v>
      </c>
      <c r="AM23" s="123" t="s">
        <v>307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5 OZ, 1 (0+1), +3 ±</v>
      </c>
      <c r="AY23" s="129" t="str">
        <f t="shared" ca="1" si="2"/>
        <v>5 OZ, 1 (0+1)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904</v>
      </c>
      <c r="BU23" s="103">
        <v>5</v>
      </c>
      <c r="BV23" s="104" t="str">
        <f t="shared" si="13"/>
        <v>Tom Ondrušek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0" t="s">
        <v>292</v>
      </c>
      <c r="T24" s="102" t="s">
        <v>64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305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151</v>
      </c>
      <c r="AQ24" s="123">
        <v>182</v>
      </c>
      <c r="AR24" s="123">
        <v>75</v>
      </c>
      <c r="AS24" s="126" t="s">
        <v>321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4 OZ, 0 (0+0),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96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1056</v>
      </c>
      <c r="BU24" s="103">
        <v>3</v>
      </c>
      <c r="BV24" s="104" t="str">
        <f t="shared" si="13"/>
        <v>Jiří Bauer</v>
      </c>
      <c r="BW24" s="102">
        <f t="shared" si="14"/>
        <v>3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0" t="s">
        <v>298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-3</v>
      </c>
      <c r="AC25" s="102" t="str">
        <f t="shared" ca="1" si="0"/>
        <v>ANO</v>
      </c>
      <c r="AG25" s="121" t="s">
        <v>292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322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833</v>
      </c>
      <c r="BU25" s="103">
        <v>2</v>
      </c>
      <c r="BV25" s="104" t="str">
        <f t="shared" si="13"/>
        <v>Daniel Eremiáš</v>
      </c>
      <c r="BW25" s="102">
        <f t="shared" si="14"/>
        <v>2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289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289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323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1057</v>
      </c>
      <c r="BU26" s="103">
        <v>2</v>
      </c>
      <c r="BV26" s="104" t="str">
        <f t="shared" si="13"/>
        <v>Daniel Maxa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 t="s">
        <v>306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307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0" t="s">
        <v>39</v>
      </c>
      <c r="BT27" s="104" t="s">
        <v>337</v>
      </c>
      <c r="BU27" s="103">
        <v>4</v>
      </c>
      <c r="BV27" s="104" t="str">
        <f t="shared" si="13"/>
        <v>Michal Podhráský</v>
      </c>
      <c r="BW27" s="102">
        <f t="shared" si="14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278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168</v>
      </c>
      <c r="AP28" s="125" t="s">
        <v>151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12 (10+2), +1 ±</v>
      </c>
      <c r="AY28" s="129" t="str">
        <f t="shared" ca="1" si="16"/>
        <v>235 OZ, 470 (276+194)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0"/>
      <c r="BT28" s="104" t="s">
        <v>906</v>
      </c>
      <c r="BU28" s="103">
        <v>4</v>
      </c>
      <c r="BV28" s="104" t="str">
        <f t="shared" si="13"/>
        <v>Michal Strnad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 t="s">
        <v>279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151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0"/>
      <c r="BT29" s="104" t="s">
        <v>1058</v>
      </c>
      <c r="BU29" s="103">
        <v>4</v>
      </c>
      <c r="BV29" s="104" t="str">
        <f t="shared" si="13"/>
        <v>Radim Slunečko</v>
      </c>
      <c r="BW29" s="102">
        <f t="shared" si="14"/>
        <v>4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CHO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 t="s">
        <v>282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151</v>
      </c>
      <c r="AQ30" s="123">
        <v>184</v>
      </c>
      <c r="AR30" s="123">
        <v>78</v>
      </c>
      <c r="AS30" s="126" t="s">
        <v>315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5 OZ, 2 (2+0), -4 ±</v>
      </c>
      <c r="AY30" s="129" t="str">
        <f t="shared" ca="1" si="16"/>
        <v>111 OZ, 61 (36+25)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0"/>
      <c r="BT30" s="104" t="s">
        <v>833</v>
      </c>
      <c r="BU30" s="103">
        <v>2</v>
      </c>
      <c r="BV30" s="104" t="str">
        <f t="shared" si="13"/>
        <v>Daniel Eremiáš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905</v>
      </c>
      <c r="BU31" s="103">
        <v>2</v>
      </c>
      <c r="BV31" s="104" t="str">
        <f t="shared" si="13"/>
        <v>Jiří Bauer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289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297</v>
      </c>
      <c r="T46" s="102">
        <v>2</v>
      </c>
      <c r="U46" s="112">
        <v>84.53</v>
      </c>
      <c r="V46" s="102">
        <v>1</v>
      </c>
      <c r="W46" s="102">
        <v>10</v>
      </c>
      <c r="X46" s="102">
        <v>0</v>
      </c>
      <c r="Y46" s="102">
        <v>48</v>
      </c>
      <c r="Z46" s="102">
        <v>0</v>
      </c>
      <c r="AA46" s="102">
        <v>1</v>
      </c>
      <c r="AB46" s="102">
        <v>38</v>
      </c>
      <c r="AC46" s="102">
        <v>0</v>
      </c>
      <c r="AD46" s="102">
        <v>0</v>
      </c>
      <c r="AE46" s="112">
        <f t="shared" ref="AE46:AE50" si="23">IF(S46&lt;&gt;"",IF(T46&gt;0,W46/(U46/60),0),"")</f>
        <v>7.0980716905240744</v>
      </c>
      <c r="AF46" s="112">
        <f t="shared" ref="AF46:AF50" si="24">IF(S46&lt;&gt;"",IF(Y46&gt;0,(AB46/Y46)*100,"-"),"")</f>
        <v>79.166666666666657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 t="s">
        <v>288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 t="s">
        <v>218</v>
      </c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76" t="s">
        <v>1</v>
      </c>
      <c r="I1" s="376"/>
      <c r="J1" s="376"/>
      <c r="K1" s="376"/>
      <c r="M1" s="342" t="s">
        <v>224</v>
      </c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35">
        <f ca="1">IFERROR(IF(VLOOKUP(A1,OFFSET($AG$2,,,COUNTIF($AG$2:$AG$50,"?*"),23),2,FALSE)&lt;&gt;0,YEAR(VLOOKUP(A1,OFFSET($AG$2,,,COUNTIF($AG$2:$AG$50,"?*"),23),2,FALSE)),""),"")</f>
        <v>1998</v>
      </c>
      <c r="C2" s="336"/>
      <c r="D2" s="94">
        <f ca="1">IFERROR(VLOOKUP(A1,OFFSET($AG$2,,,COUNTIF($AG$2:$AG$50,"?*"),23),15,FALSE),"")</f>
        <v>23</v>
      </c>
      <c r="E2" s="337" t="str">
        <f ca="1">IFERROR(VLOOKUP(A1,OFFSET($AG$2,,,COUNTIF($AG$2:$AG$50,"?*"),23),16,FALSE),"")</f>
        <v>177/74</v>
      </c>
      <c r="F2" s="338"/>
      <c r="M2" s="4" t="str">
        <f ca="1">IFERROR(IF(VLOOKUP(M1,OFFSET($AG$2,,,COUNTIF($AG$2:$AG$50,"?*"),23),10,FALSE)&lt;&gt;0,VLOOKUP(M1,OFFSET($AG$2,,,COUNTIF($AG$2:$AG$50,"?*"),23),10,FALSE),""),"")</f>
        <v>L</v>
      </c>
      <c r="N2" s="335">
        <f ca="1">IFERROR(IF(VLOOKUP(M1,OFFSET($AG$2,,,COUNTIF($AG$2:$AG$50,"?*"),23),2,FALSE)&lt;&gt;0,YEAR(VLOOKUP(M1,OFFSET($AG$2,,,COUNTIF($AG$2:$AG$50,"?*"),23),2,FALSE)),""),"")</f>
        <v>2003</v>
      </c>
      <c r="O2" s="336"/>
      <c r="P2" s="94">
        <f ca="1">IFERROR(VLOOKUP(M1,OFFSET($AG$2,,,COUNTIF($AG$2:$AG$50,"?*"),23),15,FALSE),"")</f>
        <v>18</v>
      </c>
      <c r="Q2" s="337" t="str">
        <f ca="1">IFERROR(VLOOKUP(M1,OFFSET($AG$2,,,COUNTIF($AG$2:$AG$50,"?*"),23),16,FALSE),"")</f>
        <v>187/83</v>
      </c>
      <c r="R2" s="338"/>
      <c r="S2" s="110" t="s">
        <v>224</v>
      </c>
      <c r="U2" s="102">
        <v>6</v>
      </c>
      <c r="V2" s="102">
        <v>6</v>
      </c>
      <c r="W2" s="102">
        <v>0</v>
      </c>
      <c r="X2" s="102">
        <v>0</v>
      </c>
      <c r="Y2" s="102">
        <v>5</v>
      </c>
      <c r="Z2" s="102">
        <v>11</v>
      </c>
      <c r="AA2" s="102">
        <v>4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225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151</v>
      </c>
      <c r="AQ2" s="123">
        <v>185</v>
      </c>
      <c r="AR2" s="123">
        <v>86</v>
      </c>
      <c r="AS2" s="126" t="s">
        <v>237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1 (1+0), -8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124 OZ, 36 (27+9)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254</v>
      </c>
      <c r="BO2" s="122">
        <v>24850</v>
      </c>
      <c r="BP2" s="131" t="s">
        <v>259</v>
      </c>
      <c r="BQ2" s="132" t="s">
        <v>263</v>
      </c>
      <c r="BR2" s="127">
        <f ca="1">IF(BN2&lt;&gt;"",IF(BO2&lt;&gt;"",INT((TODAY()-BO2)/365),"?"),"")</f>
        <v>53</v>
      </c>
      <c r="BS2" s="330" t="s">
        <v>36</v>
      </c>
      <c r="BT2" s="104" t="s">
        <v>1067</v>
      </c>
      <c r="BU2" s="103">
        <v>11</v>
      </c>
      <c r="BV2" s="104" t="str">
        <f>IFERROR(RIGHT(BT2,LEN(BT2)-SEARCH(" ",BT2)),"")</f>
        <v>Šimon Stránský</v>
      </c>
      <c r="BW2" s="102">
        <f>IF(BT2&lt;&gt;0,_xlfn.NUMBERVALUE(BU2,","),"")</f>
        <v>11</v>
      </c>
      <c r="BX2" s="329" t="s">
        <v>214</v>
      </c>
      <c r="BY2" s="103" t="s">
        <v>1237</v>
      </c>
      <c r="BZ2" s="103" t="s">
        <v>1043</v>
      </c>
      <c r="CA2" s="115" t="s">
        <v>864</v>
      </c>
    </row>
    <row r="3" spans="1:79" ht="15" customHeight="1" thickTop="1" thickBot="1" x14ac:dyDescent="0.25">
      <c r="A3" s="371" t="str">
        <f ca="1">IFERROR(VLOOKUP(A1,OFFSET($AG$2,,,COUNTIF($AG$2:$AG$50,"?*"),23),18,FALSE),"")</f>
        <v>6 OZ, 2 (2+0), -3 ±</v>
      </c>
      <c r="B3" s="372"/>
      <c r="C3" s="372"/>
      <c r="D3" s="373" t="str">
        <f ca="1">IFERROR(VLOOKUP(A1,OFFSET($AG$2,,,COUNTIF($AG$2:$AG$50,"?*"),23),19,FALSE),"")</f>
        <v>100 OZ, 31 (22+9)</v>
      </c>
      <c r="E3" s="373"/>
      <c r="F3" s="374"/>
      <c r="G3" s="342" t="s">
        <v>217</v>
      </c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71" t="str">
        <f ca="1">IFERROR(VLOOKUP(M1,OFFSET($AG$2,,,COUNTIF($AG$2:$AG$50,"?*"),23),18,FALSE),"")</f>
        <v>6 OZ, 11 (6+5), -1 ±</v>
      </c>
      <c r="N3" s="372"/>
      <c r="O3" s="372"/>
      <c r="P3" s="373" t="str">
        <f ca="1">IFERROR(VLOOKUP(M1,OFFSET($AG$2,,,COUNTIF($AG$2:$AG$50,"?*"),23),19,FALSE),"")</f>
        <v>24 OZ, 25 (15+10)</v>
      </c>
      <c r="Q3" s="373"/>
      <c r="R3" s="374"/>
      <c r="S3" s="110" t="s">
        <v>221</v>
      </c>
      <c r="T3" s="102" t="s">
        <v>121</v>
      </c>
      <c r="U3" s="102">
        <v>5</v>
      </c>
      <c r="V3" s="102">
        <v>4</v>
      </c>
      <c r="W3" s="102">
        <v>2</v>
      </c>
      <c r="X3" s="102">
        <v>0</v>
      </c>
      <c r="Y3" s="102">
        <v>5</v>
      </c>
      <c r="Z3" s="102">
        <v>9</v>
      </c>
      <c r="AA3" s="102">
        <v>0</v>
      </c>
      <c r="AB3" s="102">
        <v>4</v>
      </c>
      <c r="AC3" s="102" t="str">
        <f t="shared" ca="1" si="0"/>
        <v>ANO</v>
      </c>
      <c r="AG3" s="121" t="s">
        <v>238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151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255</v>
      </c>
      <c r="BO3" s="122">
        <v>34764</v>
      </c>
      <c r="BP3" s="131" t="s">
        <v>260</v>
      </c>
      <c r="BQ3" s="132"/>
      <c r="BR3" s="127">
        <f t="shared" ref="BR3:BR11" ca="1" si="12">IF(BN3&lt;&gt;"",IF(BO3&lt;&gt;"",INT((TODAY()-BO3)/365),"?"),"")</f>
        <v>26</v>
      </c>
      <c r="BS3" s="330"/>
      <c r="BT3" s="104" t="s">
        <v>839</v>
      </c>
      <c r="BU3" s="103">
        <v>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9</v>
      </c>
      <c r="BX3" s="329"/>
      <c r="BY3" s="103" t="s">
        <v>210</v>
      </c>
      <c r="BZ3" s="103" t="s">
        <v>960</v>
      </c>
      <c r="CA3" s="115" t="s">
        <v>1061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>FBC Liberec</v>
      </c>
      <c r="B4" s="360"/>
      <c r="C4" s="361"/>
      <c r="D4" s="362">
        <f ca="1">IFERROR(IF(VLOOKUP(A1,OFFSET($AG$2,,,COUNTIF($AG$2:$AG$50,"?*"),23),14,FALSE)&lt;&gt;0,VLOOKUP(A1,OFFSET($AG$2,,,COUNTIF($AG$2:$AG$50,"?*"),23),14,FALSE),"?"),"")</f>
        <v>2011</v>
      </c>
      <c r="E4" s="363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5">
        <f ca="1">IFERROR(IF(VLOOKUP(G3,OFFSET($AG$2,,,COUNTIF($AG$2:$AG$50,"?*"),23),2,FALSE)&lt;&gt;0,YEAR(VLOOKUP(G3,OFFSET($AG$2,,,COUNTIF($AG$2:$AG$50,"?*"),23),2,FALSE)),""),"")</f>
        <v>1998</v>
      </c>
      <c r="I4" s="336"/>
      <c r="J4" s="94">
        <f ca="1">IFERROR(VLOOKUP(G3,OFFSET($AG$2,,,COUNTIF($AG$2:$AG$50,"?*"),23),15,FALSE),"")</f>
        <v>23</v>
      </c>
      <c r="K4" s="337" t="str">
        <f ca="1">IFERROR(VLOOKUP(G3,OFFSET($AG$2,,,COUNTIF($AG$2:$AG$50,"?*"),23),16,FALSE),"")</f>
        <v>185/74</v>
      </c>
      <c r="L4" s="338"/>
      <c r="M4" s="359" t="str">
        <f ca="1">IFERROR(IF(VLOOKUP(M1,OFFSET($AG$2,,,COUNTIF($AG$2:$AG$50,"?*"),23),13,FALSE)&lt;&gt;0,VLOOKUP(M1,OFFSET($AG$2,,,COUNTIF($AG$2:$AG$50,"?*"),23),13,FALSE),"?"),"")</f>
        <v>FBC Lomnice</v>
      </c>
      <c r="N4" s="360"/>
      <c r="O4" s="361"/>
      <c r="P4" s="362">
        <f ca="1">IFERROR(IF(VLOOKUP(M1,OFFSET($AG$2,,,COUNTIF($AG$2:$AG$50,"?*"),23),14,FALSE)&lt;&gt;0,VLOOKUP(M1,OFFSET($AG$2,,,COUNTIF($AG$2:$AG$50,"?*"),23),14,FALSE),"?"),"")</f>
        <v>2010</v>
      </c>
      <c r="Q4" s="363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231</v>
      </c>
      <c r="T4" s="102" t="s">
        <v>121</v>
      </c>
      <c r="U4" s="102">
        <v>6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0</v>
      </c>
      <c r="AB4" s="102">
        <v>-2</v>
      </c>
      <c r="AC4" s="102" t="str">
        <f t="shared" ca="1" si="0"/>
        <v>ANO</v>
      </c>
      <c r="AG4" s="121" t="s">
        <v>239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151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256</v>
      </c>
      <c r="BO4" s="122">
        <v>29102</v>
      </c>
      <c r="BP4" s="131" t="s">
        <v>194</v>
      </c>
      <c r="BQ4" s="132"/>
      <c r="BR4" s="127">
        <f t="shared" ca="1" si="12"/>
        <v>42</v>
      </c>
      <c r="BS4" s="330"/>
      <c r="BT4" s="104" t="s">
        <v>1249</v>
      </c>
      <c r="BU4" s="103">
        <v>7</v>
      </c>
      <c r="BV4" s="104" t="str">
        <f t="shared" si="13"/>
        <v>Filip Smutný</v>
      </c>
      <c r="BW4" s="102">
        <f t="shared" si="14"/>
        <v>7</v>
      </c>
      <c r="BX4" s="329"/>
      <c r="BY4" s="103" t="s">
        <v>266</v>
      </c>
      <c r="BZ4" s="103" t="s">
        <v>961</v>
      </c>
      <c r="CA4" s="115" t="s">
        <v>1062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>6 OZ, 6 (2+4), -1 ±</v>
      </c>
      <c r="H5" s="372"/>
      <c r="I5" s="372"/>
      <c r="J5" s="373" t="str">
        <f ca="1">IFERROR(VLOOKUP(G3,OFFSET($AG$2,,,COUNTIF($AG$2:$AG$50,"?*"),23),19,FALSE),"")</f>
        <v>106 OZ, 91 (52+39)</v>
      </c>
      <c r="K5" s="373"/>
      <c r="L5" s="374"/>
      <c r="S5" s="110" t="s">
        <v>219</v>
      </c>
      <c r="T5" s="102" t="s">
        <v>121</v>
      </c>
      <c r="U5" s="102">
        <v>6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2</v>
      </c>
      <c r="AB5" s="102">
        <v>0</v>
      </c>
      <c r="AC5" s="102" t="str">
        <f t="shared" ca="1" si="0"/>
        <v>ANO</v>
      </c>
      <c r="AG5" s="121" t="s">
        <v>232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151</v>
      </c>
      <c r="AQ5" s="123">
        <v>180</v>
      </c>
      <c r="AR5" s="123">
        <v>82</v>
      </c>
      <c r="AS5" s="126" t="s">
        <v>240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6 OZ, 1 (1+0), +2 ±</v>
      </c>
      <c r="AY5" s="129" t="str">
        <f t="shared" ca="1" si="2"/>
        <v>200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257</v>
      </c>
      <c r="BO5" s="122">
        <v>30335</v>
      </c>
      <c r="BP5" s="131" t="s">
        <v>261</v>
      </c>
      <c r="BQ5" s="132"/>
      <c r="BR5" s="127">
        <f t="shared" ca="1" si="12"/>
        <v>38</v>
      </c>
      <c r="BS5" s="330"/>
      <c r="BT5" s="104" t="s">
        <v>1069</v>
      </c>
      <c r="BU5" s="103">
        <v>7</v>
      </c>
      <c r="BV5" s="104" t="str">
        <f t="shared" si="13"/>
        <v>Radek Valeš</v>
      </c>
      <c r="BW5" s="102">
        <f t="shared" si="14"/>
        <v>7</v>
      </c>
      <c r="BX5" s="329"/>
      <c r="BY5" s="103" t="s">
        <v>882</v>
      </c>
      <c r="BZ5" s="103" t="s">
        <v>982</v>
      </c>
      <c r="CA5" s="115" t="s">
        <v>907</v>
      </c>
    </row>
    <row r="6" spans="1:79" ht="15" customHeight="1" thickTop="1" thickBot="1" x14ac:dyDescent="0.25">
      <c r="A6" s="342" t="s">
        <v>233</v>
      </c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59" t="str">
        <f ca="1">IFERROR(IF(VLOOKUP(G3,OFFSET($AG$2,,,COUNTIF($AG$2:$AG$50,"?*"),23),13,FALSE)&lt;&gt;0,VLOOKUP(G3,OFFSET($AG$2,,,COUNTIF($AG$2:$AG$50,"?*"),23),13,FALSE),"?"),"")</f>
        <v>TJ Sokol Jaroměř</v>
      </c>
      <c r="H6" s="360"/>
      <c r="I6" s="361"/>
      <c r="J6" s="362">
        <f ca="1">IFERROR(IF(VLOOKUP(G3,OFFSET($AG$2,,,COUNTIF($AG$2:$AG$50,"?*"),23),14,FALSE)&lt;&gt;0,VLOOKUP(G3,OFFSET($AG$2,,,COUNTIF($AG$2:$AG$50,"?*"),23),14,FALSE),"?"),"")</f>
        <v>2007</v>
      </c>
      <c r="K6" s="363"/>
      <c r="L6" s="7">
        <f ca="1">IFERROR(IF(VLOOKUP(G3,OFFSET($AG$2,,,COUNTIF($AG$2:$AG$50,"?*"),23),7,FALSE)&lt;&gt;0,VLOOKUP(G3,OFFSET($AG$2,,,COUNTIF($AG$2:$AG$50,"?*"),23),7,FALSE),"?"),"")</f>
        <v>5</v>
      </c>
      <c r="M6" s="342" t="s">
        <v>227</v>
      </c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217</v>
      </c>
      <c r="U6" s="102">
        <v>6</v>
      </c>
      <c r="V6" s="102">
        <v>2</v>
      </c>
      <c r="W6" s="102">
        <v>1</v>
      </c>
      <c r="X6" s="102">
        <v>0</v>
      </c>
      <c r="Y6" s="102">
        <v>4</v>
      </c>
      <c r="Z6" s="102">
        <v>6</v>
      </c>
      <c r="AA6" s="102">
        <v>0</v>
      </c>
      <c r="AB6" s="102">
        <v>-1</v>
      </c>
      <c r="AC6" s="102" t="str">
        <f t="shared" ca="1" si="0"/>
        <v>ANO</v>
      </c>
      <c r="AG6" s="121" t="s">
        <v>221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242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5 OZ, 9 (4+5), +4 ±</v>
      </c>
      <c r="AY6" s="129" t="str">
        <f t="shared" ca="1" si="2"/>
        <v>190 OZ, 233 (130+103)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258</v>
      </c>
      <c r="BO6" s="122">
        <v>36034</v>
      </c>
      <c r="BP6" s="131" t="s">
        <v>262</v>
      </c>
      <c r="BQ6" s="132"/>
      <c r="BR6" s="127">
        <f t="shared" ca="1" si="12"/>
        <v>23</v>
      </c>
      <c r="BS6" s="330"/>
      <c r="BT6" s="104" t="s">
        <v>1065</v>
      </c>
      <c r="BU6" s="103">
        <v>6</v>
      </c>
      <c r="BV6" s="104" t="str">
        <f t="shared" si="13"/>
        <v>Jakub Kopecký</v>
      </c>
      <c r="BW6" s="102">
        <f t="shared" si="14"/>
        <v>6</v>
      </c>
      <c r="BX6" s="329"/>
      <c r="BY6" s="103" t="s">
        <v>207</v>
      </c>
      <c r="BZ6" s="103" t="s">
        <v>983</v>
      </c>
      <c r="CA6" s="115" t="s">
        <v>838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35">
        <f ca="1">IFERROR(IF(VLOOKUP(A6,OFFSET($AG$2,,,COUNTIF($AG$2:$AG$50,"?*"),23),2,FALSE)&lt;&gt;0,YEAR(VLOOKUP(A6,OFFSET($AG$2,,,COUNTIF($AG$2:$AG$50,"?*"),23),2,FALSE)),""),"")</f>
        <v>2002</v>
      </c>
      <c r="C7" s="336"/>
      <c r="D7" s="94">
        <f ca="1">IFERROR(VLOOKUP(A6,OFFSET($AG$2,,,COUNTIF($AG$2:$AG$50,"?*"),23),15,FALSE),"")</f>
        <v>19</v>
      </c>
      <c r="E7" s="337" t="str">
        <f ca="1">IFERROR(VLOOKUP(A6,OFFSET($AG$2,,,COUNTIF($AG$2:$AG$50,"?*"),23),16,FALSE),"")</f>
        <v>164/68</v>
      </c>
      <c r="F7" s="338"/>
      <c r="M7" s="4" t="str">
        <f ca="1">IFERROR(IF(VLOOKUP(M6,OFFSET($AG$2,,,COUNTIF($AG$2:$AG$50,"?*"),23),10,FALSE)&lt;&gt;0,VLOOKUP(M6,OFFSET($AG$2,,,COUNTIF($AG$2:$AG$50,"?*"),23),10,FALSE),""),"")</f>
        <v>L</v>
      </c>
      <c r="N7" s="335">
        <f ca="1">IFERROR(IF(VLOOKUP(M6,OFFSET($AG$2,,,COUNTIF($AG$2:$AG$50,"?*"),23),2,FALSE)&lt;&gt;0,YEAR(VLOOKUP(M6,OFFSET($AG$2,,,COUNTIF($AG$2:$AG$50,"?*"),23),2,FALSE)),""),"")</f>
        <v>1986</v>
      </c>
      <c r="O7" s="336"/>
      <c r="P7" s="94">
        <f ca="1">IFERROR(VLOOKUP(M6,OFFSET($AG$2,,,COUNTIF($AG$2:$AG$50,"?*"),23),15,FALSE),"")</f>
        <v>35</v>
      </c>
      <c r="Q7" s="337" t="str">
        <f ca="1">IFERROR(VLOOKUP(M6,OFFSET($AG$2,,,COUNTIF($AG$2:$AG$50,"?*"),23),16,FALSE),"")</f>
        <v>185/69</v>
      </c>
      <c r="R7" s="338"/>
      <c r="S7" s="110" t="s">
        <v>229</v>
      </c>
      <c r="U7" s="102">
        <v>6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2</v>
      </c>
      <c r="AC7" s="102" t="str">
        <f t="shared" ca="1" si="0"/>
        <v>ANO</v>
      </c>
      <c r="AG7" s="121" t="s">
        <v>235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3 V, 3 P</v>
      </c>
      <c r="AY7" s="129" t="str">
        <f t="shared" ca="1" si="2"/>
        <v>6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264</v>
      </c>
      <c r="BU7" s="103" t="s">
        <v>1250</v>
      </c>
      <c r="BV7" s="104" t="str">
        <f t="shared" si="13"/>
        <v>Petr Chlad</v>
      </c>
      <c r="BW7" s="112">
        <f t="shared" si="14"/>
        <v>5.42</v>
      </c>
      <c r="BX7" s="329" t="s">
        <v>215</v>
      </c>
      <c r="BY7" s="103" t="s">
        <v>267</v>
      </c>
      <c r="BZ7" s="103" t="s">
        <v>986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>6 OZ, 0 (0+0), -2 ±</v>
      </c>
      <c r="B8" s="372"/>
      <c r="C8" s="372"/>
      <c r="D8" s="373" t="str">
        <f ca="1">IFERROR(VLOOKUP(A6,OFFSET($AG$2,,,COUNTIF($AG$2:$AG$50,"?*"),23),19,FALSE),"")</f>
        <v>20 OZ, 1 (1+0)</v>
      </c>
      <c r="E8" s="373"/>
      <c r="F8" s="374"/>
      <c r="H8" s="375" t="s">
        <v>105</v>
      </c>
      <c r="I8" s="375"/>
      <c r="J8" s="375"/>
      <c r="K8" s="375"/>
      <c r="M8" s="371" t="str">
        <f ca="1">IFERROR(VLOOKUP(M6,OFFSET($AG$2,,,COUNTIF($AG$2:$AG$50,"?*"),23),18,FALSE),"")</f>
        <v>5 OZ, 3 (0+3), 0 ±</v>
      </c>
      <c r="N8" s="372"/>
      <c r="O8" s="372"/>
      <c r="P8" s="373" t="str">
        <f ca="1">IFERROR(VLOOKUP(M6,OFFSET($AG$2,,,COUNTIF($AG$2:$AG$50,"?*"),23),19,FALSE),"")</f>
        <v>307 OZ, 234 (95+139)</v>
      </c>
      <c r="Q8" s="373"/>
      <c r="R8" s="374"/>
      <c r="S8" s="110" t="s">
        <v>227</v>
      </c>
      <c r="T8" s="102" t="s">
        <v>64</v>
      </c>
      <c r="U8" s="102">
        <v>5</v>
      </c>
      <c r="V8" s="102">
        <v>0</v>
      </c>
      <c r="W8" s="102">
        <v>0</v>
      </c>
      <c r="X8" s="102">
        <v>0</v>
      </c>
      <c r="Y8" s="102">
        <v>3</v>
      </c>
      <c r="Z8" s="102">
        <v>3</v>
      </c>
      <c r="AA8" s="102">
        <v>2</v>
      </c>
      <c r="AB8" s="102">
        <v>0</v>
      </c>
      <c r="AC8" s="102" t="str">
        <f t="shared" ca="1" si="0"/>
        <v>ANO</v>
      </c>
      <c r="AG8" s="121" t="s">
        <v>226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151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6 OZ, 1 (0+1), +2 ±</v>
      </c>
      <c r="AY8" s="129" t="str">
        <f t="shared" ca="1" si="2"/>
        <v>28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840</v>
      </c>
      <c r="BU8" s="103" t="s">
        <v>201</v>
      </c>
      <c r="BV8" s="104" t="str">
        <f t="shared" si="13"/>
        <v>Jakub Levínský</v>
      </c>
      <c r="BW8" s="112">
        <f t="shared" si="14"/>
        <v>0</v>
      </c>
      <c r="BX8" s="329"/>
      <c r="BY8" s="103" t="s">
        <v>1042</v>
      </c>
      <c r="BZ8" s="103" t="s">
        <v>957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>Florbal Mladá Boleslav</v>
      </c>
      <c r="B9" s="360"/>
      <c r="C9" s="361"/>
      <c r="D9" s="362">
        <f ca="1">IFERROR(IF(VLOOKUP(A6,OFFSET($AG$2,,,COUNTIF($AG$2:$AG$50,"?*"),23),14,FALSE)&lt;&gt;0,VLOOKUP(A6,OFFSET($AG$2,,,COUNTIF($AG$2:$AG$50,"?*"),23),14,FALSE),"?"),"")</f>
        <v>2005</v>
      </c>
      <c r="E9" s="363"/>
      <c r="F9" s="7">
        <f ca="1">IFERROR(IF(VLOOKUP(A6,OFFSET($AG$2,,,COUNTIF($AG$2:$AG$50,"?*"),23),7,FALSE)&lt;&gt;0,VLOOKUP(A6,OFFSET($AG$2,,,COUNTIF($AG$2:$AG$50,"?*"),23),7,FALSE),"?"),"")</f>
        <v>4</v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>FBC Mustang</v>
      </c>
      <c r="N9" s="360"/>
      <c r="O9" s="361"/>
      <c r="P9" s="362">
        <f ca="1">IFERROR(IF(VLOOKUP(M6,OFFSET($AG$2,,,COUNTIF($AG$2:$AG$50,"?*"),23),14,FALSE)&lt;&gt;0,VLOOKUP(M6,OFFSET($AG$2,,,COUNTIF($AG$2:$AG$50,"?*"),23),14,FALSE),"?"),"")</f>
        <v>1996</v>
      </c>
      <c r="Q9" s="363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218</v>
      </c>
      <c r="T9" s="102" t="s">
        <v>121</v>
      </c>
      <c r="U9" s="102">
        <v>6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-3</v>
      </c>
      <c r="AC9" s="102" t="str">
        <f t="shared" ca="1" si="0"/>
        <v>ANO</v>
      </c>
      <c r="AG9" s="121" t="s">
        <v>222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244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6 OZ, 0 (0+0), -8 ±</v>
      </c>
      <c r="AY9" s="129" t="str">
        <f t="shared" ca="1" si="2"/>
        <v>56 OZ, 13 (5+8)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T9" s="104" t="s">
        <v>841</v>
      </c>
      <c r="BU9" s="103" t="s">
        <v>201</v>
      </c>
      <c r="BV9" s="104" t="str">
        <f t="shared" si="13"/>
        <v>Jan Král</v>
      </c>
      <c r="BW9" s="112">
        <f t="shared" si="14"/>
        <v>0</v>
      </c>
      <c r="BX9" s="329"/>
      <c r="BY9" s="103" t="s">
        <v>990</v>
      </c>
      <c r="BZ9" s="103" t="s">
        <v>1063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234</v>
      </c>
      <c r="T10" s="102" t="s">
        <v>121</v>
      </c>
      <c r="U10" s="102">
        <v>6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-9</v>
      </c>
      <c r="AC10" s="102" t="str">
        <f t="shared" ca="1" si="0"/>
        <v>ANO</v>
      </c>
      <c r="AG10" s="121" t="s">
        <v>220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168</v>
      </c>
      <c r="AP10" s="125" t="s">
        <v>151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5 OZ, 1 (1+0), -2 ±</v>
      </c>
      <c r="AY10" s="129" t="str">
        <f t="shared" ca="1" si="2"/>
        <v>247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967</v>
      </c>
      <c r="BZ10" s="103" t="s">
        <v>963</v>
      </c>
      <c r="CA10" s="115" t="s">
        <v>208</v>
      </c>
    </row>
    <row r="11" spans="1:79" ht="15" customHeight="1" thickTop="1" thickBot="1" x14ac:dyDescent="0.25">
      <c r="R11" s="13"/>
      <c r="S11" s="110" t="s">
        <v>220</v>
      </c>
      <c r="T11" s="102" t="s">
        <v>64</v>
      </c>
      <c r="U11" s="102">
        <v>5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0</v>
      </c>
      <c r="AB11" s="102">
        <v>-2</v>
      </c>
      <c r="AC11" s="102" t="str">
        <f t="shared" ca="1" si="0"/>
        <v>ANO</v>
      </c>
      <c r="AG11" s="121" t="s">
        <v>227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151</v>
      </c>
      <c r="AQ11" s="123">
        <v>185</v>
      </c>
      <c r="AR11" s="123">
        <v>69</v>
      </c>
      <c r="AS11" s="126" t="s">
        <v>245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5 OZ, 3 (0+3), 0 ±</v>
      </c>
      <c r="AY11" s="129" t="str">
        <f t="shared" ca="1" si="2"/>
        <v>307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1008</v>
      </c>
      <c r="BZ11" s="103" t="s">
        <v>1005</v>
      </c>
      <c r="CA11" s="115" t="s">
        <v>208</v>
      </c>
    </row>
    <row r="12" spans="1:79" ht="15" customHeight="1" thickTop="1" thickBot="1" x14ac:dyDescent="0.25">
      <c r="A12" s="342" t="s">
        <v>221</v>
      </c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76" t="s">
        <v>7</v>
      </c>
      <c r="I12" s="376"/>
      <c r="J12" s="376"/>
      <c r="K12" s="376"/>
      <c r="M12" s="342" t="s">
        <v>229</v>
      </c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225</v>
      </c>
      <c r="T12" s="102" t="s">
        <v>121</v>
      </c>
      <c r="U12" s="102">
        <v>6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-8</v>
      </c>
      <c r="AC12" s="102" t="str">
        <f t="shared" ca="1" si="0"/>
        <v>ANO</v>
      </c>
      <c r="AG12" s="121" t="s">
        <v>217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151</v>
      </c>
      <c r="AQ12" s="123">
        <v>185</v>
      </c>
      <c r="AR12" s="123">
        <v>74</v>
      </c>
      <c r="AS12" s="126" t="s">
        <v>241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6 OZ, 6 (2+4), -1 ±</v>
      </c>
      <c r="AY12" s="129" t="str">
        <f t="shared" ca="1" si="2"/>
        <v>106 OZ, 91 (52+39)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1066</v>
      </c>
      <c r="BU12" s="103">
        <v>6</v>
      </c>
      <c r="BV12" s="104" t="str">
        <f t="shared" si="13"/>
        <v>Filip Smutný</v>
      </c>
      <c r="BW12" s="102">
        <f t="shared" si="14"/>
        <v>6</v>
      </c>
      <c r="BX12" s="116" t="s">
        <v>213</v>
      </c>
      <c r="BY12" s="100" t="s">
        <v>1248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35">
        <f ca="1">IFERROR(IF(VLOOKUP(A12,OFFSET($AG$2,,,COUNTIF($AG$2:$AG$50,"?*"),23),2,FALSE)&lt;&gt;0,YEAR(VLOOKUP(A12,OFFSET($AG$2,,,COUNTIF($AG$2:$AG$50,"?*"),23),2,FALSE)),""),"")</f>
        <v>1992</v>
      </c>
      <c r="C13" s="336"/>
      <c r="D13" s="94">
        <f ca="1">IFERROR(VLOOKUP(A12,OFFSET($AG$2,,,COUNTIF($AG$2:$AG$50,"?*"),23),15,FALSE),"")</f>
        <v>29</v>
      </c>
      <c r="E13" s="337" t="str">
        <f ca="1">IFERROR(VLOOKUP(A12,OFFSET($AG$2,,,COUNTIF($AG$2:$AG$50,"?*"),23),16,FALSE),"")</f>
        <v>176/74</v>
      </c>
      <c r="F13" s="338"/>
      <c r="M13" s="4" t="str">
        <f ca="1">IFERROR(IF(VLOOKUP(M12,OFFSET($AG$2,,,COUNTIF($AG$2:$AG$50,"?*"),23),10,FALSE)&lt;&gt;0,VLOOKUP(M12,OFFSET($AG$2,,,COUNTIF($AG$2:$AG$50,"?*"),23),10,FALSE),""),"")</f>
        <v>L</v>
      </c>
      <c r="N13" s="335">
        <f ca="1">IFERROR(IF(VLOOKUP(M12,OFFSET($AG$2,,,COUNTIF($AG$2:$AG$50,"?*"),23),2,FALSE)&lt;&gt;0,YEAR(VLOOKUP(M12,OFFSET($AG$2,,,COUNTIF($AG$2:$AG$50,"?*"),23),2,FALSE)),""),"")</f>
        <v>2003</v>
      </c>
      <c r="O13" s="336"/>
      <c r="P13" s="94">
        <f ca="1">IFERROR(VLOOKUP(M12,OFFSET($AG$2,,,COUNTIF($AG$2:$AG$50,"?*"),23),15,FALSE),"")</f>
        <v>18</v>
      </c>
      <c r="Q13" s="337" t="str">
        <f ca="1">IFERROR(VLOOKUP(M12,OFFSET($AG$2,,,COUNTIF($AG$2:$AG$50,"?*"),23),16,FALSE),"")</f>
        <v>178/70</v>
      </c>
      <c r="R13" s="338"/>
      <c r="S13" s="110" t="s">
        <v>232</v>
      </c>
      <c r="T13" s="102" t="s">
        <v>121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2</v>
      </c>
      <c r="AC13" s="102" t="str">
        <f t="shared" ca="1" si="0"/>
        <v>ANO</v>
      </c>
      <c r="AG13" s="121" t="s">
        <v>230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244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1251</v>
      </c>
      <c r="BU13" s="103">
        <v>6</v>
      </c>
      <c r="BV13" s="104" t="str">
        <f t="shared" si="13"/>
        <v>Šimon Stránský</v>
      </c>
      <c r="BW13" s="102">
        <f t="shared" si="14"/>
        <v>6</v>
      </c>
    </row>
    <row r="14" spans="1:79" ht="15" customHeight="1" thickTop="1" thickBot="1" x14ac:dyDescent="0.25">
      <c r="A14" s="371" t="str">
        <f ca="1">IFERROR(VLOOKUP(A12,OFFSET($AG$2,,,COUNTIF($AG$2:$AG$50,"?*"),23),18,FALSE),"")</f>
        <v>5 OZ, 9 (4+5), +4 ±</v>
      </c>
      <c r="B14" s="372"/>
      <c r="C14" s="372"/>
      <c r="D14" s="373" t="str">
        <f ca="1">IFERROR(VLOOKUP(A12,OFFSET($AG$2,,,COUNTIF($AG$2:$AG$50,"?*"),23),19,FALSE),"")</f>
        <v>190 OZ, 233 (130+103)</v>
      </c>
      <c r="E14" s="373"/>
      <c r="F14" s="374"/>
      <c r="G14" s="342" t="s">
        <v>219</v>
      </c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71" t="str">
        <f ca="1">IFERROR(VLOOKUP(M12,OFFSET($AG$2,,,COUNTIF($AG$2:$AG$50,"?*"),23),18,FALSE),"")</f>
        <v>6 OZ, 5 (2+3), +2 ±</v>
      </c>
      <c r="N14" s="372"/>
      <c r="O14" s="372"/>
      <c r="P14" s="373" t="str">
        <f ca="1">IFERROR(VLOOKUP(M12,OFFSET($AG$2,,,COUNTIF($AG$2:$AG$50,"?*"),23),19,FALSE),"")</f>
        <v>28 OZ, 31 (11+20)</v>
      </c>
      <c r="Q14" s="373"/>
      <c r="R14" s="374"/>
      <c r="S14" s="110" t="s">
        <v>235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837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0 V, 0 P</v>
      </c>
      <c r="AY14" s="129" t="str">
        <f t="shared" ca="1" si="2"/>
        <v>0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1064</v>
      </c>
      <c r="BU14" s="103">
        <v>4</v>
      </c>
      <c r="BV14" s="104" t="str">
        <f t="shared" si="13"/>
        <v>Prokop Ferdan</v>
      </c>
      <c r="BW14" s="102">
        <f t="shared" si="14"/>
        <v>4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>TJ Centropen Dačice</v>
      </c>
      <c r="B15" s="360"/>
      <c r="C15" s="361"/>
      <c r="D15" s="362">
        <f ca="1">IFERROR(IF(VLOOKUP(A12,OFFSET($AG$2,,,COUNTIF($AG$2:$AG$50,"?*"),23),14,FALSE)&lt;&gt;0,VLOOKUP(A12,OFFSET($AG$2,,,COUNTIF($AG$2:$AG$50,"?*"),23),14,FALSE),"?"),"")</f>
        <v>2006</v>
      </c>
      <c r="E15" s="363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5">
        <f ca="1">IFERROR(IF(VLOOKUP(G14,OFFSET($AG$2,,,COUNTIF($AG$2:$AG$50,"?*"),23),2,FALSE)&lt;&gt;0,YEAR(VLOOKUP(G14,OFFSET($AG$2,,,COUNTIF($AG$2:$AG$50,"?*"),23),2,FALSE)),""),"")</f>
        <v>1994</v>
      </c>
      <c r="I15" s="336"/>
      <c r="J15" s="94">
        <f ca="1">IFERROR(VLOOKUP(G14,OFFSET($AG$2,,,COUNTIF($AG$2:$AG$50,"?*"),23),15,FALSE),"")</f>
        <v>26</v>
      </c>
      <c r="K15" s="337" t="str">
        <f ca="1">IFERROR(VLOOKUP(G14,OFFSET($AG$2,,,COUNTIF($AG$2:$AG$50,"?*"),23),16,FALSE),"")</f>
        <v>187/76</v>
      </c>
      <c r="L15" s="338"/>
      <c r="M15" s="359" t="str">
        <f ca="1">IFERROR(IF(VLOOKUP(M12,OFFSET($AG$2,,,COUNTIF($AG$2:$AG$50,"?*"),23),13,FALSE)&lt;&gt;0,VLOOKUP(M12,OFFSET($AG$2,,,COUNTIF($AG$2:$AG$50,"?*"),23),13,FALSE),"?"),"")</f>
        <v>FBC Liberec</v>
      </c>
      <c r="N15" s="360"/>
      <c r="O15" s="361"/>
      <c r="P15" s="362">
        <f ca="1">IFERROR(IF(VLOOKUP(M12,OFFSET($AG$2,,,COUNTIF($AG$2:$AG$50,"?*"),23),14,FALSE)&lt;&gt;0,VLOOKUP(M12,OFFSET($AG$2,,,COUNTIF($AG$2:$AG$50,"?*"),23),14,FALSE),"?"),"")</f>
        <v>2010</v>
      </c>
      <c r="Q15" s="363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226</v>
      </c>
      <c r="T15" s="102" t="s">
        <v>64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2</v>
      </c>
      <c r="AB15" s="102">
        <v>2</v>
      </c>
      <c r="AC15" s="102" t="str">
        <f t="shared" ca="1" si="0"/>
        <v>ANO</v>
      </c>
      <c r="AG15" s="121" t="s">
        <v>236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246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6 OZ, 0 (0+0), 0 ±</v>
      </c>
      <c r="AY15" s="129" t="str">
        <f t="shared" ca="1" si="2"/>
        <v>20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1069</v>
      </c>
      <c r="BU15" s="103">
        <v>4</v>
      </c>
      <c r="BV15" s="104" t="str">
        <f t="shared" si="13"/>
        <v>Radek Valeš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>6 OZ, 7 (4+3), 0 ±</v>
      </c>
      <c r="H16" s="372"/>
      <c r="I16" s="372"/>
      <c r="J16" s="373" t="str">
        <f ca="1">IFERROR(VLOOKUP(G14,OFFSET($AG$2,,,COUNTIF($AG$2:$AG$50,"?*"),23),19,FALSE),"")</f>
        <v>195 OZ, 312 (170+142)</v>
      </c>
      <c r="K16" s="373"/>
      <c r="L16" s="374"/>
      <c r="S16" s="110" t="s">
        <v>223</v>
      </c>
      <c r="T16" s="102" t="s">
        <v>121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-5</v>
      </c>
      <c r="AC16" s="102" t="str">
        <f t="shared" ca="1" si="0"/>
        <v>ANO</v>
      </c>
      <c r="AG16" s="121" t="s">
        <v>247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248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1065</v>
      </c>
      <c r="BU16" s="103">
        <v>2</v>
      </c>
      <c r="BV16" s="104" t="str">
        <f t="shared" si="13"/>
        <v>Jakub Kopecký</v>
      </c>
      <c r="BW16" s="102">
        <f t="shared" si="14"/>
        <v>2</v>
      </c>
    </row>
    <row r="17" spans="1:75" ht="15" customHeight="1" thickTop="1" thickBot="1" x14ac:dyDescent="0.25">
      <c r="A17" s="342" t="s">
        <v>232</v>
      </c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59" t="str">
        <f ca="1">IFERROR(IF(VLOOKUP(G14,OFFSET($AG$2,,,COUNTIF($AG$2:$AG$50,"?*"),23),13,FALSE)&lt;&gt;0,VLOOKUP(G14,OFFSET($AG$2,,,COUNTIF($AG$2:$AG$50,"?*"),23),13,FALSE),"?"),"")</f>
        <v>FBC Liberec</v>
      </c>
      <c r="H17" s="360"/>
      <c r="I17" s="361"/>
      <c r="J17" s="362">
        <f ca="1">IFERROR(IF(VLOOKUP(G14,OFFSET($AG$2,,,COUNTIF($AG$2:$AG$50,"?*"),23),14,FALSE)&lt;&gt;0,VLOOKUP(G14,OFFSET($AG$2,,,COUNTIF($AG$2:$AG$50,"?*"),23),14,FALSE),"?"),"")</f>
        <v>2002</v>
      </c>
      <c r="K17" s="363"/>
      <c r="L17" s="7">
        <f ca="1">IFERROR(IF(VLOOKUP(G14,OFFSET($AG$2,,,COUNTIF($AG$2:$AG$50,"?*"),23),7,FALSE)&lt;&gt;0,VLOOKUP(G14,OFFSET($AG$2,,,COUNTIF($AG$2:$AG$50,"?*"),23),7,FALSE),"?"),"")</f>
        <v>10</v>
      </c>
      <c r="M17" s="342" t="s">
        <v>226</v>
      </c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228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233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249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6 OZ, 0 (0+0), -2 ±</v>
      </c>
      <c r="AY17" s="129" t="str">
        <f t="shared" ca="1" si="2"/>
        <v>20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264</v>
      </c>
      <c r="BU17" s="103">
        <v>3</v>
      </c>
      <c r="BV17" s="104" t="str">
        <f t="shared" si="13"/>
        <v>Petr Chlad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5">
        <f ca="1">IFERROR(IF(VLOOKUP(A17,OFFSET($AG$2,,,COUNTIF($AG$2:$AG$50,"?*"),23),2,FALSE)&lt;&gt;0,YEAR(VLOOKUP(A17,OFFSET($AG$2,,,COUNTIF($AG$2:$AG$50,"?*"),23),2,FALSE)),""),"")</f>
        <v>1994</v>
      </c>
      <c r="C18" s="336"/>
      <c r="D18" s="150">
        <f ca="1">IFERROR(VLOOKUP(A17,OFFSET($AG$2,,,COUNTIF($AG$2:$AG$50,"?*"),23),15,FALSE),"")</f>
        <v>27</v>
      </c>
      <c r="E18" s="337" t="str">
        <f ca="1">IFERROR(VLOOKUP(A17,OFFSET($AG$2,,,COUNTIF($AG$2:$AG$50,"?*"),23),16,FALSE),"")</f>
        <v>180/82</v>
      </c>
      <c r="F18" s="338"/>
      <c r="M18" s="4" t="str">
        <f ca="1">IFERROR(IF(VLOOKUP(M17,OFFSET($AG$2,,,COUNTIF($AG$2:$AG$50,"?*"),23),10,FALSE)&lt;&gt;0,VLOOKUP(M17,OFFSET($AG$2,,,COUNTIF($AG$2:$AG$50,"?*"),23),10,FALSE),""),"")</f>
        <v>L</v>
      </c>
      <c r="N18" s="335">
        <f ca="1">IFERROR(IF(VLOOKUP(M17,OFFSET($AG$2,,,COUNTIF($AG$2:$AG$50,"?*"),23),2,FALSE)&lt;&gt;0,YEAR(VLOOKUP(M17,OFFSET($AG$2,,,COUNTIF($AG$2:$AG$50,"?*"),23),2,FALSE)),""),"")</f>
        <v>2003</v>
      </c>
      <c r="O18" s="336"/>
      <c r="P18" s="94">
        <f ca="1">IFERROR(VLOOKUP(M17,OFFSET($AG$2,,,COUNTIF($AG$2:$AG$50,"?*"),23),15,FALSE),"")</f>
        <v>18</v>
      </c>
      <c r="Q18" s="337" t="str">
        <f ca="1">IFERROR(VLOOKUP(M17,OFFSET($AG$2,,,COUNTIF($AG$2:$AG$50,"?*"),23),16,FALSE),"")</f>
        <v>178/74</v>
      </c>
      <c r="R18" s="338"/>
      <c r="S18" s="110" t="s">
        <v>230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223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151</v>
      </c>
      <c r="AQ18" s="123">
        <v>164</v>
      </c>
      <c r="AR18" s="123">
        <v>60</v>
      </c>
      <c r="AS18" s="126" t="s">
        <v>249</v>
      </c>
      <c r="AT18" s="123">
        <v>2008</v>
      </c>
      <c r="AU18" s="127">
        <f ca="1">IF(AG18&lt;&gt;"",IF(AH18&lt;&gt;"",INT((TODAY()-AH18)/365),"?"),"")</f>
        <v>21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6 OZ, 1 (0+1), -5 ±</v>
      </c>
      <c r="AY18" s="129" t="str">
        <f t="shared" ca="1" si="2"/>
        <v>81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840</v>
      </c>
      <c r="BU18" s="103">
        <v>0</v>
      </c>
      <c r="BV18" s="104" t="str">
        <f t="shared" si="13"/>
        <v>Jakub Levínský</v>
      </c>
      <c r="BW18" s="102">
        <f t="shared" si="14"/>
        <v>0</v>
      </c>
    </row>
    <row r="19" spans="1:75" ht="15" customHeight="1" x14ac:dyDescent="0.2">
      <c r="A19" s="371" t="str">
        <f ca="1">IFERROR(VLOOKUP(A17,OFFSET($AG$2,,,COUNTIF($AG$2:$AG$50,"?*"),23),18,FALSE),"")</f>
        <v>6 OZ, 1 (1+0), +2 ±</v>
      </c>
      <c r="B19" s="372"/>
      <c r="C19" s="372"/>
      <c r="D19" s="373" t="str">
        <f ca="1">IFERROR(VLOOKUP(A17,OFFSET($AG$2,,,COUNTIF($AG$2:$AG$50,"?*"),23),19,FALSE),"")</f>
        <v>200 OZ, 117 (51+66)</v>
      </c>
      <c r="E19" s="373"/>
      <c r="F19" s="374"/>
      <c r="H19" s="375" t="str">
        <f>H$8</f>
        <v>LIB</v>
      </c>
      <c r="I19" s="375"/>
      <c r="J19" s="375"/>
      <c r="K19" s="375"/>
      <c r="M19" s="371" t="str">
        <f ca="1">IFERROR(VLOOKUP(M17,OFFSET($AG$2,,,COUNTIF($AG$2:$AG$50,"?*"),23),18,FALSE),"")</f>
        <v>6 OZ, 1 (0+1), +2 ±</v>
      </c>
      <c r="N19" s="372"/>
      <c r="O19" s="372"/>
      <c r="P19" s="373" t="str">
        <f ca="1">IFERROR(VLOOKUP(M17,OFFSET($AG$2,,,COUNTIF($AG$2:$AG$50,"?*"),23),19,FALSE),"")</f>
        <v>28 OZ, 5 (2+3)</v>
      </c>
      <c r="Q19" s="373"/>
      <c r="R19" s="374"/>
      <c r="S19" s="110" t="s">
        <v>837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250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151</v>
      </c>
      <c r="AQ19" s="123">
        <v>181</v>
      </c>
      <c r="AR19" s="123">
        <v>79</v>
      </c>
      <c r="AS19" s="126" t="s">
        <v>251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T19" s="104" t="s">
        <v>841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>Sokol Pardubice</v>
      </c>
      <c r="B20" s="360"/>
      <c r="C20" s="361"/>
      <c r="D20" s="362">
        <f ca="1">IFERROR(IF(VLOOKUP(A17,OFFSET($AG$2,,,COUNTIF($AG$2:$AG$50,"?*"),23),14,FALSE)&lt;&gt;0,VLOOKUP(A17,OFFSET($AG$2,,,COUNTIF($AG$2:$AG$50,"?*"),23),14,FALSE),"?"),"")</f>
        <v>2009</v>
      </c>
      <c r="E20" s="363"/>
      <c r="F20" s="7">
        <f ca="1">IFERROR(IF(VLOOKUP(A17,OFFSET($AG$2,,,COUNTIF($AG$2:$AG$50,"?*"),23),7,FALSE)&lt;&gt;0,VLOOKUP(A17,OFFSET($AG$2,,,COUNTIF($AG$2:$AG$50,"?*"),23),7,FALSE),"?"),"")</f>
        <v>11</v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>FBC Liberec</v>
      </c>
      <c r="N20" s="360"/>
      <c r="O20" s="361"/>
      <c r="P20" s="362">
        <f ca="1">IFERROR(IF(VLOOKUP(M17,OFFSET($AG$2,,,COUNTIF($AG$2:$AG$50,"?*"),23),14,FALSE)&lt;&gt;0,VLOOKUP(M17,OFFSET($AG$2,,,COUNTIF($AG$2:$AG$50,"?*"),23),14,FALSE),"?"),"")</f>
        <v>2010</v>
      </c>
      <c r="Q20" s="363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233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231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814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6 OZ, 7 (6+1), -2 ±</v>
      </c>
      <c r="AY20" s="129" t="str">
        <f t="shared" ca="1" si="2"/>
        <v>6 OZ, 7 (6+1)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222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-8</v>
      </c>
      <c r="AC21" s="102" t="str">
        <f t="shared" ca="1" si="0"/>
        <v>ANO</v>
      </c>
      <c r="AG21" s="121" t="s">
        <v>224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151</v>
      </c>
      <c r="AQ21" s="123">
        <v>187</v>
      </c>
      <c r="AR21" s="123">
        <v>83</v>
      </c>
      <c r="AS21" s="126" t="s">
        <v>252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6 OZ, 11 (6+5), -1 ±</v>
      </c>
      <c r="AY21" s="129" t="str">
        <f t="shared" ca="1" si="2"/>
        <v>24 OZ, 25 (15+10)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236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234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151</v>
      </c>
      <c r="AQ22" s="123">
        <v>187</v>
      </c>
      <c r="AR22" s="123">
        <v>82</v>
      </c>
      <c r="AS22" s="126" t="s">
        <v>253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6 OZ, 2 (1+1), -9 ±</v>
      </c>
      <c r="AY22" s="129" t="str">
        <f t="shared" ca="1" si="2"/>
        <v>47 OZ, 27 (16+11)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1252</v>
      </c>
      <c r="BU22" s="103">
        <v>5</v>
      </c>
      <c r="BV22" s="104" t="str">
        <f t="shared" si="13"/>
        <v>Prokop Ferdan</v>
      </c>
      <c r="BW22" s="102">
        <f t="shared" si="14"/>
        <v>5</v>
      </c>
    </row>
    <row r="23" spans="1:75" ht="15" customHeight="1" thickTop="1" thickBot="1" x14ac:dyDescent="0.25">
      <c r="A23" s="342" t="s">
        <v>223</v>
      </c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76" t="s">
        <v>13</v>
      </c>
      <c r="I23" s="376"/>
      <c r="J23" s="376"/>
      <c r="K23" s="376"/>
      <c r="M23" s="342" t="s">
        <v>234</v>
      </c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218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151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6 OZ, 2 (2+0), -3 ±</v>
      </c>
      <c r="AY23" s="129" t="str">
        <f t="shared" ca="1" si="2"/>
        <v>100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1251</v>
      </c>
      <c r="BU23" s="103">
        <v>5</v>
      </c>
      <c r="BV23" s="104" t="str">
        <f t="shared" si="13"/>
        <v>Šimon Stránský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35">
        <f ca="1">IFERROR(IF(VLOOKUP(A23,OFFSET($AG$2,,,COUNTIF($AG$2:$AG$50,"?*"),23),2,FALSE)&lt;&gt;0,YEAR(VLOOKUP(A23,OFFSET($AG$2,,,COUNTIF($AG$2:$AG$50,"?*"),23),2,FALSE)),""),"")</f>
        <v>1999</v>
      </c>
      <c r="C24" s="336"/>
      <c r="D24" s="94">
        <f ca="1">IFERROR(VLOOKUP(A23,OFFSET($AG$2,,,COUNTIF($AG$2:$AG$50,"?*"),23),15,FALSE),"")</f>
        <v>21</v>
      </c>
      <c r="E24" s="337" t="str">
        <f ca="1">IFERROR(VLOOKUP(A23,OFFSET($AG$2,,,COUNTIF($AG$2:$AG$50,"?*"),23),16,FALSE),"")</f>
        <v>164/60</v>
      </c>
      <c r="F24" s="338"/>
      <c r="M24" s="4" t="str">
        <f ca="1">IFERROR(IF(VLOOKUP(M23,OFFSET($AG$2,,,COUNTIF($AG$2:$AG$50,"?*"),23),10,FALSE)&lt;&gt;0,VLOOKUP(M23,OFFSET($AG$2,,,COUNTIF($AG$2:$AG$50,"?*"),23),10,FALSE),""),"")</f>
        <v>L</v>
      </c>
      <c r="N24" s="335">
        <f ca="1">IFERROR(IF(VLOOKUP(M23,OFFSET($AG$2,,,COUNTIF($AG$2:$AG$50,"?*"),23),2,FALSE)&lt;&gt;0,YEAR(VLOOKUP(M23,OFFSET($AG$2,,,COUNTIF($AG$2:$AG$50,"?*"),23),2,FALSE)),""),"")</f>
        <v>1998</v>
      </c>
      <c r="O24" s="336"/>
      <c r="P24" s="94">
        <f ca="1">IFERROR(VLOOKUP(M23,OFFSET($AG$2,,,COUNTIF($AG$2:$AG$50,"?*"),23),15,FALSE),"")</f>
        <v>23</v>
      </c>
      <c r="Q24" s="337" t="str">
        <f ca="1">IFERROR(VLOOKUP(M23,OFFSET($AG$2,,,COUNTIF($AG$2:$AG$50,"?*"),23),16,FALSE),"")</f>
        <v>187/82</v>
      </c>
      <c r="R24" s="338"/>
      <c r="S24" s="111"/>
      <c r="AC24" s="102" t="str">
        <f t="shared" ca="1" si="0"/>
        <v/>
      </c>
      <c r="AG24" s="121" t="s">
        <v>228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1253</v>
      </c>
      <c r="BU24" s="103">
        <v>4</v>
      </c>
      <c r="BV24" s="104" t="str">
        <f t="shared" si="13"/>
        <v>Jakub Kopecký</v>
      </c>
      <c r="BW24" s="102">
        <f t="shared" si="14"/>
        <v>4</v>
      </c>
    </row>
    <row r="25" spans="1:75" ht="15" customHeight="1" thickTop="1" thickBot="1" x14ac:dyDescent="0.25">
      <c r="A25" s="371" t="str">
        <f ca="1">IFERROR(VLOOKUP(A23,OFFSET($AG$2,,,COUNTIF($AG$2:$AG$50,"?*"),23),18,FALSE),"")</f>
        <v>6 OZ, 1 (0+1), -5 ±</v>
      </c>
      <c r="B25" s="372"/>
      <c r="C25" s="372"/>
      <c r="D25" s="373" t="str">
        <f ca="1">IFERROR(VLOOKUP(A23,OFFSET($AG$2,,,COUNTIF($AG$2:$AG$50,"?*"),23),19,FALSE),"")</f>
        <v>81 OZ, 45 (23+22)</v>
      </c>
      <c r="E25" s="373"/>
      <c r="F25" s="374"/>
      <c r="G25" s="342" t="s">
        <v>225</v>
      </c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71" t="str">
        <f ca="1">IFERROR(VLOOKUP(M23,OFFSET($AG$2,,,COUNTIF($AG$2:$AG$50,"?*"),23),18,FALSE),"")</f>
        <v>6 OZ, 2 (1+1), -9 ±</v>
      </c>
      <c r="N25" s="372"/>
      <c r="O25" s="372"/>
      <c r="P25" s="373" t="str">
        <f ca="1">IFERROR(VLOOKUP(M23,OFFSET($AG$2,,,COUNTIF($AG$2:$AG$50,"?*"),23),19,FALSE),"")</f>
        <v>47 OZ, 27 (16+11)</v>
      </c>
      <c r="Q25" s="373"/>
      <c r="R25" s="374"/>
      <c r="S25" s="111"/>
      <c r="AC25" s="102" t="str">
        <f t="shared" ca="1" si="0"/>
        <v/>
      </c>
      <c r="AG25" s="121" t="s">
        <v>219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151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26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6 OZ, 7 (4+3), 0 ±</v>
      </c>
      <c r="AY25" s="129" t="str">
        <f t="shared" ca="1" si="16"/>
        <v>195 OZ, 312 (170+142)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1254</v>
      </c>
      <c r="BU25" s="103">
        <v>3</v>
      </c>
      <c r="BV25" s="104" t="str">
        <f t="shared" si="13"/>
        <v>Petr Kološ</v>
      </c>
      <c r="BW25" s="102">
        <f t="shared" si="14"/>
        <v>3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>Florbal Mladá Boleslav</v>
      </c>
      <c r="B26" s="360"/>
      <c r="C26" s="361"/>
      <c r="D26" s="362">
        <f ca="1">IFERROR(IF(VLOOKUP(A23,OFFSET($AG$2,,,COUNTIF($AG$2:$AG$50,"?*"),23),14,FALSE)&lt;&gt;0,VLOOKUP(A23,OFFSET($AG$2,,,COUNTIF($AG$2:$AG$50,"?*"),23),14,FALSE),"?"),"")</f>
        <v>2008</v>
      </c>
      <c r="E26" s="363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35">
        <f ca="1">IFERROR(IF(VLOOKUP(G25,OFFSET($AG$2,,,COUNTIF($AG$2:$AG$50,"?*"),23),2,FALSE)&lt;&gt;0,YEAR(VLOOKUP(G25,OFFSET($AG$2,,,COUNTIF($AG$2:$AG$50,"?*"),23),2,FALSE)),""),"")</f>
        <v>1994</v>
      </c>
      <c r="I26" s="336"/>
      <c r="J26" s="94">
        <f ca="1">IFERROR(VLOOKUP(G25,OFFSET($AG$2,,,COUNTIF($AG$2:$AG$50,"?*"),23),15,FALSE),"")</f>
        <v>27</v>
      </c>
      <c r="K26" s="337" t="str">
        <f ca="1">IFERROR(VLOOKUP(G25,OFFSET($AG$2,,,COUNTIF($AG$2:$AG$50,"?*"),23),16,FALSE),"")</f>
        <v>185/86</v>
      </c>
      <c r="L26" s="338"/>
      <c r="M26" s="359" t="str">
        <f ca="1">IFERROR(IF(VLOOKUP(M23,OFFSET($AG$2,,,COUNTIF($AG$2:$AG$50,"?*"),23),13,FALSE)&lt;&gt;0,VLOOKUP(M23,OFFSET($AG$2,,,COUNTIF($AG$2:$AG$50,"?*"),23),13,FALSE),"?"),"")</f>
        <v>DTJ Trutnov</v>
      </c>
      <c r="N26" s="360"/>
      <c r="O26" s="361"/>
      <c r="P26" s="362">
        <f ca="1">IFERROR(IF(VLOOKUP(M23,OFFSET($AG$2,,,COUNTIF($AG$2:$AG$50,"?*"),23),14,FALSE)&lt;&gt;0,VLOOKUP(M23,OFFSET($AG$2,,,COUNTIF($AG$2:$AG$50,"?*"),23),14,FALSE),"?"),"")</f>
        <v>2014</v>
      </c>
      <c r="Q26" s="363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229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151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6 OZ, 5 (2+3), +2 ±</v>
      </c>
      <c r="AY26" s="129" t="str">
        <f t="shared" ca="1" si="16"/>
        <v>28 OZ, 31 (11+20)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1255</v>
      </c>
      <c r="BU26" s="103">
        <v>3</v>
      </c>
      <c r="BV26" s="104" t="str">
        <f t="shared" si="13"/>
        <v>Radek Valeš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>6 OZ, 1 (1+0), -8 ±</v>
      </c>
      <c r="H27" s="372"/>
      <c r="I27" s="372"/>
      <c r="J27" s="373" t="str">
        <f ca="1">IFERROR(VLOOKUP(G25,OFFSET($AG$2,,,COUNTIF($AG$2:$AG$50,"?*"),23),19,FALSE),"")</f>
        <v>124 OZ, 36 (27+9)</v>
      </c>
      <c r="K27" s="373"/>
      <c r="L27" s="374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0" t="s">
        <v>39</v>
      </c>
      <c r="BT27" s="104" t="s">
        <v>1068</v>
      </c>
      <c r="BU27" s="103">
        <v>4</v>
      </c>
      <c r="BV27" s="104" t="str">
        <f t="shared" si="13"/>
        <v>Jan Světlík</v>
      </c>
      <c r="BW27" s="102">
        <f t="shared" si="14"/>
        <v>4</v>
      </c>
    </row>
    <row r="28" spans="1:75" ht="15" customHeight="1" thickTop="1" thickBot="1" x14ac:dyDescent="0.25">
      <c r="A28" s="342" t="s">
        <v>222</v>
      </c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59" t="str">
        <f ca="1">IFERROR(IF(VLOOKUP(G25,OFFSET($AG$2,,,COUNTIF($AG$2:$AG$50,"?*"),23),13,FALSE)&lt;&gt;0,VLOOKUP(G25,OFFSET($AG$2,,,COUNTIF($AG$2:$AG$50,"?*"),23),13,FALSE),"?"),"")</f>
        <v>Sokol Dvůr Králové</v>
      </c>
      <c r="H28" s="360"/>
      <c r="I28" s="361"/>
      <c r="J28" s="362">
        <f ca="1">IFERROR(IF(VLOOKUP(G25,OFFSET($AG$2,,,COUNTIF($AG$2:$AG$50,"?*"),23),14,FALSE)&lt;&gt;0,VLOOKUP(G25,OFFSET($AG$2,,,COUNTIF($AG$2:$AG$50,"?*"),23),14,FALSE),"?"),"")</f>
        <v>2001</v>
      </c>
      <c r="K28" s="363"/>
      <c r="L28" s="7">
        <f ca="1">IFERROR(IF(VLOOKUP(G25,OFFSET($AG$2,,,COUNTIF($AG$2:$AG$50,"?*"),23),7,FALSE)&lt;&gt;0,VLOOKUP(G25,OFFSET($AG$2,,,COUNTIF($AG$2:$AG$50,"?*"),23),7,FALSE),"?"),"")</f>
        <v>11</v>
      </c>
      <c r="M28" s="342" t="s">
        <v>220</v>
      </c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0"/>
      <c r="BT28" s="104" t="s">
        <v>1251</v>
      </c>
      <c r="BU28" s="103">
        <v>4</v>
      </c>
      <c r="BV28" s="104" t="str">
        <f t="shared" si="13"/>
        <v>Šimon Stránský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35">
        <f ca="1">IFERROR(IF(VLOOKUP(A28,OFFSET($AG$2,,,COUNTIF($AG$2:$AG$50,"?*"),23),2,FALSE)&lt;&gt;0,YEAR(VLOOKUP(A28,OFFSET($AG$2,,,COUNTIF($AG$2:$AG$50,"?*"),23),2,FALSE)),""),"")</f>
        <v>2000</v>
      </c>
      <c r="C29" s="336"/>
      <c r="D29" s="94">
        <f ca="1">IFERROR(VLOOKUP(A28,OFFSET($AG$2,,,COUNTIF($AG$2:$AG$50,"?*"),23),15,FALSE),"")</f>
        <v>21</v>
      </c>
      <c r="E29" s="337" t="str">
        <f ca="1">IFERROR(VLOOKUP(A28,OFFSET($AG$2,,,COUNTIF($AG$2:$AG$50,"?*"),23),16,FALSE),"")</f>
        <v>180/72</v>
      </c>
      <c r="F29" s="338"/>
      <c r="M29" s="4" t="str">
        <f ca="1">IFERROR(IF(VLOOKUP(M28,OFFSET($AG$2,,,COUNTIF($AG$2:$AG$50,"?*"),23),10,FALSE)&lt;&gt;0,VLOOKUP(M28,OFFSET($AG$2,,,COUNTIF($AG$2:$AG$50,"?*"),23),10,FALSE),""),"")</f>
        <v>L</v>
      </c>
      <c r="N29" s="335">
        <f ca="1">IFERROR(IF(VLOOKUP(M28,OFFSET($AG$2,,,COUNTIF($AG$2:$AG$50,"?*"),23),2,FALSE)&lt;&gt;0,YEAR(VLOOKUP(M28,OFFSET($AG$2,,,COUNTIF($AG$2:$AG$50,"?*"),23),2,FALSE)),""),"")</f>
        <v>1989</v>
      </c>
      <c r="O29" s="336"/>
      <c r="P29" s="94">
        <f ca="1">IFERROR(VLOOKUP(M28,OFFSET($AG$2,,,COUNTIF($AG$2:$AG$50,"?*"),23),15,FALSE),"")</f>
        <v>31</v>
      </c>
      <c r="Q29" s="337" t="str">
        <f ca="1">IFERROR(VLOOKUP(M28,OFFSET($AG$2,,,COUNTIF($AG$2:$AG$50,"?*"),23),16,FALSE),"")</f>
        <v>194/98</v>
      </c>
      <c r="R29" s="33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0"/>
      <c r="BT29" s="104" t="s">
        <v>1256</v>
      </c>
      <c r="BU29" s="103">
        <v>2</v>
      </c>
      <c r="BV29" s="104" t="str">
        <f t="shared" si="13"/>
        <v>Daniel Martínek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>6 OZ, 0 (0+0), -8 ±</v>
      </c>
      <c r="B30" s="372"/>
      <c r="C30" s="372"/>
      <c r="D30" s="373" t="str">
        <f ca="1">IFERROR(VLOOKUP(A28,OFFSET($AG$2,,,COUNTIF($AG$2:$AG$50,"?*"),23),19,FALSE),"")</f>
        <v>56 OZ, 13 (5+8)</v>
      </c>
      <c r="E30" s="373"/>
      <c r="F30" s="374"/>
      <c r="H30" s="375" t="str">
        <f>H$8</f>
        <v>LIB</v>
      </c>
      <c r="I30" s="375"/>
      <c r="J30" s="375"/>
      <c r="K30" s="375"/>
      <c r="M30" s="371" t="str">
        <f ca="1">IFERROR(VLOOKUP(M28,OFFSET($AG$2,,,COUNTIF($AG$2:$AG$50,"?*"),23),18,FALSE),"")</f>
        <v>5 OZ, 1 (1+0), -2 ±</v>
      </c>
      <c r="N30" s="372"/>
      <c r="O30" s="372"/>
      <c r="P30" s="373" t="str">
        <f ca="1">IFERROR(VLOOKUP(M28,OFFSET($AG$2,,,COUNTIF($AG$2:$AG$50,"?*"),23),19,FALSE),"")</f>
        <v>247 OZ, 119 (64+55)</v>
      </c>
      <c r="Q30" s="373"/>
      <c r="R30" s="37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0"/>
      <c r="BT30" s="104" t="s">
        <v>1254</v>
      </c>
      <c r="BU30" s="103">
        <v>2</v>
      </c>
      <c r="BV30" s="104" t="str">
        <f t="shared" si="13"/>
        <v>Petr Kološ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>FA Mladá Boleslav</v>
      </c>
      <c r="B31" s="360"/>
      <c r="C31" s="361"/>
      <c r="D31" s="362">
        <f ca="1">IFERROR(IF(VLOOKUP(A28,OFFSET($AG$2,,,COUNTIF($AG$2:$AG$50,"?*"),23),14,FALSE)&lt;&gt;0,VLOOKUP(A28,OFFSET($AG$2,,,COUNTIF($AG$2:$AG$50,"?*"),23),14,FALSE),"?"),"")</f>
        <v>2006</v>
      </c>
      <c r="E31" s="363"/>
      <c r="F31" s="7">
        <f ca="1">IFERROR(IF(VLOOKUP(A28,OFFSET($AG$2,,,COUNTIF($AG$2:$AG$50,"?*"),23),7,FALSE)&lt;&gt;0,VLOOKUP(A28,OFFSET($AG$2,,,COUNTIF($AG$2:$AG$50,"?*"),23),7,FALSE),"?"),"")</f>
        <v>3</v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>FBC Liberec</v>
      </c>
      <c r="N31" s="360"/>
      <c r="O31" s="361"/>
      <c r="P31" s="362">
        <f ca="1">IFERROR(IF(VLOOKUP(M28,OFFSET($AG$2,,,COUNTIF($AG$2:$AG$50,"?*"),23),14,FALSE)&lt;&gt;0,VLOOKUP(M28,OFFSET($AG$2,,,COUNTIF($AG$2:$AG$50,"?*"),23),14,FALSE),"?"),"")</f>
        <v>1999</v>
      </c>
      <c r="Q31" s="363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1255</v>
      </c>
      <c r="BU31" s="103">
        <v>2</v>
      </c>
      <c r="BV31" s="104" t="str">
        <f t="shared" si="13"/>
        <v>Radek Valeš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 t="s">
        <v>235</v>
      </c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70" t="s">
        <v>16</v>
      </c>
      <c r="J34" s="342" t="s">
        <v>231</v>
      </c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35">
        <f ca="1">IFERROR(IF(VLOOKUP(A34,OFFSET($AG$2,,,COUNTIF($AG$2:$AG$50,"?*"),23),2,FALSE)&lt;&gt;0,YEAR(VLOOKUP(A34,OFFSET($AG$2,,,COUNTIF($AG$2:$AG$50,"?*"),23),2,FALSE)),""),"")</f>
        <v>2001</v>
      </c>
      <c r="C35" s="336"/>
      <c r="D35" s="94">
        <f ca="1">IFERROR(VLOOKUP(A34,OFFSET($AG$2,,,COUNTIF($AG$2:$AG$50,"?*"),23),15,FALSE),"")</f>
        <v>20</v>
      </c>
      <c r="E35" s="337" t="str">
        <f ca="1">IFERROR(VLOOKUP(A34,OFFSET($AG$2,,,COUNTIF($AG$2:$AG$50,"?*"),23),16,FALSE),"")</f>
        <v>195/93</v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>P</v>
      </c>
      <c r="K35" s="336">
        <f ca="1">IFERROR(IF(VLOOKUP(J34,OFFSET($AG$2,,,COUNTIF($AG$2:$AG$50,"?*"),23),2,FALSE)&lt;&gt;0,YEAR(VLOOKUP(J34,OFFSET($AG$2,,,COUNTIF($AG$2:$AG$50,"?*"),23),2,FALSE)),""),"")</f>
        <v>2004</v>
      </c>
      <c r="L35" s="344"/>
      <c r="M35" s="93">
        <f ca="1">IFERROR(VLOOKUP(J34,OFFSET($AG$2,,,COUNTIF($AG$2:$AG$50,"?*"),23),15,FALSE),"")</f>
        <v>17</v>
      </c>
      <c r="N35" s="344" t="str">
        <f ca="1">IFERROR(VLOOKUP(J34,OFFSET($AG$2,,,COUNTIF($AG$2:$AG$50,"?*"),23),16,FALSE),"")</f>
        <v>183/79</v>
      </c>
      <c r="O35" s="344"/>
      <c r="P35" s="344" t="str">
        <f ca="1">IFERROR(VLOOKUP(J34,OFFSET($AG$2,,,COUNTIF($AG$2:$AG$50,"?*"),23),18,FALSE),"")</f>
        <v>6 OZ, 7 (6+1), -2 ±</v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6</v>
      </c>
      <c r="B36" s="339" t="str">
        <f ca="1">IFERROR(VLOOKUP(A34,OFFSET($AG$2,,,COUNTIF($AG$2:$AG$50,"?*"),23),18,FALSE),"")</f>
        <v>3 V, 3 P</v>
      </c>
      <c r="C36" s="339"/>
      <c r="D36" s="340">
        <f ca="1">IFERROR(VLOOKUP(A34,OFFSET($S$45,,,COUNTIF($S$45:$S$50,"?*"),14),5,FALSE),"")</f>
        <v>33</v>
      </c>
      <c r="E36" s="341"/>
      <c r="F36" s="17">
        <f ca="1">IFERROR(VLOOKUP(A34,OFFSET($S$45,,,COUNTIF($S$45:$S$50,"?*"),14),14,FALSE),"")</f>
        <v>72.033898305084747</v>
      </c>
      <c r="H36" s="370"/>
      <c r="J36" s="18">
        <f ca="1">IFERROR(IF(VLOOKUP(J34,OFFSET($AG$2,,,COUNTIF($AG$2:$AG$50,"?*"),23),7,FALSE)&lt;&gt;0,VLOOKUP(J34,OFFSET($AG$2,,,COUNTIF($AG$2:$AG$50,"?*"),23),7,FALSE),"?"),"")</f>
        <v>1</v>
      </c>
      <c r="K36" s="346" t="str">
        <f ca="1">IFERROR(VLOOKUP(J34,OFFSET($AG$2,,,COUNTIF($AG$2:$AG$50,"?*"),23),19,FALSE),"")</f>
        <v>6 OZ, 7 (6+1)</v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>FBC Panthers Liberec</v>
      </c>
      <c r="O36" s="347"/>
      <c r="P36" s="347"/>
      <c r="Q36" s="346">
        <f ca="1">IFERROR(IF(VLOOKUP(J34,OFFSET($AG$2,,,COUNTIF($AG$2:$AG$50,"?*"),23),14,FALSE)&lt;&gt;0,VLOOKUP(J34,OFFSET($AG$2,,,COUNTIF($AG$2:$AG$50,"?*"),23),14,FALSE),"?"),"")</f>
        <v>2010</v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>
        <f ca="1">IFERROR(VLOOKUP(A34,OFFSET($S$45,,,COUNTIF($S$45:$S$50,"?*"),14),3,FALSE),"")</f>
        <v>365</v>
      </c>
      <c r="B37" s="365"/>
      <c r="C37" s="366">
        <f ca="1">IFERROR(VLOOKUP(A34,OFFSET($S$45,,,COUNTIF($S$45:$S$50,"?*"),14),13,FALSE),"")</f>
        <v>5.4246575342465757</v>
      </c>
      <c r="D37" s="367"/>
      <c r="E37" s="368" t="str">
        <f ca="1">IFERROR(VLOOKUP(A34,OFFSET($AG$2,,,COUNTIF($AG$2:$AG$50,"?*"),23),19,FALSE),"")</f>
        <v>6 OZ, 1 A</v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>FBC Liberec</v>
      </c>
      <c r="B38" s="360"/>
      <c r="C38" s="361"/>
      <c r="D38" s="362">
        <f ca="1">IFERROR(IF(VLOOKUP(A34,OFFSET($AG$2,,,COUNTIF($AG$2:$AG$50,"?*"),23),14,FALSE)&lt;&gt;0,VLOOKUP(A34,OFFSET($AG$2,,,COUNTIF($AG$2:$AG$50,"?*"),23),14,FALSE),"?"),"")</f>
        <v>2014</v>
      </c>
      <c r="E38" s="363"/>
      <c r="F38" s="19">
        <f ca="1">IFERROR(VLOOKUP(A34,OFFSET($S$45,,,COUNTIF($S$45:$S$50,"?*"),14),6,FALSE),"")</f>
        <v>0</v>
      </c>
      <c r="H38" s="370"/>
      <c r="J38" s="342" t="s">
        <v>236</v>
      </c>
      <c r="K38" s="343"/>
      <c r="L38" s="343"/>
      <c r="M38" s="343"/>
      <c r="N38" s="343"/>
      <c r="O38" s="343"/>
      <c r="P38" s="343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>P</v>
      </c>
      <c r="K39" s="336">
        <f ca="1">IFERROR(IF(VLOOKUP(J38,OFFSET($AG$2,,,COUNTIF($AG$2:$AG$50,"?*"),23),2,FALSE)&lt;&gt;0,YEAR(VLOOKUP(J38,OFFSET($AG$2,,,COUNTIF($AG$2:$AG$50,"?*"),23),2,FALSE)),""),"")</f>
        <v>2001</v>
      </c>
      <c r="L39" s="344"/>
      <c r="M39" s="151">
        <f ca="1">IFERROR(VLOOKUP(J38,OFFSET($AG$2,,,COUNTIF($AG$2:$AG$50,"?*"),23),15,FALSE),"")</f>
        <v>20</v>
      </c>
      <c r="N39" s="344" t="str">
        <f ca="1">IFERROR(VLOOKUP(J38,OFFSET($AG$2,,,COUNTIF($AG$2:$AG$50,"?*"),23),16,FALSE),"")</f>
        <v>170/67</v>
      </c>
      <c r="O39" s="344"/>
      <c r="P39" s="344" t="str">
        <f ca="1">IFERROR(VLOOKUP(J38,OFFSET($AG$2,,,COUNTIF($AG$2:$AG$50,"?*"),23),18,FALSE),"")</f>
        <v>6 OZ, 0 (0+0), 0 ±</v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 t="s">
        <v>837</v>
      </c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>
        <f ca="1">IFERROR(IF(VLOOKUP(J38,OFFSET($AG$2,,,COUNTIF($AG$2:$AG$50,"?*"),23),7,FALSE)&lt;&gt;0,VLOOKUP(J38,OFFSET($AG$2,,,COUNTIF($AG$2:$AG$50,"?*"),23),7,FALSE),"?"),"")</f>
        <v>4</v>
      </c>
      <c r="K40" s="346" t="str">
        <f ca="1">IFERROR(VLOOKUP(J38,OFFSET($AG$2,,,COUNTIF($AG$2:$AG$50,"?*"),23),19,FALSE),"")</f>
        <v>20 OZ, 0 (0+0)</v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>Sokol Benátky nad Jizerou</v>
      </c>
      <c r="O40" s="347"/>
      <c r="P40" s="347"/>
      <c r="Q40" s="346">
        <f ca="1">IFERROR(IF(VLOOKUP(J38,OFFSET($AG$2,,,COUNTIF($AG$2:$AG$50,"?*"),23),14,FALSE)&lt;&gt;0,VLOOKUP(J38,OFFSET($AG$2,,,COUNTIF($AG$2:$AG$50,"?*"),23),14,FALSE),"?"),"")</f>
        <v>2006</v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94" t="str">
        <f ca="1">IFERROR(VLOOKUP(A40,OFFSET($AG$2,,,COUNTIF($AG$2:$AG$50,"?*"),23),15,FALSE),"")</f>
        <v>?</v>
      </c>
      <c r="E41" s="337" t="str">
        <f ca="1">IFERROR(VLOOKUP(A40,OFFSET($AG$2,,,COUNTIF($AG$2:$AG$50,"?*"),23),16,FALSE),"")</f>
        <v>? / ?</v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39" t="str">
        <f ca="1">IFERROR(VLOOKUP(A40,OFFSET($AG$2,,,COUNTIF($AG$2:$AG$50,"?*"),23),18,FALSE),"")</f>
        <v>0 V, 0 P</v>
      </c>
      <c r="C42" s="339"/>
      <c r="D42" s="340">
        <f ca="1">IFERROR(VLOOKUP(A40,OFFSET($S$45,,,COUNTIF($S$45:$S$50,"?*"),14),5,FALSE),"")</f>
        <v>0</v>
      </c>
      <c r="E42" s="341"/>
      <c r="F42" s="17" t="str">
        <f ca="1">IFERROR(VLOOKUP(A40,OFFSET($S$45,,,COUNTIF($S$45:$S$50,"?*"),14),14,FALSE),"")</f>
        <v>-</v>
      </c>
      <c r="H42" s="370"/>
      <c r="J42" s="342"/>
      <c r="K42" s="343"/>
      <c r="L42" s="343"/>
      <c r="M42" s="343"/>
      <c r="N42" s="343"/>
      <c r="O42" s="343"/>
      <c r="P42" s="343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>
        <f ca="1">IFERROR(VLOOKUP(A40,OFFSET($S$45,,,COUNTIF($S$45:$S$50,"?*"),14),3,FALSE),"")</f>
        <v>0</v>
      </c>
      <c r="B43" s="365"/>
      <c r="C43" s="366">
        <f ca="1">IFERROR(VLOOKUP(A40,OFFSET($S$45,,,COUNTIF($S$45:$S$50,"?*"),14),13,FALSE),"")</f>
        <v>0</v>
      </c>
      <c r="D43" s="367"/>
      <c r="E43" s="368" t="str">
        <f ca="1">IFERROR(VLOOKUP(A40,OFFSET($AG$2,,,COUNTIF($AG$2:$AG$50,"?*"),23),19,FALSE),"")</f>
        <v>0 OZ, 0 A</v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>?</v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>?</v>
      </c>
      <c r="E44" s="363"/>
      <c r="F44" s="19">
        <f ca="1">IFERROR(VLOOKUP(A40,OFFSET($S$45,,,COUNTIF($S$45:$S$50,"?*"),14),6,FALSE),"")</f>
        <v>0</v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235</v>
      </c>
      <c r="T45" s="102">
        <v>6</v>
      </c>
      <c r="U45" s="112">
        <v>365</v>
      </c>
      <c r="V45" s="102">
        <v>3</v>
      </c>
      <c r="W45" s="102">
        <v>33</v>
      </c>
      <c r="X45" s="102">
        <v>0</v>
      </c>
      <c r="Y45" s="102">
        <v>118</v>
      </c>
      <c r="Z45" s="102">
        <v>0</v>
      </c>
      <c r="AA45" s="102">
        <v>3</v>
      </c>
      <c r="AB45" s="102">
        <v>85</v>
      </c>
      <c r="AC45" s="102">
        <v>1</v>
      </c>
      <c r="AD45" s="102">
        <v>0</v>
      </c>
      <c r="AE45" s="112">
        <f>IF(S45&lt;&gt;"",IF(T45&gt;0,W45/(U45/60),0),"")</f>
        <v>5.4246575342465757</v>
      </c>
      <c r="AF45" s="112">
        <f>IF(S45&lt;&gt;"",IF(Y45&gt;0,(AB45/Y45)*100,"-"),"")</f>
        <v>72.033898305084747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837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 t="s">
        <v>254</v>
      </c>
      <c r="B47" s="332"/>
      <c r="C47" s="332"/>
      <c r="D47" s="332"/>
      <c r="E47" s="333" t="str">
        <f ca="1">IFERROR(VLOOKUP(A47,OFFSET($BN$2,,,COUNTIF($BN$2:$BN$11,"?*"),5),3,FALSE),"")</f>
        <v>hlavní trenér</v>
      </c>
      <c r="F47" s="333"/>
      <c r="G47" s="333"/>
      <c r="H47" s="333"/>
      <c r="I47" s="334"/>
      <c r="J47" s="331" t="s">
        <v>255</v>
      </c>
      <c r="K47" s="332"/>
      <c r="L47" s="332"/>
      <c r="M47" s="332"/>
      <c r="N47" s="333" t="str">
        <f ca="1">IFERROR(VLOOKUP(J47,OFFSET($BN$2,,,COUNTIF($BN$2:$BN$11,"?*"),5),3,FALSE),"")</f>
        <v>asistent trenéra</v>
      </c>
      <c r="O47" s="333"/>
      <c r="P47" s="333"/>
      <c r="Q47" s="333"/>
      <c r="R47" s="334"/>
      <c r="S47" s="111" t="s">
        <v>230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>
        <f ca="1">IFERROR(VLOOKUP(A47,OFFSET($BN$2,,,COUNTIF($BN$2:$BN$11,"?*"),5),5,FALSE),"")</f>
        <v>53</v>
      </c>
      <c r="B48" s="351" t="str">
        <f ca="1">IFERROR(IF(VLOOKUP(A47,OFFSET($BN$2,,,COUNTIF($BN$2:$BN$11,"?*"),5),4,FALSE)&lt;&gt;0,VLOOKUP(A47,OFFSET($BN$2,,,COUNTIF($BN$2:$BN$11,"?*"),5),4,FALSE),"-"),"")</f>
        <v>stříbro a bronz z MS</v>
      </c>
      <c r="C48" s="351"/>
      <c r="D48" s="351"/>
      <c r="E48" s="351"/>
      <c r="F48" s="351"/>
      <c r="G48" s="351"/>
      <c r="H48" s="351"/>
      <c r="I48" s="352"/>
      <c r="J48" s="92">
        <f ca="1">IFERROR(VLOOKUP(J47,OFFSET($BN$2,,,COUNTIF($BN$2:$BN$11,"?*"),5),5,FALSE),"")</f>
        <v>26</v>
      </c>
      <c r="K48" s="355" t="str">
        <f ca="1">IFERROR(IF(VLOOKUP(J47,OFFSET($BN$2,,,COUNTIF($BN$2:$BN$11,"?*"),5),4,FALSE)&lt;&gt;0,VLOOKUP(J47,OFFSET($BN$2,,,COUNTIF($BN$2:$BN$11,"?*"),5),4,FALSE),"-"),"")</f>
        <v>-</v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 t="s">
        <v>256</v>
      </c>
      <c r="K49" s="358"/>
      <c r="L49" s="358"/>
      <c r="M49" s="358"/>
      <c r="N49" s="333" t="str">
        <f ca="1">IFERROR(VLOOKUP(J49,OFFSET($BN$2,,,COUNTIF($BN$2:$BN$11,"?*"),5),3,FALSE),"")</f>
        <v>kondiční trenér</v>
      </c>
      <c r="O49" s="333"/>
      <c r="P49" s="333"/>
      <c r="Q49" s="333"/>
      <c r="R49" s="33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92">
        <f ca="1">IFERROR(VLOOKUP(J49,OFFSET($BN$2,,,COUNTIF($BN$2:$BN$11,"?*"),5),5,FALSE),"")</f>
        <v>42</v>
      </c>
      <c r="K50" s="355" t="str">
        <f ca="1">IFERROR(IF(VLOOKUP(J49,OFFSET($BN$2,,,COUNTIF($BN$2:$BN$11,"?*"),5),4,FALSE)&lt;&gt;0,VLOOKUP(J49,OFFSET($BN$2,,,COUNTIF($BN$2:$BN$11,"?*"),5),4,FALSE),"-"),"")</f>
        <v>-</v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398</v>
      </c>
      <c r="T2" s="102" t="s">
        <v>121</v>
      </c>
      <c r="U2" s="102">
        <v>5</v>
      </c>
      <c r="V2" s="102">
        <v>6</v>
      </c>
      <c r="W2" s="102">
        <v>0</v>
      </c>
      <c r="X2" s="102">
        <v>0</v>
      </c>
      <c r="Y2" s="102">
        <v>4</v>
      </c>
      <c r="Z2" s="102">
        <v>10</v>
      </c>
      <c r="AA2" s="102">
        <v>2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411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428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165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440</v>
      </c>
      <c r="BO2" s="122">
        <v>30091</v>
      </c>
      <c r="BP2" s="131" t="s">
        <v>259</v>
      </c>
      <c r="BQ2" s="132" t="s">
        <v>441</v>
      </c>
      <c r="BR2" s="127">
        <f ca="1">IF(BN2&lt;&gt;"",IF(BO2&lt;&gt;"",INT((TODAY()-BO2)/365),"?"),"")</f>
        <v>39</v>
      </c>
      <c r="BS2" s="330" t="s">
        <v>36</v>
      </c>
      <c r="BT2" s="104" t="s">
        <v>1072</v>
      </c>
      <c r="BU2" s="103">
        <v>10</v>
      </c>
      <c r="BV2" s="104" t="str">
        <f>IFERROR(RIGHT(BT2,LEN(BT2)-SEARCH(" ",BT2)),"")</f>
        <v>Jiří Curney</v>
      </c>
      <c r="BW2" s="102">
        <f>IF(BT2&lt;&gt;0,_xlfn.NUMBERVALUE(BU2,","),"")</f>
        <v>10</v>
      </c>
      <c r="BX2" s="329" t="s">
        <v>214</v>
      </c>
      <c r="BY2" s="103" t="s">
        <v>210</v>
      </c>
      <c r="BZ2" s="103" t="s">
        <v>964</v>
      </c>
      <c r="CA2" s="115" t="s">
        <v>1070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399</v>
      </c>
      <c r="U3" s="102">
        <v>5</v>
      </c>
      <c r="V3" s="102">
        <v>6</v>
      </c>
      <c r="W3" s="102">
        <v>0</v>
      </c>
      <c r="X3" s="102">
        <v>0</v>
      </c>
      <c r="Y3" s="102">
        <v>2</v>
      </c>
      <c r="Z3" s="102">
        <v>8</v>
      </c>
      <c r="AA3" s="102">
        <v>0</v>
      </c>
      <c r="AB3" s="102">
        <v>6</v>
      </c>
      <c r="AC3" s="102" t="str">
        <f t="shared" ca="1" si="0"/>
        <v>NE</v>
      </c>
      <c r="AG3" s="121" t="s">
        <v>406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151</v>
      </c>
      <c r="AQ3" s="123">
        <v>181</v>
      </c>
      <c r="AR3" s="123">
        <v>62</v>
      </c>
      <c r="AS3" s="126" t="s">
        <v>429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5 OZ, 6 (5+1), +1 ±</v>
      </c>
      <c r="AY3" s="129" t="str">
        <f t="shared" ca="1" si="2"/>
        <v>143 OZ, 120 (89+31)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442</v>
      </c>
      <c r="BO3" s="122">
        <v>33197</v>
      </c>
      <c r="BP3" s="131" t="s">
        <v>194</v>
      </c>
      <c r="BQ3" s="132" t="s">
        <v>443</v>
      </c>
      <c r="BR3" s="127">
        <f t="shared" ref="BR3:BR11" ca="1" si="12">IF(BN3&lt;&gt;"",IF(BO3&lt;&gt;"",INT((TODAY()-BO3)/365),"?"),"")</f>
        <v>30</v>
      </c>
      <c r="BS3" s="330"/>
      <c r="BT3" s="104" t="s">
        <v>1073</v>
      </c>
      <c r="BU3" s="103">
        <v>8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8</v>
      </c>
      <c r="BX3" s="329"/>
      <c r="BY3" s="103" t="s">
        <v>266</v>
      </c>
      <c r="BZ3" s="103" t="s">
        <v>1020</v>
      </c>
      <c r="CA3" s="115" t="s">
        <v>504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400</v>
      </c>
      <c r="U4" s="102">
        <v>5</v>
      </c>
      <c r="V4" s="102">
        <v>5</v>
      </c>
      <c r="W4" s="102">
        <v>0</v>
      </c>
      <c r="X4" s="102">
        <v>0</v>
      </c>
      <c r="Y4" s="102">
        <v>2</v>
      </c>
      <c r="Z4" s="102">
        <v>7</v>
      </c>
      <c r="AA4" s="102">
        <v>6</v>
      </c>
      <c r="AB4" s="102">
        <v>10</v>
      </c>
      <c r="AC4" s="102" t="str">
        <f t="shared" ca="1" si="0"/>
        <v>ANO</v>
      </c>
      <c r="AG4" s="121" t="s">
        <v>398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151</v>
      </c>
      <c r="AQ4" s="123">
        <v>180</v>
      </c>
      <c r="AR4" s="123">
        <v>77</v>
      </c>
      <c r="AS4" s="126" t="s">
        <v>430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5 OZ, 10 (6+4), +8 ±</v>
      </c>
      <c r="AY4" s="129" t="str">
        <f t="shared" ca="1" si="2"/>
        <v>340 OZ, 745 (409+336)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444</v>
      </c>
      <c r="BO4" s="122">
        <v>30597</v>
      </c>
      <c r="BP4" s="131" t="s">
        <v>260</v>
      </c>
      <c r="BQ4" s="132" t="s">
        <v>445</v>
      </c>
      <c r="BR4" s="127">
        <f t="shared" ca="1" si="12"/>
        <v>38</v>
      </c>
      <c r="BS4" s="330"/>
      <c r="BT4" s="104" t="s">
        <v>914</v>
      </c>
      <c r="BU4" s="103">
        <v>7</v>
      </c>
      <c r="BV4" s="104" t="str">
        <f t="shared" si="13"/>
        <v>Martin Tokoš</v>
      </c>
      <c r="BW4" s="102">
        <f t="shared" si="14"/>
        <v>7</v>
      </c>
      <c r="BX4" s="329"/>
      <c r="BY4" s="103" t="s">
        <v>882</v>
      </c>
      <c r="BZ4" s="103" t="s">
        <v>956</v>
      </c>
      <c r="CA4" s="115" t="s">
        <v>909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403</v>
      </c>
      <c r="U5" s="102">
        <v>5</v>
      </c>
      <c r="V5" s="102">
        <v>3</v>
      </c>
      <c r="W5" s="102">
        <v>0</v>
      </c>
      <c r="X5" s="102">
        <v>0</v>
      </c>
      <c r="Y5" s="102">
        <v>4</v>
      </c>
      <c r="Z5" s="102">
        <v>7</v>
      </c>
      <c r="AA5" s="102">
        <v>0</v>
      </c>
      <c r="AB5" s="102">
        <v>12</v>
      </c>
      <c r="AC5" s="102" t="str">
        <f t="shared" ca="1" si="0"/>
        <v>NE</v>
      </c>
      <c r="AG5" s="121" t="s">
        <v>417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312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446</v>
      </c>
      <c r="BO5" s="122">
        <v>34618</v>
      </c>
      <c r="BP5" s="131" t="s">
        <v>447</v>
      </c>
      <c r="BQ5" s="132" t="s">
        <v>448</v>
      </c>
      <c r="BR5" s="127">
        <f t="shared" ca="1" si="12"/>
        <v>26</v>
      </c>
      <c r="BS5" s="330"/>
      <c r="BT5" s="104" t="s">
        <v>915</v>
      </c>
      <c r="BU5" s="103">
        <v>7</v>
      </c>
      <c r="BV5" s="104" t="str">
        <f t="shared" si="13"/>
        <v>Dominik Beneš</v>
      </c>
      <c r="BW5" s="102">
        <f t="shared" si="14"/>
        <v>7</v>
      </c>
      <c r="BX5" s="329"/>
      <c r="BY5" s="103" t="s">
        <v>207</v>
      </c>
      <c r="BZ5" s="103" t="s">
        <v>957</v>
      </c>
      <c r="CA5" s="115" t="s">
        <v>842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406</v>
      </c>
      <c r="U6" s="102">
        <v>5</v>
      </c>
      <c r="V6" s="102">
        <v>5</v>
      </c>
      <c r="W6" s="102">
        <v>0</v>
      </c>
      <c r="X6" s="102">
        <v>0</v>
      </c>
      <c r="Y6" s="102">
        <v>1</v>
      </c>
      <c r="Z6" s="102">
        <v>6</v>
      </c>
      <c r="AA6" s="102">
        <v>0</v>
      </c>
      <c r="AB6" s="102">
        <v>1</v>
      </c>
      <c r="AC6" s="102" t="str">
        <f t="shared" ca="1" si="0"/>
        <v>ANO</v>
      </c>
      <c r="AG6" s="121" t="s">
        <v>418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151</v>
      </c>
      <c r="AQ6" s="123">
        <v>178</v>
      </c>
      <c r="AR6" s="123">
        <v>64</v>
      </c>
      <c r="AS6" s="126" t="s">
        <v>431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449</v>
      </c>
      <c r="BO6" s="122">
        <v>33694</v>
      </c>
      <c r="BP6" s="131" t="s">
        <v>450</v>
      </c>
      <c r="BQ6" s="132"/>
      <c r="BR6" s="127">
        <f t="shared" ca="1" si="12"/>
        <v>29</v>
      </c>
      <c r="BS6" s="330"/>
      <c r="BT6" s="104" t="s">
        <v>843</v>
      </c>
      <c r="BU6" s="103">
        <v>6</v>
      </c>
      <c r="BV6" s="104" t="str">
        <f t="shared" si="13"/>
        <v>Jakub Bína</v>
      </c>
      <c r="BW6" s="102">
        <f t="shared" si="14"/>
        <v>6</v>
      </c>
      <c r="BX6" s="329"/>
      <c r="BY6" s="103" t="s">
        <v>265</v>
      </c>
      <c r="BZ6" s="103" t="s">
        <v>959</v>
      </c>
      <c r="CA6" s="115" t="s">
        <v>453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401</v>
      </c>
      <c r="T7" s="102" t="s">
        <v>121</v>
      </c>
      <c r="U7" s="102">
        <v>4</v>
      </c>
      <c r="V7" s="102">
        <v>4</v>
      </c>
      <c r="W7" s="102">
        <v>2</v>
      </c>
      <c r="X7" s="102">
        <v>0</v>
      </c>
      <c r="Y7" s="102">
        <v>2</v>
      </c>
      <c r="Z7" s="102">
        <v>6</v>
      </c>
      <c r="AA7" s="102">
        <v>0</v>
      </c>
      <c r="AB7" s="102">
        <v>8</v>
      </c>
      <c r="AC7" s="102" t="str">
        <f t="shared" ca="1" si="0"/>
        <v>ANO</v>
      </c>
      <c r="AG7" s="121" t="s">
        <v>402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428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5 OZ, 3 (0+3), +6 ±</v>
      </c>
      <c r="AY7" s="129" t="str">
        <f t="shared" ca="1" si="2"/>
        <v>212 OZ, 138 (78+60)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451</v>
      </c>
      <c r="BU7" s="103" t="s">
        <v>1074</v>
      </c>
      <c r="BV7" s="104" t="str">
        <f t="shared" si="13"/>
        <v>Lukáš Bauer</v>
      </c>
      <c r="BW7" s="112">
        <f t="shared" si="14"/>
        <v>3.36</v>
      </c>
      <c r="BX7" s="329" t="s">
        <v>215</v>
      </c>
      <c r="BY7" s="103" t="s">
        <v>910</v>
      </c>
      <c r="BZ7" s="103" t="s">
        <v>966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23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404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2</v>
      </c>
      <c r="Z8" s="102">
        <v>6</v>
      </c>
      <c r="AA8" s="102">
        <v>0</v>
      </c>
      <c r="AB8" s="102">
        <v>7</v>
      </c>
      <c r="AC8" s="102" t="str">
        <f t="shared" ca="1" si="0"/>
        <v>ANO</v>
      </c>
      <c r="AG8" s="121" t="s">
        <v>419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151</v>
      </c>
      <c r="AQ8" s="123">
        <v>187</v>
      </c>
      <c r="AR8" s="123">
        <v>80</v>
      </c>
      <c r="AS8" s="126" t="s">
        <v>432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3 OZ, 4 (1+3), +8 ±</v>
      </c>
      <c r="AY8" s="129" t="str">
        <f t="shared" ca="1" si="2"/>
        <v>16 OZ, 15 (8+7)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452</v>
      </c>
      <c r="BU8" s="103" t="s">
        <v>201</v>
      </c>
      <c r="BV8" s="104" t="str">
        <f t="shared" si="13"/>
        <v>Ondřej Tomšík</v>
      </c>
      <c r="BW8" s="112">
        <f t="shared" si="14"/>
        <v>0</v>
      </c>
      <c r="BX8" s="329"/>
      <c r="BY8" s="103" t="s">
        <v>874</v>
      </c>
      <c r="BZ8" s="103" t="s">
        <v>968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407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7</v>
      </c>
      <c r="AC9" s="102" t="str">
        <f t="shared" ca="1" si="0"/>
        <v>ANO</v>
      </c>
      <c r="AG9" s="121" t="s">
        <v>420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V9" s="104" t="str">
        <f t="shared" si="13"/>
        <v/>
      </c>
      <c r="BW9" s="112" t="str">
        <f t="shared" si="14"/>
        <v/>
      </c>
      <c r="BX9" s="329"/>
      <c r="BY9" s="103" t="s">
        <v>965</v>
      </c>
      <c r="BZ9" s="103" t="s">
        <v>1006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408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4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404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433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5 OZ, 6 (4+2), +7 ±</v>
      </c>
      <c r="AY10" s="129" t="str">
        <f t="shared" ca="1" si="2"/>
        <v>215 OZ, 190 (115+75)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967</v>
      </c>
      <c r="BZ10" s="103" t="s">
        <v>962</v>
      </c>
      <c r="CA10" s="115" t="s">
        <v>208</v>
      </c>
    </row>
    <row r="11" spans="1:79" ht="15" customHeight="1" thickTop="1" thickBot="1" x14ac:dyDescent="0.25">
      <c r="R11" s="13"/>
      <c r="S11" s="110" t="s">
        <v>419</v>
      </c>
      <c r="U11" s="102">
        <v>3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8</v>
      </c>
      <c r="AC11" s="102" t="str">
        <f t="shared" ca="1" si="0"/>
        <v>ANO</v>
      </c>
      <c r="AG11" s="121" t="s">
        <v>421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151</v>
      </c>
      <c r="AQ11" s="123">
        <v>183</v>
      </c>
      <c r="AR11" s="123">
        <v>73</v>
      </c>
      <c r="AS11" s="126" t="s">
        <v>433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1008</v>
      </c>
      <c r="BZ11" s="103" t="s">
        <v>983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410</v>
      </c>
      <c r="U12" s="102">
        <v>3</v>
      </c>
      <c r="V12" s="102">
        <v>1</v>
      </c>
      <c r="W12" s="102">
        <v>0</v>
      </c>
      <c r="X12" s="102">
        <v>0</v>
      </c>
      <c r="Y12" s="102">
        <v>2</v>
      </c>
      <c r="Z12" s="102">
        <v>3</v>
      </c>
      <c r="AA12" s="102">
        <v>2</v>
      </c>
      <c r="AB12" s="102">
        <v>3</v>
      </c>
      <c r="AC12" s="102" t="str">
        <f t="shared" ca="1" si="0"/>
        <v>ANO</v>
      </c>
      <c r="AG12" s="121" t="s">
        <v>277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151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1072</v>
      </c>
      <c r="BU12" s="103">
        <v>6</v>
      </c>
      <c r="BV12" s="104" t="str">
        <f t="shared" si="13"/>
        <v>Jiří Curney</v>
      </c>
      <c r="BW12" s="102">
        <f t="shared" si="14"/>
        <v>6</v>
      </c>
      <c r="BX12" s="120" t="s">
        <v>213</v>
      </c>
      <c r="BY12" s="100" t="s">
        <v>1071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402</v>
      </c>
      <c r="T13" s="102" t="s">
        <v>64</v>
      </c>
      <c r="U13" s="102">
        <v>5</v>
      </c>
      <c r="V13" s="102">
        <v>0</v>
      </c>
      <c r="W13" s="102">
        <v>0</v>
      </c>
      <c r="X13" s="102">
        <v>0</v>
      </c>
      <c r="Y13" s="102">
        <v>3</v>
      </c>
      <c r="Z13" s="102">
        <v>3</v>
      </c>
      <c r="AA13" s="102">
        <v>0</v>
      </c>
      <c r="AB13" s="102">
        <v>6</v>
      </c>
      <c r="AC13" s="102" t="str">
        <f t="shared" ca="1" si="0"/>
        <v>ANO</v>
      </c>
      <c r="AG13" s="121" t="s">
        <v>414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151</v>
      </c>
      <c r="AQ13" s="123">
        <v>187</v>
      </c>
      <c r="AR13" s="123">
        <v>71</v>
      </c>
      <c r="AS13" s="126" t="s">
        <v>434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5 OZ, 0 (0+0), -1 ±</v>
      </c>
      <c r="AY13" s="129" t="str">
        <f t="shared" ca="1" si="2"/>
        <v>35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1073</v>
      </c>
      <c r="BU13" s="103">
        <v>6</v>
      </c>
      <c r="BV13" s="104" t="str">
        <f t="shared" si="13"/>
        <v>Matěj Pěnička</v>
      </c>
      <c r="BW13" s="102">
        <f t="shared" si="14"/>
        <v>6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409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6</v>
      </c>
      <c r="AC14" s="102" t="str">
        <f t="shared" ca="1" si="0"/>
        <v>NE</v>
      </c>
      <c r="AG14" s="121" t="s">
        <v>422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151</v>
      </c>
      <c r="AQ14" s="123">
        <v>186</v>
      </c>
      <c r="AR14" s="123">
        <v>88</v>
      </c>
      <c r="AS14" s="126" t="s">
        <v>371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1075</v>
      </c>
      <c r="BU14" s="103">
        <v>5</v>
      </c>
      <c r="BV14" s="104" t="str">
        <f t="shared" si="13"/>
        <v>Jakub Bína</v>
      </c>
      <c r="BW14" s="102">
        <f t="shared" si="14"/>
        <v>5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412</v>
      </c>
      <c r="U15" s="102">
        <v>5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8</v>
      </c>
      <c r="AC15" s="102" t="str">
        <f t="shared" ca="1" si="0"/>
        <v>NE</v>
      </c>
      <c r="AG15" s="121" t="s">
        <v>423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151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913</v>
      </c>
      <c r="BU15" s="103">
        <v>5</v>
      </c>
      <c r="BV15" s="104" t="str">
        <f t="shared" si="13"/>
        <v>Martin Tokoš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415</v>
      </c>
      <c r="U16" s="102">
        <v>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2</v>
      </c>
      <c r="AB16" s="102">
        <v>7</v>
      </c>
      <c r="AC16" s="102" t="str">
        <f t="shared" ca="1" si="0"/>
        <v>NE</v>
      </c>
      <c r="AG16" s="121" t="s">
        <v>424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435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916</v>
      </c>
      <c r="BU16" s="103">
        <v>4</v>
      </c>
      <c r="BV16" s="104" t="str">
        <f t="shared" si="13"/>
        <v>Jan Natov</v>
      </c>
      <c r="BW16" s="102">
        <f t="shared" si="14"/>
        <v>4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405</v>
      </c>
      <c r="T17" s="102" t="s">
        <v>121</v>
      </c>
      <c r="U17" s="102">
        <v>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1</v>
      </c>
      <c r="AC17" s="102" t="str">
        <f t="shared" ca="1" si="0"/>
        <v>ANO</v>
      </c>
      <c r="AG17" s="121" t="s">
        <v>124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276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451</v>
      </c>
      <c r="BU17" s="103">
        <v>5</v>
      </c>
      <c r="BV17" s="104" t="str">
        <f t="shared" si="13"/>
        <v>Lukáš Bauer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413</v>
      </c>
      <c r="U18" s="102">
        <v>5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7</v>
      </c>
      <c r="AC18" s="102" t="str">
        <f t="shared" ca="1" si="0"/>
        <v>ANO</v>
      </c>
      <c r="AG18" s="121" t="s">
        <v>401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168</v>
      </c>
      <c r="AP18" s="125" t="s">
        <v>27</v>
      </c>
      <c r="AQ18" s="123">
        <v>181</v>
      </c>
      <c r="AR18" s="123">
        <v>76</v>
      </c>
      <c r="AS18" s="126" t="s">
        <v>436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4 OZ, 6 (4+2), +8 ±</v>
      </c>
      <c r="AY18" s="129" t="str">
        <f t="shared" ca="1" si="2"/>
        <v>277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452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MB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908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233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434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416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425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151</v>
      </c>
      <c r="AQ20" s="123">
        <v>182</v>
      </c>
      <c r="AR20" s="123">
        <v>71</v>
      </c>
      <c r="AS20" s="126" t="s">
        <v>437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411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408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371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5 OZ, 5 (1+4), +4 ±</v>
      </c>
      <c r="AY21" s="129" t="str">
        <f t="shared" ca="1" si="2"/>
        <v>188 OZ, 188 (88+100)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414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410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320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3 OZ, 3 (1+2), +3 ±</v>
      </c>
      <c r="AY22" s="129" t="str">
        <f t="shared" ca="1" si="2"/>
        <v>144 OZ, 191 (102+89)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1076</v>
      </c>
      <c r="BU22" s="103">
        <v>4</v>
      </c>
      <c r="BV22" s="104" t="str">
        <f t="shared" si="13"/>
        <v>Dominik Beneš</v>
      </c>
      <c r="BW22" s="102">
        <f t="shared" si="14"/>
        <v>4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120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244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911</v>
      </c>
      <c r="BU23" s="103">
        <v>4</v>
      </c>
      <c r="BV23" s="104" t="str">
        <f t="shared" si="13"/>
        <v>Jiří Curney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1"/>
      <c r="AC24" s="102" t="str">
        <f t="shared" ca="1" si="0"/>
        <v/>
      </c>
      <c r="AG24" s="121" t="s">
        <v>426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151</v>
      </c>
      <c r="AQ24" s="123">
        <v>192</v>
      </c>
      <c r="AR24" s="123">
        <v>90</v>
      </c>
      <c r="AS24" s="126" t="s">
        <v>438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912</v>
      </c>
      <c r="BU24" s="103">
        <v>4</v>
      </c>
      <c r="BV24" s="104" t="str">
        <f t="shared" si="13"/>
        <v>Milan Tomašík</v>
      </c>
      <c r="BW24" s="102">
        <f t="shared" si="14"/>
        <v>4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1"/>
      <c r="AC25" s="102" t="str">
        <f t="shared" ca="1" si="0"/>
        <v/>
      </c>
      <c r="AG25" s="121" t="s">
        <v>400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151</v>
      </c>
      <c r="AQ25" s="123">
        <v>183</v>
      </c>
      <c r="AR25" s="123">
        <v>76</v>
      </c>
      <c r="AS25" s="126" t="s">
        <v>439</v>
      </c>
      <c r="AT25" s="123">
        <v>1998</v>
      </c>
      <c r="AU25" s="127">
        <f ca="1">IF(AG25&lt;&gt;"",IF(AH25&lt;&gt;"",INT((TODAY()-AH25)/365),"?"),"")</f>
        <v>30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5 OZ, 7 (5+2), +10 ±</v>
      </c>
      <c r="AY25" s="129" t="str">
        <f t="shared" ca="1" si="16"/>
        <v>238 OZ, 302 (188+114)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1077</v>
      </c>
      <c r="BU25" s="103">
        <v>4</v>
      </c>
      <c r="BV25" s="104" t="str">
        <f t="shared" si="13"/>
        <v>Patrik Suchánek</v>
      </c>
      <c r="BW25" s="102">
        <f t="shared" si="14"/>
        <v>4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407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151</v>
      </c>
      <c r="AQ26" s="123">
        <v>181</v>
      </c>
      <c r="AR26" s="123">
        <v>85</v>
      </c>
      <c r="AS26" s="126" t="s">
        <v>439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5 OZ, 6 (2+4), +7 ±</v>
      </c>
      <c r="AY26" s="129" t="str">
        <f t="shared" ca="1" si="16"/>
        <v>223 OZ, 364 (186+178)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1078</v>
      </c>
      <c r="BU26" s="103">
        <v>3</v>
      </c>
      <c r="BV26" s="104" t="str">
        <f t="shared" si="13"/>
        <v>Adam Hemerka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 t="s">
        <v>416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244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0" t="s">
        <v>39</v>
      </c>
      <c r="BT27" s="104" t="s">
        <v>1079</v>
      </c>
      <c r="BU27" s="103">
        <v>8</v>
      </c>
      <c r="BV27" s="104" t="str">
        <f t="shared" si="13"/>
        <v>Patrik Suchánek</v>
      </c>
      <c r="BW27" s="102">
        <f t="shared" si="14"/>
        <v>8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427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151</v>
      </c>
      <c r="AQ28" s="123"/>
      <c r="AR28" s="123"/>
      <c r="AS28" s="126" t="s">
        <v>244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0"/>
      <c r="BT28" s="104" t="s">
        <v>1080</v>
      </c>
      <c r="BU28" s="103">
        <v>6</v>
      </c>
      <c r="BV28" s="104" t="str">
        <f t="shared" si="13"/>
        <v>Martin Tokoš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 t="s">
        <v>413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151</v>
      </c>
      <c r="AQ29" s="123">
        <v>186</v>
      </c>
      <c r="AR29" s="123">
        <v>78</v>
      </c>
      <c r="AS29" s="126" t="s">
        <v>434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1 (0+1), +7 ±</v>
      </c>
      <c r="AY29" s="129" t="str">
        <f t="shared" ca="1" si="16"/>
        <v>127 OZ, 44 (18+26)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0"/>
      <c r="BT29" s="104" t="s">
        <v>1081</v>
      </c>
      <c r="BU29" s="103">
        <v>2</v>
      </c>
      <c r="BV29" s="104" t="str">
        <f t="shared" si="13"/>
        <v>Adam Hemerka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MB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 t="s">
        <v>405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151</v>
      </c>
      <c r="AQ30" s="123">
        <v>185</v>
      </c>
      <c r="AR30" s="123">
        <v>71</v>
      </c>
      <c r="AS30" s="126" t="s">
        <v>434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3 OZ, 1 (1+0), +1 ±</v>
      </c>
      <c r="AY30" s="129" t="str">
        <f t="shared" ca="1" si="16"/>
        <v>28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0"/>
      <c r="BT30" s="104" t="s">
        <v>1082</v>
      </c>
      <c r="BU30" s="103">
        <v>2</v>
      </c>
      <c r="BV30" s="104" t="str">
        <f t="shared" si="13"/>
        <v>Daniel Šebek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1083</v>
      </c>
      <c r="BU31" s="103">
        <v>2</v>
      </c>
      <c r="BV31" s="104" t="str">
        <f t="shared" si="13"/>
        <v>Jiří Curney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411</v>
      </c>
      <c r="T45" s="102">
        <v>5</v>
      </c>
      <c r="U45" s="112">
        <v>303.2</v>
      </c>
      <c r="V45" s="102">
        <v>5</v>
      </c>
      <c r="W45" s="102">
        <v>17</v>
      </c>
      <c r="X45" s="102">
        <v>0</v>
      </c>
      <c r="Y45" s="102">
        <v>66</v>
      </c>
      <c r="Z45" s="102">
        <v>0</v>
      </c>
      <c r="AA45" s="102">
        <v>0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3.3641160949868079</v>
      </c>
      <c r="AF45" s="112">
        <f>IF(S45&lt;&gt;"",IF(Y45&gt;0,(AB45/Y45)*100,"-"),"")</f>
        <v>74.242424242424249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771</v>
      </c>
      <c r="U2" s="102">
        <v>5</v>
      </c>
      <c r="V2" s="102">
        <v>10</v>
      </c>
      <c r="W2" s="102">
        <v>4</v>
      </c>
      <c r="X2" s="102">
        <v>0</v>
      </c>
      <c r="Y2" s="102">
        <v>4</v>
      </c>
      <c r="Z2" s="102">
        <v>14</v>
      </c>
      <c r="AA2" s="102">
        <v>0</v>
      </c>
      <c r="AB2" s="102">
        <v>13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776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0" t="s">
        <v>36</v>
      </c>
      <c r="BT2" s="104" t="s">
        <v>785</v>
      </c>
      <c r="BU2" s="103">
        <v>14</v>
      </c>
      <c r="BV2" s="104" t="str">
        <f>IFERROR(RIGHT(BT2,LEN(BT2)-SEARCH(" ",BT2)),"")</f>
        <v>Wojciech Malajka</v>
      </c>
      <c r="BW2" s="102">
        <f>IF(BT2&lt;&gt;0,_xlfn.NUMBERVALUE(BU2,","),"")</f>
        <v>14</v>
      </c>
      <c r="BX2" s="329" t="s">
        <v>214</v>
      </c>
      <c r="BY2" s="103" t="s">
        <v>210</v>
      </c>
      <c r="BZ2" s="103" t="s">
        <v>959</v>
      </c>
      <c r="CA2" s="115" t="s">
        <v>1084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772</v>
      </c>
      <c r="T3" s="102" t="s">
        <v>121</v>
      </c>
      <c r="U3" s="102">
        <v>5</v>
      </c>
      <c r="V3" s="102">
        <v>4</v>
      </c>
      <c r="W3" s="102">
        <v>3</v>
      </c>
      <c r="X3" s="102">
        <v>0</v>
      </c>
      <c r="Y3" s="102">
        <v>9</v>
      </c>
      <c r="Z3" s="102">
        <v>13</v>
      </c>
      <c r="AA3" s="102">
        <v>0</v>
      </c>
      <c r="AB3" s="102">
        <v>4</v>
      </c>
      <c r="AC3" s="102" t="str">
        <f t="shared" ca="1" si="0"/>
        <v>ANO</v>
      </c>
      <c r="AG3" s="121" t="s">
        <v>525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5 OZ, 4 (4+0), +11 ±</v>
      </c>
      <c r="AY3" s="129" t="str">
        <f t="shared" ca="1" si="2"/>
        <v>5 OZ, 4 (4+0)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0"/>
      <c r="BT3" s="104" t="s">
        <v>1087</v>
      </c>
      <c r="BU3" s="103">
        <v>13</v>
      </c>
      <c r="BV3" s="104" t="str">
        <f t="shared" ref="BV3:BV31" si="13">IFERROR(RIGHT(BT3,LEN(BT3)-SEARCH(" ",BT3)),"")</f>
        <v>Michal Sládek</v>
      </c>
      <c r="BW3" s="102">
        <f t="shared" ref="BW3:BW31" si="14">IF(BT3&lt;&gt;0,_xlfn.NUMBERVALUE(BU3,","),"")</f>
        <v>13</v>
      </c>
      <c r="BX3" s="329"/>
      <c r="BY3" s="103" t="s">
        <v>209</v>
      </c>
      <c r="BZ3" s="103" t="s">
        <v>1043</v>
      </c>
      <c r="CA3" s="115" t="s">
        <v>1085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363</v>
      </c>
      <c r="T4" s="102" t="s">
        <v>64</v>
      </c>
      <c r="U4" s="102">
        <v>5</v>
      </c>
      <c r="V4" s="102">
        <v>4</v>
      </c>
      <c r="W4" s="102">
        <v>0</v>
      </c>
      <c r="X4" s="102">
        <v>0</v>
      </c>
      <c r="Y4" s="102">
        <v>9</v>
      </c>
      <c r="Z4" s="102">
        <v>13</v>
      </c>
      <c r="AA4" s="102">
        <v>0</v>
      </c>
      <c r="AB4" s="102">
        <v>11</v>
      </c>
      <c r="AC4" s="102" t="str">
        <f t="shared" ca="1" si="0"/>
        <v>ANO</v>
      </c>
      <c r="AG4" s="121" t="s">
        <v>780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5 OZ, 1 (0+1), -4 ±</v>
      </c>
      <c r="AY4" s="129" t="str">
        <f t="shared" ca="1" si="2"/>
        <v>5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0"/>
      <c r="BT4" s="104" t="s">
        <v>853</v>
      </c>
      <c r="BU4" s="103">
        <v>13</v>
      </c>
      <c r="BV4" s="104" t="str">
        <f t="shared" si="13"/>
        <v>Šimon Kuczera</v>
      </c>
      <c r="BW4" s="102">
        <f t="shared" si="14"/>
        <v>13</v>
      </c>
      <c r="BX4" s="329"/>
      <c r="BY4" s="103" t="s">
        <v>882</v>
      </c>
      <c r="BZ4" s="103" t="s">
        <v>1037</v>
      </c>
      <c r="CA4" s="115" t="s">
        <v>830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773</v>
      </c>
      <c r="T5" s="102" t="s">
        <v>121</v>
      </c>
      <c r="U5" s="102">
        <v>4</v>
      </c>
      <c r="V5" s="102">
        <v>4</v>
      </c>
      <c r="W5" s="102">
        <v>1</v>
      </c>
      <c r="X5" s="102">
        <v>0</v>
      </c>
      <c r="Y5" s="102">
        <v>6</v>
      </c>
      <c r="Z5" s="102">
        <v>10</v>
      </c>
      <c r="AA5" s="102">
        <v>0</v>
      </c>
      <c r="AB5" s="102">
        <v>14</v>
      </c>
      <c r="AC5" s="102" t="str">
        <f t="shared" ca="1" si="0"/>
        <v>ANO</v>
      </c>
      <c r="AG5" s="121" t="s">
        <v>782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5 OZ, 1 (1+0), -4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0"/>
      <c r="BT5" s="104" t="s">
        <v>1088</v>
      </c>
      <c r="BU5" s="103">
        <v>10</v>
      </c>
      <c r="BV5" s="104" t="str">
        <f t="shared" si="13"/>
        <v>Lukáš Pešat</v>
      </c>
      <c r="BW5" s="102">
        <f t="shared" si="14"/>
        <v>10</v>
      </c>
      <c r="BX5" s="329"/>
      <c r="BY5" s="103" t="s">
        <v>207</v>
      </c>
      <c r="BZ5" s="103" t="s">
        <v>1038</v>
      </c>
      <c r="CA5" s="115" t="s">
        <v>848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774</v>
      </c>
      <c r="U6" s="102">
        <v>5</v>
      </c>
      <c r="V6" s="102">
        <v>6</v>
      </c>
      <c r="W6" s="102">
        <v>1</v>
      </c>
      <c r="X6" s="102">
        <v>0</v>
      </c>
      <c r="Y6" s="102">
        <v>2</v>
      </c>
      <c r="Z6" s="102">
        <v>8</v>
      </c>
      <c r="AA6" s="102">
        <v>2</v>
      </c>
      <c r="AB6" s="102">
        <v>5</v>
      </c>
      <c r="AC6" s="102" t="str">
        <f t="shared" ca="1" si="0"/>
        <v>ANO</v>
      </c>
      <c r="AG6" s="121" t="s">
        <v>774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5 OZ, 8 (6+2), +5 ±</v>
      </c>
      <c r="AY6" s="129" t="str">
        <f t="shared" ca="1" si="2"/>
        <v>5 OZ, 8 (6+2)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0"/>
      <c r="BT6" s="104" t="s">
        <v>1089</v>
      </c>
      <c r="BU6" s="103">
        <v>8</v>
      </c>
      <c r="BV6" s="104" t="str">
        <f t="shared" si="13"/>
        <v>Daniel Chatrný</v>
      </c>
      <c r="BW6" s="102">
        <f t="shared" si="14"/>
        <v>8</v>
      </c>
      <c r="BX6" s="329"/>
      <c r="BY6" s="103" t="s">
        <v>206</v>
      </c>
      <c r="BZ6" s="103" t="s">
        <v>1040</v>
      </c>
      <c r="CA6" s="115" t="s">
        <v>791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525</v>
      </c>
      <c r="T7" s="102" t="s">
        <v>121</v>
      </c>
      <c r="U7" s="102">
        <v>5</v>
      </c>
      <c r="V7" s="102">
        <v>4</v>
      </c>
      <c r="W7" s="102">
        <v>0</v>
      </c>
      <c r="X7" s="102">
        <v>0</v>
      </c>
      <c r="Y7" s="102">
        <v>0</v>
      </c>
      <c r="Z7" s="102">
        <v>4</v>
      </c>
      <c r="AA7" s="102">
        <v>0</v>
      </c>
      <c r="AB7" s="102">
        <v>11</v>
      </c>
      <c r="AC7" s="102" t="str">
        <f t="shared" ca="1" si="0"/>
        <v>ANO</v>
      </c>
      <c r="AG7" s="121" t="s">
        <v>360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787</v>
      </c>
      <c r="BU7" s="103" t="s">
        <v>1090</v>
      </c>
      <c r="BV7" s="104" t="str">
        <f t="shared" si="13"/>
        <v>Jan Binder</v>
      </c>
      <c r="BW7" s="112">
        <f t="shared" si="14"/>
        <v>4.22</v>
      </c>
      <c r="BX7" s="329" t="s">
        <v>215</v>
      </c>
      <c r="BY7" s="103" t="s">
        <v>816</v>
      </c>
      <c r="BZ7" s="103" t="s">
        <v>957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99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783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0</v>
      </c>
      <c r="AB8" s="102">
        <v>3</v>
      </c>
      <c r="AC8" s="102" t="str">
        <f t="shared" ca="1" si="0"/>
        <v>ANO</v>
      </c>
      <c r="AG8" s="121" t="s">
        <v>775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5 OZ, 0 (0+0), -3 ±</v>
      </c>
      <c r="AY8" s="129" t="str">
        <f t="shared" ca="1" si="2"/>
        <v>5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850</v>
      </c>
      <c r="BU8" s="103" t="s">
        <v>201</v>
      </c>
      <c r="BV8" s="104" t="str">
        <f t="shared" si="13"/>
        <v>Martin Janík</v>
      </c>
      <c r="BW8" s="112">
        <f t="shared" si="14"/>
        <v>0</v>
      </c>
      <c r="BX8" s="329"/>
      <c r="BY8" s="103" t="s">
        <v>874</v>
      </c>
      <c r="BZ8" s="103" t="s">
        <v>956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784</v>
      </c>
      <c r="U9" s="102">
        <v>5</v>
      </c>
      <c r="V9" s="102">
        <v>1</v>
      </c>
      <c r="W9" s="102">
        <v>1</v>
      </c>
      <c r="X9" s="102">
        <v>0</v>
      </c>
      <c r="Y9" s="102">
        <v>2</v>
      </c>
      <c r="Z9" s="102">
        <v>3</v>
      </c>
      <c r="AA9" s="102">
        <v>0</v>
      </c>
      <c r="AB9" s="102">
        <v>11</v>
      </c>
      <c r="AC9" s="102" t="str">
        <f t="shared" ca="1" si="0"/>
        <v>ANO</v>
      </c>
      <c r="AG9" s="121" t="s">
        <v>784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5 OZ, 3 (1+2), +11 ±</v>
      </c>
      <c r="AY9" s="129" t="str">
        <f t="shared" ca="1" si="2"/>
        <v>5 OZ, 3 (1+2)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T9" s="104" t="s">
        <v>851</v>
      </c>
      <c r="BU9" s="103" t="s">
        <v>1091</v>
      </c>
      <c r="BV9" s="104" t="str">
        <f t="shared" si="13"/>
        <v>Jan Klinka</v>
      </c>
      <c r="BW9" s="112">
        <f t="shared" si="14"/>
        <v>7.17</v>
      </c>
      <c r="BX9" s="329"/>
      <c r="BY9" s="103" t="s">
        <v>965</v>
      </c>
      <c r="BZ9" s="103" t="s">
        <v>1020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779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2</v>
      </c>
      <c r="AC10" s="102" t="str">
        <f t="shared" ca="1" si="0"/>
        <v>ANO</v>
      </c>
      <c r="AG10" s="121" t="s">
        <v>777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1 V, 0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967</v>
      </c>
      <c r="BZ10" s="103" t="s">
        <v>964</v>
      </c>
      <c r="CA10" s="115" t="s">
        <v>208</v>
      </c>
    </row>
    <row r="11" spans="1:79" ht="15" customHeight="1" thickTop="1" thickBot="1" x14ac:dyDescent="0.25">
      <c r="R11" s="13"/>
      <c r="S11" s="110" t="s">
        <v>782</v>
      </c>
      <c r="U11" s="102">
        <v>5</v>
      </c>
      <c r="V11" s="102">
        <v>1</v>
      </c>
      <c r="W11" s="102">
        <v>1</v>
      </c>
      <c r="X11" s="102">
        <v>0</v>
      </c>
      <c r="Y11" s="102">
        <v>0</v>
      </c>
      <c r="Z11" s="102">
        <v>1</v>
      </c>
      <c r="AA11" s="102">
        <v>2</v>
      </c>
      <c r="AB11" s="102">
        <v>-4</v>
      </c>
      <c r="AC11" s="102" t="str">
        <f t="shared" ca="1" si="0"/>
        <v>ANO</v>
      </c>
      <c r="AG11" s="121" t="s">
        <v>363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5 OZ, 13 (4+9), +11 ±</v>
      </c>
      <c r="AY11" s="129" t="str">
        <f t="shared" ca="1" si="2"/>
        <v>5 OZ, 13 (4+9)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1008</v>
      </c>
      <c r="BZ11" s="103" t="s">
        <v>966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780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779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5 OZ, 2 (1+1), +2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785</v>
      </c>
      <c r="BU12" s="103">
        <v>10</v>
      </c>
      <c r="BV12" s="104" t="str">
        <f t="shared" si="13"/>
        <v>Wojciech Malajka</v>
      </c>
      <c r="BW12" s="102">
        <f t="shared" si="14"/>
        <v>10</v>
      </c>
      <c r="BX12" s="120" t="s">
        <v>213</v>
      </c>
      <c r="BY12" s="100" t="s">
        <v>1086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845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1</v>
      </c>
      <c r="AC13" s="102" t="str">
        <f t="shared" ca="1" si="0"/>
        <v>NE</v>
      </c>
      <c r="AG13" s="121" t="s">
        <v>771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5 OZ, 14 (10+4), +13 ±</v>
      </c>
      <c r="AY13" s="129" t="str">
        <f t="shared" ca="1" si="2"/>
        <v>5 OZ, 14 (10+4)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789</v>
      </c>
      <c r="BU13" s="103">
        <v>6</v>
      </c>
      <c r="BV13" s="104" t="str">
        <f t="shared" si="13"/>
        <v>Daniel Chatrný</v>
      </c>
      <c r="BW13" s="102">
        <f t="shared" si="14"/>
        <v>6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777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4 OZ, 10 (4+6), +14 ±</v>
      </c>
      <c r="AY14" s="129" t="str">
        <f t="shared" ca="1" si="2"/>
        <v>4 OZ, 10 (4+6)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790</v>
      </c>
      <c r="BU14" s="103">
        <v>4</v>
      </c>
      <c r="BV14" s="104" t="str">
        <f t="shared" si="13"/>
        <v>Ladislav Gál</v>
      </c>
      <c r="BW14" s="102">
        <f t="shared" si="14"/>
        <v>4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545</v>
      </c>
      <c r="T15" s="102" t="s">
        <v>64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2</v>
      </c>
      <c r="AB15" s="102">
        <v>-2</v>
      </c>
      <c r="AC15" s="102" t="str">
        <f t="shared" ca="1" si="0"/>
        <v>ANO</v>
      </c>
      <c r="AG15" s="121" t="s">
        <v>778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5 OZ, 0 (0+0), -3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1088</v>
      </c>
      <c r="BU15" s="103">
        <v>4</v>
      </c>
      <c r="BV15" s="104" t="str">
        <f t="shared" si="13"/>
        <v>Lukáš Pešat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844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772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5 OZ, 13 (4+9), +4 ±</v>
      </c>
      <c r="AY16" s="129" t="str">
        <f t="shared" ca="1" si="2"/>
        <v>5 OZ, 13 (4+9)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1092</v>
      </c>
      <c r="BU16" s="103">
        <v>4</v>
      </c>
      <c r="BV16" s="104" t="str">
        <f t="shared" si="13"/>
        <v>Michal Sládek</v>
      </c>
      <c r="BW16" s="102">
        <f t="shared" si="14"/>
        <v>4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846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783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5 OZ, 4 (2+2), +3 ±</v>
      </c>
      <c r="AY17" s="129" t="str">
        <f t="shared" ca="1" si="2"/>
        <v>5 OZ, 4 (2+2)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787</v>
      </c>
      <c r="BU17" s="103">
        <v>3</v>
      </c>
      <c r="BV17" s="104" t="str">
        <f t="shared" si="13"/>
        <v>Jan Binder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847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781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788</v>
      </c>
      <c r="BU18" s="103">
        <v>1</v>
      </c>
      <c r="BV18" s="104" t="str">
        <f t="shared" si="13"/>
        <v>Jan Klinka</v>
      </c>
      <c r="BW18" s="102">
        <f t="shared" si="14"/>
        <v>1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OST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778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-3</v>
      </c>
      <c r="AC19" s="102" t="str">
        <f t="shared" ca="1" si="0"/>
        <v>ANO</v>
      </c>
      <c r="AG19" s="121" t="s">
        <v>545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3 OZ, 0 (0+0), -2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T19" s="104" t="s">
        <v>849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360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-6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775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-3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0" t="s">
        <v>38</v>
      </c>
      <c r="BT22" s="104" t="s">
        <v>852</v>
      </c>
      <c r="BU22" s="103">
        <v>9</v>
      </c>
      <c r="BV22" s="104" t="str">
        <f t="shared" si="13"/>
        <v>Michal Sládek</v>
      </c>
      <c r="BW22" s="102">
        <f t="shared" si="14"/>
        <v>9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776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0"/>
      <c r="BT23" s="104" t="s">
        <v>786</v>
      </c>
      <c r="BU23" s="103">
        <v>9</v>
      </c>
      <c r="BV23" s="104" t="str">
        <f t="shared" si="13"/>
        <v>Šimon Kuczera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0"/>
      <c r="BT24" s="104" t="s">
        <v>917</v>
      </c>
      <c r="BU24" s="103">
        <v>6</v>
      </c>
      <c r="BV24" s="104" t="str">
        <f t="shared" si="13"/>
        <v>Lukáš Pešat</v>
      </c>
      <c r="BW24" s="102">
        <f t="shared" si="14"/>
        <v>6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0"/>
      <c r="BT25" s="104" t="s">
        <v>854</v>
      </c>
      <c r="BU25" s="103">
        <v>4</v>
      </c>
      <c r="BV25" s="104" t="str">
        <f t="shared" si="13"/>
        <v>Wojciech Malajka</v>
      </c>
      <c r="BW25" s="102">
        <f t="shared" si="14"/>
        <v>4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0"/>
      <c r="BT26" s="104" t="s">
        <v>1089</v>
      </c>
      <c r="BU26" s="103">
        <v>2</v>
      </c>
      <c r="BV26" s="104" t="str">
        <f t="shared" si="13"/>
        <v>Daniel Chatrný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0" t="s">
        <v>39</v>
      </c>
      <c r="BT27" s="104" t="s">
        <v>1093</v>
      </c>
      <c r="BU27" s="103">
        <v>2</v>
      </c>
      <c r="BV27" s="104" t="str">
        <f t="shared" si="13"/>
        <v>Adam Choma</v>
      </c>
      <c r="BW27" s="102">
        <f t="shared" si="14"/>
        <v>2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0"/>
      <c r="BT28" s="104" t="s">
        <v>789</v>
      </c>
      <c r="BU28" s="103">
        <v>2</v>
      </c>
      <c r="BV28" s="104" t="str">
        <f t="shared" si="13"/>
        <v>Daniel Chatrný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0"/>
      <c r="BT29" s="104" t="s">
        <v>1094</v>
      </c>
      <c r="BU29" s="103">
        <v>2</v>
      </c>
      <c r="BV29" s="104" t="str">
        <f t="shared" si="13"/>
        <v>Denis Zimmer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OST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0"/>
      <c r="BT30" s="104" t="s">
        <v>1095</v>
      </c>
      <c r="BU30" s="103">
        <v>2</v>
      </c>
      <c r="BV30" s="104" t="str">
        <f t="shared" si="13"/>
        <v>Jan Binder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1096</v>
      </c>
      <c r="BU31" s="103">
        <v>2</v>
      </c>
      <c r="BV31" s="104" t="str">
        <f t="shared" si="13"/>
        <v>Lukáš Herblich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776</v>
      </c>
      <c r="T45" s="102">
        <v>5</v>
      </c>
      <c r="U45" s="112">
        <v>284.14</v>
      </c>
      <c r="V45" s="102">
        <v>3</v>
      </c>
      <c r="W45" s="102">
        <v>20</v>
      </c>
      <c r="X45" s="102">
        <v>0</v>
      </c>
      <c r="Y45" s="102">
        <v>113</v>
      </c>
      <c r="Z45" s="102">
        <v>0</v>
      </c>
      <c r="AA45" s="102">
        <v>2</v>
      </c>
      <c r="AB45" s="102">
        <v>93</v>
      </c>
      <c r="AC45" s="102">
        <v>0</v>
      </c>
      <c r="AD45" s="102">
        <v>2</v>
      </c>
      <c r="AE45" s="112">
        <f>IF(S45&lt;&gt;"",IF(T45&gt;0,W45/(U45/60),0),"")</f>
        <v>4.2232702189061735</v>
      </c>
      <c r="AF45" s="112">
        <f>IF(S45&lt;&gt;"",IF(Y45&gt;0,(AB45/Y45)*100,"-"),"")</f>
        <v>82.30088495575221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844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 t="s">
        <v>777</v>
      </c>
      <c r="T47" s="102">
        <v>1</v>
      </c>
      <c r="U47" s="112">
        <v>8.3699999999999992</v>
      </c>
      <c r="V47" s="102">
        <v>1</v>
      </c>
      <c r="W47" s="102">
        <v>1</v>
      </c>
      <c r="X47" s="102">
        <v>0</v>
      </c>
      <c r="Y47" s="102">
        <v>6</v>
      </c>
      <c r="Z47" s="102">
        <v>0</v>
      </c>
      <c r="AA47" s="102">
        <v>0</v>
      </c>
      <c r="AB47" s="102">
        <v>5</v>
      </c>
      <c r="AC47" s="102">
        <v>0</v>
      </c>
      <c r="AD47" s="102">
        <v>0</v>
      </c>
      <c r="AE47" s="112">
        <f t="shared" si="25"/>
        <v>7.1684587813620082</v>
      </c>
      <c r="AF47" s="112">
        <f t="shared" si="26"/>
        <v>83.333333333333343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505</v>
      </c>
      <c r="T2" s="102" t="s">
        <v>121</v>
      </c>
      <c r="U2" s="102">
        <v>5</v>
      </c>
      <c r="V2" s="102">
        <v>7</v>
      </c>
      <c r="W2" s="102">
        <v>2</v>
      </c>
      <c r="X2" s="102">
        <v>0</v>
      </c>
      <c r="Y2" s="102">
        <v>4</v>
      </c>
      <c r="Z2" s="102">
        <v>11</v>
      </c>
      <c r="AA2" s="102">
        <v>0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524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546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565</v>
      </c>
      <c r="BO2" s="122">
        <v>27314</v>
      </c>
      <c r="BP2" s="131" t="s">
        <v>259</v>
      </c>
      <c r="BQ2" s="132"/>
      <c r="BR2" s="127">
        <f ca="1">IF(BN2&lt;&gt;"",IF(BO2&lt;&gt;"",INT((TODAY()-BO2)/365),"?"),"")</f>
        <v>47</v>
      </c>
      <c r="BS2" s="330" t="s">
        <v>36</v>
      </c>
      <c r="BT2" s="104" t="s">
        <v>568</v>
      </c>
      <c r="BU2" s="103">
        <v>11</v>
      </c>
      <c r="BV2" s="104" t="str">
        <f>IFERROR(RIGHT(BT2,LEN(BT2)-SEARCH(" ",BT2)),"")</f>
        <v>František Vykopal</v>
      </c>
      <c r="BW2" s="102">
        <f>IF(BT2&lt;&gt;0,_xlfn.NUMBERVALUE(BU2,","),"")</f>
        <v>11</v>
      </c>
      <c r="BX2" s="329" t="s">
        <v>214</v>
      </c>
      <c r="BY2" s="103" t="s">
        <v>210</v>
      </c>
      <c r="BZ2" s="103" t="s">
        <v>988</v>
      </c>
      <c r="CA2" s="115" t="s">
        <v>1097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506</v>
      </c>
      <c r="U3" s="102">
        <v>5</v>
      </c>
      <c r="V3" s="102">
        <v>4</v>
      </c>
      <c r="W3" s="102">
        <v>1</v>
      </c>
      <c r="X3" s="102">
        <v>0</v>
      </c>
      <c r="Y3" s="102">
        <v>5</v>
      </c>
      <c r="Z3" s="102">
        <v>9</v>
      </c>
      <c r="AA3" s="102">
        <v>2</v>
      </c>
      <c r="AB3" s="102">
        <v>-2</v>
      </c>
      <c r="AC3" s="102" t="str">
        <f t="shared" ca="1" si="0"/>
        <v>NE</v>
      </c>
      <c r="AG3" s="121" t="s">
        <v>522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151</v>
      </c>
      <c r="AQ3" s="123">
        <v>177</v>
      </c>
      <c r="AR3" s="123">
        <v>70</v>
      </c>
      <c r="AS3" s="126" t="s">
        <v>547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5 OZ, 1 (0+1), -7 ±</v>
      </c>
      <c r="AY3" s="129" t="str">
        <f t="shared" ca="1" si="2"/>
        <v>53 OZ, 21 (9+12)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566</v>
      </c>
      <c r="BO3" s="122">
        <v>33731</v>
      </c>
      <c r="BP3" s="131" t="s">
        <v>260</v>
      </c>
      <c r="BQ3" s="132"/>
      <c r="BR3" s="127">
        <f t="shared" ref="BR3:BR11" ca="1" si="12">IF(BN3&lt;&gt;"",IF(BO3&lt;&gt;"",INT((TODAY()-BO3)/365),"?"),"")</f>
        <v>29</v>
      </c>
      <c r="BS3" s="330"/>
      <c r="BT3" s="104" t="s">
        <v>921</v>
      </c>
      <c r="BU3" s="103">
        <v>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9</v>
      </c>
      <c r="BX3" s="329"/>
      <c r="BY3" s="103" t="s">
        <v>266</v>
      </c>
      <c r="BZ3" s="103" t="s">
        <v>1005</v>
      </c>
      <c r="CA3" s="115" t="s">
        <v>1098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512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3</v>
      </c>
      <c r="Z4" s="102">
        <v>6</v>
      </c>
      <c r="AA4" s="102">
        <v>0</v>
      </c>
      <c r="AB4" s="102">
        <v>-9</v>
      </c>
      <c r="AC4" s="102" t="str">
        <f t="shared" ca="1" si="0"/>
        <v>ANO</v>
      </c>
      <c r="AG4" s="121" t="s">
        <v>525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151</v>
      </c>
      <c r="AQ4" s="123">
        <v>177</v>
      </c>
      <c r="AR4" s="123">
        <v>77</v>
      </c>
      <c r="AS4" s="126" t="s">
        <v>548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567</v>
      </c>
      <c r="BO4" s="122">
        <v>25991</v>
      </c>
      <c r="BP4" s="131" t="s">
        <v>194</v>
      </c>
      <c r="BQ4" s="132"/>
      <c r="BR4" s="127">
        <f t="shared" ca="1" si="12"/>
        <v>50</v>
      </c>
      <c r="BS4" s="330"/>
      <c r="BT4" s="104" t="s">
        <v>1101</v>
      </c>
      <c r="BU4" s="103">
        <v>6</v>
      </c>
      <c r="BV4" s="104" t="str">
        <f t="shared" si="13"/>
        <v>Lukáš Petřík</v>
      </c>
      <c r="BW4" s="102">
        <f t="shared" si="14"/>
        <v>6</v>
      </c>
      <c r="BX4" s="329"/>
      <c r="BY4" s="103" t="s">
        <v>882</v>
      </c>
      <c r="BZ4" s="103" t="s">
        <v>1020</v>
      </c>
      <c r="CA4" s="115" t="s">
        <v>864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509</v>
      </c>
      <c r="U5" s="102">
        <v>5</v>
      </c>
      <c r="V5" s="102">
        <v>3</v>
      </c>
      <c r="W5" s="102">
        <v>0</v>
      </c>
      <c r="X5" s="102">
        <v>0</v>
      </c>
      <c r="Y5" s="102">
        <v>1</v>
      </c>
      <c r="Z5" s="102">
        <v>4</v>
      </c>
      <c r="AA5" s="102">
        <v>2</v>
      </c>
      <c r="AB5" s="102">
        <v>-2</v>
      </c>
      <c r="AC5" s="102" t="str">
        <f t="shared" ca="1" si="0"/>
        <v>ANO</v>
      </c>
      <c r="AG5" s="121" t="s">
        <v>526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151</v>
      </c>
      <c r="AQ5" s="123">
        <v>193</v>
      </c>
      <c r="AR5" s="123">
        <v>77</v>
      </c>
      <c r="AS5" s="126" t="s">
        <v>549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0"/>
      <c r="BT5" s="104" t="s">
        <v>1102</v>
      </c>
      <c r="BU5" s="103">
        <v>4</v>
      </c>
      <c r="BV5" s="104" t="str">
        <f t="shared" si="13"/>
        <v>Peter Nehila</v>
      </c>
      <c r="BW5" s="102">
        <f t="shared" si="14"/>
        <v>4</v>
      </c>
      <c r="BX5" s="329"/>
      <c r="BY5" s="103" t="s">
        <v>207</v>
      </c>
      <c r="BZ5" s="103" t="s">
        <v>1063</v>
      </c>
      <c r="CA5" s="115" t="s">
        <v>830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508</v>
      </c>
      <c r="T6" s="102" t="s">
        <v>121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-6</v>
      </c>
      <c r="AC6" s="102" t="str">
        <f t="shared" ca="1" si="0"/>
        <v>NE</v>
      </c>
      <c r="AG6" s="121" t="s">
        <v>521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151</v>
      </c>
      <c r="AQ6" s="123">
        <v>180</v>
      </c>
      <c r="AR6" s="123">
        <v>80</v>
      </c>
      <c r="AS6" s="126" t="s">
        <v>547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0"/>
      <c r="BT6" s="104" t="s">
        <v>1103</v>
      </c>
      <c r="BU6" s="103">
        <v>4</v>
      </c>
      <c r="BV6" s="104" t="str">
        <f t="shared" si="13"/>
        <v>David Ležatka</v>
      </c>
      <c r="BW6" s="102">
        <f t="shared" si="14"/>
        <v>4</v>
      </c>
      <c r="BX6" s="329"/>
      <c r="BY6" s="103" t="s">
        <v>265</v>
      </c>
      <c r="BZ6" s="103" t="s">
        <v>1007</v>
      </c>
      <c r="CA6" s="115" t="s">
        <v>570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507</v>
      </c>
      <c r="T7" s="102" t="s">
        <v>121</v>
      </c>
      <c r="U7" s="102">
        <v>5</v>
      </c>
      <c r="V7" s="102">
        <v>2</v>
      </c>
      <c r="W7" s="102">
        <v>1</v>
      </c>
      <c r="X7" s="102">
        <v>0</v>
      </c>
      <c r="Y7" s="102">
        <v>0</v>
      </c>
      <c r="Z7" s="102">
        <v>2</v>
      </c>
      <c r="AA7" s="102">
        <v>2</v>
      </c>
      <c r="AB7" s="102">
        <v>-8</v>
      </c>
      <c r="AC7" s="102" t="str">
        <f t="shared" ca="1" si="0"/>
        <v>NE</v>
      </c>
      <c r="AG7" s="121" t="s">
        <v>510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151</v>
      </c>
      <c r="AQ7" s="123">
        <v>174</v>
      </c>
      <c r="AR7" s="123">
        <v>73</v>
      </c>
      <c r="AS7" s="126" t="s">
        <v>550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5 OZ, 2 (1+1), -6 ±</v>
      </c>
      <c r="AY7" s="129" t="str">
        <f t="shared" ca="1" si="2"/>
        <v>176 OZ, 162 (100+62)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1104</v>
      </c>
      <c r="BU7" s="103" t="s">
        <v>973</v>
      </c>
      <c r="BV7" s="104" t="str">
        <f t="shared" si="13"/>
        <v>Adam Kohút</v>
      </c>
      <c r="BW7" s="112">
        <f t="shared" si="14"/>
        <v>6.08</v>
      </c>
      <c r="BX7" s="329" t="s">
        <v>215</v>
      </c>
      <c r="BY7" s="103" t="s">
        <v>267</v>
      </c>
      <c r="BZ7" s="103" t="s">
        <v>1099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100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515</v>
      </c>
      <c r="T8" s="102" t="s">
        <v>121</v>
      </c>
      <c r="U8" s="102">
        <v>5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-6</v>
      </c>
      <c r="AC8" s="102" t="str">
        <f t="shared" ca="1" si="0"/>
        <v>ANO</v>
      </c>
      <c r="AG8" s="121" t="s">
        <v>527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151</v>
      </c>
      <c r="AQ8" s="123">
        <v>185</v>
      </c>
      <c r="AR8" s="123">
        <v>75</v>
      </c>
      <c r="AS8" s="126" t="s">
        <v>551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1105</v>
      </c>
      <c r="BU8" s="103" t="s">
        <v>1106</v>
      </c>
      <c r="BV8" s="104" t="str">
        <f t="shared" si="13"/>
        <v>Kevin Majrich</v>
      </c>
      <c r="BW8" s="112">
        <f t="shared" si="14"/>
        <v>8.09</v>
      </c>
      <c r="BX8" s="329"/>
      <c r="BY8" s="103" t="s">
        <v>874</v>
      </c>
      <c r="BZ8" s="103" t="s">
        <v>962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510</v>
      </c>
      <c r="T9" s="102" t="s">
        <v>121</v>
      </c>
      <c r="U9" s="102">
        <v>5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-6</v>
      </c>
      <c r="AC9" s="102" t="str">
        <f t="shared" ca="1" si="0"/>
        <v>ANO</v>
      </c>
      <c r="AG9" s="121" t="s">
        <v>528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151</v>
      </c>
      <c r="AQ9" s="123">
        <v>193</v>
      </c>
      <c r="AR9" s="123">
        <v>90</v>
      </c>
      <c r="AS9" s="126" t="s">
        <v>552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T9" s="104" t="s">
        <v>1107</v>
      </c>
      <c r="BU9" s="103" t="s">
        <v>1108</v>
      </c>
      <c r="BV9" s="104" t="str">
        <f t="shared" si="13"/>
        <v>Miroslav Steiger</v>
      </c>
      <c r="BW9" s="112">
        <f t="shared" si="14"/>
        <v>11.1</v>
      </c>
      <c r="BX9" s="329"/>
      <c r="BY9" s="103" t="s">
        <v>1247</v>
      </c>
      <c r="BZ9" s="103" t="s">
        <v>987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539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361</v>
      </c>
      <c r="AH10" s="122"/>
      <c r="AI10" s="123"/>
      <c r="AJ10" s="123"/>
      <c r="AK10" s="123"/>
      <c r="AL10" s="124">
        <f>IF(AG10&lt;&gt;"",AJ10+AK10,"")</f>
        <v>0</v>
      </c>
      <c r="AM10" s="123" t="s">
        <v>307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965</v>
      </c>
      <c r="BZ10" s="103" t="s">
        <v>1041</v>
      </c>
      <c r="CA10" s="115" t="s">
        <v>208</v>
      </c>
    </row>
    <row r="11" spans="1:79" ht="15" customHeight="1" thickTop="1" thickBot="1" x14ac:dyDescent="0.25">
      <c r="R11" s="13"/>
      <c r="S11" s="110" t="s">
        <v>518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1</v>
      </c>
      <c r="AC11" s="102" t="str">
        <f t="shared" ca="1" si="0"/>
        <v>ANO</v>
      </c>
      <c r="AG11" s="121" t="s">
        <v>529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151</v>
      </c>
      <c r="AQ11" s="123">
        <v>188</v>
      </c>
      <c r="AR11" s="123">
        <v>78</v>
      </c>
      <c r="AS11" s="126" t="s">
        <v>547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967</v>
      </c>
      <c r="BZ11" s="103" t="s">
        <v>1040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522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-7</v>
      </c>
      <c r="AC12" s="102" t="str">
        <f t="shared" ca="1" si="0"/>
        <v>ANO</v>
      </c>
      <c r="AG12" s="121" t="s">
        <v>515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553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5 OZ, 2 (1+1), -6 ±</v>
      </c>
      <c r="AY12" s="129" t="str">
        <f t="shared" ca="1" si="2"/>
        <v>146 OZ, 63 (42+21)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568</v>
      </c>
      <c r="BU12" s="103">
        <v>7</v>
      </c>
      <c r="BV12" s="104" t="str">
        <f t="shared" si="13"/>
        <v>František Vykopal</v>
      </c>
      <c r="BW12" s="102">
        <f t="shared" si="14"/>
        <v>7</v>
      </c>
      <c r="BX12" s="120" t="s">
        <v>213</v>
      </c>
      <c r="BY12" s="100" t="s">
        <v>1100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1112</v>
      </c>
      <c r="T13" s="102" t="s">
        <v>64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-2</v>
      </c>
      <c r="AC13" s="102" t="str">
        <f t="shared" ca="1" si="0"/>
        <v>NE</v>
      </c>
      <c r="AG13" s="121" t="s">
        <v>530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151</v>
      </c>
      <c r="AQ13" s="123">
        <v>172</v>
      </c>
      <c r="AR13" s="123">
        <v>67</v>
      </c>
      <c r="AS13" s="126" t="s">
        <v>552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921</v>
      </c>
      <c r="BU13" s="103">
        <v>4</v>
      </c>
      <c r="BV13" s="104" t="str">
        <f t="shared" si="13"/>
        <v>Ronald Gašparík</v>
      </c>
      <c r="BW13" s="102">
        <f t="shared" si="14"/>
        <v>4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521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531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151</v>
      </c>
      <c r="AQ14" s="123">
        <v>181</v>
      </c>
      <c r="AR14" s="123">
        <v>80</v>
      </c>
      <c r="AS14" s="126" t="s">
        <v>554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1101</v>
      </c>
      <c r="BU14" s="103">
        <v>3</v>
      </c>
      <c r="BV14" s="104" t="str">
        <f t="shared" si="13"/>
        <v>Lukáš Petřík</v>
      </c>
      <c r="BW14" s="102">
        <f t="shared" si="14"/>
        <v>3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1111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409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151</v>
      </c>
      <c r="AQ15" s="123">
        <v>185</v>
      </c>
      <c r="AR15" s="123">
        <v>77</v>
      </c>
      <c r="AS15" s="126" t="s">
        <v>155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1102</v>
      </c>
      <c r="BU15" s="103">
        <v>3</v>
      </c>
      <c r="BV15" s="104" t="str">
        <f t="shared" si="13"/>
        <v>Peter Nehila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1113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-7</v>
      </c>
      <c r="AC16" s="102" t="str">
        <f t="shared" ca="1" si="0"/>
        <v>NE</v>
      </c>
      <c r="AG16" s="121" t="s">
        <v>532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151</v>
      </c>
      <c r="AQ16" s="123">
        <v>196</v>
      </c>
      <c r="AR16" s="123">
        <v>91</v>
      </c>
      <c r="AS16" s="126" t="s">
        <v>552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1103</v>
      </c>
      <c r="BU16" s="103">
        <v>2</v>
      </c>
      <c r="BV16" s="104" t="str">
        <f t="shared" si="13"/>
        <v>David Ležatka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513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533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555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919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523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519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168</v>
      </c>
      <c r="AP18" s="125" t="s">
        <v>27</v>
      </c>
      <c r="AQ18" s="123">
        <v>181</v>
      </c>
      <c r="AR18" s="123">
        <v>72</v>
      </c>
      <c r="AS18" s="126" t="s">
        <v>435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5 OZ, 0 (0+0), -9 ±</v>
      </c>
      <c r="AY18" s="129" t="str">
        <f t="shared" ca="1" si="2"/>
        <v>93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920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OTR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520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534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T19" s="104" t="s">
        <v>1107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514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4</v>
      </c>
      <c r="AB20" s="102">
        <v>-10</v>
      </c>
      <c r="AC20" s="102" t="str">
        <f t="shared" ca="1" si="0"/>
        <v>NE</v>
      </c>
      <c r="AG20" s="121" t="s">
        <v>516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556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517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518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151</v>
      </c>
      <c r="AQ21" s="123">
        <v>182</v>
      </c>
      <c r="AR21" s="123">
        <v>74</v>
      </c>
      <c r="AS21" s="126" t="s">
        <v>557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519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ca="1" si="0"/>
        <v>ANO</v>
      </c>
      <c r="AG22" s="121" t="s">
        <v>535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151</v>
      </c>
      <c r="AQ22" s="123">
        <v>182</v>
      </c>
      <c r="AR22" s="123">
        <v>79</v>
      </c>
      <c r="AS22" s="126" t="s">
        <v>552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855</v>
      </c>
      <c r="BU22" s="103">
        <v>5</v>
      </c>
      <c r="BV22" s="104" t="str">
        <f t="shared" si="13"/>
        <v>Ronald Gašparík</v>
      </c>
      <c r="BW22" s="102">
        <f t="shared" si="14"/>
        <v>5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511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-4</v>
      </c>
      <c r="AC23" s="102" t="str">
        <f t="shared" ca="1" si="0"/>
        <v>NE</v>
      </c>
      <c r="AG23" s="121" t="s">
        <v>509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151</v>
      </c>
      <c r="AQ23" s="123">
        <v>179</v>
      </c>
      <c r="AR23" s="123">
        <v>77</v>
      </c>
      <c r="AS23" s="126" t="s">
        <v>558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5 OZ, 4 (3+1), -2 ±</v>
      </c>
      <c r="AY23" s="129" t="str">
        <f t="shared" ca="1" si="2"/>
        <v>67 OZ, 37 (22+15)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856</v>
      </c>
      <c r="BU23" s="103">
        <v>4</v>
      </c>
      <c r="BV23" s="104" t="str">
        <f t="shared" si="13"/>
        <v>František Vykopal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0" t="s">
        <v>516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512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151</v>
      </c>
      <c r="AQ24" s="123">
        <v>192</v>
      </c>
      <c r="AR24" s="123">
        <v>81</v>
      </c>
      <c r="AS24" s="126" t="s">
        <v>559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6 (3+3), -9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311 OZ, 268 (124+144)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1101</v>
      </c>
      <c r="BU24" s="103">
        <v>3</v>
      </c>
      <c r="BV24" s="104" t="str">
        <f t="shared" si="13"/>
        <v>Lukáš Petřík</v>
      </c>
      <c r="BW24" s="102">
        <f t="shared" si="14"/>
        <v>3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1"/>
      <c r="AC25" s="102" t="str">
        <f t="shared" ca="1" si="0"/>
        <v/>
      </c>
      <c r="AG25" s="121" t="s">
        <v>536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151</v>
      </c>
      <c r="AQ25" s="123">
        <v>187</v>
      </c>
      <c r="AR25" s="123">
        <v>78</v>
      </c>
      <c r="AS25" s="126" t="s">
        <v>552</v>
      </c>
      <c r="AT25" s="123">
        <v>2012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918</v>
      </c>
      <c r="BU25" s="103">
        <v>2</v>
      </c>
      <c r="BV25" s="104" t="str">
        <f t="shared" si="13"/>
        <v>David Ležatka</v>
      </c>
      <c r="BW25" s="102">
        <f t="shared" si="14"/>
        <v>2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537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560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1109</v>
      </c>
      <c r="BU26" s="103">
        <v>1</v>
      </c>
      <c r="BV26" s="104" t="str">
        <f t="shared" si="13"/>
        <v>David Medek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 t="s">
        <v>538</v>
      </c>
      <c r="AH27" s="122"/>
      <c r="AI27" s="123"/>
      <c r="AJ27" s="123"/>
      <c r="AK27" s="123"/>
      <c r="AL27" s="124">
        <f>IF(AG27&lt;&gt;"",AJ27+AK27,"")</f>
        <v>0</v>
      </c>
      <c r="AM27" s="123" t="s">
        <v>307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0" t="s">
        <v>39</v>
      </c>
      <c r="BT27" s="104" t="s">
        <v>569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539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151</v>
      </c>
      <c r="AQ28" s="123">
        <v>190</v>
      </c>
      <c r="AR28" s="123">
        <v>82</v>
      </c>
      <c r="AS28" s="126" t="s">
        <v>552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1 (0+1), -1 ±</v>
      </c>
      <c r="AY28" s="129" t="str">
        <f t="shared" ca="1" si="16"/>
        <v>212 OZ, 171 (107+64)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0"/>
      <c r="BT28" s="104" t="s">
        <v>857</v>
      </c>
      <c r="BU28" s="103">
        <v>2</v>
      </c>
      <c r="BV28" s="104" t="str">
        <f t="shared" si="13"/>
        <v>David Medek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 t="s">
        <v>540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151</v>
      </c>
      <c r="AQ29" s="123">
        <v>185</v>
      </c>
      <c r="AR29" s="123">
        <v>78</v>
      </c>
      <c r="AS29" s="126" t="s">
        <v>561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0"/>
      <c r="BT29" s="104" t="s">
        <v>922</v>
      </c>
      <c r="BU29" s="103">
        <v>2</v>
      </c>
      <c r="BV29" s="104" t="str">
        <f t="shared" si="13"/>
        <v>Martin Ležatka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OTR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 t="s">
        <v>541</v>
      </c>
      <c r="AH30" s="122"/>
      <c r="AI30" s="123"/>
      <c r="AJ30" s="123"/>
      <c r="AK30" s="123"/>
      <c r="AL30" s="124">
        <f>IF(AG30&lt;&gt;"",AJ30+AK30,"")</f>
        <v>0</v>
      </c>
      <c r="AM30" s="123" t="s">
        <v>307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0"/>
      <c r="BT30" s="104" t="s">
        <v>1102</v>
      </c>
      <c r="BU30" s="103">
        <v>2</v>
      </c>
      <c r="BV30" s="104" t="str">
        <f t="shared" si="13"/>
        <v>Peter Nehila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517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151</v>
      </c>
      <c r="AQ31" s="123">
        <v>184</v>
      </c>
      <c r="AR31" s="123">
        <v>72</v>
      </c>
      <c r="AS31" s="126" t="s">
        <v>552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5 OZ, 0 (0+0), -4 ±</v>
      </c>
      <c r="AY31" s="129" t="str">
        <f t="shared" ca="1" si="16"/>
        <v>24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30"/>
      <c r="BT31" s="104" t="s">
        <v>1110</v>
      </c>
      <c r="BU31" s="103">
        <v>2</v>
      </c>
      <c r="BV31" s="104" t="str">
        <f t="shared" si="13"/>
        <v>Ronald Gašparík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542</v>
      </c>
      <c r="AH32" s="122"/>
      <c r="AI32" s="123"/>
      <c r="AJ32" s="123"/>
      <c r="AK32" s="123"/>
      <c r="AL32" s="124">
        <f>IF(AG32&lt;&gt;"",AJ32+AK32,"")</f>
        <v>0</v>
      </c>
      <c r="AM32" s="123" t="s">
        <v>307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/>
      <c r="AI33" s="123"/>
      <c r="AJ33" s="123"/>
      <c r="AK33" s="123"/>
      <c r="AL33" s="124">
        <f>IF(AG33&lt;&gt;"",AJ33+AK33,"")</f>
        <v>0</v>
      </c>
      <c r="AM33" s="123" t="s">
        <v>307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505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562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5 OZ, 11 (7+4), -1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104 OZ, 81 (48+33)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 t="s">
        <v>544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563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 t="s">
        <v>545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151</v>
      </c>
      <c r="AQ36" s="123">
        <v>188</v>
      </c>
      <c r="AR36" s="123">
        <v>85</v>
      </c>
      <c r="AS36" s="126" t="s">
        <v>564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520</v>
      </c>
      <c r="T45" s="102">
        <v>3</v>
      </c>
      <c r="U45" s="112">
        <v>177.68</v>
      </c>
      <c r="V45" s="102">
        <v>0</v>
      </c>
      <c r="W45" s="102">
        <v>18</v>
      </c>
      <c r="X45" s="102">
        <v>0</v>
      </c>
      <c r="Y45" s="102">
        <v>67</v>
      </c>
      <c r="Z45" s="102">
        <v>0</v>
      </c>
      <c r="AA45" s="102">
        <v>3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6.0783430886987837</v>
      </c>
      <c r="AF45" s="112">
        <f>IF(S45&lt;&gt;"",IF(Y45&gt;0,(AB45/Y45)*100,"-"),"")</f>
        <v>73.134328358208961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516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 t="s">
        <v>1111</v>
      </c>
      <c r="T47" s="102">
        <v>1</v>
      </c>
      <c r="U47" s="112">
        <v>16.22</v>
      </c>
      <c r="V47" s="102">
        <v>0</v>
      </c>
      <c r="W47" s="102">
        <v>3</v>
      </c>
      <c r="X47" s="102">
        <v>0</v>
      </c>
      <c r="Y47" s="102">
        <v>7</v>
      </c>
      <c r="Z47" s="102">
        <v>0</v>
      </c>
      <c r="AA47" s="102">
        <v>1</v>
      </c>
      <c r="AB47" s="102">
        <v>4</v>
      </c>
      <c r="AC47" s="102">
        <v>0</v>
      </c>
      <c r="AD47" s="102">
        <v>0</v>
      </c>
      <c r="AE47" s="112">
        <f t="shared" si="23"/>
        <v>11.097410604192357</v>
      </c>
      <c r="AF47" s="112">
        <f t="shared" si="24"/>
        <v>57.142857142857139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795</v>
      </c>
      <c r="U2" s="102">
        <v>5</v>
      </c>
      <c r="V2" s="102">
        <v>4</v>
      </c>
      <c r="W2" s="102">
        <v>0</v>
      </c>
      <c r="X2" s="102">
        <v>0</v>
      </c>
      <c r="Y2" s="102">
        <v>3</v>
      </c>
      <c r="Z2" s="102">
        <v>7</v>
      </c>
      <c r="AA2" s="102">
        <v>0</v>
      </c>
      <c r="AB2" s="102">
        <v>-14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806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0" t="s">
        <v>36</v>
      </c>
      <c r="BT2" s="104" t="s">
        <v>810</v>
      </c>
      <c r="BU2" s="103">
        <v>7</v>
      </c>
      <c r="BV2" s="104" t="str">
        <f>IFERROR(RIGHT(BT2,LEN(BT2)-SEARCH(" ",BT2)),"")</f>
        <v>Adam Šmíd</v>
      </c>
      <c r="BW2" s="102">
        <f>IF(BT2&lt;&gt;0,_xlfn.NUMBERVALUE(BU2,","),"")</f>
        <v>7</v>
      </c>
      <c r="BX2" s="329" t="s">
        <v>214</v>
      </c>
      <c r="BY2" s="103" t="s">
        <v>210</v>
      </c>
      <c r="BZ2" s="103" t="s">
        <v>1040</v>
      </c>
      <c r="CA2" s="115" t="s">
        <v>865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650</v>
      </c>
      <c r="U3" s="102">
        <v>5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-11</v>
      </c>
      <c r="AC3" s="102" t="str">
        <f t="shared" ca="1" si="0"/>
        <v>ANO</v>
      </c>
      <c r="AG3" s="121" t="s">
        <v>799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5 OZ, 3 (2+1), -7 ±</v>
      </c>
      <c r="AY3" s="129" t="str">
        <f t="shared" ca="1" si="2"/>
        <v>5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0"/>
      <c r="BT3" s="104" t="s">
        <v>811</v>
      </c>
      <c r="BU3" s="103">
        <v>5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5</v>
      </c>
      <c r="BX3" s="329"/>
      <c r="BY3" s="103" t="s">
        <v>266</v>
      </c>
      <c r="BZ3" s="103" t="s">
        <v>1041</v>
      </c>
      <c r="CA3" s="115" t="s">
        <v>216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807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804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4 P</v>
      </c>
      <c r="AY4" s="129" t="str">
        <f t="shared" ca="1" si="2"/>
        <v>5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0"/>
      <c r="BT4" s="104" t="s">
        <v>873</v>
      </c>
      <c r="BU4" s="103">
        <v>4</v>
      </c>
      <c r="BV4" s="104" t="str">
        <f t="shared" si="13"/>
        <v>Jan Savický</v>
      </c>
      <c r="BW4" s="102">
        <f t="shared" si="14"/>
        <v>4</v>
      </c>
      <c r="BX4" s="329"/>
      <c r="BY4" s="103" t="s">
        <v>882</v>
      </c>
      <c r="BZ4" s="103" t="s">
        <v>986</v>
      </c>
      <c r="CA4" s="115" t="s">
        <v>865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803</v>
      </c>
      <c r="T5" s="102" t="s">
        <v>121</v>
      </c>
      <c r="U5" s="102">
        <v>5</v>
      </c>
      <c r="V5" s="102">
        <v>2</v>
      </c>
      <c r="W5" s="102">
        <v>0</v>
      </c>
      <c r="X5" s="102">
        <v>0</v>
      </c>
      <c r="Y5" s="102">
        <v>2</v>
      </c>
      <c r="Z5" s="102">
        <v>4</v>
      </c>
      <c r="AA5" s="102">
        <v>0</v>
      </c>
      <c r="AB5" s="102">
        <v>-12</v>
      </c>
      <c r="AC5" s="102" t="str">
        <f t="shared" ca="1" si="0"/>
        <v>ANO</v>
      </c>
      <c r="AG5" s="121" t="s">
        <v>794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5 OZ, 1 (1+0), -9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0"/>
      <c r="BT5" s="104" t="s">
        <v>923</v>
      </c>
      <c r="BU5" s="103">
        <v>4</v>
      </c>
      <c r="BV5" s="104" t="str">
        <f t="shared" si="13"/>
        <v>Přemek Pakosta</v>
      </c>
      <c r="BW5" s="102">
        <f t="shared" si="14"/>
        <v>4</v>
      </c>
      <c r="BX5" s="329"/>
      <c r="BY5" s="103" t="s">
        <v>869</v>
      </c>
      <c r="BZ5" s="103" t="s">
        <v>968</v>
      </c>
      <c r="CA5" s="115" t="s">
        <v>791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799</v>
      </c>
      <c r="U6" s="102">
        <v>5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0</v>
      </c>
      <c r="AB6" s="102">
        <v>-7</v>
      </c>
      <c r="AC6" s="102" t="str">
        <f t="shared" ca="1" si="0"/>
        <v>ANO</v>
      </c>
      <c r="AG6" s="121" t="s">
        <v>800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5 OZ, 0 (0+0), -1 ±</v>
      </c>
      <c r="AY6" s="129" t="str">
        <f t="shared" ca="1" si="2"/>
        <v>5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0"/>
      <c r="BT6" s="104" t="s">
        <v>1115</v>
      </c>
      <c r="BU6" s="103">
        <v>3</v>
      </c>
      <c r="BV6" s="104" t="str">
        <f t="shared" si="13"/>
        <v>David Žáček</v>
      </c>
      <c r="BW6" s="102">
        <f t="shared" si="14"/>
        <v>3</v>
      </c>
      <c r="BX6" s="329"/>
      <c r="BY6" s="103" t="s">
        <v>206</v>
      </c>
      <c r="BZ6" s="103" t="s">
        <v>966</v>
      </c>
      <c r="CA6" s="115" t="s">
        <v>111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798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-4</v>
      </c>
      <c r="AC7" s="102" t="str">
        <f t="shared" ca="1" si="0"/>
        <v>ANO</v>
      </c>
      <c r="AG7" s="121" t="s">
        <v>756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5 OZ, 3 (1+2), -6 ±</v>
      </c>
      <c r="AY7" s="129" t="str">
        <f t="shared" ca="1" si="2"/>
        <v>5 OZ, 3 (1+2)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808</v>
      </c>
      <c r="BU7" s="103" t="s">
        <v>1117</v>
      </c>
      <c r="BV7" s="104" t="str">
        <f t="shared" si="13"/>
        <v>Martin Haleš</v>
      </c>
      <c r="BW7" s="112">
        <f t="shared" si="14"/>
        <v>8.81</v>
      </c>
      <c r="BX7" s="329" t="s">
        <v>215</v>
      </c>
      <c r="BY7" s="103" t="s">
        <v>267</v>
      </c>
      <c r="BZ7" s="103" t="s">
        <v>1005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104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801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2</v>
      </c>
      <c r="AB8" s="102">
        <v>-5</v>
      </c>
      <c r="AC8" s="102" t="str">
        <f t="shared" ca="1" si="0"/>
        <v>ANO</v>
      </c>
      <c r="AG8" s="121" t="s">
        <v>805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-2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1257</v>
      </c>
      <c r="BU8" s="103" t="s">
        <v>201</v>
      </c>
      <c r="BV8" s="104" t="str">
        <f t="shared" si="13"/>
        <v>Matěj Denemark</v>
      </c>
      <c r="BW8" s="112">
        <f t="shared" si="14"/>
        <v>0</v>
      </c>
      <c r="BX8" s="329"/>
      <c r="BY8" s="103" t="s">
        <v>816</v>
      </c>
      <c r="BZ8" s="103" t="s">
        <v>982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756</v>
      </c>
      <c r="U9" s="102">
        <v>5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2</v>
      </c>
      <c r="AB9" s="102">
        <v>-6</v>
      </c>
      <c r="AC9" s="102" t="str">
        <f t="shared" ca="1" si="0"/>
        <v>ANO</v>
      </c>
      <c r="AG9" s="121" t="s">
        <v>803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5 OZ, 4 (2+2), -12 ±</v>
      </c>
      <c r="AY9" s="129" t="str">
        <f t="shared" ca="1" si="2"/>
        <v>5 OZ, 4 (2+2)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T9" s="104" t="s">
        <v>1258</v>
      </c>
      <c r="BU9" s="103" t="s">
        <v>1116</v>
      </c>
      <c r="BV9" s="104" t="str">
        <f t="shared" si="13"/>
        <v>Karel Aubus</v>
      </c>
      <c r="BW9" s="112">
        <f t="shared" si="14"/>
        <v>5.12</v>
      </c>
      <c r="BX9" s="329"/>
      <c r="BY9" s="103" t="s">
        <v>874</v>
      </c>
      <c r="BZ9" s="103" t="s">
        <v>1037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792</v>
      </c>
      <c r="U10" s="102">
        <v>4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797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5 OZ, 0 (0+0), -6 ±</v>
      </c>
      <c r="AY10" s="129" t="str">
        <f t="shared" ca="1" si="2"/>
        <v>5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965</v>
      </c>
      <c r="BZ10" s="103" t="s">
        <v>1003</v>
      </c>
      <c r="CA10" s="115" t="s">
        <v>208</v>
      </c>
    </row>
    <row r="11" spans="1:79" ht="15" customHeight="1" thickTop="1" thickBot="1" x14ac:dyDescent="0.25">
      <c r="R11" s="13"/>
      <c r="S11" s="110" t="s">
        <v>796</v>
      </c>
      <c r="U11" s="102">
        <v>5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4</v>
      </c>
      <c r="AB11" s="102">
        <v>-12</v>
      </c>
      <c r="AC11" s="102" t="str">
        <f t="shared" ca="1" si="0"/>
        <v>ANO</v>
      </c>
      <c r="AG11" s="121" t="s">
        <v>792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4 OZ, 3 (0+3), -1 ±</v>
      </c>
      <c r="AY11" s="129" t="str">
        <f t="shared" ca="1" si="2"/>
        <v>4 OZ, 3 (0+3)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967</v>
      </c>
      <c r="BZ11" s="103" t="s">
        <v>1099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794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-9</v>
      </c>
      <c r="AC12" s="102" t="str">
        <f t="shared" ca="1" si="0"/>
        <v>ANO</v>
      </c>
      <c r="AG12" s="121" t="s">
        <v>796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5 OZ, 2 (1+1), -12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810</v>
      </c>
      <c r="BU12" s="103">
        <v>4</v>
      </c>
      <c r="BV12" s="104" t="str">
        <f t="shared" si="13"/>
        <v>Adam Šmíd</v>
      </c>
      <c r="BW12" s="102">
        <f t="shared" si="14"/>
        <v>4</v>
      </c>
      <c r="BX12" s="120" t="s">
        <v>213</v>
      </c>
      <c r="BY12" s="100" t="s">
        <v>1114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793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-7</v>
      </c>
      <c r="AC13" s="102" t="str">
        <f t="shared" ca="1" si="0"/>
        <v>ANO</v>
      </c>
      <c r="AG13" s="121" t="s">
        <v>793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5 OZ, 1 (1+0), -7 ±</v>
      </c>
      <c r="AY13" s="129" t="str">
        <f t="shared" ca="1" si="2"/>
        <v>5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924</v>
      </c>
      <c r="BU13" s="103">
        <v>3</v>
      </c>
      <c r="BV13" s="104" t="str">
        <f t="shared" si="13"/>
        <v>Jan Savický</v>
      </c>
      <c r="BW13" s="102">
        <f t="shared" si="14"/>
        <v>3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1129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807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-8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1119</v>
      </c>
      <c r="BU14" s="103">
        <v>2</v>
      </c>
      <c r="BV14" s="104" t="str">
        <f t="shared" si="13"/>
        <v>David Žáček</v>
      </c>
      <c r="BW14" s="102">
        <f t="shared" si="14"/>
        <v>2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805</v>
      </c>
      <c r="T15" s="102" t="s">
        <v>121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802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5 OZ, 0 (0+0), -7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1120</v>
      </c>
      <c r="BU15" s="103">
        <v>2</v>
      </c>
      <c r="BV15" s="104" t="str">
        <f t="shared" si="13"/>
        <v>Ivo Teichman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871</v>
      </c>
      <c r="T16" s="102" t="s">
        <v>64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-6</v>
      </c>
      <c r="AC16" s="102" t="str">
        <f t="shared" ca="1" si="0"/>
        <v>NE</v>
      </c>
      <c r="AG16" s="121" t="s">
        <v>795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5 OZ, 7 (4+3), -14 ±</v>
      </c>
      <c r="AY16" s="129" t="str">
        <f t="shared" ca="1" si="2"/>
        <v>5 OZ, 7 (4+3)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1121</v>
      </c>
      <c r="BU16" s="103">
        <v>2</v>
      </c>
      <c r="BV16" s="104" t="str">
        <f t="shared" si="13"/>
        <v>Matyáš Velc</v>
      </c>
      <c r="BW16" s="102">
        <f t="shared" si="14"/>
        <v>2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872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-6</v>
      </c>
      <c r="AC17" s="102" t="str">
        <f t="shared" ca="1" si="0"/>
        <v>NE</v>
      </c>
      <c r="AG17" s="121" t="s">
        <v>801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5 OZ, 3 (2+1), -5 ±</v>
      </c>
      <c r="AY17" s="129" t="str">
        <f t="shared" ca="1" si="2"/>
        <v>5 OZ, 3 (2+1)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808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806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650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5 OZ, 5 (2+3), -11 ±</v>
      </c>
      <c r="AY18" s="129" t="str">
        <f t="shared" ca="1" si="2"/>
        <v>5 OZ, 5 (2+3)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809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PAR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804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798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5 OZ, 3 (2+1), -4 ±</v>
      </c>
      <c r="AY19" s="129" t="str">
        <f t="shared" ca="1" si="2"/>
        <v>5 OZ, 3 (2+1)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T19" s="104" t="s">
        <v>1118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797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-6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800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802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-7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0" t="s">
        <v>38</v>
      </c>
      <c r="BT22" s="104" t="s">
        <v>810</v>
      </c>
      <c r="BU22" s="103">
        <v>3</v>
      </c>
      <c r="BV22" s="104" t="str">
        <f t="shared" si="13"/>
        <v>Adam Šmíd</v>
      </c>
      <c r="BW22" s="102">
        <f t="shared" si="14"/>
        <v>3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0"/>
      <c r="BT23" s="104" t="s">
        <v>926</v>
      </c>
      <c r="BU23" s="103">
        <v>3</v>
      </c>
      <c r="BV23" s="104" t="str">
        <f t="shared" si="13"/>
        <v>David Petržela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0"/>
      <c r="BT24" s="104" t="s">
        <v>925</v>
      </c>
      <c r="BU24" s="103">
        <v>3</v>
      </c>
      <c r="BV24" s="104" t="str">
        <f t="shared" si="13"/>
        <v>Matyáš Velc</v>
      </c>
      <c r="BW24" s="102">
        <f t="shared" si="14"/>
        <v>3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0"/>
      <c r="BT25" s="104" t="s">
        <v>1122</v>
      </c>
      <c r="BU25" s="103">
        <v>2</v>
      </c>
      <c r="BV25" s="104" t="str">
        <f t="shared" si="13"/>
        <v>Lukáš Kučera</v>
      </c>
      <c r="BW25" s="102">
        <f t="shared" si="14"/>
        <v>2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0"/>
      <c r="BT26" s="104" t="s">
        <v>1123</v>
      </c>
      <c r="BU26" s="103">
        <v>2</v>
      </c>
      <c r="BV26" s="104" t="str">
        <f t="shared" si="13"/>
        <v>Přemek Pakosta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0" t="s">
        <v>39</v>
      </c>
      <c r="BT27" s="104" t="s">
        <v>1124</v>
      </c>
      <c r="BU27" s="103">
        <v>4</v>
      </c>
      <c r="BV27" s="104" t="str">
        <f t="shared" si="13"/>
        <v>Lukáš Prix</v>
      </c>
      <c r="BW27" s="102">
        <f t="shared" si="14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0"/>
      <c r="BT28" s="104" t="s">
        <v>1125</v>
      </c>
      <c r="BU28" s="103">
        <v>2</v>
      </c>
      <c r="BV28" s="104" t="str">
        <f t="shared" si="13"/>
        <v>Ivo Teichman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0"/>
      <c r="BT29" s="104" t="s">
        <v>1126</v>
      </c>
      <c r="BU29" s="103">
        <v>2</v>
      </c>
      <c r="BV29" s="104" t="str">
        <f t="shared" si="13"/>
        <v>Lukáš Kučera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PAR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0"/>
      <c r="BT30" s="104" t="s">
        <v>1127</v>
      </c>
      <c r="BU30" s="103">
        <v>2</v>
      </c>
      <c r="BV30" s="104" t="str">
        <f t="shared" si="13"/>
        <v>Patrik Petr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1128</v>
      </c>
      <c r="BU31" s="103">
        <v>2</v>
      </c>
      <c r="BV31" s="104" t="str">
        <f t="shared" si="13"/>
        <v>Vojtěch Rusin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804</v>
      </c>
      <c r="T45" s="102">
        <v>5</v>
      </c>
      <c r="U45" s="112">
        <v>217.9</v>
      </c>
      <c r="V45" s="102">
        <v>1</v>
      </c>
      <c r="W45" s="102">
        <v>32</v>
      </c>
      <c r="X45" s="102">
        <v>0</v>
      </c>
      <c r="Y45" s="102">
        <v>122</v>
      </c>
      <c r="Z45" s="102">
        <v>0</v>
      </c>
      <c r="AA45" s="102">
        <v>4</v>
      </c>
      <c r="AB45" s="102">
        <v>90</v>
      </c>
      <c r="AC45" s="102">
        <v>0</v>
      </c>
      <c r="AD45" s="102">
        <v>0</v>
      </c>
      <c r="AE45" s="112">
        <f>IF(S45&lt;&gt;"",IF(T45&gt;0,W45/(U45/60),0),"")</f>
        <v>8.8113813675998163</v>
      </c>
      <c r="AF45" s="112">
        <f>IF(S45&lt;&gt;"",IF(Y45&gt;0,(AB45/Y45)*100,"-"),"")</f>
        <v>73.770491803278688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806</v>
      </c>
      <c r="T46" s="102">
        <v>2</v>
      </c>
      <c r="U46" s="112">
        <v>82.1</v>
      </c>
      <c r="V46" s="102">
        <v>0</v>
      </c>
      <c r="W46" s="102">
        <v>7</v>
      </c>
      <c r="X46" s="102">
        <v>0</v>
      </c>
      <c r="Y46" s="102">
        <v>34</v>
      </c>
      <c r="Z46" s="102">
        <v>0</v>
      </c>
      <c r="AA46" s="102">
        <v>2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5.1157125456760051</v>
      </c>
      <c r="AF46" s="112">
        <f t="shared" ref="AF46:AF50" si="26">IF(S46&lt;&gt;"",IF(Y46&gt;0,(AB46/Y46)*100,"-"),"")</f>
        <v>79.411764705882348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 t="s">
        <v>1129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5"/>
        <v>0</v>
      </c>
      <c r="AF47" s="112" t="str">
        <f t="shared" si="26"/>
        <v>-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622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4</v>
      </c>
      <c r="Z2" s="102">
        <v>9</v>
      </c>
      <c r="AA2" s="102">
        <v>2</v>
      </c>
      <c r="AB2" s="102">
        <v>11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641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151</v>
      </c>
      <c r="AQ2" s="123">
        <v>173</v>
      </c>
      <c r="AR2" s="123">
        <v>62</v>
      </c>
      <c r="AS2" s="126" t="s">
        <v>653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667</v>
      </c>
      <c r="BO2" s="122">
        <v>29384</v>
      </c>
      <c r="BP2" s="131" t="s">
        <v>259</v>
      </c>
      <c r="BQ2" s="132" t="s">
        <v>668</v>
      </c>
      <c r="BR2" s="127">
        <f ca="1">IF(BN2&lt;&gt;"",IF(BO2&lt;&gt;"",INT((TODAY()-BO2)/365),"?"),"")</f>
        <v>41</v>
      </c>
      <c r="BS2" s="330" t="s">
        <v>36</v>
      </c>
      <c r="BT2" s="104" t="s">
        <v>675</v>
      </c>
      <c r="BU2" s="103">
        <v>9</v>
      </c>
      <c r="BV2" s="104" t="str">
        <f>IFERROR(RIGHT(BT2,LEN(BT2)-SEARCH(" ",BT2)),"")</f>
        <v>Lukáš Ujhélyi</v>
      </c>
      <c r="BW2" s="102">
        <f>IF(BT2&lt;&gt;0,_xlfn.NUMBERVALUE(BU2,","),"")</f>
        <v>9</v>
      </c>
      <c r="BX2" s="329" t="s">
        <v>214</v>
      </c>
      <c r="BY2" s="103" t="s">
        <v>210</v>
      </c>
      <c r="BZ2" s="103" t="s">
        <v>963</v>
      </c>
      <c r="CA2" s="115" t="s">
        <v>864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623</v>
      </c>
      <c r="U3" s="102">
        <v>5</v>
      </c>
      <c r="V3" s="102">
        <v>4</v>
      </c>
      <c r="W3" s="102">
        <v>0</v>
      </c>
      <c r="X3" s="102">
        <v>0</v>
      </c>
      <c r="Y3" s="102">
        <v>5</v>
      </c>
      <c r="Z3" s="102">
        <v>9</v>
      </c>
      <c r="AA3" s="102">
        <v>2</v>
      </c>
      <c r="AB3" s="102">
        <v>7</v>
      </c>
      <c r="AC3" s="102" t="str">
        <f t="shared" ca="1" si="0"/>
        <v>ANO</v>
      </c>
      <c r="AG3" s="121" t="s">
        <v>627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654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5 OZ, 4 (1+3), +9 ±</v>
      </c>
      <c r="AY3" s="129" t="str">
        <f t="shared" ca="1" si="2"/>
        <v>132 OZ, 30 (10+20)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669</v>
      </c>
      <c r="BO3" s="122">
        <v>31166</v>
      </c>
      <c r="BP3" s="131" t="s">
        <v>260</v>
      </c>
      <c r="BQ3" s="132" t="s">
        <v>670</v>
      </c>
      <c r="BR3" s="127">
        <f t="shared" ref="BR3:BR11" ca="1" si="12">IF(BN3&lt;&gt;"",IF(BO3&lt;&gt;"",INT((TODAY()-BO3)/365),"?"),"")</f>
        <v>36</v>
      </c>
      <c r="BS3" s="330"/>
      <c r="BT3" s="104" t="s">
        <v>676</v>
      </c>
      <c r="BU3" s="103">
        <v>9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9</v>
      </c>
      <c r="BX3" s="329"/>
      <c r="BY3" s="103" t="s">
        <v>266</v>
      </c>
      <c r="BZ3" s="103" t="s">
        <v>1063</v>
      </c>
      <c r="CA3" s="115" t="s">
        <v>1140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625</v>
      </c>
      <c r="T4" s="102" t="s">
        <v>121</v>
      </c>
      <c r="U4" s="102">
        <v>5</v>
      </c>
      <c r="V4" s="102">
        <v>3</v>
      </c>
      <c r="W4" s="102">
        <v>1</v>
      </c>
      <c r="X4" s="102">
        <v>0</v>
      </c>
      <c r="Y4" s="102">
        <v>5</v>
      </c>
      <c r="Z4" s="102">
        <v>8</v>
      </c>
      <c r="AA4" s="102">
        <v>0</v>
      </c>
      <c r="AB4" s="102">
        <v>10</v>
      </c>
      <c r="AC4" s="102" t="str">
        <f t="shared" ca="1" si="0"/>
        <v>ANO</v>
      </c>
      <c r="AG4" s="121" t="s">
        <v>403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151</v>
      </c>
      <c r="AQ4" s="123">
        <v>185</v>
      </c>
      <c r="AR4" s="123">
        <v>75</v>
      </c>
      <c r="AS4" s="126" t="s">
        <v>275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671</v>
      </c>
      <c r="BO4" s="122">
        <v>32564</v>
      </c>
      <c r="BP4" s="131" t="s">
        <v>260</v>
      </c>
      <c r="BQ4" s="132" t="s">
        <v>672</v>
      </c>
      <c r="BR4" s="127">
        <f t="shared" ca="1" si="12"/>
        <v>32</v>
      </c>
      <c r="BS4" s="330"/>
      <c r="BT4" s="104" t="s">
        <v>1259</v>
      </c>
      <c r="BU4" s="103">
        <v>8</v>
      </c>
      <c r="BV4" s="104" t="str">
        <f t="shared" si="13"/>
        <v>Jakub Kolstrunk</v>
      </c>
      <c r="BW4" s="102">
        <f t="shared" si="14"/>
        <v>8</v>
      </c>
      <c r="BX4" s="329"/>
      <c r="BY4" s="103" t="s">
        <v>882</v>
      </c>
      <c r="BZ4" s="103" t="s">
        <v>1007</v>
      </c>
      <c r="CA4" s="115" t="s">
        <v>828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626</v>
      </c>
      <c r="U5" s="102">
        <v>5</v>
      </c>
      <c r="V5" s="102">
        <v>3</v>
      </c>
      <c r="W5" s="102">
        <v>0</v>
      </c>
      <c r="X5" s="102">
        <v>0</v>
      </c>
      <c r="Y5" s="102">
        <v>5</v>
      </c>
      <c r="Z5" s="102">
        <v>8</v>
      </c>
      <c r="AA5" s="102">
        <v>0</v>
      </c>
      <c r="AB5" s="102">
        <v>5</v>
      </c>
      <c r="AC5" s="102" t="str">
        <f t="shared" ca="1" si="0"/>
        <v>ANO</v>
      </c>
      <c r="AG5" s="121" t="s">
        <v>637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655</v>
      </c>
      <c r="AT5" s="123">
        <v>2005</v>
      </c>
      <c r="AU5" s="127">
        <f ca="1">IF(AG5&lt;&gt;"",IF(AH5&lt;&gt;"",INT((TODAY()-AH5)/365),"?"),"")</f>
        <v>34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3 V, 1 P</v>
      </c>
      <c r="AY5" s="129" t="str">
        <f t="shared" ca="1" si="2"/>
        <v>211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673</v>
      </c>
      <c r="BO5" s="122">
        <v>33689</v>
      </c>
      <c r="BP5" s="131" t="s">
        <v>450</v>
      </c>
      <c r="BQ5" s="132"/>
      <c r="BR5" s="127">
        <f t="shared" ca="1" si="12"/>
        <v>29</v>
      </c>
      <c r="BS5" s="330"/>
      <c r="BT5" s="104" t="s">
        <v>1260</v>
      </c>
      <c r="BU5" s="103">
        <v>8</v>
      </c>
      <c r="BV5" s="104" t="str">
        <f t="shared" si="13"/>
        <v>Marek Zouzal</v>
      </c>
      <c r="BW5" s="102">
        <f t="shared" si="14"/>
        <v>8</v>
      </c>
      <c r="BX5" s="329"/>
      <c r="BY5" s="103" t="s">
        <v>207</v>
      </c>
      <c r="BZ5" s="103" t="s">
        <v>1099</v>
      </c>
      <c r="CA5" s="115" t="s">
        <v>858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624</v>
      </c>
      <c r="U6" s="102">
        <v>5</v>
      </c>
      <c r="V6" s="102">
        <v>5</v>
      </c>
      <c r="W6" s="102">
        <v>1</v>
      </c>
      <c r="X6" s="102">
        <v>0</v>
      </c>
      <c r="Y6" s="102">
        <v>2</v>
      </c>
      <c r="Z6" s="102">
        <v>7</v>
      </c>
      <c r="AA6" s="102">
        <v>2</v>
      </c>
      <c r="AB6" s="102">
        <v>7</v>
      </c>
      <c r="AC6" s="102" t="str">
        <f t="shared" ca="1" si="0"/>
        <v>ANO</v>
      </c>
      <c r="AG6" s="121" t="s">
        <v>629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151</v>
      </c>
      <c r="AQ6" s="123">
        <v>185</v>
      </c>
      <c r="AR6" s="123">
        <v>79</v>
      </c>
      <c r="AS6" s="126" t="s">
        <v>656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5 OZ, 5 (3+2), +4 ±</v>
      </c>
      <c r="AY6" s="129" t="str">
        <f t="shared" ca="1" si="2"/>
        <v>57 OZ, 51 (28+23)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674</v>
      </c>
      <c r="BO6" s="122">
        <v>35048</v>
      </c>
      <c r="BP6" s="131" t="s">
        <v>194</v>
      </c>
      <c r="BQ6" s="132" t="s">
        <v>668</v>
      </c>
      <c r="BR6" s="127">
        <f t="shared" ca="1" si="12"/>
        <v>25</v>
      </c>
      <c r="BS6" s="330"/>
      <c r="BT6" s="104" t="s">
        <v>1135</v>
      </c>
      <c r="BU6" s="103">
        <v>7</v>
      </c>
      <c r="BV6" s="104" t="str">
        <f t="shared" si="13"/>
        <v>Mikuláš Krbec</v>
      </c>
      <c r="BW6" s="102">
        <f t="shared" si="14"/>
        <v>7</v>
      </c>
      <c r="BX6" s="329"/>
      <c r="BY6" s="103" t="s">
        <v>206</v>
      </c>
      <c r="BZ6" s="103" t="s">
        <v>1003</v>
      </c>
      <c r="CA6" s="115" t="s">
        <v>681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629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4</v>
      </c>
      <c r="AC7" s="102" t="str">
        <f t="shared" ca="1" si="0"/>
        <v>ANO</v>
      </c>
      <c r="AG7" s="121" t="s">
        <v>642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679</v>
      </c>
      <c r="BU7" s="103" t="s">
        <v>1130</v>
      </c>
      <c r="BV7" s="104" t="str">
        <f t="shared" si="13"/>
        <v>Martin Beneš</v>
      </c>
      <c r="BW7" s="112">
        <f t="shared" si="14"/>
        <v>4.75</v>
      </c>
      <c r="BX7" s="329" t="s">
        <v>215</v>
      </c>
      <c r="BY7" s="103" t="s">
        <v>267</v>
      </c>
      <c r="BZ7" s="103" t="s">
        <v>1037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101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627</v>
      </c>
      <c r="T8" s="102" t="s">
        <v>64</v>
      </c>
      <c r="U8" s="102">
        <v>5</v>
      </c>
      <c r="V8" s="102">
        <v>1</v>
      </c>
      <c r="W8" s="102">
        <v>0</v>
      </c>
      <c r="X8" s="102">
        <v>0</v>
      </c>
      <c r="Y8" s="102">
        <v>3</v>
      </c>
      <c r="Z8" s="102">
        <v>4</v>
      </c>
      <c r="AA8" s="102">
        <v>2</v>
      </c>
      <c r="AB8" s="102">
        <v>9</v>
      </c>
      <c r="AC8" s="102" t="str">
        <f t="shared" ca="1" si="0"/>
        <v>ANO</v>
      </c>
      <c r="AG8" s="121" t="s">
        <v>643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657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927</v>
      </c>
      <c r="BU8" s="103" t="s">
        <v>396</v>
      </c>
      <c r="BV8" s="104" t="str">
        <f t="shared" si="13"/>
        <v>Viktor Hejna</v>
      </c>
      <c r="BW8" s="112">
        <f t="shared" si="14"/>
        <v>4</v>
      </c>
      <c r="BX8" s="329"/>
      <c r="BY8" s="103" t="s">
        <v>816</v>
      </c>
      <c r="BZ8" s="103" t="s">
        <v>1005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640</v>
      </c>
      <c r="T9" s="102" t="s">
        <v>64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2</v>
      </c>
      <c r="AB9" s="102">
        <v>7</v>
      </c>
      <c r="AC9" s="102" t="str">
        <f t="shared" ca="1" si="0"/>
        <v>ANO</v>
      </c>
      <c r="AG9" s="121" t="s">
        <v>630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168</v>
      </c>
      <c r="AP9" s="125" t="s">
        <v>151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5 OZ, 2 (1+1), -3 ±</v>
      </c>
      <c r="AY9" s="129" t="str">
        <f t="shared" ca="1" si="2"/>
        <v>293 OZ, 289 (156+133)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V9" s="104" t="str">
        <f t="shared" si="13"/>
        <v/>
      </c>
      <c r="BW9" s="112" t="str">
        <f t="shared" si="14"/>
        <v/>
      </c>
      <c r="BX9" s="329"/>
      <c r="BY9" s="103" t="s">
        <v>874</v>
      </c>
      <c r="BZ9" s="103" t="s">
        <v>988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638</v>
      </c>
      <c r="T10" s="102" t="s">
        <v>64</v>
      </c>
      <c r="U10" s="102">
        <v>5</v>
      </c>
      <c r="V10" s="102">
        <v>2</v>
      </c>
      <c r="W10" s="102">
        <v>0</v>
      </c>
      <c r="X10" s="102">
        <v>0</v>
      </c>
      <c r="Y10" s="102">
        <v>1</v>
      </c>
      <c r="Z10" s="102">
        <v>3</v>
      </c>
      <c r="AA10" s="102">
        <v>2</v>
      </c>
      <c r="AB10" s="102">
        <v>9</v>
      </c>
      <c r="AC10" s="102" t="str">
        <f t="shared" ca="1" si="0"/>
        <v>ANO</v>
      </c>
      <c r="AG10" s="121" t="s">
        <v>639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248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5 OZ, 0 (0+0), -5 ±</v>
      </c>
      <c r="AY10" s="129" t="str">
        <f t="shared" ca="1" si="2"/>
        <v>31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990</v>
      </c>
      <c r="BZ10" s="103" t="s">
        <v>987</v>
      </c>
      <c r="CA10" s="115" t="s">
        <v>208</v>
      </c>
    </row>
    <row r="11" spans="1:79" ht="15" customHeight="1" thickTop="1" thickBot="1" x14ac:dyDescent="0.25">
      <c r="R11" s="13"/>
      <c r="S11" s="110" t="s">
        <v>631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2</v>
      </c>
      <c r="AC11" s="102" t="str">
        <f t="shared" ca="1" si="0"/>
        <v>ANO</v>
      </c>
      <c r="AG11" s="121" t="s">
        <v>623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151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5 OZ, 9 (4+5), +7 ±</v>
      </c>
      <c r="AY11" s="129" t="str">
        <f t="shared" ca="1" si="2"/>
        <v>74 OZ, 70 (37+33)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967</v>
      </c>
      <c r="BZ11" s="103" t="s">
        <v>986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630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</v>
      </c>
      <c r="AB12" s="102">
        <v>-3</v>
      </c>
      <c r="AC12" s="102" t="str">
        <f t="shared" ca="1" si="0"/>
        <v>ANO</v>
      </c>
      <c r="AG12" s="121" t="s">
        <v>634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151</v>
      </c>
      <c r="AQ12" s="123">
        <v>186</v>
      </c>
      <c r="AR12" s="123">
        <v>89</v>
      </c>
      <c r="AS12" s="126" t="s">
        <v>658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5 OZ, 1 (0+1), +3 ±</v>
      </c>
      <c r="AY12" s="129" t="str">
        <f t="shared" ca="1" si="2"/>
        <v>114 OZ, 60 (34+26)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675</v>
      </c>
      <c r="BU12" s="103">
        <v>5</v>
      </c>
      <c r="BV12" s="104" t="str">
        <f t="shared" si="13"/>
        <v>Lukáš Ujhélyi</v>
      </c>
      <c r="BW12" s="102">
        <f t="shared" si="14"/>
        <v>5</v>
      </c>
      <c r="BX12" s="120" t="s">
        <v>213</v>
      </c>
      <c r="BY12" s="100" t="s">
        <v>1141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645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-5</v>
      </c>
      <c r="AC13" s="102" t="str">
        <f t="shared" ca="1" si="0"/>
        <v>ANO</v>
      </c>
      <c r="AG13" s="121" t="s">
        <v>626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151</v>
      </c>
      <c r="AQ13" s="123">
        <v>189</v>
      </c>
      <c r="AR13" s="123">
        <v>86</v>
      </c>
      <c r="AS13" s="126" t="s">
        <v>275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5 OZ, 8 (3+5), +5 ±</v>
      </c>
      <c r="AY13" s="129" t="str">
        <f t="shared" ca="1" si="2"/>
        <v>93 OZ, 91 (63+28)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1131</v>
      </c>
      <c r="BU13" s="103">
        <v>5</v>
      </c>
      <c r="BV13" s="104" t="str">
        <f t="shared" si="13"/>
        <v>Mikuláš Krbec</v>
      </c>
      <c r="BW13" s="102">
        <f t="shared" si="14"/>
        <v>5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633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-5</v>
      </c>
      <c r="AC14" s="102" t="str">
        <f t="shared" ca="1" si="0"/>
        <v>ANO</v>
      </c>
      <c r="AG14" s="121" t="s">
        <v>644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307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680</v>
      </c>
      <c r="BU14" s="103">
        <v>4</v>
      </c>
      <c r="BV14" s="104" t="str">
        <f t="shared" si="13"/>
        <v>Josef Juha</v>
      </c>
      <c r="BW14" s="102">
        <f t="shared" si="14"/>
        <v>4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634</v>
      </c>
      <c r="T15" s="102" t="s">
        <v>121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3</v>
      </c>
      <c r="AC15" s="102" t="str">
        <f t="shared" ca="1" si="0"/>
        <v>ANO</v>
      </c>
      <c r="AG15" s="121" t="s">
        <v>645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659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4 OZ, 1 (1+0), -5 ±</v>
      </c>
      <c r="AY15" s="129" t="str">
        <f t="shared" ca="1" si="2"/>
        <v>52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677</v>
      </c>
      <c r="BU15" s="103">
        <v>3</v>
      </c>
      <c r="BV15" s="104" t="str">
        <f t="shared" si="13"/>
        <v>Jakub Kolstrunk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1139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624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151</v>
      </c>
      <c r="AQ16" s="123">
        <v>189</v>
      </c>
      <c r="AR16" s="123">
        <v>87</v>
      </c>
      <c r="AS16" s="126" t="s">
        <v>660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5 OZ, 7 (5+2), +7 ±</v>
      </c>
      <c r="AY16" s="129" t="str">
        <f t="shared" ca="1" si="2"/>
        <v>104 OZ, 149 (60+89)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678</v>
      </c>
      <c r="BU16" s="103">
        <v>3</v>
      </c>
      <c r="BV16" s="104" t="str">
        <f t="shared" si="13"/>
        <v>Marek Zouzal</v>
      </c>
      <c r="BW16" s="102">
        <f t="shared" si="14"/>
        <v>3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628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638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151</v>
      </c>
      <c r="AQ17" s="123">
        <v>184</v>
      </c>
      <c r="AR17" s="123">
        <v>74</v>
      </c>
      <c r="AS17" s="126" t="s">
        <v>319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5 OZ, 3 (2+1), +9 ±</v>
      </c>
      <c r="AY17" s="129" t="str">
        <f t="shared" ca="1" si="2"/>
        <v>346 OZ, 319 (143+176)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679</v>
      </c>
      <c r="BU17" s="103">
        <v>3</v>
      </c>
      <c r="BV17" s="104" t="str">
        <f t="shared" si="13"/>
        <v>Martin Beneš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635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635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151</v>
      </c>
      <c r="AQ18" s="123">
        <v>179</v>
      </c>
      <c r="AR18" s="123">
        <v>78</v>
      </c>
      <c r="AS18" s="126" t="s">
        <v>248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3 OZ, 0 (0+0), 0 ±</v>
      </c>
      <c r="AY18" s="129" t="str">
        <f t="shared" ca="1" si="2"/>
        <v>218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927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SPA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636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-7</v>
      </c>
      <c r="AC19" s="102" t="str">
        <f t="shared" ca="1" si="0"/>
        <v>NE</v>
      </c>
      <c r="AG19" s="121" t="s">
        <v>646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639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-5</v>
      </c>
      <c r="AC20" s="102" t="str">
        <f t="shared" ca="1" si="0"/>
        <v>ANO</v>
      </c>
      <c r="AG20" s="121" t="s">
        <v>633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659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5 OZ, 1 (0+1), -5 ±</v>
      </c>
      <c r="AY20" s="129" t="str">
        <f t="shared" ca="1" si="2"/>
        <v>71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637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647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661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632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631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151</v>
      </c>
      <c r="AQ22" s="123">
        <v>191</v>
      </c>
      <c r="AR22" s="123">
        <v>87</v>
      </c>
      <c r="AS22" s="126" t="s">
        <v>662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5 OZ, 2 (2+0), +2 ±</v>
      </c>
      <c r="AY22" s="129" t="str">
        <f t="shared" ca="1" si="2"/>
        <v>149 OZ, 97 (45+52)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1132</v>
      </c>
      <c r="BU22" s="103">
        <v>5</v>
      </c>
      <c r="BV22" s="104" t="str">
        <f t="shared" si="13"/>
        <v>Jakub Kolstrunk</v>
      </c>
      <c r="BW22" s="102">
        <f t="shared" si="14"/>
        <v>5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648</v>
      </c>
      <c r="AH23" s="122"/>
      <c r="AI23" s="123"/>
      <c r="AJ23" s="123"/>
      <c r="AK23" s="123"/>
      <c r="AL23" s="124">
        <f>IF(AG23&lt;&gt;"",AJ23+AK23,"")</f>
        <v>0</v>
      </c>
      <c r="AM23" s="123" t="s">
        <v>307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676</v>
      </c>
      <c r="BU23" s="103">
        <v>5</v>
      </c>
      <c r="BV23" s="104" t="str">
        <f t="shared" si="13"/>
        <v>Josef Juha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1"/>
      <c r="AC24" s="102" t="str">
        <f t="shared" ca="1" si="0"/>
        <v/>
      </c>
      <c r="AG24" s="121" t="s">
        <v>649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663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1133</v>
      </c>
      <c r="BU24" s="103">
        <v>5</v>
      </c>
      <c r="BV24" s="104" t="str">
        <f t="shared" si="13"/>
        <v>Marek Zouzal</v>
      </c>
      <c r="BW24" s="102">
        <f t="shared" si="14"/>
        <v>5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1"/>
      <c r="AC25" s="102" t="str">
        <f t="shared" ca="1" si="0"/>
        <v/>
      </c>
      <c r="AG25" s="121" t="s">
        <v>650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151</v>
      </c>
      <c r="AQ25" s="123">
        <v>181</v>
      </c>
      <c r="AR25" s="123">
        <v>76</v>
      </c>
      <c r="AS25" s="126" t="s">
        <v>664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1134</v>
      </c>
      <c r="BU25" s="103">
        <v>4</v>
      </c>
      <c r="BV25" s="104" t="str">
        <f t="shared" si="13"/>
        <v>Lukáš Ujhélyi</v>
      </c>
      <c r="BW25" s="102">
        <f t="shared" si="14"/>
        <v>4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651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151</v>
      </c>
      <c r="AQ26" s="123">
        <v>190</v>
      </c>
      <c r="AR26" s="123">
        <v>77</v>
      </c>
      <c r="AS26" s="126" t="s">
        <v>665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1261</v>
      </c>
      <c r="BU26" s="103">
        <v>3</v>
      </c>
      <c r="BV26" s="104" t="str">
        <f t="shared" si="13"/>
        <v>Dominik Bartoš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 t="s">
        <v>640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151</v>
      </c>
      <c r="AQ27" s="123">
        <v>192</v>
      </c>
      <c r="AR27" s="123">
        <v>86</v>
      </c>
      <c r="AS27" s="126" t="s">
        <v>437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5 OZ, 3 (2+1), +7 ±</v>
      </c>
      <c r="AY27" s="129" t="str">
        <f t="shared" ca="1" si="16"/>
        <v>131 OZ, 40 (19+21)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0" t="s">
        <v>39</v>
      </c>
      <c r="BT27" s="104" t="s">
        <v>1136</v>
      </c>
      <c r="BU27" s="103">
        <v>2</v>
      </c>
      <c r="BV27" s="104" t="str">
        <f t="shared" si="13"/>
        <v>Dominik Bartoš</v>
      </c>
      <c r="BW27" s="102">
        <f t="shared" si="14"/>
        <v>2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652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666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0"/>
      <c r="BT28" s="104" t="s">
        <v>676</v>
      </c>
      <c r="BU28" s="103">
        <v>2</v>
      </c>
      <c r="BV28" s="104" t="str">
        <f t="shared" si="13"/>
        <v>Josef Juha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 t="s">
        <v>625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151</v>
      </c>
      <c r="AQ29" s="123">
        <v>173</v>
      </c>
      <c r="AR29" s="123">
        <v>64</v>
      </c>
      <c r="AS29" s="126" t="s">
        <v>248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8 (3+5), +10 ±</v>
      </c>
      <c r="AY29" s="129" t="str">
        <f t="shared" ca="1" si="16"/>
        <v>144 OZ, 144 (66+78)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0"/>
      <c r="BT29" s="104" t="s">
        <v>1137</v>
      </c>
      <c r="BU29" s="103">
        <v>2</v>
      </c>
      <c r="BV29" s="104" t="str">
        <f t="shared" si="13"/>
        <v>Kristián Kozák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SPA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0"/>
      <c r="BT30" s="104" t="s">
        <v>1134</v>
      </c>
      <c r="BU30" s="103">
        <v>2</v>
      </c>
      <c r="BV30" s="104" t="str">
        <f t="shared" si="13"/>
        <v>Lukáš Ujhélyi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1138</v>
      </c>
      <c r="BU31" s="103">
        <v>2</v>
      </c>
      <c r="BV31" s="104" t="str">
        <f t="shared" si="13"/>
        <v>Michal Pažák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637</v>
      </c>
      <c r="T45" s="102">
        <v>4</v>
      </c>
      <c r="U45" s="112">
        <v>240</v>
      </c>
      <c r="V45" s="102">
        <v>3</v>
      </c>
      <c r="W45" s="102">
        <v>19</v>
      </c>
      <c r="X45" s="102">
        <v>0</v>
      </c>
      <c r="Y45" s="102">
        <v>88</v>
      </c>
      <c r="Z45" s="102">
        <v>0</v>
      </c>
      <c r="AA45" s="102">
        <v>1</v>
      </c>
      <c r="AB45" s="102">
        <v>69</v>
      </c>
      <c r="AC45" s="102">
        <v>0</v>
      </c>
      <c r="AD45" s="102">
        <v>0</v>
      </c>
      <c r="AE45" s="112">
        <f>IF(S45&lt;&gt;"",IF(T45&gt;0,W45/(U45/60),0),"")</f>
        <v>4.75</v>
      </c>
      <c r="AF45" s="112">
        <f>IF(S45&lt;&gt;"",IF(Y45&gt;0,(AB45/Y45)*100,"-"),"")</f>
        <v>78.409090909090907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632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454</v>
      </c>
      <c r="U2" s="102">
        <v>5</v>
      </c>
      <c r="V2" s="102">
        <v>7</v>
      </c>
      <c r="W2" s="102">
        <v>1</v>
      </c>
      <c r="X2" s="102">
        <v>0</v>
      </c>
      <c r="Y2" s="102">
        <v>9</v>
      </c>
      <c r="Z2" s="102">
        <v>16</v>
      </c>
      <c r="AA2" s="102">
        <v>0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463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151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6 (4+2), +8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104 OZ, 90 (63+27)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495</v>
      </c>
      <c r="BO2" s="122">
        <v>29164</v>
      </c>
      <c r="BP2" s="131" t="s">
        <v>193</v>
      </c>
      <c r="BQ2" s="132" t="s">
        <v>496</v>
      </c>
      <c r="BR2" s="127">
        <f ca="1">IF(BN2&lt;&gt;"",IF(BO2&lt;&gt;"",INT((TODAY()-BO2)/365),"?"),"")</f>
        <v>41</v>
      </c>
      <c r="BS2" s="330" t="s">
        <v>36</v>
      </c>
      <c r="BT2" s="104" t="s">
        <v>501</v>
      </c>
      <c r="BU2" s="103">
        <v>16</v>
      </c>
      <c r="BV2" s="104" t="str">
        <f>IFERROR(RIGHT(BT2,LEN(BT2)-SEARCH(" ",BT2)),"")</f>
        <v>Marek Beneš</v>
      </c>
      <c r="BW2" s="102">
        <f>IF(BT2&lt;&gt;0,_xlfn.NUMBERVALUE(BU2,","),"")</f>
        <v>16</v>
      </c>
      <c r="BX2" s="329" t="s">
        <v>214</v>
      </c>
      <c r="BY2" s="103" t="s">
        <v>210</v>
      </c>
      <c r="BZ2" s="103" t="s">
        <v>1007</v>
      </c>
      <c r="CA2" s="115" t="s">
        <v>864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458</v>
      </c>
      <c r="U3" s="102">
        <v>5</v>
      </c>
      <c r="V3" s="102">
        <v>6</v>
      </c>
      <c r="W3" s="102">
        <v>0</v>
      </c>
      <c r="X3" s="102">
        <v>0</v>
      </c>
      <c r="Y3" s="102">
        <v>4</v>
      </c>
      <c r="Z3" s="102">
        <v>10</v>
      </c>
      <c r="AA3" s="102">
        <v>0</v>
      </c>
      <c r="AB3" s="102">
        <v>14</v>
      </c>
      <c r="AC3" s="102" t="str">
        <f t="shared" ca="1" si="0"/>
        <v>NE</v>
      </c>
      <c r="AG3" s="121" t="s">
        <v>474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486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497</v>
      </c>
      <c r="BO3" s="122">
        <v>27190</v>
      </c>
      <c r="BP3" s="131" t="s">
        <v>330</v>
      </c>
      <c r="BQ3" s="132"/>
      <c r="BR3" s="127">
        <f t="shared" ref="BR3:BR11" ca="1" si="12">IF(BN3&lt;&gt;"",IF(BO3&lt;&gt;"",INT((TODAY()-BO3)/365),"?"),"")</f>
        <v>47</v>
      </c>
      <c r="BS3" s="330"/>
      <c r="BT3" s="104" t="s">
        <v>860</v>
      </c>
      <c r="BU3" s="103">
        <v>10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10</v>
      </c>
      <c r="BX3" s="329"/>
      <c r="BY3" s="103" t="s">
        <v>266</v>
      </c>
      <c r="BZ3" s="103" t="s">
        <v>1099</v>
      </c>
      <c r="CA3" s="115" t="s">
        <v>1142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456</v>
      </c>
      <c r="U4" s="102">
        <v>5</v>
      </c>
      <c r="V4" s="102">
        <v>5</v>
      </c>
      <c r="W4" s="102">
        <v>3</v>
      </c>
      <c r="X4" s="102">
        <v>0</v>
      </c>
      <c r="Y4" s="102">
        <v>4</v>
      </c>
      <c r="Z4" s="102">
        <v>9</v>
      </c>
      <c r="AA4" s="102">
        <v>2</v>
      </c>
      <c r="AB4" s="102">
        <v>14</v>
      </c>
      <c r="AC4" s="102" t="str">
        <f t="shared" ca="1" si="0"/>
        <v>ANO</v>
      </c>
      <c r="AG4" s="121" t="s">
        <v>469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151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5 OZ, 6 (3+3), +9 ±</v>
      </c>
      <c r="AY4" s="129" t="str">
        <f t="shared" ca="1" si="2"/>
        <v>29 OZ, 51 (25+26)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498</v>
      </c>
      <c r="BO4" s="122"/>
      <c r="BP4" s="131" t="s">
        <v>194</v>
      </c>
      <c r="BQ4" s="132"/>
      <c r="BR4" s="127" t="str">
        <f t="shared" ca="1" si="12"/>
        <v>?</v>
      </c>
      <c r="BS4" s="330"/>
      <c r="BT4" s="104" t="s">
        <v>928</v>
      </c>
      <c r="BU4" s="103">
        <v>9</v>
      </c>
      <c r="BV4" s="104" t="str">
        <f t="shared" si="13"/>
        <v>Ondřej Němeček</v>
      </c>
      <c r="BW4" s="102">
        <f t="shared" si="14"/>
        <v>9</v>
      </c>
      <c r="BX4" s="329"/>
      <c r="BY4" s="103" t="s">
        <v>882</v>
      </c>
      <c r="BZ4" s="103" t="s">
        <v>1003</v>
      </c>
      <c r="CA4" s="115" t="s">
        <v>821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461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0</v>
      </c>
      <c r="AB5" s="102">
        <v>12</v>
      </c>
      <c r="AC5" s="102" t="str">
        <f t="shared" ca="1" si="0"/>
        <v>ANO</v>
      </c>
      <c r="AG5" s="121" t="s">
        <v>475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487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499</v>
      </c>
      <c r="BO5" s="122"/>
      <c r="BP5" s="131" t="s">
        <v>262</v>
      </c>
      <c r="BQ5" s="132"/>
      <c r="BR5" s="127" t="str">
        <f t="shared" ca="1" si="12"/>
        <v>?</v>
      </c>
      <c r="BS5" s="330"/>
      <c r="BT5" s="104" t="s">
        <v>1144</v>
      </c>
      <c r="BU5" s="103">
        <v>7</v>
      </c>
      <c r="BV5" s="104" t="str">
        <f t="shared" si="13"/>
        <v>Jakub Kolísko</v>
      </c>
      <c r="BW5" s="102">
        <f t="shared" si="14"/>
        <v>7</v>
      </c>
      <c r="BX5" s="329"/>
      <c r="BY5" s="103" t="s">
        <v>207</v>
      </c>
      <c r="BZ5" s="103" t="s">
        <v>1043</v>
      </c>
      <c r="CA5" s="115" t="s">
        <v>821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457</v>
      </c>
      <c r="U6" s="102">
        <v>5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2</v>
      </c>
      <c r="AB6" s="102">
        <v>-1</v>
      </c>
      <c r="AC6" s="102" t="str">
        <f t="shared" ca="1" si="0"/>
        <v>ANO</v>
      </c>
      <c r="AG6" s="121" t="s">
        <v>476</v>
      </c>
      <c r="AH6" s="122"/>
      <c r="AI6" s="123"/>
      <c r="AJ6" s="123"/>
      <c r="AK6" s="123"/>
      <c r="AL6" s="124">
        <f>IF(AG6&lt;&gt;"",AJ6+AK6,"")</f>
        <v>0</v>
      </c>
      <c r="AM6" s="123" t="s">
        <v>307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500</v>
      </c>
      <c r="BO6" s="122"/>
      <c r="BP6" s="131" t="s">
        <v>193</v>
      </c>
      <c r="BQ6" s="132"/>
      <c r="BR6" s="127" t="str">
        <f t="shared" ca="1" si="12"/>
        <v>?</v>
      </c>
      <c r="BS6" s="330"/>
      <c r="BT6" s="104" t="s">
        <v>929</v>
      </c>
      <c r="BU6" s="103">
        <v>7</v>
      </c>
      <c r="BV6" s="104" t="str">
        <f t="shared" si="13"/>
        <v>Jonáš Kreysa</v>
      </c>
      <c r="BW6" s="102">
        <f t="shared" si="14"/>
        <v>7</v>
      </c>
      <c r="BX6" s="329"/>
      <c r="BY6" s="103" t="s">
        <v>206</v>
      </c>
      <c r="BZ6" s="103" t="s">
        <v>982</v>
      </c>
      <c r="CA6" s="115" t="s">
        <v>504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463</v>
      </c>
      <c r="U7" s="102">
        <v>5</v>
      </c>
      <c r="V7" s="102">
        <v>4</v>
      </c>
      <c r="W7" s="102">
        <v>0</v>
      </c>
      <c r="X7" s="102">
        <v>0</v>
      </c>
      <c r="Y7" s="102">
        <v>2</v>
      </c>
      <c r="Z7" s="102">
        <v>6</v>
      </c>
      <c r="AA7" s="102">
        <v>2</v>
      </c>
      <c r="AB7" s="102">
        <v>8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502</v>
      </c>
      <c r="BU7" s="103" t="s">
        <v>1145</v>
      </c>
      <c r="BV7" s="104" t="str">
        <f t="shared" si="13"/>
        <v>Lukáš Kříž</v>
      </c>
      <c r="BW7" s="112">
        <f t="shared" si="14"/>
        <v>3.8</v>
      </c>
      <c r="BX7" s="329" t="s">
        <v>215</v>
      </c>
      <c r="BY7" s="103" t="s">
        <v>267</v>
      </c>
      <c r="BZ7" s="103" t="s">
        <v>983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94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469</v>
      </c>
      <c r="U8" s="102">
        <v>5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0</v>
      </c>
      <c r="AB8" s="102">
        <v>9</v>
      </c>
      <c r="AC8" s="102" t="str">
        <f t="shared" ca="1" si="0"/>
        <v>ANO</v>
      </c>
      <c r="AG8" s="121" t="s">
        <v>461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5 OZ, 7 (4+3), +12 ±</v>
      </c>
      <c r="AY8" s="129" t="str">
        <f t="shared" ca="1" si="2"/>
        <v>125 OZ, 99 (60+39)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503</v>
      </c>
      <c r="BU8" s="103" t="s">
        <v>201</v>
      </c>
      <c r="BV8" s="104" t="str">
        <f t="shared" si="13"/>
        <v>Jan Buzík</v>
      </c>
      <c r="BW8" s="112">
        <f t="shared" si="14"/>
        <v>0</v>
      </c>
      <c r="BX8" s="329"/>
      <c r="BY8" s="103" t="s">
        <v>874</v>
      </c>
      <c r="BZ8" s="103" t="s">
        <v>963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455</v>
      </c>
      <c r="T9" s="102" t="s">
        <v>121</v>
      </c>
      <c r="U9" s="102">
        <v>5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2</v>
      </c>
      <c r="AB9" s="102">
        <v>-2</v>
      </c>
      <c r="AC9" s="102" t="str">
        <f t="shared" ca="1" si="0"/>
        <v>ANO</v>
      </c>
      <c r="AG9" s="121" t="s">
        <v>477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168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V9" s="104" t="str">
        <f t="shared" si="13"/>
        <v/>
      </c>
      <c r="BW9" s="112" t="str">
        <f t="shared" si="14"/>
        <v/>
      </c>
      <c r="BX9" s="329"/>
      <c r="BY9" s="103" t="s">
        <v>989</v>
      </c>
      <c r="BZ9" s="103" t="s">
        <v>1063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459</v>
      </c>
      <c r="T10" s="102" t="s">
        <v>121</v>
      </c>
      <c r="U10" s="102">
        <v>5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2</v>
      </c>
      <c r="AB10" s="102">
        <v>3</v>
      </c>
      <c r="AC10" s="102" t="str">
        <f t="shared" ca="1" si="0"/>
        <v>ANO</v>
      </c>
      <c r="AG10" s="121" t="s">
        <v>457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151</v>
      </c>
      <c r="AQ10" s="123">
        <v>196</v>
      </c>
      <c r="AR10" s="123">
        <v>92</v>
      </c>
      <c r="AS10" s="126" t="s">
        <v>488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5 OZ, 7 (4+3), -1 ±</v>
      </c>
      <c r="AY10" s="129" t="str">
        <f t="shared" ca="1" si="2"/>
        <v>73 OZ, 60 (40+20)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V10" s="104" t="str">
        <f t="shared" si="13"/>
        <v/>
      </c>
      <c r="BW10" s="112" t="str">
        <f t="shared" si="14"/>
        <v/>
      </c>
      <c r="BX10" s="329"/>
      <c r="BY10" s="103" t="s">
        <v>965</v>
      </c>
      <c r="BZ10" s="103" t="s">
        <v>1005</v>
      </c>
      <c r="CA10" s="115" t="s">
        <v>208</v>
      </c>
    </row>
    <row r="11" spans="1:79" ht="15" customHeight="1" thickTop="1" thickBot="1" x14ac:dyDescent="0.25">
      <c r="R11" s="13"/>
      <c r="S11" s="110" t="s">
        <v>460</v>
      </c>
      <c r="T11" s="102" t="s">
        <v>64</v>
      </c>
      <c r="U11" s="102">
        <v>5</v>
      </c>
      <c r="V11" s="102">
        <v>1</v>
      </c>
      <c r="W11" s="102">
        <v>0</v>
      </c>
      <c r="X11" s="102">
        <v>1</v>
      </c>
      <c r="Y11" s="102">
        <v>2</v>
      </c>
      <c r="Z11" s="102">
        <v>3</v>
      </c>
      <c r="AA11" s="102">
        <v>0</v>
      </c>
      <c r="AB11" s="102">
        <v>12</v>
      </c>
      <c r="AC11" s="102" t="str">
        <f t="shared" ca="1" si="0"/>
        <v>ANO</v>
      </c>
      <c r="AG11" s="121" t="s">
        <v>462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489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5 V, 0 P</v>
      </c>
      <c r="AY11" s="129" t="str">
        <f t="shared" ca="1" si="2"/>
        <v>41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V11" s="104" t="str">
        <f t="shared" si="13"/>
        <v/>
      </c>
      <c r="BW11" s="112" t="str">
        <f t="shared" si="14"/>
        <v/>
      </c>
      <c r="BX11" s="329"/>
      <c r="BY11" s="103" t="s">
        <v>967</v>
      </c>
      <c r="BZ11" s="103" t="s">
        <v>988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472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4</v>
      </c>
      <c r="AB12" s="102">
        <v>-4</v>
      </c>
      <c r="AC12" s="102" t="str">
        <f t="shared" ca="1" si="0"/>
        <v>NE</v>
      </c>
      <c r="AG12" s="121" t="s">
        <v>478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151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501</v>
      </c>
      <c r="BU12" s="103">
        <v>7</v>
      </c>
      <c r="BV12" s="104" t="str">
        <f t="shared" si="13"/>
        <v>Marek Beneš</v>
      </c>
      <c r="BW12" s="102">
        <f t="shared" si="14"/>
        <v>7</v>
      </c>
      <c r="BX12" s="120" t="s">
        <v>213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473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9</v>
      </c>
      <c r="AC13" s="102" t="str">
        <f t="shared" ca="1" si="0"/>
        <v>ANO</v>
      </c>
      <c r="AG13" s="121" t="s">
        <v>459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5 OZ, 4 (3+1), +3 ±</v>
      </c>
      <c r="AY13" s="129" t="str">
        <f t="shared" ca="1" si="2"/>
        <v>143 OZ, 171 (91+80)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860</v>
      </c>
      <c r="BU13" s="103">
        <v>6</v>
      </c>
      <c r="BV13" s="104" t="str">
        <f t="shared" si="13"/>
        <v>David Šimek</v>
      </c>
      <c r="BW13" s="102">
        <f t="shared" si="14"/>
        <v>6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465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6</v>
      </c>
      <c r="AC14" s="102" t="str">
        <f t="shared" ca="1" si="0"/>
        <v>ANO</v>
      </c>
      <c r="AG14" s="121" t="s">
        <v>465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151</v>
      </c>
      <c r="AQ14" s="123">
        <v>172</v>
      </c>
      <c r="AR14" s="123">
        <v>72</v>
      </c>
      <c r="AS14" s="126" t="s">
        <v>486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5 OZ, 1 (0+1), +6 ±</v>
      </c>
      <c r="AY14" s="129" t="str">
        <f t="shared" ca="1" si="2"/>
        <v>132 OZ, 29 (12+17)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928</v>
      </c>
      <c r="BU14" s="103">
        <v>5</v>
      </c>
      <c r="BV14" s="104" t="str">
        <f t="shared" si="13"/>
        <v>Ondřej Němeček</v>
      </c>
      <c r="BW14" s="102">
        <f t="shared" si="14"/>
        <v>5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7</v>
      </c>
      <c r="AC15" s="102" t="str">
        <f t="shared" ca="1" si="0"/>
        <v>ANO</v>
      </c>
      <c r="AG15" s="121" t="s">
        <v>479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151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1144</v>
      </c>
      <c r="BU15" s="103">
        <v>4</v>
      </c>
      <c r="BV15" s="104" t="str">
        <f t="shared" si="13"/>
        <v>Jakub Kolísko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1152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456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5 OZ, 9 (5+4), +14 ±</v>
      </c>
      <c r="AY16" s="129" t="str">
        <f t="shared" ca="1" si="2"/>
        <v>78 OZ, 92 (39+53)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929</v>
      </c>
      <c r="BU16" s="103">
        <v>4</v>
      </c>
      <c r="BV16" s="104" t="str">
        <f t="shared" si="13"/>
        <v>Jonáš Kreysa</v>
      </c>
      <c r="BW16" s="102">
        <f t="shared" si="14"/>
        <v>4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1153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440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151</v>
      </c>
      <c r="AQ17" s="123">
        <v>175</v>
      </c>
      <c r="AR17" s="123">
        <v>74</v>
      </c>
      <c r="AS17" s="126" t="s">
        <v>490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502</v>
      </c>
      <c r="BU17" s="103">
        <v>5</v>
      </c>
      <c r="BV17" s="104" t="str">
        <f t="shared" si="13"/>
        <v>Lukáš Kříž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1154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460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151</v>
      </c>
      <c r="AQ18" s="123">
        <v>178</v>
      </c>
      <c r="AR18" s="123">
        <v>65</v>
      </c>
      <c r="AS18" s="126" t="s">
        <v>317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5 OZ, 3 (1+2), +12 ±</v>
      </c>
      <c r="AY18" s="129" t="str">
        <f t="shared" ca="1" si="2"/>
        <v>93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503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TAT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470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480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151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467</v>
      </c>
      <c r="T20" s="102" t="s">
        <v>121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2</v>
      </c>
      <c r="AC20" s="102" t="str">
        <f t="shared" ca="1" si="0"/>
        <v>NE</v>
      </c>
      <c r="AG20" s="121" t="s">
        <v>464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151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5 OZ, 1 (0+1), +7 ±</v>
      </c>
      <c r="AY20" s="129" t="str">
        <f t="shared" ca="1" si="2"/>
        <v>21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859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NE</v>
      </c>
      <c r="AG21" s="121" t="s">
        <v>481</v>
      </c>
      <c r="AH21" s="122"/>
      <c r="AI21" s="123"/>
      <c r="AJ21" s="123"/>
      <c r="AK21" s="123"/>
      <c r="AL21" s="124">
        <f>IF(AG21&lt;&gt;"",AJ21+AK21,"")</f>
        <v>0</v>
      </c>
      <c r="AM21" s="123" t="s">
        <v>307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468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ANO</v>
      </c>
      <c r="AG22" s="121" t="s">
        <v>482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151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501</v>
      </c>
      <c r="BU22" s="103">
        <v>9</v>
      </c>
      <c r="BV22" s="104" t="str">
        <f t="shared" si="13"/>
        <v>Marek Beneš</v>
      </c>
      <c r="BW22" s="102">
        <f t="shared" si="14"/>
        <v>9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471</v>
      </c>
      <c r="T23" s="102" t="s">
        <v>64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-2</v>
      </c>
      <c r="AC23" s="102" t="str">
        <f t="shared" ca="1" si="0"/>
        <v>ANO</v>
      </c>
      <c r="AG23" s="121" t="s">
        <v>468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151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3 OZ, 0 (0+0), +1 ±</v>
      </c>
      <c r="AY23" s="129" t="str">
        <f t="shared" ca="1" si="2"/>
        <v>61 OZ, 9 (4+5)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860</v>
      </c>
      <c r="BU23" s="103">
        <v>4</v>
      </c>
      <c r="BV23" s="104" t="str">
        <f t="shared" si="13"/>
        <v>David Šimek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0" t="s">
        <v>462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471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151</v>
      </c>
      <c r="AQ24" s="123">
        <v>179</v>
      </c>
      <c r="AR24" s="123">
        <v>80</v>
      </c>
      <c r="AS24" s="126" t="s">
        <v>491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97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1146</v>
      </c>
      <c r="BU24" s="103">
        <v>4</v>
      </c>
      <c r="BV24" s="104" t="str">
        <f t="shared" si="13"/>
        <v>Martin Šindelář</v>
      </c>
      <c r="BW24" s="102">
        <f t="shared" si="14"/>
        <v>4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0" t="s">
        <v>466</v>
      </c>
      <c r="T25" s="102" t="s">
        <v>119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455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151</v>
      </c>
      <c r="AQ25" s="123">
        <v>185</v>
      </c>
      <c r="AR25" s="123">
        <v>83</v>
      </c>
      <c r="AS25" s="126" t="s">
        <v>317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5 OZ, 6 (2+4), -2 ±</v>
      </c>
      <c r="AY25" s="129" t="str">
        <f t="shared" ca="1" si="16"/>
        <v>105 OZ, 139 (72+67)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1147</v>
      </c>
      <c r="BU25" s="103">
        <v>4</v>
      </c>
      <c r="BV25" s="104" t="str">
        <f t="shared" si="13"/>
        <v>Ondřej Němeček</v>
      </c>
      <c r="BW25" s="102">
        <f t="shared" si="14"/>
        <v>4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483</v>
      </c>
      <c r="AH26" s="122"/>
      <c r="AI26" s="123"/>
      <c r="AJ26" s="123"/>
      <c r="AK26" s="123"/>
      <c r="AL26" s="124">
        <f>IF(AG26&lt;&gt;"",AJ26+AK26,"")</f>
        <v>0</v>
      </c>
      <c r="AM26" s="123" t="s">
        <v>307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1148</v>
      </c>
      <c r="BU26" s="103">
        <v>3</v>
      </c>
      <c r="BV26" s="104" t="str">
        <f t="shared" si="13"/>
        <v>Jakub Kolísko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 t="s">
        <v>470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151</v>
      </c>
      <c r="AQ27" s="123">
        <v>185</v>
      </c>
      <c r="AR27" s="123">
        <v>90</v>
      </c>
      <c r="AS27" s="126" t="s">
        <v>492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0" t="s">
        <v>39</v>
      </c>
      <c r="BT27" s="104" t="s">
        <v>930</v>
      </c>
      <c r="BU27" s="103">
        <v>4</v>
      </c>
      <c r="BV27" s="104" t="str">
        <f t="shared" si="13"/>
        <v>Martin Čermák</v>
      </c>
      <c r="BW27" s="102">
        <f t="shared" si="14"/>
        <v>4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473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151</v>
      </c>
      <c r="AQ28" s="123">
        <v>180</v>
      </c>
      <c r="AR28" s="123">
        <v>70</v>
      </c>
      <c r="AS28" s="126" t="s">
        <v>493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 (1+0), +9 ±</v>
      </c>
      <c r="AY28" s="129" t="str">
        <f t="shared" ca="1" si="16"/>
        <v>124 OZ, 58 (26+32)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0"/>
      <c r="BT28" s="104" t="s">
        <v>1149</v>
      </c>
      <c r="BU28" s="103">
        <v>2</v>
      </c>
      <c r="BV28" s="104" t="str">
        <f t="shared" si="13"/>
        <v>Jonáš Kreysa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 t="s">
        <v>484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307</v>
      </c>
      <c r="AN29" s="123">
        <v>50</v>
      </c>
      <c r="AO29" s="125"/>
      <c r="AP29" s="125" t="s">
        <v>151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0"/>
      <c r="BT29" s="104" t="s">
        <v>1146</v>
      </c>
      <c r="BU29" s="103">
        <v>2</v>
      </c>
      <c r="BV29" s="104" t="str">
        <f t="shared" si="13"/>
        <v>Martin Šindelář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TAT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 t="s">
        <v>485</v>
      </c>
      <c r="AH30" s="122"/>
      <c r="AI30" s="123"/>
      <c r="AJ30" s="123"/>
      <c r="AK30" s="123"/>
      <c r="AL30" s="124">
        <f>IF(AG30&lt;&gt;"",AJ30+AK30,"")</f>
        <v>0</v>
      </c>
      <c r="AM30" s="123" t="s">
        <v>307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0"/>
      <c r="BT30" s="104" t="s">
        <v>1150</v>
      </c>
      <c r="BU30" s="103">
        <v>2</v>
      </c>
      <c r="BV30" s="104" t="str">
        <f t="shared" si="13"/>
        <v>Milan Meliš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351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151</v>
      </c>
      <c r="AQ31" s="123">
        <v>183</v>
      </c>
      <c r="AR31" s="123">
        <v>81</v>
      </c>
      <c r="AS31" s="126" t="s">
        <v>494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30"/>
      <c r="BT31" s="104" t="s">
        <v>1151</v>
      </c>
      <c r="BU31" s="103">
        <v>2</v>
      </c>
      <c r="BV31" s="104" t="str">
        <f t="shared" si="13"/>
        <v>Ondřej Němeček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462</v>
      </c>
      <c r="T45" s="102">
        <v>5</v>
      </c>
      <c r="U45" s="112">
        <v>300</v>
      </c>
      <c r="V45" s="102">
        <v>5</v>
      </c>
      <c r="W45" s="102">
        <v>19</v>
      </c>
      <c r="X45" s="102">
        <v>0</v>
      </c>
      <c r="Y45" s="102">
        <v>96</v>
      </c>
      <c r="Z45" s="102">
        <v>0</v>
      </c>
      <c r="AA45" s="102">
        <v>0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3.8</v>
      </c>
      <c r="AF45" s="112">
        <f>IF(S45&lt;&gt;"",IF(Y45&gt;0,(AB45/Y45)*100,"-"),"")</f>
        <v>80.208333333333343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466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2"/>
      <c r="B1" s="343"/>
      <c r="C1" s="343"/>
      <c r="D1" s="343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6" t="s">
        <v>1</v>
      </c>
      <c r="I1" s="376"/>
      <c r="J1" s="376"/>
      <c r="K1" s="376"/>
      <c r="M1" s="342"/>
      <c r="N1" s="343"/>
      <c r="O1" s="343"/>
      <c r="P1" s="343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274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211</v>
      </c>
      <c r="BY1" s="99" t="s">
        <v>51</v>
      </c>
      <c r="BZ1" s="99" t="s">
        <v>212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5" t="str">
        <f ca="1">IFERROR(IF(VLOOKUP(A1,OFFSET($AG$2,,,COUNTIF($AG$2:$AG$50,"?*"),23),2,FALSE)&lt;&gt;0,YEAR(VLOOKUP(A1,OFFSET($AG$2,,,COUNTIF($AG$2:$AG$50,"?*"),23),2,FALSE)),""),"")</f>
        <v/>
      </c>
      <c r="C2" s="336"/>
      <c r="D2" s="117" t="str">
        <f ca="1">IFERROR(VLOOKUP(A1,OFFSET($AG$2,,,COUNTIF($AG$2:$AG$50,"?*"),23),15,FALSE),"")</f>
        <v/>
      </c>
      <c r="E2" s="337" t="str">
        <f ca="1">IFERROR(VLOOKUP(A1,OFFSET($AG$2,,,COUNTIF($AG$2:$AG$50,"?*"),23),16,FALSE),"")</f>
        <v/>
      </c>
      <c r="F2" s="338"/>
      <c r="M2" s="4" t="str">
        <f ca="1">IFERROR(IF(VLOOKUP(M1,OFFSET($AG$2,,,COUNTIF($AG$2:$AG$50,"?*"),23),10,FALSE)&lt;&gt;0,VLOOKUP(M1,OFFSET($AG$2,,,COUNTIF($AG$2:$AG$50,"?*"),23),10,FALSE),""),"")</f>
        <v/>
      </c>
      <c r="N2" s="335" t="str">
        <f ca="1">IFERROR(IF(VLOOKUP(M1,OFFSET($AG$2,,,COUNTIF($AG$2:$AG$50,"?*"),23),2,FALSE)&lt;&gt;0,YEAR(VLOOKUP(M1,OFFSET($AG$2,,,COUNTIF($AG$2:$AG$50,"?*"),23),2,FALSE)),""),"")</f>
        <v/>
      </c>
      <c r="O2" s="336"/>
      <c r="P2" s="117" t="str">
        <f ca="1">IFERROR(VLOOKUP(M1,OFFSET($AG$2,,,COUNTIF($AG$2:$AG$50,"?*"),23),15,FALSE),"")</f>
        <v/>
      </c>
      <c r="Q2" s="337" t="str">
        <f ca="1">IFERROR(VLOOKUP(M1,OFFSET($AG$2,,,COUNTIF($AG$2:$AG$50,"?*"),23),16,FALSE),"")</f>
        <v/>
      </c>
      <c r="R2" s="338"/>
      <c r="S2" s="110" t="s">
        <v>340</v>
      </c>
      <c r="T2" s="102" t="s">
        <v>121</v>
      </c>
      <c r="U2" s="102">
        <v>5</v>
      </c>
      <c r="V2" s="102">
        <v>11</v>
      </c>
      <c r="W2" s="102">
        <v>2</v>
      </c>
      <c r="X2" s="102">
        <v>0</v>
      </c>
      <c r="Y2" s="102">
        <v>5</v>
      </c>
      <c r="Z2" s="102">
        <v>16</v>
      </c>
      <c r="AA2" s="102">
        <v>0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357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151</v>
      </c>
      <c r="AQ2" s="123">
        <v>179</v>
      </c>
      <c r="AR2" s="123">
        <v>76</v>
      </c>
      <c r="AS2" s="126" t="s">
        <v>370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3 (3+0),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94 (41+53)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386</v>
      </c>
      <c r="BO2" s="122">
        <v>31830</v>
      </c>
      <c r="BP2" s="131" t="s">
        <v>259</v>
      </c>
      <c r="BQ2" s="132" t="s">
        <v>387</v>
      </c>
      <c r="BR2" s="127">
        <f ca="1">IF(BN2&lt;&gt;"",IF(BO2&lt;&gt;"",INT((TODAY()-BO2)/365),"?"),"")</f>
        <v>34</v>
      </c>
      <c r="BS2" s="330" t="s">
        <v>36</v>
      </c>
      <c r="BT2" s="104" t="s">
        <v>393</v>
      </c>
      <c r="BU2" s="103">
        <v>16</v>
      </c>
      <c r="BV2" s="104" t="str">
        <f>IFERROR(RIGHT(BT2,LEN(BT2)-SEARCH(" ",BT2)),"")</f>
        <v>Adam Delong</v>
      </c>
      <c r="BW2" s="102">
        <f>IF(BT2&lt;&gt;0,_xlfn.NUMBERVALUE(BU2,","),"")</f>
        <v>16</v>
      </c>
      <c r="BX2" s="329" t="s">
        <v>214</v>
      </c>
      <c r="BY2" s="103" t="s">
        <v>210</v>
      </c>
      <c r="BZ2" s="103" t="s">
        <v>1006</v>
      </c>
      <c r="CA2" s="115" t="s">
        <v>1156</v>
      </c>
    </row>
    <row r="3" spans="1:79" ht="15" customHeight="1" thickTop="1" thickBot="1" x14ac:dyDescent="0.25">
      <c r="A3" s="371" t="str">
        <f ca="1">IFERROR(VLOOKUP(A1,OFFSET($AG$2,,,COUNTIF($AG$2:$AG$50,"?*"),23),18,FALSE),"")</f>
        <v/>
      </c>
      <c r="B3" s="372"/>
      <c r="C3" s="372"/>
      <c r="D3" s="373" t="str">
        <f ca="1">IFERROR(VLOOKUP(A1,OFFSET($AG$2,,,COUNTIF($AG$2:$AG$50,"?*"),23),19,FALSE),"")</f>
        <v/>
      </c>
      <c r="E3" s="373"/>
      <c r="F3" s="374"/>
      <c r="G3" s="342"/>
      <c r="H3" s="343"/>
      <c r="I3" s="343"/>
      <c r="J3" s="343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1" t="str">
        <f ca="1">IFERROR(VLOOKUP(M1,OFFSET($AG$2,,,COUNTIF($AG$2:$AG$50,"?*"),23),18,FALSE),"")</f>
        <v/>
      </c>
      <c r="N3" s="372"/>
      <c r="O3" s="372"/>
      <c r="P3" s="373" t="str">
        <f ca="1">IFERROR(VLOOKUP(M1,OFFSET($AG$2,,,COUNTIF($AG$2:$AG$50,"?*"),23),19,FALSE),"")</f>
        <v/>
      </c>
      <c r="Q3" s="373"/>
      <c r="R3" s="374"/>
      <c r="S3" s="110" t="s">
        <v>343</v>
      </c>
      <c r="T3" s="102" t="s">
        <v>121</v>
      </c>
      <c r="U3" s="102">
        <v>5</v>
      </c>
      <c r="V3" s="102">
        <v>5</v>
      </c>
      <c r="W3" s="102">
        <v>0</v>
      </c>
      <c r="X3" s="102">
        <v>0</v>
      </c>
      <c r="Y3" s="102">
        <v>8</v>
      </c>
      <c r="Z3" s="102">
        <v>13</v>
      </c>
      <c r="AA3" s="102">
        <v>0</v>
      </c>
      <c r="AB3" s="102">
        <v>14</v>
      </c>
      <c r="AC3" s="102" t="str">
        <f t="shared" ca="1" si="0"/>
        <v>ANO</v>
      </c>
      <c r="AG3" s="121" t="s">
        <v>347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151</v>
      </c>
      <c r="AQ3" s="123">
        <v>183</v>
      </c>
      <c r="AR3" s="123">
        <v>72</v>
      </c>
      <c r="AS3" s="126" t="s">
        <v>371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5 OZ, 9 (7+2), +7 ±</v>
      </c>
      <c r="AY3" s="129" t="str">
        <f t="shared" ca="1" si="2"/>
        <v>175 OZ, 164 (129+35)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388</v>
      </c>
      <c r="BO3" s="122">
        <v>33988</v>
      </c>
      <c r="BP3" s="131" t="s">
        <v>260</v>
      </c>
      <c r="BQ3" s="132"/>
      <c r="BR3" s="127">
        <f t="shared" ref="BR3:BR11" ca="1" si="12">IF(BN3&lt;&gt;"",IF(BO3&lt;&gt;"",INT((TODAY()-BO3)/365),"?"),"")</f>
        <v>28</v>
      </c>
      <c r="BS3" s="330"/>
      <c r="BT3" s="104" t="s">
        <v>1159</v>
      </c>
      <c r="BU3" s="103">
        <v>13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13</v>
      </c>
      <c r="BX3" s="329"/>
      <c r="BY3" s="103" t="s">
        <v>266</v>
      </c>
      <c r="BZ3" s="103" t="s">
        <v>968</v>
      </c>
      <c r="CA3" s="115" t="s">
        <v>1157</v>
      </c>
    </row>
    <row r="4" spans="1:79" ht="15" customHeight="1" thickBot="1" x14ac:dyDescent="0.25">
      <c r="A4" s="359" t="str">
        <f ca="1">IFERROR(IF(VLOOKUP(A1,OFFSET($AG$2,,,COUNTIF($AG$2:$AG$50,"?*"),23),13,FALSE)&lt;&gt;0,VLOOKUP(A1,OFFSET($AG$2,,,COUNTIF($AG$2:$AG$50,"?*"),23),13,FALSE),"?"),"")</f>
        <v/>
      </c>
      <c r="B4" s="360"/>
      <c r="C4" s="361"/>
      <c r="D4" s="362" t="str">
        <f ca="1">IFERROR(IF(VLOOKUP(A1,OFFSET($AG$2,,,COUNTIF($AG$2:$AG$50,"?*"),23),14,FALSE)&lt;&gt;0,VLOOKUP(A1,OFFSET($AG$2,,,COUNTIF($AG$2:$AG$50,"?*"),23),14,FALSE),"?"),"")</f>
        <v/>
      </c>
      <c r="E4" s="363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5" t="str">
        <f ca="1">IFERROR(IF(VLOOKUP(G3,OFFSET($AG$2,,,COUNTIF($AG$2:$AG$50,"?*"),23),2,FALSE)&lt;&gt;0,YEAR(VLOOKUP(G3,OFFSET($AG$2,,,COUNTIF($AG$2:$AG$50,"?*"),23),2,FALSE)),""),"")</f>
        <v/>
      </c>
      <c r="I4" s="336"/>
      <c r="J4" s="117" t="str">
        <f ca="1">IFERROR(VLOOKUP(G3,OFFSET($AG$2,,,COUNTIF($AG$2:$AG$50,"?*"),23),15,FALSE),"")</f>
        <v/>
      </c>
      <c r="K4" s="337" t="str">
        <f ca="1">IFERROR(VLOOKUP(G3,OFFSET($AG$2,,,COUNTIF($AG$2:$AG$50,"?*"),23),16,FALSE),"")</f>
        <v/>
      </c>
      <c r="L4" s="338"/>
      <c r="M4" s="359" t="str">
        <f ca="1">IFERROR(IF(VLOOKUP(M1,OFFSET($AG$2,,,COUNTIF($AG$2:$AG$50,"?*"),23),13,FALSE)&lt;&gt;0,VLOOKUP(M1,OFFSET($AG$2,,,COUNTIF($AG$2:$AG$50,"?*"),23),13,FALSE),"?"),"")</f>
        <v/>
      </c>
      <c r="N4" s="360"/>
      <c r="O4" s="361"/>
      <c r="P4" s="362" t="str">
        <f ca="1">IFERROR(IF(VLOOKUP(M1,OFFSET($AG$2,,,COUNTIF($AG$2:$AG$50,"?*"),23),14,FALSE)&lt;&gt;0,VLOOKUP(M1,OFFSET($AG$2,,,COUNTIF($AG$2:$AG$50,"?*"),23),14,FALSE),"?"),"")</f>
        <v/>
      </c>
      <c r="Q4" s="363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341</v>
      </c>
      <c r="T4" s="102" t="s">
        <v>121</v>
      </c>
      <c r="U4" s="102">
        <v>5</v>
      </c>
      <c r="V4" s="102">
        <v>8</v>
      </c>
      <c r="W4" s="102">
        <v>1</v>
      </c>
      <c r="X4" s="102">
        <v>0</v>
      </c>
      <c r="Y4" s="102">
        <v>4</v>
      </c>
      <c r="Z4" s="102">
        <v>12</v>
      </c>
      <c r="AA4" s="102">
        <v>2</v>
      </c>
      <c r="AB4" s="102">
        <v>11</v>
      </c>
      <c r="AC4" s="102" t="str">
        <f t="shared" ca="1" si="0"/>
        <v>ANO</v>
      </c>
      <c r="AG4" s="121" t="s">
        <v>342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151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5 OZ, 5 (4+1), +7 ±</v>
      </c>
      <c r="AY4" s="129" t="str">
        <f t="shared" ca="1" si="2"/>
        <v>69 OZ, 45 (22+23)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389</v>
      </c>
      <c r="BO4" s="122">
        <v>35289</v>
      </c>
      <c r="BP4" s="131" t="s">
        <v>390</v>
      </c>
      <c r="BQ4" s="132"/>
      <c r="BR4" s="127">
        <f t="shared" ca="1" si="12"/>
        <v>25</v>
      </c>
      <c r="BS4" s="330"/>
      <c r="BT4" s="104" t="s">
        <v>933</v>
      </c>
      <c r="BU4" s="103">
        <v>12</v>
      </c>
      <c r="BV4" s="104" t="str">
        <f t="shared" si="13"/>
        <v>Rostislav Gattnar</v>
      </c>
      <c r="BW4" s="102">
        <f t="shared" si="14"/>
        <v>12</v>
      </c>
      <c r="BX4" s="329"/>
      <c r="BY4" s="103" t="s">
        <v>882</v>
      </c>
      <c r="BZ4" s="103" t="s">
        <v>962</v>
      </c>
      <c r="CA4" s="115" t="s">
        <v>932</v>
      </c>
    </row>
    <row r="5" spans="1:79" ht="15" customHeight="1" thickTop="1" thickBot="1" x14ac:dyDescent="0.25">
      <c r="A5" s="8"/>
      <c r="B5" s="8"/>
      <c r="C5" s="8"/>
      <c r="D5" s="8"/>
      <c r="G5" s="371" t="str">
        <f ca="1">IFERROR(VLOOKUP(G3,OFFSET($AG$2,,,COUNTIF($AG$2:$AG$50,"?*"),23),18,FALSE),"")</f>
        <v/>
      </c>
      <c r="H5" s="372"/>
      <c r="I5" s="372"/>
      <c r="J5" s="373" t="str">
        <f ca="1">IFERROR(VLOOKUP(G3,OFFSET($AG$2,,,COUNTIF($AG$2:$AG$50,"?*"),23),19,FALSE),"")</f>
        <v/>
      </c>
      <c r="K5" s="373"/>
      <c r="L5" s="374"/>
      <c r="S5" s="110" t="s">
        <v>344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2</v>
      </c>
      <c r="AB5" s="102">
        <v>12</v>
      </c>
      <c r="AC5" s="102" t="str">
        <f t="shared" ca="1" si="0"/>
        <v>ANO</v>
      </c>
      <c r="AG5" s="121" t="s">
        <v>340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151</v>
      </c>
      <c r="AQ5" s="123">
        <v>183</v>
      </c>
      <c r="AR5" s="123">
        <v>75</v>
      </c>
      <c r="AS5" s="126" t="s">
        <v>372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5 OZ, 16 (11+5), +14 ±</v>
      </c>
      <c r="AY5" s="129" t="str">
        <f t="shared" ca="1" si="2"/>
        <v>146 OZ, 235 (133+102)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391</v>
      </c>
      <c r="BO5" s="122">
        <v>24331</v>
      </c>
      <c r="BP5" s="131" t="s">
        <v>390</v>
      </c>
      <c r="BQ5" s="132"/>
      <c r="BR5" s="127">
        <f t="shared" ca="1" si="12"/>
        <v>55</v>
      </c>
      <c r="BS5" s="330"/>
      <c r="BT5" s="104" t="s">
        <v>1160</v>
      </c>
      <c r="BU5" s="103">
        <v>11</v>
      </c>
      <c r="BV5" s="104" t="str">
        <f t="shared" si="13"/>
        <v>Marek Matejčík</v>
      </c>
      <c r="BW5" s="102">
        <f t="shared" si="14"/>
        <v>11</v>
      </c>
      <c r="BX5" s="329"/>
      <c r="BY5" s="103" t="s">
        <v>207</v>
      </c>
      <c r="BZ5" s="103" t="s">
        <v>1005</v>
      </c>
      <c r="CA5" s="115" t="s">
        <v>862</v>
      </c>
    </row>
    <row r="6" spans="1:79" ht="15" customHeight="1" thickTop="1" thickBot="1" x14ac:dyDescent="0.25">
      <c r="A6" s="342"/>
      <c r="B6" s="343"/>
      <c r="C6" s="343"/>
      <c r="D6" s="343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9" t="str">
        <f ca="1">IFERROR(IF(VLOOKUP(G3,OFFSET($AG$2,,,COUNTIF($AG$2:$AG$50,"?*"),23),13,FALSE)&lt;&gt;0,VLOOKUP(G3,OFFSET($AG$2,,,COUNTIF($AG$2:$AG$50,"?*"),23),13,FALSE),"?"),"")</f>
        <v/>
      </c>
      <c r="H6" s="360"/>
      <c r="I6" s="361"/>
      <c r="J6" s="362" t="str">
        <f ca="1">IFERROR(IF(VLOOKUP(G3,OFFSET($AG$2,,,COUNTIF($AG$2:$AG$50,"?*"),23),14,FALSE)&lt;&gt;0,VLOOKUP(G3,OFFSET($AG$2,,,COUNTIF($AG$2:$AG$50,"?*"),23),14,FALSE),"?"),"")</f>
        <v/>
      </c>
      <c r="K6" s="363"/>
      <c r="L6" s="7" t="str">
        <f ca="1">IFERROR(IF(VLOOKUP(G3,OFFSET($AG$2,,,COUNTIF($AG$2:$AG$50,"?*"),23),7,FALSE)&lt;&gt;0,VLOOKUP(G3,OFFSET($AG$2,,,COUNTIF($AG$2:$AG$50,"?*"),23),7,FALSE),"?"),"")</f>
        <v/>
      </c>
      <c r="M6" s="342"/>
      <c r="N6" s="343"/>
      <c r="O6" s="343"/>
      <c r="P6" s="343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347</v>
      </c>
      <c r="T6" s="102" t="s">
        <v>121</v>
      </c>
      <c r="U6" s="102">
        <v>5</v>
      </c>
      <c r="V6" s="102">
        <v>7</v>
      </c>
      <c r="W6" s="102">
        <v>0</v>
      </c>
      <c r="X6" s="102">
        <v>0</v>
      </c>
      <c r="Y6" s="102">
        <v>2</v>
      </c>
      <c r="Z6" s="102">
        <v>9</v>
      </c>
      <c r="AA6" s="102">
        <v>2</v>
      </c>
      <c r="AB6" s="102">
        <v>7</v>
      </c>
      <c r="AC6" s="102" t="str">
        <f t="shared" ca="1" si="0"/>
        <v>ANO</v>
      </c>
      <c r="AG6" s="121" t="s">
        <v>341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371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5 OZ, 12 (8+4), +11 ±</v>
      </c>
      <c r="AY6" s="129" t="str">
        <f t="shared" ca="1" si="2"/>
        <v>76 OZ, 85 (53+32)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392</v>
      </c>
      <c r="BO6" s="122">
        <v>31439</v>
      </c>
      <c r="BP6" s="131" t="s">
        <v>194</v>
      </c>
      <c r="BQ6" s="132"/>
      <c r="BR6" s="127">
        <f t="shared" ca="1" si="12"/>
        <v>35</v>
      </c>
      <c r="BS6" s="330"/>
      <c r="BT6" s="104" t="s">
        <v>397</v>
      </c>
      <c r="BU6" s="103">
        <v>9</v>
      </c>
      <c r="BV6" s="104" t="str">
        <f t="shared" si="13"/>
        <v>Marek Bräuer</v>
      </c>
      <c r="BW6" s="102">
        <f t="shared" si="14"/>
        <v>9</v>
      </c>
      <c r="BX6" s="329"/>
      <c r="BY6" s="103" t="s">
        <v>206</v>
      </c>
      <c r="BZ6" s="103" t="s">
        <v>963</v>
      </c>
      <c r="CA6" s="115" t="s">
        <v>117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5" t="str">
        <f ca="1">IFERROR(IF(VLOOKUP(A6,OFFSET($AG$2,,,COUNTIF($AG$2:$AG$50,"?*"),23),2,FALSE)&lt;&gt;0,YEAR(VLOOKUP(A6,OFFSET($AG$2,,,COUNTIF($AG$2:$AG$50,"?*"),23),2,FALSE)),""),"")</f>
        <v/>
      </c>
      <c r="C7" s="336"/>
      <c r="D7" s="117" t="str">
        <f ca="1">IFERROR(VLOOKUP(A6,OFFSET($AG$2,,,COUNTIF($AG$2:$AG$50,"?*"),23),15,FALSE),"")</f>
        <v/>
      </c>
      <c r="E7" s="337" t="str">
        <f ca="1">IFERROR(VLOOKUP(A6,OFFSET($AG$2,,,COUNTIF($AG$2:$AG$50,"?*"),23),16,FALSE),"")</f>
        <v/>
      </c>
      <c r="F7" s="338"/>
      <c r="M7" s="4" t="str">
        <f ca="1">IFERROR(IF(VLOOKUP(M6,OFFSET($AG$2,,,COUNTIF($AG$2:$AG$50,"?*"),23),10,FALSE)&lt;&gt;0,VLOOKUP(M6,OFFSET($AG$2,,,COUNTIF($AG$2:$AG$50,"?*"),23),10,FALSE),""),"")</f>
        <v/>
      </c>
      <c r="N7" s="335" t="str">
        <f ca="1">IFERROR(IF(VLOOKUP(M6,OFFSET($AG$2,,,COUNTIF($AG$2:$AG$50,"?*"),23),2,FALSE)&lt;&gt;0,YEAR(VLOOKUP(M6,OFFSET($AG$2,,,COUNTIF($AG$2:$AG$50,"?*"),23),2,FALSE)),""),"")</f>
        <v/>
      </c>
      <c r="O7" s="336"/>
      <c r="P7" s="117" t="str">
        <f ca="1">IFERROR(VLOOKUP(M6,OFFSET($AG$2,,,COUNTIF($AG$2:$AG$50,"?*"),23),15,FALSE),"")</f>
        <v/>
      </c>
      <c r="Q7" s="337" t="str">
        <f ca="1">IFERROR(VLOOKUP(M6,OFFSET($AG$2,,,COUNTIF($AG$2:$AG$50,"?*"),23),16,FALSE),"")</f>
        <v/>
      </c>
      <c r="R7" s="338"/>
      <c r="S7" s="110" t="s">
        <v>345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5</v>
      </c>
      <c r="Z7" s="102">
        <v>8</v>
      </c>
      <c r="AA7" s="102">
        <v>0</v>
      </c>
      <c r="AB7" s="102">
        <v>7</v>
      </c>
      <c r="AC7" s="102" t="str">
        <f t="shared" ca="1" si="0"/>
        <v>NE</v>
      </c>
      <c r="AG7" s="121" t="s">
        <v>359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151</v>
      </c>
      <c r="AQ7" s="123">
        <v>182</v>
      </c>
      <c r="AR7" s="123">
        <v>81</v>
      </c>
      <c r="AS7" s="126" t="s">
        <v>373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0" t="s">
        <v>40</v>
      </c>
      <c r="BT7" s="104" t="s">
        <v>395</v>
      </c>
      <c r="BU7" s="103" t="s">
        <v>1161</v>
      </c>
      <c r="BV7" s="104" t="str">
        <f t="shared" si="13"/>
        <v>Denis Jasiok</v>
      </c>
      <c r="BW7" s="112">
        <f t="shared" si="14"/>
        <v>4.0599999999999996</v>
      </c>
      <c r="BX7" s="329" t="s">
        <v>215</v>
      </c>
      <c r="BY7" s="103" t="s">
        <v>910</v>
      </c>
      <c r="BZ7" s="103" t="s">
        <v>1041</v>
      </c>
      <c r="CA7" s="115" t="s">
        <v>208</v>
      </c>
    </row>
    <row r="8" spans="1:79" ht="15" customHeight="1" x14ac:dyDescent="0.2">
      <c r="A8" s="371" t="str">
        <f ca="1">IFERROR(VLOOKUP(A6,OFFSET($AG$2,,,COUNTIF($AG$2:$AG$50,"?*"),23),18,FALSE),"")</f>
        <v/>
      </c>
      <c r="B8" s="372"/>
      <c r="C8" s="372"/>
      <c r="D8" s="373" t="str">
        <f ca="1">IFERROR(VLOOKUP(A6,OFFSET($AG$2,,,COUNTIF($AG$2:$AG$50,"?*"),23),19,FALSE),"")</f>
        <v/>
      </c>
      <c r="E8" s="373"/>
      <c r="F8" s="374"/>
      <c r="H8" s="375" t="s">
        <v>96</v>
      </c>
      <c r="I8" s="375"/>
      <c r="J8" s="375"/>
      <c r="K8" s="375"/>
      <c r="M8" s="371" t="str">
        <f ca="1">IFERROR(VLOOKUP(M6,OFFSET($AG$2,,,COUNTIF($AG$2:$AG$50,"?*"),23),18,FALSE),"")</f>
        <v/>
      </c>
      <c r="N8" s="372"/>
      <c r="O8" s="372"/>
      <c r="P8" s="373" t="str">
        <f ca="1">IFERROR(VLOOKUP(M6,OFFSET($AG$2,,,COUNTIF($AG$2:$AG$50,"?*"),23),19,FALSE),"")</f>
        <v/>
      </c>
      <c r="Q8" s="373"/>
      <c r="R8" s="374"/>
      <c r="S8" s="110" t="s">
        <v>342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1</v>
      </c>
      <c r="Z8" s="102">
        <v>5</v>
      </c>
      <c r="AA8" s="102">
        <v>0</v>
      </c>
      <c r="AB8" s="102">
        <v>7</v>
      </c>
      <c r="AC8" s="102" t="str">
        <f t="shared" ca="1" si="0"/>
        <v>ANO</v>
      </c>
      <c r="AG8" s="121" t="s">
        <v>350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151</v>
      </c>
      <c r="AQ8" s="123">
        <v>189</v>
      </c>
      <c r="AR8" s="123">
        <v>80</v>
      </c>
      <c r="AS8" s="126" t="s">
        <v>374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5 OZ, 1 (0+1), +4 ±</v>
      </c>
      <c r="AY8" s="129" t="str">
        <f t="shared" ca="1" si="2"/>
        <v>56 OZ, 15 (5+10)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0"/>
      <c r="BT8" s="104" t="s">
        <v>1162</v>
      </c>
      <c r="BU8" s="103" t="s">
        <v>201</v>
      </c>
      <c r="BV8" s="104" t="str">
        <f t="shared" si="13"/>
        <v>Michael Chalupecký</v>
      </c>
      <c r="BW8" s="112">
        <f t="shared" si="14"/>
        <v>0</v>
      </c>
      <c r="BX8" s="329"/>
      <c r="BY8" s="103" t="s">
        <v>874</v>
      </c>
      <c r="BZ8" s="103" t="s">
        <v>1040</v>
      </c>
      <c r="CA8" s="115" t="s">
        <v>208</v>
      </c>
    </row>
    <row r="9" spans="1:79" ht="15" customHeight="1" thickBot="1" x14ac:dyDescent="0.25">
      <c r="A9" s="359" t="str">
        <f ca="1">IFERROR(IF(VLOOKUP(A6,OFFSET($AG$2,,,COUNTIF($AG$2:$AG$50,"?*"),23),13,FALSE)&lt;&gt;0,VLOOKUP(A6,OFFSET($AG$2,,,COUNTIF($AG$2:$AG$50,"?*"),23),13,FALSE),"?"),"")</f>
        <v/>
      </c>
      <c r="B9" s="360"/>
      <c r="C9" s="361"/>
      <c r="D9" s="362" t="str">
        <f ca="1">IFERROR(IF(VLOOKUP(A6,OFFSET($AG$2,,,COUNTIF($AG$2:$AG$50,"?*"),23),14,FALSE)&lt;&gt;0,VLOOKUP(A6,OFFSET($AG$2,,,COUNTIF($AG$2:$AG$50,"?*"),23),14,FALSE),"?"),"")</f>
        <v/>
      </c>
      <c r="E9" s="363"/>
      <c r="F9" s="7" t="str">
        <f ca="1">IFERROR(IF(VLOOKUP(A6,OFFSET($AG$2,,,COUNTIF($AG$2:$AG$50,"?*"),23),7,FALSE)&lt;&gt;0,VLOOKUP(A6,OFFSET($AG$2,,,COUNTIF($AG$2:$AG$50,"?*"),23),7,FALSE),"?"),"")</f>
        <v/>
      </c>
      <c r="H9" s="375"/>
      <c r="I9" s="375"/>
      <c r="J9" s="375"/>
      <c r="K9" s="375"/>
      <c r="M9" s="359" t="str">
        <f ca="1">IFERROR(IF(VLOOKUP(M6,OFFSET($AG$2,,,COUNTIF($AG$2:$AG$50,"?*"),23),13,FALSE)&lt;&gt;0,VLOOKUP(M6,OFFSET($AG$2,,,COUNTIF($AG$2:$AG$50,"?*"),23),13,FALSE),"?"),"")</f>
        <v/>
      </c>
      <c r="N9" s="360"/>
      <c r="O9" s="361"/>
      <c r="P9" s="362" t="str">
        <f ca="1">IFERROR(IF(VLOOKUP(M6,OFFSET($AG$2,,,COUNTIF($AG$2:$AG$50,"?*"),23),14,FALSE)&lt;&gt;0,VLOOKUP(M6,OFFSET($AG$2,,,COUNTIF($AG$2:$AG$50,"?*"),23),14,FALSE),"?"),"")</f>
        <v/>
      </c>
      <c r="Q9" s="363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348</v>
      </c>
      <c r="T9" s="102" t="s">
        <v>64</v>
      </c>
      <c r="U9" s="102">
        <v>4</v>
      </c>
      <c r="V9" s="102">
        <v>3</v>
      </c>
      <c r="W9" s="102">
        <v>2</v>
      </c>
      <c r="X9" s="102">
        <v>0</v>
      </c>
      <c r="Y9" s="102">
        <v>2</v>
      </c>
      <c r="Z9" s="102">
        <v>5</v>
      </c>
      <c r="AA9" s="102">
        <v>0</v>
      </c>
      <c r="AB9" s="102">
        <v>9</v>
      </c>
      <c r="AC9" s="102" t="str">
        <f t="shared" ca="1" si="0"/>
        <v>ANO</v>
      </c>
      <c r="AG9" s="121" t="s">
        <v>348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371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4 OZ, 5 (3+2), +9 ±</v>
      </c>
      <c r="AY9" s="129" t="str">
        <f t="shared" ca="1" si="2"/>
        <v>194 OZ, 166 (80+86)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0"/>
      <c r="BT9" s="104" t="s">
        <v>1163</v>
      </c>
      <c r="BU9" s="103" t="s">
        <v>201</v>
      </c>
      <c r="BV9" s="104" t="str">
        <f t="shared" si="13"/>
        <v>Michal Bartoň</v>
      </c>
      <c r="BW9" s="112">
        <f t="shared" si="14"/>
        <v>0</v>
      </c>
      <c r="BX9" s="329"/>
      <c r="BY9" s="103" t="s">
        <v>965</v>
      </c>
      <c r="BZ9" s="103" t="s">
        <v>1038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346</v>
      </c>
      <c r="U10" s="102">
        <v>5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2</v>
      </c>
      <c r="AB10" s="102">
        <v>10</v>
      </c>
      <c r="AC10" s="102" t="str">
        <f t="shared" ca="1" si="0"/>
        <v>NE</v>
      </c>
      <c r="AG10" s="121" t="s">
        <v>360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151</v>
      </c>
      <c r="AQ10" s="123">
        <v>178</v>
      </c>
      <c r="AR10" s="123">
        <v>70</v>
      </c>
      <c r="AS10" s="126" t="s">
        <v>312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0"/>
      <c r="BT10" s="104" t="s">
        <v>1164</v>
      </c>
      <c r="BU10" s="103" t="s">
        <v>201</v>
      </c>
      <c r="BV10" s="104" t="str">
        <f t="shared" si="13"/>
        <v>Petr Maláč</v>
      </c>
      <c r="BW10" s="112">
        <f t="shared" si="14"/>
        <v>0</v>
      </c>
      <c r="BX10" s="329"/>
      <c r="BY10" s="103" t="s">
        <v>967</v>
      </c>
      <c r="BZ10" s="103" t="s">
        <v>1037</v>
      </c>
      <c r="CA10" s="115" t="s">
        <v>208</v>
      </c>
    </row>
    <row r="11" spans="1:79" ht="15" customHeight="1" thickTop="1" thickBot="1" x14ac:dyDescent="0.25">
      <c r="R11" s="13"/>
      <c r="S11" s="110" t="s">
        <v>351</v>
      </c>
      <c r="U11" s="102">
        <v>5</v>
      </c>
      <c r="V11" s="102">
        <v>0</v>
      </c>
      <c r="W11" s="102">
        <v>0</v>
      </c>
      <c r="X11" s="102">
        <v>0</v>
      </c>
      <c r="Y11" s="102">
        <v>4</v>
      </c>
      <c r="Z11" s="102">
        <v>4</v>
      </c>
      <c r="AA11" s="102">
        <v>0</v>
      </c>
      <c r="AB11" s="102">
        <v>10</v>
      </c>
      <c r="AC11" s="102" t="str">
        <f t="shared" ca="1" si="0"/>
        <v>NE</v>
      </c>
      <c r="AG11" s="121" t="s">
        <v>361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151</v>
      </c>
      <c r="AQ11" s="123">
        <v>193</v>
      </c>
      <c r="AR11" s="123">
        <v>89</v>
      </c>
      <c r="AS11" s="126" t="s">
        <v>375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0"/>
      <c r="BT11" s="104" t="s">
        <v>1165</v>
      </c>
      <c r="BU11" s="103" t="s">
        <v>1166</v>
      </c>
      <c r="BV11" s="104" t="str">
        <f t="shared" si="13"/>
        <v>Lukáš Souček</v>
      </c>
      <c r="BW11" s="112">
        <f t="shared" si="14"/>
        <v>3</v>
      </c>
      <c r="BX11" s="329"/>
      <c r="BY11" s="103" t="s">
        <v>1008</v>
      </c>
      <c r="BZ11" s="103" t="s">
        <v>1003</v>
      </c>
      <c r="CA11" s="115" t="s">
        <v>208</v>
      </c>
    </row>
    <row r="12" spans="1:79" ht="15" customHeight="1" thickTop="1" thickBot="1" x14ac:dyDescent="0.25">
      <c r="A12" s="342"/>
      <c r="B12" s="343"/>
      <c r="C12" s="343"/>
      <c r="D12" s="343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6" t="s">
        <v>7</v>
      </c>
      <c r="I12" s="376"/>
      <c r="J12" s="376"/>
      <c r="K12" s="376"/>
      <c r="M12" s="342"/>
      <c r="N12" s="343"/>
      <c r="O12" s="343"/>
      <c r="P12" s="343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357</v>
      </c>
      <c r="T12" s="102" t="s">
        <v>121</v>
      </c>
      <c r="U12" s="102">
        <v>5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2</v>
      </c>
      <c r="AB12" s="102">
        <v>14</v>
      </c>
      <c r="AC12" s="102" t="str">
        <f t="shared" ca="1" si="0"/>
        <v>ANO</v>
      </c>
      <c r="AG12" s="121" t="s">
        <v>354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376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3 V, 1 P</v>
      </c>
      <c r="AY12" s="129" t="str">
        <f t="shared" ca="1" si="2"/>
        <v>10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0" t="s">
        <v>37</v>
      </c>
      <c r="BT12" s="104" t="s">
        <v>393</v>
      </c>
      <c r="BU12" s="103">
        <v>11</v>
      </c>
      <c r="BV12" s="104" t="str">
        <f t="shared" si="13"/>
        <v>Adam Delong</v>
      </c>
      <c r="BW12" s="102">
        <f t="shared" si="14"/>
        <v>11</v>
      </c>
      <c r="BX12" s="120" t="s">
        <v>213</v>
      </c>
      <c r="BY12" s="100" t="s">
        <v>1158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5" t="str">
        <f ca="1">IFERROR(IF(VLOOKUP(A12,OFFSET($AG$2,,,COUNTIF($AG$2:$AG$50,"?*"),23),2,FALSE)&lt;&gt;0,YEAR(VLOOKUP(A12,OFFSET($AG$2,,,COUNTIF($AG$2:$AG$50,"?*"),23),2,FALSE)),""),"")</f>
        <v/>
      </c>
      <c r="C13" s="336"/>
      <c r="D13" s="117" t="str">
        <f ca="1">IFERROR(VLOOKUP(A12,OFFSET($AG$2,,,COUNTIF($AG$2:$AG$50,"?*"),23),15,FALSE),"")</f>
        <v/>
      </c>
      <c r="E13" s="337" t="str">
        <f ca="1">IFERROR(VLOOKUP(A12,OFFSET($AG$2,,,COUNTIF($AG$2:$AG$50,"?*"),23),16,FALSE),"")</f>
        <v/>
      </c>
      <c r="F13" s="338"/>
      <c r="M13" s="4" t="str">
        <f ca="1">IFERROR(IF(VLOOKUP(M12,OFFSET($AG$2,,,COUNTIF($AG$2:$AG$50,"?*"),23),10,FALSE)&lt;&gt;0,VLOOKUP(M12,OFFSET($AG$2,,,COUNTIF($AG$2:$AG$50,"?*"),23),10,FALSE),""),"")</f>
        <v/>
      </c>
      <c r="N13" s="335" t="str">
        <f ca="1">IFERROR(IF(VLOOKUP(M12,OFFSET($AG$2,,,COUNTIF($AG$2:$AG$50,"?*"),23),2,FALSE)&lt;&gt;0,YEAR(VLOOKUP(M12,OFFSET($AG$2,,,COUNTIF($AG$2:$AG$50,"?*"),23),2,FALSE)),""),"")</f>
        <v/>
      </c>
      <c r="O13" s="336"/>
      <c r="P13" s="117" t="str">
        <f ca="1">IFERROR(VLOOKUP(M12,OFFSET($AG$2,,,COUNTIF($AG$2:$AG$50,"?*"),23),15,FALSE),"")</f>
        <v/>
      </c>
      <c r="Q13" s="337" t="str">
        <f ca="1">IFERROR(VLOOKUP(M12,OFFSET($AG$2,,,COUNTIF($AG$2:$AG$50,"?*"),23),16,FALSE),"")</f>
        <v/>
      </c>
      <c r="R13" s="338"/>
      <c r="S13" s="110" t="s">
        <v>349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10</v>
      </c>
      <c r="AC13" s="102" t="str">
        <f t="shared" ca="1" si="0"/>
        <v>ANO</v>
      </c>
      <c r="AG13" s="121" t="s">
        <v>362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377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0"/>
      <c r="BT13" s="104" t="s">
        <v>1167</v>
      </c>
      <c r="BU13" s="103">
        <v>8</v>
      </c>
      <c r="BV13" s="104" t="str">
        <f t="shared" si="13"/>
        <v>Rostislav Gattnar</v>
      </c>
      <c r="BW13" s="102">
        <f t="shared" si="14"/>
        <v>8</v>
      </c>
    </row>
    <row r="14" spans="1:79" ht="15" customHeight="1" thickTop="1" thickBot="1" x14ac:dyDescent="0.25">
      <c r="A14" s="371" t="str">
        <f ca="1">IFERROR(VLOOKUP(A12,OFFSET($AG$2,,,COUNTIF($AG$2:$AG$50,"?*"),23),18,FALSE),"")</f>
        <v/>
      </c>
      <c r="B14" s="372"/>
      <c r="C14" s="372"/>
      <c r="D14" s="373" t="str">
        <f ca="1">IFERROR(VLOOKUP(A12,OFFSET($AG$2,,,COUNTIF($AG$2:$AG$50,"?*"),23),19,FALSE),"")</f>
        <v/>
      </c>
      <c r="E14" s="373"/>
      <c r="F14" s="374"/>
      <c r="G14" s="342"/>
      <c r="H14" s="343"/>
      <c r="I14" s="343"/>
      <c r="J14" s="343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1" t="str">
        <f ca="1">IFERROR(VLOOKUP(M12,OFFSET($AG$2,,,COUNTIF($AG$2:$AG$50,"?*"),23),18,FALSE),"")</f>
        <v/>
      </c>
      <c r="N14" s="372"/>
      <c r="O14" s="372"/>
      <c r="P14" s="373" t="str">
        <f ca="1">IFERROR(VLOOKUP(M12,OFFSET($AG$2,,,COUNTIF($AG$2:$AG$50,"?*"),23),19,FALSE),"")</f>
        <v/>
      </c>
      <c r="Q14" s="373"/>
      <c r="R14" s="374"/>
      <c r="S14" s="110" t="s">
        <v>861</v>
      </c>
      <c r="U14" s="102">
        <v>4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1</v>
      </c>
      <c r="AC14" s="102" t="str">
        <f t="shared" ca="1" si="0"/>
        <v>NE</v>
      </c>
      <c r="AG14" s="121" t="s">
        <v>358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378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5 OZ, 2 (0+2), +4 ±</v>
      </c>
      <c r="AY14" s="129" t="str">
        <f t="shared" ca="1" si="2"/>
        <v>24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0"/>
      <c r="BT14" s="104" t="s">
        <v>1168</v>
      </c>
      <c r="BU14" s="103">
        <v>7</v>
      </c>
      <c r="BV14" s="104" t="str">
        <f t="shared" si="13"/>
        <v>Marek Bräuer</v>
      </c>
      <c r="BW14" s="102">
        <f t="shared" si="14"/>
        <v>7</v>
      </c>
    </row>
    <row r="15" spans="1:79" ht="15" customHeight="1" thickBot="1" x14ac:dyDescent="0.25">
      <c r="A15" s="359" t="str">
        <f ca="1">IFERROR(IF(VLOOKUP(A12,OFFSET($AG$2,,,COUNTIF($AG$2:$AG$50,"?*"),23),13,FALSE)&lt;&gt;0,VLOOKUP(A12,OFFSET($AG$2,,,COUNTIF($AG$2:$AG$50,"?*"),23),13,FALSE),"?"),"")</f>
        <v/>
      </c>
      <c r="B15" s="360"/>
      <c r="C15" s="361"/>
      <c r="D15" s="362" t="str">
        <f ca="1">IFERROR(IF(VLOOKUP(A12,OFFSET($AG$2,,,COUNTIF($AG$2:$AG$50,"?*"),23),14,FALSE)&lt;&gt;0,VLOOKUP(A12,OFFSET($AG$2,,,COUNTIF($AG$2:$AG$50,"?*"),23),14,FALSE),"?"),"")</f>
        <v/>
      </c>
      <c r="E15" s="363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5" t="str">
        <f ca="1">IFERROR(IF(VLOOKUP(G14,OFFSET($AG$2,,,COUNTIF($AG$2:$AG$50,"?*"),23),2,FALSE)&lt;&gt;0,YEAR(VLOOKUP(G14,OFFSET($AG$2,,,COUNTIF($AG$2:$AG$50,"?*"),23),2,FALSE)),""),"")</f>
        <v/>
      </c>
      <c r="I15" s="336"/>
      <c r="J15" s="117" t="str">
        <f ca="1">IFERROR(VLOOKUP(G14,OFFSET($AG$2,,,COUNTIF($AG$2:$AG$50,"?*"),23),15,FALSE),"")</f>
        <v/>
      </c>
      <c r="K15" s="337" t="str">
        <f ca="1">IFERROR(VLOOKUP(G14,OFFSET($AG$2,,,COUNTIF($AG$2:$AG$50,"?*"),23),16,FALSE),"")</f>
        <v/>
      </c>
      <c r="L15" s="338"/>
      <c r="M15" s="359" t="str">
        <f ca="1">IFERROR(IF(VLOOKUP(M12,OFFSET($AG$2,,,COUNTIF($AG$2:$AG$50,"?*"),23),13,FALSE)&lt;&gt;0,VLOOKUP(M12,OFFSET($AG$2,,,COUNTIF($AG$2:$AG$50,"?*"),23),13,FALSE),"?"),"")</f>
        <v/>
      </c>
      <c r="N15" s="360"/>
      <c r="O15" s="361"/>
      <c r="P15" s="362" t="str">
        <f ca="1">IFERROR(IF(VLOOKUP(M12,OFFSET($AG$2,,,COUNTIF($AG$2:$AG$50,"?*"),23),14,FALSE)&lt;&gt;0,VLOOKUP(M12,OFFSET($AG$2,,,COUNTIF($AG$2:$AG$50,"?*"),23),14,FALSE),"?"),"")</f>
        <v/>
      </c>
      <c r="Q15" s="363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358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4</v>
      </c>
      <c r="AC15" s="102" t="str">
        <f t="shared" ca="1" si="0"/>
        <v>ANO</v>
      </c>
      <c r="AG15" s="121" t="s">
        <v>363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379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0"/>
      <c r="BT15" s="104" t="s">
        <v>394</v>
      </c>
      <c r="BU15" s="103">
        <v>5</v>
      </c>
      <c r="BV15" s="104" t="str">
        <f t="shared" si="13"/>
        <v>Matyáš Šindler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71" t="str">
        <f ca="1">IFERROR(VLOOKUP(G14,OFFSET($AG$2,,,COUNTIF($AG$2:$AG$50,"?*"),23),18,FALSE),"")</f>
        <v/>
      </c>
      <c r="H16" s="372"/>
      <c r="I16" s="372"/>
      <c r="J16" s="373" t="str">
        <f ca="1">IFERROR(VLOOKUP(G14,OFFSET($AG$2,,,COUNTIF($AG$2:$AG$50,"?*"),23),19,FALSE),"")</f>
        <v/>
      </c>
      <c r="K16" s="373"/>
      <c r="L16" s="374"/>
      <c r="S16" s="110" t="s">
        <v>352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1</v>
      </c>
      <c r="AC16" s="102" t="str">
        <f t="shared" ca="1" si="0"/>
        <v>ANO</v>
      </c>
      <c r="AG16" s="121" t="s">
        <v>364</v>
      </c>
      <c r="AH16" s="122"/>
      <c r="AI16" s="123"/>
      <c r="AJ16" s="123"/>
      <c r="AK16" s="123"/>
      <c r="AL16" s="124">
        <f>IF(AG16&lt;&gt;"",AJ16+AK16,"")</f>
        <v>0</v>
      </c>
      <c r="AM16" s="123" t="s">
        <v>307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0"/>
      <c r="BT16" s="104" t="s">
        <v>1169</v>
      </c>
      <c r="BU16" s="103">
        <v>4</v>
      </c>
      <c r="BV16" s="104" t="str">
        <f t="shared" si="13"/>
        <v>Filip Čonka-Skyba</v>
      </c>
      <c r="BW16" s="102">
        <f t="shared" si="14"/>
        <v>4</v>
      </c>
    </row>
    <row r="17" spans="1:75" ht="15" customHeight="1" thickTop="1" thickBot="1" x14ac:dyDescent="0.25">
      <c r="A17" s="342"/>
      <c r="B17" s="343"/>
      <c r="C17" s="343"/>
      <c r="D17" s="343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9" t="str">
        <f ca="1">IFERROR(IF(VLOOKUP(G14,OFFSET($AG$2,,,COUNTIF($AG$2:$AG$50,"?*"),23),13,FALSE)&lt;&gt;0,VLOOKUP(G14,OFFSET($AG$2,,,COUNTIF($AG$2:$AG$50,"?*"),23),13,FALSE),"?"),"")</f>
        <v/>
      </c>
      <c r="H17" s="360"/>
      <c r="I17" s="361"/>
      <c r="J17" s="362" t="str">
        <f ca="1">IFERROR(IF(VLOOKUP(G14,OFFSET($AG$2,,,COUNTIF($AG$2:$AG$50,"?*"),23),14,FALSE)&lt;&gt;0,VLOOKUP(G14,OFFSET($AG$2,,,COUNTIF($AG$2:$AG$50,"?*"),23),14,FALSE),"?"),"")</f>
        <v/>
      </c>
      <c r="K17" s="363"/>
      <c r="L17" s="7" t="str">
        <f ca="1">IFERROR(IF(VLOOKUP(G14,OFFSET($AG$2,,,COUNTIF($AG$2:$AG$50,"?*"),23),7,FALSE)&lt;&gt;0,VLOOKUP(G14,OFFSET($AG$2,,,COUNTIF($AG$2:$AG$50,"?*"),23),7,FALSE),"?"),"")</f>
        <v/>
      </c>
      <c r="M17" s="342"/>
      <c r="N17" s="343"/>
      <c r="O17" s="343"/>
      <c r="P17" s="343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350</v>
      </c>
      <c r="T17" s="102" t="s">
        <v>64</v>
      </c>
      <c r="U17" s="102">
        <v>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4</v>
      </c>
      <c r="AC17" s="102" t="str">
        <f t="shared" ca="1" si="0"/>
        <v>ANO</v>
      </c>
      <c r="AG17" s="121" t="s">
        <v>355</v>
      </c>
      <c r="AH17" s="122"/>
      <c r="AI17" s="123"/>
      <c r="AJ17" s="123"/>
      <c r="AK17" s="123"/>
      <c r="AL17" s="124">
        <f>IF(AG17&lt;&gt;"",AJ17+AK17,"")</f>
        <v>0</v>
      </c>
      <c r="AM17" s="123" t="s">
        <v>307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0" t="s">
        <v>41</v>
      </c>
      <c r="BT17" s="104" t="s">
        <v>395</v>
      </c>
      <c r="BU17" s="103">
        <v>3</v>
      </c>
      <c r="BV17" s="104" t="str">
        <f t="shared" si="13"/>
        <v>Denis Jasiok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5" t="str">
        <f ca="1">IFERROR(IF(VLOOKUP(A17,OFFSET($AG$2,,,COUNTIF($AG$2:$AG$50,"?*"),23),2,FALSE)&lt;&gt;0,YEAR(VLOOKUP(A17,OFFSET($AG$2,,,COUNTIF($AG$2:$AG$50,"?*"),23),2,FALSE)),""),"")</f>
        <v/>
      </c>
      <c r="C18" s="336"/>
      <c r="D18" s="150" t="str">
        <f ca="1">IFERROR(VLOOKUP(A17,OFFSET($AG$2,,,COUNTIF($AG$2:$AG$50,"?*"),23),15,FALSE),"")</f>
        <v/>
      </c>
      <c r="E18" s="337" t="str">
        <f ca="1">IFERROR(VLOOKUP(A17,OFFSET($AG$2,,,COUNTIF($AG$2:$AG$50,"?*"),23),16,FALSE),"")</f>
        <v/>
      </c>
      <c r="F18" s="338"/>
      <c r="M18" s="4" t="str">
        <f ca="1">IFERROR(IF(VLOOKUP(M17,OFFSET($AG$2,,,COUNTIF($AG$2:$AG$50,"?*"),23),10,FALSE)&lt;&gt;0,VLOOKUP(M17,OFFSET($AG$2,,,COUNTIF($AG$2:$AG$50,"?*"),23),10,FALSE),""),"")</f>
        <v/>
      </c>
      <c r="N18" s="335" t="str">
        <f ca="1">IFERROR(IF(VLOOKUP(M17,OFFSET($AG$2,,,COUNTIF($AG$2:$AG$50,"?*"),23),2,FALSE)&lt;&gt;0,YEAR(VLOOKUP(M17,OFFSET($AG$2,,,COUNTIF($AG$2:$AG$50,"?*"),23),2,FALSE)),""),"")</f>
        <v/>
      </c>
      <c r="O18" s="336"/>
      <c r="P18" s="117" t="str">
        <f ca="1">IFERROR(VLOOKUP(M17,OFFSET($AG$2,,,COUNTIF($AG$2:$AG$50,"?*"),23),15,FALSE),"")</f>
        <v/>
      </c>
      <c r="Q18" s="337" t="str">
        <f ca="1">IFERROR(VLOOKUP(M17,OFFSET($AG$2,,,COUNTIF($AG$2:$AG$50,"?*"),23),16,FALSE),"")</f>
        <v/>
      </c>
      <c r="R18" s="338"/>
      <c r="S18" s="110" t="s">
        <v>1155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344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151</v>
      </c>
      <c r="AQ18" s="123">
        <v>168</v>
      </c>
      <c r="AR18" s="123">
        <v>69</v>
      </c>
      <c r="AS18" s="126" t="s">
        <v>371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5 OZ, 11 (4+7), +12 ±</v>
      </c>
      <c r="AY18" s="129" t="str">
        <f t="shared" ca="1" si="2"/>
        <v>210 OZ, 242 (126+116)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0"/>
      <c r="BT18" s="104" t="s">
        <v>1170</v>
      </c>
      <c r="BU18" s="103">
        <v>1</v>
      </c>
      <c r="BV18" s="104" t="str">
        <f t="shared" si="13"/>
        <v>Lukáš Souček</v>
      </c>
      <c r="BW18" s="102">
        <f t="shared" si="14"/>
        <v>1</v>
      </c>
    </row>
    <row r="19" spans="1:75" ht="15" customHeight="1" x14ac:dyDescent="0.2">
      <c r="A19" s="371" t="str">
        <f ca="1">IFERROR(VLOOKUP(A17,OFFSET($AG$2,,,COUNTIF($AG$2:$AG$50,"?*"),23),18,FALSE),"")</f>
        <v/>
      </c>
      <c r="B19" s="372"/>
      <c r="C19" s="372"/>
      <c r="D19" s="373" t="str">
        <f ca="1">IFERROR(VLOOKUP(A17,OFFSET($AG$2,,,COUNTIF($AG$2:$AG$50,"?*"),23),19,FALSE),"")</f>
        <v/>
      </c>
      <c r="E19" s="373"/>
      <c r="F19" s="374"/>
      <c r="H19" s="375" t="str">
        <f>H$8</f>
        <v>VIT</v>
      </c>
      <c r="I19" s="375"/>
      <c r="J19" s="375"/>
      <c r="K19" s="375"/>
      <c r="M19" s="371" t="str">
        <f ca="1">IFERROR(VLOOKUP(M17,OFFSET($AG$2,,,COUNTIF($AG$2:$AG$50,"?*"),23),18,FALSE),"")</f>
        <v/>
      </c>
      <c r="N19" s="372"/>
      <c r="O19" s="372"/>
      <c r="P19" s="373" t="str">
        <f ca="1">IFERROR(VLOOKUP(M17,OFFSET($AG$2,,,COUNTIF($AG$2:$AG$50,"?*"),23),19,FALSE),"")</f>
        <v/>
      </c>
      <c r="Q19" s="373"/>
      <c r="R19" s="374"/>
      <c r="S19" s="110" t="s">
        <v>367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365</v>
      </c>
      <c r="AH19" s="122"/>
      <c r="AI19" s="123"/>
      <c r="AJ19" s="123"/>
      <c r="AK19" s="123"/>
      <c r="AL19" s="124">
        <f>IF(AG19&lt;&gt;"",AJ19+AK19,"")</f>
        <v>0</v>
      </c>
      <c r="AM19" s="123" t="s">
        <v>307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0"/>
      <c r="BT19" s="104" t="s">
        <v>1171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59" t="str">
        <f ca="1">IFERROR(IF(VLOOKUP(A17,OFFSET($AG$2,,,COUNTIF($AG$2:$AG$50,"?*"),23),13,FALSE)&lt;&gt;0,VLOOKUP(A17,OFFSET($AG$2,,,COUNTIF($AG$2:$AG$50,"?*"),23),13,FALSE),"?"),"")</f>
        <v/>
      </c>
      <c r="B20" s="360"/>
      <c r="C20" s="361"/>
      <c r="D20" s="362" t="str">
        <f ca="1">IFERROR(IF(VLOOKUP(A17,OFFSET($AG$2,,,COUNTIF($AG$2:$AG$50,"?*"),23),14,FALSE)&lt;&gt;0,VLOOKUP(A17,OFFSET($AG$2,,,COUNTIF($AG$2:$AG$50,"?*"),23),14,FALSE),"?"),"")</f>
        <v/>
      </c>
      <c r="E20" s="363"/>
      <c r="F20" s="7" t="str">
        <f ca="1">IFERROR(IF(VLOOKUP(A17,OFFSET($AG$2,,,COUNTIF($AG$2:$AG$50,"?*"),23),7,FALSE)&lt;&gt;0,VLOOKUP(A17,OFFSET($AG$2,,,COUNTIF($AG$2:$AG$50,"?*"),23),7,FALSE),"?"),"")</f>
        <v/>
      </c>
      <c r="H20" s="375"/>
      <c r="I20" s="375"/>
      <c r="J20" s="375"/>
      <c r="K20" s="375"/>
      <c r="M20" s="359" t="str">
        <f ca="1">IFERROR(IF(VLOOKUP(M17,OFFSET($AG$2,,,COUNTIF($AG$2:$AG$50,"?*"),23),13,FALSE)&lt;&gt;0,VLOOKUP(M17,OFFSET($AG$2,,,COUNTIF($AG$2:$AG$50,"?*"),23),13,FALSE),"?"),"")</f>
        <v/>
      </c>
      <c r="N20" s="360"/>
      <c r="O20" s="361"/>
      <c r="P20" s="362" t="str">
        <f ca="1">IFERROR(IF(VLOOKUP(M17,OFFSET($AG$2,,,COUNTIF($AG$2:$AG$50,"?*"),23),14,FALSE)&lt;&gt;0,VLOOKUP(M17,OFFSET($AG$2,,,COUNTIF($AG$2:$AG$50,"?*"),23),14,FALSE),"?"),"")</f>
        <v/>
      </c>
      <c r="Q20" s="363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931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353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151</v>
      </c>
      <c r="AQ20" s="123">
        <v>179</v>
      </c>
      <c r="AR20" s="123">
        <v>69</v>
      </c>
      <c r="AS20" s="126" t="s">
        <v>380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3 OZ, 0 (0+0), +5 ±</v>
      </c>
      <c r="AY20" s="129" t="str">
        <f t="shared" ca="1" si="2"/>
        <v>142 OZ, 40 (10+30)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0"/>
      <c r="BT20" s="104" t="s">
        <v>1172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356</v>
      </c>
      <c r="T21" s="102" t="s">
        <v>121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349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151</v>
      </c>
      <c r="AQ21" s="123">
        <v>186</v>
      </c>
      <c r="AR21" s="123">
        <v>70</v>
      </c>
      <c r="AS21" s="126" t="s">
        <v>381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5 OZ, 3 (1+2), +10 ±</v>
      </c>
      <c r="AY21" s="129" t="str">
        <f t="shared" ca="1" si="2"/>
        <v>47 OZ, 35 (20+15)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0"/>
      <c r="BT21" s="104" t="s">
        <v>1173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355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366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168</v>
      </c>
      <c r="AP22" s="125" t="s">
        <v>151</v>
      </c>
      <c r="AQ22" s="123">
        <v>186</v>
      </c>
      <c r="AR22" s="123">
        <v>80</v>
      </c>
      <c r="AS22" s="126" t="s">
        <v>371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0" t="s">
        <v>38</v>
      </c>
      <c r="BT22" s="104" t="s">
        <v>1174</v>
      </c>
      <c r="BU22" s="103">
        <v>8</v>
      </c>
      <c r="BV22" s="104" t="str">
        <f t="shared" si="13"/>
        <v>Matyáš Šindler</v>
      </c>
      <c r="BW22" s="102">
        <f t="shared" si="14"/>
        <v>8</v>
      </c>
    </row>
    <row r="23" spans="1:75" ht="15" customHeight="1" thickTop="1" thickBot="1" x14ac:dyDescent="0.25">
      <c r="A23" s="342"/>
      <c r="B23" s="343"/>
      <c r="C23" s="343"/>
      <c r="D23" s="343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6" t="s">
        <v>13</v>
      </c>
      <c r="I23" s="376"/>
      <c r="J23" s="376"/>
      <c r="K23" s="376"/>
      <c r="M23" s="342"/>
      <c r="N23" s="343"/>
      <c r="O23" s="343"/>
      <c r="P23" s="343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353</v>
      </c>
      <c r="T23" s="102" t="s">
        <v>64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5</v>
      </c>
      <c r="AC23" s="102" t="str">
        <f t="shared" ca="1" si="0"/>
        <v>ANO</v>
      </c>
      <c r="AG23" s="121" t="s">
        <v>367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382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1 V, 0 P</v>
      </c>
      <c r="AY23" s="129" t="str">
        <f t="shared" ca="1" si="2"/>
        <v>146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0"/>
      <c r="BT23" s="104" t="s">
        <v>863</v>
      </c>
      <c r="BU23" s="103">
        <v>7</v>
      </c>
      <c r="BV23" s="104" t="str">
        <f t="shared" si="13"/>
        <v>Marek Matejčík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5" t="str">
        <f ca="1">IFERROR(IF(VLOOKUP(A23,OFFSET($AG$2,,,COUNTIF($AG$2:$AG$50,"?*"),23),2,FALSE)&lt;&gt;0,YEAR(VLOOKUP(A23,OFFSET($AG$2,,,COUNTIF($AG$2:$AG$50,"?*"),23),2,FALSE)),""),"")</f>
        <v/>
      </c>
      <c r="C24" s="336"/>
      <c r="D24" s="117" t="str">
        <f ca="1">IFERROR(VLOOKUP(A23,OFFSET($AG$2,,,COUNTIF($AG$2:$AG$50,"?*"),23),15,FALSE),"")</f>
        <v/>
      </c>
      <c r="E24" s="337" t="str">
        <f ca="1">IFERROR(VLOOKUP(A23,OFFSET($AG$2,,,COUNTIF($AG$2:$AG$50,"?*"),23),16,FALSE),"")</f>
        <v/>
      </c>
      <c r="F24" s="338"/>
      <c r="M24" s="4" t="str">
        <f ca="1">IFERROR(IF(VLOOKUP(M23,OFFSET($AG$2,,,COUNTIF($AG$2:$AG$50,"?*"),23),10,FALSE)&lt;&gt;0,VLOOKUP(M23,OFFSET($AG$2,,,COUNTIF($AG$2:$AG$50,"?*"),23),10,FALSE),""),"")</f>
        <v/>
      </c>
      <c r="N24" s="335" t="str">
        <f ca="1">IFERROR(IF(VLOOKUP(M23,OFFSET($AG$2,,,COUNTIF($AG$2:$AG$50,"?*"),23),2,FALSE)&lt;&gt;0,YEAR(VLOOKUP(M23,OFFSET($AG$2,,,COUNTIF($AG$2:$AG$50,"?*"),23),2,FALSE)),""),"")</f>
        <v/>
      </c>
      <c r="O24" s="336"/>
      <c r="P24" s="117" t="str">
        <f ca="1">IFERROR(VLOOKUP(M23,OFFSET($AG$2,,,COUNTIF($AG$2:$AG$50,"?*"),23),15,FALSE),"")</f>
        <v/>
      </c>
      <c r="Q24" s="337" t="str">
        <f ca="1">IFERROR(VLOOKUP(M23,OFFSET($AG$2,,,COUNTIF($AG$2:$AG$50,"?*"),23),16,FALSE),"")</f>
        <v/>
      </c>
      <c r="R24" s="338"/>
      <c r="S24" s="110" t="s">
        <v>354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368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383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0"/>
      <c r="BT24" s="104" t="s">
        <v>1175</v>
      </c>
      <c r="BU24" s="103">
        <v>5</v>
      </c>
      <c r="BV24" s="104" t="str">
        <f t="shared" si="13"/>
        <v>Adam Delong</v>
      </c>
      <c r="BW24" s="102">
        <f t="shared" si="14"/>
        <v>5</v>
      </c>
    </row>
    <row r="25" spans="1:75" ht="15" customHeight="1" thickTop="1" thickBot="1" x14ac:dyDescent="0.25">
      <c r="A25" s="371" t="str">
        <f ca="1">IFERROR(VLOOKUP(A23,OFFSET($AG$2,,,COUNTIF($AG$2:$AG$50,"?*"),23),18,FALSE),"")</f>
        <v/>
      </c>
      <c r="B25" s="372"/>
      <c r="C25" s="372"/>
      <c r="D25" s="373" t="str">
        <f ca="1">IFERROR(VLOOKUP(A23,OFFSET($AG$2,,,COUNTIF($AG$2:$AG$50,"?*"),23),19,FALSE),"")</f>
        <v/>
      </c>
      <c r="E25" s="373"/>
      <c r="F25" s="374"/>
      <c r="G25" s="342"/>
      <c r="H25" s="343"/>
      <c r="I25" s="343"/>
      <c r="J25" s="343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1" t="str">
        <f ca="1">IFERROR(VLOOKUP(M23,OFFSET($AG$2,,,COUNTIF($AG$2:$AG$50,"?*"),23),18,FALSE),"")</f>
        <v/>
      </c>
      <c r="N25" s="372"/>
      <c r="O25" s="372"/>
      <c r="P25" s="373" t="str">
        <f ca="1">IFERROR(VLOOKUP(M23,OFFSET($AG$2,,,COUNTIF($AG$2:$AG$50,"?*"),23),19,FALSE),"")</f>
        <v/>
      </c>
      <c r="Q25" s="373"/>
      <c r="R25" s="374"/>
      <c r="S25" s="111"/>
      <c r="AC25" s="102" t="str">
        <f t="shared" ca="1" si="0"/>
        <v/>
      </c>
      <c r="AG25" s="121" t="s">
        <v>356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151</v>
      </c>
      <c r="AQ25" s="123">
        <v>182</v>
      </c>
      <c r="AR25" s="123">
        <v>78</v>
      </c>
      <c r="AS25" s="126" t="s">
        <v>373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1 OZ, 0 (0+0), 0 ±</v>
      </c>
      <c r="AY25" s="129" t="str">
        <f t="shared" ca="1" si="16"/>
        <v>190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0"/>
      <c r="BT25" s="104" t="s">
        <v>1176</v>
      </c>
      <c r="BU25" s="103">
        <v>5</v>
      </c>
      <c r="BV25" s="104" t="str">
        <f t="shared" si="13"/>
        <v>Adam Zubek</v>
      </c>
      <c r="BW25" s="102">
        <f t="shared" si="14"/>
        <v>5</v>
      </c>
    </row>
    <row r="26" spans="1:75" ht="15" customHeight="1" thickBot="1" x14ac:dyDescent="0.25">
      <c r="A26" s="359" t="str">
        <f ca="1">IFERROR(IF(VLOOKUP(A23,OFFSET($AG$2,,,COUNTIF($AG$2:$AG$50,"?*"),23),13,FALSE)&lt;&gt;0,VLOOKUP(A23,OFFSET($AG$2,,,COUNTIF($AG$2:$AG$50,"?*"),23),13,FALSE),"?"),"")</f>
        <v/>
      </c>
      <c r="B26" s="360"/>
      <c r="C26" s="361"/>
      <c r="D26" s="362" t="str">
        <f ca="1">IFERROR(IF(VLOOKUP(A23,OFFSET($AG$2,,,COUNTIF($AG$2:$AG$50,"?*"),23),14,FALSE)&lt;&gt;0,VLOOKUP(A23,OFFSET($AG$2,,,COUNTIF($AG$2:$AG$50,"?*"),23),14,FALSE),"?"),"")</f>
        <v/>
      </c>
      <c r="E26" s="363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5" t="str">
        <f ca="1">IFERROR(IF(VLOOKUP(G25,OFFSET($AG$2,,,COUNTIF($AG$2:$AG$50,"?*"),23),2,FALSE)&lt;&gt;0,YEAR(VLOOKUP(G25,OFFSET($AG$2,,,COUNTIF($AG$2:$AG$50,"?*"),23),2,FALSE)),""),"")</f>
        <v/>
      </c>
      <c r="I26" s="336"/>
      <c r="J26" s="117" t="str">
        <f ca="1">IFERROR(VLOOKUP(G25,OFFSET($AG$2,,,COUNTIF($AG$2:$AG$50,"?*"),23),15,FALSE),"")</f>
        <v/>
      </c>
      <c r="K26" s="337" t="str">
        <f ca="1">IFERROR(VLOOKUP(G25,OFFSET($AG$2,,,COUNTIF($AG$2:$AG$50,"?*"),23),16,FALSE),"")</f>
        <v/>
      </c>
      <c r="L26" s="338"/>
      <c r="M26" s="359" t="str">
        <f ca="1">IFERROR(IF(VLOOKUP(M23,OFFSET($AG$2,,,COUNTIF($AG$2:$AG$50,"?*"),23),13,FALSE)&lt;&gt;0,VLOOKUP(M23,OFFSET($AG$2,,,COUNTIF($AG$2:$AG$50,"?*"),23),13,FALSE),"?"),"")</f>
        <v/>
      </c>
      <c r="N26" s="360"/>
      <c r="O26" s="361"/>
      <c r="P26" s="362" t="str">
        <f ca="1">IFERROR(IF(VLOOKUP(M23,OFFSET($AG$2,,,COUNTIF($AG$2:$AG$50,"?*"),23),14,FALSE)&lt;&gt;0,VLOOKUP(M23,OFFSET($AG$2,,,COUNTIF($AG$2:$AG$50,"?*"),23),14,FALSE),"?"),"")</f>
        <v/>
      </c>
      <c r="Q26" s="363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343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151</v>
      </c>
      <c r="AQ26" s="123">
        <v>186</v>
      </c>
      <c r="AR26" s="123">
        <v>81</v>
      </c>
      <c r="AS26" s="126" t="s">
        <v>384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5 OZ, 13 (5+8), +14 ±</v>
      </c>
      <c r="AY26" s="129" t="str">
        <f t="shared" ca="1" si="16"/>
        <v>89 OZ, 134 (41+93)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0"/>
      <c r="BT26" s="104" t="s">
        <v>1177</v>
      </c>
      <c r="BU26" s="103">
        <v>4</v>
      </c>
      <c r="BV26" s="104" t="str">
        <f t="shared" si="13"/>
        <v>Ondřej Vítovec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71" t="str">
        <f ca="1">IFERROR(VLOOKUP(G25,OFFSET($AG$2,,,COUNTIF($AG$2:$AG$50,"?*"),23),18,FALSE),"")</f>
        <v/>
      </c>
      <c r="H27" s="372"/>
      <c r="I27" s="372"/>
      <c r="J27" s="373" t="str">
        <f ca="1">IFERROR(VLOOKUP(G25,OFFSET($AG$2,,,COUNTIF($AG$2:$AG$50,"?*"),23),19,FALSE),"")</f>
        <v/>
      </c>
      <c r="K27" s="373"/>
      <c r="L27" s="374"/>
      <c r="S27" s="111"/>
      <c r="AC27" s="102" t="str">
        <f t="shared" ca="1" si="0"/>
        <v/>
      </c>
      <c r="AG27" s="121" t="s">
        <v>352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151</v>
      </c>
      <c r="AQ27" s="123">
        <v>179</v>
      </c>
      <c r="AR27" s="123">
        <v>76</v>
      </c>
      <c r="AS27" s="126" t="s">
        <v>312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2 OZ, 1 (0+1), +1 ±</v>
      </c>
      <c r="AY27" s="129" t="str">
        <f t="shared" ca="1" si="16"/>
        <v>181 OZ, 119 (36+83)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0" t="s">
        <v>39</v>
      </c>
      <c r="BT27" s="104" t="s">
        <v>1178</v>
      </c>
      <c r="BU27" s="103">
        <v>2</v>
      </c>
      <c r="BV27" s="104" t="str">
        <f t="shared" si="13"/>
        <v>Jiří Besta</v>
      </c>
      <c r="BW27" s="102">
        <f t="shared" si="14"/>
        <v>2</v>
      </c>
    </row>
    <row r="28" spans="1:75" ht="15" customHeight="1" thickTop="1" thickBot="1" x14ac:dyDescent="0.25">
      <c r="A28" s="342"/>
      <c r="B28" s="343"/>
      <c r="C28" s="343"/>
      <c r="D28" s="343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9" t="str">
        <f ca="1">IFERROR(IF(VLOOKUP(G25,OFFSET($AG$2,,,COUNTIF($AG$2:$AG$50,"?*"),23),13,FALSE)&lt;&gt;0,VLOOKUP(G25,OFFSET($AG$2,,,COUNTIF($AG$2:$AG$50,"?*"),23),13,FALSE),"?"),"")</f>
        <v/>
      </c>
      <c r="H28" s="360"/>
      <c r="I28" s="361"/>
      <c r="J28" s="362" t="str">
        <f ca="1">IFERROR(IF(VLOOKUP(G25,OFFSET($AG$2,,,COUNTIF($AG$2:$AG$50,"?*"),23),14,FALSE)&lt;&gt;0,VLOOKUP(G25,OFFSET($AG$2,,,COUNTIF($AG$2:$AG$50,"?*"),23),14,FALSE),"?"),"")</f>
        <v/>
      </c>
      <c r="K28" s="363"/>
      <c r="L28" s="7" t="str">
        <f ca="1">IFERROR(IF(VLOOKUP(G25,OFFSET($AG$2,,,COUNTIF($AG$2:$AG$50,"?*"),23),7,FALSE)&lt;&gt;0,VLOOKUP(G25,OFFSET($AG$2,,,COUNTIF($AG$2:$AG$50,"?*"),23),7,FALSE),"?"),"")</f>
        <v/>
      </c>
      <c r="M28" s="342"/>
      <c r="N28" s="343"/>
      <c r="O28" s="343"/>
      <c r="P28" s="343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369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151</v>
      </c>
      <c r="AQ28" s="123"/>
      <c r="AR28" s="123"/>
      <c r="AS28" s="126" t="s">
        <v>385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0"/>
      <c r="BT28" s="104" t="s">
        <v>1179</v>
      </c>
      <c r="BU28" s="103">
        <v>2</v>
      </c>
      <c r="BV28" s="104" t="str">
        <f t="shared" si="13"/>
        <v>Marek Bräuer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5" t="str">
        <f ca="1">IFERROR(IF(VLOOKUP(A28,OFFSET($AG$2,,,COUNTIF($AG$2:$AG$50,"?*"),23),2,FALSE)&lt;&gt;0,YEAR(VLOOKUP(A28,OFFSET($AG$2,,,COUNTIF($AG$2:$AG$50,"?*"),23),2,FALSE)),""),"")</f>
        <v/>
      </c>
      <c r="C29" s="336"/>
      <c r="D29" s="117" t="str">
        <f ca="1">IFERROR(VLOOKUP(A28,OFFSET($AG$2,,,COUNTIF($AG$2:$AG$50,"?*"),23),15,FALSE),"")</f>
        <v/>
      </c>
      <c r="E29" s="337" t="str">
        <f ca="1">IFERROR(VLOOKUP(A28,OFFSET($AG$2,,,COUNTIF($AG$2:$AG$50,"?*"),23),16,FALSE),"")</f>
        <v/>
      </c>
      <c r="F29" s="338"/>
      <c r="M29" s="4" t="str">
        <f ca="1">IFERROR(IF(VLOOKUP(M28,OFFSET($AG$2,,,COUNTIF($AG$2:$AG$50,"?*"),23),10,FALSE)&lt;&gt;0,VLOOKUP(M28,OFFSET($AG$2,,,COUNTIF($AG$2:$AG$50,"?*"),23),10,FALSE),""),"")</f>
        <v/>
      </c>
      <c r="N29" s="335" t="str">
        <f ca="1">IFERROR(IF(VLOOKUP(M28,OFFSET($AG$2,,,COUNTIF($AG$2:$AG$50,"?*"),23),2,FALSE)&lt;&gt;0,YEAR(VLOOKUP(M28,OFFSET($AG$2,,,COUNTIF($AG$2:$AG$50,"?*"),23),2,FALSE)),""),"")</f>
        <v/>
      </c>
      <c r="O29" s="336"/>
      <c r="P29" s="117" t="str">
        <f ca="1">IFERROR(VLOOKUP(M28,OFFSET($AG$2,,,COUNTIF($AG$2:$AG$50,"?*"),23),15,FALSE),"")</f>
        <v/>
      </c>
      <c r="Q29" s="337" t="str">
        <f ca="1">IFERROR(VLOOKUP(M28,OFFSET($AG$2,,,COUNTIF($AG$2:$AG$50,"?*"),23),16,FALSE),"")</f>
        <v/>
      </c>
      <c r="R29" s="338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0"/>
      <c r="BT29" s="104" t="s">
        <v>1180</v>
      </c>
      <c r="BU29" s="103">
        <v>2</v>
      </c>
      <c r="BV29" s="104" t="str">
        <f t="shared" si="13"/>
        <v>Marek Matejčík</v>
      </c>
      <c r="BW29" s="102">
        <f t="shared" si="14"/>
        <v>2</v>
      </c>
    </row>
    <row r="30" spans="1:75" ht="15" customHeight="1" x14ac:dyDescent="0.2">
      <c r="A30" s="371" t="str">
        <f ca="1">IFERROR(VLOOKUP(A28,OFFSET($AG$2,,,COUNTIF($AG$2:$AG$50,"?*"),23),18,FALSE),"")</f>
        <v/>
      </c>
      <c r="B30" s="372"/>
      <c r="C30" s="372"/>
      <c r="D30" s="373" t="str">
        <f ca="1">IFERROR(VLOOKUP(A28,OFFSET($AG$2,,,COUNTIF($AG$2:$AG$50,"?*"),23),19,FALSE),"")</f>
        <v/>
      </c>
      <c r="E30" s="373"/>
      <c r="F30" s="374"/>
      <c r="H30" s="375" t="str">
        <f>H$8</f>
        <v>VIT</v>
      </c>
      <c r="I30" s="375"/>
      <c r="J30" s="375"/>
      <c r="K30" s="375"/>
      <c r="M30" s="371" t="str">
        <f ca="1">IFERROR(VLOOKUP(M28,OFFSET($AG$2,,,COUNTIF($AG$2:$AG$50,"?*"),23),18,FALSE),"")</f>
        <v/>
      </c>
      <c r="N30" s="372"/>
      <c r="O30" s="372"/>
      <c r="P30" s="373" t="str">
        <f ca="1">IFERROR(VLOOKUP(M28,OFFSET($AG$2,,,COUNTIF($AG$2:$AG$50,"?*"),23),19,FALSE),"")</f>
        <v/>
      </c>
      <c r="Q30" s="373"/>
      <c r="R30" s="374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0"/>
      <c r="BT30" s="104" t="s">
        <v>1181</v>
      </c>
      <c r="BU30" s="103">
        <v>2</v>
      </c>
      <c r="BV30" s="104" t="str">
        <f t="shared" si="13"/>
        <v>Martin Gattnar</v>
      </c>
      <c r="BW30" s="102">
        <f t="shared" si="14"/>
        <v>2</v>
      </c>
    </row>
    <row r="31" spans="1:75" ht="15" customHeight="1" thickBot="1" x14ac:dyDescent="0.25">
      <c r="A31" s="359" t="str">
        <f ca="1">IFERROR(IF(VLOOKUP(A28,OFFSET($AG$2,,,COUNTIF($AG$2:$AG$50,"?*"),23),13,FALSE)&lt;&gt;0,VLOOKUP(A28,OFFSET($AG$2,,,COUNTIF($AG$2:$AG$50,"?*"),23),13,FALSE),"?"),"")</f>
        <v/>
      </c>
      <c r="B31" s="360"/>
      <c r="C31" s="361"/>
      <c r="D31" s="362" t="str">
        <f ca="1">IFERROR(IF(VLOOKUP(A28,OFFSET($AG$2,,,COUNTIF($AG$2:$AG$50,"?*"),23),14,FALSE)&lt;&gt;0,VLOOKUP(A28,OFFSET($AG$2,,,COUNTIF($AG$2:$AG$50,"?*"),23),14,FALSE),"?"),"")</f>
        <v/>
      </c>
      <c r="E31" s="363"/>
      <c r="F31" s="7" t="str">
        <f ca="1">IFERROR(IF(VLOOKUP(A28,OFFSET($AG$2,,,COUNTIF($AG$2:$AG$50,"?*"),23),7,FALSE)&lt;&gt;0,VLOOKUP(A28,OFFSET($AG$2,,,COUNTIF($AG$2:$AG$50,"?*"),23),7,FALSE),"?"),"")</f>
        <v/>
      </c>
      <c r="H31" s="375"/>
      <c r="I31" s="375"/>
      <c r="J31" s="375"/>
      <c r="K31" s="375"/>
      <c r="M31" s="359" t="str">
        <f ca="1">IFERROR(IF(VLOOKUP(M28,OFFSET($AG$2,,,COUNTIF($AG$2:$AG$50,"?*"),23),13,FALSE)&lt;&gt;0,VLOOKUP(M28,OFFSET($AG$2,,,COUNTIF($AG$2:$AG$50,"?*"),23),13,FALSE),"?"),"")</f>
        <v/>
      </c>
      <c r="N31" s="360"/>
      <c r="O31" s="361"/>
      <c r="P31" s="362" t="str">
        <f ca="1">IFERROR(IF(VLOOKUP(M28,OFFSET($AG$2,,,COUNTIF($AG$2:$AG$50,"?*"),23),14,FALSE)&lt;&gt;0,VLOOKUP(M28,OFFSET($AG$2,,,COUNTIF($AG$2:$AG$50,"?*"),23),14,FALSE),"?"),"")</f>
        <v/>
      </c>
      <c r="Q31" s="363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0"/>
      <c r="BT31" s="104" t="s">
        <v>1182</v>
      </c>
      <c r="BU31" s="103">
        <v>2</v>
      </c>
      <c r="BV31" s="104" t="str">
        <f t="shared" si="13"/>
        <v>Rostislav Gattnar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2"/>
      <c r="B34" s="343"/>
      <c r="C34" s="343"/>
      <c r="D34" s="343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0" t="s">
        <v>16</v>
      </c>
      <c r="J34" s="342"/>
      <c r="K34" s="343"/>
      <c r="L34" s="343"/>
      <c r="M34" s="343"/>
      <c r="N34" s="343"/>
      <c r="O34" s="343"/>
      <c r="P34" s="343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5" t="str">
        <f ca="1">IFERROR(IF(VLOOKUP(A34,OFFSET($AG$2,,,COUNTIF($AG$2:$AG$50,"?*"),23),2,FALSE)&lt;&gt;0,YEAR(VLOOKUP(A34,OFFSET($AG$2,,,COUNTIF($AG$2:$AG$50,"?*"),23),2,FALSE)),""),"")</f>
        <v/>
      </c>
      <c r="C35" s="336"/>
      <c r="D35" s="117" t="str">
        <f ca="1">IFERROR(VLOOKUP(A34,OFFSET($AG$2,,,COUNTIF($AG$2:$AG$50,"?*"),23),15,FALSE),"")</f>
        <v/>
      </c>
      <c r="E35" s="337" t="str">
        <f ca="1">IFERROR(VLOOKUP(A34,OFFSET($AG$2,,,COUNTIF($AG$2:$AG$50,"?*"),23),16,FALSE),"")</f>
        <v/>
      </c>
      <c r="F35" s="338"/>
      <c r="H35" s="370"/>
      <c r="J35" s="4" t="str">
        <f ca="1">IFERROR(IF(VLOOKUP(J34,OFFSET($AG$2,,,COUNTIF($AG$2:$AG$50,"?*"),23),10,FALSE)&lt;&gt;0,VLOOKUP(J34,OFFSET($AG$2,,,COUNTIF($AG$2:$AG$50,"?*"),23),10,FALSE),""),"")</f>
        <v/>
      </c>
      <c r="K35" s="336" t="str">
        <f ca="1">IFERROR(IF(VLOOKUP(J34,OFFSET($AG$2,,,COUNTIF($AG$2:$AG$50,"?*"),23),2,FALSE)&lt;&gt;0,YEAR(VLOOKUP(J34,OFFSET($AG$2,,,COUNTIF($AG$2:$AG$50,"?*"),23),2,FALSE)),""),"")</f>
        <v/>
      </c>
      <c r="L35" s="344"/>
      <c r="M35" s="118" t="str">
        <f ca="1">IFERROR(VLOOKUP(J34,OFFSET($AG$2,,,COUNTIF($AG$2:$AG$50,"?*"),23),15,FALSE),"")</f>
        <v/>
      </c>
      <c r="N35" s="344" t="str">
        <f ca="1">IFERROR(VLOOKUP(J34,OFFSET($AG$2,,,COUNTIF($AG$2:$AG$50,"?*"),23),16,FALSE),"")</f>
        <v/>
      </c>
      <c r="O35" s="344"/>
      <c r="P35" s="344" t="str">
        <f ca="1">IFERROR(VLOOKUP(J34,OFFSET($AG$2,,,COUNTIF($AG$2:$AG$50,"?*"),23),18,FALSE),"")</f>
        <v/>
      </c>
      <c r="Q35" s="344"/>
      <c r="R35" s="345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9" t="str">
        <f ca="1">IFERROR(VLOOKUP(A34,OFFSET($AG$2,,,COUNTIF($AG$2:$AG$50,"?*"),23),18,FALSE),"")</f>
        <v/>
      </c>
      <c r="C36" s="339"/>
      <c r="D36" s="340" t="str">
        <f ca="1">IFERROR(VLOOKUP(A34,OFFSET($S$45,,,COUNTIF($S$45:$S$50,"?*"),14),5,FALSE),"")</f>
        <v/>
      </c>
      <c r="E36" s="341"/>
      <c r="F36" s="17" t="str">
        <f ca="1">IFERROR(VLOOKUP(A34,OFFSET($S$45,,,COUNTIF($S$45:$S$50,"?*"),14),14,FALSE),"")</f>
        <v/>
      </c>
      <c r="H36" s="370"/>
      <c r="J36" s="18" t="str">
        <f ca="1">IFERROR(IF(VLOOKUP(J34,OFFSET($AG$2,,,COUNTIF($AG$2:$AG$50,"?*"),23),7,FALSE)&lt;&gt;0,VLOOKUP(J34,OFFSET($AG$2,,,COUNTIF($AG$2:$AG$50,"?*"),23),7,FALSE),"?"),"")</f>
        <v/>
      </c>
      <c r="K36" s="346" t="str">
        <f ca="1">IFERROR(VLOOKUP(J34,OFFSET($AG$2,,,COUNTIF($AG$2:$AG$50,"?*"),23),19,FALSE),"")</f>
        <v/>
      </c>
      <c r="L36" s="346"/>
      <c r="M36" s="346"/>
      <c r="N36" s="347" t="str">
        <f ca="1">IFERROR(IF(VLOOKUP(J34,OFFSET($AG$2,,,COUNTIF($AG$2:$AG$50,"?*"),23),13,FALSE)&lt;&gt;0,VLOOKUP(J34,OFFSET($AG$2,,,COUNTIF($AG$2:$AG$50,"?*"),23),13,FALSE),"?"),"")</f>
        <v/>
      </c>
      <c r="O36" s="347"/>
      <c r="P36" s="347"/>
      <c r="Q36" s="346" t="str">
        <f ca="1">IFERROR(IF(VLOOKUP(J34,OFFSET($AG$2,,,COUNTIF($AG$2:$AG$50,"?*"),23),14,FALSE)&lt;&gt;0,VLOOKUP(J34,OFFSET($AG$2,,,COUNTIF($AG$2:$AG$50,"?*"),23),14,FALSE),"?"),"")</f>
        <v/>
      </c>
      <c r="R36" s="348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4" t="str">
        <f ca="1">IFERROR(VLOOKUP(A34,OFFSET($S$45,,,COUNTIF($S$45:$S$50,"?*"),14),3,FALSE),"")</f>
        <v/>
      </c>
      <c r="B37" s="365"/>
      <c r="C37" s="366" t="str">
        <f ca="1">IFERROR(VLOOKUP(A34,OFFSET($S$45,,,COUNTIF($S$45:$S$50,"?*"),14),13,FALSE),"")</f>
        <v/>
      </c>
      <c r="D37" s="367"/>
      <c r="E37" s="368" t="str">
        <f ca="1">IFERROR(VLOOKUP(A34,OFFSET($AG$2,,,COUNTIF($AG$2:$AG$50,"?*"),23),19,FALSE),"")</f>
        <v/>
      </c>
      <c r="F37" s="369"/>
      <c r="H37" s="370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9" t="str">
        <f ca="1">IFERROR(IF(VLOOKUP(A34,OFFSET($AG$2,,,COUNTIF($AG$2:$AG$50,"?*"),23),13,FALSE)&lt;&gt;0,VLOOKUP(A34,OFFSET($AG$2,,,COUNTIF($AG$2:$AG$50,"?*"),23),13,FALSE),"?"),"")</f>
        <v/>
      </c>
      <c r="B38" s="360"/>
      <c r="C38" s="361"/>
      <c r="D38" s="362" t="str">
        <f ca="1">IFERROR(IF(VLOOKUP(A34,OFFSET($AG$2,,,COUNTIF($AG$2:$AG$50,"?*"),23),14,FALSE)&lt;&gt;0,VLOOKUP(A34,OFFSET($AG$2,,,COUNTIF($AG$2:$AG$50,"?*"),23),14,FALSE),"?"),"")</f>
        <v/>
      </c>
      <c r="E38" s="363"/>
      <c r="F38" s="19" t="str">
        <f ca="1">IFERROR(VLOOKUP(A34,OFFSET($S$45,,,COUNTIF($S$45:$S$50,"?*"),14),6,FALSE),"")</f>
        <v/>
      </c>
      <c r="H38" s="370"/>
      <c r="J38" s="342"/>
      <c r="K38" s="343"/>
      <c r="L38" s="343"/>
      <c r="M38" s="343"/>
      <c r="N38" s="343"/>
      <c r="O38" s="343"/>
      <c r="P38" s="343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0"/>
      <c r="J39" s="4" t="str">
        <f ca="1">IFERROR(IF(VLOOKUP(J38,OFFSET($AG$2,,,COUNTIF($AG$2:$AG$50,"?*"),23),10,FALSE)&lt;&gt;0,VLOOKUP(J38,OFFSET($AG$2,,,COUNTIF($AG$2:$AG$50,"?*"),23),10,FALSE),""),"")</f>
        <v/>
      </c>
      <c r="K39" s="336" t="str">
        <f ca="1">IFERROR(IF(VLOOKUP(J38,OFFSET($AG$2,,,COUNTIF($AG$2:$AG$50,"?*"),23),2,FALSE)&lt;&gt;0,YEAR(VLOOKUP(J38,OFFSET($AG$2,,,COUNTIF($AG$2:$AG$50,"?*"),23),2,FALSE)),""),"")</f>
        <v/>
      </c>
      <c r="L39" s="344"/>
      <c r="M39" s="151" t="str">
        <f ca="1">IFERROR(VLOOKUP(J38,OFFSET($AG$2,,,COUNTIF($AG$2:$AG$50,"?*"),23),15,FALSE),"")</f>
        <v/>
      </c>
      <c r="N39" s="344" t="str">
        <f ca="1">IFERROR(VLOOKUP(J38,OFFSET($AG$2,,,COUNTIF($AG$2:$AG$50,"?*"),23),16,FALSE),"")</f>
        <v/>
      </c>
      <c r="O39" s="344"/>
      <c r="P39" s="344" t="str">
        <f ca="1">IFERROR(VLOOKUP(J38,OFFSET($AG$2,,,COUNTIF($AG$2:$AG$50,"?*"),23),18,FALSE),"")</f>
        <v/>
      </c>
      <c r="Q39" s="344"/>
      <c r="R39" s="345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2"/>
      <c r="B40" s="343"/>
      <c r="C40" s="343"/>
      <c r="D40" s="343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0"/>
      <c r="J40" s="18" t="str">
        <f ca="1">IFERROR(IF(VLOOKUP(J38,OFFSET($AG$2,,,COUNTIF($AG$2:$AG$50,"?*"),23),7,FALSE)&lt;&gt;0,VLOOKUP(J38,OFFSET($AG$2,,,COUNTIF($AG$2:$AG$50,"?*"),23),7,FALSE),"?"),"")</f>
        <v/>
      </c>
      <c r="K40" s="346" t="str">
        <f ca="1">IFERROR(VLOOKUP(J38,OFFSET($AG$2,,,COUNTIF($AG$2:$AG$50,"?*"),23),19,FALSE),"")</f>
        <v/>
      </c>
      <c r="L40" s="346"/>
      <c r="M40" s="346"/>
      <c r="N40" s="347" t="str">
        <f ca="1">IFERROR(IF(VLOOKUP(J38,OFFSET($AG$2,,,COUNTIF($AG$2:$AG$50,"?*"),23),13,FALSE)&lt;&gt;0,VLOOKUP(J38,OFFSET($AG$2,,,COUNTIF($AG$2:$AG$50,"?*"),23),13,FALSE),"?"),"")</f>
        <v/>
      </c>
      <c r="O40" s="347"/>
      <c r="P40" s="347"/>
      <c r="Q40" s="346" t="str">
        <f ca="1">IFERROR(IF(VLOOKUP(J38,OFFSET($AG$2,,,COUNTIF($AG$2:$AG$50,"?*"),23),14,FALSE)&lt;&gt;0,VLOOKUP(J38,OFFSET($AG$2,,,COUNTIF($AG$2:$AG$50,"?*"),23),14,FALSE),"?"),"")</f>
        <v/>
      </c>
      <c r="R40" s="348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5" t="str">
        <f ca="1">IFERROR(IF(VLOOKUP(A40,OFFSET($AG$2,,,COUNTIF($AG$2:$AG$50,"?*"),23),2,FALSE)&lt;&gt;0,YEAR(VLOOKUP(A40,OFFSET($AG$2,,,COUNTIF($AG$2:$AG$50,"?*"),23),2,FALSE)),""),"")</f>
        <v/>
      </c>
      <c r="C41" s="336"/>
      <c r="D41" s="117" t="str">
        <f ca="1">IFERROR(VLOOKUP(A40,OFFSET($AG$2,,,COUNTIF($AG$2:$AG$50,"?*"),23),15,FALSE),"")</f>
        <v/>
      </c>
      <c r="E41" s="337" t="str">
        <f ca="1">IFERROR(VLOOKUP(A40,OFFSET($AG$2,,,COUNTIF($AG$2:$AG$50,"?*"),23),16,FALSE),"")</f>
        <v/>
      </c>
      <c r="F41" s="338"/>
      <c r="H41" s="370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9" t="str">
        <f ca="1">IFERROR(VLOOKUP(A40,OFFSET($AG$2,,,COUNTIF($AG$2:$AG$50,"?*"),23),18,FALSE),"")</f>
        <v/>
      </c>
      <c r="C42" s="339"/>
      <c r="D42" s="340" t="str">
        <f ca="1">IFERROR(VLOOKUP(A40,OFFSET($S$45,,,COUNTIF($S$45:$S$50,"?*"),14),5,FALSE),"")</f>
        <v/>
      </c>
      <c r="E42" s="341"/>
      <c r="F42" s="17" t="str">
        <f ca="1">IFERROR(VLOOKUP(A40,OFFSET($S$45,,,COUNTIF($S$45:$S$50,"?*"),14),14,FALSE),"")</f>
        <v/>
      </c>
      <c r="H42" s="370"/>
      <c r="J42" s="342"/>
      <c r="K42" s="343"/>
      <c r="L42" s="343"/>
      <c r="M42" s="343"/>
      <c r="N42" s="343"/>
      <c r="O42" s="343"/>
      <c r="P42" s="343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4" t="str">
        <f ca="1">IFERROR(VLOOKUP(A40,OFFSET($S$45,,,COUNTIF($S$45:$S$50,"?*"),14),3,FALSE),"")</f>
        <v/>
      </c>
      <c r="B43" s="365"/>
      <c r="C43" s="366" t="str">
        <f ca="1">IFERROR(VLOOKUP(A40,OFFSET($S$45,,,COUNTIF($S$45:$S$50,"?*"),14),13,FALSE),"")</f>
        <v/>
      </c>
      <c r="D43" s="367"/>
      <c r="E43" s="368" t="str">
        <f ca="1">IFERROR(VLOOKUP(A40,OFFSET($AG$2,,,COUNTIF($AG$2:$AG$50,"?*"),23),19,FALSE),"")</f>
        <v/>
      </c>
      <c r="F43" s="369"/>
      <c r="H43" s="370"/>
      <c r="J43" s="4" t="str">
        <f ca="1">IFERROR(IF(VLOOKUP(J42,OFFSET($AG$2,,,COUNTIF($AG$2:$AG$50,"?*"),23),10,FALSE)&lt;&gt;0,VLOOKUP(J42,OFFSET($AG$2,,,COUNTIF($AG$2:$AG$50,"?*"),23),10,FALSE),""),"")</f>
        <v/>
      </c>
      <c r="K43" s="336" t="str">
        <f ca="1">IFERROR(IF(VLOOKUP(J42,OFFSET($AG$2,,,COUNTIF($AG$2:$AG$50,"?*"),23),2,FALSE)&lt;&gt;0,YEAR(VLOOKUP(J42,OFFSET($AG$2,,,COUNTIF($AG$2:$AG$50,"?*"),23),2,FALSE)),""),"")</f>
        <v/>
      </c>
      <c r="L43" s="344"/>
      <c r="M43" s="151" t="str">
        <f ca="1">IFERROR(VLOOKUP(J42,OFFSET($AG$2,,,COUNTIF($AG$2:$AG$50,"?*"),23),15,FALSE),"")</f>
        <v/>
      </c>
      <c r="N43" s="344" t="str">
        <f ca="1">IFERROR(VLOOKUP(J42,OFFSET($AG$2,,,COUNTIF($AG$2:$AG$50,"?*"),23),16,FALSE),"")</f>
        <v/>
      </c>
      <c r="O43" s="344"/>
      <c r="P43" s="344" t="str">
        <f ca="1">IFERROR(VLOOKUP(J42,OFFSET($AG$2,,,COUNTIF($AG$2:$AG$50,"?*"),23),18,FALSE),"")</f>
        <v/>
      </c>
      <c r="Q43" s="344"/>
      <c r="R43" s="345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9" t="str">
        <f ca="1">IFERROR(IF(VLOOKUP(A40,OFFSET($AG$2,,,COUNTIF($AG$2:$AG$50,"?*"),23),13,FALSE)&lt;&gt;0,VLOOKUP(A40,OFFSET($AG$2,,,COUNTIF($AG$2:$AG$50,"?*"),23),13,FALSE),"?"),"")</f>
        <v/>
      </c>
      <c r="B44" s="360"/>
      <c r="C44" s="361"/>
      <c r="D44" s="362" t="str">
        <f ca="1">IFERROR(IF(VLOOKUP(A40,OFFSET($AG$2,,,COUNTIF($AG$2:$AG$50,"?*"),23),14,FALSE)&lt;&gt;0,VLOOKUP(A40,OFFSET($AG$2,,,COUNTIF($AG$2:$AG$50,"?*"),23),14,FALSE),"?"),"")</f>
        <v/>
      </c>
      <c r="E44" s="363"/>
      <c r="F44" s="19" t="str">
        <f ca="1">IFERROR(VLOOKUP(A40,OFFSET($S$45,,,COUNTIF($S$45:$S$50,"?*"),14),6,FALSE),"")</f>
        <v/>
      </c>
      <c r="H44" s="370"/>
      <c r="J44" s="18" t="str">
        <f ca="1">IFERROR(IF(VLOOKUP(J42,OFFSET($AG$2,,,COUNTIF($AG$2:$AG$50,"?*"),23),7,FALSE)&lt;&gt;0,VLOOKUP(J42,OFFSET($AG$2,,,COUNTIF($AG$2:$AG$50,"?*"),23),7,FALSE),"?"),"")</f>
        <v/>
      </c>
      <c r="K44" s="346" t="str">
        <f ca="1">IFERROR(VLOOKUP(J42,OFFSET($AG$2,,,COUNTIF($AG$2:$AG$50,"?*"),23),19,FALSE),"")</f>
        <v/>
      </c>
      <c r="L44" s="346"/>
      <c r="M44" s="346"/>
      <c r="N44" s="347" t="str">
        <f ca="1">IFERROR(IF(VLOOKUP(J42,OFFSET($AG$2,,,COUNTIF($AG$2:$AG$50,"?*"),23),13,FALSE)&lt;&gt;0,VLOOKUP(J42,OFFSET($AG$2,,,COUNTIF($AG$2:$AG$50,"?*"),23),13,FALSE),"?"),"")</f>
        <v/>
      </c>
      <c r="O44" s="347"/>
      <c r="P44" s="347"/>
      <c r="Q44" s="346" t="str">
        <f ca="1">IFERROR(IF(VLOOKUP(J42,OFFSET($AG$2,,,COUNTIF($AG$2:$AG$50,"?*"),23),14,FALSE)&lt;&gt;0,VLOOKUP(J42,OFFSET($AG$2,,,COUNTIF($AG$2:$AG$50,"?*"),23),14,FALSE),"?"),"")</f>
        <v/>
      </c>
      <c r="R44" s="348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354</v>
      </c>
      <c r="T45" s="102">
        <v>4</v>
      </c>
      <c r="U45" s="112">
        <v>236.5</v>
      </c>
      <c r="V45" s="102">
        <v>3</v>
      </c>
      <c r="W45" s="102">
        <v>16</v>
      </c>
      <c r="X45" s="102">
        <v>0</v>
      </c>
      <c r="Y45" s="102">
        <v>81</v>
      </c>
      <c r="Z45" s="102">
        <v>0</v>
      </c>
      <c r="AA45" s="102">
        <v>1</v>
      </c>
      <c r="AB45" s="102">
        <v>65</v>
      </c>
      <c r="AC45" s="102">
        <v>0</v>
      </c>
      <c r="AD45" s="102">
        <v>0</v>
      </c>
      <c r="AE45" s="112">
        <f>IF(S45&lt;&gt;"",IF(T45&gt;0,W45/(U45/60),0),"")</f>
        <v>4.059196617336152</v>
      </c>
      <c r="AF45" s="112">
        <f>IF(S45&lt;&gt;"",IF(Y45&gt;0,(AB45/Y45)*100,"-"),"")</f>
        <v>80.246913580246911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367</v>
      </c>
      <c r="T46" s="102">
        <v>1</v>
      </c>
      <c r="U46" s="112">
        <v>60</v>
      </c>
      <c r="V46" s="102">
        <v>1</v>
      </c>
      <c r="W46" s="102">
        <v>3</v>
      </c>
      <c r="X46" s="102">
        <v>0</v>
      </c>
      <c r="Y46" s="102">
        <v>16</v>
      </c>
      <c r="Z46" s="102">
        <v>0</v>
      </c>
      <c r="AA46" s="102">
        <v>0</v>
      </c>
      <c r="AB46" s="102">
        <v>13</v>
      </c>
      <c r="AC46" s="102">
        <v>0</v>
      </c>
      <c r="AD46" s="102">
        <v>0</v>
      </c>
      <c r="AE46" s="112">
        <f t="shared" ref="AE46:AE50" si="23">IF(S46&lt;&gt;"",IF(T46&gt;0,W46/(U46/60),0),"")</f>
        <v>3</v>
      </c>
      <c r="AF46" s="112">
        <f t="shared" ref="AF46:AF50" si="24">IF(S46&lt;&gt;"",IF(Y46&gt;0,(AB46/Y46)*100,"-"),"")</f>
        <v>81.25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1"/>
      <c r="B47" s="332"/>
      <c r="C47" s="332"/>
      <c r="D47" s="332"/>
      <c r="E47" s="333" t="str">
        <f ca="1">IFERROR(VLOOKUP(A47,OFFSET($BN$2,,,COUNTIF($BN$2:$BN$11,"?*"),5),3,FALSE),"")</f>
        <v/>
      </c>
      <c r="F47" s="333"/>
      <c r="G47" s="333"/>
      <c r="H47" s="333"/>
      <c r="I47" s="334"/>
      <c r="J47" s="331"/>
      <c r="K47" s="332"/>
      <c r="L47" s="332"/>
      <c r="M47" s="332"/>
      <c r="N47" s="333" t="str">
        <f ca="1">IFERROR(VLOOKUP(J47,OFFSET($BN$2,,,COUNTIF($BN$2:$BN$11,"?*"),5),3,FALSE),"")</f>
        <v/>
      </c>
      <c r="O47" s="333"/>
      <c r="P47" s="333"/>
      <c r="Q47" s="333"/>
      <c r="R47" s="334"/>
      <c r="S47" s="111" t="s">
        <v>355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9" t="str">
        <f ca="1">IFERROR(VLOOKUP(A47,OFFSET($BN$2,,,COUNTIF($BN$2:$BN$11,"?*"),5),5,FALSE),"")</f>
        <v/>
      </c>
      <c r="B48" s="351" t="str">
        <f ca="1">IFERROR(IF(VLOOKUP(A47,OFFSET($BN$2,,,COUNTIF($BN$2:$BN$11,"?*"),5),4,FALSE)&lt;&gt;0,VLOOKUP(A47,OFFSET($BN$2,,,COUNTIF($BN$2:$BN$11,"?*"),5),4,FALSE),"-"),"")</f>
        <v/>
      </c>
      <c r="C48" s="351"/>
      <c r="D48" s="351"/>
      <c r="E48" s="351"/>
      <c r="F48" s="351"/>
      <c r="G48" s="351"/>
      <c r="H48" s="351"/>
      <c r="I48" s="352"/>
      <c r="J48" s="119" t="str">
        <f ca="1">IFERROR(VLOOKUP(J47,OFFSET($BN$2,,,COUNTIF($BN$2:$BN$11,"?*"),5),5,FALSE),"")</f>
        <v/>
      </c>
      <c r="K48" s="355" t="str">
        <f ca="1">IFERROR(IF(VLOOKUP(J47,OFFSET($BN$2,,,COUNTIF($BN$2:$BN$11,"?*"),5),4,FALSE)&lt;&gt;0,VLOOKUP(J47,OFFSET($BN$2,,,COUNTIF($BN$2:$BN$11,"?*"),5),4,FALSE),"-"),"")</f>
        <v/>
      </c>
      <c r="L48" s="355"/>
      <c r="M48" s="355"/>
      <c r="N48" s="355"/>
      <c r="O48" s="355"/>
      <c r="P48" s="355"/>
      <c r="Q48" s="355"/>
      <c r="R48" s="356"/>
      <c r="S48" s="111" t="s">
        <v>931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9"/>
      <c r="B49" s="351"/>
      <c r="C49" s="351"/>
      <c r="D49" s="351"/>
      <c r="E49" s="351"/>
      <c r="F49" s="351"/>
      <c r="G49" s="351"/>
      <c r="H49" s="351"/>
      <c r="I49" s="352"/>
      <c r="J49" s="357"/>
      <c r="K49" s="358"/>
      <c r="L49" s="358"/>
      <c r="M49" s="358"/>
      <c r="N49" s="333" t="str">
        <f ca="1">IFERROR(VLOOKUP(J49,OFFSET($BN$2,,,COUNTIF($BN$2:$BN$11,"?*"),5),3,FALSE),"")</f>
        <v/>
      </c>
      <c r="O49" s="333"/>
      <c r="P49" s="333"/>
      <c r="Q49" s="333"/>
      <c r="R49" s="334"/>
      <c r="S49" s="111" t="s">
        <v>1155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0"/>
      <c r="B50" s="353"/>
      <c r="C50" s="353"/>
      <c r="D50" s="353"/>
      <c r="E50" s="353"/>
      <c r="F50" s="353"/>
      <c r="G50" s="353"/>
      <c r="H50" s="353"/>
      <c r="I50" s="354"/>
      <c r="J50" s="119" t="str">
        <f ca="1">IFERROR(VLOOKUP(J49,OFFSET($BN$2,,,COUNTIF($BN$2:$BN$11,"?*"),5),5,FALSE),"")</f>
        <v/>
      </c>
      <c r="K50" s="355" t="str">
        <f ca="1">IFERROR(IF(VLOOKUP(J49,OFFSET($BN$2,,,COUNTIF($BN$2:$BN$11,"?*"),5),4,FALSE)&lt;&gt;0,VLOOKUP(J49,OFFSET($BN$2,,,COUNTIF($BN$2:$BN$11,"?*"),5),4,FALSE),"-"),"")</f>
        <v/>
      </c>
      <c r="L50" s="355"/>
      <c r="M50" s="355"/>
      <c r="N50" s="355"/>
      <c r="O50" s="355"/>
      <c r="P50" s="355"/>
      <c r="Q50" s="355"/>
      <c r="R50" s="356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2021-10-02T11:06:36Z</cp:lastPrinted>
  <dcterms:created xsi:type="dcterms:W3CDTF">2021-09-13T20:56:50Z</dcterms:created>
  <dcterms:modified xsi:type="dcterms:W3CDTF">2021-10-02T13:54:51Z</dcterms:modified>
</cp:coreProperties>
</file>