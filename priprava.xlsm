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priprava_CLP!$S$2:$AB$22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26" i="19"/>
  <c r="G26" i="19"/>
  <c r="G20" i="19"/>
  <c r="G14" i="19"/>
  <c r="G15" i="19"/>
  <c r="G24" i="19"/>
  <c r="G25" i="19"/>
  <c r="A24" i="19"/>
  <c r="A21" i="19"/>
  <c r="G22" i="19"/>
  <c r="G19" i="19"/>
  <c r="A8" i="19"/>
  <c r="G21" i="19"/>
  <c r="G30" i="19"/>
  <c r="G18" i="19"/>
  <c r="A31" i="19"/>
  <c r="G12" i="19"/>
  <c r="A23" i="19"/>
  <c r="G16" i="19"/>
  <c r="G17" i="19"/>
  <c r="G9" i="19"/>
  <c r="A25" i="19"/>
  <c r="G23" i="19"/>
  <c r="G27" i="19"/>
  <c r="A27" i="19"/>
  <c r="G29" i="19"/>
  <c r="A30" i="19"/>
  <c r="G10" i="19"/>
  <c r="G8" i="19"/>
  <c r="G13" i="19"/>
  <c r="A16" i="19"/>
  <c r="A13" i="19"/>
  <c r="G31" i="19"/>
  <c r="G11" i="19"/>
  <c r="A11" i="19"/>
  <c r="A29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J31" i="19"/>
  <c r="I31" i="19"/>
  <c r="I17" i="19"/>
  <c r="K16" i="19"/>
  <c r="E23" i="19"/>
  <c r="I30" i="19"/>
  <c r="A22" i="19"/>
  <c r="E13" i="19"/>
  <c r="H21" i="19"/>
  <c r="I15" i="19"/>
  <c r="K31" i="19"/>
  <c r="J15" i="19"/>
  <c r="J17" i="19"/>
  <c r="I14" i="19"/>
  <c r="L22" i="19"/>
  <c r="E11" i="19"/>
  <c r="L21" i="19"/>
  <c r="H14" i="19"/>
  <c r="J11" i="19"/>
  <c r="I16" i="19"/>
  <c r="K17" i="19"/>
  <c r="J18" i="19"/>
  <c r="H11" i="19"/>
  <c r="A15" i="19"/>
  <c r="B26" i="19"/>
  <c r="B31" i="19"/>
  <c r="K29" i="19"/>
  <c r="A20" i="19"/>
  <c r="I24" i="19"/>
  <c r="F16" i="19"/>
  <c r="C13" i="19"/>
  <c r="E30" i="19"/>
  <c r="F11" i="19"/>
  <c r="I19" i="19"/>
  <c r="A12" i="19"/>
  <c r="L29" i="19"/>
  <c r="I13" i="19"/>
  <c r="A9" i="19"/>
  <c r="L8" i="19"/>
  <c r="H12" i="19"/>
  <c r="B8" i="19"/>
  <c r="K22" i="19"/>
  <c r="L27" i="19"/>
  <c r="C27" i="19"/>
  <c r="H31" i="19"/>
  <c r="F23" i="19"/>
  <c r="B27" i="19"/>
  <c r="H8" i="19"/>
  <c r="L15" i="19"/>
  <c r="L25" i="19"/>
  <c r="K9" i="19"/>
  <c r="L14" i="19"/>
  <c r="H29" i="19"/>
  <c r="I20" i="19"/>
  <c r="D25" i="19"/>
  <c r="J16" i="19"/>
  <c r="K8" i="19"/>
  <c r="J20" i="19"/>
  <c r="C30" i="19"/>
  <c r="L11" i="19"/>
  <c r="J26" i="19"/>
  <c r="K10" i="19"/>
  <c r="C11" i="19"/>
  <c r="D26" i="19"/>
  <c r="K25" i="19"/>
  <c r="L31" i="19"/>
  <c r="I10" i="19"/>
  <c r="D21" i="19"/>
  <c r="H17" i="19"/>
  <c r="E25" i="19"/>
  <c r="I9" i="19"/>
  <c r="L13" i="19"/>
  <c r="B29" i="19"/>
  <c r="J14" i="19"/>
  <c r="J27" i="19"/>
  <c r="A19" i="19"/>
  <c r="J9" i="19"/>
  <c r="L17" i="19"/>
  <c r="C16" i="19"/>
  <c r="C25" i="19"/>
  <c r="K11" i="19"/>
  <c r="I29" i="19"/>
  <c r="F24" i="19"/>
  <c r="L23" i="19"/>
  <c r="B23" i="19"/>
  <c r="F29" i="19"/>
  <c r="J12" i="19"/>
  <c r="D30" i="19"/>
  <c r="C29" i="19"/>
  <c r="H22" i="19"/>
  <c r="I27" i="19"/>
  <c r="I8" i="19"/>
  <c r="A10" i="19"/>
  <c r="L30" i="19"/>
  <c r="K24" i="19"/>
  <c r="K19" i="19"/>
  <c r="K30" i="19"/>
  <c r="H26" i="19"/>
  <c r="E26" i="19"/>
  <c r="D11" i="19"/>
  <c r="L24" i="19"/>
  <c r="H15" i="19"/>
  <c r="E16" i="19"/>
  <c r="I23" i="19"/>
  <c r="D13" i="19"/>
  <c r="E21" i="19"/>
  <c r="B13" i="19"/>
  <c r="I21" i="19"/>
  <c r="H9" i="19"/>
  <c r="J29" i="19"/>
  <c r="F27" i="19"/>
  <c r="I18" i="19"/>
  <c r="B30" i="19"/>
  <c r="B11" i="19"/>
  <c r="K12" i="19"/>
  <c r="L19" i="19"/>
  <c r="K27" i="19"/>
  <c r="J19" i="19"/>
  <c r="E8" i="19"/>
  <c r="J25" i="19"/>
  <c r="C31" i="19"/>
  <c r="H18" i="19"/>
  <c r="D31" i="19"/>
  <c r="E31" i="19"/>
  <c r="L10" i="19"/>
  <c r="F25" i="19"/>
  <c r="F30" i="19"/>
  <c r="L20" i="19"/>
  <c r="A17" i="19"/>
  <c r="I25" i="19"/>
  <c r="J10" i="19"/>
  <c r="H20" i="19"/>
  <c r="F13" i="19"/>
  <c r="D27" i="19"/>
  <c r="H30" i="19"/>
  <c r="D24" i="19"/>
  <c r="H24" i="19"/>
  <c r="L12" i="19"/>
  <c r="H16" i="19"/>
  <c r="F31" i="19"/>
  <c r="B24" i="19"/>
  <c r="K13" i="19"/>
  <c r="K18" i="19"/>
  <c r="I26" i="19"/>
  <c r="K26" i="19"/>
  <c r="L18" i="19"/>
  <c r="L26" i="19"/>
  <c r="H25" i="19"/>
  <c r="J23" i="19"/>
  <c r="J8" i="19"/>
  <c r="E24" i="19"/>
  <c r="A14" i="19"/>
  <c r="L9" i="19"/>
  <c r="B16" i="19"/>
  <c r="B21" i="19"/>
  <c r="E27" i="19"/>
  <c r="H23" i="19"/>
  <c r="K23" i="19"/>
  <c r="F26" i="19"/>
  <c r="K20" i="19"/>
  <c r="C26" i="19"/>
  <c r="H27" i="19"/>
  <c r="I11" i="19"/>
  <c r="C8" i="19"/>
  <c r="D16" i="19"/>
  <c r="F21" i="19"/>
  <c r="I22" i="19"/>
  <c r="C23" i="19"/>
  <c r="C24" i="19"/>
  <c r="I12" i="19"/>
  <c r="K14" i="19"/>
  <c r="D29" i="19"/>
  <c r="D23" i="19"/>
  <c r="B25" i="19"/>
  <c r="K15" i="19"/>
  <c r="A18" i="19"/>
  <c r="K21" i="19"/>
  <c r="D8" i="19"/>
  <c r="J24" i="19"/>
  <c r="H13" i="19"/>
  <c r="C21" i="19"/>
  <c r="J13" i="19"/>
  <c r="H19" i="19"/>
  <c r="L16" i="19"/>
  <c r="J21" i="19"/>
  <c r="J30" i="19"/>
  <c r="F8" i="19"/>
  <c r="J22" i="19"/>
  <c r="E29" i="19"/>
  <c r="H10" i="19"/>
  <c r="K45" i="3" l="1"/>
  <c r="O45" i="3"/>
  <c r="P45" i="3"/>
  <c r="K46" i="3"/>
  <c r="O46" i="3"/>
  <c r="P46" i="3"/>
  <c r="K47" i="3"/>
  <c r="O47" i="3"/>
  <c r="P47" i="3"/>
  <c r="K48" i="3"/>
  <c r="O48" i="3"/>
  <c r="P48" i="3"/>
  <c r="F17" i="19"/>
  <c r="D14" i="19"/>
  <c r="C12" i="19"/>
  <c r="C15" i="19"/>
  <c r="B10" i="19"/>
  <c r="D17" i="19"/>
  <c r="D20" i="19"/>
  <c r="C19" i="19"/>
  <c r="F9" i="19"/>
  <c r="D10" i="19"/>
  <c r="B15" i="19"/>
  <c r="E12" i="19"/>
  <c r="B9" i="19"/>
  <c r="E14" i="19"/>
  <c r="F12" i="19"/>
  <c r="F14" i="19"/>
  <c r="B18" i="19"/>
  <c r="C17" i="19"/>
  <c r="B14" i="19"/>
  <c r="F15" i="19"/>
  <c r="C22" i="19"/>
  <c r="E22" i="19"/>
  <c r="C14" i="19"/>
  <c r="C20" i="19"/>
  <c r="E20" i="19"/>
  <c r="F18" i="19"/>
  <c r="E18" i="19"/>
  <c r="D9" i="19"/>
  <c r="D15" i="19"/>
  <c r="E10" i="19"/>
  <c r="E15" i="19"/>
  <c r="B22" i="19"/>
  <c r="D18" i="19"/>
  <c r="B12" i="19"/>
  <c r="B20" i="19"/>
  <c r="F20" i="19"/>
  <c r="F10" i="19"/>
  <c r="B17" i="19"/>
  <c r="C10" i="19"/>
  <c r="F19" i="19"/>
  <c r="D22" i="19"/>
  <c r="F22" i="19"/>
  <c r="B19" i="19"/>
  <c r="C9" i="19"/>
  <c r="C18" i="19"/>
  <c r="D12" i="19"/>
  <c r="E9" i="19"/>
  <c r="E19" i="19"/>
  <c r="E17" i="19"/>
  <c r="D1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D41" i="14"/>
  <c r="AX41" i="14"/>
  <c r="AV2" i="14"/>
  <c r="AU2" i="14"/>
  <c r="AL2" i="14"/>
  <c r="AC41" i="14"/>
  <c r="E41" i="14"/>
  <c r="D41" i="14"/>
  <c r="B41" i="14"/>
  <c r="A41" i="14"/>
  <c r="BF40" i="14"/>
  <c r="BD40" i="14"/>
  <c r="AX40" i="14"/>
  <c r="AV20" i="14"/>
  <c r="AU20" i="14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AU22" i="14"/>
  <c r="AL22" i="14"/>
  <c r="AC38" i="14"/>
  <c r="R38" i="14"/>
  <c r="Q38" i="14"/>
  <c r="F38" i="14"/>
  <c r="D38" i="14"/>
  <c r="A38" i="14"/>
  <c r="BF37" i="14"/>
  <c r="BD37" i="14"/>
  <c r="AX37" i="14"/>
  <c r="AV8" i="14"/>
  <c r="AU8" i="14"/>
  <c r="AL8" i="14"/>
  <c r="AC37" i="14"/>
  <c r="E37" i="14"/>
  <c r="C37" i="14"/>
  <c r="A37" i="14"/>
  <c r="BF36" i="14"/>
  <c r="BD36" i="14"/>
  <c r="AX36" i="14"/>
  <c r="AV41" i="14"/>
  <c r="AU41" i="14"/>
  <c r="AC36" i="14"/>
  <c r="F36" i="14"/>
  <c r="D36" i="14"/>
  <c r="B36" i="14"/>
  <c r="A36" i="14"/>
  <c r="BF35" i="14"/>
  <c r="BD35" i="14"/>
  <c r="AX35" i="14"/>
  <c r="AV40" i="14"/>
  <c r="AU40" i="14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P30" i="14"/>
  <c r="M30" i="14"/>
  <c r="H30" i="14"/>
  <c r="D30" i="14"/>
  <c r="A30" i="14"/>
  <c r="BW29" i="14"/>
  <c r="BV29" i="14"/>
  <c r="BF29" i="14"/>
  <c r="BD29" i="14"/>
  <c r="AX29" i="14"/>
  <c r="AV34" i="14"/>
  <c r="AU34" i="14"/>
  <c r="AY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J27" i="14"/>
  <c r="G27" i="14"/>
  <c r="BW26" i="14"/>
  <c r="BV26" i="14"/>
  <c r="BF26" i="14"/>
  <c r="BD26" i="14"/>
  <c r="AX26" i="14"/>
  <c r="AV31" i="14"/>
  <c r="AU31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4" i="14"/>
  <c r="AU24" i="14"/>
  <c r="AY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AV21" i="14"/>
  <c r="AU21" i="14"/>
  <c r="AL21" i="14"/>
  <c r="AC22" i="14"/>
  <c r="BW21" i="14"/>
  <c r="BV21" i="14"/>
  <c r="BF21" i="14"/>
  <c r="BD21" i="14"/>
  <c r="AX21" i="14"/>
  <c r="AV26" i="14"/>
  <c r="AU26" i="14"/>
  <c r="AC21" i="14"/>
  <c r="BW20" i="14"/>
  <c r="BV20" i="14"/>
  <c r="BF20" i="14"/>
  <c r="BD20" i="14"/>
  <c r="AX20" i="14"/>
  <c r="AV19" i="14"/>
  <c r="AU19" i="14"/>
  <c r="AL19" i="14"/>
  <c r="AC20" i="14"/>
  <c r="R20" i="14"/>
  <c r="P20" i="14"/>
  <c r="M20" i="14"/>
  <c r="BW19" i="14"/>
  <c r="BV19" i="14"/>
  <c r="BF19" i="14"/>
  <c r="BD19" i="14"/>
  <c r="AX19" i="14"/>
  <c r="AV27" i="14"/>
  <c r="AU27" i="14"/>
  <c r="AY19" i="14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C16" i="14"/>
  <c r="J16" i="14"/>
  <c r="G16" i="14"/>
  <c r="BW15" i="14"/>
  <c r="BV15" i="14"/>
  <c r="BF15" i="14"/>
  <c r="BD15" i="14"/>
  <c r="AX15" i="14"/>
  <c r="AV15" i="14"/>
  <c r="AU15" i="14"/>
  <c r="AL15" i="14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28" i="14"/>
  <c r="AU28" i="14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AU12" i="14"/>
  <c r="AL12" i="14"/>
  <c r="AC11" i="14"/>
  <c r="BW10" i="14"/>
  <c r="BV10" i="14"/>
  <c r="BR10" i="14"/>
  <c r="BF10" i="14"/>
  <c r="BD10" i="14"/>
  <c r="AX10" i="14"/>
  <c r="AV11" i="14"/>
  <c r="AU11" i="14"/>
  <c r="AL11" i="14"/>
  <c r="AC10" i="14"/>
  <c r="BW9" i="14"/>
  <c r="BV9" i="14"/>
  <c r="BR9" i="14"/>
  <c r="BF9" i="14"/>
  <c r="BD9" i="14"/>
  <c r="AX9" i="14"/>
  <c r="AV10" i="14"/>
  <c r="AU10" i="14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9" i="14"/>
  <c r="AU9" i="14"/>
  <c r="AL9" i="14"/>
  <c r="AC8" i="14"/>
  <c r="P8" i="14"/>
  <c r="M8" i="14"/>
  <c r="D8" i="14"/>
  <c r="A8" i="14"/>
  <c r="BW7" i="14"/>
  <c r="BV7" i="14"/>
  <c r="BR7" i="14"/>
  <c r="BF7" i="14"/>
  <c r="BD7" i="14"/>
  <c r="AX7" i="14"/>
  <c r="AV29" i="14"/>
  <c r="AU29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C5" i="14"/>
  <c r="J5" i="14"/>
  <c r="G5" i="14"/>
  <c r="BW4" i="14"/>
  <c r="BV4" i="14"/>
  <c r="BR4" i="14"/>
  <c r="BF4" i="14"/>
  <c r="BD4" i="14"/>
  <c r="AX4" i="14"/>
  <c r="AV4" i="14"/>
  <c r="AU4" i="14"/>
  <c r="AL4" i="14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30" i="14"/>
  <c r="AU30" i="14"/>
  <c r="AY2" i="14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9" i="14" l="1"/>
  <c r="AY11" i="15"/>
  <c r="AY6" i="17"/>
  <c r="AY19" i="17"/>
  <c r="AY17" i="17"/>
  <c r="AY7" i="16"/>
  <c r="AY12" i="14"/>
  <c r="AY20" i="14"/>
  <c r="AY12" i="16"/>
  <c r="AY11" i="17"/>
  <c r="AY4" i="14"/>
  <c r="AY18" i="14"/>
  <c r="AY41" i="14"/>
  <c r="AY9" i="17"/>
  <c r="AY17" i="16"/>
  <c r="AY8" i="14"/>
  <c r="AY17" i="14"/>
  <c r="AY13" i="14"/>
  <c r="AY30" i="14"/>
  <c r="AY32" i="14"/>
  <c r="AY34" i="14"/>
  <c r="AY40" i="14"/>
  <c r="AY15" i="14"/>
  <c r="AY36" i="14"/>
  <c r="AY22" i="14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AY21" i="14"/>
  <c r="AY7" i="14"/>
  <c r="AY10" i="14"/>
  <c r="AY14" i="14"/>
  <c r="AY31" i="14"/>
  <c r="AY33" i="14"/>
  <c r="AY35" i="14"/>
  <c r="AY37" i="14"/>
  <c r="AY11" i="14"/>
  <c r="AY27" i="14"/>
  <c r="AY28" i="14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AY16" i="14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B8" i="5"/>
  <c r="O8" i="5"/>
  <c r="B3" i="5"/>
  <c r="G8" i="5"/>
  <c r="J8" i="5"/>
  <c r="K8" i="5"/>
  <c r="M8" i="5"/>
  <c r="F8" i="5"/>
  <c r="H8" i="5"/>
  <c r="N8" i="5"/>
  <c r="E8" i="5"/>
  <c r="L8" i="5"/>
  <c r="C8" i="5"/>
  <c r="I8" i="5"/>
  <c r="D8" i="5"/>
  <c r="AW3" i="14" l="1"/>
  <c r="AW35" i="14"/>
  <c r="AW36" i="14"/>
  <c r="AW29" i="14"/>
  <c r="AW26" i="14"/>
  <c r="AW11" i="14"/>
  <c r="AW25" i="14"/>
  <c r="AW20" i="14"/>
  <c r="AW14" i="14"/>
  <c r="AW8" i="14"/>
  <c r="AW30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8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7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31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M6" i="5"/>
  <c r="D4" i="5"/>
  <c r="K6" i="5"/>
  <c r="D6" i="5"/>
  <c r="O4" i="5"/>
  <c r="L4" i="5"/>
  <c r="F4" i="5"/>
  <c r="G6" i="5"/>
  <c r="K4" i="5"/>
  <c r="H4" i="5"/>
  <c r="F6" i="5"/>
  <c r="B4" i="5"/>
  <c r="J4" i="5"/>
  <c r="N4" i="5"/>
  <c r="I6" i="5"/>
  <c r="J6" i="5"/>
  <c r="L6" i="5"/>
  <c r="I4" i="5"/>
  <c r="B6" i="5"/>
  <c r="H6" i="5"/>
  <c r="M4" i="5"/>
  <c r="C6" i="5"/>
  <c r="G4" i="5"/>
  <c r="E6" i="5"/>
  <c r="O6" i="5"/>
  <c r="E4" i="5"/>
  <c r="C4" i="5"/>
  <c r="N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L7" i="5"/>
  <c r="K3" i="5"/>
  <c r="I3" i="5"/>
  <c r="L3" i="5"/>
  <c r="I5" i="5"/>
  <c r="J7" i="5"/>
  <c r="O2" i="5"/>
  <c r="C5" i="5"/>
  <c r="G5" i="5"/>
  <c r="M7" i="5"/>
  <c r="H2" i="5"/>
  <c r="K2" i="5"/>
  <c r="C2" i="5"/>
  <c r="C3" i="5"/>
  <c r="N2" i="5"/>
  <c r="F7" i="5"/>
  <c r="O3" i="5"/>
  <c r="F3" i="5"/>
  <c r="I2" i="5"/>
  <c r="E2" i="5"/>
  <c r="M3" i="5"/>
  <c r="F5" i="5"/>
  <c r="J5" i="5"/>
  <c r="N7" i="5"/>
  <c r="H3" i="5"/>
  <c r="D2" i="5"/>
  <c r="L5" i="5"/>
  <c r="E7" i="5"/>
  <c r="N3" i="5"/>
  <c r="G7" i="5"/>
  <c r="O5" i="5"/>
  <c r="L2" i="5"/>
  <c r="E3" i="5"/>
  <c r="B7" i="5"/>
  <c r="D3" i="5"/>
  <c r="J3" i="5"/>
  <c r="B2" i="5"/>
  <c r="O7" i="5"/>
  <c r="H7" i="5"/>
  <c r="B5" i="5"/>
  <c r="G3" i="5"/>
  <c r="M5" i="5"/>
  <c r="C7" i="5"/>
  <c r="N5" i="5"/>
  <c r="D5" i="5"/>
  <c r="I7" i="5"/>
  <c r="E5" i="5"/>
  <c r="F2" i="5"/>
  <c r="H5" i="5"/>
  <c r="M2" i="5"/>
  <c r="K5" i="5"/>
  <c r="D7" i="5"/>
  <c r="G2" i="5"/>
  <c r="J2" i="5"/>
  <c r="K7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4" i="3"/>
  <c r="G30" i="3"/>
  <c r="A15" i="3"/>
  <c r="M29" i="3"/>
  <c r="A12" i="3"/>
  <c r="E11" i="3"/>
  <c r="N14" i="3"/>
  <c r="M30" i="3"/>
  <c r="D28" i="3"/>
  <c r="E14" i="3"/>
  <c r="D29" i="3"/>
  <c r="A11" i="3"/>
  <c r="N15" i="3"/>
  <c r="P30" i="3"/>
  <c r="C8" i="3"/>
  <c r="J14" i="3"/>
  <c r="G29" i="3"/>
  <c r="P29" i="3"/>
  <c r="A13" i="3"/>
  <c r="N13" i="3"/>
  <c r="N12" i="3"/>
  <c r="E13" i="3"/>
  <c r="J15" i="3"/>
  <c r="G28" i="3"/>
  <c r="J12" i="3"/>
  <c r="J13" i="3"/>
  <c r="E15" i="3"/>
  <c r="J11" i="3"/>
  <c r="D30" i="3"/>
  <c r="E12" i="3"/>
  <c r="L8" i="3"/>
  <c r="N11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L15" i="3"/>
  <c r="L14" i="3"/>
  <c r="C14" i="3"/>
  <c r="C15" i="3"/>
  <c r="G13" i="3"/>
  <c r="L13" i="3"/>
  <c r="P26" i="3"/>
  <c r="C12" i="3"/>
  <c r="P14" i="3"/>
  <c r="M26" i="3"/>
  <c r="P12" i="3"/>
  <c r="J23" i="3"/>
  <c r="P11" i="3"/>
  <c r="L11" i="3"/>
  <c r="J30" i="3"/>
  <c r="G11" i="3"/>
  <c r="G12" i="3"/>
  <c r="G15" i="3"/>
  <c r="P23" i="3"/>
  <c r="P13" i="3"/>
  <c r="M23" i="3"/>
  <c r="C13" i="3"/>
  <c r="P15" i="3"/>
  <c r="J28" i="3"/>
  <c r="P22" i="3"/>
  <c r="L12" i="3"/>
  <c r="C11" i="3"/>
  <c r="G14" i="3"/>
  <c r="M22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R23" i="3"/>
  <c r="A30" i="3"/>
  <c r="L23" i="3"/>
  <c r="O22" i="3"/>
  <c r="O23" i="3"/>
  <c r="G19" i="3"/>
  <c r="R22" i="3"/>
  <c r="L30" i="3"/>
  <c r="L28" i="3"/>
  <c r="R26" i="3"/>
  <c r="O26" i="3"/>
  <c r="R6" i="3" l="1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A22" i="3"/>
  <c r="G23" i="3"/>
  <c r="C30" i="3"/>
  <c r="J29" i="3"/>
  <c r="I23" i="3"/>
  <c r="P20" i="3"/>
  <c r="P21" i="3"/>
  <c r="A21" i="3"/>
  <c r="M19" i="3"/>
  <c r="A26" i="3"/>
  <c r="C22" i="3"/>
  <c r="J22" i="3"/>
  <c r="A20" i="3"/>
  <c r="M21" i="3"/>
  <c r="J20" i="3"/>
  <c r="J21" i="3"/>
  <c r="M20" i="3"/>
  <c r="I19" i="3"/>
  <c r="A27" i="3"/>
  <c r="J19" i="3"/>
  <c r="J27" i="3"/>
  <c r="J26" i="3"/>
  <c r="G20" i="3"/>
  <c r="D21" i="3"/>
  <c r="P19" i="3"/>
  <c r="D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C20" i="3"/>
  <c r="O21" i="3"/>
  <c r="C21" i="3"/>
  <c r="L19" i="3"/>
  <c r="C26" i="3"/>
  <c r="R20" i="3"/>
  <c r="L20" i="3"/>
  <c r="L22" i="3"/>
  <c r="G22" i="3"/>
  <c r="L29" i="3"/>
  <c r="D22" i="3"/>
  <c r="L27" i="3"/>
  <c r="R21" i="3"/>
  <c r="I20" i="3"/>
  <c r="R19" i="3"/>
  <c r="G21" i="3"/>
  <c r="L21" i="3"/>
  <c r="D26" i="3"/>
  <c r="F20" i="3"/>
  <c r="L26" i="3"/>
  <c r="F21" i="3"/>
  <c r="D19" i="3"/>
  <c r="G26" i="3"/>
  <c r="D23" i="3"/>
  <c r="A29" i="3"/>
  <c r="A28" i="3"/>
  <c r="A23" i="3"/>
  <c r="O19" i="3"/>
  <c r="O20" i="3"/>
  <c r="C27" i="3"/>
  <c r="A19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2" i="3"/>
  <c r="F19" i="3"/>
  <c r="F26" i="3"/>
  <c r="F23" i="3"/>
  <c r="C23" i="3"/>
  <c r="I26" i="3"/>
  <c r="C19" i="3"/>
  <c r="I22" i="3"/>
  <c r="C29" i="3"/>
  <c r="I21" i="3"/>
  <c r="C28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P28" i="3"/>
  <c r="M28" i="3"/>
  <c r="M27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<sst xmlns="http://schemas.openxmlformats.org/spreadsheetml/2006/main" count="3853" uniqueCount="1210">
  <si>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</si>
  <si>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</si>
  <si>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</si>
  <si>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</si>
  <si>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</si>
  <si>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</si>
  <si>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</si>
  <si>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</si>
  <si>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</si>
  <si>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</si>
  <si>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</si>
  <si>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</si>
  <si>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</si>
  <si>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</si>
  <si>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</si>
  <si>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</si>
  <si>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</si>
  <si>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</si>
  <si>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</si>
  <si>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</si>
  <si>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</si>
  <si>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</si>
  <si>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</si>
  <si>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</si>
  <si>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</si>
  <si>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</si>
  <si>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</si>
  <si>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</si>
  <si>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</si>
  <si>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</si>
  <si>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</si>
  <si>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</si>
  <si>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</si>
  <si>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</si>
  <si>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</si>
  <si>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</si>
  <si>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</si>
  <si>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</si>
  <si>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</si>
  <si>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</si>
  <si>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</si>
  <si>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</si>
  <si>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</si>
  <si>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</si>
  <si>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</si>
  <si>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</si>
  <si>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</si>
  <si>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</si>
  <si>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</si>
  <si>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</si>
  <si>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</si>
  <si>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</si>
  <si>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</si>
  <si>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</si>
  <si>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</si>
  <si>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</si>
  <si>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</si>
  <si>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</si>
  <si>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</si>
  <si>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</si>
  <si>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</si>
  <si>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</si>
  <si>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</si>
  <si>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</si>
  <si>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</si>
  <si>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</si>
  <si>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</si>
  <si>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</si>
  <si>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</si>
  <si>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</si>
  <si>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</si>
  <si>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</si>
  <si>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</si>
  <si>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</si>
  <si>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</si>
  <si>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</si>
  <si>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</si>
  <si>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</si>
  <si>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</si>
  <si>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</si>
  <si>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</si>
  <si>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</si>
  <si>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</si>
  <si>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</si>
  <si>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</si>
  <si>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</si>
  <si>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</si>
  <si>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</si>
  <si>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</si>
  <si>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</si>
  <si>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</si>
  <si>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</si>
  <si>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</si>
  <si>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</si>
  <si>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</si>
  <si>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</si>
  <si>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</si>
  <si>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</si>
  <si>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</si>
  <si>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</si>
  <si>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</si>
  <si>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</si>
  <si>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</si>
  <si>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</si>
  <si>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</si>
  <si>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</si>
  <si>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</si>
  <si>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</si>
  <si>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</si>
  <si>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</si>
  <si>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</si>
  <si>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</si>
  <si>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</si>
  <si>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</si>
  <si>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</si>
  <si>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</si>
  <si>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</si>
  <si>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</si>
  <si>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</si>
  <si>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</si>
  <si>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</si>
  <si>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</si>
  <si>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</si>
  <si>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</si>
  <si>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</si>
  <si>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</si>
  <si>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</si>
  <si>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</si>
  <si>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</si>
  <si>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</si>
  <si>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</si>
  <si>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</si>
  <si>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</si>
  <si>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</si>
  <si>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</si>
  <si>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</si>
  <si>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</si>
  <si>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</si>
  <si>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</si>
  <si>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</si>
  <si>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</si>
  <si>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</si>
  <si>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</si>
  <si>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</si>
  <si>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</si>
  <si>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</si>
  <si>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</si>
  <si>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</si>
  <si>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</si>
  <si>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</si>
  <si>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</si>
  <si>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</si>
  <si>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</si>
  <si>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</si>
  <si>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</si>
  <si>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</si>
  <si>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</si>
  <si>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</si>
  <si>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</si>
  <si>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</si>
  <si>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</si>
  <si>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</si>
  <si>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</si>
  <si>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</si>
  <si>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</si>
  <si>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</si>
  <si>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</si>
  <si>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</si>
  <si>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</si>
  <si>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</si>
  <si>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</si>
  <si>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</si>
  <si>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</si>
  <si>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</si>
  <si>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</si>
  <si>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</si>
  <si>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</si>
  <si>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</si>
  <si>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</si>
  <si>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</si>
  <si>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</si>
  <si>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</si>
  <si>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</si>
  <si>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</si>
  <si>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</si>
  <si>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</si>
  <si>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</si>
  <si>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</si>
  <si>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</si>
  <si>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</si>
  <si>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</si>
  <si>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</si>
  <si>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</si>
  <si>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</si>
  <si>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</si>
  <si>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</si>
  <si>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</si>
  <si>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</si>
  <si>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</si>
  <si>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</si>
  <si>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</si>
  <si>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</si>
  <si>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</si>
  <si>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</si>
  <si>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</si>
  <si>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</si>
  <si>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</si>
  <si>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</si>
  <si>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</si>
  <si>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</si>
  <si>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</si>
  <si>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</si>
  <si>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</si>
  <si>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</si>
  <si>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</si>
  <si>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</si>
  <si>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</si>
  <si>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</si>
  <si>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</si>
  <si>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</si>
  <si>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</si>
  <si>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</si>
  <si>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</si>
  <si>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</si>
  <si>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</si>
  <si>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</si>
  <si>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</si>
  <si>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</si>
  <si>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</si>
  <si>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</si>
  <si>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</si>
  <si>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</si>
  <si>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</si>
  <si>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</si>
  <si>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</si>
  <si>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</si>
  <si>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</si>
  <si>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</si>
  <si>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</si>
  <si>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</si>
  <si>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</si>
  <si>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</si>
  <si>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</si>
  <si>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</si>
  <si>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</si>
  <si>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</si>
  <si>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</si>
  <si>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</si>
  <si>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</si>
  <si>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</si>
  <si>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</si>
  <si>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</si>
  <si>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</si>
  <si>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</si>
  <si>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</si>
  <si>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</si>
  <si>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</si>
  <si>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</si>
  <si>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</si>
  <si>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</si>
  <si>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</si>
  <si>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</si>
  <si>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</si>
  <si>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</si>
  <si>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</si>
  <si>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3. Radek Valeš</t>
  </si>
  <si>
    <t>1. Petr Chlad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</si>
  <si>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</si>
  <si>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</si>
  <si>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</si>
  <si>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</si>
  <si>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</si>
  <si>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</si>
  <si>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</si>
  <si>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</si>
  <si>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</si>
  <si>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</si>
  <si>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</si>
  <si>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</si>
  <si>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</si>
  <si>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</si>
  <si>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</si>
  <si>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</si>
  <si>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</si>
  <si>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</si>
  <si>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</si>
  <si>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</si>
  <si>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</si>
  <si>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</si>
  <si>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</si>
  <si>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</si>
  <si>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</si>
  <si>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</si>
  <si>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</si>
  <si>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</si>
  <si>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</si>
  <si>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</si>
  <si>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</si>
  <si>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</si>
  <si>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</si>
  <si>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</si>
  <si>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</si>
  <si>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</si>
  <si>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</si>
  <si>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</si>
  <si>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</si>
  <si>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</si>
  <si>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</si>
  <si>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</si>
  <si>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</si>
  <si>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</si>
  <si>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</si>
  <si>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</si>
  <si>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</si>
  <si>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</si>
  <si>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</si>
  <si>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</si>
  <si>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</si>
  <si>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</si>
  <si>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</si>
  <si>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</si>
  <si>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</si>
  <si>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</si>
  <si>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</si>
  <si>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</si>
  <si>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</si>
  <si>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</si>
  <si>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</si>
  <si>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</si>
  <si>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</si>
  <si>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</si>
  <si>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</si>
  <si>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</si>
  <si>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</si>
  <si>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</si>
  <si>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</si>
  <si>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</si>
  <si>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</si>
  <si>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</si>
  <si>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</si>
  <si>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</si>
  <si>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</si>
  <si>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</si>
  <si>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</si>
  <si>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</si>
  <si>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</si>
  <si>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</si>
  <si>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</si>
  <si>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</si>
  <si>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</si>
  <si>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</si>
  <si>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</si>
  <si>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</si>
  <si>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</si>
  <si>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</si>
  <si>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</si>
  <si>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</si>
  <si>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</si>
  <si>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</si>
  <si>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</si>
  <si>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</si>
  <si>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</si>
  <si>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</si>
  <si>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</si>
  <si>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</si>
  <si>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</si>
  <si>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</si>
  <si>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</si>
  <si>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</si>
  <si>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</si>
  <si>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</si>
  <si>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</si>
  <si>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</si>
  <si>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</si>
  <si>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</si>
  <si>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</si>
  <si>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</si>
  <si>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</si>
  <si>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</si>
  <si>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</si>
  <si>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</si>
  <si>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</si>
  <si>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</si>
  <si>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</si>
  <si>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</si>
  <si>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</si>
  <si>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</si>
  <si>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</si>
  <si>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</si>
  <si>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</si>
  <si>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</si>
  <si>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</si>
  <si>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</si>
  <si>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</si>
  <si>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</si>
  <si>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</si>
  <si>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</si>
  <si>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</si>
  <si>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</si>
  <si>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</si>
  <si>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</si>
  <si>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</si>
  <si>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</si>
  <si>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</si>
  <si>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</si>
  <si>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</si>
  <si>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</si>
  <si>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</si>
  <si>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</si>
  <si>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</si>
  <si>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</si>
  <si>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</si>
  <si>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</si>
  <si>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</si>
  <si>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</si>
  <si>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</si>
  <si>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</si>
  <si>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</si>
  <si>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</si>
  <si>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</si>
  <si>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</si>
  <si>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</si>
  <si>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</si>
  <si>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</si>
  <si>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</si>
  <si>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</si>
  <si>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</si>
  <si>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</si>
  <si>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</si>
  <si>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</si>
  <si>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</si>
  <si>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</si>
  <si>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</si>
  <si>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</si>
  <si>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</si>
  <si>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</si>
  <si>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</si>
  <si>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</si>
  <si>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</si>
  <si>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</si>
  <si>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</si>
  <si>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</si>
  <si>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</si>
  <si>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</si>
  <si>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</si>
  <si>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</si>
  <si>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</si>
  <si>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</si>
  <si>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</si>
  <si>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</si>
  <si>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</si>
  <si>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</si>
  <si>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</si>
  <si>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</si>
  <si>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</si>
  <si>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</si>
  <si>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</si>
  <si>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</si>
  <si>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</si>
  <si>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</si>
  <si>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</si>
  <si>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</si>
  <si>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</si>
  <si>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</si>
  <si>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</si>
  <si>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</si>
  <si>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</si>
  <si>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</si>
  <si>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</si>
  <si>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</si>
  <si>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</si>
  <si>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</si>
  <si>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</si>
  <si>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</si>
  <si>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</si>
  <si>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</si>
  <si>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</si>
  <si>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</si>
  <si>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</si>
  <si>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</si>
  <si>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</si>
  <si>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</si>
  <si>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</si>
  <si>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</si>
  <si>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</si>
  <si>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</si>
  <si>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</si>
  <si>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</si>
  <si>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</si>
  <si>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</si>
  <si>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</si>
  <si>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</si>
  <si>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</si>
  <si>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</si>
  <si>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</si>
  <si>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</si>
  <si>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</si>
  <si>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</si>
  <si>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</si>
  <si>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</si>
  <si>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</si>
  <si>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</si>
  <si>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</si>
  <si>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</si>
  <si>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</si>
  <si>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</si>
  <si>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</si>
  <si>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</si>
  <si>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</si>
  <si>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</si>
  <si>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</si>
  <si>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</si>
  <si>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</si>
  <si>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</si>
  <si>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</si>
  <si>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</si>
  <si>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</si>
  <si>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</si>
  <si>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</si>
  <si>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</si>
  <si>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</si>
  <si>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</si>
  <si>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</si>
  <si>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</si>
  <si>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</si>
  <si>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</si>
  <si>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</si>
  <si>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</si>
  <si>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</si>
  <si>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</si>
  <si>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</si>
  <si>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</si>
  <si>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</si>
  <si>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</si>
  <si>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</si>
  <si>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</si>
  <si>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</si>
  <si>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</si>
  <si>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</si>
  <si>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</si>
  <si>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</si>
  <si>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</si>
  <si>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</si>
  <si>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</si>
  <si>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</si>
  <si>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</si>
  <si>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</si>
  <si>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</si>
  <si>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</si>
  <si>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</si>
  <si>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</si>
  <si>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</si>
  <si>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</si>
  <si>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</si>
  <si>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</si>
  <si>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</si>
  <si>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</si>
  <si>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</si>
  <si>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</si>
  <si>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</si>
  <si>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</si>
  <si>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</si>
  <si>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</si>
  <si>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</si>
  <si>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</si>
  <si>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</si>
  <si>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</si>
  <si>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</si>
  <si>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</si>
  <si>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</si>
  <si>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</si>
  <si>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</si>
  <si>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</si>
  <si>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</si>
  <si>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</si>
  <si>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</si>
  <si>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</si>
  <si>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</si>
  <si>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</si>
  <si>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</si>
  <si>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</si>
  <si>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</si>
  <si>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</si>
  <si>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</si>
  <si>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</si>
  <si>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</si>
  <si>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</si>
  <si>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</si>
  <si>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</si>
  <si>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</si>
  <si>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</si>
  <si>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</si>
  <si>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</si>
  <si>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</si>
  <si>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</si>
  <si>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</si>
  <si>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</si>
  <si>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</si>
  <si>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</si>
  <si>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</si>
  <si>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</si>
  <si>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</si>
  <si>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</si>
  <si>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</si>
  <si>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</si>
  <si>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</si>
  <si>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</si>
  <si>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</si>
  <si>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</si>
  <si>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</si>
  <si>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</si>
  <si>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</si>
  <si>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</si>
  <si>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</si>
  <si>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</si>
  <si>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</si>
  <si>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</si>
  <si>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</si>
  <si>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</si>
  <si>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</si>
  <si>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</si>
  <si>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</si>
  <si>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</si>
  <si>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</si>
  <si>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</si>
  <si>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</si>
  <si>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</si>
  <si>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</si>
  <si>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</si>
  <si>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</si>
  <si>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</si>
  <si>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</si>
  <si>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</si>
  <si>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</si>
  <si>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</si>
  <si>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</si>
  <si>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</si>
  <si>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</si>
  <si>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</si>
  <si>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</si>
  <si>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</si>
  <si>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</si>
  <si>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</si>
  <si>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</si>
  <si>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</si>
  <si>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</si>
  <si>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</si>
  <si>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</si>
  <si>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</si>
  <si>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</si>
  <si>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</si>
  <si>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</si>
  <si>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</si>
  <si>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</si>
  <si>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</si>
  <si>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</si>
  <si>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</si>
  <si>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</si>
  <si>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</si>
  <si>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</si>
  <si>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</si>
  <si>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</si>
  <si>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</si>
  <si>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</si>
  <si>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</si>
  <si>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</si>
  <si>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</si>
  <si>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</si>
  <si>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</si>
  <si>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</si>
  <si>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</si>
  <si>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</si>
  <si>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</si>
  <si>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</si>
  <si>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</si>
  <si>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</si>
  <si>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</si>
  <si>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</si>
  <si>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</si>
  <si>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</si>
  <si>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</si>
  <si>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</si>
  <si>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</si>
  <si>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</si>
  <si>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</si>
  <si>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</si>
  <si>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</si>
  <si>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</si>
  <si>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</si>
  <si>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</si>
  <si>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</si>
  <si>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</si>
  <si>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</si>
  <si>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</si>
  <si>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</si>
  <si>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</si>
  <si>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</si>
  <si>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</si>
  <si>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</si>
  <si>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</si>
  <si>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</si>
  <si>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</si>
  <si>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</si>
  <si>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</si>
  <si>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</si>
  <si>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</si>
  <si>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</si>
  <si>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</si>
  <si>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</si>
  <si>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</si>
  <si>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</si>
  <si>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</si>
  <si>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</si>
  <si>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</si>
  <si>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</si>
  <si>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</si>
  <si>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</si>
  <si>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</si>
  <si>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</si>
  <si>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</si>
  <si>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</si>
  <si>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</si>
  <si>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</si>
  <si>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</si>
  <si>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</si>
  <si>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</si>
  <si>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</si>
  <si>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</si>
  <si>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</si>
  <si>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</si>
  <si>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</si>
  <si>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</si>
  <si>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</si>
  <si>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</si>
  <si>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</si>
  <si>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</si>
  <si>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</si>
  <si>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</si>
  <si>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</si>
  <si>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</si>
  <si>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</si>
  <si>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</si>
  <si>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</si>
  <si>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</si>
  <si>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</si>
  <si>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</si>
  <si>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</si>
  <si>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</si>
  <si>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</si>
  <si>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</si>
  <si>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</si>
  <si>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</si>
  <si>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</si>
  <si>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</si>
  <si>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</si>
  <si>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</si>
  <si>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</si>
  <si>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</si>
  <si>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</si>
  <si>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</si>
  <si>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</si>
  <si>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</si>
  <si>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</si>
  <si>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</si>
  <si>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</si>
  <si>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</si>
  <si>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</si>
  <si>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</si>
  <si>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</si>
  <si>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</si>
  <si>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</si>
  <si>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</si>
  <si>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</si>
  <si>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</si>
  <si>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</si>
  <si>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</si>
  <si>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</si>
  <si>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</si>
  <si>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</si>
  <si>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</si>
  <si>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</si>
  <si>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</si>
  <si>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</si>
  <si>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</si>
  <si>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</si>
  <si>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</si>
  <si>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</si>
  <si>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</si>
  <si>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</si>
  <si>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</si>
  <si>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</si>
  <si>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</si>
  <si>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</si>
  <si>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</si>
  <si>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</si>
  <si>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</si>
  <si>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</si>
  <si>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</si>
  <si>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</si>
  <si>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</si>
  <si>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</si>
  <si>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</si>
  <si>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</si>
  <si>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</si>
  <si>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</si>
  <si>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</si>
  <si>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</si>
  <si>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</si>
  <si>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</si>
  <si>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</si>
  <si>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</si>
  <si>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</si>
  <si>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</si>
  <si>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</si>
  <si>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</si>
  <si>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</si>
  <si>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</si>
  <si>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</si>
  <si>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</si>
  <si>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</si>
  <si>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</si>
  <si>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</si>
  <si>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</si>
  <si>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</si>
  <si>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</si>
  <si>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</si>
  <si>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</si>
  <si>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</si>
  <si>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</si>
  <si>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</si>
  <si>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</si>
  <si>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</si>
  <si>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</si>
  <si>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</si>
  <si>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</si>
  <si>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</si>
  <si>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</si>
  <si>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</si>
  <si>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</si>
  <si>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</si>
  <si>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</si>
  <si>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</si>
  <si>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</si>
  <si>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</si>
  <si>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</si>
  <si>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</si>
  <si>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</si>
  <si>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</si>
  <si>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</si>
  <si>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</si>
  <si>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</si>
  <si>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</si>
  <si>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</si>
  <si>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</si>
  <si>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</si>
  <si>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</si>
  <si>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</si>
  <si>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</si>
  <si>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</si>
  <si>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</si>
  <si>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</si>
  <si>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</si>
  <si>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</si>
  <si>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</si>
  <si>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</si>
  <si>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</si>
  <si>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</si>
  <si>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</si>
  <si>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</si>
  <si>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</si>
  <si>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</si>
  <si>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</si>
  <si>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</si>
  <si>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</si>
  <si>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</si>
  <si>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</si>
  <si>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</si>
  <si>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</si>
  <si>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</si>
  <si>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</si>
  <si>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</si>
  <si>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</si>
  <si>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</si>
  <si>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</si>
  <si>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</si>
  <si>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</si>
  <si>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</si>
  <si>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</si>
  <si>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</si>
  <si>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</si>
  <si>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</si>
  <si>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</si>
  <si>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</si>
  <si>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</si>
  <si>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</si>
  <si>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</si>
  <si>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</si>
  <si>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</si>
  <si>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</si>
  <si>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</si>
  <si>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</si>
  <si>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</si>
  <si>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3. Milan Tichý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</si>
  <si>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</si>
  <si>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</si>
  <si>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</si>
  <si>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</si>
  <si>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</si>
  <si>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</si>
  <si>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</si>
  <si>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</si>
  <si>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</si>
  <si>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</si>
  <si>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2. Jakub Kopecký</t>
  </si>
  <si>
    <t>4. Jan Šoltys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</si>
  <si>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</si>
  <si>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</si>
  <si>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</si>
  <si>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</si>
  <si>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</si>
  <si>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</si>
  <si>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</si>
  <si>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</si>
  <si>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</si>
  <si>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</si>
  <si>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</si>
  <si>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</si>
  <si>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</si>
  <si>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</si>
  <si>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</si>
  <si>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</si>
  <si>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1. Karel Aubus</t>
  </si>
  <si>
    <t>2. Martin Haleš</t>
  </si>
  <si>
    <t>2. Jan Savický</t>
  </si>
  <si>
    <t>3. Matyáš Velc</t>
  </si>
  <si>
    <t>2. David Petržela</t>
  </si>
  <si>
    <t>3. Mikuláš Krbec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</si>
  <si>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</si>
  <si>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</si>
  <si>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</si>
  <si>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</si>
  <si>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</si>
  <si>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</si>
  <si>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</si>
  <si>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</si>
  <si>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</si>
  <si>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</si>
  <si>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</si>
  <si>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</si>
  <si>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</si>
  <si>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</si>
  <si>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</si>
  <si>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</si>
  <si>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</si>
  <si>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</si>
  <si>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</si>
  <si>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</si>
  <si>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</si>
  <si>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</si>
  <si>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</si>
  <si>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</si>
  <si>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</si>
  <si>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</si>
  <si>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</si>
  <si>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</si>
  <si>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</si>
  <si>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</si>
  <si>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</si>
  <si>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</si>
  <si>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</si>
  <si>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</si>
  <si>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</si>
  <si>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</si>
  <si>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</si>
  <si>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</si>
  <si>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</si>
  <si>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</si>
  <si>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</si>
  <si>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</si>
  <si>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</si>
  <si>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</si>
  <si>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</si>
  <si>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</si>
  <si>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</si>
  <si>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</si>
  <si>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</si>
  <si>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</si>
  <si>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</si>
  <si>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</si>
  <si>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</si>
  <si>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</si>
  <si>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</si>
  <si>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</si>
  <si>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</si>
  <si>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</si>
  <si>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</si>
  <si>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</si>
  <si>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</si>
  <si>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</si>
  <si>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</si>
  <si>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</si>
  <si>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</si>
  <si>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</si>
  <si>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</si>
  <si>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</si>
  <si>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</si>
  <si>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</si>
  <si>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</si>
  <si>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</si>
  <si>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</si>
  <si>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</si>
  <si>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</si>
  <si>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</si>
  <si>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</si>
  <si>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</si>
  <si>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</si>
  <si>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</si>
  <si>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</si>
  <si>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</si>
  <si>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P - P - P - P - VP</t>
  </si>
  <si>
    <t>2. Milan Tichý</t>
  </si>
  <si>
    <t>3. Ondřej Kopič</t>
  </si>
  <si>
    <t>4. Jaromír Ekl</t>
  </si>
  <si>
    <t>5. Štěpán Slaný</t>
  </si>
  <si>
    <t>6,59</t>
  </si>
  <si>
    <t>9,08</t>
  </si>
  <si>
    <t>2. Ondřej Kopič</t>
  </si>
  <si>
    <t>5. Jiří Vlček</t>
  </si>
  <si>
    <t>2. Daniel Štěrba</t>
  </si>
  <si>
    <t>3. Jakub Jirsa</t>
  </si>
  <si>
    <t>5. Radek Krajcigr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</si>
  <si>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</si>
  <si>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</si>
  <si>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</si>
  <si>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</si>
  <si>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</si>
  <si>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</si>
  <si>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</si>
  <si>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</si>
  <si>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</si>
  <si>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</si>
  <si>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</si>
  <si>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</si>
  <si>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</si>
  <si>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</si>
  <si>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</si>
  <si>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</si>
  <si>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</si>
  <si>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</si>
  <si>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</si>
  <si>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</si>
  <si>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</si>
  <si>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</si>
  <si>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</si>
  <si>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</si>
  <si>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</si>
  <si>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</si>
  <si>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</si>
  <si>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</si>
  <si>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</si>
  <si>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</si>
  <si>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</si>
  <si>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</si>
  <si>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</si>
  <si>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</si>
  <si>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</si>
  <si>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</si>
  <si>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</si>
  <si>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</si>
  <si>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</si>
  <si>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</si>
  <si>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</si>
  <si>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</si>
  <si>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</si>
  <si>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</si>
  <si>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</si>
  <si>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</si>
  <si>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</si>
  <si>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</si>
  <si>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</si>
  <si>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P - P - V - P - VP</t>
  </si>
  <si>
    <t>1. Radek Valeš</t>
  </si>
  <si>
    <t>2. Filip Smutný</t>
  </si>
  <si>
    <t>3. Prokop Ferdan</t>
  </si>
  <si>
    <t>4. Šimon Stránský</t>
  </si>
  <si>
    <t>5. Jakub Kopecký</t>
  </si>
  <si>
    <t>5,70</t>
  </si>
  <si>
    <t>1. Filip Smutný</t>
  </si>
  <si>
    <t>5. Šimon Stránský</t>
  </si>
  <si>
    <t>1. Šimon Stránský</t>
  </si>
  <si>
    <t>4. Vojtěch Wiener</t>
  </si>
  <si>
    <t>5. Petr Kološ</t>
  </si>
  <si>
    <t>1. Jan Světlík</t>
  </si>
  <si>
    <t>2. Daniel Martínek</t>
  </si>
  <si>
    <t>3. Petr Kološ</t>
  </si>
  <si>
    <t>4. Radek Valeš</t>
  </si>
  <si>
    <t>5. Vojtěch Janeček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</si>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</sst>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79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2" fillId="0" borderId="91" xfId="0" applyFont="1" applyBorder="1" applyAlignment="1">
      <alignment horizontal="left" vertical="center"/>
    </xf>
    <xf numFmtId="0" fontId="2" fillId="0" borderId="92" xfId="0" applyFont="1" applyBorder="1" applyAlignment="1">
      <alignment horizontal="left" vertical="center"/>
    </xf>
    <xf numFmtId="0" fontId="2" fillId="0" borderId="93" xfId="0" applyFont="1" applyBorder="1" applyAlignment="1">
      <alignment horizontal="left"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271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21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272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0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0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0.5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145</v>
      </c>
      <c r="V3" s="68">
        <f t="shared" ref="V3:V15" si="22">AW3</f>
        <v>28.28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145</v>
      </c>
      <c r="AW3" s="70">
        <v>28.28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6</v>
      </c>
      <c r="BE3" s="62">
        <f t="shared" ref="BE3:BE15" si="25">_xlfn.RANK.EQ(VLOOKUP(BA3,$B$2:$V$15,18,FALSE),$S$2:$S$15,0)</f>
        <v>12</v>
      </c>
      <c r="BF3" s="62">
        <f t="shared" ref="BF3:BF15" si="26">_xlfn.RANK.EQ(VLOOKUP(BA3,$B$2:$V$16,19,FALSE),$T$2:$T$15,1)</f>
        <v>9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8</v>
      </c>
      <c r="BD5" s="62">
        <f t="shared" si="24"/>
        <v>6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9</v>
      </c>
      <c r="BE6" s="62">
        <f t="shared" si="25"/>
        <v>14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9</v>
      </c>
      <c r="BD8" s="62">
        <f t="shared" si="24"/>
        <v>3</v>
      </c>
      <c r="BE8" s="62">
        <f t="shared" si="25"/>
        <v>10</v>
      </c>
      <c r="BF8" s="62">
        <f t="shared" si="26"/>
        <v>5</v>
      </c>
    </row>
    <row r="9" spans="1:58" ht="24" customHeight="1" x14ac:dyDescent="0.25">
      <c r="A9" s="138">
        <v>8</v>
      </c>
      <c r="B9" s="25" t="str">
        <f t="shared" si="2"/>
        <v>FAT PIPE FLORBAL CHODOV</v>
      </c>
      <c r="C9" s="76">
        <f t="shared" si="3"/>
        <v>5</v>
      </c>
      <c r="D9" s="76">
        <f t="shared" si="4"/>
        <v>2</v>
      </c>
      <c r="E9" s="76">
        <f t="shared" si="5"/>
        <v>0</v>
      </c>
      <c r="F9" s="76">
        <f t="shared" si="6"/>
        <v>1</v>
      </c>
      <c r="G9" s="76">
        <f t="shared" si="7"/>
        <v>2</v>
      </c>
      <c r="H9" s="78">
        <f t="shared" si="8"/>
        <v>7</v>
      </c>
      <c r="I9" s="76">
        <f t="shared" si="9"/>
        <v>32</v>
      </c>
      <c r="J9" s="76">
        <f t="shared" si="10"/>
        <v>33</v>
      </c>
      <c r="K9" s="76">
        <f t="shared" si="11"/>
        <v>-1</v>
      </c>
      <c r="L9" s="76">
        <f t="shared" si="12"/>
        <v>7</v>
      </c>
      <c r="M9" s="76">
        <f t="shared" si="13"/>
        <v>3</v>
      </c>
      <c r="N9" s="76">
        <f t="shared" si="14"/>
        <v>0</v>
      </c>
      <c r="O9" s="67">
        <f t="shared" si="15"/>
        <v>42.86</v>
      </c>
      <c r="P9" s="76">
        <f t="shared" si="16"/>
        <v>11</v>
      </c>
      <c r="Q9" s="76">
        <f t="shared" si="17"/>
        <v>4</v>
      </c>
      <c r="R9" s="76">
        <f t="shared" si="18"/>
        <v>2</v>
      </c>
      <c r="S9" s="67">
        <f t="shared" si="19"/>
        <v>63.64</v>
      </c>
      <c r="T9" s="76">
        <f t="shared" si="20"/>
        <v>22</v>
      </c>
      <c r="U9" s="76">
        <f t="shared" si="21"/>
        <v>138</v>
      </c>
      <c r="V9" s="68">
        <f t="shared" si="22"/>
        <v>23.19</v>
      </c>
      <c r="W9" s="72" t="s">
        <v>76</v>
      </c>
      <c r="X9" s="71">
        <v>5</v>
      </c>
      <c r="Y9" s="71">
        <v>2</v>
      </c>
      <c r="Z9" s="71">
        <v>0</v>
      </c>
      <c r="AA9" s="71">
        <v>1</v>
      </c>
      <c r="AB9" s="71">
        <v>2</v>
      </c>
      <c r="AC9" s="71">
        <v>7</v>
      </c>
      <c r="AD9" s="71">
        <v>32</v>
      </c>
      <c r="AE9" s="71">
        <v>33</v>
      </c>
      <c r="AF9" s="71">
        <v>-1</v>
      </c>
      <c r="AG9" s="71">
        <v>7</v>
      </c>
      <c r="AH9" s="71">
        <v>3</v>
      </c>
      <c r="AI9" s="71">
        <v>0</v>
      </c>
      <c r="AJ9" s="70">
        <v>42.86</v>
      </c>
      <c r="AK9" s="71">
        <v>11</v>
      </c>
      <c r="AL9" s="71">
        <v>4</v>
      </c>
      <c r="AM9" s="71">
        <v>2</v>
      </c>
      <c r="AN9" s="70">
        <v>63.64</v>
      </c>
      <c r="AO9" s="71">
        <v>11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22</v>
      </c>
      <c r="AV9" s="71">
        <v>138</v>
      </c>
      <c r="AW9" s="70">
        <v>23.19</v>
      </c>
      <c r="AX9" s="71">
        <v>188</v>
      </c>
      <c r="AY9" s="71">
        <v>577</v>
      </c>
      <c r="AZ9" s="71">
        <v>153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FBC Liberec</v>
      </c>
      <c r="C10" s="76">
        <f t="shared" si="3"/>
        <v>5</v>
      </c>
      <c r="D10" s="76">
        <f t="shared" si="4"/>
        <v>1</v>
      </c>
      <c r="E10" s="76">
        <f t="shared" si="5"/>
        <v>1</v>
      </c>
      <c r="F10" s="76">
        <f t="shared" si="6"/>
        <v>0</v>
      </c>
      <c r="G10" s="76">
        <f t="shared" si="7"/>
        <v>3</v>
      </c>
      <c r="H10" s="78">
        <f t="shared" si="8"/>
        <v>5</v>
      </c>
      <c r="I10" s="76">
        <f t="shared" si="9"/>
        <v>22</v>
      </c>
      <c r="J10" s="76">
        <f t="shared" si="10"/>
        <v>31</v>
      </c>
      <c r="K10" s="76">
        <f t="shared" si="11"/>
        <v>-9</v>
      </c>
      <c r="L10" s="76">
        <f t="shared" si="12"/>
        <v>8</v>
      </c>
      <c r="M10" s="76">
        <f t="shared" si="13"/>
        <v>4</v>
      </c>
      <c r="N10" s="76">
        <f t="shared" si="14"/>
        <v>0</v>
      </c>
      <c r="O10" s="67">
        <f t="shared" si="15"/>
        <v>50</v>
      </c>
      <c r="P10" s="76">
        <f t="shared" si="16"/>
        <v>8</v>
      </c>
      <c r="Q10" s="76">
        <f t="shared" si="17"/>
        <v>4</v>
      </c>
      <c r="R10" s="76">
        <f t="shared" si="18"/>
        <v>0</v>
      </c>
      <c r="S10" s="67">
        <f t="shared" si="19"/>
        <v>50</v>
      </c>
      <c r="T10" s="76">
        <f t="shared" si="20"/>
        <v>16</v>
      </c>
      <c r="U10" s="76">
        <f t="shared" si="21"/>
        <v>83</v>
      </c>
      <c r="V10" s="68">
        <f t="shared" si="22"/>
        <v>26.51</v>
      </c>
      <c r="W10" s="72" t="s">
        <v>82</v>
      </c>
      <c r="X10" s="71">
        <v>5</v>
      </c>
      <c r="Y10" s="71">
        <v>1</v>
      </c>
      <c r="Z10" s="71">
        <v>1</v>
      </c>
      <c r="AA10" s="71">
        <v>0</v>
      </c>
      <c r="AB10" s="71">
        <v>3</v>
      </c>
      <c r="AC10" s="71">
        <v>5</v>
      </c>
      <c r="AD10" s="71">
        <v>22</v>
      </c>
      <c r="AE10" s="71">
        <v>31</v>
      </c>
      <c r="AF10" s="71">
        <v>-9</v>
      </c>
      <c r="AG10" s="71">
        <v>8</v>
      </c>
      <c r="AH10" s="71">
        <v>4</v>
      </c>
      <c r="AI10" s="71">
        <v>0</v>
      </c>
      <c r="AJ10" s="70">
        <v>50</v>
      </c>
      <c r="AK10" s="71">
        <v>8</v>
      </c>
      <c r="AL10" s="71">
        <v>4</v>
      </c>
      <c r="AM10" s="71">
        <v>0</v>
      </c>
      <c r="AN10" s="70">
        <v>50</v>
      </c>
      <c r="AO10" s="71">
        <v>8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16</v>
      </c>
      <c r="AV10" s="71">
        <v>83</v>
      </c>
      <c r="AW10" s="70">
        <v>26.51</v>
      </c>
      <c r="AX10" s="71">
        <v>272</v>
      </c>
      <c r="AY10" s="71">
        <v>432</v>
      </c>
      <c r="AZ10" s="71">
        <v>141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11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8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87</v>
      </c>
      <c r="V12" s="68">
        <f t="shared" si="22"/>
        <v>24.14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87</v>
      </c>
      <c r="AW12" s="70">
        <v>24.14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9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5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4</v>
      </c>
      <c r="H13" s="78">
        <f t="shared" si="8"/>
        <v>2</v>
      </c>
      <c r="I13" s="76">
        <f t="shared" si="9"/>
        <v>25</v>
      </c>
      <c r="J13" s="76">
        <f t="shared" si="10"/>
        <v>43</v>
      </c>
      <c r="K13" s="76">
        <f t="shared" si="11"/>
        <v>-18</v>
      </c>
      <c r="L13" s="76">
        <f t="shared" si="12"/>
        <v>5</v>
      </c>
      <c r="M13" s="76">
        <f t="shared" si="13"/>
        <v>2</v>
      </c>
      <c r="N13" s="76">
        <f t="shared" si="14"/>
        <v>0</v>
      </c>
      <c r="O13" s="67">
        <f t="shared" si="15"/>
        <v>40</v>
      </c>
      <c r="P13" s="76">
        <f t="shared" si="16"/>
        <v>14</v>
      </c>
      <c r="Q13" s="76">
        <f t="shared" si="17"/>
        <v>11</v>
      </c>
      <c r="R13" s="76">
        <f t="shared" si="18"/>
        <v>1</v>
      </c>
      <c r="S13" s="67">
        <f t="shared" si="19"/>
        <v>21.43</v>
      </c>
      <c r="T13" s="76">
        <f t="shared" si="20"/>
        <v>51</v>
      </c>
      <c r="U13" s="76">
        <f t="shared" si="21"/>
        <v>124</v>
      </c>
      <c r="V13" s="68">
        <f t="shared" si="22"/>
        <v>20.16</v>
      </c>
      <c r="W13" s="72" t="s">
        <v>79</v>
      </c>
      <c r="X13" s="71">
        <v>5</v>
      </c>
      <c r="Y13" s="71">
        <v>0</v>
      </c>
      <c r="Z13" s="71">
        <v>1</v>
      </c>
      <c r="AA13" s="71">
        <v>0</v>
      </c>
      <c r="AB13" s="71">
        <v>4</v>
      </c>
      <c r="AC13" s="71">
        <v>2</v>
      </c>
      <c r="AD13" s="71">
        <v>25</v>
      </c>
      <c r="AE13" s="71">
        <v>43</v>
      </c>
      <c r="AF13" s="71">
        <v>-18</v>
      </c>
      <c r="AG13" s="71">
        <v>5</v>
      </c>
      <c r="AH13" s="71">
        <v>2</v>
      </c>
      <c r="AI13" s="71">
        <v>0</v>
      </c>
      <c r="AJ13" s="70">
        <v>40</v>
      </c>
      <c r="AK13" s="71">
        <v>14</v>
      </c>
      <c r="AL13" s="71">
        <v>11</v>
      </c>
      <c r="AM13" s="71">
        <v>1</v>
      </c>
      <c r="AN13" s="70">
        <v>21.43</v>
      </c>
      <c r="AO13" s="71">
        <v>13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51</v>
      </c>
      <c r="AV13" s="71">
        <v>124</v>
      </c>
      <c r="AW13" s="70">
        <v>20.16</v>
      </c>
      <c r="AX13" s="71">
        <v>349</v>
      </c>
      <c r="AY13" s="71">
        <v>406</v>
      </c>
      <c r="AZ13" s="71">
        <v>151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112</v>
      </c>
      <c r="V14" s="68">
        <f t="shared" si="22"/>
        <v>18.75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112</v>
      </c>
      <c r="AW14" s="70">
        <v>18.75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13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17" t="s">
        <v>5</v>
      </c>
      <c r="B1" s="217"/>
      <c r="C1" s="217"/>
      <c r="D1" s="217"/>
      <c r="E1" s="217"/>
      <c r="F1" s="217"/>
      <c r="G1" s="217"/>
      <c r="H1" s="217"/>
      <c r="I1" s="217"/>
      <c r="J1" s="217" t="s">
        <v>102</v>
      </c>
      <c r="K1" s="217"/>
      <c r="L1" s="217"/>
      <c r="M1" s="217"/>
      <c r="N1" s="217"/>
      <c r="O1" s="217"/>
      <c r="P1" s="217"/>
      <c r="Q1" s="217"/>
      <c r="R1" s="217"/>
      <c r="S1" s="280" t="s">
        <v>52</v>
      </c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2"/>
    </row>
    <row r="2" spans="1:31" ht="15" customHeight="1" thickBot="1" x14ac:dyDescent="0.3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159" t="s">
        <v>47</v>
      </c>
      <c r="T2" s="160" t="s">
        <v>48</v>
      </c>
      <c r="U2" s="160" t="s">
        <v>28</v>
      </c>
      <c r="V2" s="161" t="s">
        <v>49</v>
      </c>
      <c r="W2" s="162" t="s">
        <v>212</v>
      </c>
      <c r="X2" s="283" t="s">
        <v>50</v>
      </c>
      <c r="Y2" s="284"/>
      <c r="Z2" s="284"/>
      <c r="AA2" s="284"/>
      <c r="AB2" s="64" t="s">
        <v>28</v>
      </c>
      <c r="AC2" s="284" t="s">
        <v>49</v>
      </c>
      <c r="AD2" s="284"/>
      <c r="AE2" s="285"/>
    </row>
    <row r="3" spans="1:31" ht="15" customHeight="1" thickTop="1" thickBot="1" x14ac:dyDescent="0.3">
      <c r="A3" s="223" t="str">
        <f>INDEX(tabulka!$BA$2:$BA$15,MATCH($A$1,tabulka!$BB$2:$BB$15,0))</f>
        <v>TJ Sokol Královské Vinohrady</v>
      </c>
      <c r="B3" s="223"/>
      <c r="C3" s="223"/>
      <c r="D3" s="223"/>
      <c r="E3" s="223"/>
      <c r="F3" s="223"/>
      <c r="G3" s="223"/>
      <c r="H3" s="223"/>
      <c r="I3" s="223"/>
      <c r="J3" s="223" t="str">
        <f>INDEX(tabulka!$BA$2:$BA$15,MATCH($J$1,tabulka!$BB$2:$BB$15,0))</f>
        <v>FBC 4CLEAN Česká Lípa</v>
      </c>
      <c r="K3" s="223"/>
      <c r="L3" s="223"/>
      <c r="M3" s="223"/>
      <c r="N3" s="223"/>
      <c r="O3" s="223"/>
      <c r="P3" s="223"/>
      <c r="Q3" s="223"/>
      <c r="R3" s="223"/>
      <c r="S3" s="163" t="s">
        <v>5</v>
      </c>
      <c r="T3" s="164" t="s">
        <v>102</v>
      </c>
      <c r="U3" s="164" t="s">
        <v>944</v>
      </c>
      <c r="V3" s="165" t="s">
        <v>112</v>
      </c>
      <c r="W3" s="166" t="s">
        <v>43</v>
      </c>
      <c r="X3" s="286" t="str">
        <f>IF(S3&lt;&gt;"",CONCATENATE(S3, " - ",T3),"")</f>
        <v>SKV - CLP</v>
      </c>
      <c r="Y3" s="286"/>
      <c r="Z3" s="286"/>
      <c r="AA3" s="287"/>
      <c r="AB3" s="175" t="str">
        <f>IF(U3&lt;&gt;"",U3,"")</f>
        <v>3:4p</v>
      </c>
      <c r="AC3" s="320" t="str">
        <f>IF(AND(V3&lt;&gt;"",W3&lt;&gt;""),CONCATENATE(V3," (",W3,")"),IF(V3&lt;&gt;"",V3,""))</f>
        <v>2020/2021 (ZČ)</v>
      </c>
      <c r="AD3" s="286"/>
      <c r="AE3" s="321"/>
    </row>
    <row r="4" spans="1:31" ht="15" customHeight="1" thickTop="1" thickBot="1" x14ac:dyDescent="0.3">
      <c r="A4" s="219" t="s">
        <v>25</v>
      </c>
      <c r="B4" s="220"/>
      <c r="C4" s="28" t="s">
        <v>26</v>
      </c>
      <c r="D4" s="28" t="s">
        <v>27</v>
      </c>
      <c r="E4" s="220" t="s">
        <v>28</v>
      </c>
      <c r="F4" s="220"/>
      <c r="G4" s="28" t="s">
        <v>29</v>
      </c>
      <c r="H4" s="28" t="s">
        <v>30</v>
      </c>
      <c r="I4" s="29" t="s">
        <v>31</v>
      </c>
      <c r="J4" s="221" t="s">
        <v>25</v>
      </c>
      <c r="K4" s="222"/>
      <c r="L4" s="30" t="s">
        <v>26</v>
      </c>
      <c r="M4" s="30" t="s">
        <v>27</v>
      </c>
      <c r="N4" s="222" t="s">
        <v>28</v>
      </c>
      <c r="O4" s="222"/>
      <c r="P4" s="30" t="s">
        <v>29</v>
      </c>
      <c r="Q4" s="30" t="s">
        <v>30</v>
      </c>
      <c r="R4" s="188" t="s">
        <v>31</v>
      </c>
      <c r="S4" s="167" t="s">
        <v>102</v>
      </c>
      <c r="T4" s="168" t="s">
        <v>5</v>
      </c>
      <c r="U4" s="168" t="s">
        <v>945</v>
      </c>
      <c r="V4" s="169" t="s">
        <v>112</v>
      </c>
      <c r="W4" s="170" t="s">
        <v>43</v>
      </c>
      <c r="X4" s="190" t="str">
        <f t="shared" ref="X4:X14" si="0">IF(S4&lt;&gt;"",CONCATENATE(S4, " - ",T4),"")</f>
        <v>CLP - SKV</v>
      </c>
      <c r="Y4" s="190"/>
      <c r="Z4" s="190"/>
      <c r="AA4" s="191"/>
      <c r="AB4" s="148" t="str">
        <f t="shared" ref="AB4:AB14" si="1">IF(U4&lt;&gt;"",U4,"")</f>
        <v>11:5</v>
      </c>
      <c r="AC4" s="192" t="str">
        <f t="shared" ref="AC4:AC14" si="2">IF(AND(V4&lt;&gt;"",W4&lt;&gt;""),CONCATENATE(V4," (",W4,")"),IF(V4&lt;&gt;"",V4,""))</f>
        <v>2020/2021 (ZČ)</v>
      </c>
      <c r="AD4" s="190"/>
      <c r="AE4" s="193"/>
    </row>
    <row r="5" spans="1:31" ht="15" customHeight="1" thickBot="1" x14ac:dyDescent="0.3">
      <c r="A5" s="198" t="str">
        <f>IFERROR(CONCATENATE(VLOOKUP($A$1,tabulka!$BB$2:$BF$15,2,FALSE),". místo"),"")</f>
        <v>14. místo</v>
      </c>
      <c r="B5" s="199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199" t="str">
        <f>IFERROR(CONCATENATE(VLOOKUP($A$3,tabulka!$B$2:$V$15,8,FALSE),":",VLOOKUP($A$3,tabulka!$B$2:$V$15,9,FALSE)),"")</f>
        <v>14:46</v>
      </c>
      <c r="F5" s="199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200" t="str">
        <f>IFERROR(CONCATENATE(VLOOKUP($J$1,tabulka!$BB$2:$BF$15,2,FALSE),". místo"),"")</f>
        <v>12. místo</v>
      </c>
      <c r="K5" s="201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4</v>
      </c>
      <c r="N5" s="201" t="str">
        <f>IFERROR(CONCATENATE(VLOOKUP($J$3,tabulka!$B$2:$V$15,8,FALSE),":",VLOOKUP($J$3,tabulka!$B$2:$V$15,9,FALSE)),"")</f>
        <v>25:43</v>
      </c>
      <c r="O5" s="201"/>
      <c r="P5" s="83">
        <f>IFERROR(VLOOKUP($J$3,tabulka!$B$2:$V$15,14,FALSE),"")</f>
        <v>40</v>
      </c>
      <c r="Q5" s="83">
        <f>IFERROR(VLOOKUP($J$3,tabulka!$B$2:$V$15,18,FALSE),"")</f>
        <v>21.43</v>
      </c>
      <c r="R5" s="189">
        <f>IFERROR(VLOOKUP($J$3,tabulka!$B$2:$V$15,19,FALSE),"")</f>
        <v>51</v>
      </c>
      <c r="S5" s="167" t="s">
        <v>102</v>
      </c>
      <c r="T5" s="168" t="s">
        <v>5</v>
      </c>
      <c r="U5" s="168" t="s">
        <v>946</v>
      </c>
      <c r="V5" s="169" t="s">
        <v>114</v>
      </c>
      <c r="W5" s="170" t="s">
        <v>43</v>
      </c>
      <c r="X5" s="190" t="str">
        <f t="shared" si="0"/>
        <v>CLP - SKV</v>
      </c>
      <c r="Y5" s="190"/>
      <c r="Z5" s="190"/>
      <c r="AA5" s="191"/>
      <c r="AB5" s="148" t="str">
        <f t="shared" si="1"/>
        <v>6:7p</v>
      </c>
      <c r="AC5" s="192" t="str">
        <f t="shared" si="2"/>
        <v>2019/2020 (ZČ)</v>
      </c>
      <c r="AD5" s="190"/>
      <c r="AE5" s="193"/>
    </row>
    <row r="6" spans="1:31" ht="15" customHeight="1" thickTop="1" x14ac:dyDescent="0.25">
      <c r="A6" s="26"/>
      <c r="B6" s="26"/>
      <c r="C6" s="26"/>
      <c r="D6" s="26"/>
      <c r="E6" s="226" t="s">
        <v>110</v>
      </c>
      <c r="F6" s="226"/>
      <c r="G6" s="36">
        <f>IFERROR(VLOOKUP($A$1,tabulka!$BB$2:$BF$15,3,FALSE),"")</f>
        <v>14</v>
      </c>
      <c r="H6" s="36">
        <f>IFERROR(VLOOKUP($A$1,tabulka!$BB$2:$BF$15,4,FALSE),"")</f>
        <v>13</v>
      </c>
      <c r="I6" s="36">
        <f>IFERROR(VLOOKUP($A$1,tabulka!$BB$2:$BF$15,5,FALSE),"")</f>
        <v>5</v>
      </c>
      <c r="J6" s="26"/>
      <c r="K6" s="26"/>
      <c r="L6" s="26"/>
      <c r="N6" s="226" t="s">
        <v>110</v>
      </c>
      <c r="O6" s="226"/>
      <c r="P6" s="36">
        <f>IFERROR(VLOOKUP($J$1,tabulka!$BB$2:$BF$15,3,FALSE),"")</f>
        <v>9</v>
      </c>
      <c r="Q6" s="36">
        <f>IFERROR(VLOOKUP($J$1,tabulka!$BB$2:$BF$15,4,FALSE),"")</f>
        <v>14</v>
      </c>
      <c r="R6" s="36">
        <f>IFERROR(VLOOKUP($J$1,tabulka!$BB$2:$BF$15,5,FALSE),"")</f>
        <v>14</v>
      </c>
      <c r="S6" s="167" t="s">
        <v>5</v>
      </c>
      <c r="T6" s="168" t="s">
        <v>102</v>
      </c>
      <c r="U6" s="168" t="s">
        <v>947</v>
      </c>
      <c r="V6" s="169" t="s">
        <v>114</v>
      </c>
      <c r="W6" s="170" t="s">
        <v>43</v>
      </c>
      <c r="X6" s="190" t="str">
        <f t="shared" si="0"/>
        <v>SKV - CLP</v>
      </c>
      <c r="Y6" s="190"/>
      <c r="Z6" s="190"/>
      <c r="AA6" s="191"/>
      <c r="AB6" s="148" t="str">
        <f t="shared" si="1"/>
        <v>8:5</v>
      </c>
      <c r="AC6" s="192" t="str">
        <f t="shared" si="2"/>
        <v>2019/2020 (ZČ)</v>
      </c>
      <c r="AD6" s="190"/>
      <c r="AE6" s="193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7" t="s">
        <v>5</v>
      </c>
      <c r="T7" s="168" t="s">
        <v>102</v>
      </c>
      <c r="U7" s="168" t="s">
        <v>113</v>
      </c>
      <c r="V7" s="169" t="s">
        <v>115</v>
      </c>
      <c r="W7" s="170" t="s">
        <v>43</v>
      </c>
      <c r="X7" s="190" t="str">
        <f t="shared" si="0"/>
        <v>SKV - CLP</v>
      </c>
      <c r="Y7" s="190"/>
      <c r="Z7" s="190"/>
      <c r="AA7" s="191"/>
      <c r="AB7" s="148" t="str">
        <f t="shared" si="1"/>
        <v>7:6p</v>
      </c>
      <c r="AC7" s="192" t="str">
        <f t="shared" si="2"/>
        <v>2018/2019 (ZČ)</v>
      </c>
      <c r="AD7" s="190"/>
      <c r="AE7" s="193"/>
    </row>
    <row r="8" spans="1:31" ht="15" customHeight="1" thickTop="1" thickBot="1" x14ac:dyDescent="0.3">
      <c r="A8" s="202" t="s">
        <v>32</v>
      </c>
      <c r="B8" s="203"/>
      <c r="C8" s="204" t="str">
        <f ca="1">IFERROR(IF(INDIRECT("priprava_" &amp; A1 &amp; "!BY12")&lt;&gt;0,INDIRECT("priprava_" &amp; A1 &amp; "!BY12"),""),"")</f>
        <v>P - P - P - P - P</v>
      </c>
      <c r="D8" s="204"/>
      <c r="E8" s="204"/>
      <c r="F8" s="204"/>
      <c r="G8" s="204"/>
      <c r="H8" s="205"/>
      <c r="I8" s="25"/>
      <c r="J8" s="206" t="s">
        <v>32</v>
      </c>
      <c r="K8" s="207"/>
      <c r="L8" s="208" t="str">
        <f ca="1">IFERROR(IF(INDIRECT("priprava_" &amp; J1 &amp; "!BY12")&lt;&gt;0,INDIRECT("priprava_" &amp; J1 &amp; "!BY12"),""),"")</f>
        <v>P - P - P - P - VP</v>
      </c>
      <c r="M8" s="208"/>
      <c r="N8" s="208"/>
      <c r="O8" s="208"/>
      <c r="P8" s="208"/>
      <c r="Q8" s="209"/>
      <c r="R8" s="25"/>
      <c r="S8" s="167" t="s">
        <v>102</v>
      </c>
      <c r="T8" s="168" t="s">
        <v>5</v>
      </c>
      <c r="U8" s="168" t="s">
        <v>945</v>
      </c>
      <c r="V8" s="169" t="s">
        <v>115</v>
      </c>
      <c r="W8" s="170" t="s">
        <v>43</v>
      </c>
      <c r="X8" s="190" t="str">
        <f t="shared" si="0"/>
        <v>CLP - SKV</v>
      </c>
      <c r="Y8" s="190"/>
      <c r="Z8" s="190"/>
      <c r="AA8" s="191"/>
      <c r="AB8" s="148" t="str">
        <f t="shared" si="1"/>
        <v>11:5</v>
      </c>
      <c r="AC8" s="192" t="str">
        <f t="shared" si="2"/>
        <v>2018/2019 (ZČ)</v>
      </c>
      <c r="AD8" s="190"/>
      <c r="AE8" s="193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7"/>
      <c r="T9" s="168"/>
      <c r="U9" s="168"/>
      <c r="V9" s="169"/>
      <c r="W9" s="170"/>
      <c r="X9" s="190" t="str">
        <f t="shared" si="0"/>
        <v/>
      </c>
      <c r="Y9" s="190"/>
      <c r="Z9" s="190"/>
      <c r="AA9" s="191"/>
      <c r="AB9" s="148" t="str">
        <f t="shared" si="1"/>
        <v/>
      </c>
      <c r="AC9" s="192" t="str">
        <f t="shared" si="2"/>
        <v/>
      </c>
      <c r="AD9" s="190"/>
      <c r="AE9" s="193"/>
    </row>
    <row r="10" spans="1:31" ht="15" customHeight="1" thickTop="1" thickBot="1" x14ac:dyDescent="0.3">
      <c r="A10" s="219" t="s">
        <v>33</v>
      </c>
      <c r="B10" s="220"/>
      <c r="C10" s="220"/>
      <c r="D10" s="224"/>
      <c r="E10" s="225" t="s">
        <v>34</v>
      </c>
      <c r="F10" s="220"/>
      <c r="G10" s="220"/>
      <c r="H10" s="224"/>
      <c r="I10" s="25"/>
      <c r="J10" s="219" t="s">
        <v>33</v>
      </c>
      <c r="K10" s="220"/>
      <c r="L10" s="220"/>
      <c r="M10" s="224"/>
      <c r="N10" s="225" t="s">
        <v>34</v>
      </c>
      <c r="O10" s="220"/>
      <c r="P10" s="220"/>
      <c r="Q10" s="224"/>
      <c r="R10" s="37"/>
      <c r="S10" s="167"/>
      <c r="T10" s="168"/>
      <c r="U10" s="168"/>
      <c r="V10" s="169"/>
      <c r="W10" s="170"/>
      <c r="X10" s="190" t="str">
        <f t="shared" si="0"/>
        <v/>
      </c>
      <c r="Y10" s="190"/>
      <c r="Z10" s="190"/>
      <c r="AA10" s="191"/>
      <c r="AB10" s="148" t="str">
        <f t="shared" si="1"/>
        <v/>
      </c>
      <c r="AC10" s="192" t="str">
        <f t="shared" si="2"/>
        <v/>
      </c>
      <c r="AD10" s="190"/>
      <c r="AE10" s="193"/>
    </row>
    <row r="11" spans="1:31" ht="15" customHeight="1" x14ac:dyDescent="0.25">
      <c r="A11" s="210" t="str">
        <f ca="1">IFERROR(IF(INDIRECT("priprava_" &amp; A$1 &amp; "!BZ2")&lt;&gt;"",INDIRECT("priprava_" &amp; A$1 &amp; "!BZ2"),""),"")</f>
        <v>BA (d)</v>
      </c>
      <c r="B11" s="211"/>
      <c r="C11" s="212" t="str">
        <f ca="1">IFERROR(IF(A11&lt;&gt;"",INDIRECT("priprava_" &amp; A$1 &amp; "!CA2"),""),"")</f>
        <v>2:7</v>
      </c>
      <c r="D11" s="213"/>
      <c r="E11" s="214" t="str">
        <f ca="1">IFERROR(IF(INDIRECT("priprava_" &amp; A$1 &amp; "!BZ7")&lt;&gt;"",INDIRECT("priprava_" &amp; A$1 &amp; "!BZ7"),""),"")</f>
        <v>CLP (d)</v>
      </c>
      <c r="F11" s="211"/>
      <c r="G11" s="212" t="str">
        <f ca="1">IFERROR(IF(E11&lt;&gt;"",INDIRECT("priprava_" &amp; A$1 &amp; "!BY7"),""),"")</f>
        <v>2. 10.</v>
      </c>
      <c r="H11" s="213"/>
      <c r="I11" s="25"/>
      <c r="J11" s="210" t="str">
        <f ca="1">IFERROR(IF(INDIRECT("priprava_" &amp; J$1 &amp; "!BZ2")&lt;&gt;"",INDIRECT("priprava_" &amp; J$1 &amp; "!BZ2"),""),"")</f>
        <v>HAT (h)</v>
      </c>
      <c r="K11" s="211"/>
      <c r="L11" s="212" t="str">
        <f ca="1">IFERROR(IF(J11&lt;&gt;"",INDIRECT("priprava_" &amp; J$1 &amp; "!CA2"),""),"")</f>
        <v>7:6p</v>
      </c>
      <c r="M11" s="213"/>
      <c r="N11" s="214" t="str">
        <f ca="1">IFERROR(IF(INDIRECT("priprava_" &amp; J$1 &amp; "!BZ7")&lt;&gt;"",INDIRECT("priprava_" &amp; J$1 &amp; "!BZ7"),""),"")</f>
        <v>SKV (h)</v>
      </c>
      <c r="O11" s="211"/>
      <c r="P11" s="212" t="str">
        <f ca="1">IFERROR(IF(N11&lt;&gt;"",INDIRECT("priprava_" &amp; J$1 &amp; "!BY7"),""),"")</f>
        <v>2. 10.</v>
      </c>
      <c r="Q11" s="213"/>
      <c r="R11" s="38"/>
      <c r="S11" s="167"/>
      <c r="T11" s="168"/>
      <c r="U11" s="168"/>
      <c r="V11" s="169"/>
      <c r="W11" s="170"/>
      <c r="X11" s="190" t="str">
        <f t="shared" si="0"/>
        <v/>
      </c>
      <c r="Y11" s="190"/>
      <c r="Z11" s="190"/>
      <c r="AA11" s="191"/>
      <c r="AB11" s="148" t="str">
        <f t="shared" si="1"/>
        <v/>
      </c>
      <c r="AC11" s="192" t="str">
        <f t="shared" si="2"/>
        <v/>
      </c>
      <c r="AD11" s="190"/>
      <c r="AE11" s="193"/>
    </row>
    <row r="12" spans="1:31" ht="15" customHeight="1" x14ac:dyDescent="0.25">
      <c r="A12" s="215" t="str">
        <f ca="1">IFERROR(IF(INDIRECT("priprava_" &amp; A$1 &amp; "!BZ3")&lt;&gt;"",INDIRECT("priprava_" &amp; A$1 &amp; "!BZ3"),""),"")</f>
        <v>CHO (h)</v>
      </c>
      <c r="B12" s="216"/>
      <c r="C12" s="227" t="str">
        <f ca="1">IFERROR(IF(A12&lt;&gt;"",INDIRECT("priprava_" &amp; A$1 &amp; "!CA3"),""),"")</f>
        <v>7:13</v>
      </c>
      <c r="D12" s="228"/>
      <c r="E12" s="191" t="str">
        <f ca="1">IFERROR(IF(INDIRECT("priprava_" &amp; A$1 &amp; "!BZ8")&lt;&gt;"",INDIRECT("priprava_" &amp; A$1 &amp; "!BZ8"),""),"")</f>
        <v>PAR (d)</v>
      </c>
      <c r="F12" s="216"/>
      <c r="G12" s="227" t="str">
        <f ca="1">IFERROR(IF(E12&lt;&gt;"",INDIRECT("priprava_" &amp; A$1 &amp; "!BY8"),""),"")</f>
        <v>8. 10.</v>
      </c>
      <c r="H12" s="228"/>
      <c r="I12" s="26"/>
      <c r="J12" s="215" t="str">
        <f ca="1">IFERROR(IF(INDIRECT("priprava_" &amp; J$1 &amp; "!BZ3")&lt;&gt;"",INDIRECT("priprava_" &amp; J$1 &amp; "!BZ3"),""),"")</f>
        <v>OST (d)</v>
      </c>
      <c r="K12" s="216"/>
      <c r="L12" s="227" t="str">
        <f ca="1">IFERROR(IF(J12&lt;&gt;"",INDIRECT("priprava_" &amp; J$1 &amp; "!CA3"),""),"")</f>
        <v>5:13</v>
      </c>
      <c r="M12" s="228"/>
      <c r="N12" s="191" t="str">
        <f ca="1">IFERROR(IF(INDIRECT("priprava_" &amp; J$1 &amp; "!BZ8")&lt;&gt;"",INDIRECT("priprava_" &amp; J$1 &amp; "!BZ8"),""),"")</f>
        <v>OTR (h)</v>
      </c>
      <c r="O12" s="216"/>
      <c r="P12" s="227" t="str">
        <f ca="1">IFERROR(IF(N12&lt;&gt;"",INDIRECT("priprava_" &amp; J$1 &amp; "!BY8"),""),"")</f>
        <v>10. 10.</v>
      </c>
      <c r="Q12" s="228"/>
      <c r="R12" s="25"/>
      <c r="S12" s="167"/>
      <c r="T12" s="168"/>
      <c r="U12" s="168"/>
      <c r="V12" s="169"/>
      <c r="W12" s="170"/>
      <c r="X12" s="190" t="str">
        <f t="shared" si="0"/>
        <v/>
      </c>
      <c r="Y12" s="190"/>
      <c r="Z12" s="190"/>
      <c r="AA12" s="191"/>
      <c r="AB12" s="148" t="str">
        <f t="shared" si="1"/>
        <v/>
      </c>
      <c r="AC12" s="192" t="str">
        <f t="shared" si="2"/>
        <v/>
      </c>
      <c r="AD12" s="190"/>
      <c r="AE12" s="193"/>
    </row>
    <row r="13" spans="1:31" ht="15" customHeight="1" x14ac:dyDescent="0.25">
      <c r="A13" s="229" t="str">
        <f ca="1">IFERROR(IF(INDIRECT("priprava_" &amp; A$1 &amp; "!BZ4")&lt;&gt;"",INDIRECT("priprava_" &amp; A$1 &amp; "!BZ4"),""),"")</f>
        <v>LIB (d)</v>
      </c>
      <c r="B13" s="230"/>
      <c r="C13" s="231" t="str">
        <f ca="1">IFERROR(IF(A13&lt;&gt;"",INDIRECT("priprava_" &amp; A$1 &amp; "!CA4"),""),"")</f>
        <v>2:7</v>
      </c>
      <c r="D13" s="232"/>
      <c r="E13" s="233" t="str">
        <f ca="1">IFERROR(IF(INDIRECT("priprava_" &amp; A$1 &amp; "!BZ9")&lt;&gt;"",INDIRECT("priprava_" &amp; A$1 &amp; "!BZ9"),""),"")</f>
        <v>BOH (d)</v>
      </c>
      <c r="F13" s="230"/>
      <c r="G13" s="231" t="str">
        <f ca="1">IFERROR(IF(E13&lt;&gt;"",INDIRECT("priprava_" &amp; A$1 &amp; "!BY9"),""),"")</f>
        <v>10. 10.</v>
      </c>
      <c r="H13" s="232"/>
      <c r="I13" s="25"/>
      <c r="J13" s="229" t="str">
        <f ca="1">IFERROR(IF(INDIRECT("priprava_" &amp; J$1 &amp; "!BZ4")&lt;&gt;"",INDIRECT("priprava_" &amp; J$1 &amp; "!BZ4"),""),"")</f>
        <v>VIT (h)</v>
      </c>
      <c r="K13" s="230"/>
      <c r="L13" s="231" t="str">
        <f ca="1">IFERROR(IF(J13&lt;&gt;"",INDIRECT("priprava_" &amp; J$1 &amp; "!CA4"),""),"")</f>
        <v>3:8</v>
      </c>
      <c r="M13" s="232"/>
      <c r="N13" s="233" t="str">
        <f ca="1">IFERROR(IF(INDIRECT("priprava_" &amp; J$1 &amp; "!BZ9")&lt;&gt;"",INDIRECT("priprava_" &amp; J$1 &amp; "!BZ9"),""),"")</f>
        <v>CHO (d)</v>
      </c>
      <c r="O13" s="230"/>
      <c r="P13" s="231" t="str">
        <f ca="1">IFERROR(IF(N13&lt;&gt;"",INDIRECT("priprava_" &amp; J$1 &amp; "!BY9"),""),"")</f>
        <v>22. 10.</v>
      </c>
      <c r="Q13" s="232"/>
      <c r="R13" s="27"/>
      <c r="S13" s="167"/>
      <c r="T13" s="168"/>
      <c r="U13" s="168"/>
      <c r="V13" s="169"/>
      <c r="W13" s="170"/>
      <c r="X13" s="190" t="str">
        <f t="shared" si="0"/>
        <v/>
      </c>
      <c r="Y13" s="190"/>
      <c r="Z13" s="190"/>
      <c r="AA13" s="191"/>
      <c r="AB13" s="148" t="str">
        <f t="shared" si="1"/>
        <v/>
      </c>
      <c r="AC13" s="192" t="str">
        <f t="shared" si="2"/>
        <v/>
      </c>
      <c r="AD13" s="190"/>
      <c r="AE13" s="193"/>
    </row>
    <row r="14" spans="1:31" ht="15" customHeight="1" x14ac:dyDescent="0.25">
      <c r="A14" s="215" t="str">
        <f ca="1">IFERROR(IF(INDIRECT("priprava_" &amp; A$1 &amp; "!BZ5")&lt;&gt;"",INDIRECT("priprava_" &amp; A$1 &amp; "!BZ5"),""),"")</f>
        <v>OST (h)</v>
      </c>
      <c r="B14" s="216"/>
      <c r="C14" s="227" t="str">
        <f ca="1">IFERROR(IF(A14&lt;&gt;"",INDIRECT("priprava_" &amp; A$1 &amp; "!CA5"),""),"")</f>
        <v>1:8</v>
      </c>
      <c r="D14" s="228"/>
      <c r="E14" s="191" t="str">
        <f ca="1">IFERROR(IF(INDIRECT("priprava_" &amp; A$1 &amp; "!BZ10")&lt;&gt;"",INDIRECT("priprava_" &amp; A$1 &amp; "!BZ10"),""),"")</f>
        <v>VIT (h)</v>
      </c>
      <c r="F14" s="216"/>
      <c r="G14" s="227" t="str">
        <f ca="1">IFERROR(IF(E14&lt;&gt;"",INDIRECT("priprava_" &amp; A$1 &amp; "!BY10"),""),"")</f>
        <v>22. 10.</v>
      </c>
      <c r="H14" s="228"/>
      <c r="I14" s="26"/>
      <c r="J14" s="215" t="str">
        <f ca="1">IFERROR(IF(INDIRECT("priprava_" &amp; J$1 &amp; "!BZ5")&lt;&gt;"",INDIRECT("priprava_" &amp; J$1 &amp; "!BZ5"),""),"")</f>
        <v>TAT (d)</v>
      </c>
      <c r="K14" s="216"/>
      <c r="L14" s="227" t="str">
        <f ca="1">IFERROR(IF(J14&lt;&gt;"",INDIRECT("priprava_" &amp; J$1 &amp; "!CA5"),""),"")</f>
        <v>4:6</v>
      </c>
      <c r="M14" s="228"/>
      <c r="N14" s="191" t="str">
        <f ca="1">IFERROR(IF(INDIRECT("priprava_" &amp; J$1 &amp; "!BZ10")&lt;&gt;"",INDIRECT("priprava_" &amp; J$1 &amp; "!BZ10"),""),"")</f>
        <v>MB (h)</v>
      </c>
      <c r="O14" s="216"/>
      <c r="P14" s="227" t="str">
        <f ca="1">IFERROR(IF(N14&lt;&gt;"",INDIRECT("priprava_" &amp; J$1 &amp; "!BY10"),""),"")</f>
        <v>24. 10.</v>
      </c>
      <c r="Q14" s="228"/>
      <c r="R14" s="25"/>
      <c r="S14" s="167"/>
      <c r="T14" s="168"/>
      <c r="U14" s="168"/>
      <c r="V14" s="169"/>
      <c r="W14" s="170"/>
      <c r="X14" s="190" t="str">
        <f t="shared" si="0"/>
        <v/>
      </c>
      <c r="Y14" s="190"/>
      <c r="Z14" s="190"/>
      <c r="AA14" s="191"/>
      <c r="AB14" s="148" t="str">
        <f t="shared" si="1"/>
        <v/>
      </c>
      <c r="AC14" s="192" t="str">
        <f t="shared" si="2"/>
        <v/>
      </c>
      <c r="AD14" s="190"/>
      <c r="AE14" s="193"/>
    </row>
    <row r="15" spans="1:31" ht="15" customHeight="1" thickBot="1" x14ac:dyDescent="0.3">
      <c r="A15" s="296" t="str">
        <f ca="1">IFERROR(IF(INDIRECT("priprava_" &amp; A$1 &amp; "!BZ6")&lt;&gt;"",INDIRECT("priprava_" &amp; A$1 &amp; "!BZ6"),""),"")</f>
        <v>TAT (d)</v>
      </c>
      <c r="B15" s="292"/>
      <c r="C15" s="293" t="str">
        <f ca="1">IFERROR(IF(A15&lt;&gt;"",INDIRECT("priprava_" &amp; A$1 &amp; "!CA6"),""),"")</f>
        <v>2:11</v>
      </c>
      <c r="D15" s="294"/>
      <c r="E15" s="291" t="str">
        <f ca="1">IFERROR(IF(INDIRECT("priprava_" &amp; A$1 &amp; "!BZ11")&lt;&gt;"",INDIRECT("priprava_" &amp; A$1 &amp; "!BZ11"),""),"")</f>
        <v>HAT (d)</v>
      </c>
      <c r="F15" s="292"/>
      <c r="G15" s="293" t="str">
        <f ca="1">IFERROR(IF(E15&lt;&gt;"",INDIRECT("priprava_" &amp; A$1 &amp; "!BY11"),""),"")</f>
        <v>24. 10.</v>
      </c>
      <c r="H15" s="294"/>
      <c r="I15" s="25"/>
      <c r="J15" s="296" t="str">
        <f ca="1">IFERROR(IF(INDIRECT("priprava_" &amp; J$1 &amp; "!BZ6")&lt;&gt;"",INDIRECT("priprava_" &amp; J$1 &amp; "!BZ6"),""),"")</f>
        <v>BOH (h)</v>
      </c>
      <c r="K15" s="292"/>
      <c r="L15" s="293" t="str">
        <f ca="1">IFERROR(IF(J15&lt;&gt;"",INDIRECT("priprava_" &amp; J$1 &amp; "!CA6"),""),"")</f>
        <v>6:10</v>
      </c>
      <c r="M15" s="294"/>
      <c r="N15" s="291" t="str">
        <f ca="1">IFERROR(IF(INDIRECT("priprava_" &amp; J$1 &amp; "!BZ11")&lt;&gt;"",INDIRECT("priprava_" &amp; J$1 &amp; "!BZ11"),""),"")</f>
        <v>BA (d)</v>
      </c>
      <c r="O15" s="292"/>
      <c r="P15" s="293" t="str">
        <f ca="1">IFERROR(IF(N15&lt;&gt;"",INDIRECT("priprava_" &amp; J$1 &amp; "!BY11"),""),"")</f>
        <v>28. 10.</v>
      </c>
      <c r="Q15" s="294"/>
      <c r="R15" s="25"/>
      <c r="S15" s="167"/>
      <c r="T15" s="168"/>
      <c r="U15" s="168"/>
      <c r="V15" s="169"/>
      <c r="W15" s="170"/>
      <c r="X15" s="190" t="str">
        <f t="shared" ref="X15:X18" si="3">IF(S15&lt;&gt;"",CONCATENATE(S15, " - ",T15),"")</f>
        <v/>
      </c>
      <c r="Y15" s="190"/>
      <c r="Z15" s="190"/>
      <c r="AA15" s="191"/>
      <c r="AB15" s="148" t="str">
        <f t="shared" ref="AB15:AB18" si="4">IF(U15&lt;&gt;"",U15,"")</f>
        <v/>
      </c>
      <c r="AC15" s="192" t="str">
        <f t="shared" ref="AC15:AC18" si="5">IF(AND(V15&lt;&gt;"",W15&lt;&gt;""),CONCATENATE(V15," (",W15,")"),IF(V15&lt;&gt;"",V15,""))</f>
        <v/>
      </c>
      <c r="AD15" s="190"/>
      <c r="AE15" s="193"/>
    </row>
    <row r="16" spans="1:31" ht="15" customHeight="1" thickTop="1" x14ac:dyDescent="0.25">
      <c r="R16" s="37"/>
      <c r="S16" s="167"/>
      <c r="T16" s="168"/>
      <c r="U16" s="168"/>
      <c r="V16" s="169"/>
      <c r="W16" s="170"/>
      <c r="X16" s="190" t="str">
        <f t="shared" si="3"/>
        <v/>
      </c>
      <c r="Y16" s="190"/>
      <c r="Z16" s="190"/>
      <c r="AA16" s="191"/>
      <c r="AB16" s="148" t="str">
        <f t="shared" si="4"/>
        <v/>
      </c>
      <c r="AC16" s="192" t="str">
        <f t="shared" si="5"/>
        <v/>
      </c>
      <c r="AD16" s="190"/>
      <c r="AE16" s="193"/>
    </row>
    <row r="17" spans="1:31" ht="15" customHeight="1" thickBot="1" x14ac:dyDescent="0.3">
      <c r="A17" s="295" t="s">
        <v>35</v>
      </c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167"/>
      <c r="T17" s="168"/>
      <c r="U17" s="168"/>
      <c r="V17" s="169"/>
      <c r="W17" s="170"/>
      <c r="X17" s="190" t="str">
        <f t="shared" si="3"/>
        <v/>
      </c>
      <c r="Y17" s="190"/>
      <c r="Z17" s="190"/>
      <c r="AA17" s="191"/>
      <c r="AB17" s="148" t="str">
        <f t="shared" si="4"/>
        <v/>
      </c>
      <c r="AC17" s="192" t="str">
        <f t="shared" si="5"/>
        <v/>
      </c>
      <c r="AD17" s="190"/>
      <c r="AE17" s="193"/>
    </row>
    <row r="18" spans="1:31" ht="15" customHeight="1" thickTop="1" thickBot="1" x14ac:dyDescent="0.3">
      <c r="A18" s="219" t="s">
        <v>36</v>
      </c>
      <c r="B18" s="220"/>
      <c r="C18" s="248"/>
      <c r="D18" s="249" t="s">
        <v>37</v>
      </c>
      <c r="E18" s="220"/>
      <c r="F18" s="250"/>
      <c r="G18" s="225" t="s">
        <v>38</v>
      </c>
      <c r="H18" s="220"/>
      <c r="I18" s="224"/>
      <c r="J18" s="221" t="s">
        <v>36</v>
      </c>
      <c r="K18" s="222"/>
      <c r="L18" s="251"/>
      <c r="M18" s="252" t="s">
        <v>37</v>
      </c>
      <c r="N18" s="222"/>
      <c r="O18" s="253"/>
      <c r="P18" s="254" t="s">
        <v>38</v>
      </c>
      <c r="Q18" s="222"/>
      <c r="R18" s="255"/>
      <c r="S18" s="171"/>
      <c r="T18" s="172"/>
      <c r="U18" s="172"/>
      <c r="V18" s="173"/>
      <c r="W18" s="174"/>
      <c r="X18" s="194" t="str">
        <f t="shared" si="3"/>
        <v/>
      </c>
      <c r="Y18" s="194"/>
      <c r="Z18" s="194"/>
      <c r="AA18" s="195"/>
      <c r="AB18" s="176" t="str">
        <f t="shared" si="4"/>
        <v/>
      </c>
      <c r="AC18" s="196" t="str">
        <f t="shared" si="5"/>
        <v/>
      </c>
      <c r="AD18" s="194"/>
      <c r="AE18" s="197"/>
    </row>
    <row r="19" spans="1:31" ht="15" customHeight="1" x14ac:dyDescent="0.25">
      <c r="A19" s="242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3"/>
      <c r="C19" s="39">
        <f ca="1">IFERROR(IF(A19&lt;&gt;"",INDIRECT("priprava_" &amp; A$1 &amp; "!BW2"),""),"")</f>
        <v>6</v>
      </c>
      <c r="D19" s="244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3"/>
      <c r="F19" s="39">
        <f ca="1">IFERROR(IF(D19&lt;&gt;"",INDIRECT("priprava_" &amp; A$1 &amp; "!BW12"),""),"")</f>
        <v>5</v>
      </c>
      <c r="G19" s="244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43"/>
      <c r="I19" s="39">
        <f ca="1">IFERROR(IF(G19&lt;&gt;"",INDIRECT("priprava_" &amp; A$1 &amp; "!BW22"),""),"")</f>
        <v>2</v>
      </c>
      <c r="J19" s="245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46"/>
      <c r="L19" s="40">
        <f ca="1">IFERROR(IF(J19&lt;&gt;"",INDIRECT("priprava_" &amp; J$1 &amp; "!BW2"),""),"")</f>
        <v>9</v>
      </c>
      <c r="M19" s="247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Krajcigr</v>
      </c>
      <c r="N19" s="246"/>
      <c r="O19" s="40">
        <f ca="1">IFERROR(IF(M19&lt;&gt;"",INDIRECT("priprava_" &amp; J$1 &amp; "!BW12"),""),"")</f>
        <v>6</v>
      </c>
      <c r="P19" s="247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Tichý</v>
      </c>
      <c r="Q19" s="246"/>
      <c r="R19" s="41">
        <f ca="1">IFERROR(IF(P19&lt;&gt;"",INDIRECT("priprava_" &amp; J$1 &amp; "!BW22"),""),"")</f>
        <v>5</v>
      </c>
    </row>
    <row r="20" spans="1:31" ht="15" customHeight="1" x14ac:dyDescent="0.25">
      <c r="A20" s="234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35"/>
      <c r="C20" s="42">
        <f ca="1">IFERROR(IF(A20&lt;&gt;"",INDIRECT("priprava_" &amp; A$1 &amp; "!BW3"),""),"")</f>
        <v>4</v>
      </c>
      <c r="D20" s="236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35"/>
      <c r="F20" s="43">
        <f ca="1">IFERROR(IF(D20&lt;&gt;"",INDIRECT("priprava_" &amp; A$1 &amp; "!BW13"),""),"")</f>
        <v>2</v>
      </c>
      <c r="G20" s="237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35"/>
      <c r="I20" s="44">
        <f ca="1">IFERROR(IF(G20&lt;&gt;"",INDIRECT("priprava_" &amp; A$1 &amp; "!BW23"),""),"")</f>
        <v>2</v>
      </c>
      <c r="J20" s="238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Tichý</v>
      </c>
      <c r="K20" s="239"/>
      <c r="L20" s="45">
        <f ca="1">IFERROR(IF(J20&lt;&gt;"",INDIRECT("priprava_" &amp; J$1 &amp; "!BW3"),""),"")</f>
        <v>8</v>
      </c>
      <c r="M20" s="240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Kopič</v>
      </c>
      <c r="N20" s="239"/>
      <c r="O20" s="46">
        <f ca="1">IFERROR(IF(M20&lt;&gt;"",INDIRECT("priprava_" &amp; J$1 &amp; "!BW13"),""),"")</f>
        <v>5</v>
      </c>
      <c r="P20" s="241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Štěrba</v>
      </c>
      <c r="Q20" s="239"/>
      <c r="R20" s="47">
        <f ca="1">IFERROR(IF(P20&lt;&gt;"",INDIRECT("priprava_" &amp; J$1 &amp; "!BW23"),""),"")</f>
        <v>3</v>
      </c>
    </row>
    <row r="21" spans="1:31" ht="15" customHeight="1" x14ac:dyDescent="0.25">
      <c r="A21" s="234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35"/>
      <c r="C21" s="42">
        <f ca="1">IFERROR(IF(A21&lt;&gt;"",INDIRECT("priprava_" &amp; A$1 &amp; "!BW4"),""),"")</f>
        <v>4</v>
      </c>
      <c r="D21" s="236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35"/>
      <c r="F21" s="43">
        <f ca="1">IFERROR(IF(D21&lt;&gt;"",INDIRECT("priprava_" &amp; A$1 &amp; "!BW14"),""),"")</f>
        <v>2</v>
      </c>
      <c r="G21" s="237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35"/>
      <c r="I21" s="44">
        <f ca="1">IFERROR(IF(G21&lt;&gt;"",INDIRECT("priprava_" &amp; A$1 &amp; "!BW24"),""),"")</f>
        <v>2</v>
      </c>
      <c r="J21" s="238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Kopič</v>
      </c>
      <c r="K21" s="239"/>
      <c r="L21" s="45">
        <f ca="1">IFERROR(IF(J21&lt;&gt;"",INDIRECT("priprava_" &amp; J$1 &amp; "!BW4"),""),"")</f>
        <v>6</v>
      </c>
      <c r="M21" s="240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Tichý</v>
      </c>
      <c r="N21" s="239"/>
      <c r="O21" s="46">
        <f ca="1">IFERROR(IF(M21&lt;&gt;"",INDIRECT("priprava_" &amp; J$1 &amp; "!BW14"),""),"")</f>
        <v>3</v>
      </c>
      <c r="P21" s="241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Jirsa</v>
      </c>
      <c r="Q21" s="239"/>
      <c r="R21" s="47">
        <f ca="1">IFERROR(IF(P21&lt;&gt;"",INDIRECT("priprava_" &amp; J$1 &amp; "!BW24"),""),"")</f>
        <v>3</v>
      </c>
    </row>
    <row r="22" spans="1:31" ht="15" customHeight="1" x14ac:dyDescent="0.25">
      <c r="A22" s="234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35"/>
      <c r="C22" s="42">
        <f ca="1">IFERROR(IF(A22&lt;&gt;"",INDIRECT("priprava_" &amp; A$1 &amp; "!BW5"),""),"")</f>
        <v>3</v>
      </c>
      <c r="D22" s="236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35"/>
      <c r="F22" s="43">
        <f ca="1">IFERROR(IF(D22&lt;&gt;"",INDIRECT("priprava_" &amp; A$1 &amp; "!BW15"),""),"")</f>
        <v>2</v>
      </c>
      <c r="G22" s="237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35"/>
      <c r="I22" s="44">
        <f ca="1">IFERROR(IF(G22&lt;&gt;"",INDIRECT("priprava_" &amp; A$1 &amp; "!BW25"),""),"")</f>
        <v>1</v>
      </c>
      <c r="J22" s="238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Ekl</v>
      </c>
      <c r="K22" s="239"/>
      <c r="L22" s="45">
        <f ca="1">IFERROR(IF(J22&lt;&gt;"",INDIRECT("priprava_" &amp; J$1 &amp; "!BW5"),""),"")</f>
        <v>5</v>
      </c>
      <c r="M22" s="240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Ekl</v>
      </c>
      <c r="N22" s="239"/>
      <c r="O22" s="46">
        <f ca="1">IFERROR(IF(M22&lt;&gt;"",INDIRECT("priprava_" &amp; J$1 &amp; "!BW15"),""),"")</f>
        <v>2</v>
      </c>
      <c r="P22" s="241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Ekl</v>
      </c>
      <c r="Q22" s="239"/>
      <c r="R22" s="47">
        <f ca="1">IFERROR(IF(P22&lt;&gt;"",INDIRECT("priprava_" &amp; J$1 &amp; "!BW25"),""),"")</f>
        <v>3</v>
      </c>
    </row>
    <row r="23" spans="1:31" ht="15" customHeight="1" thickBot="1" x14ac:dyDescent="0.3">
      <c r="A23" s="256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57"/>
      <c r="C23" s="48">
        <f ca="1">IFERROR(IF(A23&lt;&gt;"",INDIRECT("priprava_" &amp; A$1 &amp; "!BW6"),""),"")</f>
        <v>2</v>
      </c>
      <c r="D23" s="258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57"/>
      <c r="F23" s="49">
        <f ca="1">IFERROR(IF(D23&lt;&gt;"",INDIRECT("priprava_" &amp; A$1 &amp; "!BW16"),""),"")</f>
        <v>1</v>
      </c>
      <c r="G23" s="259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57"/>
      <c r="I23" s="50">
        <f ca="1">IFERROR(IF(G23&lt;&gt;"",INDIRECT("priprava_" &amp; A$1 &amp; "!BW26"),""),"")</f>
        <v>1</v>
      </c>
      <c r="J23" s="260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Slaný</v>
      </c>
      <c r="K23" s="261"/>
      <c r="L23" s="51">
        <f ca="1">IFERROR(IF(J23&lt;&gt;"",INDIRECT("priprava_" &amp; J$1 &amp; "!BW6"),""),"")</f>
        <v>4</v>
      </c>
      <c r="M23" s="262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Vlček</v>
      </c>
      <c r="N23" s="261"/>
      <c r="O23" s="52">
        <f ca="1">IFERROR(IF(M23&lt;&gt;"",INDIRECT("priprava_" &amp; J$1 &amp; "!BW16"),""),"")</f>
        <v>2</v>
      </c>
      <c r="P23" s="26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Krajcigr</v>
      </c>
      <c r="Q23" s="261"/>
      <c r="R23" s="53">
        <f ca="1">IFERROR(IF(P23&lt;&gt;"",INDIRECT("priprava_" &amp; J$1 &amp; "!BW26"),""),"")</f>
        <v>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19" t="s">
        <v>39</v>
      </c>
      <c r="B25" s="220"/>
      <c r="C25" s="248"/>
      <c r="D25" s="249" t="s">
        <v>40</v>
      </c>
      <c r="E25" s="220"/>
      <c r="F25" s="250"/>
      <c r="G25" s="225" t="s">
        <v>41</v>
      </c>
      <c r="H25" s="220"/>
      <c r="I25" s="224"/>
      <c r="J25" s="221" t="s">
        <v>39</v>
      </c>
      <c r="K25" s="222"/>
      <c r="L25" s="251"/>
      <c r="M25" s="252" t="s">
        <v>40</v>
      </c>
      <c r="N25" s="222"/>
      <c r="O25" s="253"/>
      <c r="P25" s="254" t="s">
        <v>41</v>
      </c>
      <c r="Q25" s="222"/>
      <c r="R25" s="255"/>
    </row>
    <row r="26" spans="1:31" ht="15" customHeight="1" x14ac:dyDescent="0.25">
      <c r="A26" s="242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3"/>
      <c r="C26" s="39">
        <f ca="1">IFERROR(IF(A26&lt;&gt;"",INDIRECT("priprava_" &amp; A$1 &amp; "!BW27"),""),"")</f>
        <v>4</v>
      </c>
      <c r="D26" s="244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43"/>
      <c r="F26" s="54">
        <f ca="1">IFERROR(IF(D26&lt;&gt;"",INDIRECT("priprava_" &amp; A$1 &amp; "!BW7"),""),"")</f>
        <v>8.48</v>
      </c>
      <c r="G26" s="244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3"/>
      <c r="I26" s="39">
        <f ca="1">IFERROR(IF(G26&lt;&gt;"",INDIRECT("priprava_" &amp; A$1 &amp; "!BW17"),""),"")</f>
        <v>0</v>
      </c>
      <c r="J26" s="245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Novák</v>
      </c>
      <c r="K26" s="246"/>
      <c r="L26" s="40">
        <f ca="1">IFERROR(IF(J26&lt;&gt;"",INDIRECT("priprava_" &amp; J$1 &amp; "!BW27"),""),"")</f>
        <v>27</v>
      </c>
      <c r="M26" s="247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46"/>
      <c r="O26" s="55">
        <f ca="1">IFERROR(IF(M26&lt;&gt;"",INDIRECT("priprava_" &amp; J$1 &amp; "!BW7"),""),"")</f>
        <v>6.59</v>
      </c>
      <c r="P26" s="247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Chyna</v>
      </c>
      <c r="Q26" s="246"/>
      <c r="R26" s="41">
        <f ca="1">IFERROR(IF(P26&lt;&gt;"",INDIRECT("priprava_" &amp; J$1 &amp; "!BW17"),""),"")</f>
        <v>1</v>
      </c>
    </row>
    <row r="27" spans="1:31" ht="15" customHeight="1" x14ac:dyDescent="0.25">
      <c r="A27" s="234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5"/>
      <c r="C27" s="42">
        <f ca="1">IFERROR(IF(A27&lt;&gt;"",INDIRECT("priprava_" &amp; A$1 &amp; "!BW28"),""),"")</f>
        <v>2</v>
      </c>
      <c r="D27" s="236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35"/>
      <c r="F27" s="56">
        <f ca="1">IFERROR(IF(D27&lt;&gt;"",INDIRECT("priprava_" &amp; A$1 &amp; "!BW8"),""),"")</f>
        <v>10.72</v>
      </c>
      <c r="G27" s="237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5"/>
      <c r="I27" s="44">
        <f ca="1">IFERROR(IF(G27&lt;&gt;"",INDIRECT("priprava_" &amp; A$1 &amp; "!BW18"),""),"")</f>
        <v>0</v>
      </c>
      <c r="J27" s="238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Tichý</v>
      </c>
      <c r="K27" s="239"/>
      <c r="L27" s="45">
        <f ca="1">IFERROR(IF(J27&lt;&gt;"",INDIRECT("priprava_" &amp; J$1 &amp; "!BW28"),""),"")</f>
        <v>6</v>
      </c>
      <c r="M27" s="240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39"/>
      <c r="O27" s="57">
        <f ca="1">IFERROR(IF(M27&lt;&gt;"",INDIRECT("priprava_" &amp; J$1 &amp; "!BW8"),""),"")</f>
        <v>9.08</v>
      </c>
      <c r="P27" s="241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Ponomarev</v>
      </c>
      <c r="Q27" s="239"/>
      <c r="R27" s="47">
        <f ca="1">IFERROR(IF(P27&lt;&gt;"",INDIRECT("priprava_" &amp; J$1 &amp; "!BW18"),""),"")</f>
        <v>0</v>
      </c>
    </row>
    <row r="28" spans="1:31" ht="15" customHeight="1" x14ac:dyDescent="0.25">
      <c r="A28" s="234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35"/>
      <c r="C28" s="42">
        <f ca="1">IFERROR(IF(A28&lt;&gt;"",INDIRECT("priprava_" &amp; A$1 &amp; "!BW29"),""),"")</f>
        <v>2</v>
      </c>
      <c r="D28" s="236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5"/>
      <c r="F28" s="56" t="str">
        <f ca="1">IFERROR(IF(D28&lt;&gt;"",INDIRECT("priprava_" &amp; A$1 &amp; "!BW9"),""),"")</f>
        <v/>
      </c>
      <c r="G28" s="237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5"/>
      <c r="I28" s="44" t="str">
        <f ca="1">IFERROR(IF(G28&lt;&gt;"",INDIRECT("priprava_" &amp; A$1 &amp; "!BW19"),""),"")</f>
        <v/>
      </c>
      <c r="J28" s="238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Krajcigr</v>
      </c>
      <c r="K28" s="239"/>
      <c r="L28" s="45">
        <f ca="1">IFERROR(IF(J28&lt;&gt;"",INDIRECT("priprava_" &amp; J$1 &amp; "!BW29"),""),"")</f>
        <v>6</v>
      </c>
      <c r="M28" s="240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39"/>
      <c r="O28" s="57" t="str">
        <f ca="1">IFERROR(IF(M28&lt;&gt;"",INDIRECT("priprava_" &amp; J$1 &amp; "!BW9"),""),"")</f>
        <v/>
      </c>
      <c r="P28" s="241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39"/>
      <c r="R28" s="47" t="str">
        <f ca="1">IFERROR(IF(P28&lt;&gt;"",INDIRECT("priprava_" &amp; J$1 &amp; "!BW19"),""),"")</f>
        <v/>
      </c>
    </row>
    <row r="29" spans="1:31" ht="15" customHeight="1" x14ac:dyDescent="0.25">
      <c r="A29" s="234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35"/>
      <c r="C29" s="42">
        <f ca="1">IFERROR(IF(A29&lt;&gt;"",INDIRECT("priprava_" &amp; A$1 &amp; "!BW30"),""),"")</f>
        <v>2</v>
      </c>
      <c r="D29" s="236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5"/>
      <c r="F29" s="56" t="str">
        <f ca="1">IFERROR(IF(D29&lt;&gt;"",INDIRECT("priprava_" &amp; A$1 &amp; "!BW10"),""),"")</f>
        <v/>
      </c>
      <c r="G29" s="237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5"/>
      <c r="I29" s="44" t="str">
        <f ca="1">IFERROR(IF(G29&lt;&gt;"",INDIRECT("priprava_" &amp; A$1 &amp; "!BW20"),""),"")</f>
        <v/>
      </c>
      <c r="J29" s="238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Slaný</v>
      </c>
      <c r="K29" s="239"/>
      <c r="L29" s="45">
        <f ca="1">IFERROR(IF(J29&lt;&gt;"",INDIRECT("priprava_" &amp; J$1 &amp; "!BW30"),""),"")</f>
        <v>4</v>
      </c>
      <c r="M29" s="240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39"/>
      <c r="O29" s="57" t="str">
        <f ca="1">IFERROR(IF(M29&lt;&gt;"",INDIRECT("priprava_" &amp; J$1 &amp; "!BW10"),""),"")</f>
        <v/>
      </c>
      <c r="P29" s="241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39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6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57"/>
      <c r="C30" s="48">
        <f ca="1">IFERROR(IF(A30&lt;&gt;"",INDIRECT("priprava_" &amp; A$1 &amp; "!BW31"),""),"")</f>
        <v>2</v>
      </c>
      <c r="D30" s="258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57"/>
      <c r="F30" s="58" t="str">
        <f ca="1">IFERROR(IF(D30&lt;&gt;"",INDIRECT("priprava_" &amp; A$1 &amp; "!BW11"),""),"")</f>
        <v/>
      </c>
      <c r="G30" s="259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57"/>
      <c r="I30" s="50" t="str">
        <f ca="1">IFERROR(IF(G30&lt;&gt;"",INDIRECT("priprava_" &amp; A$1 &amp; "!BW21"),""),"")</f>
        <v/>
      </c>
      <c r="J30" s="260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Chyna</v>
      </c>
      <c r="K30" s="261"/>
      <c r="L30" s="51">
        <f ca="1">IFERROR(IF(J30&lt;&gt;"",INDIRECT("priprava_" &amp; J$1 &amp; "!BW31"),""),"")</f>
        <v>2</v>
      </c>
      <c r="M30" s="262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1"/>
      <c r="O30" s="59" t="str">
        <f ca="1">IFERROR(IF(M30&lt;&gt;"",INDIRECT("priprava_" &amp; J$1 &amp; "!BW11"),""),"")</f>
        <v/>
      </c>
      <c r="P30" s="26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1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88" t="s">
        <v>46</v>
      </c>
      <c r="L32" s="289"/>
      <c r="M32" s="289"/>
      <c r="N32" s="289"/>
      <c r="O32" s="289"/>
      <c r="P32" s="289"/>
      <c r="Q32" s="289"/>
      <c r="R32" s="290"/>
    </row>
    <row r="33" spans="1:18" ht="15" customHeight="1" x14ac:dyDescent="0.25">
      <c r="I33" s="140"/>
      <c r="J33" s="141"/>
      <c r="K33" s="309" t="str">
        <f t="shared" ref="K33:K44" si="6">X3</f>
        <v>SKV - CLP</v>
      </c>
      <c r="L33" s="310"/>
      <c r="M33" s="310"/>
      <c r="N33" s="310"/>
      <c r="O33" s="142" t="str">
        <f t="shared" ref="O33:O44" si="7">AB3</f>
        <v>3:4p</v>
      </c>
      <c r="P33" s="322" t="str">
        <f t="shared" ref="P33:P44" si="8">AC3</f>
        <v>2020/2021 (ZČ)</v>
      </c>
      <c r="Q33" s="310"/>
      <c r="R33" s="323"/>
    </row>
    <row r="34" spans="1:18" ht="15" customHeight="1" thickBot="1" x14ac:dyDescent="0.3">
      <c r="I34" s="140"/>
      <c r="J34" s="141"/>
      <c r="K34" s="314" t="str">
        <f t="shared" si="6"/>
        <v>CLP - SKV</v>
      </c>
      <c r="L34" s="315"/>
      <c r="M34" s="315"/>
      <c r="N34" s="315"/>
      <c r="O34" s="143" t="str">
        <f t="shared" si="7"/>
        <v>11:5</v>
      </c>
      <c r="P34" s="324" t="str">
        <f t="shared" si="8"/>
        <v>2020/2021 (ZČ)</v>
      </c>
      <c r="Q34" s="315"/>
      <c r="R34" s="325"/>
    </row>
    <row r="35" spans="1:18" ht="15" customHeight="1" thickTop="1" thickBot="1" x14ac:dyDescent="0.3">
      <c r="A35" s="311" t="s">
        <v>45</v>
      </c>
      <c r="B35" s="312"/>
      <c r="C35" s="312"/>
      <c r="D35" s="312"/>
      <c r="E35" s="312"/>
      <c r="F35" s="312"/>
      <c r="G35" s="312"/>
      <c r="H35" s="313"/>
      <c r="I35" s="144"/>
      <c r="J35" s="144"/>
      <c r="K35" s="314" t="str">
        <f t="shared" si="6"/>
        <v>CLP - SKV</v>
      </c>
      <c r="L35" s="315"/>
      <c r="M35" s="315"/>
      <c r="N35" s="315"/>
      <c r="O35" s="143" t="str">
        <f t="shared" si="7"/>
        <v>6:7p</v>
      </c>
      <c r="P35" s="324" t="str">
        <f t="shared" si="8"/>
        <v>2019/2020 (ZČ)</v>
      </c>
      <c r="Q35" s="315"/>
      <c r="R35" s="325"/>
    </row>
    <row r="36" spans="1:18" ht="15" customHeight="1" x14ac:dyDescent="0.25">
      <c r="A36" s="303" t="str">
        <f>A1</f>
        <v>SKV</v>
      </c>
      <c r="B36" s="304"/>
      <c r="C36" s="304"/>
      <c r="D36" s="305"/>
      <c r="E36" s="306" t="str">
        <f>J1</f>
        <v>CLP</v>
      </c>
      <c r="F36" s="307"/>
      <c r="G36" s="307"/>
      <c r="H36" s="308"/>
      <c r="I36" s="144"/>
      <c r="J36" s="144"/>
      <c r="K36" s="266" t="str">
        <f t="shared" si="6"/>
        <v>SKV - CLP</v>
      </c>
      <c r="L36" s="267"/>
      <c r="M36" s="267"/>
      <c r="N36" s="267"/>
      <c r="O36" s="145" t="str">
        <f t="shared" si="7"/>
        <v>8:5</v>
      </c>
      <c r="P36" s="268" t="str">
        <f t="shared" si="8"/>
        <v>2019/2020 (ZČ)</v>
      </c>
      <c r="Q36" s="267"/>
      <c r="R36" s="269"/>
    </row>
    <row r="37" spans="1:18" ht="15" customHeight="1" x14ac:dyDescent="0.25">
      <c r="A37" s="297" t="s">
        <v>42</v>
      </c>
      <c r="B37" s="298"/>
      <c r="C37" s="274" t="s">
        <v>948</v>
      </c>
      <c r="D37" s="274"/>
      <c r="E37" s="274"/>
      <c r="F37" s="274"/>
      <c r="G37" s="274"/>
      <c r="H37" s="275"/>
      <c r="I37" s="144"/>
      <c r="J37" s="144"/>
      <c r="K37" s="266" t="str">
        <f t="shared" si="6"/>
        <v>SKV - CLP</v>
      </c>
      <c r="L37" s="267"/>
      <c r="M37" s="267"/>
      <c r="N37" s="267"/>
      <c r="O37" s="145" t="str">
        <f t="shared" si="7"/>
        <v>7:6p</v>
      </c>
      <c r="P37" s="268" t="str">
        <f t="shared" si="8"/>
        <v>2018/2019 (ZČ)</v>
      </c>
      <c r="Q37" s="267"/>
      <c r="R37" s="269"/>
    </row>
    <row r="38" spans="1:18" ht="15" customHeight="1" x14ac:dyDescent="0.25">
      <c r="A38" s="299" t="s">
        <v>43</v>
      </c>
      <c r="B38" s="300"/>
      <c r="C38" s="276" t="s">
        <v>948</v>
      </c>
      <c r="D38" s="276"/>
      <c r="E38" s="276"/>
      <c r="F38" s="276"/>
      <c r="G38" s="276"/>
      <c r="H38" s="277"/>
      <c r="I38" s="140"/>
      <c r="J38" s="146"/>
      <c r="K38" s="270" t="str">
        <f t="shared" si="6"/>
        <v>CLP - SKV</v>
      </c>
      <c r="L38" s="271"/>
      <c r="M38" s="271"/>
      <c r="N38" s="271"/>
      <c r="O38" s="147" t="str">
        <f t="shared" si="7"/>
        <v>11:5</v>
      </c>
      <c r="P38" s="272" t="str">
        <f t="shared" si="8"/>
        <v>2018/2019 (ZČ)</v>
      </c>
      <c r="Q38" s="271"/>
      <c r="R38" s="273"/>
    </row>
    <row r="39" spans="1:18" ht="15" customHeight="1" x14ac:dyDescent="0.25">
      <c r="A39" s="297"/>
      <c r="B39" s="298"/>
      <c r="C39" s="274"/>
      <c r="D39" s="274"/>
      <c r="E39" s="274"/>
      <c r="F39" s="274"/>
      <c r="G39" s="274"/>
      <c r="H39" s="275"/>
      <c r="I39" s="140"/>
      <c r="J39" s="146"/>
      <c r="K39" s="266" t="str">
        <f t="shared" si="6"/>
        <v/>
      </c>
      <c r="L39" s="267"/>
      <c r="M39" s="267"/>
      <c r="N39" s="267"/>
      <c r="O39" s="145" t="str">
        <f t="shared" si="7"/>
        <v/>
      </c>
      <c r="P39" s="268" t="str">
        <f t="shared" si="8"/>
        <v/>
      </c>
      <c r="Q39" s="267"/>
      <c r="R39" s="269"/>
    </row>
    <row r="40" spans="1:18" ht="15" customHeight="1" x14ac:dyDescent="0.25">
      <c r="A40" s="299"/>
      <c r="B40" s="300"/>
      <c r="C40" s="276"/>
      <c r="D40" s="276"/>
      <c r="E40" s="276"/>
      <c r="F40" s="276"/>
      <c r="G40" s="276"/>
      <c r="H40" s="277"/>
      <c r="I40" s="144"/>
      <c r="J40" s="144"/>
      <c r="K40" s="266" t="str">
        <f t="shared" si="6"/>
        <v/>
      </c>
      <c r="L40" s="267"/>
      <c r="M40" s="267"/>
      <c r="N40" s="267"/>
      <c r="O40" s="145" t="str">
        <f t="shared" si="7"/>
        <v/>
      </c>
      <c r="P40" s="268" t="str">
        <f t="shared" si="8"/>
        <v/>
      </c>
      <c r="Q40" s="267"/>
      <c r="R40" s="269"/>
    </row>
    <row r="41" spans="1:18" ht="15" customHeight="1" x14ac:dyDescent="0.25">
      <c r="A41" s="297"/>
      <c r="B41" s="298"/>
      <c r="C41" s="274"/>
      <c r="D41" s="274"/>
      <c r="E41" s="274"/>
      <c r="F41" s="274"/>
      <c r="G41" s="274"/>
      <c r="H41" s="275"/>
      <c r="I41" s="144"/>
      <c r="J41" s="144"/>
      <c r="K41" s="270" t="str">
        <f t="shared" si="6"/>
        <v/>
      </c>
      <c r="L41" s="271"/>
      <c r="M41" s="271"/>
      <c r="N41" s="271"/>
      <c r="O41" s="147" t="str">
        <f t="shared" si="7"/>
        <v/>
      </c>
      <c r="P41" s="272" t="str">
        <f t="shared" si="8"/>
        <v/>
      </c>
      <c r="Q41" s="271"/>
      <c r="R41" s="273"/>
    </row>
    <row r="42" spans="1:18" ht="15" customHeight="1" x14ac:dyDescent="0.25">
      <c r="A42" s="299"/>
      <c r="B42" s="300"/>
      <c r="C42" s="276"/>
      <c r="D42" s="276"/>
      <c r="E42" s="276"/>
      <c r="F42" s="276"/>
      <c r="G42" s="276"/>
      <c r="H42" s="277"/>
      <c r="I42" s="144"/>
      <c r="J42" s="144"/>
      <c r="K42" s="266" t="str">
        <f t="shared" si="6"/>
        <v/>
      </c>
      <c r="L42" s="267"/>
      <c r="M42" s="267"/>
      <c r="N42" s="267"/>
      <c r="O42" s="145" t="str">
        <f t="shared" si="7"/>
        <v/>
      </c>
      <c r="P42" s="268" t="str">
        <f t="shared" si="8"/>
        <v/>
      </c>
      <c r="Q42" s="267"/>
      <c r="R42" s="269"/>
    </row>
    <row r="43" spans="1:18" ht="15" customHeight="1" x14ac:dyDescent="0.25">
      <c r="A43" s="297"/>
      <c r="B43" s="298"/>
      <c r="C43" s="274"/>
      <c r="D43" s="274"/>
      <c r="E43" s="274"/>
      <c r="F43" s="274"/>
      <c r="G43" s="274"/>
      <c r="H43" s="275"/>
      <c r="I43" s="144"/>
      <c r="J43" s="144"/>
      <c r="K43" s="266" t="str">
        <f t="shared" si="6"/>
        <v/>
      </c>
      <c r="L43" s="267"/>
      <c r="M43" s="267"/>
      <c r="N43" s="267"/>
      <c r="O43" s="145" t="str">
        <f t="shared" si="7"/>
        <v/>
      </c>
      <c r="P43" s="268" t="str">
        <f t="shared" si="8"/>
        <v/>
      </c>
      <c r="Q43" s="267"/>
      <c r="R43" s="269"/>
    </row>
    <row r="44" spans="1:18" ht="15" customHeight="1" thickBot="1" x14ac:dyDescent="0.3">
      <c r="A44" s="301"/>
      <c r="B44" s="302"/>
      <c r="C44" s="278"/>
      <c r="D44" s="278"/>
      <c r="E44" s="278"/>
      <c r="F44" s="278"/>
      <c r="G44" s="278"/>
      <c r="H44" s="279"/>
      <c r="I44" s="144"/>
      <c r="J44" s="144"/>
      <c r="K44" s="266" t="str">
        <f t="shared" si="6"/>
        <v/>
      </c>
      <c r="L44" s="267"/>
      <c r="M44" s="267"/>
      <c r="N44" s="267"/>
      <c r="O44" s="145" t="str">
        <f t="shared" si="7"/>
        <v/>
      </c>
      <c r="P44" s="268" t="str">
        <f t="shared" si="8"/>
        <v/>
      </c>
      <c r="Q44" s="267"/>
      <c r="R44" s="269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266" t="str">
        <f t="shared" ref="K45:K48" si="9">X15</f>
        <v/>
      </c>
      <c r="L45" s="267"/>
      <c r="M45" s="267"/>
      <c r="N45" s="267"/>
      <c r="O45" s="145" t="str">
        <f t="shared" ref="O45:P45" si="10">AB15</f>
        <v/>
      </c>
      <c r="P45" s="268" t="str">
        <f t="shared" si="10"/>
        <v/>
      </c>
      <c r="Q45" s="267"/>
      <c r="R45" s="269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266" t="str">
        <f t="shared" si="9"/>
        <v/>
      </c>
      <c r="L46" s="267"/>
      <c r="M46" s="267"/>
      <c r="N46" s="267"/>
      <c r="O46" s="145" t="str">
        <f t="shared" ref="O46:P46" si="11">AB16</f>
        <v/>
      </c>
      <c r="P46" s="268" t="str">
        <f t="shared" si="11"/>
        <v/>
      </c>
      <c r="Q46" s="267"/>
      <c r="R46" s="269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266" t="str">
        <f t="shared" si="9"/>
        <v/>
      </c>
      <c r="L47" s="267"/>
      <c r="M47" s="267"/>
      <c r="N47" s="267"/>
      <c r="O47" s="145" t="str">
        <f t="shared" ref="O47:P47" si="12">AB17</f>
        <v/>
      </c>
      <c r="P47" s="268" t="str">
        <f t="shared" si="12"/>
        <v/>
      </c>
      <c r="Q47" s="267"/>
      <c r="R47" s="269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6" t="str">
        <f t="shared" si="9"/>
        <v/>
      </c>
      <c r="L48" s="317"/>
      <c r="M48" s="317"/>
      <c r="N48" s="317"/>
      <c r="O48" s="149" t="str">
        <f t="shared" ref="O48:P48" si="13">AB18</f>
        <v/>
      </c>
      <c r="P48" s="318" t="str">
        <f t="shared" si="13"/>
        <v/>
      </c>
      <c r="Q48" s="317"/>
      <c r="R48" s="319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4">
        <f ca="1">TODAY()</f>
        <v>44469</v>
      </c>
      <c r="H50" s="265"/>
      <c r="I50" s="265"/>
      <c r="J50" s="265"/>
      <c r="K50" s="265"/>
      <c r="L50" s="265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8" sqref="A8 A1:F2"/>
    </sheetView>
  </sheetViews>
  <sheetFormatPr defaultColWidth="9.140625" defaultRowHeight="14.25" x14ac:dyDescent="0.25"/>
  <cols>
    <col min="1" max="12" width="21.28515625" style="3" customWidth="1"/>
    <col min="13" max="16384" width="9.140625" style="3"/>
  </cols>
  <sheetData>
    <row r="1" spans="1:12" x14ac:dyDescent="0.25">
      <c r="A1" s="326" t="str">
        <f>prehled!A1</f>
        <v>SKV</v>
      </c>
      <c r="B1" s="326"/>
      <c r="C1" s="326"/>
      <c r="D1" s="326"/>
      <c r="E1" s="326"/>
      <c r="F1" s="326"/>
      <c r="G1" s="326" t="str">
        <f>prehled!J1</f>
        <v>CLP</v>
      </c>
      <c r="H1" s="326"/>
      <c r="I1" s="326"/>
      <c r="J1" s="326"/>
      <c r="K1" s="326"/>
      <c r="L1" s="326"/>
    </row>
    <row r="2" spans="1:12" x14ac:dyDescent="0.25">
      <c r="A2" s="326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</row>
    <row r="3" spans="1:12" s="153" customFormat="1" ht="19.5" x14ac:dyDescent="0.25">
      <c r="A3" s="327" t="s">
        <v>92</v>
      </c>
      <c r="B3" s="327"/>
      <c r="C3" s="327"/>
      <c r="D3" s="327"/>
      <c r="E3" s="327"/>
      <c r="F3" s="327"/>
      <c r="G3" s="327" t="s">
        <v>92</v>
      </c>
      <c r="H3" s="327"/>
      <c r="I3" s="327"/>
      <c r="J3" s="327"/>
      <c r="K3" s="327"/>
      <c r="L3" s="327"/>
    </row>
    <row r="4" spans="1:12" ht="14.25" customHeight="1" x14ac:dyDescent="0.25">
      <c r="A4" s="326" t="str">
        <f>A1</f>
        <v>SKV</v>
      </c>
      <c r="B4" s="156">
        <f ca="1">IF($A$4&lt;&gt;0,IFERROR(INDEX(zajimavosti_tymy!B:B,MATCH(prehled!$A$3,OFFSET(zajimavosti_tymy!$A$2,,,(COUNTA(zajimavosti_tymy!$A:$A)-1)*3),0)+1),""),"")</f>
        <v>0</v>
      </c>
      <c r="C4" s="157">
        <f ca="1">IF($A$4&lt;&gt;0,IFERROR(INDEX(zajimavosti_tymy!C:C,MATCH(prehled!$A$3,OFFSET(zajimavosti_tymy!$A$2,,,(COUNTA(zajimavosti_tymy!$A:$A)-1)*3),0)+1),""),"")</f>
        <v>0</v>
      </c>
      <c r="D4" s="157">
        <f ca="1">IF($A$4&lt;&gt;0,IFERROR(INDEX(zajimavosti_tymy!D:D,MATCH(prehled!$A$3,OFFSET(zajimavosti_tymy!$A$2,,,(COUNTA(zajimavosti_tymy!$A:$A)-1)*3),0)+1),""),"")</f>
        <v>0</v>
      </c>
      <c r="E4" s="157">
        <f ca="1">IF($A$4&lt;&gt;0,IFERROR(INDEX(zajimavosti_tymy!E:E,MATCH(prehled!$A$3,OFFSET(zajimavosti_tymy!$A$2,,,(COUNTA(zajimavosti_tymy!$A:$A)-1)*3),0)+1),""),"")</f>
        <v>0</v>
      </c>
      <c r="F4" s="158">
        <f ca="1">IF($A$4&lt;&gt;0,IFERROR(INDEX(zajimavosti_tymy!F:F,MATCH(prehled!$A$3,OFFSET(zajimavosti_tymy!$A$2,,,(COUNTA(zajimavosti_tymy!$A:$A)-1)*3),0)+1),""),"")</f>
        <v>0</v>
      </c>
      <c r="G4" s="326" t="str">
        <f>G1</f>
        <v>CLP</v>
      </c>
      <c r="H4" s="156">
        <f ca="1">IF($G$4&lt;&gt;0,IFERROR(INDEX(zajimavosti_tymy!B:B,MATCH(prehled!$J$3,OFFSET(zajimavosti_tymy!$A$2,,,(COUNTA(zajimavosti_tymy!$A:$A)-1)*3),0)+1),""),"")</f>
        <v>0</v>
      </c>
      <c r="I4" s="157">
        <f ca="1">IF($G$4&lt;&gt;0,IFERROR(INDEX(zajimavosti_tymy!C:C,MATCH(prehled!$J$3,OFFSET(zajimavosti_tymy!$A$2,,,(COUNTA(zajimavosti_tymy!$A:$A)-1)*3),0)+1),""),"")</f>
        <v>0</v>
      </c>
      <c r="J4" s="157">
        <f ca="1">IF($G$4&lt;&gt;0,IFERROR(INDEX(zajimavosti_tymy!D:D,MATCH(prehled!$J$3,OFFSET(zajimavosti_tymy!$A$2,,,(COUNTA(zajimavosti_tymy!$A:$A)-1)*3),0)+1),""),"")</f>
        <v>0</v>
      </c>
      <c r="K4" s="157">
        <f ca="1">IF($G$4&lt;&gt;0,IFERROR(INDEX(zajimavosti_tymy!E:E,MATCH(prehled!$J$3,OFFSET(zajimavosti_tymy!$A$2,,,(COUNTA(zajimavosti_tymy!$A:$A)-1)*3),0)+1),""),"")</f>
        <v>0</v>
      </c>
      <c r="L4" s="158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26"/>
      <c r="B5" s="156">
        <f ca="1">IF($A$4&lt;&gt;0,IFERROR(INDEX(zajimavosti_tymy!B:B,MATCH(prehled!$A$3,OFFSET(zajimavosti_tymy!$A$2,,,(COUNTA(zajimavosti_tymy!$A:$A)-1)*3),0)+2),""),"")</f>
        <v>0</v>
      </c>
      <c r="C5" s="157">
        <f ca="1">IF($A$4&lt;&gt;0,IFERROR(INDEX(zajimavosti_tymy!C:C,MATCH(prehled!$A$3,OFFSET(zajimavosti_tymy!$A$2,,,(COUNTA(zajimavosti_tymy!$A:$A)-1)*3),0)+2),""),"")</f>
        <v>0</v>
      </c>
      <c r="D5" s="157">
        <f ca="1">IF($A$4&lt;&gt;0,IFERROR(INDEX(zajimavosti_tymy!D:D,MATCH(prehled!$A$3,OFFSET(zajimavosti_tymy!$A$2,,,(COUNTA(zajimavosti_tymy!$A:$A)-1)*3),0)+2),""),"")</f>
        <v>0</v>
      </c>
      <c r="E5" s="157">
        <f ca="1">IF($A$4&lt;&gt;0,IFERROR(INDEX(zajimavosti_tymy!E:E,MATCH(prehled!$A$3,OFFSET(zajimavosti_tymy!$A$2,,,(COUNTA(zajimavosti_tymy!$A:$A)-1)*3),0)+2),""),"")</f>
        <v>0</v>
      </c>
      <c r="F5" s="158">
        <f ca="1">IF($A$4&lt;&gt;0,IFERROR(INDEX(zajimavosti_tymy!F:F,MATCH(prehled!$A$3,OFFSET(zajimavosti_tymy!$A$2,,,(COUNTA(zajimavosti_tymy!$A:$A)-1)*3),0)+2),""),"")</f>
        <v>0</v>
      </c>
      <c r="G5" s="326"/>
      <c r="H5" s="156">
        <f ca="1">IF($G$4&lt;&gt;0,IFERROR(INDEX(zajimavosti_tymy!B:B,MATCH(prehled!$J$3,OFFSET(zajimavosti_tymy!$A$2,,,(COUNTA(zajimavosti_tymy!$A:$A)-1)*3),0)+2),""),"")</f>
        <v>0</v>
      </c>
      <c r="I5" s="157">
        <f ca="1">IF($G$4&lt;&gt;0,IFERROR(INDEX(zajimavosti_tymy!C:C,MATCH(prehled!$J$3,OFFSET(zajimavosti_tymy!$A$2,,,(COUNTA(zajimavosti_tymy!$A:$A)-1)*3),0)+2),""),"")</f>
        <v>0</v>
      </c>
      <c r="J5" s="157">
        <f ca="1">IF($G$4&lt;&gt;0,IFERROR(INDEX(zajimavosti_tymy!D:D,MATCH(prehled!$J$3,OFFSET(zajimavosti_tymy!$A$2,,,(COUNTA(zajimavosti_tymy!$A:$A)-1)*3),0)+2),""),"")</f>
        <v>0</v>
      </c>
      <c r="K5" s="157">
        <f ca="1">IF($G$4&lt;&gt;0,IFERROR(INDEX(zajimavosti_tymy!E:E,MATCH(prehled!$J$3,OFFSET(zajimavosti_tymy!$A$2,,,(COUNTA(zajimavosti_tymy!$A:$A)-1)*3),0)+2),""),"")</f>
        <v>0</v>
      </c>
      <c r="L5" s="158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6"/>
      <c r="B6" s="156">
        <f ca="1">IF($A$4&lt;&gt;0,IFERROR(INDEX(zajimavosti_tymy!B:B,MATCH(prehled!$A$3,OFFSET(zajimavosti_tymy!$A$2,,,(COUNTA(zajimavosti_tymy!$A:$A)-1)*3),0)+3),""),"")</f>
        <v>0</v>
      </c>
      <c r="C6" s="157">
        <f ca="1">IF($A$4&lt;&gt;0,IFERROR(INDEX(zajimavosti_tymy!C:C,MATCH(prehled!$A$3,OFFSET(zajimavosti_tymy!$A$2,,,(COUNTA(zajimavosti_tymy!$A:$A)-1)*3),0)+3),""),"")</f>
        <v>0</v>
      </c>
      <c r="D6" s="157">
        <f ca="1">IF($A$4&lt;&gt;0,IFERROR(INDEX(zajimavosti_tymy!D:D,MATCH(prehled!$A$3,OFFSET(zajimavosti_tymy!$A$2,,,(COUNTA(zajimavosti_tymy!$A:$A)-1)*3),0)+3),""),"")</f>
        <v>0</v>
      </c>
      <c r="E6" s="157">
        <f ca="1">IF($A$4&lt;&gt;0,IFERROR(INDEX(zajimavosti_tymy!E:E,MATCH(prehled!$A$3,OFFSET(zajimavosti_tymy!$A$2,,,(COUNTA(zajimavosti_tymy!$A:$A)-1)*3),0)+3),""),"")</f>
        <v>0</v>
      </c>
      <c r="F6" s="158">
        <f ca="1">IF($A$4&lt;&gt;0,IFERROR(INDEX(zajimavosti_tymy!F:F,MATCH(prehled!$A$3,OFFSET(zajimavosti_tymy!$A$2,,,(COUNTA(zajimavosti_tymy!$A:$A)-1)*3),0)+3),""),"")</f>
        <v>0</v>
      </c>
      <c r="G6" s="326"/>
      <c r="H6" s="156">
        <f ca="1">IF($G$4&lt;&gt;0,IFERROR(INDEX(zajimavosti_tymy!B:B,MATCH(prehled!$J$3,OFFSET(zajimavosti_tymy!$A$2,,,(COUNTA(zajimavosti_tymy!$A:$A)-1)*3),0)+3),""),"")</f>
        <v>0</v>
      </c>
      <c r="I6" s="157">
        <f ca="1">IF($G$4&lt;&gt;0,IFERROR(INDEX(zajimavosti_tymy!C:C,MATCH(prehled!$J$3,OFFSET(zajimavosti_tymy!$A$2,,,(COUNTA(zajimavosti_tymy!$A:$A)-1)*3),0)+3),""),"")</f>
        <v>0</v>
      </c>
      <c r="J6" s="157">
        <f ca="1">IF($G$4&lt;&gt;0,IFERROR(INDEX(zajimavosti_tymy!D:D,MATCH(prehled!$J$3,OFFSET(zajimavosti_tymy!$A$2,,,(COUNTA(zajimavosti_tymy!$A:$A)-1)*3),0)+3),""),"")</f>
        <v>0</v>
      </c>
      <c r="K6" s="157">
        <f ca="1">IF($G$4&lt;&gt;0,IFERROR(INDEX(zajimavosti_tymy!E:E,MATCH(prehled!$J$3,OFFSET(zajimavosti_tymy!$A$2,,,(COUNTA(zajimavosti_tymy!$A:$A)-1)*3),0)+3),""),"")</f>
        <v>0</v>
      </c>
      <c r="L6" s="158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27" t="s">
        <v>870</v>
      </c>
      <c r="B7" s="327"/>
      <c r="C7" s="327"/>
      <c r="D7" s="327"/>
      <c r="E7" s="327"/>
      <c r="F7" s="327"/>
      <c r="G7" s="327" t="s">
        <v>870</v>
      </c>
      <c r="H7" s="327"/>
      <c r="I7" s="327"/>
      <c r="J7" s="327"/>
      <c r="K7" s="327"/>
      <c r="L7" s="327"/>
    </row>
    <row r="8" spans="1:12" x14ac:dyDescent="0.25">
      <c r="A8" s="155" t="str">
        <f ca="1">IF(INDIRECT("priprava_" &amp; A$1 &amp; "!A1")&lt;&gt;0,INDIRECT("priprava_" &amp; A$1 &amp; "!A1"),"")</f>
        <v>Jan Fiala</v>
      </c>
      <c r="B8" s="156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57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57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57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58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55" t="str">
        <f ca="1">IF(INDIRECT("priprava_" &amp; G$1 &amp; "!A1")&lt;&gt;0,INDIRECT("priprava_" &amp; G$1 &amp; "!A1"),"")</f>
        <v/>
      </c>
      <c r="H8" s="157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57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57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57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58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5" t="str">
        <f ca="1">IF(INDIRECT("priprava_" &amp; A$1 &amp; "!M1")&lt;&gt;0,INDIRECT("priprava_" &amp; A$1 &amp; "!M1"),"")</f>
        <v>Jan Procházka</v>
      </c>
      <c r="B9" s="156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57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57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57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58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55" t="str">
        <f ca="1">IF(INDIRECT("priprava_" &amp; G$1 &amp; "!M1")&lt;&gt;0,INDIRECT("priprava_" &amp; G$1 &amp; "!M1"),"")</f>
        <v/>
      </c>
      <c r="H9" s="157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57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57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57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58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55" t="str">
        <f ca="1">IF(INDIRECT("priprava_" &amp; A$1 &amp; "!G3")&lt;&gt;0,INDIRECT("priprava_" &amp; A$1 &amp; "!G3"),"")</f>
        <v>Zbyněk Stuchlík</v>
      </c>
      <c r="B10" s="156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57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57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57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58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55" t="str">
        <f ca="1">IF(INDIRECT("priprava_" &amp; G$1 &amp; "!G3")&lt;&gt;0,INDIRECT("priprava_" &amp; G$1 &amp; "!G3"),"")</f>
        <v/>
      </c>
      <c r="H10" s="157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57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57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57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58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5" t="str">
        <f ca="1">IF(INDIRECT("priprava_" &amp; A$1 &amp; "!A6")&lt;&gt;0,INDIRECT("priprava_" &amp; A$1 &amp; "!A6"),"")</f>
        <v>Oliver Gold</v>
      </c>
      <c r="B11" s="156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57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57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57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58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55" t="str">
        <f ca="1">IF(INDIRECT("priprava_" &amp; G$1 &amp; "!A6")&lt;&gt;0,INDIRECT("priprava_" &amp; G$1 &amp; "!A6"),"")</f>
        <v/>
      </c>
      <c r="H11" s="157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57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57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57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58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55" t="str">
        <f ca="1">IF(INDIRECT("priprava_" &amp; A$1 &amp; "!M6")&lt;&gt;0,INDIRECT("priprava_" &amp; A$1 &amp; "!M6"),"")</f>
        <v>Ondřej Stuchlík</v>
      </c>
      <c r="B12" s="156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57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57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57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58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55" t="str">
        <f ca="1">IF(INDIRECT("priprava_" &amp; G$1 &amp; "!M6")&lt;&gt;0,INDIRECT("priprava_" &amp; G$1 &amp; "!M6"),"")</f>
        <v/>
      </c>
      <c r="H12" s="157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57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57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57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58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5" t="str">
        <f ca="1">IF(INDIRECT("priprava_" &amp; A$1 &amp; "!A12")&lt;&gt;0,INDIRECT("priprava_" &amp; A$1 &amp; "!A12"),"")</f>
        <v>Viktor Kopecký</v>
      </c>
      <c r="B13" s="156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57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57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57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58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55" t="str">
        <f ca="1">IF(INDIRECT("priprava_" &amp; G$1 &amp; "!A12")&lt;&gt;0,INDIRECT("priprava_" &amp; G$1 &amp; "!A12"),"")</f>
        <v/>
      </c>
      <c r="H13" s="157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57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57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57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58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5" t="str">
        <f ca="1">IF(INDIRECT("priprava_" &amp; A$1 &amp; "!M12")&lt;&gt;0,INDIRECT("priprava_" &amp; A$1 &amp; "!M12"),"")</f>
        <v>Vojtěch Klápa</v>
      </c>
      <c r="B14" s="156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57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57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57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58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55" t="str">
        <f ca="1">IF(INDIRECT("priprava_" &amp; G$1 &amp; "!M12")&lt;&gt;0,INDIRECT("priprava_" &amp; G$1 &amp; "!M12"),"")</f>
        <v/>
      </c>
      <c r="H14" s="157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57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57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57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58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5" t="str">
        <f ca="1">IF(INDIRECT("priprava_" &amp; A$1 &amp; "!G14")&lt;&gt;0,INDIRECT("priprava_" &amp; A$1 &amp; "!G14"),"")</f>
        <v>Daniel Cabejšek</v>
      </c>
      <c r="B15" s="156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57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57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57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58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5" t="str">
        <f ca="1">IF(INDIRECT("priprava_" &amp; G$1 &amp; "!G14")&lt;&gt;0,INDIRECT("priprava_" &amp; G$1 &amp; "!G14"),"")</f>
        <v/>
      </c>
      <c r="H15" s="157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57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57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57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58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5" t="str">
        <f ca="1">IF(INDIRECT("priprava_" &amp; A$1 &amp; "!A17")&lt;&gt;0,INDIRECT("priprava_" &amp; A$1 &amp; "!A17"),"")</f>
        <v>Štěpán Čuda</v>
      </c>
      <c r="B16" s="156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57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57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57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58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5" t="str">
        <f ca="1">IF(INDIRECT("priprava_" &amp; G$1 &amp; "!A17")&lt;&gt;0,INDIRECT("priprava_" &amp; G$1 &amp; "!A17"),"")</f>
        <v/>
      </c>
      <c r="H16" s="157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57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57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57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58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5" t="str">
        <f ca="1">IF(INDIRECT("priprava_" &amp; A$1 &amp; "!M17")&lt;&gt;0,INDIRECT("priprava_" &amp; A$1 &amp; "!M17"),"")</f>
        <v>David Ježek</v>
      </c>
      <c r="B17" s="156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57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57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57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58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5" t="str">
        <f ca="1">IF(INDIRECT("priprava_" &amp; G$1 &amp; "!M17")&lt;&gt;0,INDIRECT("priprava_" &amp; G$1 &amp; "!M17"),"")</f>
        <v/>
      </c>
      <c r="H17" s="157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57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57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57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58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5" t="str">
        <f ca="1">IF(INDIRECT("priprava_" &amp; A$1 &amp; "!A23")&lt;&gt;0,INDIRECT("priprava_" &amp; A$1 &amp; "!A23"),"")</f>
        <v>Štepán Švejda</v>
      </c>
      <c r="B18" s="156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57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57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57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58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5" t="str">
        <f ca="1">IF(INDIRECT("priprava_" &amp; G$1 &amp; "!A23")&lt;&gt;0,INDIRECT("priprava_" &amp; G$1 &amp; "!A23"),"")</f>
        <v/>
      </c>
      <c r="H18" s="157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57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57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57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58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5" t="str">
        <f ca="1">IF(INDIRECT("priprava_" &amp; A$1 &amp; "!M23")&lt;&gt;0,INDIRECT("priprava_" &amp; A$1 &amp; "!M23"),"")</f>
        <v>Jan Pinkas</v>
      </c>
      <c r="B19" s="156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57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57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57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58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55" t="str">
        <f ca="1">IF(INDIRECT("priprava_" &amp; G$1 &amp; "!M23")&lt;&gt;0,INDIRECT("priprava_" &amp; G$1 &amp; "!M23"),"")</f>
        <v/>
      </c>
      <c r="H19" s="157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57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57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57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58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5" t="str">
        <f ca="1">IF(INDIRECT("priprava_" &amp; A$1 &amp; "!G25")&lt;&gt;0,INDIRECT("priprava_" &amp; A$1 &amp; "!G25"),"")</f>
        <v>Ivan Pergler</v>
      </c>
      <c r="B20" s="156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57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57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57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58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55" t="str">
        <f ca="1">IF(INDIRECT("priprava_" &amp; G$1 &amp; "!G25")&lt;&gt;0,INDIRECT("priprava_" &amp; G$1 &amp; "!G25"),"")</f>
        <v/>
      </c>
      <c r="H20" s="157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57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57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57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58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5" t="str">
        <f ca="1">IF(INDIRECT("priprava_" &amp; A$1 &amp; "!A28")&lt;&gt;0,INDIRECT("priprava_" &amp; A$1 &amp; "!A28"),"")</f>
        <v>Lukáš Lanc</v>
      </c>
      <c r="B21" s="156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57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1" s="157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57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58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5" t="str">
        <f ca="1">IF(INDIRECT("priprava_" &amp; G$1 &amp; "!A28")&lt;&gt;0,INDIRECT("priprava_" &amp; G$1 &amp; "!A28"),"")</f>
        <v/>
      </c>
      <c r="H21" s="157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57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57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57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58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5" t="str">
        <f ca="1">IF(INDIRECT("priprava_" &amp; A$1 &amp; "!M28")&lt;&gt;0,INDIRECT("priprava_" &amp; A$1 &amp; "!M28"),"")</f>
        <v>Petr Hartman</v>
      </c>
      <c r="B22" s="156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57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57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57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58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55" t="str">
        <f ca="1">IF(INDIRECT("priprava_" &amp; G$1 &amp; "!M28")&lt;&gt;0,INDIRECT("priprava_" &amp; G$1 &amp; "!M28"),"")</f>
        <v/>
      </c>
      <c r="H22" s="157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57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57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57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58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5" t="str">
        <f ca="1">IF(INDIRECT("priprava_" &amp; A$1 &amp; "!J34")&lt;&gt;0,INDIRECT("priprava_" &amp; A$1 &amp; "!J34"),"")</f>
        <v>Marek Paštika</v>
      </c>
      <c r="B23" s="156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57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57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57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58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55" t="str">
        <f ca="1">IF(INDIRECT("priprava_" &amp; G$1 &amp; "!J34")&lt;&gt;0,INDIRECT("priprava_" &amp; G$1 &amp; "!J34"),"")</f>
        <v/>
      </c>
      <c r="H23" s="157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57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57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57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58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5" t="str">
        <f ca="1">IF(INDIRECT("priprava_" &amp; A$1 &amp; "!J38")&lt;&gt;0,INDIRECT("priprava_" &amp; A$1 &amp; "!J38"),"")</f>
        <v>Matěj Horák</v>
      </c>
      <c r="B24" s="156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57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57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57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58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5" t="str">
        <f ca="1">IF(INDIRECT("priprava_" &amp; G$1 &amp; "!J38")&lt;&gt;0,INDIRECT("priprava_" &amp; G$1 &amp; "!J38"),"")</f>
        <v/>
      </c>
      <c r="H24" s="157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57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57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57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58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5" t="str">
        <f ca="1">IF(INDIRECT("priprava_" &amp; A$1 &amp; "!J42")&lt;&gt;0,INDIRECT("priprava_" &amp; A$1 &amp; "!J42"),"")</f>
        <v>Milan Bína</v>
      </c>
      <c r="B25" s="156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57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57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57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58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5" t="str">
        <f ca="1">IF(INDIRECT("priprava_" &amp; G$1 &amp; "!J42")&lt;&gt;0,INDIRECT("priprava_" &amp; G$1 &amp; "!J42"),"")</f>
        <v/>
      </c>
      <c r="H25" s="157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57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57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57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58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5" t="str">
        <f ca="1">IF(INDIRECT("priprava_" &amp; A$1 &amp; "!A34")&lt;&gt;0,INDIRECT("priprava_" &amp; A$1 &amp; "!A34"),"")</f>
        <v>Petr Musil</v>
      </c>
      <c r="B26" s="156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57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57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57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58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5" t="str">
        <f ca="1">IF(INDIRECT("priprava_" &amp; G$1 &amp; "!A34")&lt;&gt;0,INDIRECT("priprava_" &amp; G$1 &amp; "!A34"),"")</f>
        <v/>
      </c>
      <c r="H26" s="157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57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57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57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58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5" t="str">
        <f ca="1">IF(INDIRECT("priprava_" &amp; A$1 &amp; "!A40")&lt;&gt;0,INDIRECT("priprava_" &amp; A$1 &amp; "!A40"),"")</f>
        <v>Karel Šantora</v>
      </c>
      <c r="B27" s="156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57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57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57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58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55" t="str">
        <f ca="1">IF(INDIRECT("priprava_" &amp; G$1 &amp; "!A40")&lt;&gt;0,INDIRECT("priprava_" &amp; G$1 &amp; "!A40"),"")</f>
        <v/>
      </c>
      <c r="H27" s="157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57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57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57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58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27" t="s">
        <v>871</v>
      </c>
      <c r="B28" s="327"/>
      <c r="C28" s="327"/>
      <c r="D28" s="327"/>
      <c r="E28" s="327"/>
      <c r="F28" s="327"/>
      <c r="G28" s="327" t="s">
        <v>871</v>
      </c>
      <c r="H28" s="327"/>
      <c r="I28" s="327"/>
      <c r="J28" s="327"/>
      <c r="K28" s="327"/>
      <c r="L28" s="327"/>
    </row>
    <row r="29" spans="1:12" x14ac:dyDescent="0.25">
      <c r="A29" s="155" t="str">
        <f ca="1">IF(INDIRECT("priprava_" &amp; A$1 &amp; "!A47")&lt;&gt;0,INDIRECT("priprava_" &amp; A$1 &amp; "!A47"),"")</f>
        <v>Michal Kotlas</v>
      </c>
      <c r="B29" s="157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57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57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57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58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5" t="str">
        <f ca="1">IF(INDIRECT("priprava_" &amp; G$1 &amp; "!A47")&lt;&gt;0,INDIRECT("priprava_" &amp; G$1 &amp; "!A47"),"")</f>
        <v/>
      </c>
      <c r="H29" s="157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57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57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57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58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55" t="str">
        <f ca="1">IF(INDIRECT("priprava_" &amp; A$1 &amp; "!J47")&lt;&gt;0,INDIRECT("priprava_" &amp; A$1 &amp; "!J47"),"")</f>
        <v>David Bouša</v>
      </c>
      <c r="B30" s="157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57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57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57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58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5" t="str">
        <f ca="1">IF(INDIRECT("priprava_" &amp; G$1 &amp; "!J47")&lt;&gt;0,INDIRECT("priprava_" &amp; G$1 &amp; "!J47"),"")</f>
        <v/>
      </c>
      <c r="H30" s="157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57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57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57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58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5" t="str">
        <f ca="1">IF(INDIRECT("priprava_" &amp; A$1 &amp; "!J49")&lt;&gt;0,INDIRECT("priprava_" &amp; A$1 &amp; "!J49"),"")</f>
        <v>Boleslav Kytka</v>
      </c>
      <c r="B31" s="157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57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57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57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58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5" t="str">
        <f ca="1">IF(INDIRECT("priprava_" &amp; G$1 &amp; "!J49")&lt;&gt;0,INDIRECT("priprava_" &amp; G$1 &amp; "!J49"),"")</f>
        <v/>
      </c>
      <c r="H31" s="157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57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57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57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58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view="pageLayout" zoomScaleNormal="100" workbookViewId="0">
      <selection activeCell="A2" sqref="A2"/>
    </sheetView>
  </sheetViews>
  <sheetFormatPr defaultColWidth="9.140625" defaultRowHeight="14.25" x14ac:dyDescent="0.25"/>
  <cols>
    <col min="1" max="1" width="21.28515625" style="180" customWidth="1"/>
    <col min="2" max="2" width="8.7109375" style="179" customWidth="1"/>
    <col min="3" max="7" width="21.28515625" style="178" customWidth="1"/>
    <col min="8" max="8" width="17.5703125" style="177" hidden="1" customWidth="1"/>
    <col min="9" max="16384" width="9.140625" style="177"/>
  </cols>
  <sheetData>
    <row r="1" spans="1:8" s="185" customFormat="1" ht="19.5" x14ac:dyDescent="0.25">
      <c r="A1" s="328" t="s">
        <v>885</v>
      </c>
      <c r="B1" s="328"/>
      <c r="C1" s="328" t="s">
        <v>884</v>
      </c>
      <c r="D1" s="328"/>
      <c r="E1" s="328"/>
      <c r="F1" s="328"/>
      <c r="G1" s="328"/>
      <c r="H1" s="185" t="s">
        <v>883</v>
      </c>
    </row>
    <row r="2" spans="1:8" x14ac:dyDescent="0.25">
      <c r="A2" s="183" t="s">
        <v>234</v>
      </c>
      <c r="B2" s="184">
        <v>37276</v>
      </c>
      <c r="C2" s="181" t="s">
        <v>880</v>
      </c>
      <c r="D2" s="181"/>
      <c r="E2" s="181"/>
      <c r="F2" s="181"/>
      <c r="G2" s="181"/>
      <c r="H2" s="177" t="str">
        <f t="shared" ref="H2:H33" si="0">IF(A2&lt;&gt;"",CONCATENATE(A2," (",B2,")"),"")</f>
        <v>Jakub Pařízek (37276)</v>
      </c>
    </row>
    <row r="3" spans="1:8" x14ac:dyDescent="0.25">
      <c r="A3" s="183" t="s">
        <v>162</v>
      </c>
      <c r="B3" s="184">
        <v>32379</v>
      </c>
      <c r="C3" s="181" t="s">
        <v>879</v>
      </c>
      <c r="D3" s="181"/>
      <c r="E3" s="181"/>
      <c r="F3" s="181"/>
      <c r="G3" s="181"/>
      <c r="H3" s="177" t="str">
        <f t="shared" si="0"/>
        <v>Lukáš Lanc (32379)</v>
      </c>
    </row>
    <row r="4" spans="1:8" x14ac:dyDescent="0.25">
      <c r="A4" s="183" t="s">
        <v>225</v>
      </c>
      <c r="B4" s="184">
        <v>37818</v>
      </c>
      <c r="C4" s="181" t="s">
        <v>882</v>
      </c>
      <c r="D4" s="181"/>
      <c r="E4" s="181"/>
      <c r="F4" s="181"/>
      <c r="G4" s="181"/>
      <c r="H4" s="177" t="str">
        <f t="shared" si="0"/>
        <v>Šimon Stránský (37818)</v>
      </c>
    </row>
    <row r="5" spans="1:8" x14ac:dyDescent="0.25">
      <c r="A5" s="183" t="s">
        <v>255</v>
      </c>
      <c r="B5" s="184">
        <v>24850</v>
      </c>
      <c r="C5" s="181" t="s">
        <v>881</v>
      </c>
      <c r="D5" s="181"/>
      <c r="E5" s="181"/>
      <c r="F5" s="181"/>
      <c r="G5" s="181"/>
      <c r="H5" s="177" t="str">
        <f t="shared" si="0"/>
        <v>Zdeněk Skružný (24850)</v>
      </c>
    </row>
    <row r="6" spans="1:8" x14ac:dyDescent="0.25">
      <c r="A6" s="183"/>
      <c r="B6" s="182"/>
      <c r="C6" s="181"/>
      <c r="D6" s="181"/>
      <c r="E6" s="181"/>
      <c r="F6" s="181"/>
      <c r="G6" s="181"/>
      <c r="H6" s="177" t="str">
        <f t="shared" si="0"/>
        <v/>
      </c>
    </row>
    <row r="7" spans="1:8" x14ac:dyDescent="0.25">
      <c r="A7" s="183"/>
      <c r="B7" s="182"/>
      <c r="C7" s="181"/>
      <c r="D7" s="181"/>
      <c r="E7" s="181"/>
      <c r="F7" s="181"/>
      <c r="G7" s="181"/>
      <c r="H7" s="177" t="str">
        <f t="shared" si="0"/>
        <v/>
      </c>
    </row>
    <row r="8" spans="1:8" x14ac:dyDescent="0.25">
      <c r="A8" s="183"/>
      <c r="B8" s="182"/>
      <c r="C8" s="181"/>
      <c r="D8" s="181"/>
      <c r="E8" s="181"/>
      <c r="F8" s="181"/>
      <c r="G8" s="181"/>
      <c r="H8" s="177" t="str">
        <f t="shared" si="0"/>
        <v/>
      </c>
    </row>
    <row r="9" spans="1:8" x14ac:dyDescent="0.25">
      <c r="A9" s="183"/>
      <c r="B9" s="182"/>
      <c r="C9" s="181"/>
      <c r="D9" s="181"/>
      <c r="E9" s="181"/>
      <c r="F9" s="181"/>
      <c r="G9" s="181"/>
      <c r="H9" s="177" t="str">
        <f t="shared" si="0"/>
        <v/>
      </c>
    </row>
    <row r="10" spans="1:8" x14ac:dyDescent="0.25">
      <c r="A10" s="183"/>
      <c r="B10" s="182"/>
      <c r="C10" s="181"/>
      <c r="D10" s="181"/>
      <c r="E10" s="181"/>
      <c r="F10" s="181"/>
      <c r="G10" s="181"/>
      <c r="H10" s="177" t="str">
        <f t="shared" si="0"/>
        <v/>
      </c>
    </row>
    <row r="11" spans="1:8" x14ac:dyDescent="0.25">
      <c r="A11" s="183"/>
      <c r="B11" s="182"/>
      <c r="C11" s="181"/>
      <c r="D11" s="181"/>
      <c r="E11" s="181"/>
      <c r="F11" s="181"/>
      <c r="G11" s="181"/>
      <c r="H11" s="177" t="str">
        <f t="shared" si="0"/>
        <v/>
      </c>
    </row>
    <row r="12" spans="1:8" x14ac:dyDescent="0.25">
      <c r="A12" s="183"/>
      <c r="B12" s="182"/>
      <c r="C12" s="181"/>
      <c r="D12" s="181"/>
      <c r="E12" s="181"/>
      <c r="F12" s="181"/>
      <c r="G12" s="181"/>
      <c r="H12" s="177" t="str">
        <f t="shared" si="0"/>
        <v/>
      </c>
    </row>
    <row r="13" spans="1:8" x14ac:dyDescent="0.25">
      <c r="A13" s="183"/>
      <c r="B13" s="182"/>
      <c r="C13" s="181"/>
      <c r="D13" s="181"/>
      <c r="E13" s="181"/>
      <c r="F13" s="181"/>
      <c r="G13" s="181"/>
      <c r="H13" s="177" t="str">
        <f t="shared" si="0"/>
        <v/>
      </c>
    </row>
    <row r="14" spans="1:8" x14ac:dyDescent="0.25">
      <c r="A14" s="183"/>
      <c r="B14" s="182"/>
      <c r="C14" s="181"/>
      <c r="D14" s="181"/>
      <c r="E14" s="181"/>
      <c r="F14" s="181"/>
      <c r="G14" s="181"/>
      <c r="H14" s="177" t="str">
        <f t="shared" si="0"/>
        <v/>
      </c>
    </row>
    <row r="15" spans="1:8" x14ac:dyDescent="0.25">
      <c r="A15" s="183"/>
      <c r="B15" s="182"/>
      <c r="C15" s="181"/>
      <c r="D15" s="181"/>
      <c r="E15" s="181"/>
      <c r="F15" s="181"/>
      <c r="G15" s="181"/>
      <c r="H15" s="177" t="str">
        <f t="shared" si="0"/>
        <v/>
      </c>
    </row>
    <row r="16" spans="1:8" x14ac:dyDescent="0.25">
      <c r="A16" s="183"/>
      <c r="B16" s="182"/>
      <c r="C16" s="181"/>
      <c r="D16" s="181"/>
      <c r="E16" s="181"/>
      <c r="F16" s="181"/>
      <c r="G16" s="181"/>
      <c r="H16" s="177" t="str">
        <f t="shared" si="0"/>
        <v/>
      </c>
    </row>
    <row r="17" spans="1:8" x14ac:dyDescent="0.25">
      <c r="A17" s="183"/>
      <c r="B17" s="182"/>
      <c r="C17" s="181"/>
      <c r="D17" s="181"/>
      <c r="E17" s="181"/>
      <c r="F17" s="181"/>
      <c r="G17" s="181"/>
      <c r="H17" s="177" t="str">
        <f t="shared" si="0"/>
        <v/>
      </c>
    </row>
    <row r="18" spans="1:8" x14ac:dyDescent="0.25">
      <c r="A18" s="183"/>
      <c r="B18" s="182"/>
      <c r="C18" s="181"/>
      <c r="D18" s="181"/>
      <c r="E18" s="181"/>
      <c r="F18" s="181"/>
      <c r="G18" s="181"/>
      <c r="H18" s="177" t="str">
        <f t="shared" si="0"/>
        <v/>
      </c>
    </row>
    <row r="19" spans="1:8" x14ac:dyDescent="0.25">
      <c r="A19" s="183"/>
      <c r="B19" s="182"/>
      <c r="C19" s="181"/>
      <c r="D19" s="181"/>
      <c r="E19" s="181"/>
      <c r="F19" s="181"/>
      <c r="G19" s="181"/>
      <c r="H19" s="177" t="str">
        <f t="shared" si="0"/>
        <v/>
      </c>
    </row>
    <row r="20" spans="1:8" x14ac:dyDescent="0.25">
      <c r="H20" s="177" t="str">
        <f t="shared" si="0"/>
        <v/>
      </c>
    </row>
    <row r="21" spans="1:8" x14ac:dyDescent="0.25">
      <c r="H21" s="177" t="str">
        <f t="shared" si="0"/>
        <v/>
      </c>
    </row>
    <row r="22" spans="1:8" x14ac:dyDescent="0.25">
      <c r="H22" s="177" t="str">
        <f t="shared" si="0"/>
        <v/>
      </c>
    </row>
    <row r="23" spans="1:8" x14ac:dyDescent="0.25">
      <c r="H23" s="177" t="str">
        <f t="shared" si="0"/>
        <v/>
      </c>
    </row>
    <row r="24" spans="1:8" x14ac:dyDescent="0.25">
      <c r="H24" s="177" t="str">
        <f t="shared" si="0"/>
        <v/>
      </c>
    </row>
    <row r="25" spans="1:8" x14ac:dyDescent="0.25">
      <c r="H25" s="177" t="str">
        <f t="shared" si="0"/>
        <v/>
      </c>
    </row>
    <row r="26" spans="1:8" x14ac:dyDescent="0.25">
      <c r="H26" s="177" t="str">
        <f t="shared" si="0"/>
        <v/>
      </c>
    </row>
    <row r="27" spans="1:8" x14ac:dyDescent="0.25">
      <c r="H27" s="177" t="str">
        <f t="shared" si="0"/>
        <v/>
      </c>
    </row>
    <row r="28" spans="1:8" x14ac:dyDescent="0.25">
      <c r="H28" s="177" t="str">
        <f t="shared" si="0"/>
        <v/>
      </c>
    </row>
    <row r="29" spans="1:8" x14ac:dyDescent="0.25">
      <c r="H29" s="177" t="str">
        <f t="shared" si="0"/>
        <v/>
      </c>
    </row>
    <row r="30" spans="1:8" x14ac:dyDescent="0.25">
      <c r="H30" s="177" t="str">
        <f t="shared" si="0"/>
        <v/>
      </c>
    </row>
    <row r="31" spans="1:8" x14ac:dyDescent="0.25">
      <c r="H31" s="177" t="str">
        <f t="shared" si="0"/>
        <v/>
      </c>
    </row>
    <row r="32" spans="1:8" x14ac:dyDescent="0.25">
      <c r="H32" s="177" t="str">
        <f t="shared" si="0"/>
        <v/>
      </c>
    </row>
    <row r="33" spans="8:8" x14ac:dyDescent="0.25">
      <c r="H33" s="177" t="str">
        <f t="shared" si="0"/>
        <v/>
      </c>
    </row>
    <row r="34" spans="8:8" x14ac:dyDescent="0.25">
      <c r="H34" s="177" t="str">
        <f t="shared" ref="H34:H65" si="1">IF(A34&lt;&gt;"",CONCATENATE(A34," (",B34,")"),"")</f>
        <v/>
      </c>
    </row>
    <row r="35" spans="8:8" x14ac:dyDescent="0.25">
      <c r="H35" s="177" t="str">
        <f t="shared" si="1"/>
        <v/>
      </c>
    </row>
    <row r="36" spans="8:8" x14ac:dyDescent="0.25">
      <c r="H36" s="177" t="str">
        <f t="shared" si="1"/>
        <v/>
      </c>
    </row>
    <row r="37" spans="8:8" x14ac:dyDescent="0.25">
      <c r="H37" s="177" t="str">
        <f t="shared" si="1"/>
        <v/>
      </c>
    </row>
    <row r="38" spans="8:8" x14ac:dyDescent="0.25">
      <c r="H38" s="177" t="str">
        <f t="shared" si="1"/>
        <v/>
      </c>
    </row>
    <row r="39" spans="8:8" x14ac:dyDescent="0.25">
      <c r="H39" s="177" t="str">
        <f t="shared" si="1"/>
        <v/>
      </c>
    </row>
    <row r="40" spans="8:8" x14ac:dyDescent="0.25">
      <c r="H40" s="177" t="str">
        <f t="shared" si="1"/>
        <v/>
      </c>
    </row>
    <row r="41" spans="8:8" x14ac:dyDescent="0.25">
      <c r="H41" s="177" t="str">
        <f t="shared" si="1"/>
        <v/>
      </c>
    </row>
    <row r="42" spans="8:8" x14ac:dyDescent="0.25">
      <c r="H42" s="177" t="str">
        <f t="shared" si="1"/>
        <v/>
      </c>
    </row>
    <row r="43" spans="8:8" x14ac:dyDescent="0.25">
      <c r="H43" s="177" t="str">
        <f t="shared" si="1"/>
        <v/>
      </c>
    </row>
    <row r="44" spans="8:8" x14ac:dyDescent="0.25">
      <c r="H44" s="177" t="str">
        <f t="shared" si="1"/>
        <v/>
      </c>
    </row>
    <row r="45" spans="8:8" x14ac:dyDescent="0.25">
      <c r="H45" s="177" t="str">
        <f t="shared" si="1"/>
        <v/>
      </c>
    </row>
    <row r="46" spans="8:8" x14ac:dyDescent="0.25">
      <c r="H46" s="177" t="str">
        <f t="shared" si="1"/>
        <v/>
      </c>
    </row>
    <row r="47" spans="8:8" x14ac:dyDescent="0.25">
      <c r="H47" s="177" t="str">
        <f t="shared" si="1"/>
        <v/>
      </c>
    </row>
    <row r="48" spans="8:8" x14ac:dyDescent="0.25">
      <c r="H48" s="177" t="str">
        <f t="shared" si="1"/>
        <v/>
      </c>
    </row>
    <row r="49" spans="8:8" x14ac:dyDescent="0.25">
      <c r="H49" s="177" t="str">
        <f t="shared" si="1"/>
        <v/>
      </c>
    </row>
    <row r="50" spans="8:8" x14ac:dyDescent="0.25">
      <c r="H50" s="177" t="str">
        <f t="shared" si="1"/>
        <v/>
      </c>
    </row>
    <row r="51" spans="8:8" x14ac:dyDescent="0.25">
      <c r="H51" s="177" t="str">
        <f t="shared" si="1"/>
        <v/>
      </c>
    </row>
    <row r="52" spans="8:8" x14ac:dyDescent="0.25">
      <c r="H52" s="177" t="str">
        <f t="shared" si="1"/>
        <v/>
      </c>
    </row>
    <row r="53" spans="8:8" x14ac:dyDescent="0.25">
      <c r="H53" s="177" t="str">
        <f t="shared" si="1"/>
        <v/>
      </c>
    </row>
    <row r="54" spans="8:8" x14ac:dyDescent="0.25">
      <c r="H54" s="177" t="str">
        <f t="shared" si="1"/>
        <v/>
      </c>
    </row>
    <row r="55" spans="8:8" x14ac:dyDescent="0.25">
      <c r="H55" s="177" t="str">
        <f t="shared" si="1"/>
        <v/>
      </c>
    </row>
    <row r="56" spans="8:8" x14ac:dyDescent="0.25">
      <c r="H56" s="177" t="str">
        <f t="shared" si="1"/>
        <v/>
      </c>
    </row>
    <row r="57" spans="8:8" x14ac:dyDescent="0.25">
      <c r="H57" s="177" t="str">
        <f t="shared" si="1"/>
        <v/>
      </c>
    </row>
    <row r="58" spans="8:8" x14ac:dyDescent="0.25">
      <c r="H58" s="177" t="str">
        <f t="shared" si="1"/>
        <v/>
      </c>
    </row>
    <row r="59" spans="8:8" x14ac:dyDescent="0.25">
      <c r="H59" s="177" t="str">
        <f t="shared" si="1"/>
        <v/>
      </c>
    </row>
    <row r="60" spans="8:8" x14ac:dyDescent="0.25">
      <c r="H60" s="177" t="str">
        <f t="shared" si="1"/>
        <v/>
      </c>
    </row>
    <row r="61" spans="8:8" x14ac:dyDescent="0.25">
      <c r="H61" s="177" t="str">
        <f t="shared" si="1"/>
        <v/>
      </c>
    </row>
    <row r="62" spans="8:8" x14ac:dyDescent="0.25">
      <c r="H62" s="177" t="str">
        <f t="shared" si="1"/>
        <v/>
      </c>
    </row>
    <row r="63" spans="8:8" x14ac:dyDescent="0.25">
      <c r="H63" s="177" t="str">
        <f t="shared" si="1"/>
        <v/>
      </c>
    </row>
    <row r="64" spans="8:8" x14ac:dyDescent="0.25">
      <c r="H64" s="177" t="str">
        <f t="shared" si="1"/>
        <v/>
      </c>
    </row>
    <row r="65" spans="8:8" x14ac:dyDescent="0.25">
      <c r="H65" s="177" t="str">
        <f t="shared" si="1"/>
        <v/>
      </c>
    </row>
    <row r="66" spans="8:8" x14ac:dyDescent="0.25">
      <c r="H66" s="177" t="str">
        <f t="shared" ref="H66:H97" si="2">IF(A66&lt;&gt;"",CONCATENATE(A66," (",B66,")"),"")</f>
        <v/>
      </c>
    </row>
    <row r="67" spans="8:8" x14ac:dyDescent="0.25">
      <c r="H67" s="177" t="str">
        <f t="shared" si="2"/>
        <v/>
      </c>
    </row>
    <row r="68" spans="8:8" x14ac:dyDescent="0.25">
      <c r="H68" s="177" t="str">
        <f t="shared" si="2"/>
        <v/>
      </c>
    </row>
    <row r="69" spans="8:8" x14ac:dyDescent="0.25">
      <c r="H69" s="177" t="str">
        <f t="shared" si="2"/>
        <v/>
      </c>
    </row>
    <row r="70" spans="8:8" x14ac:dyDescent="0.25">
      <c r="H70" s="177" t="str">
        <f t="shared" si="2"/>
        <v/>
      </c>
    </row>
    <row r="71" spans="8:8" x14ac:dyDescent="0.25">
      <c r="H71" s="177" t="str">
        <f t="shared" si="2"/>
        <v/>
      </c>
    </row>
    <row r="72" spans="8:8" x14ac:dyDescent="0.25">
      <c r="H72" s="177" t="str">
        <f t="shared" si="2"/>
        <v/>
      </c>
    </row>
    <row r="73" spans="8:8" x14ac:dyDescent="0.25">
      <c r="H73" s="177" t="str">
        <f t="shared" si="2"/>
        <v/>
      </c>
    </row>
    <row r="74" spans="8:8" x14ac:dyDescent="0.25">
      <c r="H74" s="177" t="str">
        <f t="shared" si="2"/>
        <v/>
      </c>
    </row>
    <row r="75" spans="8:8" x14ac:dyDescent="0.25">
      <c r="H75" s="177" t="str">
        <f t="shared" si="2"/>
        <v/>
      </c>
    </row>
    <row r="76" spans="8:8" x14ac:dyDescent="0.25">
      <c r="H76" s="177" t="str">
        <f t="shared" si="2"/>
        <v/>
      </c>
    </row>
    <row r="77" spans="8:8" x14ac:dyDescent="0.25">
      <c r="H77" s="177" t="str">
        <f t="shared" si="2"/>
        <v/>
      </c>
    </row>
    <row r="78" spans="8:8" x14ac:dyDescent="0.25">
      <c r="H78" s="177" t="str">
        <f t="shared" si="2"/>
        <v/>
      </c>
    </row>
    <row r="79" spans="8:8" x14ac:dyDescent="0.25">
      <c r="H79" s="177" t="str">
        <f t="shared" si="2"/>
        <v/>
      </c>
    </row>
    <row r="80" spans="8:8" x14ac:dyDescent="0.25">
      <c r="H80" s="177" t="str">
        <f t="shared" si="2"/>
        <v/>
      </c>
    </row>
    <row r="81" spans="8:8" x14ac:dyDescent="0.25">
      <c r="H81" s="177" t="str">
        <f t="shared" si="2"/>
        <v/>
      </c>
    </row>
    <row r="82" spans="8:8" x14ac:dyDescent="0.25">
      <c r="H82" s="177" t="str">
        <f t="shared" si="2"/>
        <v/>
      </c>
    </row>
    <row r="83" spans="8:8" x14ac:dyDescent="0.25">
      <c r="H83" s="177" t="str">
        <f t="shared" si="2"/>
        <v/>
      </c>
    </row>
    <row r="84" spans="8:8" x14ac:dyDescent="0.25">
      <c r="H84" s="177" t="str">
        <f t="shared" si="2"/>
        <v/>
      </c>
    </row>
    <row r="85" spans="8:8" x14ac:dyDescent="0.25">
      <c r="H85" s="177" t="str">
        <f t="shared" si="2"/>
        <v/>
      </c>
    </row>
    <row r="86" spans="8:8" x14ac:dyDescent="0.25">
      <c r="H86" s="177" t="str">
        <f t="shared" si="2"/>
        <v/>
      </c>
    </row>
    <row r="87" spans="8:8" x14ac:dyDescent="0.25">
      <c r="H87" s="177" t="str">
        <f t="shared" si="2"/>
        <v/>
      </c>
    </row>
    <row r="88" spans="8:8" x14ac:dyDescent="0.25">
      <c r="H88" s="177" t="str">
        <f t="shared" si="2"/>
        <v/>
      </c>
    </row>
    <row r="89" spans="8:8" x14ac:dyDescent="0.25">
      <c r="H89" s="177" t="str">
        <f t="shared" si="2"/>
        <v/>
      </c>
    </row>
    <row r="90" spans="8:8" x14ac:dyDescent="0.25">
      <c r="H90" s="177" t="str">
        <f t="shared" si="2"/>
        <v/>
      </c>
    </row>
    <row r="91" spans="8:8" x14ac:dyDescent="0.25">
      <c r="H91" s="177" t="str">
        <f t="shared" si="2"/>
        <v/>
      </c>
    </row>
    <row r="92" spans="8:8" x14ac:dyDescent="0.25">
      <c r="H92" s="177" t="str">
        <f t="shared" si="2"/>
        <v/>
      </c>
    </row>
    <row r="93" spans="8:8" x14ac:dyDescent="0.25">
      <c r="H93" s="177" t="str">
        <f t="shared" si="2"/>
        <v/>
      </c>
    </row>
    <row r="94" spans="8:8" x14ac:dyDescent="0.25">
      <c r="H94" s="177" t="str">
        <f t="shared" si="2"/>
        <v/>
      </c>
    </row>
    <row r="95" spans="8:8" x14ac:dyDescent="0.25">
      <c r="H95" s="177" t="str">
        <f t="shared" si="2"/>
        <v/>
      </c>
    </row>
    <row r="96" spans="8:8" x14ac:dyDescent="0.25">
      <c r="H96" s="177" t="str">
        <f t="shared" si="2"/>
        <v/>
      </c>
    </row>
    <row r="97" spans="8:8" x14ac:dyDescent="0.25">
      <c r="H97" s="177" t="str">
        <f t="shared" si="2"/>
        <v/>
      </c>
    </row>
    <row r="98" spans="8:8" x14ac:dyDescent="0.25">
      <c r="H98" s="177" t="str">
        <f t="shared" ref="H98:H129" si="3">IF(A98&lt;&gt;"",CONCATENATE(A98," (",B98,")"),"")</f>
        <v/>
      </c>
    </row>
    <row r="99" spans="8:8" x14ac:dyDescent="0.25">
      <c r="H99" s="177" t="str">
        <f t="shared" si="3"/>
        <v/>
      </c>
    </row>
    <row r="100" spans="8:8" x14ac:dyDescent="0.25">
      <c r="H100" s="177" t="str">
        <f t="shared" si="3"/>
        <v/>
      </c>
    </row>
    <row r="101" spans="8:8" x14ac:dyDescent="0.25">
      <c r="H101" s="177" t="str">
        <f t="shared" si="3"/>
        <v/>
      </c>
    </row>
    <row r="102" spans="8:8" x14ac:dyDescent="0.25">
      <c r="H102" s="177" t="str">
        <f t="shared" si="3"/>
        <v/>
      </c>
    </row>
    <row r="103" spans="8:8" x14ac:dyDescent="0.25">
      <c r="H103" s="177" t="str">
        <f t="shared" si="3"/>
        <v/>
      </c>
    </row>
    <row r="104" spans="8:8" x14ac:dyDescent="0.25">
      <c r="H104" s="177" t="str">
        <f t="shared" si="3"/>
        <v/>
      </c>
    </row>
    <row r="105" spans="8:8" x14ac:dyDescent="0.25">
      <c r="H105" s="177" t="str">
        <f t="shared" si="3"/>
        <v/>
      </c>
    </row>
    <row r="106" spans="8:8" x14ac:dyDescent="0.25">
      <c r="H106" s="177" t="str">
        <f t="shared" si="3"/>
        <v/>
      </c>
    </row>
    <row r="107" spans="8:8" x14ac:dyDescent="0.25">
      <c r="H107" s="177" t="str">
        <f t="shared" si="3"/>
        <v/>
      </c>
    </row>
    <row r="108" spans="8:8" x14ac:dyDescent="0.25">
      <c r="H108" s="177" t="str">
        <f t="shared" si="3"/>
        <v/>
      </c>
    </row>
    <row r="109" spans="8:8" x14ac:dyDescent="0.25">
      <c r="H109" s="177" t="str">
        <f t="shared" si="3"/>
        <v/>
      </c>
    </row>
    <row r="110" spans="8:8" x14ac:dyDescent="0.25">
      <c r="H110" s="177" t="str">
        <f t="shared" si="3"/>
        <v/>
      </c>
    </row>
    <row r="111" spans="8:8" x14ac:dyDescent="0.25">
      <c r="H111" s="177" t="str">
        <f t="shared" si="3"/>
        <v/>
      </c>
    </row>
    <row r="112" spans="8:8" x14ac:dyDescent="0.25">
      <c r="H112" s="177" t="str">
        <f t="shared" si="3"/>
        <v/>
      </c>
    </row>
    <row r="113" spans="8:8" x14ac:dyDescent="0.25">
      <c r="H113" s="177" t="str">
        <f t="shared" si="3"/>
        <v/>
      </c>
    </row>
    <row r="114" spans="8:8" x14ac:dyDescent="0.25">
      <c r="H114" s="177" t="str">
        <f t="shared" si="3"/>
        <v/>
      </c>
    </row>
    <row r="115" spans="8:8" x14ac:dyDescent="0.25">
      <c r="H115" s="177" t="str">
        <f t="shared" si="3"/>
        <v/>
      </c>
    </row>
    <row r="116" spans="8:8" x14ac:dyDescent="0.25">
      <c r="H116" s="177" t="str">
        <f t="shared" si="3"/>
        <v/>
      </c>
    </row>
    <row r="117" spans="8:8" x14ac:dyDescent="0.25">
      <c r="H117" s="177" t="str">
        <f t="shared" si="3"/>
        <v/>
      </c>
    </row>
    <row r="118" spans="8:8" x14ac:dyDescent="0.25">
      <c r="H118" s="177" t="str">
        <f t="shared" si="3"/>
        <v/>
      </c>
    </row>
    <row r="119" spans="8:8" x14ac:dyDescent="0.25">
      <c r="H119" s="177" t="str">
        <f t="shared" si="3"/>
        <v/>
      </c>
    </row>
    <row r="120" spans="8:8" x14ac:dyDescent="0.25">
      <c r="H120" s="177" t="str">
        <f t="shared" si="3"/>
        <v/>
      </c>
    </row>
    <row r="121" spans="8:8" x14ac:dyDescent="0.25">
      <c r="H121" s="177" t="str">
        <f t="shared" si="3"/>
        <v/>
      </c>
    </row>
    <row r="122" spans="8:8" x14ac:dyDescent="0.25">
      <c r="H122" s="177" t="str">
        <f t="shared" si="3"/>
        <v/>
      </c>
    </row>
    <row r="123" spans="8:8" x14ac:dyDescent="0.25">
      <c r="H123" s="177" t="str">
        <f t="shared" si="3"/>
        <v/>
      </c>
    </row>
    <row r="124" spans="8:8" x14ac:dyDescent="0.25">
      <c r="H124" s="177" t="str">
        <f t="shared" si="3"/>
        <v/>
      </c>
    </row>
    <row r="125" spans="8:8" x14ac:dyDescent="0.25">
      <c r="H125" s="177" t="str">
        <f t="shared" si="3"/>
        <v/>
      </c>
    </row>
    <row r="126" spans="8:8" x14ac:dyDescent="0.25">
      <c r="H126" s="177" t="str">
        <f t="shared" si="3"/>
        <v/>
      </c>
    </row>
    <row r="127" spans="8:8" x14ac:dyDescent="0.25">
      <c r="H127" s="177" t="str">
        <f t="shared" si="3"/>
        <v/>
      </c>
    </row>
    <row r="128" spans="8:8" x14ac:dyDescent="0.25">
      <c r="H128" s="177" t="str">
        <f t="shared" si="3"/>
        <v/>
      </c>
    </row>
    <row r="129" spans="8:8" x14ac:dyDescent="0.25">
      <c r="H129" s="177" t="str">
        <f t="shared" si="3"/>
        <v/>
      </c>
    </row>
    <row r="130" spans="8:8" x14ac:dyDescent="0.25">
      <c r="H130" s="177" t="str">
        <f t="shared" ref="H130:H139" si="4">IF(A130&lt;&gt;"",CONCATENATE(A130," (",B130,")"),"")</f>
        <v/>
      </c>
    </row>
    <row r="131" spans="8:8" x14ac:dyDescent="0.25">
      <c r="H131" s="177" t="str">
        <f t="shared" si="4"/>
        <v/>
      </c>
    </row>
    <row r="132" spans="8:8" x14ac:dyDescent="0.25">
      <c r="H132" s="177" t="str">
        <f t="shared" si="4"/>
        <v/>
      </c>
    </row>
    <row r="133" spans="8:8" x14ac:dyDescent="0.25">
      <c r="H133" s="177" t="str">
        <f t="shared" si="4"/>
        <v/>
      </c>
    </row>
    <row r="134" spans="8:8" x14ac:dyDescent="0.25">
      <c r="H134" s="177" t="str">
        <f t="shared" si="4"/>
        <v/>
      </c>
    </row>
    <row r="135" spans="8:8" x14ac:dyDescent="0.25">
      <c r="H135" s="177" t="str">
        <f t="shared" si="4"/>
        <v/>
      </c>
    </row>
    <row r="136" spans="8:8" x14ac:dyDescent="0.25">
      <c r="H136" s="177" t="str">
        <f t="shared" si="4"/>
        <v/>
      </c>
    </row>
    <row r="137" spans="8:8" x14ac:dyDescent="0.25">
      <c r="H137" s="177" t="str">
        <f t="shared" si="4"/>
        <v/>
      </c>
    </row>
    <row r="138" spans="8:8" x14ac:dyDescent="0.25">
      <c r="H138" s="177" t="str">
        <f t="shared" si="4"/>
        <v/>
      </c>
    </row>
    <row r="139" spans="8:8" x14ac:dyDescent="0.25">
      <c r="H139" s="177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86" customWidth="1"/>
    <col min="2" max="6" width="21.28515625" style="177" customWidth="1"/>
    <col min="7" max="16384" width="9.140625" style="177"/>
  </cols>
  <sheetData>
    <row r="1" spans="1:6" ht="19.5" x14ac:dyDescent="0.25">
      <c r="A1" s="187" t="s">
        <v>92</v>
      </c>
      <c r="B1" s="328" t="s">
        <v>884</v>
      </c>
      <c r="C1" s="328"/>
      <c r="D1" s="328"/>
      <c r="E1" s="328"/>
      <c r="F1" s="328"/>
    </row>
    <row r="2" spans="1:6" ht="14.25" customHeight="1" x14ac:dyDescent="0.25">
      <c r="A2" s="329" t="s">
        <v>83</v>
      </c>
      <c r="B2" s="181"/>
      <c r="C2" s="181"/>
      <c r="D2" s="181"/>
      <c r="E2" s="181"/>
      <c r="F2" s="181"/>
    </row>
    <row r="3" spans="1:6" ht="14.25" x14ac:dyDescent="0.25">
      <c r="A3" s="329"/>
      <c r="B3" s="181"/>
      <c r="C3" s="181"/>
      <c r="D3" s="181"/>
      <c r="E3" s="181"/>
      <c r="F3" s="181"/>
    </row>
    <row r="4" spans="1:6" ht="14.25" x14ac:dyDescent="0.25">
      <c r="A4" s="329"/>
      <c r="B4" s="181"/>
      <c r="C4" s="181"/>
      <c r="D4" s="181"/>
      <c r="E4" s="181"/>
      <c r="F4" s="181"/>
    </row>
    <row r="5" spans="1:6" ht="14.25" x14ac:dyDescent="0.25">
      <c r="A5" s="330" t="s">
        <v>82</v>
      </c>
    </row>
    <row r="6" spans="1:6" ht="14.25" x14ac:dyDescent="0.25">
      <c r="A6" s="330"/>
    </row>
    <row r="7" spans="1:6" ht="14.25" x14ac:dyDescent="0.25">
      <c r="A7" s="330"/>
    </row>
    <row r="8" spans="1:6" ht="14.25" x14ac:dyDescent="0.25">
      <c r="A8" s="330" t="s">
        <v>79</v>
      </c>
    </row>
    <row r="9" spans="1:6" ht="14.25" x14ac:dyDescent="0.25">
      <c r="A9" s="330"/>
    </row>
    <row r="10" spans="1:6" ht="14.25" x14ac:dyDescent="0.25">
      <c r="A10" s="330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 t="s">
        <v>6</v>
      </c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39" t="s">
        <v>1</v>
      </c>
      <c r="I1" s="339"/>
      <c r="J1" s="339"/>
      <c r="K1" s="339"/>
      <c r="M1" s="337" t="s">
        <v>127</v>
      </c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0">
        <f ca="1">IFERROR(IF(VLOOKUP(A1,OFFSET($AG$2,,,COUNTIF($AG$2:$AG$50,"?*"),23),2,FALSE)&lt;&gt;0,YEAR(VLOOKUP(A1,OFFSET($AG$2,,,COUNTIF($AG$2:$AG$50,"?*"),23),2,FALSE)),""),"")</f>
        <v>1995</v>
      </c>
      <c r="C2" s="341"/>
      <c r="D2" s="5">
        <f ca="1">IFERROR(VLOOKUP(A1,OFFSET($AG$2,,,COUNTIF($AG$2:$AG$50,"?*"),23),15,FALSE),"")</f>
        <v>26</v>
      </c>
      <c r="E2" s="331" t="str">
        <f ca="1">IFERROR(VLOOKUP(A1,OFFSET($AG$2,,,COUNTIF($AG$2:$AG$50,"?*"),23),16,FALSE),"")</f>
        <v>183/76</v>
      </c>
      <c r="F2" s="332"/>
      <c r="M2" s="4" t="str">
        <f ca="1">IFERROR(IF(VLOOKUP(M1,OFFSET($AG$2,,,COUNTIF($AG$2:$AG$50,"?*"),23),10,FALSE)&lt;&gt;0,VLOOKUP(M1,OFFSET($AG$2,,,COUNTIF($AG$2:$AG$50,"?*"),23),10,FALSE),""),"")</f>
        <v>L</v>
      </c>
      <c r="N2" s="340">
        <f ca="1">IFERROR(IF(VLOOKUP(M1,OFFSET($AG$2,,,COUNTIF($AG$2:$AG$50,"?*"),23),2,FALSE)&lt;&gt;0,YEAR(VLOOKUP(M1,OFFSET($AG$2,,,COUNTIF($AG$2:$AG$50,"?*"),23),2,FALSE)),""),"")</f>
        <v>2000</v>
      </c>
      <c r="O2" s="341"/>
      <c r="P2" s="6">
        <f ca="1">IFERROR(VLOOKUP(M1,OFFSET($AG$2,,,COUNTIF($AG$2:$AG$50,"?*"),23),15,FALSE),"")</f>
        <v>21</v>
      </c>
      <c r="Q2" s="331" t="str">
        <f ca="1">IFERROR(VLOOKUP(M1,OFFSET($AG$2,,,COUNTIF($AG$2:$AG$50,"?*"),23),16,FALSE),"")</f>
        <v>186/80</v>
      </c>
      <c r="R2" s="332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76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75" t="s">
        <v>215</v>
      </c>
      <c r="BY2" s="103" t="s">
        <v>210</v>
      </c>
      <c r="BZ2" s="103" t="s">
        <v>966</v>
      </c>
      <c r="CA2" s="115" t="s">
        <v>887</v>
      </c>
    </row>
    <row r="3" spans="1:79" ht="15" customHeight="1" thickTop="1" thickBot="1" x14ac:dyDescent="0.25">
      <c r="A3" s="333" t="str">
        <f ca="1">IFERROR(VLOOKUP(A1,OFFSET($AG$2,,,COUNTIF($AG$2:$AG$50,"?*"),23),18,FALSE),"")</f>
        <v>5 OZ, 2 (0+2), -13 ±</v>
      </c>
      <c r="B3" s="334"/>
      <c r="C3" s="334"/>
      <c r="D3" s="335" t="str">
        <f ca="1">IFERROR(VLOOKUP(A1,OFFSET($AG$2,,,COUNTIF($AG$2:$AG$50,"?*"),23),19,FALSE),"")</f>
        <v>108 OZ, 42 (26+16)</v>
      </c>
      <c r="E3" s="335"/>
      <c r="F3" s="336"/>
      <c r="G3" s="337" t="s">
        <v>9</v>
      </c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3" t="str">
        <f ca="1">IFERROR(VLOOKUP(M1,OFFSET($AG$2,,,COUNTIF($AG$2:$AG$50,"?*"),23),18,FALSE),"")</f>
        <v>5 OZ, 0 (0+0), -9 ±</v>
      </c>
      <c r="N3" s="334"/>
      <c r="O3" s="334"/>
      <c r="P3" s="335" t="str">
        <f ca="1">IFERROR(VLOOKUP(M1,OFFSET($AG$2,,,COUNTIF($AG$2:$AG$50,"?*"),23),19,FALSE),"")</f>
        <v>26 OZ, 13 (4+9)</v>
      </c>
      <c r="Q3" s="335"/>
      <c r="R3" s="336"/>
      <c r="S3" s="110" t="s">
        <v>122</v>
      </c>
      <c r="T3" s="102" t="s">
        <v>121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-8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76"/>
      <c r="BT3" s="104" t="s">
        <v>888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75"/>
      <c r="BY3" s="103" t="s">
        <v>209</v>
      </c>
      <c r="BZ3" s="103" t="s">
        <v>967</v>
      </c>
      <c r="CA3" s="115" t="s">
        <v>968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>Chodov</v>
      </c>
      <c r="B4" s="343"/>
      <c r="C4" s="344"/>
      <c r="D4" s="345">
        <f ca="1">IFERROR(IF(VLOOKUP(A1,OFFSET($AG$2,,,COUNTIF($AG$2:$AG$50,"?*"),23),14,FALSE)&lt;&gt;0,VLOOKUP(A1,OFFSET($AG$2,,,COUNTIF($AG$2:$AG$50,"?*"),23),14,FALSE),"?"),"")</f>
        <v>2006</v>
      </c>
      <c r="E4" s="346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0">
        <f ca="1">IFERROR(IF(VLOOKUP(G3,OFFSET($AG$2,,,COUNTIF($AG$2:$AG$50,"?*"),23),2,FALSE)&lt;&gt;0,YEAR(VLOOKUP(G3,OFFSET($AG$2,,,COUNTIF($AG$2:$AG$50,"?*"),23),2,FALSE)),""),"")</f>
        <v>1993</v>
      </c>
      <c r="I4" s="341"/>
      <c r="J4" s="5">
        <f ca="1">IFERROR(VLOOKUP(G3,OFFSET($AG$2,,,COUNTIF($AG$2:$AG$50,"?*"),23),15,FALSE),"")</f>
        <v>28</v>
      </c>
      <c r="K4" s="331" t="str">
        <f ca="1">IFERROR(VLOOKUP(G3,OFFSET($AG$2,,,COUNTIF($AG$2:$AG$50,"?*"),23),16,FALSE),"")</f>
        <v>173/68</v>
      </c>
      <c r="L4" s="332"/>
      <c r="M4" s="342" t="str">
        <f ca="1">IFERROR(IF(VLOOKUP(M1,OFFSET($AG$2,,,COUNTIF($AG$2:$AG$50,"?*"),23),13,FALSE)&lt;&gt;0,VLOOKUP(M1,OFFSET($AG$2,,,COUNTIF($AG$2:$AG$50,"?*"),23),13,FALSE),"?"),"")</f>
        <v>Slovan J. Hradec</v>
      </c>
      <c r="N4" s="343"/>
      <c r="O4" s="344"/>
      <c r="P4" s="345">
        <f ca="1">IFERROR(IF(VLOOKUP(M1,OFFSET($AG$2,,,COUNTIF($AG$2:$AG$50,"?*"),23),14,FALSE)&lt;&gt;0,VLOOKUP(M1,OFFSET($AG$2,,,COUNTIF($AG$2:$AG$50,"?*"),23),14,FALSE),"?"),"")</f>
        <v>2014</v>
      </c>
      <c r="Q4" s="346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2</v>
      </c>
      <c r="AB4" s="102">
        <v>-11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76"/>
      <c r="BT4" s="104" t="s">
        <v>952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75"/>
      <c r="BY4" s="103" t="s">
        <v>886</v>
      </c>
      <c r="BZ4" s="103" t="s">
        <v>969</v>
      </c>
      <c r="CA4" s="115" t="s">
        <v>887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>5 OZ, 3 (2+1), -11 ±</v>
      </c>
      <c r="H5" s="334"/>
      <c r="I5" s="334"/>
      <c r="J5" s="335" t="str">
        <f ca="1">IFERROR(VLOOKUP(G3,OFFSET($AG$2,,,COUNTIF($AG$2:$AG$50,"?*"),23),19,FALSE),"")</f>
        <v>102 OZ, 89 (28+61)</v>
      </c>
      <c r="K5" s="335"/>
      <c r="L5" s="336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76"/>
      <c r="BT5" s="104" t="s">
        <v>953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75"/>
      <c r="BY5" s="103" t="s">
        <v>207</v>
      </c>
      <c r="BZ5" s="103" t="s">
        <v>970</v>
      </c>
      <c r="CA5" s="115" t="s">
        <v>819</v>
      </c>
    </row>
    <row r="6" spans="1:79" ht="15" customHeight="1" thickTop="1" thickBot="1" x14ac:dyDescent="0.25">
      <c r="A6" s="337" t="s">
        <v>11</v>
      </c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2" t="str">
        <f ca="1">IFERROR(IF(VLOOKUP(G3,OFFSET($AG$2,,,COUNTIF($AG$2:$AG$50,"?*"),23),13,FALSE)&lt;&gt;0,VLOOKUP(G3,OFFSET($AG$2,,,COUNTIF($AG$2:$AG$50,"?*"),23),13,FALSE),"?"),"")</f>
        <v>Future</v>
      </c>
      <c r="H6" s="343"/>
      <c r="I6" s="344"/>
      <c r="J6" s="345">
        <f ca="1">IFERROR(IF(VLOOKUP(G3,OFFSET($AG$2,,,COUNTIF($AG$2:$AG$50,"?*"),23),14,FALSE)&lt;&gt;0,VLOOKUP(G3,OFFSET($AG$2,,,COUNTIF($AG$2:$AG$50,"?*"),23),14,FALSE),"?"),"")</f>
        <v>2003</v>
      </c>
      <c r="K6" s="346"/>
      <c r="L6" s="7">
        <f ca="1">IFERROR(IF(VLOOKUP(G3,OFFSET($AG$2,,,COUNTIF($AG$2:$AG$50,"?*"),23),7,FALSE)&lt;&gt;0,VLOOKUP(G3,OFFSET($AG$2,,,COUNTIF($AG$2:$AG$50,"?*"),23),7,FALSE),"?"),"")</f>
        <v>6</v>
      </c>
      <c r="M6" s="337" t="s">
        <v>10</v>
      </c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817</v>
      </c>
      <c r="BO6" s="122">
        <v>32155</v>
      </c>
      <c r="BP6" s="131" t="s">
        <v>450</v>
      </c>
      <c r="BQ6" s="132" t="s">
        <v>199</v>
      </c>
      <c r="BR6" s="127">
        <f t="shared" ca="1" si="13"/>
        <v>33</v>
      </c>
      <c r="BS6" s="376"/>
      <c r="BT6" s="104" t="s">
        <v>954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75"/>
      <c r="BY6" s="103" t="s">
        <v>206</v>
      </c>
      <c r="BZ6" s="103" t="s">
        <v>971</v>
      </c>
      <c r="CA6" s="115" t="s">
        <v>217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0">
        <f ca="1">IFERROR(IF(VLOOKUP(A6,OFFSET($AG$2,,,COUNTIF($AG$2:$AG$50,"?*"),23),2,FALSE)&lt;&gt;0,YEAR(VLOOKUP(A6,OFFSET($AG$2,,,COUNTIF($AG$2:$AG$50,"?*"),23),2,FALSE)),""),"")</f>
        <v>2001</v>
      </c>
      <c r="C7" s="341"/>
      <c r="D7" s="5">
        <f ca="1">IFERROR(VLOOKUP(A6,OFFSET($AG$2,,,COUNTIF($AG$2:$AG$50,"?*"),23),15,FALSE),"")</f>
        <v>20</v>
      </c>
      <c r="E7" s="331" t="str">
        <f ca="1">IFERROR(VLOOKUP(A6,OFFSET($AG$2,,,COUNTIF($AG$2:$AG$50,"?*"),23),16,FALSE),"")</f>
        <v>181/80</v>
      </c>
      <c r="F7" s="332"/>
      <c r="M7" s="4" t="str">
        <f ca="1">IFERROR(IF(VLOOKUP(M6,OFFSET($AG$2,,,COUNTIF($AG$2:$AG$50,"?*"),23),10,FALSE)&lt;&gt;0,VLOOKUP(M6,OFFSET($AG$2,,,COUNTIF($AG$2:$AG$50,"?*"),23),10,FALSE),""),"")</f>
        <v>P</v>
      </c>
      <c r="N7" s="340">
        <f ca="1">IFERROR(IF(VLOOKUP(M6,OFFSET($AG$2,,,COUNTIF($AG$2:$AG$50,"?*"),23),2,FALSE)&lt;&gt;0,YEAR(VLOOKUP(M6,OFFSET($AG$2,,,COUNTIF($AG$2:$AG$50,"?*"),23),2,FALSE)),""),"")</f>
        <v>1993</v>
      </c>
      <c r="O7" s="341"/>
      <c r="P7" s="6">
        <f ca="1">IFERROR(VLOOKUP(M6,OFFSET($AG$2,,,COUNTIF($AG$2:$AG$50,"?*"),23),15,FALSE),"")</f>
        <v>28</v>
      </c>
      <c r="Q7" s="331" t="str">
        <f ca="1">IFERROR(VLOOKUP(M6,OFFSET($AG$2,,,COUNTIF($AG$2:$AG$50,"?*"),23),16,FALSE),"")</f>
        <v>169/65</v>
      </c>
      <c r="R7" s="332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6" t="s">
        <v>40</v>
      </c>
      <c r="BT7" s="104" t="s">
        <v>955</v>
      </c>
      <c r="BU7" s="103" t="s">
        <v>956</v>
      </c>
      <c r="BV7" s="104" t="str">
        <f t="shared" si="14"/>
        <v>Petr Musil</v>
      </c>
      <c r="BW7" s="112">
        <f t="shared" si="15"/>
        <v>8.48</v>
      </c>
      <c r="BX7" s="375" t="s">
        <v>216</v>
      </c>
      <c r="BY7" s="103" t="s">
        <v>211</v>
      </c>
      <c r="BZ7" s="103" t="s">
        <v>972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>5 OZ, 0 (0+0), -9 ±</v>
      </c>
      <c r="B8" s="334"/>
      <c r="C8" s="334"/>
      <c r="D8" s="335" t="str">
        <f ca="1">IFERROR(VLOOKUP(A6,OFFSET($AG$2,,,COUNTIF($AG$2:$AG$50,"?*"),23),19,FALSE),"")</f>
        <v>63 OZ, 16 (9+7)</v>
      </c>
      <c r="E8" s="335"/>
      <c r="F8" s="336"/>
      <c r="H8" s="347" t="s">
        <v>5</v>
      </c>
      <c r="I8" s="347"/>
      <c r="J8" s="347"/>
      <c r="K8" s="347"/>
      <c r="M8" s="333" t="str">
        <f ca="1">IFERROR(VLOOKUP(M6,OFFSET($AG$2,,,COUNTIF($AG$2:$AG$50,"?*"),23),18,FALSE),"")</f>
        <v>4 OZ, 1 (0+1), -8 ±</v>
      </c>
      <c r="N8" s="334"/>
      <c r="O8" s="334"/>
      <c r="P8" s="335" t="str">
        <f ca="1">IFERROR(VLOOKUP(M6,OFFSET($AG$2,,,COUNTIF($AG$2:$AG$50,"?*"),23),19,FALSE),"")</f>
        <v>113 OZ, 57 (32+25)</v>
      </c>
      <c r="Q8" s="335"/>
      <c r="R8" s="336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6"/>
      <c r="BT8" s="104" t="s">
        <v>957</v>
      </c>
      <c r="BU8" s="103" t="s">
        <v>958</v>
      </c>
      <c r="BV8" s="104" t="str">
        <f t="shared" si="14"/>
        <v>Karel Šantora</v>
      </c>
      <c r="BW8" s="112">
        <f t="shared" si="15"/>
        <v>10.72</v>
      </c>
      <c r="BX8" s="375"/>
      <c r="BY8" s="103" t="s">
        <v>820</v>
      </c>
      <c r="BZ8" s="103" t="s">
        <v>973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>Bulldogs Brno</v>
      </c>
      <c r="B9" s="343"/>
      <c r="C9" s="344"/>
      <c r="D9" s="345">
        <f ca="1">IFERROR(IF(VLOOKUP(A6,OFFSET($AG$2,,,COUNTIF($AG$2:$AG$50,"?*"),23),14,FALSE)&lt;&gt;0,VLOOKUP(A6,OFFSET($AG$2,,,COUNTIF($AG$2:$AG$50,"?*"),23),14,FALSE),"?"),"")</f>
        <v>2013</v>
      </c>
      <c r="E9" s="346"/>
      <c r="F9" s="7">
        <f ca="1">IFERROR(IF(VLOOKUP(A6,OFFSET($AG$2,,,COUNTIF($AG$2:$AG$50,"?*"),23),7,FALSE)&lt;&gt;0,VLOOKUP(A6,OFFSET($AG$2,,,COUNTIF($AG$2:$AG$50,"?*"),23),7,FALSE),"?"),"")</f>
        <v>4</v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>Lhokamo</v>
      </c>
      <c r="N9" s="343"/>
      <c r="O9" s="344"/>
      <c r="P9" s="345">
        <f ca="1">IFERROR(IF(VLOOKUP(M6,OFFSET($AG$2,,,COUNTIF($AG$2:$AG$50,"?*"),23),14,FALSE)&lt;&gt;0,VLOOKUP(M6,OFFSET($AG$2,,,COUNTIF($AG$2:$AG$50,"?*"),23),14,FALSE),"?"),"")</f>
        <v>2004</v>
      </c>
      <c r="Q9" s="346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6"/>
      <c r="BV9" s="104" t="str">
        <f t="shared" si="14"/>
        <v/>
      </c>
      <c r="BW9" s="112" t="str">
        <f t="shared" si="15"/>
        <v/>
      </c>
      <c r="BX9" s="375"/>
      <c r="BY9" s="103" t="s">
        <v>878</v>
      </c>
      <c r="BZ9" s="103" t="s">
        <v>974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6"/>
      <c r="BV10" s="104" t="str">
        <f t="shared" si="14"/>
        <v/>
      </c>
      <c r="BW10" s="112" t="str">
        <f t="shared" si="15"/>
        <v/>
      </c>
      <c r="BX10" s="375"/>
      <c r="BY10" s="103" t="s">
        <v>975</v>
      </c>
      <c r="BZ10" s="103" t="s">
        <v>976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816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6"/>
      <c r="BV11" s="104" t="str">
        <f t="shared" si="14"/>
        <v/>
      </c>
      <c r="BW11" s="112" t="str">
        <f t="shared" si="15"/>
        <v/>
      </c>
      <c r="BX11" s="375"/>
      <c r="BY11" s="103" t="s">
        <v>977</v>
      </c>
      <c r="BZ11" s="103" t="s">
        <v>978</v>
      </c>
      <c r="CA11" s="115" t="s">
        <v>208</v>
      </c>
    </row>
    <row r="12" spans="1:79" ht="15" customHeight="1" thickTop="1" thickBot="1" x14ac:dyDescent="0.25">
      <c r="A12" s="337" t="s">
        <v>118</v>
      </c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39" t="s">
        <v>7</v>
      </c>
      <c r="I12" s="339"/>
      <c r="J12" s="339"/>
      <c r="K12" s="339"/>
      <c r="M12" s="337" t="s">
        <v>0</v>
      </c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6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214</v>
      </c>
      <c r="BY12" s="100" t="s">
        <v>979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0">
        <f ca="1">IFERROR(IF(VLOOKUP(A12,OFFSET($AG$2,,,COUNTIF($AG$2:$AG$50,"?*"),23),2,FALSE)&lt;&gt;0,YEAR(VLOOKUP(A12,OFFSET($AG$2,,,COUNTIF($AG$2:$AG$50,"?*"),23),2,FALSE)),""),"")</f>
        <v>1995</v>
      </c>
      <c r="C13" s="341"/>
      <c r="D13" s="5">
        <f ca="1">IFERROR(VLOOKUP(A12,OFFSET($AG$2,,,COUNTIF($AG$2:$AG$50,"?*"),23),15,FALSE),"")</f>
        <v>26</v>
      </c>
      <c r="E13" s="331" t="str">
        <f ca="1">IFERROR(VLOOKUP(A12,OFFSET($AG$2,,,COUNTIF($AG$2:$AG$50,"?*"),23),16,FALSE),"")</f>
        <v>191/78</v>
      </c>
      <c r="F13" s="332"/>
      <c r="M13" s="4" t="str">
        <f ca="1">IFERROR(IF(VLOOKUP(M12,OFFSET($AG$2,,,COUNTIF($AG$2:$AG$50,"?*"),23),10,FALSE)&lt;&gt;0,VLOOKUP(M12,OFFSET($AG$2,,,COUNTIF($AG$2:$AG$50,"?*"),23),10,FALSE),""),"")</f>
        <v>L</v>
      </c>
      <c r="N13" s="340">
        <f ca="1">IFERROR(IF(VLOOKUP(M12,OFFSET($AG$2,,,COUNTIF($AG$2:$AG$50,"?*"),23),2,FALSE)&lt;&gt;0,YEAR(VLOOKUP(M12,OFFSET($AG$2,,,COUNTIF($AG$2:$AG$50,"?*"),23),2,FALSE)),""),"")</f>
        <v>2003</v>
      </c>
      <c r="O13" s="341"/>
      <c r="P13" s="6">
        <f ca="1">IFERROR(VLOOKUP(M12,OFFSET($AG$2,,,COUNTIF($AG$2:$AG$50,"?*"),23),15,FALSE),"")</f>
        <v>18</v>
      </c>
      <c r="Q13" s="331" t="str">
        <f ca="1">IFERROR(VLOOKUP(M12,OFFSET($AG$2,,,COUNTIF($AG$2:$AG$50,"?*"),23),16,FALSE),"")</f>
        <v>185/71</v>
      </c>
      <c r="R13" s="332"/>
      <c r="S13" s="110" t="s">
        <v>123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6"/>
      <c r="BT13" s="104" t="s">
        <v>888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33" t="str">
        <f ca="1">IFERROR(VLOOKUP(A12,OFFSET($AG$2,,,COUNTIF($AG$2:$AG$50,"?*"),23),18,FALSE),"")</f>
        <v>4 OZ, 6 (5+1), -6 ±</v>
      </c>
      <c r="B14" s="334"/>
      <c r="C14" s="334"/>
      <c r="D14" s="335" t="str">
        <f ca="1">IFERROR(VLOOKUP(A12,OFFSET($AG$2,,,COUNTIF($AG$2:$AG$50,"?*"),23),19,FALSE),"")</f>
        <v>107 OZ, 130 (89+41)</v>
      </c>
      <c r="E14" s="335"/>
      <c r="F14" s="336"/>
      <c r="G14" s="337" t="s">
        <v>3</v>
      </c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33" t="str">
        <f ca="1">IFERROR(VLOOKUP(M12,OFFSET($AG$2,,,COUNTIF($AG$2:$AG$50,"?*"),23),18,FALSE),"")</f>
        <v>5 OZ, 4 (2+2), -11 ±</v>
      </c>
      <c r="N14" s="334"/>
      <c r="O14" s="334"/>
      <c r="P14" s="335" t="str">
        <f ca="1">IFERROR(VLOOKUP(M12,OFFSET($AG$2,,,COUNTIF($AG$2:$AG$50,"?*"),23),19,FALSE),"")</f>
        <v>25 OZ, 9 (6+3)</v>
      </c>
      <c r="Q14" s="335"/>
      <c r="R14" s="336"/>
      <c r="S14" s="110" t="s">
        <v>157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-1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6"/>
      <c r="BT14" s="104" t="s">
        <v>952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>Florbal Ústí</v>
      </c>
      <c r="B15" s="343"/>
      <c r="C15" s="344"/>
      <c r="D15" s="345">
        <f ca="1">IFERROR(IF(VLOOKUP(A12,OFFSET($AG$2,,,COUNTIF($AG$2:$AG$50,"?*"),23),14,FALSE)&lt;&gt;0,VLOOKUP(A12,OFFSET($AG$2,,,COUNTIF($AG$2:$AG$50,"?*"),23),14,FALSE),"?"),"")</f>
        <v>2008</v>
      </c>
      <c r="E15" s="346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0">
        <f ca="1">IFERROR(IF(VLOOKUP(G14,OFFSET($AG$2,,,COUNTIF($AG$2:$AG$50,"?*"),23),2,FALSE)&lt;&gt;0,YEAR(VLOOKUP(G14,OFFSET($AG$2,,,COUNTIF($AG$2:$AG$50,"?*"),23),2,FALSE)),""),"")</f>
        <v>1999</v>
      </c>
      <c r="I15" s="341"/>
      <c r="J15" s="5">
        <f ca="1">IFERROR(VLOOKUP(G14,OFFSET($AG$2,,,COUNTIF($AG$2:$AG$50,"?*"),23),15,FALSE),"")</f>
        <v>22</v>
      </c>
      <c r="K15" s="331" t="str">
        <f ca="1">IFERROR(VLOOKUP(G14,OFFSET($AG$2,,,COUNTIF($AG$2:$AG$50,"?*"),23),16,FALSE),"")</f>
        <v>184/81</v>
      </c>
      <c r="L15" s="332"/>
      <c r="M15" s="342" t="str">
        <f ca="1">IFERROR(IF(VLOOKUP(M12,OFFSET($AG$2,,,COUNTIF($AG$2:$AG$50,"?*"),23),13,FALSE)&lt;&gt;0,VLOOKUP(M12,OFFSET($AG$2,,,COUNTIF($AG$2:$AG$50,"?*"),23),13,FALSE),"?"),"")</f>
        <v>SK Florbal Benešov</v>
      </c>
      <c r="N15" s="343"/>
      <c r="O15" s="344"/>
      <c r="P15" s="345">
        <f ca="1">IFERROR(IF(VLOOKUP(M12,OFFSET($AG$2,,,COUNTIF($AG$2:$AG$50,"?*"),23),14,FALSE)&lt;&gt;0,VLOOKUP(M12,OFFSET($AG$2,,,COUNTIF($AG$2:$AG$50,"?*"),23),14,FALSE),"?"),"")</f>
        <v>2009</v>
      </c>
      <c r="Q15" s="346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6"/>
      <c r="BT15" s="104" t="s">
        <v>953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>3 OZ, 1 (0+1), -5 ±</v>
      </c>
      <c r="H16" s="334"/>
      <c r="I16" s="334"/>
      <c r="J16" s="335" t="str">
        <f ca="1">IFERROR(VLOOKUP(G14,OFFSET($AG$2,,,COUNTIF($AG$2:$AG$50,"?*"),23),19,FALSE),"")</f>
        <v>126 OZ, 71 (38+33)</v>
      </c>
      <c r="K16" s="335"/>
      <c r="L16" s="336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6"/>
      <c r="BT16" s="104" t="s">
        <v>959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37" t="s">
        <v>4</v>
      </c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2" t="str">
        <f ca="1">IFERROR(IF(VLOOKUP(G14,OFFSET($AG$2,,,COUNTIF($AG$2:$AG$50,"?*"),23),13,FALSE)&lt;&gt;0,VLOOKUP(G14,OFFSET($AG$2,,,COUNTIF($AG$2:$AG$50,"?*"),23),13,FALSE),"?"),"")</f>
        <v>Black Angels</v>
      </c>
      <c r="H17" s="343"/>
      <c r="I17" s="344"/>
      <c r="J17" s="345">
        <f ca="1">IFERROR(IF(VLOOKUP(G14,OFFSET($AG$2,,,COUNTIF($AG$2:$AG$50,"?*"),23),14,FALSE)&lt;&gt;0,VLOOKUP(G14,OFFSET($AG$2,,,COUNTIF($AG$2:$AG$50,"?*"),23),14,FALSE),"?"),"")</f>
        <v>2008</v>
      </c>
      <c r="K17" s="346"/>
      <c r="L17" s="7">
        <f ca="1">IFERROR(IF(VLOOKUP(G14,OFFSET($AG$2,,,COUNTIF($AG$2:$AG$50,"?*"),23),7,FALSE)&lt;&gt;0,VLOOKUP(G14,OFFSET($AG$2,,,COUNTIF($AG$2:$AG$50,"?*"),23),7,FALSE),"?"),"")</f>
        <v>6</v>
      </c>
      <c r="M17" s="337" t="s">
        <v>125</v>
      </c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6" t="s">
        <v>41</v>
      </c>
      <c r="BT17" s="104" t="s">
        <v>822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0">
        <f ca="1">IFERROR(IF(VLOOKUP(A17,OFFSET($AG$2,,,COUNTIF($AG$2:$AG$50,"?*"),23),2,FALSE)&lt;&gt;0,YEAR(VLOOKUP(A17,OFFSET($AG$2,,,COUNTIF($AG$2:$AG$50,"?*"),23),2,FALSE)),""),"")</f>
        <v>1999</v>
      </c>
      <c r="C18" s="341"/>
      <c r="D18" s="150">
        <f ca="1">IFERROR(VLOOKUP(A17,OFFSET($AG$2,,,COUNTIF($AG$2:$AG$50,"?*"),23),15,FALSE),"")</f>
        <v>22</v>
      </c>
      <c r="E18" s="331" t="str">
        <f ca="1">IFERROR(VLOOKUP(A17,OFFSET($AG$2,,,COUNTIF($AG$2:$AG$50,"?*"),23),16,FALSE),"")</f>
        <v>181/82</v>
      </c>
      <c r="F18" s="332"/>
      <c r="M18" s="4" t="str">
        <f ca="1">IFERROR(IF(VLOOKUP(M17,OFFSET($AG$2,,,COUNTIF($AG$2:$AG$50,"?*"),23),10,FALSE)&lt;&gt;0,VLOOKUP(M17,OFFSET($AG$2,,,COUNTIF($AG$2:$AG$50,"?*"),23),10,FALSE),""),"")</f>
        <v>L</v>
      </c>
      <c r="N18" s="340">
        <f ca="1">IFERROR(IF(VLOOKUP(M17,OFFSET($AG$2,,,COUNTIF($AG$2:$AG$50,"?*"),23),2,FALSE)&lt;&gt;0,YEAR(VLOOKUP(M17,OFFSET($AG$2,,,COUNTIF($AG$2:$AG$50,"?*"),23),2,FALSE)),""),"")</f>
        <v>1993</v>
      </c>
      <c r="O18" s="341"/>
      <c r="P18" s="6">
        <f ca="1">IFERROR(VLOOKUP(M17,OFFSET($AG$2,,,COUNTIF($AG$2:$AG$50,"?*"),23),15,FALSE),"")</f>
        <v>28</v>
      </c>
      <c r="Q18" s="331" t="str">
        <f ca="1">IFERROR(VLOOKUP(M17,OFFSET($AG$2,,,COUNTIF($AG$2:$AG$50,"?*"),23),16,FALSE),"")</f>
        <v>169/70</v>
      </c>
      <c r="R18" s="332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6"/>
      <c r="BT18" s="104" t="s">
        <v>823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3" t="str">
        <f ca="1">IFERROR(VLOOKUP(A17,OFFSET($AG$2,,,COUNTIF($AG$2:$AG$50,"?*"),23),18,FALSE),"")</f>
        <v>5 OZ, 1 (0+1), -9 ±</v>
      </c>
      <c r="B19" s="334"/>
      <c r="C19" s="334"/>
      <c r="D19" s="335" t="str">
        <f ca="1">IFERROR(VLOOKUP(A17,OFFSET($AG$2,,,COUNTIF($AG$2:$AG$50,"?*"),23),19,FALSE),"")</f>
        <v>29 OZ, 2 (0+2)</v>
      </c>
      <c r="E19" s="335"/>
      <c r="F19" s="336"/>
      <c r="H19" s="347" t="str">
        <f>H$8</f>
        <v>SKV</v>
      </c>
      <c r="I19" s="347"/>
      <c r="J19" s="347"/>
      <c r="K19" s="347"/>
      <c r="M19" s="333" t="str">
        <f ca="1">IFERROR(VLOOKUP(M17,OFFSET($AG$2,,,COUNTIF($AG$2:$AG$50,"?*"),23),18,FALSE),"")</f>
        <v>5 OZ, 0 (0+0), -7 ±</v>
      </c>
      <c r="N19" s="334"/>
      <c r="O19" s="334"/>
      <c r="P19" s="335" t="str">
        <f ca="1">IFERROR(VLOOKUP(M17,OFFSET($AG$2,,,COUNTIF($AG$2:$AG$50,"?*"),23),19,FALSE),"")</f>
        <v>207 OZ, 67 (36+31)</v>
      </c>
      <c r="Q19" s="335"/>
      <c r="R19" s="336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>Bohemians</v>
      </c>
      <c r="B20" s="343"/>
      <c r="C20" s="344"/>
      <c r="D20" s="345">
        <f ca="1">IFERROR(IF(VLOOKUP(A17,OFFSET($AG$2,,,COUNTIF($AG$2:$AG$50,"?*"),23),14,FALSE)&lt;&gt;0,VLOOKUP(A17,OFFSET($AG$2,,,COUNTIF($AG$2:$AG$50,"?*"),23),14,FALSE),"?"),"")</f>
        <v>2009</v>
      </c>
      <c r="E20" s="346"/>
      <c r="F20" s="7">
        <f ca="1">IFERROR(IF(VLOOKUP(A17,OFFSET($AG$2,,,COUNTIF($AG$2:$AG$50,"?*"),23),7,FALSE)&lt;&gt;0,VLOOKUP(A17,OFFSET($AG$2,,,COUNTIF($AG$2:$AG$50,"?*"),23),7,FALSE),"?"),"")</f>
        <v>2</v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>SKF Draci 99 Liberec</v>
      </c>
      <c r="N20" s="343"/>
      <c r="O20" s="344"/>
      <c r="P20" s="345">
        <f ca="1">IFERROR(IF(VLOOKUP(M17,OFFSET($AG$2,,,COUNTIF($AG$2:$AG$50,"?*"),23),14,FALSE)&lt;&gt;0,VLOOKUP(M17,OFFSET($AG$2,,,COUNTIF($AG$2:$AG$50,"?*"),23),14,FALSE),"?"),"")</f>
        <v>1998</v>
      </c>
      <c r="Q20" s="346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-9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279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125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-7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436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76" t="s">
        <v>38</v>
      </c>
      <c r="BT22" s="104" t="s">
        <v>960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37" t="s">
        <v>120</v>
      </c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39" t="s">
        <v>13</v>
      </c>
      <c r="I23" s="339"/>
      <c r="J23" s="339"/>
      <c r="K23" s="339"/>
      <c r="M23" s="337" t="s">
        <v>17</v>
      </c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17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76"/>
      <c r="BT23" s="104" t="s">
        <v>961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0">
        <f ca="1">IFERROR(IF(VLOOKUP(A23,OFFSET($AG$2,,,COUNTIF($AG$2:$AG$50,"?*"),23),2,FALSE)&lt;&gt;0,YEAR(VLOOKUP(A23,OFFSET($AG$2,,,COUNTIF($AG$2:$AG$50,"?*"),23),2,FALSE)),""),"")</f>
        <v>2002</v>
      </c>
      <c r="C24" s="341"/>
      <c r="D24" s="5">
        <f ca="1">IFERROR(VLOOKUP(A23,OFFSET($AG$2,,,COUNTIF($AG$2:$AG$50,"?*"),23),15,FALSE),"")</f>
        <v>19</v>
      </c>
      <c r="E24" s="331" t="str">
        <f ca="1">IFERROR(VLOOKUP(A23,OFFSET($AG$2,,,COUNTIF($AG$2:$AG$50,"?*"),23),16,FALSE),"")</f>
        <v>182/75</v>
      </c>
      <c r="F24" s="332"/>
      <c r="M24" s="4" t="str">
        <f ca="1">IFERROR(IF(VLOOKUP(M23,OFFSET($AG$2,,,COUNTIF($AG$2:$AG$50,"?*"),23),10,FALSE)&lt;&gt;0,VLOOKUP(M23,OFFSET($AG$2,,,COUNTIF($AG$2:$AG$50,"?*"),23),10,FALSE),""),"")</f>
        <v>L</v>
      </c>
      <c r="N24" s="340">
        <f ca="1">IFERROR(IF(VLOOKUP(M23,OFFSET($AG$2,,,COUNTIF($AG$2:$AG$50,"?*"),23),2,FALSE)&lt;&gt;0,YEAR(VLOOKUP(M23,OFFSET($AG$2,,,COUNTIF($AG$2:$AG$50,"?*"),23),2,FALSE)),""),"")</f>
        <v>2002</v>
      </c>
      <c r="O24" s="341"/>
      <c r="P24" s="6">
        <f ca="1">IFERROR(VLOOKUP(M23,OFFSET($AG$2,,,COUNTIF($AG$2:$AG$50,"?*"),23),15,FALSE),"")</f>
        <v>19</v>
      </c>
      <c r="Q24" s="331" t="str">
        <f ca="1">IFERROR(VLOOKUP(M23,OFFSET($AG$2,,,COUNTIF($AG$2:$AG$50,"?*"),23),16,FALSE),"")</f>
        <v>181/66</v>
      </c>
      <c r="R24" s="332"/>
      <c r="S24" s="110" t="s">
        <v>124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76"/>
      <c r="BT24" s="104" t="s">
        <v>952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33" t="str">
        <f ca="1">IFERROR(VLOOKUP(A23,OFFSET($AG$2,,,COUNTIF($AG$2:$AG$50,"?*"),23),18,FALSE),"")</f>
        <v>4 OZ, 1 (1+0), -5 ±</v>
      </c>
      <c r="B25" s="334"/>
      <c r="C25" s="334"/>
      <c r="D25" s="335" t="str">
        <f ca="1">IFERROR(VLOOKUP(A23,OFFSET($AG$2,,,COUNTIF($AG$2:$AG$50,"?*"),23),19,FALSE),"")</f>
        <v>21 OZ, 3 (2+1)</v>
      </c>
      <c r="E25" s="335"/>
      <c r="F25" s="336"/>
      <c r="G25" s="337" t="s">
        <v>122</v>
      </c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3" t="str">
        <f ca="1">IFERROR(VLOOKUP(M23,OFFSET($AG$2,,,COUNTIF($AG$2:$AG$50,"?*"),23),18,FALSE),"")</f>
        <v>5 OZ, 0 (0+0), -8 ±</v>
      </c>
      <c r="N25" s="334"/>
      <c r="O25" s="334"/>
      <c r="P25" s="335" t="str">
        <f ca="1">IFERROR(VLOOKUP(M23,OFFSET($AG$2,,,COUNTIF($AG$2:$AG$50,"?*"),23),19,FALSE),"")</f>
        <v>28 OZ, 0 (0+0)</v>
      </c>
      <c r="Q25" s="335"/>
      <c r="R25" s="336"/>
      <c r="S25" s="110" t="s">
        <v>15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76"/>
      <c r="BT25" s="104" t="s">
        <v>821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>FA Mladá Boleslav</v>
      </c>
      <c r="B26" s="343"/>
      <c r="C26" s="344"/>
      <c r="D26" s="345">
        <f ca="1">IFERROR(IF(VLOOKUP(A23,OFFSET($AG$2,,,COUNTIF($AG$2:$AG$50,"?*"),23),14,FALSE)&lt;&gt;0,VLOOKUP(A23,OFFSET($AG$2,,,COUNTIF($AG$2:$AG$50,"?*"),23),14,FALSE),"?"),"")</f>
        <v>2010</v>
      </c>
      <c r="E26" s="346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0">
        <f ca="1">IFERROR(IF(VLOOKUP(G25,OFFSET($AG$2,,,COUNTIF($AG$2:$AG$50,"?*"),23),2,FALSE)&lt;&gt;0,YEAR(VLOOKUP(G25,OFFSET($AG$2,,,COUNTIF($AG$2:$AG$50,"?*"),23),2,FALSE)),""),"")</f>
        <v>2000</v>
      </c>
      <c r="I26" s="341"/>
      <c r="J26" s="5">
        <f ca="1">IFERROR(VLOOKUP(G25,OFFSET($AG$2,,,COUNTIF($AG$2:$AG$50,"?*"),23),15,FALSE),"")</f>
        <v>21</v>
      </c>
      <c r="K26" s="331" t="str">
        <f ca="1">IFERROR(VLOOKUP(G25,OFFSET($AG$2,,,COUNTIF($AG$2:$AG$50,"?*"),23),16,FALSE),"")</f>
        <v>180/72</v>
      </c>
      <c r="L26" s="332"/>
      <c r="M26" s="342" t="str">
        <f ca="1">IFERROR(IF(VLOOKUP(M23,OFFSET($AG$2,,,COUNTIF($AG$2:$AG$50,"?*"),23),13,FALSE)&lt;&gt;0,VLOOKUP(M23,OFFSET($AG$2,,,COUNTIF($AG$2:$AG$50,"?*"),23),13,FALSE),"?"),"")</f>
        <v>SKV</v>
      </c>
      <c r="N26" s="343"/>
      <c r="O26" s="344"/>
      <c r="P26" s="345">
        <f ca="1">IFERROR(IF(VLOOKUP(M23,OFFSET($AG$2,,,COUNTIF($AG$2:$AG$50,"?*"),23),14,FALSE)&lt;&gt;0,VLOOKUP(M23,OFFSET($AG$2,,,COUNTIF($AG$2:$AG$50,"?*"),23),14,FALSE),"?"),"")</f>
        <v>2012</v>
      </c>
      <c r="Q26" s="346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76"/>
      <c r="BT26" s="104" t="s">
        <v>962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>5 OZ, 4 (2+2), -8 ±</v>
      </c>
      <c r="H27" s="334"/>
      <c r="I27" s="334"/>
      <c r="J27" s="335" t="str">
        <f ca="1">IFERROR(VLOOKUP(G25,OFFSET($AG$2,,,COUNTIF($AG$2:$AG$50,"?*"),23),19,FALSE),"")</f>
        <v>17 OZ, 5 (2+3)</v>
      </c>
      <c r="K27" s="335"/>
      <c r="L27" s="336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76" t="s">
        <v>39</v>
      </c>
      <c r="BT27" s="104" t="s">
        <v>824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37" t="s">
        <v>162</v>
      </c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2" t="str">
        <f ca="1">IFERROR(IF(VLOOKUP(G25,OFFSET($AG$2,,,COUNTIF($AG$2:$AG$50,"?*"),23),13,FALSE)&lt;&gt;0,VLOOKUP(G25,OFFSET($AG$2,,,COUNTIF($AG$2:$AG$50,"?*"),23),13,FALSE),"?"),"")</f>
        <v>Vosy Praha</v>
      </c>
      <c r="H28" s="343"/>
      <c r="I28" s="344"/>
      <c r="J28" s="345">
        <f ca="1">IFERROR(IF(VLOOKUP(G25,OFFSET($AG$2,,,COUNTIF($AG$2:$AG$50,"?*"),23),14,FALSE)&lt;&gt;0,VLOOKUP(G25,OFFSET($AG$2,,,COUNTIF($AG$2:$AG$50,"?*"),23),14,FALSE),"?"),"")</f>
        <v>2010</v>
      </c>
      <c r="K28" s="346"/>
      <c r="L28" s="7">
        <f ca="1">IFERROR(IF(VLOOKUP(G25,OFFSET($AG$2,,,COUNTIF($AG$2:$AG$50,"?*"),23),7,FALSE)&lt;&gt;0,VLOOKUP(G25,OFFSET($AG$2,,,COUNTIF($AG$2:$AG$50,"?*"),23),7,FALSE),"?"),"")</f>
        <v>4</v>
      </c>
      <c r="M28" s="337" t="s">
        <v>14</v>
      </c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76"/>
      <c r="BT28" s="104" t="s">
        <v>889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0">
        <f ca="1">IFERROR(IF(VLOOKUP(A28,OFFSET($AG$2,,,COUNTIF($AG$2:$AG$50,"?*"),23),2,FALSE)&lt;&gt;0,YEAR(VLOOKUP(A28,OFFSET($AG$2,,,COUNTIF($AG$2:$AG$50,"?*"),23),2,FALSE)),""),"")</f>
        <v>1988</v>
      </c>
      <c r="C29" s="341"/>
      <c r="D29" s="5">
        <f ca="1">IFERROR(VLOOKUP(A28,OFFSET($AG$2,,,COUNTIF($AG$2:$AG$50,"?*"),23),15,FALSE),"")</f>
        <v>33</v>
      </c>
      <c r="E29" s="331" t="str">
        <f ca="1">IFERROR(VLOOKUP(A28,OFFSET($AG$2,,,COUNTIF($AG$2:$AG$50,"?*"),23),16,FALSE),"")</f>
        <v>187/92</v>
      </c>
      <c r="F29" s="332"/>
      <c r="M29" s="4" t="str">
        <f ca="1">IFERROR(IF(VLOOKUP(M28,OFFSET($AG$2,,,COUNTIF($AG$2:$AG$50,"?*"),23),10,FALSE)&lt;&gt;0,VLOOKUP(M28,OFFSET($AG$2,,,COUNTIF($AG$2:$AG$50,"?*"),23),10,FALSE),""),"")</f>
        <v>L</v>
      </c>
      <c r="N29" s="340">
        <f ca="1">IFERROR(IF(VLOOKUP(M28,OFFSET($AG$2,,,COUNTIF($AG$2:$AG$50,"?*"),23),2,FALSE)&lt;&gt;0,YEAR(VLOOKUP(M28,OFFSET($AG$2,,,COUNTIF($AG$2:$AG$50,"?*"),23),2,FALSE)),""),"")</f>
        <v>1991</v>
      </c>
      <c r="O29" s="341"/>
      <c r="P29" s="6">
        <f ca="1">IFERROR(VLOOKUP(M28,OFFSET($AG$2,,,COUNTIF($AG$2:$AG$50,"?*"),23),15,FALSE),"")</f>
        <v>30</v>
      </c>
      <c r="Q29" s="331" t="str">
        <f ca="1">IFERROR(VLOOKUP(M28,OFFSET($AG$2,,,COUNTIF($AG$2:$AG$50,"?*"),23),16,FALSE),"")</f>
        <v>180/78</v>
      </c>
      <c r="R29" s="332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76"/>
      <c r="BT29" s="104" t="s">
        <v>963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33" t="str">
        <f ca="1">IFERROR(VLOOKUP(A28,OFFSET($AG$2,,,COUNTIF($AG$2:$AG$50,"?*"),23),18,FALSE),"")</f>
        <v>4 OZ, 1 (1+0), -5 ±</v>
      </c>
      <c r="B30" s="334"/>
      <c r="C30" s="334"/>
      <c r="D30" s="335" t="str">
        <f ca="1">IFERROR(VLOOKUP(A28,OFFSET($AG$2,,,COUNTIF($AG$2:$AG$50,"?*"),23),19,FALSE),"")</f>
        <v>100 OZ, 19 (11+8)</v>
      </c>
      <c r="E30" s="335"/>
      <c r="F30" s="336"/>
      <c r="H30" s="347" t="str">
        <f>H$8</f>
        <v>SKV</v>
      </c>
      <c r="I30" s="347"/>
      <c r="J30" s="347"/>
      <c r="K30" s="347"/>
      <c r="M30" s="333" t="str">
        <f ca="1">IFERROR(VLOOKUP(M28,OFFSET($AG$2,,,COUNTIF($AG$2:$AG$50,"?*"),23),18,FALSE),"")</f>
        <v>4 OZ, 1 (0+1), -8 ±</v>
      </c>
      <c r="N30" s="334"/>
      <c r="O30" s="334"/>
      <c r="P30" s="335" t="str">
        <f ca="1">IFERROR(VLOOKUP(M28,OFFSET($AG$2,,,COUNTIF($AG$2:$AG$50,"?*"),23),19,FALSE),"")</f>
        <v>86 OZ, 68 (45+23)</v>
      </c>
      <c r="Q30" s="335"/>
      <c r="R30" s="336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245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76"/>
      <c r="BT30" s="104" t="s">
        <v>964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>SC Sportcentrum</v>
      </c>
      <c r="B31" s="343"/>
      <c r="C31" s="344"/>
      <c r="D31" s="345">
        <f ca="1">IFERROR(IF(VLOOKUP(A28,OFFSET($AG$2,,,COUNTIF($AG$2:$AG$50,"?*"),23),14,FALSE)&lt;&gt;0,VLOOKUP(A28,OFFSET($AG$2,,,COUNTIF($AG$2:$AG$50,"?*"),23),14,FALSE),"?"),"")</f>
        <v>2000</v>
      </c>
      <c r="E31" s="346"/>
      <c r="F31" s="7">
        <f ca="1">IFERROR(IF(VLOOKUP(A28,OFFSET($AG$2,,,COUNTIF($AG$2:$AG$50,"?*"),23),7,FALSE)&lt;&gt;0,VLOOKUP(A28,OFFSET($AG$2,,,COUNTIF($AG$2:$AG$50,"?*"),23),7,FALSE),"?"),"")</f>
        <v>7</v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>FBK Kunovští Orli</v>
      </c>
      <c r="N31" s="343"/>
      <c r="O31" s="344"/>
      <c r="P31" s="345">
        <f ca="1">IFERROR(IF(VLOOKUP(M28,OFFSET($AG$2,,,COUNTIF($AG$2:$AG$50,"?*"),23),14,FALSE)&lt;&gt;0,VLOOKUP(M28,OFFSET($AG$2,,,COUNTIF($AG$2:$AG$50,"?*"),23),14,FALSE),"?"),"")</f>
        <v>2008</v>
      </c>
      <c r="Q31" s="346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6"/>
      <c r="BT31" s="104" t="s">
        <v>965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7" t="s">
        <v>124</v>
      </c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48" t="s">
        <v>16</v>
      </c>
      <c r="J34" s="337" t="s">
        <v>19</v>
      </c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0">
        <f ca="1">IFERROR(IF(VLOOKUP(A34,OFFSET($AG$2,,,COUNTIF($AG$2:$AG$50,"?*"),23),2,FALSE)&lt;&gt;0,YEAR(VLOOKUP(A34,OFFSET($AG$2,,,COUNTIF($AG$2:$AG$50,"?*"),23),2,FALSE)),""),"")</f>
        <v>1998</v>
      </c>
      <c r="C35" s="341"/>
      <c r="D35" s="5">
        <f ca="1">IFERROR(VLOOKUP(A34,OFFSET($AG$2,,,COUNTIF($AG$2:$AG$50,"?*"),23),15,FALSE),"")</f>
        <v>23</v>
      </c>
      <c r="E35" s="331" t="str">
        <f ca="1">IFERROR(VLOOKUP(A34,OFFSET($AG$2,,,COUNTIF($AG$2:$AG$50,"?*"),23),16,FALSE),"")</f>
        <v>175/69</v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>L</v>
      </c>
      <c r="K35" s="341">
        <f ca="1">IFERROR(IF(VLOOKUP(J34,OFFSET($AG$2,,,COUNTIF($AG$2:$AG$50,"?*"),23),2,FALSE)&lt;&gt;0,YEAR(VLOOKUP(J34,OFFSET($AG$2,,,COUNTIF($AG$2:$AG$50,"?*"),23),2,FALSE)),""),"")</f>
        <v>2002</v>
      </c>
      <c r="L35" s="349"/>
      <c r="M35" s="15">
        <f ca="1">IFERROR(VLOOKUP(J34,OFFSET($AG$2,,,COUNTIF($AG$2:$AG$50,"?*"),23),15,FALSE),"")</f>
        <v>19</v>
      </c>
      <c r="N35" s="349" t="str">
        <f ca="1">IFERROR(VLOOKUP(J34,OFFSET($AG$2,,,COUNTIF($AG$2:$AG$50,"?*"),23),16,FALSE),"")</f>
        <v>187/61</v>
      </c>
      <c r="O35" s="349"/>
      <c r="P35" s="349" t="str">
        <f ca="1">IFERROR(VLOOKUP(J34,OFFSET($AG$2,,,COUNTIF($AG$2:$AG$50,"?*"),23),18,FALSE),"")</f>
        <v>4 OZ, 0 (0+0), -1 ±</v>
      </c>
      <c r="Q35" s="349"/>
      <c r="R35" s="35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57" t="str">
        <f ca="1">IFERROR(VLOOKUP(A34,OFFSET($AG$2,,,COUNTIF($AG$2:$AG$50,"?*"),23),18,FALSE),"")</f>
        <v>0 V, 4 P</v>
      </c>
      <c r="C36" s="357"/>
      <c r="D36" s="358">
        <f ca="1">IFERROR(VLOOKUP(A34,OFFSET($S$45,,,COUNTIF($S$45:$S$50,"?*"),14),5,FALSE),"")</f>
        <v>28</v>
      </c>
      <c r="E36" s="359"/>
      <c r="F36" s="17">
        <f ca="1">IFERROR(VLOOKUP(A34,OFFSET($S$45,,,COUNTIF($S$45:$S$50,"?*"),14),14,FALSE),"")</f>
        <v>74.545454545454547</v>
      </c>
      <c r="H36" s="348"/>
      <c r="J36" s="18">
        <f ca="1">IFERROR(IF(VLOOKUP(J34,OFFSET($AG$2,,,COUNTIF($AG$2:$AG$50,"?*"),23),7,FALSE)&lt;&gt;0,VLOOKUP(J34,OFFSET($AG$2,,,COUNTIF($AG$2:$AG$50,"?*"),23),7,FALSE),"?"),"")</f>
        <v>2</v>
      </c>
      <c r="K36" s="360" t="str">
        <f ca="1">IFERROR(VLOOKUP(J34,OFFSET($AG$2,,,COUNTIF($AG$2:$AG$50,"?*"),23),19,FALSE),"")</f>
        <v>22 OZ, 3 (2+1)</v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>SKV</v>
      </c>
      <c r="O36" s="361"/>
      <c r="P36" s="361"/>
      <c r="Q36" s="360">
        <f ca="1">IFERROR(IF(VLOOKUP(J34,OFFSET($AG$2,,,COUNTIF($AG$2:$AG$50,"?*"),23),14,FALSE)&lt;&gt;0,VLOOKUP(J34,OFFSET($AG$2,,,COUNTIF($AG$2:$AG$50,"?*"),23),14,FALSE),"?"),"")</f>
        <v>2013</v>
      </c>
      <c r="R36" s="36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0">
        <f ca="1">IFERROR(VLOOKUP(A34,OFFSET($S$45,,,COUNTIF($S$45:$S$50,"?*"),14),3,FALSE),"")</f>
        <v>198.22</v>
      </c>
      <c r="B37" s="351"/>
      <c r="C37" s="352">
        <f ca="1">IFERROR(VLOOKUP(A34,OFFSET($S$45,,,COUNTIF($S$45:$S$50,"?*"),14),13,FALSE),"")</f>
        <v>8.4754313389163567</v>
      </c>
      <c r="D37" s="353"/>
      <c r="E37" s="354" t="str">
        <f ca="1">IFERROR(VLOOKUP(A34,OFFSET($AG$2,,,COUNTIF($AG$2:$AG$50,"?*"),23),19,FALSE),"")</f>
        <v>41 OZ, 0 A</v>
      </c>
      <c r="F37" s="355"/>
      <c r="H37" s="348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>FTC Vysoké Mýto</v>
      </c>
      <c r="B38" s="343"/>
      <c r="C38" s="344"/>
      <c r="D38" s="345">
        <f ca="1">IFERROR(IF(VLOOKUP(A34,OFFSET($AG$2,,,COUNTIF($AG$2:$AG$50,"?*"),23),14,FALSE)&lt;&gt;0,VLOOKUP(A34,OFFSET($AG$2,,,COUNTIF($AG$2:$AG$50,"?*"),23),14,FALSE),"?"),"")</f>
        <v>2012</v>
      </c>
      <c r="E38" s="346"/>
      <c r="F38" s="19">
        <f ca="1">IFERROR(VLOOKUP(A34,OFFSET($S$45,,,COUNTIF($S$45:$S$50,"?*"),14),6,FALSE),"")</f>
        <v>0</v>
      </c>
      <c r="H38" s="348"/>
      <c r="J38" s="337" t="s">
        <v>126</v>
      </c>
      <c r="K38" s="338"/>
      <c r="L38" s="338"/>
      <c r="M38" s="338"/>
      <c r="N38" s="338"/>
      <c r="O38" s="338"/>
      <c r="P38" s="338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>
        <f ca="1">IFERROR(IF(VLOOKUP(J38,OFFSET($AG$2,,,COUNTIF($AG$2:$AG$50,"?*"),23),2,FALSE)&lt;&gt;0,YEAR(VLOOKUP(J38,OFFSET($AG$2,,,COUNTIF($AG$2:$AG$50,"?*"),23),2,FALSE)),""),"")</f>
        <v>2002</v>
      </c>
      <c r="L39" s="349"/>
      <c r="M39" s="151">
        <f ca="1">IFERROR(VLOOKUP(J38,OFFSET($AG$2,,,COUNTIF($AG$2:$AG$50,"?*"),23),15,FALSE),"")</f>
        <v>19</v>
      </c>
      <c r="N39" s="349" t="str">
        <f ca="1">IFERROR(VLOOKUP(J38,OFFSET($AG$2,,,COUNTIF($AG$2:$AG$50,"?*"),23),16,FALSE),"")</f>
        <v>? / ?</v>
      </c>
      <c r="O39" s="349"/>
      <c r="P39" s="349" t="str">
        <f ca="1">IFERROR(VLOOKUP(J38,OFFSET($AG$2,,,COUNTIF($AG$2:$AG$50,"?*"),23),18,FALSE),"")</f>
        <v>4 OZ, 0 (0+0), -4 ±</v>
      </c>
      <c r="Q39" s="349"/>
      <c r="R39" s="35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37" t="s">
        <v>15</v>
      </c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48"/>
      <c r="J40" s="18">
        <f ca="1">IFERROR(IF(VLOOKUP(J38,OFFSET($AG$2,,,COUNTIF($AG$2:$AG$50,"?*"),23),7,FALSE)&lt;&gt;0,VLOOKUP(J38,OFFSET($AG$2,,,COUNTIF($AG$2:$AG$50,"?*"),23),7,FALSE),"?"),"")</f>
        <v>1</v>
      </c>
      <c r="K40" s="360" t="str">
        <f ca="1">IFERROR(VLOOKUP(J38,OFFSET($AG$2,,,COUNTIF($AG$2:$AG$50,"?*"),23),19,FALSE),"")</f>
        <v>4 OZ, 0 (0+0)</v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>Tatran Střešovice</v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>?</v>
      </c>
      <c r="R40" s="36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0">
        <f ca="1">IFERROR(IF(VLOOKUP(A40,OFFSET($AG$2,,,COUNTIF($AG$2:$AG$50,"?*"),23),2,FALSE)&lt;&gt;0,YEAR(VLOOKUP(A40,OFFSET($AG$2,,,COUNTIF($AG$2:$AG$50,"?*"),23),2,FALSE)),""),"")</f>
        <v>1996</v>
      </c>
      <c r="C41" s="341"/>
      <c r="D41" s="5">
        <f ca="1">IFERROR(VLOOKUP(A40,OFFSET($AG$2,,,COUNTIF($AG$2:$AG$50,"?*"),23),15,FALSE),"")</f>
        <v>25</v>
      </c>
      <c r="E41" s="331" t="str">
        <f ca="1">IFERROR(VLOOKUP(A40,OFFSET($AG$2,,,COUNTIF($AG$2:$AG$50,"?*"),23),16,FALSE),"")</f>
        <v>187/88</v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57" t="str">
        <f ca="1">IFERROR(VLOOKUP(A40,OFFSET($AG$2,,,COUNTIF($AG$2:$AG$50,"?*"),23),18,FALSE),"")</f>
        <v>0 V, 2 P</v>
      </c>
      <c r="C42" s="357"/>
      <c r="D42" s="358">
        <f ca="1">IFERROR(VLOOKUP(A40,OFFSET($S$45,,,COUNTIF($S$45:$S$50,"?*"),14),5,FALSE),"")</f>
        <v>17</v>
      </c>
      <c r="E42" s="359"/>
      <c r="F42" s="17">
        <f ca="1">IFERROR(VLOOKUP(A40,OFFSET($S$45,,,COUNTIF($S$45:$S$50,"?*"),14),14,FALSE),"")</f>
        <v>56.410256410256409</v>
      </c>
      <c r="H42" s="348"/>
      <c r="J42" s="337" t="s">
        <v>2</v>
      </c>
      <c r="K42" s="338"/>
      <c r="L42" s="338"/>
      <c r="M42" s="338"/>
      <c r="N42" s="338"/>
      <c r="O42" s="338"/>
      <c r="P42" s="338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0">
        <f ca="1">IFERROR(VLOOKUP(A40,OFFSET($S$45,,,COUNTIF($S$45:$S$50,"?*"),14),3,FALSE),"")</f>
        <v>95.12</v>
      </c>
      <c r="B43" s="351"/>
      <c r="C43" s="352">
        <f ca="1">IFERROR(VLOOKUP(A40,OFFSET($S$45,,,COUNTIF($S$45:$S$50,"?*"),14),13,FALSE),"")</f>
        <v>10.723296888141293</v>
      </c>
      <c r="D43" s="353"/>
      <c r="E43" s="354" t="str">
        <f ca="1">IFERROR(VLOOKUP(A40,OFFSET($AG$2,,,COUNTIF($AG$2:$AG$50,"?*"),23),19,FALSE),"")</f>
        <v>42 OZ, 2 A</v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>L</v>
      </c>
      <c r="K43" s="341">
        <f ca="1">IFERROR(IF(VLOOKUP(J42,OFFSET($AG$2,,,COUNTIF($AG$2:$AG$50,"?*"),23),2,FALSE)&lt;&gt;0,YEAR(VLOOKUP(J42,OFFSET($AG$2,,,COUNTIF($AG$2:$AG$50,"?*"),23),2,FALSE)),""),"")</f>
        <v>1992</v>
      </c>
      <c r="L43" s="349"/>
      <c r="M43" s="151">
        <f ca="1">IFERROR(VLOOKUP(J42,OFFSET($AG$2,,,COUNTIF($AG$2:$AG$50,"?*"),23),15,FALSE),"")</f>
        <v>29</v>
      </c>
      <c r="N43" s="349" t="str">
        <f ca="1">IFERROR(VLOOKUP(J42,OFFSET($AG$2,,,COUNTIF($AG$2:$AG$50,"?*"),23),16,FALSE),"")</f>
        <v>181/78</v>
      </c>
      <c r="O43" s="349"/>
      <c r="P43" s="349" t="str">
        <f ca="1">IFERROR(VLOOKUP(J42,OFFSET($AG$2,,,COUNTIF($AG$2:$AG$50,"?*"),23),18,FALSE),"")</f>
        <v>3 OZ, 0 (0+0), -3 ±</v>
      </c>
      <c r="Q43" s="349"/>
      <c r="R43" s="356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>Chodov</v>
      </c>
      <c r="B44" s="343"/>
      <c r="C44" s="344"/>
      <c r="D44" s="345">
        <f ca="1">IFERROR(IF(VLOOKUP(A40,OFFSET($AG$2,,,COUNTIF($AG$2:$AG$50,"?*"),23),14,FALSE)&lt;&gt;0,VLOOKUP(A40,OFFSET($AG$2,,,COUNTIF($AG$2:$AG$50,"?*"),23),14,FALSE),"?"),"")</f>
        <v>2008</v>
      </c>
      <c r="E44" s="346"/>
      <c r="F44" s="19">
        <f ca="1">IFERROR(VLOOKUP(A40,OFFSET($S$45,,,COUNTIF($S$45:$S$50,"?*"),14),6,FALSE),"")</f>
        <v>0</v>
      </c>
      <c r="H44" s="348"/>
      <c r="J44" s="18">
        <f ca="1">IFERROR(IF(VLOOKUP(J42,OFFSET($AG$2,,,COUNTIF($AG$2:$AG$50,"?*"),23),7,FALSE)&lt;&gt;0,VLOOKUP(J42,OFFSET($AG$2,,,COUNTIF($AG$2:$AG$50,"?*"),23),7,FALSE),"?"),"")</f>
        <v>10</v>
      </c>
      <c r="K44" s="360" t="str">
        <f ca="1">IFERROR(VLOOKUP(J42,OFFSET($AG$2,,,COUNTIF($AG$2:$AG$50,"?*"),23),19,FALSE),"")</f>
        <v>144 OZ, 149 (90+59)</v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>Pelhřimov</v>
      </c>
      <c r="O44" s="361"/>
      <c r="P44" s="361"/>
      <c r="Q44" s="360">
        <f ca="1">IFERROR(IF(VLOOKUP(J42,OFFSET($AG$2,,,COUNTIF($AG$2:$AG$50,"?*"),23),14,FALSE)&lt;&gt;0,VLOOKUP(J42,OFFSET($AG$2,,,COUNTIF($AG$2:$AG$50,"?*"),23),14,FALSE),"?"),"")</f>
        <v>2003</v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77" t="s">
        <v>20</v>
      </c>
      <c r="B47" s="378"/>
      <c r="C47" s="378"/>
      <c r="D47" s="378"/>
      <c r="E47" s="373" t="str">
        <f ca="1">IFERROR(VLOOKUP(A47,OFFSET($BN$2,,,COUNTIF($BN$2:$BN$11,"?*"),5),3,FALSE),"")</f>
        <v>trenér</v>
      </c>
      <c r="F47" s="373"/>
      <c r="G47" s="373"/>
      <c r="H47" s="373"/>
      <c r="I47" s="374"/>
      <c r="J47" s="377" t="s">
        <v>21</v>
      </c>
      <c r="K47" s="378"/>
      <c r="L47" s="378"/>
      <c r="M47" s="378"/>
      <c r="N47" s="373" t="str">
        <f ca="1">IFERROR(VLOOKUP(J47,OFFSET($BN$2,,,COUNTIF($BN$2:$BN$11,"?*"),5),3,FALSE),"")</f>
        <v>trenér</v>
      </c>
      <c r="O47" s="373"/>
      <c r="P47" s="373"/>
      <c r="Q47" s="373"/>
      <c r="R47" s="374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3">
        <f ca="1">IFERROR(VLOOKUP(A47,OFFSET($BN$2,,,COUNTIF($BN$2:$BN$11,"?*"),5),5,FALSE),"")</f>
        <v>38</v>
      </c>
      <c r="B48" s="365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5"/>
      <c r="D48" s="365"/>
      <c r="E48" s="365"/>
      <c r="F48" s="365"/>
      <c r="G48" s="365"/>
      <c r="H48" s="365"/>
      <c r="I48" s="366"/>
      <c r="J48" s="24">
        <f ca="1">IFERROR(VLOOKUP(J47,OFFSET($BN$2,,,COUNTIF($BN$2:$BN$11,"?*"),5),5,FALSE),"")</f>
        <v>35</v>
      </c>
      <c r="K48" s="369" t="str">
        <f ca="1">IFERROR(IF(VLOOKUP(J47,OFFSET($BN$2,,,COUNTIF($BN$2:$BN$11,"?*"),5),4,FALSE)&lt;&gt;0,VLOOKUP(J47,OFFSET($BN$2,,,COUNTIF($BN$2:$BN$11,"?*"),5),4,FALSE),"-"),"")</f>
        <v>2x mistr české ligy (Chodov)</v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 t="s">
        <v>22</v>
      </c>
      <c r="K49" s="372"/>
      <c r="L49" s="372"/>
      <c r="M49" s="372"/>
      <c r="N49" s="373" t="str">
        <f ca="1">IFERROR(VLOOKUP(J49,OFFSET($BN$2,,,COUNTIF($BN$2:$BN$11,"?*"),5),3,FALSE),"")</f>
        <v>kondiční trenér</v>
      </c>
      <c r="O49" s="373"/>
      <c r="P49" s="373"/>
      <c r="Q49" s="373"/>
      <c r="R49" s="374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24">
        <f ca="1">IFERROR(VLOOKUP(J49,OFFSET($BN$2,,,COUNTIF($BN$2:$BN$11,"?*"),5),5,FALSE),"")</f>
        <v>31</v>
      </c>
      <c r="K50" s="369" t="str">
        <f ca="1">IFERROR(IF(VLOOKUP(J49,OFFSET($BN$2,,,COUNTIF($BN$2:$BN$11,"?*"),5),4,FALSE)&lt;&gt;0,VLOOKUP(J49,OFFSET($BN$2,,,COUNTIF($BN$2:$BN$11,"?*"),5),4,FALSE),"-"),"")</f>
        <v>postup do Tipsport superligy (hráč)</v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736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7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730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+6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751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75" t="s">
        <v>215</v>
      </c>
      <c r="BY2" s="103" t="s">
        <v>210</v>
      </c>
      <c r="BZ2" s="103" t="s">
        <v>992</v>
      </c>
      <c r="CA2" s="115" t="s">
        <v>912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734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8</v>
      </c>
      <c r="AC3" s="102" t="str">
        <f t="shared" ca="1" si="0"/>
        <v>ANO</v>
      </c>
      <c r="AG3" s="121" t="s">
        <v>736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+7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76"/>
      <c r="BT3" s="104" t="s">
        <v>893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75"/>
      <c r="BY3" s="103" t="s">
        <v>269</v>
      </c>
      <c r="BZ3" s="103" t="s">
        <v>993</v>
      </c>
      <c r="CA3" s="115" t="s">
        <v>994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735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5</v>
      </c>
      <c r="AC4" s="102" t="str">
        <f t="shared" ca="1" si="0"/>
        <v>ANO</v>
      </c>
      <c r="AG4" s="121" t="s">
        <v>734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+8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76"/>
      <c r="BT4" s="104" t="s">
        <v>980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75"/>
      <c r="BY4" s="103" t="s">
        <v>886</v>
      </c>
      <c r="BZ4" s="103" t="s">
        <v>995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R5" s="13"/>
      <c r="S5" s="110" t="s">
        <v>732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5</v>
      </c>
      <c r="AC5" s="102" t="str">
        <f t="shared" ca="1" si="0"/>
        <v>ANO</v>
      </c>
      <c r="AG5" s="121" t="s">
        <v>733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+5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76"/>
      <c r="BT5" s="104" t="s">
        <v>981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75"/>
      <c r="BY5" s="103" t="s">
        <v>207</v>
      </c>
      <c r="BZ5" s="103" t="s">
        <v>996</v>
      </c>
      <c r="CA5" s="115" t="s">
        <v>825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729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5</v>
      </c>
      <c r="AC6" s="102" t="str">
        <f t="shared" ca="1" si="0"/>
        <v>ANO</v>
      </c>
      <c r="AG6" s="121" t="s">
        <v>731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+6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76"/>
      <c r="BT6" s="104" t="s">
        <v>894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75"/>
      <c r="BY6" s="103" t="s">
        <v>267</v>
      </c>
      <c r="BZ6" s="103" t="s">
        <v>997</v>
      </c>
      <c r="CA6" s="115" t="s">
        <v>752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730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6</v>
      </c>
      <c r="AC7" s="102" t="str">
        <f t="shared" ca="1" si="0"/>
        <v>ANO</v>
      </c>
      <c r="AG7" s="121" t="s">
        <v>742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-4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6" t="s">
        <v>40</v>
      </c>
      <c r="BT7" s="104" t="s">
        <v>749</v>
      </c>
      <c r="BU7" s="103" t="s">
        <v>982</v>
      </c>
      <c r="BV7" s="104" t="str">
        <f t="shared" si="14"/>
        <v>Ondřej Matiášek</v>
      </c>
      <c r="BW7" s="112">
        <f t="shared" si="15"/>
        <v>2.96</v>
      </c>
      <c r="BX7" s="375" t="s">
        <v>216</v>
      </c>
      <c r="BY7" s="103" t="s">
        <v>211</v>
      </c>
      <c r="BZ7" s="103" t="s">
        <v>998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97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740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0</v>
      </c>
      <c r="AC8" s="102" t="str">
        <f t="shared" ca="1" si="0"/>
        <v>ANO</v>
      </c>
      <c r="AG8" s="121" t="s">
        <v>735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+5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6"/>
      <c r="BT8" s="104" t="s">
        <v>750</v>
      </c>
      <c r="BU8" s="103" t="s">
        <v>983</v>
      </c>
      <c r="BV8" s="104" t="str">
        <f t="shared" si="14"/>
        <v>Daniel Körber</v>
      </c>
      <c r="BW8" s="112">
        <f t="shared" si="15"/>
        <v>6.08</v>
      </c>
      <c r="BX8" s="375"/>
      <c r="BY8" s="103" t="s">
        <v>878</v>
      </c>
      <c r="BZ8" s="103" t="s">
        <v>970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731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6</v>
      </c>
      <c r="AC9" s="102" t="str">
        <f t="shared" ca="1" si="0"/>
        <v>ANO</v>
      </c>
      <c r="AG9" s="121" t="s">
        <v>732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+5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6"/>
      <c r="BV9" s="104" t="str">
        <f t="shared" si="14"/>
        <v/>
      </c>
      <c r="BW9" s="112" t="str">
        <f t="shared" si="15"/>
        <v/>
      </c>
      <c r="BX9" s="375"/>
      <c r="BY9" s="103" t="s">
        <v>999</v>
      </c>
      <c r="BZ9" s="103" t="s">
        <v>971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738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8</v>
      </c>
      <c r="AC10" s="102" t="str">
        <f t="shared" ca="1" si="0"/>
        <v>ANO</v>
      </c>
      <c r="AG10" s="121" t="s">
        <v>729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+5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6"/>
      <c r="BV10" s="104" t="str">
        <f t="shared" si="14"/>
        <v/>
      </c>
      <c r="BW10" s="112" t="str">
        <f t="shared" si="15"/>
        <v/>
      </c>
      <c r="BX10" s="375"/>
      <c r="BY10" s="103" t="s">
        <v>1000</v>
      </c>
      <c r="BZ10" s="103" t="s">
        <v>969</v>
      </c>
      <c r="CA10" s="115" t="s">
        <v>208</v>
      </c>
    </row>
    <row r="11" spans="1:79" ht="15" customHeight="1" thickTop="1" thickBot="1" x14ac:dyDescent="0.25">
      <c r="R11" s="13"/>
      <c r="S11" s="110" t="s">
        <v>733</v>
      </c>
      <c r="T11" s="102" t="s">
        <v>64</v>
      </c>
      <c r="U11" s="102">
        <v>5</v>
      </c>
      <c r="V11" s="102">
        <v>1</v>
      </c>
      <c r="W11" s="102">
        <v>1</v>
      </c>
      <c r="X11" s="102">
        <v>0</v>
      </c>
      <c r="Y11" s="102">
        <v>2</v>
      </c>
      <c r="Z11" s="102">
        <v>3</v>
      </c>
      <c r="AA11" s="102">
        <v>0</v>
      </c>
      <c r="AB11" s="102">
        <v>5</v>
      </c>
      <c r="AC11" s="102" t="str">
        <f t="shared" ca="1" si="0"/>
        <v>ANO</v>
      </c>
      <c r="AG11" s="121" t="s">
        <v>747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-3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6"/>
      <c r="BV11" s="104" t="str">
        <f t="shared" si="14"/>
        <v/>
      </c>
      <c r="BW11" s="112" t="str">
        <f t="shared" si="15"/>
        <v/>
      </c>
      <c r="BX11" s="375"/>
      <c r="BY11" s="103" t="s">
        <v>977</v>
      </c>
      <c r="BZ11" s="103" t="s">
        <v>967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747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-3</v>
      </c>
      <c r="AC12" s="102" t="str">
        <f t="shared" ca="1" si="0"/>
        <v>ANO</v>
      </c>
      <c r="AG12" s="121" t="s">
        <v>745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6" t="s">
        <v>37</v>
      </c>
      <c r="BT12" s="104" t="s">
        <v>751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214</v>
      </c>
      <c r="BY12" s="100" t="s">
        <v>1001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829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746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-4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6"/>
      <c r="BT13" s="104" t="s">
        <v>893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741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8</v>
      </c>
      <c r="AC14" s="102" t="str">
        <f t="shared" ca="1" si="0"/>
        <v>ANO</v>
      </c>
      <c r="AG14" s="121" t="s">
        <v>743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6"/>
      <c r="BT14" s="104" t="s">
        <v>984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744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744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6"/>
      <c r="BT15" s="104" t="s">
        <v>826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R16" s="13"/>
      <c r="S16" s="110" t="s">
        <v>739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741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+8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6"/>
      <c r="BT16" s="104" t="s">
        <v>985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828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737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-4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6" t="s">
        <v>41</v>
      </c>
      <c r="BT17" s="104" t="s">
        <v>749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748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738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+8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6"/>
      <c r="BT18" s="104" t="s">
        <v>750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BA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827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-1</v>
      </c>
      <c r="AC19" s="102" t="str">
        <f t="shared" ca="1" si="0"/>
        <v>NE</v>
      </c>
      <c r="AG19" s="121" t="s">
        <v>740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0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745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739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746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ca="1">IF(S21&lt;&gt;"",IFERROR(IF(VLOOKUP(S21,OFFSET($AG$2,,,COUNTIF($AG$2:$AG$50,"?*")),1,FALSE)&lt;&gt;0,"ANO","NE"),"NE"),"")</f>
        <v>ANO</v>
      </c>
      <c r="AG21" s="121" t="s">
        <v>748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0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737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76" t="s">
        <v>38</v>
      </c>
      <c r="BT22" s="104" t="s">
        <v>891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743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76"/>
      <c r="BT23" s="104" t="s">
        <v>890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742</v>
      </c>
      <c r="T24" s="102" t="s">
        <v>121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76"/>
      <c r="BT24" s="104" t="s">
        <v>892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76"/>
      <c r="BT25" s="104" t="s">
        <v>986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76"/>
      <c r="BT26" s="104" t="s">
        <v>894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76" t="s">
        <v>39</v>
      </c>
      <c r="BT27" s="104" t="s">
        <v>987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76"/>
      <c r="BT28" s="104" t="s">
        <v>988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76"/>
      <c r="BT29" s="104" t="s">
        <v>989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BA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6"/>
      <c r="BT30" s="104" t="s">
        <v>990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6"/>
      <c r="BT31" s="104" t="s">
        <v>991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743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745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577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576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612</v>
      </c>
      <c r="BO2" s="122">
        <v>29350</v>
      </c>
      <c r="BP2" s="131" t="s">
        <v>260</v>
      </c>
      <c r="BQ2" s="132" t="s">
        <v>613</v>
      </c>
      <c r="BR2" s="127">
        <f ca="1">IF(BN2&lt;&gt;"",IF(BO2&lt;&gt;"",INT((TODAY()-BO2)/365),"?"),"")</f>
        <v>41</v>
      </c>
      <c r="BS2" s="376" t="s">
        <v>36</v>
      </c>
      <c r="BT2" s="104" t="s">
        <v>623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75" t="s">
        <v>215</v>
      </c>
      <c r="BY2" s="103" t="s">
        <v>210</v>
      </c>
      <c r="BZ2" s="103" t="s">
        <v>995</v>
      </c>
      <c r="CA2" s="115" t="s">
        <v>1002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575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614</v>
      </c>
      <c r="BO3" s="122">
        <v>33849</v>
      </c>
      <c r="BP3" s="131" t="s">
        <v>261</v>
      </c>
      <c r="BQ3" s="132" t="s">
        <v>615</v>
      </c>
      <c r="BR3" s="127">
        <f t="shared" ref="BR3:BR11" ca="1" si="12">IF(BN3&lt;&gt;"",IF(BO3&lt;&gt;"",INT((TODAY()-BO3)/365),"?"),"")</f>
        <v>29</v>
      </c>
      <c r="BS3" s="376"/>
      <c r="BT3" s="104" t="s">
        <v>900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75"/>
      <c r="BY3" s="103" t="s">
        <v>269</v>
      </c>
      <c r="BZ3" s="103" t="s">
        <v>996</v>
      </c>
      <c r="CA3" s="115" t="s">
        <v>1003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576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588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605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616</v>
      </c>
      <c r="BO4" s="122">
        <v>28301</v>
      </c>
      <c r="BP4" s="131" t="s">
        <v>261</v>
      </c>
      <c r="BQ4" s="132"/>
      <c r="BR4" s="127">
        <f t="shared" ca="1" si="12"/>
        <v>44</v>
      </c>
      <c r="BS4" s="376"/>
      <c r="BT4" s="104" t="s">
        <v>1005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75"/>
      <c r="BY4" s="103" t="s">
        <v>886</v>
      </c>
      <c r="BZ4" s="103" t="s">
        <v>997</v>
      </c>
      <c r="CA4" s="115" t="s">
        <v>895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578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592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617</v>
      </c>
      <c r="BO5" s="122">
        <v>24059</v>
      </c>
      <c r="BP5" s="131" t="s">
        <v>393</v>
      </c>
      <c r="BQ5" s="132"/>
      <c r="BR5" s="127">
        <f t="shared" ca="1" si="12"/>
        <v>55</v>
      </c>
      <c r="BS5" s="376"/>
      <c r="BT5" s="104" t="s">
        <v>897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75"/>
      <c r="BY5" s="103" t="s">
        <v>207</v>
      </c>
      <c r="BZ5" s="103" t="s">
        <v>998</v>
      </c>
      <c r="CA5" s="115" t="s">
        <v>832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579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587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606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618</v>
      </c>
      <c r="BO6" s="122">
        <v>33657</v>
      </c>
      <c r="BP6" s="131" t="s">
        <v>450</v>
      </c>
      <c r="BQ6" s="132"/>
      <c r="BR6" s="127">
        <f t="shared" ca="1" si="12"/>
        <v>29</v>
      </c>
      <c r="BS6" s="376"/>
      <c r="BT6" s="104" t="s">
        <v>1006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75"/>
      <c r="BY6" s="103" t="s">
        <v>267</v>
      </c>
      <c r="BZ6" s="103" t="s">
        <v>972</v>
      </c>
      <c r="CA6" s="115" t="s">
        <v>624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601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593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621</v>
      </c>
      <c r="BU7" s="103" t="s">
        <v>1007</v>
      </c>
      <c r="BV7" s="104" t="str">
        <f t="shared" si="13"/>
        <v>Radovan Michajlovič</v>
      </c>
      <c r="BW7" s="112">
        <f t="shared" si="14"/>
        <v>4.32</v>
      </c>
      <c r="BX7" s="375" t="s">
        <v>216</v>
      </c>
      <c r="BY7" s="103" t="s">
        <v>270</v>
      </c>
      <c r="BZ7" s="103" t="s">
        <v>973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98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580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577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622</v>
      </c>
      <c r="BU8" s="103" t="s">
        <v>1008</v>
      </c>
      <c r="BV8" s="104" t="str">
        <f t="shared" si="13"/>
        <v>Tomáš Hyršl</v>
      </c>
      <c r="BW8" s="112">
        <f t="shared" si="14"/>
        <v>6.94</v>
      </c>
      <c r="BX8" s="375"/>
      <c r="BY8" s="103" t="s">
        <v>820</v>
      </c>
      <c r="BZ8" s="103" t="s">
        <v>993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581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594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878</v>
      </c>
      <c r="BZ9" s="103" t="s">
        <v>992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592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582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971</v>
      </c>
      <c r="CA10" s="115" t="s">
        <v>208</v>
      </c>
    </row>
    <row r="11" spans="1:79" ht="15" customHeight="1" thickTop="1" thickBot="1" x14ac:dyDescent="0.25">
      <c r="R11" s="13"/>
      <c r="S11" s="110" t="s">
        <v>585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595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278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970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596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619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214</v>
      </c>
      <c r="BY12" s="100" t="s">
        <v>1004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588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278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620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485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585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896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830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597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897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583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598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898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831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591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621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578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622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BOH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708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584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607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586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599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608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591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402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322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587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415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623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582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580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609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620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584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600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324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833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0" t="s">
        <v>590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579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897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601</v>
      </c>
      <c r="AH26" s="122"/>
      <c r="AI26" s="123"/>
      <c r="AJ26" s="123"/>
      <c r="AK26" s="123"/>
      <c r="AL26" s="124">
        <f>IF(AG26&lt;&gt;"",AJ26+AK26,"")</f>
        <v>0</v>
      </c>
      <c r="AM26" s="123" t="s">
        <v>310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1009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602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610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899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603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1010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604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1005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BOH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583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611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1011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1012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584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85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81.17647058823529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582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685</v>
      </c>
      <c r="T2" s="102" t="s">
        <v>121</v>
      </c>
      <c r="U2" s="102">
        <v>5</v>
      </c>
      <c r="V2" s="102">
        <v>6</v>
      </c>
      <c r="W2" s="102">
        <v>0</v>
      </c>
      <c r="X2" s="102">
        <v>1</v>
      </c>
      <c r="Y2" s="102">
        <v>3</v>
      </c>
      <c r="Z2" s="102">
        <v>9</v>
      </c>
      <c r="AA2" s="102">
        <v>6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697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33</v>
      </c>
      <c r="AO2" s="125"/>
      <c r="AP2" s="125"/>
      <c r="AQ2" s="123">
        <v>189</v>
      </c>
      <c r="AR2" s="123">
        <v>91</v>
      </c>
      <c r="AS2" s="126" t="s">
        <v>441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722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76" t="s">
        <v>36</v>
      </c>
      <c r="BT2" s="104" t="s">
        <v>726</v>
      </c>
      <c r="BU2" s="103">
        <v>9</v>
      </c>
      <c r="BV2" s="104" t="str">
        <f>IFERROR(RIGHT(BT2,LEN(BT2)-SEARCH(" ",BT2)),"")</f>
        <v>Radek Krajcigr</v>
      </c>
      <c r="BW2" s="102">
        <f>IF(BT2&lt;&gt;0,_xlfn.NUMBERVALUE(BU2,","),"")</f>
        <v>9</v>
      </c>
      <c r="BX2" s="375" t="s">
        <v>215</v>
      </c>
      <c r="BY2" s="103" t="s">
        <v>210</v>
      </c>
      <c r="BZ2" s="103" t="s">
        <v>997</v>
      </c>
      <c r="CA2" s="115" t="s">
        <v>113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429</v>
      </c>
      <c r="T3" s="102" t="s">
        <v>64</v>
      </c>
      <c r="U3" s="102">
        <v>5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-7</v>
      </c>
      <c r="AC3" s="102" t="str">
        <f t="shared" ca="1" si="0"/>
        <v>ANO</v>
      </c>
      <c r="AG3" s="121" t="s">
        <v>702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244</v>
      </c>
      <c r="AQ3" s="123">
        <v>186</v>
      </c>
      <c r="AR3" s="123">
        <v>94</v>
      </c>
      <c r="AS3" s="126" t="s">
        <v>712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723</v>
      </c>
      <c r="BO3" s="122">
        <v>30597</v>
      </c>
      <c r="BP3" s="131" t="s">
        <v>261</v>
      </c>
      <c r="BQ3" s="132"/>
      <c r="BR3" s="127">
        <f t="shared" ref="BR3:BR11" ca="1" si="12">IF(BN3&lt;&gt;"",IF(BO3&lt;&gt;"",INT((TODAY()-BO3)/365),"?"),"")</f>
        <v>38</v>
      </c>
      <c r="BS3" s="376"/>
      <c r="BT3" s="104" t="s">
        <v>1020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75"/>
      <c r="BY3" s="103" t="s">
        <v>209</v>
      </c>
      <c r="BZ3" s="103" t="s">
        <v>1013</v>
      </c>
      <c r="CA3" s="115" t="s">
        <v>1014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686</v>
      </c>
      <c r="T4" s="102" t="s">
        <v>121</v>
      </c>
      <c r="U4" s="102">
        <v>5</v>
      </c>
      <c r="V4" s="102">
        <v>5</v>
      </c>
      <c r="W4" s="102">
        <v>0</v>
      </c>
      <c r="X4" s="102">
        <v>0</v>
      </c>
      <c r="Y4" s="102">
        <v>1</v>
      </c>
      <c r="Z4" s="102">
        <v>6</v>
      </c>
      <c r="AA4" s="102">
        <v>0</v>
      </c>
      <c r="AB4" s="102">
        <v>-3</v>
      </c>
      <c r="AC4" s="102" t="str">
        <f t="shared" ca="1" si="0"/>
        <v>ANO</v>
      </c>
      <c r="AG4" s="121" t="s">
        <v>703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244</v>
      </c>
      <c r="AQ4" s="123">
        <v>191</v>
      </c>
      <c r="AR4" s="123">
        <v>84</v>
      </c>
      <c r="AS4" s="126" t="s">
        <v>713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724</v>
      </c>
      <c r="BO4" s="122">
        <v>31784</v>
      </c>
      <c r="BP4" s="131" t="s">
        <v>194</v>
      </c>
      <c r="BQ4" s="132"/>
      <c r="BR4" s="127">
        <f t="shared" ca="1" si="12"/>
        <v>34</v>
      </c>
      <c r="BS4" s="376"/>
      <c r="BT4" s="104" t="s">
        <v>1021</v>
      </c>
      <c r="BU4" s="103">
        <v>6</v>
      </c>
      <c r="BV4" s="104" t="str">
        <f t="shared" si="13"/>
        <v>Ondřej Kopič</v>
      </c>
      <c r="BW4" s="102">
        <f t="shared" si="14"/>
        <v>6</v>
      </c>
      <c r="BX4" s="375"/>
      <c r="BY4" s="103" t="s">
        <v>886</v>
      </c>
      <c r="BZ4" s="103" t="s">
        <v>976</v>
      </c>
      <c r="CA4" s="115" t="s">
        <v>901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687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3</v>
      </c>
      <c r="Z5" s="102">
        <v>5</v>
      </c>
      <c r="AA5" s="102">
        <v>0</v>
      </c>
      <c r="AB5" s="102">
        <v>-6</v>
      </c>
      <c r="AC5" s="102" t="str">
        <f t="shared" ca="1" si="0"/>
        <v>ANO</v>
      </c>
      <c r="AG5" s="121" t="s">
        <v>688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714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5 OZ, 1 (1+0), -10 ±</v>
      </c>
      <c r="AY5" s="129" t="str">
        <f t="shared" ca="1" si="2"/>
        <v>108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725</v>
      </c>
      <c r="BO5" s="122">
        <v>29101</v>
      </c>
      <c r="BP5" s="131" t="s">
        <v>194</v>
      </c>
      <c r="BQ5" s="132"/>
      <c r="BR5" s="127">
        <f t="shared" ca="1" si="12"/>
        <v>42</v>
      </c>
      <c r="BS5" s="376"/>
      <c r="BT5" s="104" t="s">
        <v>1022</v>
      </c>
      <c r="BU5" s="103">
        <v>5</v>
      </c>
      <c r="BV5" s="104" t="str">
        <f t="shared" si="13"/>
        <v>Jaromír Ekl</v>
      </c>
      <c r="BW5" s="102">
        <f t="shared" si="14"/>
        <v>5</v>
      </c>
      <c r="BX5" s="375"/>
      <c r="BY5" s="103" t="s">
        <v>207</v>
      </c>
      <c r="BZ5" s="103" t="s">
        <v>971</v>
      </c>
      <c r="CA5" s="115" t="s">
        <v>834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691</v>
      </c>
      <c r="T6" s="102" t="s">
        <v>64</v>
      </c>
      <c r="U6" s="102">
        <v>5</v>
      </c>
      <c r="V6" s="102">
        <v>2</v>
      </c>
      <c r="W6" s="102">
        <v>2</v>
      </c>
      <c r="X6" s="102">
        <v>0</v>
      </c>
      <c r="Y6" s="102">
        <v>2</v>
      </c>
      <c r="Z6" s="102">
        <v>4</v>
      </c>
      <c r="AA6" s="102">
        <v>4</v>
      </c>
      <c r="AB6" s="102">
        <v>-1</v>
      </c>
      <c r="AC6" s="102" t="str">
        <f t="shared" ca="1" si="0"/>
        <v>ANO</v>
      </c>
      <c r="AG6" s="121" t="s">
        <v>687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715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5 OZ, 5 (2+3), -6 ±</v>
      </c>
      <c r="AY6" s="129" t="str">
        <f t="shared" ca="1" si="2"/>
        <v>312 OZ, 298 (178+120)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1023</v>
      </c>
      <c r="BU6" s="103">
        <v>4</v>
      </c>
      <c r="BV6" s="104" t="str">
        <f t="shared" si="13"/>
        <v>Štěpán Slaný</v>
      </c>
      <c r="BW6" s="102">
        <f t="shared" si="14"/>
        <v>4</v>
      </c>
      <c r="BX6" s="375"/>
      <c r="BY6" s="103" t="s">
        <v>267</v>
      </c>
      <c r="BZ6" s="103" t="s">
        <v>1015</v>
      </c>
      <c r="CA6" s="115" t="s">
        <v>728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696</v>
      </c>
      <c r="T7" s="102" t="s">
        <v>64</v>
      </c>
      <c r="U7" s="102">
        <v>5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2</v>
      </c>
      <c r="AB7" s="102">
        <v>-6</v>
      </c>
      <c r="AC7" s="102" t="str">
        <f t="shared" ca="1" si="0"/>
        <v>ANO</v>
      </c>
      <c r="AG7" s="121" t="s">
        <v>699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951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903</v>
      </c>
      <c r="BU7" s="103" t="s">
        <v>1024</v>
      </c>
      <c r="BV7" s="104" t="str">
        <f t="shared" si="13"/>
        <v>Lukáš Chyna</v>
      </c>
      <c r="BW7" s="112">
        <f t="shared" si="14"/>
        <v>6.59</v>
      </c>
      <c r="BX7" s="375" t="s">
        <v>216</v>
      </c>
      <c r="BY7" s="103" t="s">
        <v>211</v>
      </c>
      <c r="BZ7" s="103" t="s">
        <v>992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102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689</v>
      </c>
      <c r="T8" s="102" t="s">
        <v>64</v>
      </c>
      <c r="U8" s="102">
        <v>4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0</v>
      </c>
      <c r="AB8" s="102">
        <v>-8</v>
      </c>
      <c r="AC8" s="102" t="str">
        <f t="shared" ca="1" si="0"/>
        <v>ANO</v>
      </c>
      <c r="AG8" s="121" t="s">
        <v>700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441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2 OZ, 0 (0+0), 0 ±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904</v>
      </c>
      <c r="BU8" s="103" t="s">
        <v>1025</v>
      </c>
      <c r="BV8" s="104" t="str">
        <f t="shared" si="13"/>
        <v>Ivan Ponomarev</v>
      </c>
      <c r="BW8" s="112">
        <f t="shared" si="14"/>
        <v>9.08</v>
      </c>
      <c r="BX8" s="375"/>
      <c r="BY8" s="103" t="s">
        <v>878</v>
      </c>
      <c r="BZ8" s="103" t="s">
        <v>1016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698</v>
      </c>
      <c r="T9" s="102" t="s">
        <v>121</v>
      </c>
      <c r="U9" s="102">
        <v>5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-3</v>
      </c>
      <c r="AC9" s="102" t="str">
        <f t="shared" ca="1" si="0"/>
        <v>ANO</v>
      </c>
      <c r="AG9" s="121" t="s">
        <v>704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441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975</v>
      </c>
      <c r="BZ9" s="103" t="s">
        <v>1017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693</v>
      </c>
      <c r="T10" s="102" t="s">
        <v>121</v>
      </c>
      <c r="U10" s="102">
        <v>4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701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244</v>
      </c>
      <c r="AQ10" s="123">
        <v>181</v>
      </c>
      <c r="AR10" s="123">
        <v>79</v>
      </c>
      <c r="AS10" s="126" t="s">
        <v>441</v>
      </c>
      <c r="AT10" s="123" t="s">
        <v>244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2 P</v>
      </c>
      <c r="AY10" s="129" t="str">
        <f t="shared" ca="1" si="2"/>
        <v>46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977</v>
      </c>
      <c r="BZ10" s="103" t="s">
        <v>995</v>
      </c>
      <c r="CA10" s="115" t="s">
        <v>208</v>
      </c>
    </row>
    <row r="11" spans="1:79" ht="15" customHeight="1" thickTop="1" thickBot="1" x14ac:dyDescent="0.25">
      <c r="R11" s="13"/>
      <c r="S11" s="110" t="s">
        <v>690</v>
      </c>
      <c r="T11" s="102" t="s">
        <v>121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-6</v>
      </c>
      <c r="AC11" s="102" t="str">
        <f t="shared" ca="1" si="0"/>
        <v>ANO</v>
      </c>
      <c r="AG11" s="121" t="s">
        <v>705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712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1018</v>
      </c>
      <c r="BZ11" s="103" t="s">
        <v>966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707</v>
      </c>
      <c r="T12" s="102" t="s">
        <v>64</v>
      </c>
      <c r="U12" s="102">
        <v>2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27</v>
      </c>
      <c r="AB12" s="102">
        <v>-2</v>
      </c>
      <c r="AC12" s="102" t="str">
        <f t="shared" ca="1" si="0"/>
        <v>ANO</v>
      </c>
      <c r="AG12" s="121" t="s">
        <v>698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441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5 OZ, 3 (0+3), -3 ±</v>
      </c>
      <c r="AY12" s="129" t="str">
        <f t="shared" ca="1" si="2"/>
        <v>108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726</v>
      </c>
      <c r="BU12" s="103">
        <v>6</v>
      </c>
      <c r="BV12" s="104" t="str">
        <f t="shared" si="13"/>
        <v>Radek Krajcigr</v>
      </c>
      <c r="BW12" s="102">
        <f t="shared" si="14"/>
        <v>6</v>
      </c>
      <c r="BX12" s="120" t="s">
        <v>214</v>
      </c>
      <c r="BY12" s="100" t="s">
        <v>1019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695</v>
      </c>
      <c r="T13" s="102" t="s">
        <v>64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706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 t="s">
        <v>168</v>
      </c>
      <c r="AP13" s="125" t="s">
        <v>151</v>
      </c>
      <c r="AQ13" s="123">
        <v>176</v>
      </c>
      <c r="AR13" s="123">
        <v>80</v>
      </c>
      <c r="AS13" s="126" t="s">
        <v>715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1026</v>
      </c>
      <c r="BU13" s="103">
        <v>5</v>
      </c>
      <c r="BV13" s="104" t="str">
        <f t="shared" si="13"/>
        <v>Ondřej Kopič</v>
      </c>
      <c r="BW13" s="102">
        <f t="shared" si="14"/>
        <v>5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694</v>
      </c>
      <c r="U14" s="102">
        <v>4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690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441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5 OZ, 2 (0+2), -6 ±</v>
      </c>
      <c r="AY14" s="129" t="str">
        <f t="shared" ca="1" si="2"/>
        <v>96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902</v>
      </c>
      <c r="BU14" s="103">
        <v>3</v>
      </c>
      <c r="BV14" s="104" t="str">
        <f t="shared" si="13"/>
        <v>Milan Tichý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688</v>
      </c>
      <c r="T15" s="102" t="s">
        <v>121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-10</v>
      </c>
      <c r="AC15" s="102" t="str">
        <f t="shared" ca="1" si="0"/>
        <v>ANO</v>
      </c>
      <c r="AG15" s="121" t="s">
        <v>686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441</v>
      </c>
      <c r="AT15" s="123" t="s">
        <v>244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5 OZ, 6 (5+1), -3 ±</v>
      </c>
      <c r="AY15" s="129" t="str">
        <f t="shared" ca="1" si="2"/>
        <v>29 OZ, 27 (19+8)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1022</v>
      </c>
      <c r="BU15" s="103">
        <v>2</v>
      </c>
      <c r="BV15" s="104" t="str">
        <f t="shared" si="13"/>
        <v>Jaromír Ekl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710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694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19</v>
      </c>
      <c r="AO16" s="125"/>
      <c r="AP16" s="125" t="s">
        <v>151</v>
      </c>
      <c r="AQ16" s="123">
        <v>170</v>
      </c>
      <c r="AR16" s="123">
        <v>62</v>
      </c>
      <c r="AS16" s="126" t="s">
        <v>441</v>
      </c>
      <c r="AT16" s="123" t="s">
        <v>244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4 OZ, 1 (1+0), 0 ±</v>
      </c>
      <c r="AY16" s="129" t="str">
        <f t="shared" ca="1" si="2"/>
        <v>12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1027</v>
      </c>
      <c r="BU16" s="103">
        <v>2</v>
      </c>
      <c r="BV16" s="104" t="str">
        <f t="shared" si="13"/>
        <v>Jiří Vlček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700</v>
      </c>
      <c r="T17" s="102" t="s">
        <v>64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685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716</v>
      </c>
      <c r="AT17" s="123" t="s">
        <v>244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5 OZ, 9 (6+3), +2 ±</v>
      </c>
      <c r="AY17" s="129" t="str">
        <f t="shared" ca="1" si="2"/>
        <v>199 OZ, 336 (240+96)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903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699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696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/>
      <c r="AP18" s="125" t="s">
        <v>151</v>
      </c>
      <c r="AQ18" s="123">
        <v>185</v>
      </c>
      <c r="AR18" s="123">
        <v>85</v>
      </c>
      <c r="AS18" s="126" t="s">
        <v>717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5 OZ, 3 (1+2), -6 ±</v>
      </c>
      <c r="AY18" s="129" t="str">
        <f t="shared" ca="1" si="2"/>
        <v>88 OZ, 23 (13+10)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904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CLP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443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-1</v>
      </c>
      <c r="AC19" s="102" t="str">
        <f t="shared" ca="1" si="0"/>
        <v>ANO</v>
      </c>
      <c r="AG19" s="121" t="s">
        <v>707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715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2 OZ, 1 (1+0), -2 ±</v>
      </c>
      <c r="AY19" s="129" t="str">
        <f t="shared" ca="1" si="2"/>
        <v>194 OZ, 72 (34+38)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697</v>
      </c>
      <c r="T20" s="102" t="s">
        <v>121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443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44</v>
      </c>
      <c r="AO20" s="125"/>
      <c r="AP20" s="125" t="s">
        <v>151</v>
      </c>
      <c r="AQ20" s="123">
        <v>174</v>
      </c>
      <c r="AR20" s="123">
        <v>76</v>
      </c>
      <c r="AS20" s="126" t="s">
        <v>950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4 OZ, 0 (0+0), -1 ±</v>
      </c>
      <c r="AY20" s="129" t="str">
        <f t="shared" ca="1" si="2"/>
        <v>72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692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708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441</v>
      </c>
      <c r="AT21" s="123" t="s">
        <v>244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701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692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949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727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709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718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1028</v>
      </c>
      <c r="BU23" s="103">
        <v>3</v>
      </c>
      <c r="BV23" s="104" t="str">
        <f t="shared" si="13"/>
        <v>Daniel Štěrba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691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719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4 (2+2), -1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314 OZ, 324 (158+166)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1029</v>
      </c>
      <c r="BU24" s="103">
        <v>3</v>
      </c>
      <c r="BV24" s="104" t="str">
        <f t="shared" si="13"/>
        <v>Jakub Jirsa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710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441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1022</v>
      </c>
      <c r="BU25" s="103">
        <v>3</v>
      </c>
      <c r="BV25" s="104" t="str">
        <f t="shared" si="13"/>
        <v>Jaromír Ekl</v>
      </c>
      <c r="BW25" s="102">
        <f t="shared" si="14"/>
        <v>3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695</v>
      </c>
      <c r="AH26" s="122">
        <v>37722</v>
      </c>
      <c r="AI26" s="123">
        <v>21</v>
      </c>
      <c r="AJ26" s="123">
        <v>2</v>
      </c>
      <c r="AK26" s="123">
        <v>0</v>
      </c>
      <c r="AL26" s="124">
        <v>2</v>
      </c>
      <c r="AM26" s="123">
        <v>2</v>
      </c>
      <c r="AN26" s="123">
        <v>20</v>
      </c>
      <c r="AO26" s="125"/>
      <c r="AP26" s="125" t="s">
        <v>151</v>
      </c>
      <c r="AQ26" s="123">
        <v>192</v>
      </c>
      <c r="AR26" s="123">
        <v>82</v>
      </c>
      <c r="AS26" s="126" t="s">
        <v>441</v>
      </c>
      <c r="AT26" s="123" t="s">
        <v>244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192/82</v>
      </c>
      <c r="AW26" s="128" t="str">
        <f ca="1">IF(AG26&lt;&gt;"",IF(BE26=1,BD26,IF(BH26=1,BG26,IF(BJ26=1,BI26,IF(BL26=1,BK26,BM26)))),"")</f>
        <v>Stárek</v>
      </c>
      <c r="AX26" s="129" t="str">
        <f t="shared" ca="1" si="15"/>
        <v>4 OZ, 1 (1+0), +1 ±</v>
      </c>
      <c r="AY26" s="129" t="str">
        <f t="shared" ca="1" si="16"/>
        <v>25 OZ, 3 (3+0)</v>
      </c>
      <c r="AZ26" s="130"/>
      <c r="BA26" s="130"/>
      <c r="BB26" s="130"/>
      <c r="BC26" s="130"/>
      <c r="BD26" s="3" t="str">
        <f t="shared" si="3"/>
        <v>Stárek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1030</v>
      </c>
      <c r="BU26" s="103">
        <v>3</v>
      </c>
      <c r="BV26" s="104" t="str">
        <f t="shared" si="13"/>
        <v>Radek Krajcigr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689</v>
      </c>
      <c r="AH27" s="122">
        <v>35199</v>
      </c>
      <c r="AI27" s="123">
        <v>102</v>
      </c>
      <c r="AJ27" s="123">
        <v>28</v>
      </c>
      <c r="AK27" s="123">
        <v>48</v>
      </c>
      <c r="AL27" s="124">
        <v>76</v>
      </c>
      <c r="AM27" s="123">
        <v>8</v>
      </c>
      <c r="AN27" s="123">
        <v>66</v>
      </c>
      <c r="AO27" s="125"/>
      <c r="AP27" s="125" t="s">
        <v>27</v>
      </c>
      <c r="AQ27" s="123">
        <v>185</v>
      </c>
      <c r="AR27" s="123">
        <v>85</v>
      </c>
      <c r="AS27" s="126" t="s">
        <v>715</v>
      </c>
      <c r="AT27" s="123">
        <v>2007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185/85</v>
      </c>
      <c r="AW27" s="128" t="str">
        <f ca="1">IF(AG27&lt;&gt;"",IF(BE27=1,BD27,IF(BH27=1,BG27,IF(BJ27=1,BI27,IF(BL27=1,BK27,BM27)))),"")</f>
        <v>Štěrba</v>
      </c>
      <c r="AX27" s="129" t="str">
        <f t="shared" ca="1" si="15"/>
        <v>4 OZ, 3 (0+3), -8 ±</v>
      </c>
      <c r="AY27" s="129" t="str">
        <f t="shared" ca="1" si="16"/>
        <v>106 OZ, 79 (28+51)</v>
      </c>
      <c r="AZ27" s="130"/>
      <c r="BA27" s="130"/>
      <c r="BB27" s="130"/>
      <c r="BC27" s="130"/>
      <c r="BD27" s="89" t="str">
        <f t="shared" si="3"/>
        <v>Štěrba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1031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429</v>
      </c>
      <c r="AH28" s="122">
        <v>33976</v>
      </c>
      <c r="AI28" s="123">
        <v>74</v>
      </c>
      <c r="AJ28" s="123">
        <v>37</v>
      </c>
      <c r="AK28" s="123">
        <v>24</v>
      </c>
      <c r="AL28" s="124">
        <v>61</v>
      </c>
      <c r="AM28" s="123">
        <v>7</v>
      </c>
      <c r="AN28" s="123">
        <v>4</v>
      </c>
      <c r="AO28" s="125"/>
      <c r="AP28" s="125" t="s">
        <v>151</v>
      </c>
      <c r="AQ28" s="123">
        <v>192</v>
      </c>
      <c r="AR28" s="123">
        <v>90</v>
      </c>
      <c r="AS28" s="126" t="s">
        <v>441</v>
      </c>
      <c r="AT28" s="123">
        <v>2008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192/90</v>
      </c>
      <c r="AW28" s="128" t="str">
        <f ca="1">IF(AG28&lt;&gt;"",IF(BE28=1,BD28,IF(BH28=1,BG28,IF(BJ28=1,BI28,IF(BL28=1,BK28,BM28)))),"")</f>
        <v>Tichý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8 (3+5), -7 ±</v>
      </c>
      <c r="AY28" s="129" t="str">
        <f t="shared" ca="1" si="16"/>
        <v>79 OZ, 69 (40+29)</v>
      </c>
      <c r="AZ28" s="130"/>
      <c r="BA28" s="130"/>
      <c r="BB28" s="130"/>
      <c r="BC28" s="130"/>
      <c r="BD28" s="3" t="str">
        <f t="shared" si="3"/>
        <v>Tichý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1020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693</v>
      </c>
      <c r="AH29" s="122">
        <v>35758</v>
      </c>
      <c r="AI29" s="123">
        <v>65</v>
      </c>
      <c r="AJ29" s="123">
        <v>8</v>
      </c>
      <c r="AK29" s="123">
        <v>9</v>
      </c>
      <c r="AL29" s="124">
        <v>17</v>
      </c>
      <c r="AM29" s="123">
        <v>5</v>
      </c>
      <c r="AN29" s="123">
        <v>2</v>
      </c>
      <c r="AO29" s="125"/>
      <c r="AP29" s="125" t="s">
        <v>151</v>
      </c>
      <c r="AQ29" s="123">
        <v>185</v>
      </c>
      <c r="AR29" s="123">
        <v>75</v>
      </c>
      <c r="AS29" s="126" t="s">
        <v>721</v>
      </c>
      <c r="AT29" s="123" t="s">
        <v>244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185/75</v>
      </c>
      <c r="AW29" s="128" t="str">
        <f ca="1">IF(AG29&lt;&gt;"",IF(BE29=1,BD29,IF(BH29=1,BG29,IF(BJ29=1,BI29,IF(BL29=1,BK29,BM29)))),"")</f>
        <v>Vlček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4 OZ, 2 (2+0), -1 ±</v>
      </c>
      <c r="AY29" s="129" t="str">
        <f t="shared" ca="1" si="16"/>
        <v>69 OZ, 19 (10+9)</v>
      </c>
      <c r="AZ29" s="130"/>
      <c r="BA29" s="130"/>
      <c r="BB29" s="130"/>
      <c r="BC29" s="130"/>
      <c r="BD29" s="89" t="str">
        <f t="shared" si="3"/>
        <v>Vlček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1032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CLP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711</v>
      </c>
      <c r="AH30" s="122">
        <v>37245</v>
      </c>
      <c r="AI30" s="123">
        <v>4</v>
      </c>
      <c r="AJ30" s="123">
        <v>1</v>
      </c>
      <c r="AK30" s="123">
        <v>1</v>
      </c>
      <c r="AL30" s="124">
        <v>2</v>
      </c>
      <c r="AM30" s="123">
        <v>2</v>
      </c>
      <c r="AN30" s="123">
        <v>80</v>
      </c>
      <c r="AO30" s="125"/>
      <c r="AP30" s="125" t="s">
        <v>151</v>
      </c>
      <c r="AQ30" s="123">
        <v>184</v>
      </c>
      <c r="AR30" s="123">
        <v>76</v>
      </c>
      <c r="AS30" s="126" t="s">
        <v>720</v>
      </c>
      <c r="AT30" s="123">
        <v>2011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184/76</v>
      </c>
      <c r="AW30" s="128" t="str">
        <f ca="1">IF(AG30&lt;&gt;"",IF(BE30=1,BD30,IF(BH30=1,BG30,IF(BJ30=1,BI30,IF(BL30=1,BK30,BM30)))),"")</f>
        <v>Vybíral</v>
      </c>
      <c r="AX30" s="129" t="str">
        <f t="shared" ca="1" si="17"/>
        <v>0 OZ, 0 (0+0)</v>
      </c>
      <c r="AY30" s="129" t="str">
        <f t="shared" ca="1" si="16"/>
        <v>4 OZ, 2 (1+1)</v>
      </c>
      <c r="AZ30" s="130"/>
      <c r="BA30" s="130"/>
      <c r="BB30" s="130"/>
      <c r="BC30" s="130"/>
      <c r="BD30" s="3" t="str">
        <f t="shared" si="3"/>
        <v>Vybíral</v>
      </c>
      <c r="BE30" s="84">
        <f t="shared" ca="1" si="4"/>
        <v>1</v>
      </c>
      <c r="BF30" s="62" t="str">
        <f t="shared" si="5"/>
        <v>F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1033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1" ca="1" si="18">IF(AG31&lt;&gt;"",IF(AH31&lt;&gt;"",INT((TODAY()-AH31)/365),"?"),"")</f>
        <v/>
      </c>
      <c r="AV31" s="127" t="str">
        <f t="shared" ref="AV31:AV41" si="19">IF(AG31&lt;&gt;"",CONCATENATE(IF(AQ31&lt;&gt;"",AQ31,"? "),"/",IF(AR31&lt;&gt;"",AR31," ?")),"")</f>
        <v/>
      </c>
      <c r="AW31" s="128" t="str">
        <f t="shared" ref="AW31:AW41" si="20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1034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3</v>
      </c>
      <c r="U45" s="112">
        <v>165.25</v>
      </c>
      <c r="V45" s="102">
        <v>0</v>
      </c>
      <c r="W45" s="102">
        <v>25</v>
      </c>
      <c r="X45" s="102">
        <v>0</v>
      </c>
      <c r="Y45" s="102">
        <v>102</v>
      </c>
      <c r="Z45" s="102">
        <v>0</v>
      </c>
      <c r="AA45" s="102">
        <v>3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9.0771558245083206</v>
      </c>
      <c r="AF45" s="112">
        <f>IF(S45&lt;&gt;"",IF(Y45&gt;0,(AB45/Y45)*100,"-"),"")</f>
        <v>75.490196078431367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701</v>
      </c>
      <c r="T46" s="102">
        <v>3</v>
      </c>
      <c r="U46" s="112">
        <v>136.47999999999999</v>
      </c>
      <c r="V46" s="102">
        <v>1</v>
      </c>
      <c r="W46" s="102">
        <v>15</v>
      </c>
      <c r="X46" s="102">
        <v>0</v>
      </c>
      <c r="Y46" s="102">
        <v>46</v>
      </c>
      <c r="Z46" s="102">
        <v>0</v>
      </c>
      <c r="AA46" s="102">
        <v>2</v>
      </c>
      <c r="AB46" s="102">
        <v>31</v>
      </c>
      <c r="AC46" s="102">
        <v>0</v>
      </c>
      <c r="AD46" s="102">
        <v>2</v>
      </c>
      <c r="AE46" s="112">
        <f t="shared" ref="AE46:AE50" si="26">IF(S46&lt;&gt;"",IF(T46&gt;0,W46/(U46/60),0),"")</f>
        <v>6.5943728018757328</v>
      </c>
      <c r="AF46" s="112">
        <f t="shared" ref="AF46:AF50" si="27">IF(S46&lt;&gt;"",IF(Y46&gt;0,(AB46/Y46)*100,"-"),"")</f>
        <v>67.391304347826093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758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1038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75" t="s">
        <v>215</v>
      </c>
      <c r="BY2" s="103" t="s">
        <v>210</v>
      </c>
      <c r="BZ2" s="103" t="s">
        <v>972</v>
      </c>
      <c r="CA2" s="115" t="s">
        <v>946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754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-1</v>
      </c>
      <c r="AC3" s="102" t="str">
        <f t="shared" ca="1" si="0"/>
        <v>ANO</v>
      </c>
      <c r="AG3" s="121" t="s">
        <v>758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0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1039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75"/>
      <c r="BY3" s="103" t="s">
        <v>269</v>
      </c>
      <c r="BZ3" s="103" t="s">
        <v>976</v>
      </c>
      <c r="CA3" s="115" t="s">
        <v>1035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767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1</v>
      </c>
      <c r="AC4" s="102" t="str">
        <f t="shared" ca="1" si="0"/>
        <v>ANO</v>
      </c>
      <c r="AG4" s="121" t="s">
        <v>764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0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905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75"/>
      <c r="BY4" s="103" t="s">
        <v>886</v>
      </c>
      <c r="BZ4" s="103" t="s">
        <v>974</v>
      </c>
      <c r="CA4" s="115" t="s">
        <v>908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756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-2</v>
      </c>
      <c r="AC5" s="102" t="str">
        <f t="shared" ca="1" si="0"/>
        <v>ANO</v>
      </c>
      <c r="AG5" s="121" t="s">
        <v>753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0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906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75"/>
      <c r="BY5" s="103" t="s">
        <v>873</v>
      </c>
      <c r="BZ5" s="103" t="s">
        <v>1036</v>
      </c>
      <c r="CA5" s="115" t="s">
        <v>684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753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0</v>
      </c>
      <c r="AC6" s="102" t="str">
        <f t="shared" ca="1" si="0"/>
        <v>ANO</v>
      </c>
      <c r="AG6" s="121" t="s">
        <v>530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-2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907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75"/>
      <c r="BY6" s="103" t="s">
        <v>267</v>
      </c>
      <c r="BZ6" s="103" t="s">
        <v>966</v>
      </c>
      <c r="CA6" s="115" t="s">
        <v>774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770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770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-4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1040</v>
      </c>
      <c r="BU7" s="103" t="s">
        <v>1041</v>
      </c>
      <c r="BV7" s="104" t="str">
        <f t="shared" si="13"/>
        <v>Ondřej Kolajta</v>
      </c>
      <c r="BW7" s="112">
        <f t="shared" si="14"/>
        <v>5.6</v>
      </c>
      <c r="BX7" s="375" t="s">
        <v>216</v>
      </c>
      <c r="BY7" s="103" t="s">
        <v>270</v>
      </c>
      <c r="BZ7" s="103" t="s">
        <v>967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103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768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-3</v>
      </c>
      <c r="AC8" s="102" t="str">
        <f t="shared" ca="1" si="0"/>
        <v>ANO</v>
      </c>
      <c r="AG8" s="121" t="s">
        <v>754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-1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1042</v>
      </c>
      <c r="BU8" s="103" t="s">
        <v>1043</v>
      </c>
      <c r="BV8" s="104" t="str">
        <f t="shared" si="13"/>
        <v>Filip Létal</v>
      </c>
      <c r="BW8" s="112">
        <f t="shared" si="14"/>
        <v>12.05</v>
      </c>
      <c r="BX8" s="375"/>
      <c r="BY8" s="103" t="s">
        <v>820</v>
      </c>
      <c r="BZ8" s="103" t="s">
        <v>996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765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763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0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878</v>
      </c>
      <c r="BZ9" s="103" t="s">
        <v>995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-2</v>
      </c>
      <c r="AC10" s="102" t="str">
        <f t="shared" ca="1" si="0"/>
        <v>ANO</v>
      </c>
      <c r="AG10" s="121" t="s">
        <v>766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1000</v>
      </c>
      <c r="BZ10" s="103" t="s">
        <v>993</v>
      </c>
      <c r="CA10" s="115" t="s">
        <v>208</v>
      </c>
    </row>
    <row r="11" spans="1:79" ht="15" customHeight="1" thickTop="1" thickBot="1" x14ac:dyDescent="0.25">
      <c r="R11" s="13"/>
      <c r="S11" s="110" t="s">
        <v>769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-3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992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763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760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-1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874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214</v>
      </c>
      <c r="BY12" s="100" t="s">
        <v>1037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764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765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1044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757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7</v>
      </c>
      <c r="AB14" s="102">
        <v>-2</v>
      </c>
      <c r="AC14" s="102" t="str">
        <f t="shared" ca="1" si="0"/>
        <v>ANO</v>
      </c>
      <c r="AG14" s="121" t="s">
        <v>755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1045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762</v>
      </c>
      <c r="T15" s="102" t="s">
        <v>121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-2</v>
      </c>
      <c r="AC15" s="102" t="str">
        <f t="shared" ca="1" si="0"/>
        <v>ANO</v>
      </c>
      <c r="AG15" s="121" t="s">
        <v>757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-2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1046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759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762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-2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1047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769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771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766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767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+1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772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HAT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755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761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-2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760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756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-2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773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1044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1048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1049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1050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874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1051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1052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HAT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1049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1050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766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43</v>
      </c>
      <c r="Z45" s="102">
        <v>0</v>
      </c>
      <c r="AA45" s="102">
        <v>3</v>
      </c>
      <c r="AB45" s="102">
        <v>27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62.790697674418603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755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281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290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311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+6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327</v>
      </c>
      <c r="BO2" s="122">
        <v>31582</v>
      </c>
      <c r="BP2" s="131" t="s">
        <v>260</v>
      </c>
      <c r="BQ2" s="132" t="s">
        <v>328</v>
      </c>
      <c r="BR2" s="127">
        <f ca="1">IF(BN2&lt;&gt;"",IF(BO2&lt;&gt;"",INT((TODAY()-BO2)/365),"?"),"")</f>
        <v>35</v>
      </c>
      <c r="BS2" s="376" t="s">
        <v>36</v>
      </c>
      <c r="BT2" s="104" t="s">
        <v>835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75" t="s">
        <v>215</v>
      </c>
      <c r="BY2" s="103" t="s">
        <v>210</v>
      </c>
      <c r="BZ2" s="103" t="s">
        <v>1053</v>
      </c>
      <c r="CA2" s="115" t="s">
        <v>869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284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7</v>
      </c>
      <c r="AC3" s="102" t="str">
        <f t="shared" ca="1" si="0"/>
        <v>ANO</v>
      </c>
      <c r="AG3" s="121" t="s">
        <v>298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329</v>
      </c>
      <c r="BO3" s="122">
        <v>26801</v>
      </c>
      <c r="BP3" s="131" t="s">
        <v>261</v>
      </c>
      <c r="BQ3" s="132" t="s">
        <v>330</v>
      </c>
      <c r="BR3" s="127">
        <f t="shared" ref="BR3:BR11" ca="1" si="12">IF(BN3&lt;&gt;"",IF(BO3&lt;&gt;"",INT((TODAY()-BO3)/365),"?"),"")</f>
        <v>48</v>
      </c>
      <c r="BS3" s="376"/>
      <c r="BT3" s="104" t="s">
        <v>1061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75"/>
      <c r="BY3" s="103" t="s">
        <v>209</v>
      </c>
      <c r="BZ3" s="103" t="s">
        <v>1054</v>
      </c>
      <c r="CA3" s="115" t="s">
        <v>1055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280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3</v>
      </c>
      <c r="AC4" s="102" t="str">
        <f t="shared" ca="1" si="0"/>
        <v>NE</v>
      </c>
      <c r="AG4" s="121" t="s">
        <v>299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309</v>
      </c>
      <c r="BO4" s="122">
        <v>28909</v>
      </c>
      <c r="BP4" s="131" t="s">
        <v>261</v>
      </c>
      <c r="BQ4" s="132" t="s">
        <v>331</v>
      </c>
      <c r="BR4" s="127">
        <f t="shared" ca="1" si="12"/>
        <v>42</v>
      </c>
      <c r="BS4" s="376"/>
      <c r="BT4" s="104" t="s">
        <v>836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75"/>
      <c r="BY4" s="103" t="s">
        <v>886</v>
      </c>
      <c r="BZ4" s="103" t="s">
        <v>1056</v>
      </c>
      <c r="CA4" s="115" t="s">
        <v>866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287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288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312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+5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332</v>
      </c>
      <c r="BO5" s="122">
        <v>31168</v>
      </c>
      <c r="BP5" s="131" t="s">
        <v>333</v>
      </c>
      <c r="BQ5" s="132" t="s">
        <v>334</v>
      </c>
      <c r="BR5" s="127">
        <f t="shared" ca="1" si="12"/>
        <v>36</v>
      </c>
      <c r="BS5" s="376"/>
      <c r="BT5" s="104" t="s">
        <v>1062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75"/>
      <c r="BY5" s="103" t="s">
        <v>207</v>
      </c>
      <c r="BZ5" s="103" t="s">
        <v>1057</v>
      </c>
      <c r="CA5" s="115" t="s">
        <v>840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288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5</v>
      </c>
      <c r="AC6" s="102" t="str">
        <f t="shared" ca="1" si="0"/>
        <v>ANO</v>
      </c>
      <c r="AG6" s="121" t="s">
        <v>300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313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335</v>
      </c>
      <c r="BO6" s="122">
        <v>32514</v>
      </c>
      <c r="BP6" s="131" t="s">
        <v>336</v>
      </c>
      <c r="BQ6" s="132" t="s">
        <v>337</v>
      </c>
      <c r="BR6" s="127">
        <f t="shared" ca="1" si="12"/>
        <v>32</v>
      </c>
      <c r="BS6" s="376"/>
      <c r="BT6" s="104" t="s">
        <v>1063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75"/>
      <c r="BY6" s="103" t="s">
        <v>267</v>
      </c>
      <c r="BZ6" s="103" t="s">
        <v>1016</v>
      </c>
      <c r="CA6" s="115" t="s">
        <v>342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286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3</v>
      </c>
      <c r="AC7" s="102" t="str">
        <f t="shared" ca="1" si="0"/>
        <v>NE</v>
      </c>
      <c r="AG7" s="121" t="s">
        <v>301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314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338</v>
      </c>
      <c r="BU7" s="103" t="s">
        <v>1064</v>
      </c>
      <c r="BV7" s="104" t="str">
        <f t="shared" si="13"/>
        <v>Vojtěch Šimůnek</v>
      </c>
      <c r="BW7" s="112">
        <f t="shared" si="14"/>
        <v>5.64</v>
      </c>
      <c r="BX7" s="375" t="s">
        <v>216</v>
      </c>
      <c r="BY7" s="103" t="s">
        <v>270</v>
      </c>
      <c r="BZ7" s="103" t="s">
        <v>978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24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290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6</v>
      </c>
      <c r="AC8" s="102" t="str">
        <f t="shared" ca="1" si="0"/>
        <v>ANO</v>
      </c>
      <c r="AG8" s="121" t="s">
        <v>302</v>
      </c>
      <c r="AH8" s="122"/>
      <c r="AI8" s="123"/>
      <c r="AJ8" s="123"/>
      <c r="AK8" s="123"/>
      <c r="AL8" s="124">
        <f>IF(AG8&lt;&gt;"",AJ8+AK8,"")</f>
        <v>0</v>
      </c>
      <c r="AM8" s="123" t="s">
        <v>310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339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75"/>
      <c r="BY8" s="103" t="s">
        <v>820</v>
      </c>
      <c r="BZ8" s="103" t="s">
        <v>1013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283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-3</v>
      </c>
      <c r="AC9" s="102" t="str">
        <f t="shared" ca="1" si="0"/>
        <v>ANO</v>
      </c>
      <c r="AG9" s="121" t="s">
        <v>303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315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1065</v>
      </c>
      <c r="BU9" s="103" t="s">
        <v>1066</v>
      </c>
      <c r="BV9" s="104" t="str">
        <f t="shared" si="13"/>
        <v>Karel Hodík</v>
      </c>
      <c r="BW9" s="112">
        <f t="shared" si="14"/>
        <v>7.1</v>
      </c>
      <c r="BX9" s="375"/>
      <c r="BY9" s="103" t="s">
        <v>1058</v>
      </c>
      <c r="BZ9" s="103" t="s">
        <v>969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297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304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1059</v>
      </c>
      <c r="CA10" s="115" t="s">
        <v>208</v>
      </c>
    </row>
    <row r="11" spans="1:79" ht="15" customHeight="1" thickTop="1" thickBot="1" x14ac:dyDescent="0.25">
      <c r="R11" s="13"/>
      <c r="S11" s="110" t="s">
        <v>285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305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316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966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282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317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835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214</v>
      </c>
      <c r="BY12" s="100" t="s">
        <v>1060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839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284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318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+7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341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289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8</v>
      </c>
      <c r="AC14" s="102" t="str">
        <f t="shared" ca="1" si="0"/>
        <v>ANO</v>
      </c>
      <c r="AG14" s="121" t="s">
        <v>297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319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1067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294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306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320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1068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296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321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1069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1075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310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338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1076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0</v>
      </c>
      <c r="AC18" s="102" t="str">
        <f t="shared" ca="1" si="0"/>
        <v>NE</v>
      </c>
      <c r="AG18" s="121" t="s">
        <v>291</v>
      </c>
      <c r="AH18" s="122"/>
      <c r="AI18" s="123"/>
      <c r="AJ18" s="123"/>
      <c r="AK18" s="123"/>
      <c r="AL18" s="124">
        <f>IF(AG18&lt;&gt;"",AJ18+AK18,"")</f>
        <v>0</v>
      </c>
      <c r="AM18" s="123" t="s">
        <v>310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1070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CHO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300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293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322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0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1071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291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289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323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+8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299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307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323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293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283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324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-3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838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301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ANO</v>
      </c>
      <c r="AG23" s="121" t="s">
        <v>294</v>
      </c>
      <c r="AH23" s="122"/>
      <c r="AI23" s="123"/>
      <c r="AJ23" s="123"/>
      <c r="AK23" s="123"/>
      <c r="AL23" s="124">
        <f>IF(AG23&lt;&gt;"",AJ23+AK23,"")</f>
        <v>0</v>
      </c>
      <c r="AM23" s="123" t="s">
        <v>310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+6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909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308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308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324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1072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0" t="s">
        <v>295</v>
      </c>
      <c r="T25" s="102" t="s">
        <v>64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295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325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837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292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292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326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1073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309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310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340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281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+2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911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282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1074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CHO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285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318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837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910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292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300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291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 t="s">
        <v>219</v>
      </c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39" t="s">
        <v>1</v>
      </c>
      <c r="I1" s="339"/>
      <c r="J1" s="339"/>
      <c r="K1" s="339"/>
      <c r="M1" s="337" t="s">
        <v>225</v>
      </c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0">
        <f ca="1">IFERROR(IF(VLOOKUP(A1,OFFSET($AG$2,,,COUNTIF($AG$2:$AG$50,"?*"),23),2,FALSE)&lt;&gt;0,YEAR(VLOOKUP(A1,OFFSET($AG$2,,,COUNTIF($AG$2:$AG$50,"?*"),23),2,FALSE)),""),"")</f>
        <v>1998</v>
      </c>
      <c r="C2" s="341"/>
      <c r="D2" s="94">
        <f ca="1">IFERROR(VLOOKUP(A1,OFFSET($AG$2,,,COUNTIF($AG$2:$AG$50,"?*"),23),15,FALSE),"")</f>
        <v>23</v>
      </c>
      <c r="E2" s="331" t="str">
        <f ca="1">IFERROR(VLOOKUP(A1,OFFSET($AG$2,,,COUNTIF($AG$2:$AG$50,"?*"),23),16,FALSE),"")</f>
        <v>177/74</v>
      </c>
      <c r="F2" s="332"/>
      <c r="M2" s="4" t="str">
        <f ca="1">IFERROR(IF(VLOOKUP(M1,OFFSET($AG$2,,,COUNTIF($AG$2:$AG$50,"?*"),23),10,FALSE)&lt;&gt;0,VLOOKUP(M1,OFFSET($AG$2,,,COUNTIF($AG$2:$AG$50,"?*"),23),10,FALSE),""),"")</f>
        <v>L</v>
      </c>
      <c r="N2" s="340">
        <f ca="1">IFERROR(IF(VLOOKUP(M1,OFFSET($AG$2,,,COUNTIF($AG$2:$AG$50,"?*"),23),2,FALSE)&lt;&gt;0,YEAR(VLOOKUP(M1,OFFSET($AG$2,,,COUNTIF($AG$2:$AG$50,"?*"),23),2,FALSE)),""),"")</f>
        <v>2003</v>
      </c>
      <c r="O2" s="341"/>
      <c r="P2" s="94">
        <f ca="1">IFERROR(VLOOKUP(M1,OFFSET($AG$2,,,COUNTIF($AG$2:$AG$50,"?*"),23),15,FALSE),"")</f>
        <v>18</v>
      </c>
      <c r="Q2" s="331" t="str">
        <f ca="1">IFERROR(VLOOKUP(M1,OFFSET($AG$2,,,COUNTIF($AG$2:$AG$50,"?*"),23),16,FALSE),"")</f>
        <v>187/83</v>
      </c>
      <c r="R2" s="332"/>
      <c r="S2" s="110" t="s">
        <v>220</v>
      </c>
      <c r="T2" s="102" t="s">
        <v>121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2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226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238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 (1+0),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123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255</v>
      </c>
      <c r="BO2" s="122">
        <v>24850</v>
      </c>
      <c r="BP2" s="131" t="s">
        <v>260</v>
      </c>
      <c r="BQ2" s="132" t="s">
        <v>264</v>
      </c>
      <c r="BR2" s="127">
        <f ca="1">IF(BN2&lt;&gt;"",IF(BO2&lt;&gt;"",INT((TODAY()-BO2)/365),"?"),"")</f>
        <v>53</v>
      </c>
      <c r="BS2" s="376" t="s">
        <v>36</v>
      </c>
      <c r="BT2" s="104" t="s">
        <v>1081</v>
      </c>
      <c r="BU2" s="103">
        <v>7</v>
      </c>
      <c r="BV2" s="104" t="str">
        <f>IFERROR(RIGHT(BT2,LEN(BT2)-SEARCH(" ",BT2)),"")</f>
        <v>Radek Valeš</v>
      </c>
      <c r="BW2" s="102">
        <f>IF(BT2&lt;&gt;0,_xlfn.NUMBERVALUE(BU2,","),"")</f>
        <v>7</v>
      </c>
      <c r="BX2" s="375" t="s">
        <v>215</v>
      </c>
      <c r="BY2" s="103" t="s">
        <v>210</v>
      </c>
      <c r="BZ2" s="103" t="s">
        <v>970</v>
      </c>
      <c r="CA2" s="115" t="s">
        <v>1077</v>
      </c>
    </row>
    <row r="3" spans="1:79" ht="15" customHeight="1" thickTop="1" thickBot="1" x14ac:dyDescent="0.25">
      <c r="A3" s="333" t="str">
        <f ca="1">IFERROR(VLOOKUP(A1,OFFSET($AG$2,,,COUNTIF($AG$2:$AG$50,"?*"),23),18,FALSE),"")</f>
        <v>5 OZ, 2 (2+0), -2 ±</v>
      </c>
      <c r="B3" s="334"/>
      <c r="C3" s="334"/>
      <c r="D3" s="335" t="str">
        <f ca="1">IFERROR(VLOOKUP(A1,OFFSET($AG$2,,,COUNTIF($AG$2:$AG$50,"?*"),23),19,FALSE),"")</f>
        <v>99 OZ, 31 (22+9)</v>
      </c>
      <c r="E3" s="335"/>
      <c r="F3" s="336"/>
      <c r="G3" s="337" t="s">
        <v>218</v>
      </c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3" t="str">
        <f ca="1">IFERROR(VLOOKUP(M1,OFFSET($AG$2,,,COUNTIF($AG$2:$AG$50,"?*"),23),18,FALSE),"")</f>
        <v>5 OZ, 6 (2+4), -3 ±</v>
      </c>
      <c r="N3" s="334"/>
      <c r="O3" s="334"/>
      <c r="P3" s="335" t="str">
        <f ca="1">IFERROR(VLOOKUP(M1,OFFSET($AG$2,,,COUNTIF($AG$2:$AG$50,"?*"),23),19,FALSE),"")</f>
        <v>23 OZ, 20 (11+9)</v>
      </c>
      <c r="Q3" s="335"/>
      <c r="R3" s="336"/>
      <c r="S3" s="110" t="s">
        <v>232</v>
      </c>
      <c r="T3" s="102" t="s">
        <v>121</v>
      </c>
      <c r="U3" s="102">
        <v>5</v>
      </c>
      <c r="V3" s="102">
        <v>5</v>
      </c>
      <c r="W3" s="102">
        <v>1</v>
      </c>
      <c r="X3" s="102">
        <v>0</v>
      </c>
      <c r="Y3" s="102">
        <v>1</v>
      </c>
      <c r="Z3" s="102">
        <v>6</v>
      </c>
      <c r="AA3" s="102">
        <v>0</v>
      </c>
      <c r="AB3" s="102">
        <v>-3</v>
      </c>
      <c r="AC3" s="102" t="str">
        <f t="shared" ca="1" si="0"/>
        <v>ANO</v>
      </c>
      <c r="AG3" s="121" t="s">
        <v>239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256</v>
      </c>
      <c r="BO3" s="122">
        <v>34764</v>
      </c>
      <c r="BP3" s="131" t="s">
        <v>261</v>
      </c>
      <c r="BQ3" s="132"/>
      <c r="BR3" s="127">
        <f t="shared" ref="BR3:BR11" ca="1" si="12">IF(BN3&lt;&gt;"",IF(BO3&lt;&gt;"",INT((TODAY()-BO3)/365),"?"),"")</f>
        <v>26</v>
      </c>
      <c r="BS3" s="376"/>
      <c r="BT3" s="104" t="s">
        <v>1082</v>
      </c>
      <c r="BU3" s="103">
        <v>6</v>
      </c>
      <c r="BV3" s="104" t="str">
        <f t="shared" ref="BV3:BV31" si="13">IFERROR(RIGHT(BT3,LEN(BT3)-SEARCH(" ",BT3)),"")</f>
        <v>Filip Smutný</v>
      </c>
      <c r="BW3" s="102">
        <f t="shared" ref="BW3:BW31" si="14">IF(BT3&lt;&gt;0,_xlfn.NUMBERVALUE(BU3,","),"")</f>
        <v>6</v>
      </c>
      <c r="BX3" s="375"/>
      <c r="BY3" s="103" t="s">
        <v>269</v>
      </c>
      <c r="BZ3" s="103" t="s">
        <v>971</v>
      </c>
      <c r="CA3" s="115" t="s">
        <v>1078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>FBC Liberec</v>
      </c>
      <c r="B4" s="343"/>
      <c r="C4" s="344"/>
      <c r="D4" s="345">
        <f ca="1">IFERROR(IF(VLOOKUP(A1,OFFSET($AG$2,,,COUNTIF($AG$2:$AG$50,"?*"),23),14,FALSE)&lt;&gt;0,VLOOKUP(A1,OFFSET($AG$2,,,COUNTIF($AG$2:$AG$50,"?*"),23),14,FALSE),"?"),"")</f>
        <v>2011</v>
      </c>
      <c r="E4" s="346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0">
        <f ca="1">IFERROR(IF(VLOOKUP(G3,OFFSET($AG$2,,,COUNTIF($AG$2:$AG$50,"?*"),23),2,FALSE)&lt;&gt;0,YEAR(VLOOKUP(G3,OFFSET($AG$2,,,COUNTIF($AG$2:$AG$50,"?*"),23),2,FALSE)),""),"")</f>
        <v>1998</v>
      </c>
      <c r="I4" s="341"/>
      <c r="J4" s="94">
        <f ca="1">IFERROR(VLOOKUP(G3,OFFSET($AG$2,,,COUNTIF($AG$2:$AG$50,"?*"),23),15,FALSE),"")</f>
        <v>23</v>
      </c>
      <c r="K4" s="331" t="str">
        <f ca="1">IFERROR(VLOOKUP(G3,OFFSET($AG$2,,,COUNTIF($AG$2:$AG$50,"?*"),23),16,FALSE),"")</f>
        <v>185/74</v>
      </c>
      <c r="L4" s="332"/>
      <c r="M4" s="342" t="str">
        <f ca="1">IFERROR(IF(VLOOKUP(M1,OFFSET($AG$2,,,COUNTIF($AG$2:$AG$50,"?*"),23),13,FALSE)&lt;&gt;0,VLOOKUP(M1,OFFSET($AG$2,,,COUNTIF($AG$2:$AG$50,"?*"),23),13,FALSE),"?"),"")</f>
        <v>FBC Lomnice</v>
      </c>
      <c r="N4" s="343"/>
      <c r="O4" s="344"/>
      <c r="P4" s="345">
        <f ca="1">IFERROR(IF(VLOOKUP(M1,OFFSET($AG$2,,,COUNTIF($AG$2:$AG$50,"?*"),23),14,FALSE)&lt;&gt;0,VLOOKUP(M1,OFFSET($AG$2,,,COUNTIF($AG$2:$AG$50,"?*"),23),14,FALSE),"?"),"")</f>
        <v>2010</v>
      </c>
      <c r="Q4" s="346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222</v>
      </c>
      <c r="T4" s="102" t="s">
        <v>121</v>
      </c>
      <c r="U4" s="102">
        <v>4</v>
      </c>
      <c r="V4" s="102">
        <v>4</v>
      </c>
      <c r="W4" s="102">
        <v>2</v>
      </c>
      <c r="X4" s="102">
        <v>0</v>
      </c>
      <c r="Y4" s="102">
        <v>2</v>
      </c>
      <c r="Z4" s="102">
        <v>6</v>
      </c>
      <c r="AA4" s="102">
        <v>0</v>
      </c>
      <c r="AB4" s="102">
        <v>1</v>
      </c>
      <c r="AC4" s="102" t="str">
        <f t="shared" ca="1" si="0"/>
        <v>ANO</v>
      </c>
      <c r="AG4" s="121" t="s">
        <v>240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257</v>
      </c>
      <c r="BO4" s="122">
        <v>29102</v>
      </c>
      <c r="BP4" s="131" t="s">
        <v>194</v>
      </c>
      <c r="BQ4" s="132"/>
      <c r="BR4" s="127">
        <f t="shared" ca="1" si="12"/>
        <v>42</v>
      </c>
      <c r="BS4" s="376"/>
      <c r="BT4" s="104" t="s">
        <v>1083</v>
      </c>
      <c r="BU4" s="103">
        <v>6</v>
      </c>
      <c r="BV4" s="104" t="str">
        <f t="shared" si="13"/>
        <v>Prokop Ferdan</v>
      </c>
      <c r="BW4" s="102">
        <f t="shared" si="14"/>
        <v>6</v>
      </c>
      <c r="BX4" s="375"/>
      <c r="BY4" s="103" t="s">
        <v>886</v>
      </c>
      <c r="BZ4" s="103" t="s">
        <v>992</v>
      </c>
      <c r="CA4" s="115" t="s">
        <v>912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>5 OZ, 4 (1+3), -1 ±</v>
      </c>
      <c r="H5" s="334"/>
      <c r="I5" s="334"/>
      <c r="J5" s="335" t="str">
        <f ca="1">IFERROR(VLOOKUP(G3,OFFSET($AG$2,,,COUNTIF($AG$2:$AG$50,"?*"),23),19,FALSE),"")</f>
        <v>105 OZ, 89 (51+38)</v>
      </c>
      <c r="K5" s="335"/>
      <c r="L5" s="336"/>
      <c r="S5" s="110" t="s">
        <v>225</v>
      </c>
      <c r="U5" s="102">
        <v>5</v>
      </c>
      <c r="V5" s="102">
        <v>2</v>
      </c>
      <c r="W5" s="102">
        <v>0</v>
      </c>
      <c r="X5" s="102">
        <v>0</v>
      </c>
      <c r="Y5" s="102">
        <v>4</v>
      </c>
      <c r="Z5" s="102">
        <v>6</v>
      </c>
      <c r="AA5" s="102">
        <v>2</v>
      </c>
      <c r="AB5" s="102">
        <v>-3</v>
      </c>
      <c r="AC5" s="102" t="str">
        <f t="shared" ca="1" si="0"/>
        <v>ANO</v>
      </c>
      <c r="AG5" s="121" t="s">
        <v>233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241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5 OZ, 1 (1+0), -1 ±</v>
      </c>
      <c r="AY5" s="129" t="str">
        <f t="shared" ca="1" si="2"/>
        <v>199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258</v>
      </c>
      <c r="BO5" s="122">
        <v>30335</v>
      </c>
      <c r="BP5" s="131" t="s">
        <v>262</v>
      </c>
      <c r="BQ5" s="132"/>
      <c r="BR5" s="127">
        <f t="shared" ca="1" si="12"/>
        <v>38</v>
      </c>
      <c r="BS5" s="376"/>
      <c r="BT5" s="104" t="s">
        <v>1084</v>
      </c>
      <c r="BU5" s="103">
        <v>6</v>
      </c>
      <c r="BV5" s="104" t="str">
        <f t="shared" si="13"/>
        <v>Šimon Stránský</v>
      </c>
      <c r="BW5" s="102">
        <f t="shared" si="14"/>
        <v>6</v>
      </c>
      <c r="BX5" s="375"/>
      <c r="BY5" s="103" t="s">
        <v>207</v>
      </c>
      <c r="BZ5" s="103" t="s">
        <v>993</v>
      </c>
      <c r="CA5" s="115" t="s">
        <v>842</v>
      </c>
    </row>
    <row r="6" spans="1:79" ht="15" customHeight="1" thickTop="1" thickBot="1" x14ac:dyDescent="0.25">
      <c r="A6" s="337" t="s">
        <v>234</v>
      </c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2" t="str">
        <f ca="1">IFERROR(IF(VLOOKUP(G3,OFFSET($AG$2,,,COUNTIF($AG$2:$AG$50,"?*"),23),13,FALSE)&lt;&gt;0,VLOOKUP(G3,OFFSET($AG$2,,,COUNTIF($AG$2:$AG$50,"?*"),23),13,FALSE),"?"),"")</f>
        <v>TJ Sokol Jaroměř</v>
      </c>
      <c r="H6" s="343"/>
      <c r="I6" s="344"/>
      <c r="J6" s="345">
        <f ca="1">IFERROR(IF(VLOOKUP(G3,OFFSET($AG$2,,,COUNTIF($AG$2:$AG$50,"?*"),23),14,FALSE)&lt;&gt;0,VLOOKUP(G3,OFFSET($AG$2,,,COUNTIF($AG$2:$AG$50,"?*"),23),14,FALSE),"?"),"")</f>
        <v>2007</v>
      </c>
      <c r="K6" s="346"/>
      <c r="L6" s="7">
        <f ca="1">IFERROR(IF(VLOOKUP(G3,OFFSET($AG$2,,,COUNTIF($AG$2:$AG$50,"?*"),23),7,FALSE)&lt;&gt;0,VLOOKUP(G3,OFFSET($AG$2,,,COUNTIF($AG$2:$AG$50,"?*"),23),7,FALSE),"?"),"")</f>
        <v>5</v>
      </c>
      <c r="M6" s="337" t="s">
        <v>228</v>
      </c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230</v>
      </c>
      <c r="U6" s="102">
        <v>5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2</v>
      </c>
      <c r="AB6" s="102">
        <v>-1</v>
      </c>
      <c r="AC6" s="102" t="str">
        <f t="shared" ca="1" si="0"/>
        <v>ANO</v>
      </c>
      <c r="AG6" s="121" t="s">
        <v>222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243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4 OZ, 6 (4+2), +1 ±</v>
      </c>
      <c r="AY6" s="129" t="str">
        <f t="shared" ca="1" si="2"/>
        <v>189 OZ, 230 (130+100)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259</v>
      </c>
      <c r="BO6" s="122">
        <v>36034</v>
      </c>
      <c r="BP6" s="131" t="s">
        <v>263</v>
      </c>
      <c r="BQ6" s="132"/>
      <c r="BR6" s="127">
        <f t="shared" ca="1" si="12"/>
        <v>23</v>
      </c>
      <c r="BS6" s="376"/>
      <c r="BT6" s="104" t="s">
        <v>1085</v>
      </c>
      <c r="BU6" s="103">
        <v>4</v>
      </c>
      <c r="BV6" s="104" t="str">
        <f t="shared" si="13"/>
        <v>Jakub Kopecký</v>
      </c>
      <c r="BW6" s="102">
        <f t="shared" si="14"/>
        <v>4</v>
      </c>
      <c r="BX6" s="375"/>
      <c r="BY6" s="103" t="s">
        <v>267</v>
      </c>
      <c r="BZ6" s="103" t="s">
        <v>995</v>
      </c>
      <c r="CA6" s="115" t="s">
        <v>268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0">
        <f ca="1">IFERROR(IF(VLOOKUP(A6,OFFSET($AG$2,,,COUNTIF($AG$2:$AG$50,"?*"),23),2,FALSE)&lt;&gt;0,YEAR(VLOOKUP(A6,OFFSET($AG$2,,,COUNTIF($AG$2:$AG$50,"?*"),23),2,FALSE)),""),"")</f>
        <v>2002</v>
      </c>
      <c r="C7" s="341"/>
      <c r="D7" s="94">
        <f ca="1">IFERROR(VLOOKUP(A6,OFFSET($AG$2,,,COUNTIF($AG$2:$AG$50,"?*"),23),15,FALSE),"")</f>
        <v>19</v>
      </c>
      <c r="E7" s="331" t="str">
        <f ca="1">IFERROR(VLOOKUP(A6,OFFSET($AG$2,,,COUNTIF($AG$2:$AG$50,"?*"),23),16,FALSE),"")</f>
        <v>164/68</v>
      </c>
      <c r="F7" s="332"/>
      <c r="M7" s="4" t="str">
        <f ca="1">IFERROR(IF(VLOOKUP(M6,OFFSET($AG$2,,,COUNTIF($AG$2:$AG$50,"?*"),23),10,FALSE)&lt;&gt;0,VLOOKUP(M6,OFFSET($AG$2,,,COUNTIF($AG$2:$AG$50,"?*"),23),10,FALSE),""),"")</f>
        <v>L</v>
      </c>
      <c r="N7" s="340">
        <f ca="1">IFERROR(IF(VLOOKUP(M6,OFFSET($AG$2,,,COUNTIF($AG$2:$AG$50,"?*"),23),2,FALSE)&lt;&gt;0,YEAR(VLOOKUP(M6,OFFSET($AG$2,,,COUNTIF($AG$2:$AG$50,"?*"),23),2,FALSE)),""),"")</f>
        <v>1986</v>
      </c>
      <c r="O7" s="341"/>
      <c r="P7" s="94">
        <f ca="1">IFERROR(VLOOKUP(M6,OFFSET($AG$2,,,COUNTIF($AG$2:$AG$50,"?*"),23),15,FALSE),"")</f>
        <v>35</v>
      </c>
      <c r="Q7" s="331" t="str">
        <f ca="1">IFERROR(VLOOKUP(M6,OFFSET($AG$2,,,COUNTIF($AG$2:$AG$50,"?*"),23),16,FALSE),"")</f>
        <v>185/69</v>
      </c>
      <c r="R7" s="332"/>
      <c r="S7" s="110" t="s">
        <v>218</v>
      </c>
      <c r="U7" s="102">
        <v>5</v>
      </c>
      <c r="V7" s="102">
        <v>1</v>
      </c>
      <c r="W7" s="102">
        <v>1</v>
      </c>
      <c r="X7" s="102">
        <v>0</v>
      </c>
      <c r="Y7" s="102">
        <v>3</v>
      </c>
      <c r="Z7" s="102">
        <v>4</v>
      </c>
      <c r="AA7" s="102">
        <v>0</v>
      </c>
      <c r="AB7" s="102">
        <v>-1</v>
      </c>
      <c r="AC7" s="102" t="str">
        <f t="shared" ca="1" si="0"/>
        <v>ANO</v>
      </c>
      <c r="AG7" s="121" t="s">
        <v>236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2 V, 3 P</v>
      </c>
      <c r="AY7" s="129" t="str">
        <f t="shared" ca="1" si="2"/>
        <v>5 OZ, 0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266</v>
      </c>
      <c r="BU7" s="103" t="s">
        <v>1086</v>
      </c>
      <c r="BV7" s="104" t="str">
        <f t="shared" si="13"/>
        <v>Petr Chlad</v>
      </c>
      <c r="BW7" s="112">
        <f t="shared" si="14"/>
        <v>5.7</v>
      </c>
      <c r="BX7" s="375" t="s">
        <v>216</v>
      </c>
      <c r="BY7" s="103" t="s">
        <v>270</v>
      </c>
      <c r="BZ7" s="103" t="s">
        <v>996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>5 OZ, 0 (0+0), -2 ±</v>
      </c>
      <c r="B8" s="334"/>
      <c r="C8" s="334"/>
      <c r="D8" s="335" t="str">
        <f ca="1">IFERROR(VLOOKUP(A6,OFFSET($AG$2,,,COUNTIF($AG$2:$AG$50,"?*"),23),19,FALSE),"")</f>
        <v>19 OZ, 1 (1+0)</v>
      </c>
      <c r="E8" s="335"/>
      <c r="F8" s="336"/>
      <c r="H8" s="347" t="s">
        <v>105</v>
      </c>
      <c r="I8" s="347"/>
      <c r="J8" s="347"/>
      <c r="K8" s="347"/>
      <c r="M8" s="333" t="str">
        <f ca="1">IFERROR(VLOOKUP(M6,OFFSET($AG$2,,,COUNTIF($AG$2:$AG$50,"?*"),23),18,FALSE),"")</f>
        <v>4 OZ, 2 (0+2), -1 ±</v>
      </c>
      <c r="N8" s="334"/>
      <c r="O8" s="334"/>
      <c r="P8" s="335" t="str">
        <f ca="1">IFERROR(VLOOKUP(M6,OFFSET($AG$2,,,COUNTIF($AG$2:$AG$50,"?*"),23),19,FALSE),"")</f>
        <v>306 OZ, 233 (95+138)</v>
      </c>
      <c r="Q8" s="335"/>
      <c r="R8" s="336"/>
      <c r="S8" s="110" t="s">
        <v>219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-2</v>
      </c>
      <c r="AC8" s="102" t="str">
        <f t="shared" ca="1" si="0"/>
        <v>ANO</v>
      </c>
      <c r="AG8" s="121" t="s">
        <v>227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5 OZ, 1 (0+1), -1 ±</v>
      </c>
      <c r="AY8" s="129" t="str">
        <f t="shared" ca="1" si="2"/>
        <v>27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844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75"/>
      <c r="BY8" s="103" t="s">
        <v>1058</v>
      </c>
      <c r="BZ8" s="103" t="s">
        <v>967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>Florbal Mladá Boleslav</v>
      </c>
      <c r="B9" s="343"/>
      <c r="C9" s="344"/>
      <c r="D9" s="345">
        <f ca="1">IFERROR(IF(VLOOKUP(A6,OFFSET($AG$2,,,COUNTIF($AG$2:$AG$50,"?*"),23),14,FALSE)&lt;&gt;0,VLOOKUP(A6,OFFSET($AG$2,,,COUNTIF($AG$2:$AG$50,"?*"),23),14,FALSE),"?"),"")</f>
        <v>2005</v>
      </c>
      <c r="E9" s="346"/>
      <c r="F9" s="7">
        <f ca="1">IFERROR(IF(VLOOKUP(A6,OFFSET($AG$2,,,COUNTIF($AG$2:$AG$50,"?*"),23),7,FALSE)&lt;&gt;0,VLOOKUP(A6,OFFSET($AG$2,,,COUNTIF($AG$2:$AG$50,"?*"),23),7,FALSE),"?"),"")</f>
        <v>4</v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>FBC Mustang</v>
      </c>
      <c r="N9" s="343"/>
      <c r="O9" s="344"/>
      <c r="P9" s="345">
        <f ca="1">IFERROR(IF(VLOOKUP(M6,OFFSET($AG$2,,,COUNTIF($AG$2:$AG$50,"?*"),23),14,FALSE)&lt;&gt;0,VLOOKUP(M6,OFFSET($AG$2,,,COUNTIF($AG$2:$AG$50,"?*"),23),14,FALSE),"?"),"")</f>
        <v>1996</v>
      </c>
      <c r="Q9" s="346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235</v>
      </c>
      <c r="T9" s="102" t="s">
        <v>121</v>
      </c>
      <c r="U9" s="102">
        <v>5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4</v>
      </c>
      <c r="AB9" s="102">
        <v>-4</v>
      </c>
      <c r="AC9" s="102" t="str">
        <f t="shared" ca="1" si="0"/>
        <v>ANO</v>
      </c>
      <c r="AG9" s="121" t="s">
        <v>223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245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5 OZ, 0 (0+0), -5 ±</v>
      </c>
      <c r="AY9" s="129" t="str">
        <f t="shared" ca="1" si="2"/>
        <v>55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845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75"/>
      <c r="BY9" s="103" t="s">
        <v>1000</v>
      </c>
      <c r="BZ9" s="103" t="s">
        <v>1079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228</v>
      </c>
      <c r="T10" s="102" t="s">
        <v>64</v>
      </c>
      <c r="U10" s="102">
        <v>4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2</v>
      </c>
      <c r="AB10" s="102">
        <v>-1</v>
      </c>
      <c r="AC10" s="102" t="str">
        <f t="shared" ca="1" si="0"/>
        <v>ANO</v>
      </c>
      <c r="AG10" s="121" t="s">
        <v>221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4 OZ, 0 (0+0), -1 ±</v>
      </c>
      <c r="AY10" s="129" t="str">
        <f t="shared" ca="1" si="2"/>
        <v>246 OZ, 118 (63+55)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977</v>
      </c>
      <c r="BZ10" s="103" t="s">
        <v>973</v>
      </c>
      <c r="CA10" s="115" t="s">
        <v>208</v>
      </c>
    </row>
    <row r="11" spans="1:79" ht="15" customHeight="1" thickTop="1" thickBot="1" x14ac:dyDescent="0.25">
      <c r="R11" s="13"/>
      <c r="S11" s="110" t="s">
        <v>233</v>
      </c>
      <c r="T11" s="102" t="s">
        <v>121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-1</v>
      </c>
      <c r="AC11" s="102" t="str">
        <f t="shared" ca="1" si="0"/>
        <v>ANO</v>
      </c>
      <c r="AG11" s="121" t="s">
        <v>228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246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4 OZ, 2 (0+2), -1 ±</v>
      </c>
      <c r="AY11" s="129" t="str">
        <f t="shared" ca="1" si="2"/>
        <v>306 OZ, 233 (95+138)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1018</v>
      </c>
      <c r="BZ11" s="103" t="s">
        <v>1015</v>
      </c>
      <c r="CA11" s="115" t="s">
        <v>208</v>
      </c>
    </row>
    <row r="12" spans="1:79" ht="15" customHeight="1" thickTop="1" thickBot="1" x14ac:dyDescent="0.25">
      <c r="A12" s="337" t="s">
        <v>222</v>
      </c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39" t="s">
        <v>7</v>
      </c>
      <c r="I12" s="339"/>
      <c r="J12" s="339"/>
      <c r="K12" s="339"/>
      <c r="M12" s="337" t="s">
        <v>230</v>
      </c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226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-5</v>
      </c>
      <c r="AC12" s="102" t="str">
        <f t="shared" ca="1" si="0"/>
        <v>ANO</v>
      </c>
      <c r="AG12" s="121" t="s">
        <v>218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242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5 OZ, 4 (1+3), -1 ±</v>
      </c>
      <c r="AY12" s="129" t="str">
        <f t="shared" ca="1" si="2"/>
        <v>105 OZ, 89 (51+38)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1087</v>
      </c>
      <c r="BU12" s="103">
        <v>5</v>
      </c>
      <c r="BV12" s="104" t="str">
        <f t="shared" si="13"/>
        <v>Filip Smutný</v>
      </c>
      <c r="BW12" s="102">
        <f t="shared" si="14"/>
        <v>5</v>
      </c>
      <c r="BX12" s="116" t="s">
        <v>214</v>
      </c>
      <c r="BY12" s="100" t="s">
        <v>1080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0">
        <f ca="1">IFERROR(IF(VLOOKUP(A12,OFFSET($AG$2,,,COUNTIF($AG$2:$AG$50,"?*"),23),2,FALSE)&lt;&gt;0,YEAR(VLOOKUP(A12,OFFSET($AG$2,,,COUNTIF($AG$2:$AG$50,"?*"),23),2,FALSE)),""),"")</f>
        <v>1992</v>
      </c>
      <c r="C13" s="341"/>
      <c r="D13" s="94">
        <f ca="1">IFERROR(VLOOKUP(A12,OFFSET($AG$2,,,COUNTIF($AG$2:$AG$50,"?*"),23),15,FALSE),"")</f>
        <v>29</v>
      </c>
      <c r="E13" s="331" t="str">
        <f ca="1">IFERROR(VLOOKUP(A12,OFFSET($AG$2,,,COUNTIF($AG$2:$AG$50,"?*"),23),16,FALSE),"")</f>
        <v>176/74</v>
      </c>
      <c r="F13" s="332"/>
      <c r="M13" s="4" t="str">
        <f ca="1">IFERROR(IF(VLOOKUP(M12,OFFSET($AG$2,,,COUNTIF($AG$2:$AG$50,"?*"),23),10,FALSE)&lt;&gt;0,VLOOKUP(M12,OFFSET($AG$2,,,COUNTIF($AG$2:$AG$50,"?*"),23),10,FALSE),""),"")</f>
        <v>L</v>
      </c>
      <c r="N13" s="340">
        <f ca="1">IFERROR(IF(VLOOKUP(M12,OFFSET($AG$2,,,COUNTIF($AG$2:$AG$50,"?*"),23),2,FALSE)&lt;&gt;0,YEAR(VLOOKUP(M12,OFFSET($AG$2,,,COUNTIF($AG$2:$AG$50,"?*"),23),2,FALSE)),""),"")</f>
        <v>2003</v>
      </c>
      <c r="O13" s="341"/>
      <c r="P13" s="94">
        <f ca="1">IFERROR(VLOOKUP(M12,OFFSET($AG$2,,,COUNTIF($AG$2:$AG$50,"?*"),23),15,FALSE),"")</f>
        <v>18</v>
      </c>
      <c r="Q13" s="331" t="str">
        <f ca="1">IFERROR(VLOOKUP(M12,OFFSET($AG$2,,,COUNTIF($AG$2:$AG$50,"?*"),23),16,FALSE),"")</f>
        <v>178/70</v>
      </c>
      <c r="R13" s="332"/>
      <c r="S13" s="110" t="s">
        <v>227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231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245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843</v>
      </c>
      <c r="BU13" s="103">
        <v>4</v>
      </c>
      <c r="BV13" s="104" t="str">
        <f t="shared" si="13"/>
        <v>Prokop Ferdan</v>
      </c>
      <c r="BW13" s="102">
        <f t="shared" si="14"/>
        <v>4</v>
      </c>
    </row>
    <row r="14" spans="1:79" ht="15" customHeight="1" thickTop="1" thickBot="1" x14ac:dyDescent="0.25">
      <c r="A14" s="333" t="str">
        <f ca="1">IFERROR(VLOOKUP(A12,OFFSET($AG$2,,,COUNTIF($AG$2:$AG$50,"?*"),23),18,FALSE),"")</f>
        <v>4 OZ, 6 (4+2), +1 ±</v>
      </c>
      <c r="B14" s="334"/>
      <c r="C14" s="334"/>
      <c r="D14" s="335" t="str">
        <f ca="1">IFERROR(VLOOKUP(A12,OFFSET($AG$2,,,COUNTIF($AG$2:$AG$50,"?*"),23),19,FALSE),"")</f>
        <v>189 OZ, 230 (130+100)</v>
      </c>
      <c r="E14" s="335"/>
      <c r="F14" s="336"/>
      <c r="G14" s="337" t="s">
        <v>220</v>
      </c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3" t="str">
        <f ca="1">IFERROR(VLOOKUP(M12,OFFSET($AG$2,,,COUNTIF($AG$2:$AG$50,"?*"),23),18,FALSE),"")</f>
        <v>5 OZ, 4 (1+3), -1 ±</v>
      </c>
      <c r="N14" s="334"/>
      <c r="O14" s="334"/>
      <c r="P14" s="335" t="str">
        <f ca="1">IFERROR(VLOOKUP(M12,OFFSET($AG$2,,,COUNTIF($AG$2:$AG$50,"?*"),23),19,FALSE),"")</f>
        <v>27 OZ, 30 (10+20)</v>
      </c>
      <c r="Q14" s="335"/>
      <c r="R14" s="336"/>
      <c r="S14" s="110" t="s">
        <v>224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-2</v>
      </c>
      <c r="AC14" s="102" t="str">
        <f t="shared" ca="1" si="0"/>
        <v>ANO</v>
      </c>
      <c r="AG14" s="121" t="s">
        <v>841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265</v>
      </c>
      <c r="BU14" s="103">
        <v>4</v>
      </c>
      <c r="BV14" s="104" t="str">
        <f t="shared" si="13"/>
        <v>Radek Valeš</v>
      </c>
      <c r="BW14" s="102">
        <f t="shared" si="14"/>
        <v>4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>TJ Centropen Dačice</v>
      </c>
      <c r="B15" s="343"/>
      <c r="C15" s="344"/>
      <c r="D15" s="345">
        <f ca="1">IFERROR(IF(VLOOKUP(A12,OFFSET($AG$2,,,COUNTIF($AG$2:$AG$50,"?*"),23),14,FALSE)&lt;&gt;0,VLOOKUP(A12,OFFSET($AG$2,,,COUNTIF($AG$2:$AG$50,"?*"),23),14,FALSE),"?"),"")</f>
        <v>2006</v>
      </c>
      <c r="E15" s="346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0">
        <f ca="1">IFERROR(IF(VLOOKUP(G14,OFFSET($AG$2,,,COUNTIF($AG$2:$AG$50,"?*"),23),2,FALSE)&lt;&gt;0,YEAR(VLOOKUP(G14,OFFSET($AG$2,,,COUNTIF($AG$2:$AG$50,"?*"),23),2,FALSE)),""),"")</f>
        <v>1994</v>
      </c>
      <c r="I15" s="341"/>
      <c r="J15" s="94">
        <f ca="1">IFERROR(VLOOKUP(G14,OFFSET($AG$2,,,COUNTIF($AG$2:$AG$50,"?*"),23),15,FALSE),"")</f>
        <v>26</v>
      </c>
      <c r="K15" s="331" t="str">
        <f ca="1">IFERROR(VLOOKUP(G14,OFFSET($AG$2,,,COUNTIF($AG$2:$AG$50,"?*"),23),16,FALSE),"")</f>
        <v>187/76</v>
      </c>
      <c r="L15" s="332"/>
      <c r="M15" s="342" t="str">
        <f ca="1">IFERROR(IF(VLOOKUP(M12,OFFSET($AG$2,,,COUNTIF($AG$2:$AG$50,"?*"),23),13,FALSE)&lt;&gt;0,VLOOKUP(M12,OFFSET($AG$2,,,COUNTIF($AG$2:$AG$50,"?*"),23),13,FALSE),"?"),"")</f>
        <v>FBC Liberec</v>
      </c>
      <c r="N15" s="343"/>
      <c r="O15" s="344"/>
      <c r="P15" s="345">
        <f ca="1">IFERROR(IF(VLOOKUP(M12,OFFSET($AG$2,,,COUNTIF($AG$2:$AG$50,"?*"),23),14,FALSE)&lt;&gt;0,VLOOKUP(M12,OFFSET($AG$2,,,COUNTIF($AG$2:$AG$50,"?*"),23),14,FALSE),"?"),"")</f>
        <v>2010</v>
      </c>
      <c r="Q15" s="346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229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237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247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5 OZ, 0 (0+0), 0 ±</v>
      </c>
      <c r="AY15" s="129" t="str">
        <f t="shared" ca="1" si="2"/>
        <v>19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914</v>
      </c>
      <c r="BU15" s="103">
        <v>2</v>
      </c>
      <c r="BV15" s="104" t="str">
        <f t="shared" si="13"/>
        <v>Jan Šoltys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>5 OZ, 7 (4+3), 0 ±</v>
      </c>
      <c r="H16" s="334"/>
      <c r="I16" s="334"/>
      <c r="J16" s="335" t="str">
        <f ca="1">IFERROR(VLOOKUP(G14,OFFSET($AG$2,,,COUNTIF($AG$2:$AG$50,"?*"),23),19,FALSE),"")</f>
        <v>194 OZ, 312 (170+142)</v>
      </c>
      <c r="K16" s="335"/>
      <c r="L16" s="336"/>
      <c r="S16" s="110" t="s">
        <v>231</v>
      </c>
      <c r="T16" s="102" t="s">
        <v>119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248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249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1088</v>
      </c>
      <c r="BU16" s="103">
        <v>2</v>
      </c>
      <c r="BV16" s="104" t="str">
        <f t="shared" si="13"/>
        <v>Šimon Stránský</v>
      </c>
      <c r="BW16" s="102">
        <f t="shared" si="14"/>
        <v>2</v>
      </c>
    </row>
    <row r="17" spans="1:75" ht="15" customHeight="1" thickTop="1" thickBot="1" x14ac:dyDescent="0.25">
      <c r="A17" s="337" t="s">
        <v>233</v>
      </c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2" t="str">
        <f ca="1">IFERROR(IF(VLOOKUP(G14,OFFSET($AG$2,,,COUNTIF($AG$2:$AG$50,"?*"),23),13,FALSE)&lt;&gt;0,VLOOKUP(G14,OFFSET($AG$2,,,COUNTIF($AG$2:$AG$50,"?*"),23),13,FALSE),"?"),"")</f>
        <v>FBC Liberec</v>
      </c>
      <c r="H17" s="343"/>
      <c r="I17" s="344"/>
      <c r="J17" s="345">
        <f ca="1">IFERROR(IF(VLOOKUP(G14,OFFSET($AG$2,,,COUNTIF($AG$2:$AG$50,"?*"),23),14,FALSE)&lt;&gt;0,VLOOKUP(G14,OFFSET($AG$2,,,COUNTIF($AG$2:$AG$50,"?*"),23),14,FALSE),"?"),"")</f>
        <v>2002</v>
      </c>
      <c r="K17" s="346"/>
      <c r="L17" s="7">
        <f ca="1">IFERROR(IF(VLOOKUP(G14,OFFSET($AG$2,,,COUNTIF($AG$2:$AG$50,"?*"),23),7,FALSE)&lt;&gt;0,VLOOKUP(G14,OFFSET($AG$2,,,COUNTIF($AG$2:$AG$50,"?*"),23),7,FALSE),"?"),"")</f>
        <v>10</v>
      </c>
      <c r="M17" s="337" t="s">
        <v>227</v>
      </c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841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234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250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5 OZ, 0 (0+0), -2 ±</v>
      </c>
      <c r="AY17" s="129" t="str">
        <f t="shared" ca="1" si="2"/>
        <v>19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266</v>
      </c>
      <c r="BU17" s="103">
        <v>2</v>
      </c>
      <c r="BV17" s="104" t="str">
        <f t="shared" si="13"/>
        <v>Petr Chlad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0">
        <f ca="1">IFERROR(IF(VLOOKUP(A17,OFFSET($AG$2,,,COUNTIF($AG$2:$AG$50,"?*"),23),2,FALSE)&lt;&gt;0,YEAR(VLOOKUP(A17,OFFSET($AG$2,,,COUNTIF($AG$2:$AG$50,"?*"),23),2,FALSE)),""),"")</f>
        <v>1994</v>
      </c>
      <c r="C18" s="341"/>
      <c r="D18" s="150">
        <f ca="1">IFERROR(VLOOKUP(A17,OFFSET($AG$2,,,COUNTIF($AG$2:$AG$50,"?*"),23),15,FALSE),"")</f>
        <v>27</v>
      </c>
      <c r="E18" s="331" t="str">
        <f ca="1">IFERROR(VLOOKUP(A17,OFFSET($AG$2,,,COUNTIF($AG$2:$AG$50,"?*"),23),16,FALSE),"")</f>
        <v>180/82</v>
      </c>
      <c r="F18" s="332"/>
      <c r="M18" s="4" t="str">
        <f ca="1">IFERROR(IF(VLOOKUP(M17,OFFSET($AG$2,,,COUNTIF($AG$2:$AG$50,"?*"),23),10,FALSE)&lt;&gt;0,VLOOKUP(M17,OFFSET($AG$2,,,COUNTIF($AG$2:$AG$50,"?*"),23),10,FALSE),""),"")</f>
        <v>L</v>
      </c>
      <c r="N18" s="340">
        <f ca="1">IFERROR(IF(VLOOKUP(M17,OFFSET($AG$2,,,COUNTIF($AG$2:$AG$50,"?*"),23),2,FALSE)&lt;&gt;0,YEAR(VLOOKUP(M17,OFFSET($AG$2,,,COUNTIF($AG$2:$AG$50,"?*"),23),2,FALSE)),""),"")</f>
        <v>2003</v>
      </c>
      <c r="O18" s="341"/>
      <c r="P18" s="94">
        <f ca="1">IFERROR(VLOOKUP(M17,OFFSET($AG$2,,,COUNTIF($AG$2:$AG$50,"?*"),23),15,FALSE),"")</f>
        <v>18</v>
      </c>
      <c r="Q18" s="331" t="str">
        <f ca="1">IFERROR(VLOOKUP(M17,OFFSET($AG$2,,,COUNTIF($AG$2:$AG$50,"?*"),23),16,FALSE),"")</f>
        <v>178/74</v>
      </c>
      <c r="R18" s="332"/>
      <c r="S18" s="110" t="s">
        <v>221</v>
      </c>
      <c r="T18" s="102" t="s">
        <v>64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224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250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5 OZ, 1 (0+1), -2 ±</v>
      </c>
      <c r="AY18" s="129" t="str">
        <f t="shared" ca="1" si="2"/>
        <v>80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844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>5 OZ, 1 (1+0), -1 ±</v>
      </c>
      <c r="B19" s="334"/>
      <c r="C19" s="334"/>
      <c r="D19" s="335" t="str">
        <f ca="1">IFERROR(VLOOKUP(A17,OFFSET($AG$2,,,COUNTIF($AG$2:$AG$50,"?*"),23),19,FALSE),"")</f>
        <v>199 OZ, 117 (51+66)</v>
      </c>
      <c r="E19" s="335"/>
      <c r="F19" s="336"/>
      <c r="H19" s="347" t="str">
        <f>H$8</f>
        <v>LIB</v>
      </c>
      <c r="I19" s="347"/>
      <c r="J19" s="347"/>
      <c r="K19" s="347"/>
      <c r="M19" s="333" t="str">
        <f ca="1">IFERROR(VLOOKUP(M17,OFFSET($AG$2,,,COUNTIF($AG$2:$AG$50,"?*"),23),18,FALSE),"")</f>
        <v>5 OZ, 1 (0+1), -1 ±</v>
      </c>
      <c r="N19" s="334"/>
      <c r="O19" s="334"/>
      <c r="P19" s="335" t="str">
        <f ca="1">IFERROR(VLOOKUP(M17,OFFSET($AG$2,,,COUNTIF($AG$2:$AG$50,"?*"),23),19,FALSE),"")</f>
        <v>27 OZ, 5 (2+3)</v>
      </c>
      <c r="Q19" s="335"/>
      <c r="R19" s="336"/>
      <c r="S19" s="110" t="s">
        <v>237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0</v>
      </c>
      <c r="AC19" s="102" t="str">
        <f t="shared" ca="1" si="0"/>
        <v>ANO</v>
      </c>
      <c r="AG19" s="121" t="s">
        <v>251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252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845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>Sokol Pardubice</v>
      </c>
      <c r="B20" s="343"/>
      <c r="C20" s="344"/>
      <c r="D20" s="345">
        <f ca="1">IFERROR(IF(VLOOKUP(A17,OFFSET($AG$2,,,COUNTIF($AG$2:$AG$50,"?*"),23),14,FALSE)&lt;&gt;0,VLOOKUP(A17,OFFSET($AG$2,,,COUNTIF($AG$2:$AG$50,"?*"),23),14,FALSE),"?"),"")</f>
        <v>2009</v>
      </c>
      <c r="E20" s="346"/>
      <c r="F20" s="7">
        <f ca="1">IFERROR(IF(VLOOKUP(A17,OFFSET($AG$2,,,COUNTIF($AG$2:$AG$50,"?*"),23),7,FALSE)&lt;&gt;0,VLOOKUP(A17,OFFSET($AG$2,,,COUNTIF($AG$2:$AG$50,"?*"),23),7,FALSE),"?"),"")</f>
        <v>11</v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>FBC Liberec</v>
      </c>
      <c r="N20" s="343"/>
      <c r="O20" s="344"/>
      <c r="P20" s="345">
        <f ca="1">IFERROR(IF(VLOOKUP(M17,OFFSET($AG$2,,,COUNTIF($AG$2:$AG$50,"?*"),23),14,FALSE)&lt;&gt;0,VLOOKUP(M17,OFFSET($AG$2,,,COUNTIF($AG$2:$AG$50,"?*"),23),14,FALSE),"?"),"")</f>
        <v>2010</v>
      </c>
      <c r="Q20" s="346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232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818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5 OZ, 6 (5+1), -3 ±</v>
      </c>
      <c r="AY20" s="129" t="str">
        <f t="shared" ca="1" si="2"/>
        <v>5 OZ, 6 (5+1)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234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225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253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5 OZ, 6 (2+4), -3 ±</v>
      </c>
      <c r="AY21" s="129" t="str">
        <f t="shared" ca="1" si="2"/>
        <v>23 OZ, 20 (11+9)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223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ANO</v>
      </c>
      <c r="AG22" s="121" t="s">
        <v>235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254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5 OZ, 2 (1+1), -4 ±</v>
      </c>
      <c r="AY22" s="129" t="str">
        <f t="shared" ca="1" si="2"/>
        <v>46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1089</v>
      </c>
      <c r="BU22" s="103">
        <v>4</v>
      </c>
      <c r="BV22" s="104" t="str">
        <f t="shared" si="13"/>
        <v>Šimon Stránský</v>
      </c>
      <c r="BW22" s="102">
        <f t="shared" si="14"/>
        <v>4</v>
      </c>
    </row>
    <row r="23" spans="1:75" ht="15" customHeight="1" thickTop="1" thickBot="1" x14ac:dyDescent="0.25">
      <c r="A23" s="337" t="s">
        <v>224</v>
      </c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39" t="s">
        <v>13</v>
      </c>
      <c r="I23" s="339"/>
      <c r="J23" s="339"/>
      <c r="K23" s="339"/>
      <c r="M23" s="337" t="s">
        <v>235</v>
      </c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219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5 OZ, 2 (2+0), -2 ±</v>
      </c>
      <c r="AY23" s="129" t="str">
        <f t="shared" ca="1" si="2"/>
        <v>99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913</v>
      </c>
      <c r="BU23" s="103">
        <v>3</v>
      </c>
      <c r="BV23" s="104" t="str">
        <f t="shared" si="13"/>
        <v>Jakub Kopecký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0">
        <f ca="1">IFERROR(IF(VLOOKUP(A23,OFFSET($AG$2,,,COUNTIF($AG$2:$AG$50,"?*"),23),2,FALSE)&lt;&gt;0,YEAR(VLOOKUP(A23,OFFSET($AG$2,,,COUNTIF($AG$2:$AG$50,"?*"),23),2,FALSE)),""),"")</f>
        <v>1999</v>
      </c>
      <c r="C24" s="341"/>
      <c r="D24" s="94">
        <f ca="1">IFERROR(VLOOKUP(A23,OFFSET($AG$2,,,COUNTIF($AG$2:$AG$50,"?*"),23),15,FALSE),"")</f>
        <v>21</v>
      </c>
      <c r="E24" s="331" t="str">
        <f ca="1">IFERROR(VLOOKUP(A23,OFFSET($AG$2,,,COUNTIF($AG$2:$AG$50,"?*"),23),16,FALSE),"")</f>
        <v>164/60</v>
      </c>
      <c r="F24" s="332"/>
      <c r="M24" s="4" t="str">
        <f ca="1">IFERROR(IF(VLOOKUP(M23,OFFSET($AG$2,,,COUNTIF($AG$2:$AG$50,"?*"),23),10,FALSE)&lt;&gt;0,VLOOKUP(M23,OFFSET($AG$2,,,COUNTIF($AG$2:$AG$50,"?*"),23),10,FALSE),""),"")</f>
        <v>L</v>
      </c>
      <c r="N24" s="340">
        <f ca="1">IFERROR(IF(VLOOKUP(M23,OFFSET($AG$2,,,COUNTIF($AG$2:$AG$50,"?*"),23),2,FALSE)&lt;&gt;0,YEAR(VLOOKUP(M23,OFFSET($AG$2,,,COUNTIF($AG$2:$AG$50,"?*"),23),2,FALSE)),""),"")</f>
        <v>1998</v>
      </c>
      <c r="O24" s="341"/>
      <c r="P24" s="94">
        <f ca="1">IFERROR(VLOOKUP(M23,OFFSET($AG$2,,,COUNTIF($AG$2:$AG$50,"?*"),23),15,FALSE),"")</f>
        <v>23</v>
      </c>
      <c r="Q24" s="331" t="str">
        <f ca="1">IFERROR(VLOOKUP(M23,OFFSET($AG$2,,,COUNTIF($AG$2:$AG$50,"?*"),23),16,FALSE),"")</f>
        <v>187/82</v>
      </c>
      <c r="R24" s="332"/>
      <c r="S24" s="111"/>
      <c r="AC24" s="102" t="str">
        <f t="shared" ca="1" si="0"/>
        <v/>
      </c>
      <c r="AG24" s="121" t="s">
        <v>229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265</v>
      </c>
      <c r="BU24" s="103">
        <v>3</v>
      </c>
      <c r="BV24" s="104" t="str">
        <f t="shared" si="13"/>
        <v>Radek Valeš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>5 OZ, 1 (0+1), -2 ±</v>
      </c>
      <c r="B25" s="334"/>
      <c r="C25" s="334"/>
      <c r="D25" s="335" t="str">
        <f ca="1">IFERROR(VLOOKUP(A23,OFFSET($AG$2,,,COUNTIF($AG$2:$AG$50,"?*"),23),19,FALSE),"")</f>
        <v>80 OZ, 45 (23+22)</v>
      </c>
      <c r="E25" s="335"/>
      <c r="F25" s="336"/>
      <c r="G25" s="337" t="s">
        <v>226</v>
      </c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3" t="str">
        <f ca="1">IFERROR(VLOOKUP(M23,OFFSET($AG$2,,,COUNTIF($AG$2:$AG$50,"?*"),23),18,FALSE),"")</f>
        <v>5 OZ, 2 (1+1), -4 ±</v>
      </c>
      <c r="N25" s="334"/>
      <c r="O25" s="334"/>
      <c r="P25" s="335" t="str">
        <f ca="1">IFERROR(VLOOKUP(M23,OFFSET($AG$2,,,COUNTIF($AG$2:$AG$50,"?*"),23),19,FALSE),"")</f>
        <v>46 OZ, 27 (16+11)</v>
      </c>
      <c r="Q25" s="335"/>
      <c r="R25" s="336"/>
      <c r="S25" s="111"/>
      <c r="AC25" s="102" t="str">
        <f t="shared" ca="1" si="0"/>
        <v/>
      </c>
      <c r="AG25" s="121" t="s">
        <v>220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5 OZ, 7 (4+3), 0 ±</v>
      </c>
      <c r="AY25" s="129" t="str">
        <f t="shared" ca="1" si="16"/>
        <v>194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1090</v>
      </c>
      <c r="BU25" s="103">
        <v>3</v>
      </c>
      <c r="BV25" s="104" t="str">
        <f t="shared" si="13"/>
        <v>Vojtěch Wiener</v>
      </c>
      <c r="BW25" s="102">
        <f t="shared" si="14"/>
        <v>3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>Florbal Mladá Boleslav</v>
      </c>
      <c r="B26" s="343"/>
      <c r="C26" s="344"/>
      <c r="D26" s="345">
        <f ca="1">IFERROR(IF(VLOOKUP(A23,OFFSET($AG$2,,,COUNTIF($AG$2:$AG$50,"?*"),23),14,FALSE)&lt;&gt;0,VLOOKUP(A23,OFFSET($AG$2,,,COUNTIF($AG$2:$AG$50,"?*"),23),14,FALSE),"?"),"")</f>
        <v>2008</v>
      </c>
      <c r="E26" s="346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0">
        <f ca="1">IFERROR(IF(VLOOKUP(G25,OFFSET($AG$2,,,COUNTIF($AG$2:$AG$50,"?*"),23),2,FALSE)&lt;&gt;0,YEAR(VLOOKUP(G25,OFFSET($AG$2,,,COUNTIF($AG$2:$AG$50,"?*"),23),2,FALSE)),""),"")</f>
        <v>1994</v>
      </c>
      <c r="I26" s="341"/>
      <c r="J26" s="94">
        <f ca="1">IFERROR(VLOOKUP(G25,OFFSET($AG$2,,,COUNTIF($AG$2:$AG$50,"?*"),23),15,FALSE),"")</f>
        <v>27</v>
      </c>
      <c r="K26" s="331" t="str">
        <f ca="1">IFERROR(VLOOKUP(G25,OFFSET($AG$2,,,COUNTIF($AG$2:$AG$50,"?*"),23),16,FALSE),"")</f>
        <v>185/86</v>
      </c>
      <c r="L26" s="332"/>
      <c r="M26" s="342" t="str">
        <f ca="1">IFERROR(IF(VLOOKUP(M23,OFFSET($AG$2,,,COUNTIF($AG$2:$AG$50,"?*"),23),13,FALSE)&lt;&gt;0,VLOOKUP(M23,OFFSET($AG$2,,,COUNTIF($AG$2:$AG$50,"?*"),23),13,FALSE),"?"),"")</f>
        <v>DTJ Trutnov</v>
      </c>
      <c r="N26" s="343"/>
      <c r="O26" s="344"/>
      <c r="P26" s="345">
        <f ca="1">IFERROR(IF(VLOOKUP(M23,OFFSET($AG$2,,,COUNTIF($AG$2:$AG$50,"?*"),23),14,FALSE)&lt;&gt;0,VLOOKUP(M23,OFFSET($AG$2,,,COUNTIF($AG$2:$AG$50,"?*"),23),14,FALSE),"?"),"")</f>
        <v>2014</v>
      </c>
      <c r="Q26" s="346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230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5 OZ, 4 (1+3), -1 ±</v>
      </c>
      <c r="AY26" s="129" t="str">
        <f t="shared" ca="1" si="16"/>
        <v>27 OZ, 30 (10+20)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1091</v>
      </c>
      <c r="BU26" s="103">
        <v>2</v>
      </c>
      <c r="BV26" s="104" t="str">
        <f t="shared" si="13"/>
        <v>Petr Kološ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>5 OZ, 1 (1+0), -5 ±</v>
      </c>
      <c r="H27" s="334"/>
      <c r="I27" s="334"/>
      <c r="J27" s="335" t="str">
        <f ca="1">IFERROR(VLOOKUP(G25,OFFSET($AG$2,,,COUNTIF($AG$2:$AG$50,"?*"),23),19,FALSE),"")</f>
        <v>123 OZ, 36 (27+9)</v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1092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37" t="s">
        <v>223</v>
      </c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2" t="str">
        <f ca="1">IFERROR(IF(VLOOKUP(G25,OFFSET($AG$2,,,COUNTIF($AG$2:$AG$50,"?*"),23),13,FALSE)&lt;&gt;0,VLOOKUP(G25,OFFSET($AG$2,,,COUNTIF($AG$2:$AG$50,"?*"),23),13,FALSE),"?"),"")</f>
        <v>Sokol Dvůr Králové</v>
      </c>
      <c r="H28" s="343"/>
      <c r="I28" s="344"/>
      <c r="J28" s="345">
        <f ca="1">IFERROR(IF(VLOOKUP(G25,OFFSET($AG$2,,,COUNTIF($AG$2:$AG$50,"?*"),23),14,FALSE)&lt;&gt;0,VLOOKUP(G25,OFFSET($AG$2,,,COUNTIF($AG$2:$AG$50,"?*"),23),14,FALSE),"?"),"")</f>
        <v>2001</v>
      </c>
      <c r="K28" s="346"/>
      <c r="L28" s="7">
        <f ca="1">IFERROR(IF(VLOOKUP(G25,OFFSET($AG$2,,,COUNTIF($AG$2:$AG$50,"?*"),23),7,FALSE)&lt;&gt;0,VLOOKUP(G25,OFFSET($AG$2,,,COUNTIF($AG$2:$AG$50,"?*"),23),7,FALSE),"?"),"")</f>
        <v>11</v>
      </c>
      <c r="M28" s="337" t="s">
        <v>221</v>
      </c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1093</v>
      </c>
      <c r="BU28" s="103">
        <v>2</v>
      </c>
      <c r="BV28" s="104" t="str">
        <f t="shared" si="13"/>
        <v>Daniel Martínek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0">
        <f ca="1">IFERROR(IF(VLOOKUP(A28,OFFSET($AG$2,,,COUNTIF($AG$2:$AG$50,"?*"),23),2,FALSE)&lt;&gt;0,YEAR(VLOOKUP(A28,OFFSET($AG$2,,,COUNTIF($AG$2:$AG$50,"?*"),23),2,FALSE)),""),"")</f>
        <v>2000</v>
      </c>
      <c r="C29" s="341"/>
      <c r="D29" s="94">
        <f ca="1">IFERROR(VLOOKUP(A28,OFFSET($AG$2,,,COUNTIF($AG$2:$AG$50,"?*"),23),15,FALSE),"")</f>
        <v>21</v>
      </c>
      <c r="E29" s="331" t="str">
        <f ca="1">IFERROR(VLOOKUP(A28,OFFSET($AG$2,,,COUNTIF($AG$2:$AG$50,"?*"),23),16,FALSE),"")</f>
        <v>180/72</v>
      </c>
      <c r="F29" s="332"/>
      <c r="M29" s="4" t="str">
        <f ca="1">IFERROR(IF(VLOOKUP(M28,OFFSET($AG$2,,,COUNTIF($AG$2:$AG$50,"?*"),23),10,FALSE)&lt;&gt;0,VLOOKUP(M28,OFFSET($AG$2,,,COUNTIF($AG$2:$AG$50,"?*"),23),10,FALSE),""),"")</f>
        <v>L</v>
      </c>
      <c r="N29" s="340">
        <f ca="1">IFERROR(IF(VLOOKUP(M28,OFFSET($AG$2,,,COUNTIF($AG$2:$AG$50,"?*"),23),2,FALSE)&lt;&gt;0,YEAR(VLOOKUP(M28,OFFSET($AG$2,,,COUNTIF($AG$2:$AG$50,"?*"),23),2,FALSE)),""),"")</f>
        <v>1989</v>
      </c>
      <c r="O29" s="341"/>
      <c r="P29" s="94">
        <f ca="1">IFERROR(VLOOKUP(M28,OFFSET($AG$2,,,COUNTIF($AG$2:$AG$50,"?*"),23),15,FALSE),"")</f>
        <v>31</v>
      </c>
      <c r="Q29" s="331" t="str">
        <f ca="1">IFERROR(VLOOKUP(M28,OFFSET($AG$2,,,COUNTIF($AG$2:$AG$50,"?*"),23),16,FALSE),"")</f>
        <v>194/98</v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1094</v>
      </c>
      <c r="BU29" s="103">
        <v>2</v>
      </c>
      <c r="BV29" s="104" t="str">
        <f t="shared" si="13"/>
        <v>Petr Kološ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>5 OZ, 0 (0+0), -5 ±</v>
      </c>
      <c r="B30" s="334"/>
      <c r="C30" s="334"/>
      <c r="D30" s="335" t="str">
        <f ca="1">IFERROR(VLOOKUP(A28,OFFSET($AG$2,,,COUNTIF($AG$2:$AG$50,"?*"),23),19,FALSE),"")</f>
        <v>55 OZ, 13 (5+8)</v>
      </c>
      <c r="E30" s="335"/>
      <c r="F30" s="336"/>
      <c r="H30" s="347" t="str">
        <f>H$8</f>
        <v>LIB</v>
      </c>
      <c r="I30" s="347"/>
      <c r="J30" s="347"/>
      <c r="K30" s="347"/>
      <c r="M30" s="333" t="str">
        <f ca="1">IFERROR(VLOOKUP(M28,OFFSET($AG$2,,,COUNTIF($AG$2:$AG$50,"?*"),23),18,FALSE),"")</f>
        <v>4 OZ, 0 (0+0), -1 ±</v>
      </c>
      <c r="N30" s="334"/>
      <c r="O30" s="334"/>
      <c r="P30" s="335" t="str">
        <f ca="1">IFERROR(VLOOKUP(M28,OFFSET($AG$2,,,COUNTIF($AG$2:$AG$50,"?*"),23),19,FALSE),"")</f>
        <v>246 OZ, 118 (63+55)</v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1095</v>
      </c>
      <c r="BU30" s="103">
        <v>2</v>
      </c>
      <c r="BV30" s="104" t="str">
        <f t="shared" si="13"/>
        <v>Radek Valeš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>FA Mladá Boleslav</v>
      </c>
      <c r="B31" s="343"/>
      <c r="C31" s="344"/>
      <c r="D31" s="345">
        <f ca="1">IFERROR(IF(VLOOKUP(A28,OFFSET($AG$2,,,COUNTIF($AG$2:$AG$50,"?*"),23),14,FALSE)&lt;&gt;0,VLOOKUP(A28,OFFSET($AG$2,,,COUNTIF($AG$2:$AG$50,"?*"),23),14,FALSE),"?"),"")</f>
        <v>2006</v>
      </c>
      <c r="E31" s="346"/>
      <c r="F31" s="7">
        <f ca="1">IFERROR(IF(VLOOKUP(A28,OFFSET($AG$2,,,COUNTIF($AG$2:$AG$50,"?*"),23),7,FALSE)&lt;&gt;0,VLOOKUP(A28,OFFSET($AG$2,,,COUNTIF($AG$2:$AG$50,"?*"),23),7,FALSE),"?"),"")</f>
        <v>3</v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>FBC Liberec</v>
      </c>
      <c r="N31" s="343"/>
      <c r="O31" s="344"/>
      <c r="P31" s="345">
        <f ca="1">IFERROR(IF(VLOOKUP(M28,OFFSET($AG$2,,,COUNTIF($AG$2:$AG$50,"?*"),23),14,FALSE)&lt;&gt;0,VLOOKUP(M28,OFFSET($AG$2,,,COUNTIF($AG$2:$AG$50,"?*"),23),14,FALSE),"?"),"")</f>
        <v>1999</v>
      </c>
      <c r="Q31" s="346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1096</v>
      </c>
      <c r="BU31" s="103">
        <v>2</v>
      </c>
      <c r="BV31" s="104" t="str">
        <f t="shared" si="13"/>
        <v>Vojtěch Janeček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 t="s">
        <v>236</v>
      </c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48" t="s">
        <v>16</v>
      </c>
      <c r="J34" s="337" t="s">
        <v>232</v>
      </c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0">
        <f ca="1">IFERROR(IF(VLOOKUP(A34,OFFSET($AG$2,,,COUNTIF($AG$2:$AG$50,"?*"),23),2,FALSE)&lt;&gt;0,YEAR(VLOOKUP(A34,OFFSET($AG$2,,,COUNTIF($AG$2:$AG$50,"?*"),23),2,FALSE)),""),"")</f>
        <v>2001</v>
      </c>
      <c r="C35" s="341"/>
      <c r="D35" s="94">
        <f ca="1">IFERROR(VLOOKUP(A34,OFFSET($AG$2,,,COUNTIF($AG$2:$AG$50,"?*"),23),15,FALSE),"")</f>
        <v>20</v>
      </c>
      <c r="E35" s="331" t="str">
        <f ca="1">IFERROR(VLOOKUP(A34,OFFSET($AG$2,,,COUNTIF($AG$2:$AG$50,"?*"),23),16,FALSE),"")</f>
        <v>195/93</v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>P</v>
      </c>
      <c r="K35" s="341">
        <f ca="1">IFERROR(IF(VLOOKUP(J34,OFFSET($AG$2,,,COUNTIF($AG$2:$AG$50,"?*"),23),2,FALSE)&lt;&gt;0,YEAR(VLOOKUP(J34,OFFSET($AG$2,,,COUNTIF($AG$2:$AG$50,"?*"),23),2,FALSE)),""),"")</f>
        <v>2004</v>
      </c>
      <c r="L35" s="349"/>
      <c r="M35" s="93">
        <f ca="1">IFERROR(VLOOKUP(J34,OFFSET($AG$2,,,COUNTIF($AG$2:$AG$50,"?*"),23),15,FALSE),"")</f>
        <v>17</v>
      </c>
      <c r="N35" s="349" t="str">
        <f ca="1">IFERROR(VLOOKUP(J34,OFFSET($AG$2,,,COUNTIF($AG$2:$AG$50,"?*"),23),16,FALSE),"")</f>
        <v>183/79</v>
      </c>
      <c r="O35" s="349"/>
      <c r="P35" s="349" t="str">
        <f ca="1">IFERROR(VLOOKUP(J34,OFFSET($AG$2,,,COUNTIF($AG$2:$AG$50,"?*"),23),18,FALSE),"")</f>
        <v>5 OZ, 6 (5+1), -3 ±</v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357" t="str">
        <f ca="1">IFERROR(VLOOKUP(A34,OFFSET($AG$2,,,COUNTIF($AG$2:$AG$50,"?*"),23),18,FALSE),"")</f>
        <v>2 V, 3 P</v>
      </c>
      <c r="C36" s="357"/>
      <c r="D36" s="358">
        <f ca="1">IFERROR(VLOOKUP(A34,OFFSET($S$45,,,COUNTIF($S$45:$S$50,"?*"),14),5,FALSE),"")</f>
        <v>29</v>
      </c>
      <c r="E36" s="359"/>
      <c r="F36" s="17">
        <f ca="1">IFERROR(VLOOKUP(A34,OFFSET($S$45,,,COUNTIF($S$45:$S$50,"?*"),14),14,FALSE),"")</f>
        <v>69.791666666666657</v>
      </c>
      <c r="H36" s="348"/>
      <c r="J36" s="18">
        <f ca="1">IFERROR(IF(VLOOKUP(J34,OFFSET($AG$2,,,COUNTIF($AG$2:$AG$50,"?*"),23),7,FALSE)&lt;&gt;0,VLOOKUP(J34,OFFSET($AG$2,,,COUNTIF($AG$2:$AG$50,"?*"),23),7,FALSE),"?"),"")</f>
        <v>1</v>
      </c>
      <c r="K36" s="360" t="str">
        <f ca="1">IFERROR(VLOOKUP(J34,OFFSET($AG$2,,,COUNTIF($AG$2:$AG$50,"?*"),23),19,FALSE),"")</f>
        <v>5 OZ, 6 (5+1)</v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>FBC Panthers Liberec</v>
      </c>
      <c r="O36" s="361"/>
      <c r="P36" s="361"/>
      <c r="Q36" s="360">
        <f ca="1">IFERROR(IF(VLOOKUP(J34,OFFSET($AG$2,,,COUNTIF($AG$2:$AG$50,"?*"),23),14,FALSE)&lt;&gt;0,VLOOKUP(J34,OFFSET($AG$2,,,COUNTIF($AG$2:$AG$50,"?*"),23),14,FALSE),"?"),"")</f>
        <v>2010</v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>
        <f ca="1">IFERROR(VLOOKUP(A34,OFFSET($S$45,,,COUNTIF($S$45:$S$50,"?*"),14),3,FALSE),"")</f>
        <v>305</v>
      </c>
      <c r="B37" s="351"/>
      <c r="C37" s="352">
        <f ca="1">IFERROR(VLOOKUP(A34,OFFSET($S$45,,,COUNTIF($S$45:$S$50,"?*"),14),13,FALSE),"")</f>
        <v>5.7049180327868854</v>
      </c>
      <c r="D37" s="353"/>
      <c r="E37" s="354" t="str">
        <f ca="1">IFERROR(VLOOKUP(A34,OFFSET($AG$2,,,COUNTIF($AG$2:$AG$50,"?*"),23),19,FALSE),"")</f>
        <v>5 OZ, 0 A</v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>FBC Liberec</v>
      </c>
      <c r="B38" s="343"/>
      <c r="C38" s="344"/>
      <c r="D38" s="345">
        <f ca="1">IFERROR(IF(VLOOKUP(A34,OFFSET($AG$2,,,COUNTIF($AG$2:$AG$50,"?*"),23),14,FALSE)&lt;&gt;0,VLOOKUP(A34,OFFSET($AG$2,,,COUNTIF($AG$2:$AG$50,"?*"),23),14,FALSE),"?"),"")</f>
        <v>2014</v>
      </c>
      <c r="E38" s="346"/>
      <c r="F38" s="19">
        <f ca="1">IFERROR(VLOOKUP(A34,OFFSET($S$45,,,COUNTIF($S$45:$S$50,"?*"),14),6,FALSE),"")</f>
        <v>0</v>
      </c>
      <c r="H38" s="348"/>
      <c r="J38" s="337" t="s">
        <v>237</v>
      </c>
      <c r="K38" s="338"/>
      <c r="L38" s="338"/>
      <c r="M38" s="338"/>
      <c r="N38" s="338"/>
      <c r="O38" s="338"/>
      <c r="P38" s="338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>P</v>
      </c>
      <c r="K39" s="341">
        <f ca="1">IFERROR(IF(VLOOKUP(J38,OFFSET($AG$2,,,COUNTIF($AG$2:$AG$50,"?*"),23),2,FALSE)&lt;&gt;0,YEAR(VLOOKUP(J38,OFFSET($AG$2,,,COUNTIF($AG$2:$AG$50,"?*"),23),2,FALSE)),""),"")</f>
        <v>2001</v>
      </c>
      <c r="L39" s="349"/>
      <c r="M39" s="151">
        <f ca="1">IFERROR(VLOOKUP(J38,OFFSET($AG$2,,,COUNTIF($AG$2:$AG$50,"?*"),23),15,FALSE),"")</f>
        <v>20</v>
      </c>
      <c r="N39" s="349" t="str">
        <f ca="1">IFERROR(VLOOKUP(J38,OFFSET($AG$2,,,COUNTIF($AG$2:$AG$50,"?*"),23),16,FALSE),"")</f>
        <v>170/67</v>
      </c>
      <c r="O39" s="349"/>
      <c r="P39" s="349" t="str">
        <f ca="1">IFERROR(VLOOKUP(J38,OFFSET($AG$2,,,COUNTIF($AG$2:$AG$50,"?*"),23),18,FALSE),"")</f>
        <v>5 OZ, 0 (0+0), 0 ±</v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 t="s">
        <v>841</v>
      </c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>
        <f ca="1">IFERROR(IF(VLOOKUP(J38,OFFSET($AG$2,,,COUNTIF($AG$2:$AG$50,"?*"),23),7,FALSE)&lt;&gt;0,VLOOKUP(J38,OFFSET($AG$2,,,COUNTIF($AG$2:$AG$50,"?*"),23),7,FALSE),"?"),"")</f>
        <v>4</v>
      </c>
      <c r="K40" s="360" t="str">
        <f ca="1">IFERROR(VLOOKUP(J38,OFFSET($AG$2,,,COUNTIF($AG$2:$AG$50,"?*"),23),19,FALSE),"")</f>
        <v>19 OZ, 0 (0+0)</v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>Sokol Benátky nad Jizerou</v>
      </c>
      <c r="O40" s="361"/>
      <c r="P40" s="361"/>
      <c r="Q40" s="360">
        <f ca="1">IFERROR(IF(VLOOKUP(J38,OFFSET($AG$2,,,COUNTIF($AG$2:$AG$50,"?*"),23),14,FALSE)&lt;&gt;0,VLOOKUP(J38,OFFSET($AG$2,,,COUNTIF($AG$2:$AG$50,"?*"),23),14,FALSE),"?"),"")</f>
        <v>2006</v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94" t="str">
        <f ca="1">IFERROR(VLOOKUP(A40,OFFSET($AG$2,,,COUNTIF($AG$2:$AG$50,"?*"),23),15,FALSE),"")</f>
        <v>?</v>
      </c>
      <c r="E41" s="331" t="str">
        <f ca="1">IFERROR(VLOOKUP(A40,OFFSET($AG$2,,,COUNTIF($AG$2:$AG$50,"?*"),23),16,FALSE),"")</f>
        <v>? / ?</v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57" t="str">
        <f ca="1">IFERROR(VLOOKUP(A40,OFFSET($AG$2,,,COUNTIF($AG$2:$AG$50,"?*"),23),18,FALSE),"")</f>
        <v>0 V, 0 P</v>
      </c>
      <c r="C42" s="357"/>
      <c r="D42" s="358">
        <f ca="1">IFERROR(VLOOKUP(A40,OFFSET($S$45,,,COUNTIF($S$45:$S$50,"?*"),14),5,FALSE),"")</f>
        <v>0</v>
      </c>
      <c r="E42" s="359"/>
      <c r="F42" s="17" t="str">
        <f ca="1">IFERROR(VLOOKUP(A40,OFFSET($S$45,,,COUNTIF($S$45:$S$50,"?*"),14),14,FALSE),"")</f>
        <v>-</v>
      </c>
      <c r="H42" s="348"/>
      <c r="J42" s="337"/>
      <c r="K42" s="338"/>
      <c r="L42" s="338"/>
      <c r="M42" s="338"/>
      <c r="N42" s="338"/>
      <c r="O42" s="338"/>
      <c r="P42" s="338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>
        <f ca="1">IFERROR(VLOOKUP(A40,OFFSET($S$45,,,COUNTIF($S$45:$S$50,"?*"),14),3,FALSE),"")</f>
        <v>0</v>
      </c>
      <c r="B43" s="351"/>
      <c r="C43" s="352">
        <f ca="1">IFERROR(VLOOKUP(A40,OFFSET($S$45,,,COUNTIF($S$45:$S$50,"?*"),14),13,FALSE),"")</f>
        <v>0</v>
      </c>
      <c r="D43" s="353"/>
      <c r="E43" s="354" t="str">
        <f ca="1">IFERROR(VLOOKUP(A40,OFFSET($AG$2,,,COUNTIF($AG$2:$AG$50,"?*"),23),19,FALSE),"")</f>
        <v>0 OZ, 0 A</v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>?</v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>?</v>
      </c>
      <c r="E44" s="346"/>
      <c r="F44" s="19">
        <f ca="1">IFERROR(VLOOKUP(A40,OFFSET($S$45,,,COUNTIF($S$45:$S$50,"?*"),14),6,FALSE),"")</f>
        <v>0</v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236</v>
      </c>
      <c r="T45" s="102">
        <v>5</v>
      </c>
      <c r="U45" s="112">
        <v>305</v>
      </c>
      <c r="V45" s="102">
        <v>2</v>
      </c>
      <c r="W45" s="102">
        <v>29</v>
      </c>
      <c r="X45" s="102">
        <v>0</v>
      </c>
      <c r="Y45" s="102">
        <v>96</v>
      </c>
      <c r="Z45" s="102">
        <v>0</v>
      </c>
      <c r="AA45" s="102">
        <v>3</v>
      </c>
      <c r="AB45" s="102">
        <v>67</v>
      </c>
      <c r="AC45" s="102">
        <v>0</v>
      </c>
      <c r="AD45" s="102">
        <v>0</v>
      </c>
      <c r="AE45" s="112">
        <f>IF(S45&lt;&gt;"",IF(T45&gt;0,W45/(U45/60),0),"")</f>
        <v>5.7049180327868854</v>
      </c>
      <c r="AF45" s="112">
        <f>IF(S45&lt;&gt;"",IF(Y45&gt;0,(AB45/Y45)*100,"-"),"")</f>
        <v>69.791666666666657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231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 t="s">
        <v>255</v>
      </c>
      <c r="B47" s="378"/>
      <c r="C47" s="378"/>
      <c r="D47" s="378"/>
      <c r="E47" s="373" t="str">
        <f ca="1">IFERROR(VLOOKUP(A47,OFFSET($BN$2,,,COUNTIF($BN$2:$BN$11,"?*"),5),3,FALSE),"")</f>
        <v>hlavní trenér</v>
      </c>
      <c r="F47" s="373"/>
      <c r="G47" s="373"/>
      <c r="H47" s="373"/>
      <c r="I47" s="374"/>
      <c r="J47" s="377" t="s">
        <v>256</v>
      </c>
      <c r="K47" s="378"/>
      <c r="L47" s="378"/>
      <c r="M47" s="378"/>
      <c r="N47" s="373" t="str">
        <f ca="1">IFERROR(VLOOKUP(J47,OFFSET($BN$2,,,COUNTIF($BN$2:$BN$11,"?*"),5),3,FALSE),"")</f>
        <v>asistent trenéra</v>
      </c>
      <c r="O47" s="373"/>
      <c r="P47" s="373"/>
      <c r="Q47" s="373"/>
      <c r="R47" s="374"/>
      <c r="S47" s="111" t="s">
        <v>841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>
        <f ca="1">IFERROR(VLOOKUP(A47,OFFSET($BN$2,,,COUNTIF($BN$2:$BN$11,"?*"),5),5,FALSE),"")</f>
        <v>53</v>
      </c>
      <c r="B48" s="365" t="str">
        <f ca="1">IFERROR(IF(VLOOKUP(A47,OFFSET($BN$2,,,COUNTIF($BN$2:$BN$11,"?*"),5),4,FALSE)&lt;&gt;0,VLOOKUP(A47,OFFSET($BN$2,,,COUNTIF($BN$2:$BN$11,"?*"),5),4,FALSE),"-"),"")</f>
        <v>stříbro a bronz z MS</v>
      </c>
      <c r="C48" s="365"/>
      <c r="D48" s="365"/>
      <c r="E48" s="365"/>
      <c r="F48" s="365"/>
      <c r="G48" s="365"/>
      <c r="H48" s="365"/>
      <c r="I48" s="366"/>
      <c r="J48" s="92">
        <f ca="1">IFERROR(VLOOKUP(J47,OFFSET($BN$2,,,COUNTIF($BN$2:$BN$11,"?*"),5),5,FALSE),"")</f>
        <v>26</v>
      </c>
      <c r="K48" s="369" t="str">
        <f ca="1">IFERROR(IF(VLOOKUP(J47,OFFSET($BN$2,,,COUNTIF($BN$2:$BN$11,"?*"),5),4,FALSE)&lt;&gt;0,VLOOKUP(J47,OFFSET($BN$2,,,COUNTIF($BN$2:$BN$11,"?*"),5),4,FALSE),"-"),"")</f>
        <v>-</v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 t="s">
        <v>257</v>
      </c>
      <c r="K49" s="372"/>
      <c r="L49" s="372"/>
      <c r="M49" s="372"/>
      <c r="N49" s="373" t="str">
        <f ca="1">IFERROR(VLOOKUP(J49,OFFSET($BN$2,,,COUNTIF($BN$2:$BN$11,"?*"),5),3,FALSE),"")</f>
        <v>kondiční trenér</v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92">
        <f ca="1">IFERROR(VLOOKUP(J49,OFFSET($BN$2,,,COUNTIF($BN$2:$BN$11,"?*"),5),5,FALSE),"")</f>
        <v>42</v>
      </c>
      <c r="K50" s="369" t="str">
        <f ca="1">IFERROR(IF(VLOOKUP(J49,OFFSET($BN$2,,,COUNTIF($BN$2:$BN$11,"?*"),5),4,FALSE)&lt;&gt;0,VLOOKUP(J49,OFFSET($BN$2,,,COUNTIF($BN$2:$BN$11,"?*"),5),4,FALSE),"-"),"")</f>
        <v>-</v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401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414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431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443</v>
      </c>
      <c r="BO2" s="122">
        <v>30091</v>
      </c>
      <c r="BP2" s="131" t="s">
        <v>260</v>
      </c>
      <c r="BQ2" s="132" t="s">
        <v>444</v>
      </c>
      <c r="BR2" s="127">
        <f ca="1">IF(BN2&lt;&gt;"",IF(BO2&lt;&gt;"",INT((TODAY()-BO2)/365),"?"),"")</f>
        <v>39</v>
      </c>
      <c r="BS2" s="376" t="s">
        <v>36</v>
      </c>
      <c r="BT2" s="104" t="s">
        <v>1099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75" t="s">
        <v>215</v>
      </c>
      <c r="BY2" s="103" t="s">
        <v>210</v>
      </c>
      <c r="BZ2" s="103" t="s">
        <v>974</v>
      </c>
      <c r="CA2" s="115" t="s">
        <v>1097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402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1</v>
      </c>
      <c r="AC3" s="102" t="str">
        <f t="shared" ca="1" si="0"/>
        <v>NE</v>
      </c>
      <c r="AG3" s="121" t="s">
        <v>409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432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-2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445</v>
      </c>
      <c r="BO3" s="122">
        <v>33197</v>
      </c>
      <c r="BP3" s="131" t="s">
        <v>194</v>
      </c>
      <c r="BQ3" s="132" t="s">
        <v>446</v>
      </c>
      <c r="BR3" s="127">
        <f t="shared" ref="BR3:BR11" ca="1" si="12">IF(BN3&lt;&gt;"",IF(BO3&lt;&gt;"",INT((TODAY()-BO3)/365),"?"),"")</f>
        <v>30</v>
      </c>
      <c r="BS3" s="376"/>
      <c r="BT3" s="104" t="s">
        <v>1100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75"/>
      <c r="BY3" s="103" t="s">
        <v>269</v>
      </c>
      <c r="BZ3" s="103" t="s">
        <v>1036</v>
      </c>
      <c r="CA3" s="115" t="s">
        <v>507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403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9</v>
      </c>
      <c r="AC4" s="102" t="str">
        <f t="shared" ca="1" si="0"/>
        <v>ANO</v>
      </c>
      <c r="AG4" s="121" t="s">
        <v>401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433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+3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447</v>
      </c>
      <c r="BO4" s="122">
        <v>30597</v>
      </c>
      <c r="BP4" s="131" t="s">
        <v>261</v>
      </c>
      <c r="BQ4" s="132" t="s">
        <v>448</v>
      </c>
      <c r="BR4" s="127">
        <f t="shared" ca="1" si="12"/>
        <v>38</v>
      </c>
      <c r="BS4" s="376"/>
      <c r="BT4" s="104" t="s">
        <v>921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75"/>
      <c r="BY4" s="103" t="s">
        <v>886</v>
      </c>
      <c r="BZ4" s="103" t="s">
        <v>966</v>
      </c>
      <c r="CA4" s="115" t="s">
        <v>916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406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7</v>
      </c>
      <c r="AC5" s="102" t="str">
        <f t="shared" ca="1" si="0"/>
        <v>NE</v>
      </c>
      <c r="AG5" s="121" t="s">
        <v>420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315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449</v>
      </c>
      <c r="BO5" s="122">
        <v>34618</v>
      </c>
      <c r="BP5" s="131" t="s">
        <v>450</v>
      </c>
      <c r="BQ5" s="132" t="s">
        <v>451</v>
      </c>
      <c r="BR5" s="127">
        <f t="shared" ca="1" si="12"/>
        <v>26</v>
      </c>
      <c r="BS5" s="376"/>
      <c r="BT5" s="104" t="s">
        <v>922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75"/>
      <c r="BY5" s="103" t="s">
        <v>207</v>
      </c>
      <c r="BZ5" s="103" t="s">
        <v>967</v>
      </c>
      <c r="CA5" s="115" t="s">
        <v>846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409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-2</v>
      </c>
      <c r="AC6" s="102" t="str">
        <f t="shared" ca="1" si="0"/>
        <v>ANO</v>
      </c>
      <c r="AG6" s="121" t="s">
        <v>421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434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452</v>
      </c>
      <c r="BO6" s="122">
        <v>33694</v>
      </c>
      <c r="BP6" s="131" t="s">
        <v>453</v>
      </c>
      <c r="BQ6" s="132"/>
      <c r="BR6" s="127">
        <f t="shared" ca="1" si="12"/>
        <v>29</v>
      </c>
      <c r="BS6" s="376"/>
      <c r="BT6" s="104" t="s">
        <v>847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75"/>
      <c r="BY6" s="103" t="s">
        <v>267</v>
      </c>
      <c r="BZ6" s="103" t="s">
        <v>969</v>
      </c>
      <c r="CA6" s="115" t="s">
        <v>456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404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405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431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+2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454</v>
      </c>
      <c r="BU7" s="103" t="s">
        <v>1101</v>
      </c>
      <c r="BV7" s="104" t="str">
        <f t="shared" si="13"/>
        <v>Lukáš Bauer</v>
      </c>
      <c r="BW7" s="112">
        <f t="shared" si="14"/>
        <v>3.36</v>
      </c>
      <c r="BX7" s="375" t="s">
        <v>216</v>
      </c>
      <c r="BY7" s="103" t="s">
        <v>211</v>
      </c>
      <c r="BZ7" s="103" t="s">
        <v>970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23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407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4</v>
      </c>
      <c r="AC8" s="102" t="str">
        <f t="shared" ca="1" si="0"/>
        <v>ANO</v>
      </c>
      <c r="AG8" s="121" t="s">
        <v>422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435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+4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455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75"/>
      <c r="BY8" s="103" t="s">
        <v>917</v>
      </c>
      <c r="BZ8" s="103" t="s">
        <v>976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410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5</v>
      </c>
      <c r="AC9" s="102" t="str">
        <f t="shared" ca="1" si="0"/>
        <v>ANO</v>
      </c>
      <c r="AG9" s="121" t="s">
        <v>423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878</v>
      </c>
      <c r="BZ9" s="103" t="s">
        <v>978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411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3</v>
      </c>
      <c r="AC10" s="102" t="str">
        <f t="shared" ca="1" si="0"/>
        <v>ANO</v>
      </c>
      <c r="AG10" s="121" t="s">
        <v>407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436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+4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1016</v>
      </c>
      <c r="CA10" s="115" t="s">
        <v>208</v>
      </c>
    </row>
    <row r="11" spans="1:79" ht="15" customHeight="1" thickTop="1" thickBot="1" x14ac:dyDescent="0.25">
      <c r="R11" s="13"/>
      <c r="S11" s="110" t="s">
        <v>422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4</v>
      </c>
      <c r="AC11" s="102" t="str">
        <f t="shared" ca="1" si="0"/>
        <v>ANO</v>
      </c>
      <c r="AG11" s="121" t="s">
        <v>424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436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972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413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2</v>
      </c>
      <c r="AC12" s="102" t="str">
        <f t="shared" ca="1" si="0"/>
        <v>ANO</v>
      </c>
      <c r="AG12" s="121" t="s">
        <v>280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1099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214</v>
      </c>
      <c r="BY12" s="100" t="s">
        <v>1098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405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2</v>
      </c>
      <c r="AC13" s="102" t="str">
        <f t="shared" ca="1" si="0"/>
        <v>ANO</v>
      </c>
      <c r="AG13" s="121" t="s">
        <v>417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437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0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1100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412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2</v>
      </c>
      <c r="AC14" s="102" t="str">
        <f t="shared" ca="1" si="0"/>
        <v>NE</v>
      </c>
      <c r="AG14" s="121" t="s">
        <v>425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374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1102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418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4</v>
      </c>
      <c r="AC15" s="102" t="str">
        <f t="shared" ca="1" si="0"/>
        <v>NE</v>
      </c>
      <c r="AG15" s="121" t="s">
        <v>426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920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5</v>
      </c>
      <c r="AC16" s="102" t="str">
        <f t="shared" ca="1" si="0"/>
        <v>NE</v>
      </c>
      <c r="AG16" s="121" t="s">
        <v>427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438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923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408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279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454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416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5</v>
      </c>
      <c r="AC18" s="102" t="str">
        <f t="shared" ca="1" si="0"/>
        <v>ANO</v>
      </c>
      <c r="AG18" s="121" t="s">
        <v>404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439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455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MB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915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234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437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419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428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440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411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374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+3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413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323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+2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1103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245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918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429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441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919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403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442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+9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1104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410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442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+5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1105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419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245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1106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430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245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1107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416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437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+5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1108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MB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408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437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1109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1110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414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419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775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780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789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75" t="s">
        <v>215</v>
      </c>
      <c r="BY2" s="103" t="s">
        <v>210</v>
      </c>
      <c r="BZ2" s="103" t="s">
        <v>969</v>
      </c>
      <c r="CA2" s="115" t="s">
        <v>1111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366</v>
      </c>
      <c r="T3" s="102" t="s">
        <v>64</v>
      </c>
      <c r="U3" s="102">
        <v>5</v>
      </c>
      <c r="V3" s="102">
        <v>4</v>
      </c>
      <c r="W3" s="102">
        <v>0</v>
      </c>
      <c r="X3" s="102">
        <v>0</v>
      </c>
      <c r="Y3" s="102">
        <v>9</v>
      </c>
      <c r="Z3" s="102">
        <v>13</v>
      </c>
      <c r="AA3" s="102">
        <v>0</v>
      </c>
      <c r="AB3" s="102">
        <v>11</v>
      </c>
      <c r="AC3" s="102" t="str">
        <f t="shared" ca="1" si="0"/>
        <v>ANO</v>
      </c>
      <c r="AG3" s="121" t="s">
        <v>528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1114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75"/>
      <c r="BY3" s="103" t="s">
        <v>209</v>
      </c>
      <c r="BZ3" s="103" t="s">
        <v>1059</v>
      </c>
      <c r="CA3" s="115" t="s">
        <v>1112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776</v>
      </c>
      <c r="T4" s="102" t="s">
        <v>121</v>
      </c>
      <c r="U4" s="102">
        <v>5</v>
      </c>
      <c r="V4" s="102">
        <v>4</v>
      </c>
      <c r="W4" s="102">
        <v>3</v>
      </c>
      <c r="X4" s="102">
        <v>0</v>
      </c>
      <c r="Y4" s="102">
        <v>9</v>
      </c>
      <c r="Z4" s="102">
        <v>13</v>
      </c>
      <c r="AA4" s="102">
        <v>0</v>
      </c>
      <c r="AB4" s="102">
        <v>4</v>
      </c>
      <c r="AC4" s="102" t="str">
        <f t="shared" ca="1" si="0"/>
        <v>ANO</v>
      </c>
      <c r="AG4" s="121" t="s">
        <v>784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857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75"/>
      <c r="BY4" s="103" t="s">
        <v>886</v>
      </c>
      <c r="BZ4" s="103" t="s">
        <v>1053</v>
      </c>
      <c r="CA4" s="115" t="s">
        <v>834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777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1115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75"/>
      <c r="BY5" s="103" t="s">
        <v>207</v>
      </c>
      <c r="BZ5" s="103" t="s">
        <v>1054</v>
      </c>
      <c r="CA5" s="115" t="s">
        <v>852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778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1116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75"/>
      <c r="BY6" s="103" t="s">
        <v>206</v>
      </c>
      <c r="BZ6" s="103" t="s">
        <v>1056</v>
      </c>
      <c r="CA6" s="115" t="s">
        <v>795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528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791</v>
      </c>
      <c r="BU7" s="103" t="s">
        <v>1117</v>
      </c>
      <c r="BV7" s="104" t="str">
        <f t="shared" si="13"/>
        <v>Jan Binder</v>
      </c>
      <c r="BW7" s="112">
        <f t="shared" si="14"/>
        <v>4.22</v>
      </c>
      <c r="BX7" s="375" t="s">
        <v>216</v>
      </c>
      <c r="BY7" s="103" t="s">
        <v>211</v>
      </c>
      <c r="BZ7" s="103" t="s">
        <v>1057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99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787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854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75"/>
      <c r="BY8" s="103" t="s">
        <v>820</v>
      </c>
      <c r="BZ8" s="103" t="s">
        <v>967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788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855</v>
      </c>
      <c r="BU9" s="103" t="s">
        <v>1118</v>
      </c>
      <c r="BV9" s="104" t="str">
        <f t="shared" si="13"/>
        <v>Jan Klinka</v>
      </c>
      <c r="BW9" s="112">
        <f t="shared" si="14"/>
        <v>7.17</v>
      </c>
      <c r="BX9" s="375"/>
      <c r="BY9" s="103" t="s">
        <v>878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783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781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1036</v>
      </c>
      <c r="CA10" s="115" t="s">
        <v>208</v>
      </c>
    </row>
    <row r="11" spans="1:79" ht="15" customHeight="1" thickTop="1" thickBot="1" x14ac:dyDescent="0.25">
      <c r="R11" s="13"/>
      <c r="S11" s="110" t="s">
        <v>786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974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783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789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214</v>
      </c>
      <c r="BY12" s="100" t="s">
        <v>1113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849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793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781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794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851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782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1115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850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1119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848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791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548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-2</v>
      </c>
      <c r="AC18" s="102" t="str">
        <f t="shared" ca="1" si="0"/>
        <v>ANO</v>
      </c>
      <c r="AG18" s="121" t="s">
        <v>785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792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OST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779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-3</v>
      </c>
      <c r="AC19" s="102" t="str">
        <f t="shared" ca="1" si="0"/>
        <v>ANO</v>
      </c>
      <c r="AG19" s="121" t="s">
        <v>548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853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782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780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856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363</v>
      </c>
      <c r="T23" s="102" t="s">
        <v>121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-6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790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924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858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1116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1120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793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1121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OST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1122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1123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780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848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781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508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527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549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27314</v>
      </c>
      <c r="BP2" s="131" t="s">
        <v>260</v>
      </c>
      <c r="BQ2" s="132"/>
      <c r="BR2" s="127">
        <f ca="1">IF(BN2&lt;&gt;"",IF(BO2&lt;&gt;"",INT((TODAY()-BO2)/365),"?"),"")</f>
        <v>47</v>
      </c>
      <c r="BS2" s="376" t="s">
        <v>36</v>
      </c>
      <c r="BT2" s="104" t="s">
        <v>571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75" t="s">
        <v>215</v>
      </c>
      <c r="BY2" s="103" t="s">
        <v>210</v>
      </c>
      <c r="BZ2" s="103" t="s">
        <v>998</v>
      </c>
      <c r="CA2" s="115" t="s">
        <v>1124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509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525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550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569</v>
      </c>
      <c r="BO3" s="122">
        <v>33731</v>
      </c>
      <c r="BP3" s="131" t="s">
        <v>261</v>
      </c>
      <c r="BQ3" s="132"/>
      <c r="BR3" s="127">
        <f t="shared" ref="BR3:BR11" ca="1" si="12">IF(BN3&lt;&gt;"",IF(BO3&lt;&gt;"",INT((TODAY()-BO3)/365),"?"),"")</f>
        <v>29</v>
      </c>
      <c r="BS3" s="376"/>
      <c r="BT3" s="104" t="s">
        <v>928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75"/>
      <c r="BY3" s="103" t="s">
        <v>269</v>
      </c>
      <c r="BZ3" s="103" t="s">
        <v>1015</v>
      </c>
      <c r="CA3" s="115" t="s">
        <v>1125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515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528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551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570</v>
      </c>
      <c r="BO4" s="122">
        <v>25991</v>
      </c>
      <c r="BP4" s="131" t="s">
        <v>194</v>
      </c>
      <c r="BQ4" s="132"/>
      <c r="BR4" s="127">
        <f t="shared" ca="1" si="12"/>
        <v>50</v>
      </c>
      <c r="BS4" s="376"/>
      <c r="BT4" s="104" t="s">
        <v>1128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75"/>
      <c r="BY4" s="103" t="s">
        <v>886</v>
      </c>
      <c r="BZ4" s="103" t="s">
        <v>1036</v>
      </c>
      <c r="CA4" s="115" t="s">
        <v>868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512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529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552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1129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75"/>
      <c r="BY5" s="103" t="s">
        <v>207</v>
      </c>
      <c r="BZ5" s="103" t="s">
        <v>1079</v>
      </c>
      <c r="CA5" s="115" t="s">
        <v>834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511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524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550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1130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75"/>
      <c r="BY6" s="103" t="s">
        <v>267</v>
      </c>
      <c r="BZ6" s="103" t="s">
        <v>1017</v>
      </c>
      <c r="CA6" s="115" t="s">
        <v>573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510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513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553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1131</v>
      </c>
      <c r="BU7" s="103" t="s">
        <v>983</v>
      </c>
      <c r="BV7" s="104" t="str">
        <f t="shared" si="13"/>
        <v>Adam Kohút</v>
      </c>
      <c r="BW7" s="112">
        <f t="shared" si="14"/>
        <v>6.08</v>
      </c>
      <c r="BX7" s="375" t="s">
        <v>216</v>
      </c>
      <c r="BY7" s="103" t="s">
        <v>270</v>
      </c>
      <c r="BZ7" s="103" t="s">
        <v>1126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100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518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530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554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1132</v>
      </c>
      <c r="BU8" s="103" t="s">
        <v>1133</v>
      </c>
      <c r="BV8" s="104" t="str">
        <f t="shared" si="13"/>
        <v>Kevin Majrich</v>
      </c>
      <c r="BW8" s="112">
        <f t="shared" si="14"/>
        <v>8.09</v>
      </c>
      <c r="BX8" s="375"/>
      <c r="BY8" s="103" t="s">
        <v>820</v>
      </c>
      <c r="BZ8" s="103" t="s">
        <v>997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513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531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555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1134</v>
      </c>
      <c r="BU9" s="103" t="s">
        <v>1135</v>
      </c>
      <c r="BV9" s="104" t="str">
        <f t="shared" si="13"/>
        <v>Miroslav Steiger</v>
      </c>
      <c r="BW9" s="112">
        <f t="shared" si="14"/>
        <v>11.1</v>
      </c>
      <c r="BX9" s="375"/>
      <c r="BY9" s="103" t="s">
        <v>878</v>
      </c>
      <c r="BZ9" s="103" t="s">
        <v>972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542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364</v>
      </c>
      <c r="AH10" s="122"/>
      <c r="AI10" s="123"/>
      <c r="AJ10" s="123"/>
      <c r="AK10" s="123"/>
      <c r="AL10" s="124">
        <f>IF(AG10&lt;&gt;"",AJ10+AK10,"")</f>
        <v>0</v>
      </c>
      <c r="AM10" s="123" t="s">
        <v>310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1057</v>
      </c>
      <c r="CA10" s="115" t="s">
        <v>208</v>
      </c>
    </row>
    <row r="11" spans="1:79" ht="15" customHeight="1" thickTop="1" thickBot="1" x14ac:dyDescent="0.25">
      <c r="R11" s="13"/>
      <c r="S11" s="110" t="s">
        <v>521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532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550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1056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525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518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556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571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214</v>
      </c>
      <c r="BY12" s="100" t="s">
        <v>1127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1139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533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555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928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524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534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557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1128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1138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412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1129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1140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535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555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1130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516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536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558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926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526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522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438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927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OTR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523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537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1134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519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559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520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521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560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522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538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555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859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512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561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860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519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515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562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1128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539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555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925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540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563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1136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541</v>
      </c>
      <c r="AH27" s="122"/>
      <c r="AI27" s="123"/>
      <c r="AJ27" s="123"/>
      <c r="AK27" s="123"/>
      <c r="AL27" s="124">
        <f>IF(AG27&lt;&gt;"",AJ27+AK27,"")</f>
        <v>0</v>
      </c>
      <c r="AM27" s="123" t="s">
        <v>310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572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542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555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861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543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564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929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OTR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544</v>
      </c>
      <c r="AH30" s="122"/>
      <c r="AI30" s="123"/>
      <c r="AJ30" s="123"/>
      <c r="AK30" s="123"/>
      <c r="AL30" s="124">
        <f>IF(AG30&lt;&gt;"",AJ30+AK30,"")</f>
        <v>0</v>
      </c>
      <c r="AM30" s="123" t="s">
        <v>310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1129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520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555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6"/>
      <c r="BT31" s="104" t="s">
        <v>1137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545</v>
      </c>
      <c r="AH32" s="122"/>
      <c r="AI32" s="123"/>
      <c r="AJ32" s="123"/>
      <c r="AK32" s="123"/>
      <c r="AL32" s="124">
        <f>IF(AG32&lt;&gt;"",AJ32+AK32,"")</f>
        <v>0</v>
      </c>
      <c r="AM32" s="123" t="s">
        <v>310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546</v>
      </c>
      <c r="AH33" s="122"/>
      <c r="AI33" s="123"/>
      <c r="AJ33" s="123"/>
      <c r="AK33" s="123"/>
      <c r="AL33" s="124">
        <f>IF(AG33&lt;&gt;"",AJ33+AK33,"")</f>
        <v>0</v>
      </c>
      <c r="AM33" s="123" t="s">
        <v>310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508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565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 t="s">
        <v>547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566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 t="s">
        <v>548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567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523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519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1138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799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810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6" t="s">
        <v>36</v>
      </c>
      <c r="BT2" s="104" t="s">
        <v>814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75" t="s">
        <v>215</v>
      </c>
      <c r="BY2" s="103" t="s">
        <v>210</v>
      </c>
      <c r="BZ2" s="103" t="s">
        <v>1056</v>
      </c>
      <c r="CA2" s="115" t="s">
        <v>869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653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-6</v>
      </c>
      <c r="AC3" s="102" t="str">
        <f t="shared" ca="1" si="0"/>
        <v>ANO</v>
      </c>
      <c r="AG3" s="121" t="s">
        <v>803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-4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6"/>
      <c r="BT3" s="104" t="s">
        <v>815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75"/>
      <c r="BY3" s="103" t="s">
        <v>269</v>
      </c>
      <c r="BZ3" s="103" t="s">
        <v>1057</v>
      </c>
      <c r="CA3" s="115" t="s">
        <v>217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811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6"/>
      <c r="BT4" s="104" t="s">
        <v>877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75"/>
      <c r="BY4" s="103" t="s">
        <v>886</v>
      </c>
      <c r="BZ4" s="103" t="s">
        <v>996</v>
      </c>
      <c r="CA4" s="115" t="s">
        <v>869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807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-9</v>
      </c>
      <c r="AC5" s="102" t="str">
        <f t="shared" ca="1" si="0"/>
        <v>ANO</v>
      </c>
      <c r="AG5" s="121" t="s">
        <v>798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-6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6"/>
      <c r="BT5" s="104" t="s">
        <v>930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75"/>
      <c r="BY5" s="103" t="s">
        <v>873</v>
      </c>
      <c r="BZ5" s="103" t="s">
        <v>978</v>
      </c>
      <c r="CA5" s="115" t="s">
        <v>795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805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804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0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6"/>
      <c r="BT6" s="104" t="s">
        <v>1142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75"/>
      <c r="BY6" s="103" t="s">
        <v>206</v>
      </c>
      <c r="BZ6" s="103" t="s">
        <v>976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803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-3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931</v>
      </c>
      <c r="BU7" s="103" t="s">
        <v>1143</v>
      </c>
      <c r="BV7" s="104" t="str">
        <f t="shared" si="13"/>
        <v>Karel Aubus</v>
      </c>
      <c r="BW7" s="112">
        <f t="shared" si="14"/>
        <v>5.12</v>
      </c>
      <c r="BX7" s="375" t="s">
        <v>216</v>
      </c>
      <c r="BY7" s="103" t="s">
        <v>270</v>
      </c>
      <c r="BZ7" s="103" t="s">
        <v>1015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802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0</v>
      </c>
      <c r="AB8" s="102">
        <v>-3</v>
      </c>
      <c r="AC8" s="102" t="str">
        <f t="shared" ca="1" si="0"/>
        <v>ANO</v>
      </c>
      <c r="AG8" s="121" t="s">
        <v>809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932</v>
      </c>
      <c r="BU8" s="103" t="s">
        <v>1144</v>
      </c>
      <c r="BV8" s="104" t="str">
        <f t="shared" si="13"/>
        <v>Martin Haleš</v>
      </c>
      <c r="BW8" s="112">
        <f t="shared" si="14"/>
        <v>8.81</v>
      </c>
      <c r="BX8" s="375"/>
      <c r="BY8" s="103" t="s">
        <v>820</v>
      </c>
      <c r="BZ8" s="103" t="s">
        <v>992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760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-3</v>
      </c>
      <c r="AC9" s="102" t="str">
        <f t="shared" ca="1" si="0"/>
        <v>ANO</v>
      </c>
      <c r="AG9" s="121" t="s">
        <v>807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-9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1145</v>
      </c>
      <c r="BU9" s="103" t="s">
        <v>201</v>
      </c>
      <c r="BV9" s="104" t="str">
        <f t="shared" si="13"/>
        <v>Matěj Denemark</v>
      </c>
      <c r="BW9" s="112">
        <f t="shared" si="14"/>
        <v>0</v>
      </c>
      <c r="BX9" s="375"/>
      <c r="BY9" s="103" t="s">
        <v>878</v>
      </c>
      <c r="BZ9" s="103" t="s">
        <v>1053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796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801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-3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1013</v>
      </c>
      <c r="CA10" s="115" t="s">
        <v>208</v>
      </c>
    </row>
    <row r="11" spans="1:79" ht="15" customHeight="1" thickTop="1" thickBot="1" x14ac:dyDescent="0.25">
      <c r="R11" s="13"/>
      <c r="S11" s="110" t="s">
        <v>800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-7</v>
      </c>
      <c r="AC11" s="102" t="str">
        <f t="shared" ca="1" si="0"/>
        <v>ANO</v>
      </c>
      <c r="AG11" s="121" t="s">
        <v>796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1126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798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800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-7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814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214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797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-4</v>
      </c>
      <c r="AC13" s="102" t="str">
        <f t="shared" ca="1" si="0"/>
        <v>ANO</v>
      </c>
      <c r="AG13" s="121" t="s">
        <v>797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-4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933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1156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811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1146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809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-4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1147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810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799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-9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1148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875</v>
      </c>
      <c r="T17" s="102" t="s">
        <v>64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NE</v>
      </c>
      <c r="AG17" s="121" t="s">
        <v>805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-4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812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876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653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-6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813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PAR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808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802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-3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1145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801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-3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806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6" t="s">
        <v>38</v>
      </c>
      <c r="BT22" s="104" t="s">
        <v>814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6"/>
      <c r="BT23" s="104" t="s">
        <v>935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6"/>
      <c r="BT24" s="104" t="s">
        <v>934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6"/>
      <c r="BT25" s="104" t="s">
        <v>1149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6"/>
      <c r="BT26" s="104" t="s">
        <v>1150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6" t="s">
        <v>39</v>
      </c>
      <c r="BT27" s="104" t="s">
        <v>1151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6"/>
      <c r="BT28" s="104" t="s">
        <v>1152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1153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PAR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1154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1155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810</v>
      </c>
      <c r="T45" s="102">
        <v>2</v>
      </c>
      <c r="U45" s="112">
        <v>82.1</v>
      </c>
      <c r="V45" s="102">
        <v>0</v>
      </c>
      <c r="W45" s="102">
        <v>7</v>
      </c>
      <c r="X45" s="102">
        <v>0</v>
      </c>
      <c r="Y45" s="102">
        <v>34</v>
      </c>
      <c r="Z45" s="102">
        <v>0</v>
      </c>
      <c r="AA45" s="102">
        <v>2</v>
      </c>
      <c r="AB45" s="102">
        <v>27</v>
      </c>
      <c r="AC45" s="102">
        <v>0</v>
      </c>
      <c r="AD45" s="102">
        <v>0</v>
      </c>
      <c r="AE45" s="112">
        <f>IF(S45&lt;&gt;"",IF(T45&gt;0,W45/(U45/60),0),"")</f>
        <v>5.1157125456760051</v>
      </c>
      <c r="AF45" s="112">
        <f>IF(S45&lt;&gt;"",IF(Y45&gt;0,(AB45/Y45)*100,"-"),"")</f>
        <v>79.411764705882348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808</v>
      </c>
      <c r="T46" s="102">
        <v>5</v>
      </c>
      <c r="U46" s="112">
        <v>217.9</v>
      </c>
      <c r="V46" s="102">
        <v>1</v>
      </c>
      <c r="W46" s="102">
        <v>32</v>
      </c>
      <c r="X46" s="102">
        <v>0</v>
      </c>
      <c r="Y46" s="102">
        <v>122</v>
      </c>
      <c r="Z46" s="102">
        <v>0</v>
      </c>
      <c r="AA46" s="102">
        <v>4</v>
      </c>
      <c r="AB46" s="102">
        <v>90</v>
      </c>
      <c r="AC46" s="102">
        <v>0</v>
      </c>
      <c r="AD46" s="102">
        <v>0</v>
      </c>
      <c r="AE46" s="112">
        <f t="shared" ref="AE46:AE50" si="25">IF(S46&lt;&gt;"",IF(T46&gt;0,W46/(U46/60),0),"")</f>
        <v>8.8113813675998163</v>
      </c>
      <c r="AF46" s="112">
        <f t="shared" ref="AF46:AF50" si="26">IF(S46&lt;&gt;"",IF(Y46&gt;0,(AB46/Y46)*100,"-"),"")</f>
        <v>73.770491803278688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1156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625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644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656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670</v>
      </c>
      <c r="BO2" s="122">
        <v>29384</v>
      </c>
      <c r="BP2" s="131" t="s">
        <v>260</v>
      </c>
      <c r="BQ2" s="132" t="s">
        <v>671</v>
      </c>
      <c r="BR2" s="127">
        <f ca="1">IF(BN2&lt;&gt;"",IF(BO2&lt;&gt;"",INT((TODAY()-BO2)/365),"?"),"")</f>
        <v>41</v>
      </c>
      <c r="BS2" s="376" t="s">
        <v>36</v>
      </c>
      <c r="BT2" s="104" t="s">
        <v>678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75" t="s">
        <v>215</v>
      </c>
      <c r="BY2" s="103" t="s">
        <v>210</v>
      </c>
      <c r="BZ2" s="103" t="s">
        <v>973</v>
      </c>
      <c r="CA2" s="115" t="s">
        <v>868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626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2</v>
      </c>
      <c r="AC3" s="102" t="str">
        <f t="shared" ca="1" si="0"/>
        <v>ANO</v>
      </c>
      <c r="AG3" s="121" t="s">
        <v>630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3 (1+2), +4 ±</v>
      </c>
      <c r="AY3" s="129" t="str">
        <f t="shared" ca="1" si="2"/>
        <v>132 OZ, 29 (10+19)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672</v>
      </c>
      <c r="BO3" s="122">
        <v>31166</v>
      </c>
      <c r="BP3" s="131" t="s">
        <v>261</v>
      </c>
      <c r="BQ3" s="132" t="s">
        <v>673</v>
      </c>
      <c r="BR3" s="127">
        <f t="shared" ref="BR3:BR11" ca="1" si="12">IF(BN3&lt;&gt;"",IF(BO3&lt;&gt;"",INT((TODAY()-BO3)/365),"?"),"")</f>
        <v>36</v>
      </c>
      <c r="BS3" s="376"/>
      <c r="BT3" s="104" t="s">
        <v>679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75"/>
      <c r="BY3" s="103" t="s">
        <v>269</v>
      </c>
      <c r="BZ3" s="103" t="s">
        <v>1079</v>
      </c>
      <c r="CA3" s="115" t="s">
        <v>1167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627</v>
      </c>
      <c r="U4" s="102">
        <v>5</v>
      </c>
      <c r="V4" s="102">
        <v>5</v>
      </c>
      <c r="W4" s="102">
        <v>1</v>
      </c>
      <c r="X4" s="102">
        <v>0</v>
      </c>
      <c r="Y4" s="102">
        <v>3</v>
      </c>
      <c r="Z4" s="102">
        <v>8</v>
      </c>
      <c r="AA4" s="102">
        <v>2</v>
      </c>
      <c r="AB4" s="102">
        <v>1</v>
      </c>
      <c r="AC4" s="102" t="str">
        <f t="shared" ca="1" si="0"/>
        <v>ANO</v>
      </c>
      <c r="AG4" s="121" t="s">
        <v>406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674</v>
      </c>
      <c r="BO4" s="122">
        <v>32564</v>
      </c>
      <c r="BP4" s="131" t="s">
        <v>261</v>
      </c>
      <c r="BQ4" s="132" t="s">
        <v>675</v>
      </c>
      <c r="BR4" s="127">
        <f t="shared" ca="1" si="12"/>
        <v>32</v>
      </c>
      <c r="BS4" s="376"/>
      <c r="BT4" s="104" t="s">
        <v>936</v>
      </c>
      <c r="BU4" s="103">
        <v>8</v>
      </c>
      <c r="BV4" s="104" t="str">
        <f t="shared" si="13"/>
        <v>Mikuláš Krbec</v>
      </c>
      <c r="BW4" s="102">
        <f t="shared" si="14"/>
        <v>8</v>
      </c>
      <c r="BX4" s="375"/>
      <c r="BY4" s="103" t="s">
        <v>886</v>
      </c>
      <c r="BZ4" s="103" t="s">
        <v>1017</v>
      </c>
      <c r="CA4" s="115" t="s">
        <v>832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629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0</v>
      </c>
      <c r="AC5" s="102" t="str">
        <f t="shared" ca="1" si="0"/>
        <v>ANO</v>
      </c>
      <c r="AG5" s="121" t="s">
        <v>640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658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33689</v>
      </c>
      <c r="BP5" s="131" t="s">
        <v>453</v>
      </c>
      <c r="BQ5" s="132"/>
      <c r="BR5" s="127">
        <f t="shared" ca="1" si="12"/>
        <v>29</v>
      </c>
      <c r="BS5" s="376"/>
      <c r="BT5" s="104" t="s">
        <v>680</v>
      </c>
      <c r="BU5" s="103">
        <v>8</v>
      </c>
      <c r="BV5" s="104" t="str">
        <f t="shared" si="13"/>
        <v>Jakub Kolstrunk</v>
      </c>
      <c r="BW5" s="102">
        <f t="shared" si="14"/>
        <v>8</v>
      </c>
      <c r="BX5" s="375"/>
      <c r="BY5" s="103" t="s">
        <v>207</v>
      </c>
      <c r="BZ5" s="103" t="s">
        <v>1126</v>
      </c>
      <c r="CA5" s="115" t="s">
        <v>862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628</v>
      </c>
      <c r="T6" s="102" t="s">
        <v>121</v>
      </c>
      <c r="U6" s="102">
        <v>5</v>
      </c>
      <c r="V6" s="102">
        <v>3</v>
      </c>
      <c r="W6" s="102">
        <v>1</v>
      </c>
      <c r="X6" s="102">
        <v>0</v>
      </c>
      <c r="Y6" s="102">
        <v>5</v>
      </c>
      <c r="Z6" s="102">
        <v>8</v>
      </c>
      <c r="AA6" s="102">
        <v>0</v>
      </c>
      <c r="AB6" s="102">
        <v>10</v>
      </c>
      <c r="AC6" s="102" t="str">
        <f t="shared" ca="1" si="0"/>
        <v>ANO</v>
      </c>
      <c r="AG6" s="121" t="s">
        <v>632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659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677</v>
      </c>
      <c r="BO6" s="122">
        <v>35048</v>
      </c>
      <c r="BP6" s="131" t="s">
        <v>194</v>
      </c>
      <c r="BQ6" s="132" t="s">
        <v>671</v>
      </c>
      <c r="BR6" s="127">
        <f t="shared" ca="1" si="12"/>
        <v>25</v>
      </c>
      <c r="BS6" s="376"/>
      <c r="BT6" s="104" t="s">
        <v>681</v>
      </c>
      <c r="BU6" s="103">
        <v>8</v>
      </c>
      <c r="BV6" s="104" t="str">
        <f t="shared" si="13"/>
        <v>Marek Zouzal</v>
      </c>
      <c r="BW6" s="102">
        <f t="shared" si="14"/>
        <v>8</v>
      </c>
      <c r="BX6" s="375"/>
      <c r="BY6" s="103" t="s">
        <v>206</v>
      </c>
      <c r="BZ6" s="103" t="s">
        <v>1013</v>
      </c>
      <c r="CA6" s="115" t="s">
        <v>684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632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645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682</v>
      </c>
      <c r="BU7" s="103" t="s">
        <v>1157</v>
      </c>
      <c r="BV7" s="104" t="str">
        <f t="shared" si="13"/>
        <v>Martin Beneš</v>
      </c>
      <c r="BW7" s="112">
        <f t="shared" si="14"/>
        <v>4.75</v>
      </c>
      <c r="BX7" s="375" t="s">
        <v>216</v>
      </c>
      <c r="BY7" s="103" t="s">
        <v>270</v>
      </c>
      <c r="BZ7" s="103" t="s">
        <v>1053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101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643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7</v>
      </c>
      <c r="AC8" s="102" t="str">
        <f t="shared" ca="1" si="0"/>
        <v>ANO</v>
      </c>
      <c r="AG8" s="121" t="s">
        <v>646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660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937</v>
      </c>
      <c r="BU8" s="103" t="s">
        <v>399</v>
      </c>
      <c r="BV8" s="104" t="str">
        <f t="shared" si="13"/>
        <v>Viktor Hejna</v>
      </c>
      <c r="BW8" s="112">
        <f t="shared" si="14"/>
        <v>4</v>
      </c>
      <c r="BX8" s="375"/>
      <c r="BY8" s="103" t="s">
        <v>820</v>
      </c>
      <c r="BZ8" s="103" t="s">
        <v>1015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641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9</v>
      </c>
      <c r="AC9" s="102" t="str">
        <f t="shared" ca="1" si="0"/>
        <v>ANO</v>
      </c>
      <c r="AG9" s="121" t="s">
        <v>633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0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878</v>
      </c>
      <c r="BZ9" s="103" t="s">
        <v>998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630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4</v>
      </c>
      <c r="AC10" s="102" t="str">
        <f t="shared" ca="1" si="0"/>
        <v>ANO</v>
      </c>
      <c r="AG10" s="121" t="s">
        <v>642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249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-1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1000</v>
      </c>
      <c r="BZ10" s="103" t="s">
        <v>997</v>
      </c>
      <c r="CA10" s="115" t="s">
        <v>208</v>
      </c>
    </row>
    <row r="11" spans="1:79" ht="15" customHeight="1" thickTop="1" thickBot="1" x14ac:dyDescent="0.25">
      <c r="R11" s="13"/>
      <c r="S11" s="110" t="s">
        <v>634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626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+2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996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633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637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661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678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214</v>
      </c>
      <c r="BY12" s="100" t="s">
        <v>1168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648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629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0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1158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636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1</v>
      </c>
      <c r="AC14" s="102" t="str">
        <f t="shared" ca="1" si="0"/>
        <v>ANO</v>
      </c>
      <c r="AG14" s="121" t="s">
        <v>647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310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683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637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648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662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-1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680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1166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627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663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8 (5+3), +1 ±</v>
      </c>
      <c r="AY16" s="129" t="str">
        <f t="shared" ca="1" si="2"/>
        <v>104 OZ, 150 (60+90)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681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631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641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322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682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638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638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249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937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SPA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635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649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NE</v>
      </c>
      <c r="AG20" s="121" t="s">
        <v>636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662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+1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642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 t="s">
        <v>650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664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640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634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665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-3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1159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651</v>
      </c>
      <c r="AH23" s="122"/>
      <c r="AI23" s="123"/>
      <c r="AJ23" s="123"/>
      <c r="AK23" s="123"/>
      <c r="AL23" s="124">
        <f>IF(AG23&lt;&gt;"",AJ23+AK23,"")</f>
        <v>0</v>
      </c>
      <c r="AM23" s="123" t="s">
        <v>310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679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1"/>
      <c r="AC24" s="102" t="str">
        <f t="shared" ca="1" si="0"/>
        <v/>
      </c>
      <c r="AG24" s="121" t="s">
        <v>652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666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1160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653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667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1161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654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668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1162</v>
      </c>
      <c r="BU26" s="103">
        <v>3</v>
      </c>
      <c r="BV26" s="104" t="str">
        <f t="shared" si="13"/>
        <v>Mikuláš Krbec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643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440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1163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655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669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679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628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249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1164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SPA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1161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1165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640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635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457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466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498</v>
      </c>
      <c r="BO2" s="122">
        <v>29164</v>
      </c>
      <c r="BP2" s="131" t="s">
        <v>193</v>
      </c>
      <c r="BQ2" s="132" t="s">
        <v>499</v>
      </c>
      <c r="BR2" s="127">
        <f ca="1">IF(BN2&lt;&gt;"",IF(BO2&lt;&gt;"",INT((TODAY()-BO2)/365),"?"),"")</f>
        <v>41</v>
      </c>
      <c r="BS2" s="376" t="s">
        <v>36</v>
      </c>
      <c r="BT2" s="104" t="s">
        <v>504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75" t="s">
        <v>215</v>
      </c>
      <c r="BY2" s="103" t="s">
        <v>210</v>
      </c>
      <c r="BZ2" s="103" t="s">
        <v>1017</v>
      </c>
      <c r="CA2" s="115" t="s">
        <v>868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461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10</v>
      </c>
      <c r="AC3" s="102" t="str">
        <f t="shared" ca="1" si="0"/>
        <v>NE</v>
      </c>
      <c r="AG3" s="121" t="s">
        <v>477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489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500</v>
      </c>
      <c r="BO3" s="122">
        <v>27190</v>
      </c>
      <c r="BP3" s="131" t="s">
        <v>333</v>
      </c>
      <c r="BQ3" s="132"/>
      <c r="BR3" s="127">
        <f t="shared" ref="BR3:BR11" ca="1" si="12">IF(BN3&lt;&gt;"",IF(BO3&lt;&gt;"",INT((TODAY()-BO3)/365),"?"),"")</f>
        <v>47</v>
      </c>
      <c r="BS3" s="376"/>
      <c r="BT3" s="104" t="s">
        <v>864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75"/>
      <c r="BY3" s="103" t="s">
        <v>269</v>
      </c>
      <c r="BZ3" s="103" t="s">
        <v>1126</v>
      </c>
      <c r="CA3" s="115" t="s">
        <v>1169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459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11</v>
      </c>
      <c r="AC4" s="102" t="str">
        <f t="shared" ca="1" si="0"/>
        <v>ANO</v>
      </c>
      <c r="AG4" s="121" t="s">
        <v>472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+7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501</v>
      </c>
      <c r="BO4" s="122"/>
      <c r="BP4" s="131" t="s">
        <v>194</v>
      </c>
      <c r="BQ4" s="132"/>
      <c r="BR4" s="127" t="str">
        <f t="shared" ca="1" si="12"/>
        <v>?</v>
      </c>
      <c r="BS4" s="376"/>
      <c r="BT4" s="104" t="s">
        <v>938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75"/>
      <c r="BY4" s="103" t="s">
        <v>886</v>
      </c>
      <c r="BZ4" s="103" t="s">
        <v>1013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460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-1</v>
      </c>
      <c r="AC5" s="102" t="str">
        <f t="shared" ca="1" si="0"/>
        <v>ANO</v>
      </c>
      <c r="AG5" s="121" t="s">
        <v>478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490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502</v>
      </c>
      <c r="BO5" s="122"/>
      <c r="BP5" s="131" t="s">
        <v>263</v>
      </c>
      <c r="BQ5" s="132"/>
      <c r="BR5" s="127" t="str">
        <f t="shared" ca="1" si="12"/>
        <v>?</v>
      </c>
      <c r="BS5" s="376"/>
      <c r="BT5" s="104" t="s">
        <v>1171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75"/>
      <c r="BY5" s="103" t="s">
        <v>207</v>
      </c>
      <c r="BZ5" s="103" t="s">
        <v>1059</v>
      </c>
      <c r="CA5" s="115" t="s">
        <v>825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464</v>
      </c>
      <c r="T6" s="102" t="s">
        <v>121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0</v>
      </c>
      <c r="AB6" s="102">
        <v>6</v>
      </c>
      <c r="AC6" s="102" t="str">
        <f t="shared" ca="1" si="0"/>
        <v>ANO</v>
      </c>
      <c r="AG6" s="121" t="s">
        <v>479</v>
      </c>
      <c r="AH6" s="122"/>
      <c r="AI6" s="123"/>
      <c r="AJ6" s="123"/>
      <c r="AK6" s="123"/>
      <c r="AL6" s="124">
        <f>IF(AG6&lt;&gt;"",AJ6+AK6,"")</f>
        <v>0</v>
      </c>
      <c r="AM6" s="123" t="s">
        <v>310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503</v>
      </c>
      <c r="BO6" s="122"/>
      <c r="BP6" s="131" t="s">
        <v>193</v>
      </c>
      <c r="BQ6" s="132"/>
      <c r="BR6" s="127" t="str">
        <f t="shared" ca="1" si="12"/>
        <v>?</v>
      </c>
      <c r="BS6" s="376"/>
      <c r="BT6" s="104" t="s">
        <v>939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75"/>
      <c r="BY6" s="103" t="s">
        <v>206</v>
      </c>
      <c r="BZ6" s="103" t="s">
        <v>992</v>
      </c>
      <c r="CA6" s="115" t="s">
        <v>507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466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505</v>
      </c>
      <c r="BU7" s="103" t="s">
        <v>1172</v>
      </c>
      <c r="BV7" s="104" t="str">
        <f t="shared" si="13"/>
        <v>Lukáš Kříž</v>
      </c>
      <c r="BW7" s="112">
        <f t="shared" si="14"/>
        <v>3.8</v>
      </c>
      <c r="BX7" s="375" t="s">
        <v>216</v>
      </c>
      <c r="BY7" s="103" t="s">
        <v>270</v>
      </c>
      <c r="BZ7" s="103" t="s">
        <v>993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94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472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464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+6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506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75"/>
      <c r="BY8" s="103" t="s">
        <v>878</v>
      </c>
      <c r="BZ8" s="103" t="s">
        <v>973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458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480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V9" s="104" t="str">
        <f t="shared" si="13"/>
        <v/>
      </c>
      <c r="BW9" s="112" t="str">
        <f t="shared" si="14"/>
        <v/>
      </c>
      <c r="BX9" s="375"/>
      <c r="BY9" s="103" t="s">
        <v>999</v>
      </c>
      <c r="BZ9" s="103" t="s">
        <v>1079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462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-1</v>
      </c>
      <c r="AC10" s="102" t="str">
        <f t="shared" ca="1" si="0"/>
        <v>ANO</v>
      </c>
      <c r="AG10" s="121" t="s">
        <v>460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491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V10" s="104" t="str">
        <f t="shared" si="13"/>
        <v/>
      </c>
      <c r="BW10" s="112" t="str">
        <f t="shared" si="14"/>
        <v/>
      </c>
      <c r="BX10" s="375"/>
      <c r="BY10" s="103" t="s">
        <v>975</v>
      </c>
      <c r="BZ10" s="103" t="s">
        <v>1015</v>
      </c>
      <c r="CA10" s="115" t="s">
        <v>208</v>
      </c>
    </row>
    <row r="11" spans="1:79" ht="15" customHeight="1" thickTop="1" thickBot="1" x14ac:dyDescent="0.25">
      <c r="R11" s="13"/>
      <c r="S11" s="110" t="s">
        <v>463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10</v>
      </c>
      <c r="AC11" s="102" t="str">
        <f t="shared" ca="1" si="0"/>
        <v>ANO</v>
      </c>
      <c r="AG11" s="121" t="s">
        <v>465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492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V11" s="104" t="str">
        <f t="shared" si="13"/>
        <v/>
      </c>
      <c r="BW11" s="112" t="str">
        <f t="shared" si="14"/>
        <v/>
      </c>
      <c r="BX11" s="375"/>
      <c r="BY11" s="103" t="s">
        <v>977</v>
      </c>
      <c r="BZ11" s="103" t="s">
        <v>998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475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481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504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214</v>
      </c>
      <c r="BY12" s="100" t="s">
        <v>1170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476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3</v>
      </c>
      <c r="AC13" s="102" t="str">
        <f t="shared" ca="1" si="0"/>
        <v>ANO</v>
      </c>
      <c r="AG13" s="121" t="s">
        <v>462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-1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864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467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2</v>
      </c>
      <c r="AC14" s="102" t="str">
        <f t="shared" ca="1" si="0"/>
        <v>ANO</v>
      </c>
      <c r="AG14" s="121" t="s">
        <v>468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489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+3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938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482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1171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1179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459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+11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939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1180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443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493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505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1181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463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320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+10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506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TAT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473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483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863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1</v>
      </c>
      <c r="AC20" s="102" t="str">
        <f t="shared" ca="1" si="0"/>
        <v>NE</v>
      </c>
      <c r="AG20" s="121" t="s">
        <v>467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+2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470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484</v>
      </c>
      <c r="AH21" s="122"/>
      <c r="AI21" s="123"/>
      <c r="AJ21" s="123"/>
      <c r="AK21" s="123"/>
      <c r="AL21" s="124">
        <f>IF(AG21&lt;&gt;"",AJ21+AK21,"")</f>
        <v>0</v>
      </c>
      <c r="AM21" s="123" t="s">
        <v>310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471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485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504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465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471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864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469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NE</v>
      </c>
      <c r="AG24" s="121" t="s">
        <v>474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494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1173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0" t="s">
        <v>474</v>
      </c>
      <c r="T25" s="102" t="s">
        <v>64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-2</v>
      </c>
      <c r="AC25" s="102" t="str">
        <f t="shared" ca="1" si="0"/>
        <v>ANO</v>
      </c>
      <c r="AG25" s="121" t="s">
        <v>458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320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1174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486</v>
      </c>
      <c r="AH26" s="122"/>
      <c r="AI26" s="123"/>
      <c r="AJ26" s="123"/>
      <c r="AK26" s="123"/>
      <c r="AL26" s="124">
        <f>IF(AG26&lt;&gt;"",AJ26+AK26,"")</f>
        <v>0</v>
      </c>
      <c r="AM26" s="123" t="s">
        <v>310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1175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473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495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940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476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496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+3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1176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 t="s">
        <v>487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310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6"/>
      <c r="BT29" s="104" t="s">
        <v>1173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TAT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 t="s">
        <v>488</v>
      </c>
      <c r="AH30" s="122"/>
      <c r="AI30" s="123"/>
      <c r="AJ30" s="123"/>
      <c r="AK30" s="123"/>
      <c r="AL30" s="124">
        <f>IF(AG30&lt;&gt;"",AJ30+AK30,"")</f>
        <v>0</v>
      </c>
      <c r="AM30" s="123" t="s">
        <v>310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6"/>
      <c r="BT30" s="104" t="s">
        <v>1177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354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497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6"/>
      <c r="BT31" s="104" t="s">
        <v>1178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465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469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7"/>
      <c r="B1" s="338"/>
      <c r="C1" s="338"/>
      <c r="D1" s="338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39" t="s">
        <v>1</v>
      </c>
      <c r="I1" s="339"/>
      <c r="J1" s="339"/>
      <c r="K1" s="339"/>
      <c r="M1" s="337"/>
      <c r="N1" s="338"/>
      <c r="O1" s="338"/>
      <c r="P1" s="338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0" t="str">
        <f ca="1">IFERROR(IF(VLOOKUP(A1,OFFSET($AG$2,,,COUNTIF($AG$2:$AG$50,"?*"),23),2,FALSE)&lt;&gt;0,YEAR(VLOOKUP(A1,OFFSET($AG$2,,,COUNTIF($AG$2:$AG$50,"?*"),23),2,FALSE)),""),"")</f>
        <v/>
      </c>
      <c r="C2" s="341"/>
      <c r="D2" s="117" t="str">
        <f ca="1">IFERROR(VLOOKUP(A1,OFFSET($AG$2,,,COUNTIF($AG$2:$AG$50,"?*"),23),15,FALSE),"")</f>
        <v/>
      </c>
      <c r="E2" s="331" t="str">
        <f ca="1">IFERROR(VLOOKUP(A1,OFFSET($AG$2,,,COUNTIF($AG$2:$AG$50,"?*"),23),16,FALSE),"")</f>
        <v/>
      </c>
      <c r="F2" s="332"/>
      <c r="M2" s="4" t="str">
        <f ca="1">IFERROR(IF(VLOOKUP(M1,OFFSET($AG$2,,,COUNTIF($AG$2:$AG$50,"?*"),23),10,FALSE)&lt;&gt;0,VLOOKUP(M1,OFFSET($AG$2,,,COUNTIF($AG$2:$AG$50,"?*"),23),10,FALSE),""),"")</f>
        <v/>
      </c>
      <c r="N2" s="340" t="str">
        <f ca="1">IFERROR(IF(VLOOKUP(M1,OFFSET($AG$2,,,COUNTIF($AG$2:$AG$50,"?*"),23),2,FALSE)&lt;&gt;0,YEAR(VLOOKUP(M1,OFFSET($AG$2,,,COUNTIF($AG$2:$AG$50,"?*"),23),2,FALSE)),""),"")</f>
        <v/>
      </c>
      <c r="O2" s="341"/>
      <c r="P2" s="117" t="str">
        <f ca="1">IFERROR(VLOOKUP(M1,OFFSET($AG$2,,,COUNTIF($AG$2:$AG$50,"?*"),23),15,FALSE),"")</f>
        <v/>
      </c>
      <c r="Q2" s="331" t="str">
        <f ca="1">IFERROR(VLOOKUP(M1,OFFSET($AG$2,,,COUNTIF($AG$2:$AG$50,"?*"),23),16,FALSE),"")</f>
        <v/>
      </c>
      <c r="R2" s="332"/>
      <c r="S2" s="110" t="s">
        <v>343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360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373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389</v>
      </c>
      <c r="BO2" s="122">
        <v>31830</v>
      </c>
      <c r="BP2" s="131" t="s">
        <v>260</v>
      </c>
      <c r="BQ2" s="132" t="s">
        <v>390</v>
      </c>
      <c r="BR2" s="127">
        <f ca="1">IF(BN2&lt;&gt;"",IF(BO2&lt;&gt;"",INT((TODAY()-BO2)/365),"?"),"")</f>
        <v>34</v>
      </c>
      <c r="BS2" s="376" t="s">
        <v>36</v>
      </c>
      <c r="BT2" s="104" t="s">
        <v>396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75" t="s">
        <v>215</v>
      </c>
      <c r="BY2" s="103" t="s">
        <v>210</v>
      </c>
      <c r="BZ2" s="103" t="s">
        <v>1016</v>
      </c>
      <c r="CA2" s="115" t="s">
        <v>1183</v>
      </c>
    </row>
    <row r="3" spans="1:79" ht="15" customHeight="1" thickTop="1" thickBot="1" x14ac:dyDescent="0.25">
      <c r="A3" s="333" t="str">
        <f ca="1">IFERROR(VLOOKUP(A1,OFFSET($AG$2,,,COUNTIF($AG$2:$AG$50,"?*"),23),18,FALSE),"")</f>
        <v/>
      </c>
      <c r="B3" s="334"/>
      <c r="C3" s="334"/>
      <c r="D3" s="335" t="str">
        <f ca="1">IFERROR(VLOOKUP(A1,OFFSET($AG$2,,,COUNTIF($AG$2:$AG$50,"?*"),23),19,FALSE),"")</f>
        <v/>
      </c>
      <c r="E3" s="335"/>
      <c r="F3" s="336"/>
      <c r="G3" s="337"/>
      <c r="H3" s="338"/>
      <c r="I3" s="338"/>
      <c r="J3" s="338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3" t="str">
        <f ca="1">IFERROR(VLOOKUP(M1,OFFSET($AG$2,,,COUNTIF($AG$2:$AG$50,"?*"),23),18,FALSE),"")</f>
        <v/>
      </c>
      <c r="N3" s="334"/>
      <c r="O3" s="334"/>
      <c r="P3" s="335" t="str">
        <f ca="1">IFERROR(VLOOKUP(M1,OFFSET($AG$2,,,COUNTIF($AG$2:$AG$50,"?*"),23),19,FALSE),"")</f>
        <v/>
      </c>
      <c r="Q3" s="335"/>
      <c r="R3" s="336"/>
      <c r="S3" s="110" t="s">
        <v>346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8</v>
      </c>
      <c r="AC3" s="102" t="str">
        <f t="shared" ca="1" si="0"/>
        <v>ANO</v>
      </c>
      <c r="AG3" s="121" t="s">
        <v>350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374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+5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391</v>
      </c>
      <c r="BO3" s="122">
        <v>33988</v>
      </c>
      <c r="BP3" s="131" t="s">
        <v>261</v>
      </c>
      <c r="BQ3" s="132"/>
      <c r="BR3" s="127">
        <f t="shared" ref="BR3:BR11" ca="1" si="12">IF(BN3&lt;&gt;"",IF(BO3&lt;&gt;"",INT((TODAY()-BO3)/365),"?"),"")</f>
        <v>28</v>
      </c>
      <c r="BS3" s="376"/>
      <c r="BT3" s="104" t="s">
        <v>1186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75"/>
      <c r="BY3" s="103" t="s">
        <v>269</v>
      </c>
      <c r="BZ3" s="103" t="s">
        <v>978</v>
      </c>
      <c r="CA3" s="115" t="s">
        <v>1184</v>
      </c>
    </row>
    <row r="4" spans="1:79" ht="15" customHeight="1" thickBot="1" x14ac:dyDescent="0.25">
      <c r="A4" s="342" t="str">
        <f ca="1">IFERROR(IF(VLOOKUP(A1,OFFSET($AG$2,,,COUNTIF($AG$2:$AG$50,"?*"),23),13,FALSE)&lt;&gt;0,VLOOKUP(A1,OFFSET($AG$2,,,COUNTIF($AG$2:$AG$50,"?*"),23),13,FALSE),"?"),"")</f>
        <v/>
      </c>
      <c r="B4" s="343"/>
      <c r="C4" s="344"/>
      <c r="D4" s="345" t="str">
        <f ca="1">IFERROR(IF(VLOOKUP(A1,OFFSET($AG$2,,,COUNTIF($AG$2:$AG$50,"?*"),23),14,FALSE)&lt;&gt;0,VLOOKUP(A1,OFFSET($AG$2,,,COUNTIF($AG$2:$AG$50,"?*"),23),14,FALSE),"?"),"")</f>
        <v/>
      </c>
      <c r="E4" s="346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0" t="str">
        <f ca="1">IFERROR(IF(VLOOKUP(G3,OFFSET($AG$2,,,COUNTIF($AG$2:$AG$50,"?*"),23),2,FALSE)&lt;&gt;0,YEAR(VLOOKUP(G3,OFFSET($AG$2,,,COUNTIF($AG$2:$AG$50,"?*"),23),2,FALSE)),""),"")</f>
        <v/>
      </c>
      <c r="I4" s="341"/>
      <c r="J4" s="117" t="str">
        <f ca="1">IFERROR(VLOOKUP(G3,OFFSET($AG$2,,,COUNTIF($AG$2:$AG$50,"?*"),23),15,FALSE),"")</f>
        <v/>
      </c>
      <c r="K4" s="331" t="str">
        <f ca="1">IFERROR(VLOOKUP(G3,OFFSET($AG$2,,,COUNTIF($AG$2:$AG$50,"?*"),23),16,FALSE),"")</f>
        <v/>
      </c>
      <c r="L4" s="332"/>
      <c r="M4" s="342" t="str">
        <f ca="1">IFERROR(IF(VLOOKUP(M1,OFFSET($AG$2,,,COUNTIF($AG$2:$AG$50,"?*"),23),13,FALSE)&lt;&gt;0,VLOOKUP(M1,OFFSET($AG$2,,,COUNTIF($AG$2:$AG$50,"?*"),23),13,FALSE),"?"),"")</f>
        <v/>
      </c>
      <c r="N4" s="343"/>
      <c r="O4" s="344"/>
      <c r="P4" s="345" t="str">
        <f ca="1">IFERROR(IF(VLOOKUP(M1,OFFSET($AG$2,,,COUNTIF($AG$2:$AG$50,"?*"),23),14,FALSE)&lt;&gt;0,VLOOKUP(M1,OFFSET($AG$2,,,COUNTIF($AG$2:$AG$50,"?*"),23),14,FALSE),"?"),"")</f>
        <v/>
      </c>
      <c r="Q4" s="346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344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10</v>
      </c>
      <c r="AC4" s="102" t="str">
        <f t="shared" ca="1" si="0"/>
        <v>ANO</v>
      </c>
      <c r="AG4" s="121" t="s">
        <v>345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+5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392</v>
      </c>
      <c r="BO4" s="122">
        <v>35289</v>
      </c>
      <c r="BP4" s="131" t="s">
        <v>393</v>
      </c>
      <c r="BQ4" s="132"/>
      <c r="BR4" s="127">
        <f t="shared" ca="1" si="12"/>
        <v>25</v>
      </c>
      <c r="BS4" s="376"/>
      <c r="BT4" s="104" t="s">
        <v>943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75"/>
      <c r="BY4" s="103" t="s">
        <v>886</v>
      </c>
      <c r="BZ4" s="103" t="s">
        <v>972</v>
      </c>
      <c r="CA4" s="115" t="s">
        <v>942</v>
      </c>
    </row>
    <row r="5" spans="1:79" ht="15" customHeight="1" thickTop="1" thickBot="1" x14ac:dyDescent="0.25">
      <c r="A5" s="8"/>
      <c r="B5" s="8"/>
      <c r="C5" s="8"/>
      <c r="D5" s="8"/>
      <c r="G5" s="333" t="str">
        <f ca="1">IFERROR(VLOOKUP(G3,OFFSET($AG$2,,,COUNTIF($AG$2:$AG$50,"?*"),23),18,FALSE),"")</f>
        <v/>
      </c>
      <c r="H5" s="334"/>
      <c r="I5" s="334"/>
      <c r="J5" s="335" t="str">
        <f ca="1">IFERROR(VLOOKUP(G3,OFFSET($AG$2,,,COUNTIF($AG$2:$AG$50,"?*"),23),19,FALSE),"")</f>
        <v/>
      </c>
      <c r="K5" s="335"/>
      <c r="L5" s="336"/>
      <c r="S5" s="110" t="s">
        <v>347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10</v>
      </c>
      <c r="AC5" s="102" t="str">
        <f t="shared" ca="1" si="0"/>
        <v>ANO</v>
      </c>
      <c r="AG5" s="121" t="s">
        <v>343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375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+8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394</v>
      </c>
      <c r="BO5" s="122">
        <v>24331</v>
      </c>
      <c r="BP5" s="131" t="s">
        <v>393</v>
      </c>
      <c r="BQ5" s="132"/>
      <c r="BR5" s="127">
        <f t="shared" ca="1" si="12"/>
        <v>55</v>
      </c>
      <c r="BS5" s="376"/>
      <c r="BT5" s="104" t="s">
        <v>1187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75"/>
      <c r="BY5" s="103" t="s">
        <v>207</v>
      </c>
      <c r="BZ5" s="103" t="s">
        <v>1015</v>
      </c>
      <c r="CA5" s="115" t="s">
        <v>866</v>
      </c>
    </row>
    <row r="6" spans="1:79" ht="15" customHeight="1" thickTop="1" thickBot="1" x14ac:dyDescent="0.25">
      <c r="A6" s="337"/>
      <c r="B6" s="338"/>
      <c r="C6" s="338"/>
      <c r="D6" s="338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2" t="str">
        <f ca="1">IFERROR(IF(VLOOKUP(G3,OFFSET($AG$2,,,COUNTIF($AG$2:$AG$50,"?*"),23),13,FALSE)&lt;&gt;0,VLOOKUP(G3,OFFSET($AG$2,,,COUNTIF($AG$2:$AG$50,"?*"),23),13,FALSE),"?"),"")</f>
        <v/>
      </c>
      <c r="H6" s="343"/>
      <c r="I6" s="344"/>
      <c r="J6" s="345" t="str">
        <f ca="1">IFERROR(IF(VLOOKUP(G3,OFFSET($AG$2,,,COUNTIF($AG$2:$AG$50,"?*"),23),14,FALSE)&lt;&gt;0,VLOOKUP(G3,OFFSET($AG$2,,,COUNTIF($AG$2:$AG$50,"?*"),23),14,FALSE),"?"),"")</f>
        <v/>
      </c>
      <c r="K6" s="346"/>
      <c r="L6" s="7" t="str">
        <f ca="1">IFERROR(IF(VLOOKUP(G3,OFFSET($AG$2,,,COUNTIF($AG$2:$AG$50,"?*"),23),7,FALSE)&lt;&gt;0,VLOOKUP(G3,OFFSET($AG$2,,,COUNTIF($AG$2:$AG$50,"?*"),23),7,FALSE),"?"),"")</f>
        <v/>
      </c>
      <c r="M6" s="337"/>
      <c r="N6" s="338"/>
      <c r="O6" s="338"/>
      <c r="P6" s="338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350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5</v>
      </c>
      <c r="AC6" s="102" t="str">
        <f t="shared" ca="1" si="0"/>
        <v>ANO</v>
      </c>
      <c r="AG6" s="121" t="s">
        <v>344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374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+10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395</v>
      </c>
      <c r="BO6" s="122">
        <v>31439</v>
      </c>
      <c r="BP6" s="131" t="s">
        <v>194</v>
      </c>
      <c r="BQ6" s="132"/>
      <c r="BR6" s="127">
        <f t="shared" ca="1" si="12"/>
        <v>35</v>
      </c>
      <c r="BS6" s="376"/>
      <c r="BT6" s="104" t="s">
        <v>400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75"/>
      <c r="BY6" s="103" t="s">
        <v>206</v>
      </c>
      <c r="BZ6" s="103" t="s">
        <v>973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0" t="str">
        <f ca="1">IFERROR(IF(VLOOKUP(A6,OFFSET($AG$2,,,COUNTIF($AG$2:$AG$50,"?*"),23),2,FALSE)&lt;&gt;0,YEAR(VLOOKUP(A6,OFFSET($AG$2,,,COUNTIF($AG$2:$AG$50,"?*"),23),2,FALSE)),""),"")</f>
        <v/>
      </c>
      <c r="C7" s="341"/>
      <c r="D7" s="117" t="str">
        <f ca="1">IFERROR(VLOOKUP(A6,OFFSET($AG$2,,,COUNTIF($AG$2:$AG$50,"?*"),23),15,FALSE),"")</f>
        <v/>
      </c>
      <c r="E7" s="331" t="str">
        <f ca="1">IFERROR(VLOOKUP(A6,OFFSET($AG$2,,,COUNTIF($AG$2:$AG$50,"?*"),23),16,FALSE),"")</f>
        <v/>
      </c>
      <c r="F7" s="332"/>
      <c r="M7" s="4" t="str">
        <f ca="1">IFERROR(IF(VLOOKUP(M6,OFFSET($AG$2,,,COUNTIF($AG$2:$AG$50,"?*"),23),10,FALSE)&lt;&gt;0,VLOOKUP(M6,OFFSET($AG$2,,,COUNTIF($AG$2:$AG$50,"?*"),23),10,FALSE),""),"")</f>
        <v/>
      </c>
      <c r="N7" s="340" t="str">
        <f ca="1">IFERROR(IF(VLOOKUP(M6,OFFSET($AG$2,,,COUNTIF($AG$2:$AG$50,"?*"),23),2,FALSE)&lt;&gt;0,YEAR(VLOOKUP(M6,OFFSET($AG$2,,,COUNTIF($AG$2:$AG$50,"?*"),23),2,FALSE)),""),"")</f>
        <v/>
      </c>
      <c r="O7" s="341"/>
      <c r="P7" s="117" t="str">
        <f ca="1">IFERROR(VLOOKUP(M6,OFFSET($AG$2,,,COUNTIF($AG$2:$AG$50,"?*"),23),15,FALSE),"")</f>
        <v/>
      </c>
      <c r="Q7" s="331" t="str">
        <f ca="1">IFERROR(VLOOKUP(M6,OFFSET($AG$2,,,COUNTIF($AG$2:$AG$50,"?*"),23),16,FALSE),"")</f>
        <v/>
      </c>
      <c r="R7" s="332"/>
      <c r="S7" s="110" t="s">
        <v>348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2</v>
      </c>
      <c r="AC7" s="102" t="str">
        <f t="shared" ca="1" si="0"/>
        <v>NE</v>
      </c>
      <c r="AG7" s="121" t="s">
        <v>362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376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6" t="s">
        <v>40</v>
      </c>
      <c r="BT7" s="104" t="s">
        <v>398</v>
      </c>
      <c r="BU7" s="103" t="s">
        <v>1188</v>
      </c>
      <c r="BV7" s="104" t="str">
        <f t="shared" si="13"/>
        <v>Denis Jasiok</v>
      </c>
      <c r="BW7" s="112">
        <f t="shared" si="14"/>
        <v>4.0599999999999996</v>
      </c>
      <c r="BX7" s="375" t="s">
        <v>216</v>
      </c>
      <c r="BY7" s="103" t="s">
        <v>211</v>
      </c>
      <c r="BZ7" s="103" t="s">
        <v>1079</v>
      </c>
      <c r="CA7" s="115" t="s">
        <v>208</v>
      </c>
    </row>
    <row r="8" spans="1:79" ht="15" customHeight="1" x14ac:dyDescent="0.2">
      <c r="A8" s="333" t="str">
        <f ca="1">IFERROR(VLOOKUP(A6,OFFSET($AG$2,,,COUNTIF($AG$2:$AG$50,"?*"),23),18,FALSE),"")</f>
        <v/>
      </c>
      <c r="B8" s="334"/>
      <c r="C8" s="334"/>
      <c r="D8" s="335" t="str">
        <f ca="1">IFERROR(VLOOKUP(A6,OFFSET($AG$2,,,COUNTIF($AG$2:$AG$50,"?*"),23),19,FALSE),"")</f>
        <v/>
      </c>
      <c r="E8" s="335"/>
      <c r="F8" s="336"/>
      <c r="H8" s="347" t="s">
        <v>96</v>
      </c>
      <c r="I8" s="347"/>
      <c r="J8" s="347"/>
      <c r="K8" s="347"/>
      <c r="M8" s="333" t="str">
        <f ca="1">IFERROR(VLOOKUP(M6,OFFSET($AG$2,,,COUNTIF($AG$2:$AG$50,"?*"),23),18,FALSE),"")</f>
        <v/>
      </c>
      <c r="N8" s="334"/>
      <c r="O8" s="334"/>
      <c r="P8" s="335" t="str">
        <f ca="1">IFERROR(VLOOKUP(M6,OFFSET($AG$2,,,COUNTIF($AG$2:$AG$50,"?*"),23),19,FALSE),"")</f>
        <v/>
      </c>
      <c r="Q8" s="335"/>
      <c r="R8" s="336"/>
      <c r="S8" s="110" t="s">
        <v>345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5</v>
      </c>
      <c r="AC8" s="102" t="str">
        <f t="shared" ca="1" si="0"/>
        <v>ANO</v>
      </c>
      <c r="AG8" s="121" t="s">
        <v>353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377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+2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6"/>
      <c r="BT8" s="104" t="s">
        <v>1189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75"/>
      <c r="BY8" s="103" t="s">
        <v>917</v>
      </c>
      <c r="BZ8" s="103" t="s">
        <v>1057</v>
      </c>
      <c r="CA8" s="115" t="s">
        <v>208</v>
      </c>
    </row>
    <row r="9" spans="1:79" ht="15" customHeight="1" thickBot="1" x14ac:dyDescent="0.25">
      <c r="A9" s="342" t="str">
        <f ca="1">IFERROR(IF(VLOOKUP(A6,OFFSET($AG$2,,,COUNTIF($AG$2:$AG$50,"?*"),23),13,FALSE)&lt;&gt;0,VLOOKUP(A6,OFFSET($AG$2,,,COUNTIF($AG$2:$AG$50,"?*"),23),13,FALSE),"?"),"")</f>
        <v/>
      </c>
      <c r="B9" s="343"/>
      <c r="C9" s="344"/>
      <c r="D9" s="345" t="str">
        <f ca="1">IFERROR(IF(VLOOKUP(A6,OFFSET($AG$2,,,COUNTIF($AG$2:$AG$50,"?*"),23),14,FALSE)&lt;&gt;0,VLOOKUP(A6,OFFSET($AG$2,,,COUNTIF($AG$2:$AG$50,"?*"),23),14,FALSE),"?"),"")</f>
        <v/>
      </c>
      <c r="E9" s="346"/>
      <c r="F9" s="7" t="str">
        <f ca="1">IFERROR(IF(VLOOKUP(A6,OFFSET($AG$2,,,COUNTIF($AG$2:$AG$50,"?*"),23),7,FALSE)&lt;&gt;0,VLOOKUP(A6,OFFSET($AG$2,,,COUNTIF($AG$2:$AG$50,"?*"),23),7,FALSE),"?"),"")</f>
        <v/>
      </c>
      <c r="H9" s="347"/>
      <c r="I9" s="347"/>
      <c r="J9" s="347"/>
      <c r="K9" s="347"/>
      <c r="M9" s="342" t="str">
        <f ca="1">IFERROR(IF(VLOOKUP(M6,OFFSET($AG$2,,,COUNTIF($AG$2:$AG$50,"?*"),23),13,FALSE)&lt;&gt;0,VLOOKUP(M6,OFFSET($AG$2,,,COUNTIF($AG$2:$AG$50,"?*"),23),13,FALSE),"?"),"")</f>
        <v/>
      </c>
      <c r="N9" s="343"/>
      <c r="O9" s="344"/>
      <c r="P9" s="345" t="str">
        <f ca="1">IFERROR(IF(VLOOKUP(M6,OFFSET($AG$2,,,COUNTIF($AG$2:$AG$50,"?*"),23),14,FALSE)&lt;&gt;0,VLOOKUP(M6,OFFSET($AG$2,,,COUNTIF($AG$2:$AG$50,"?*"),23),14,FALSE),"?"),"")</f>
        <v/>
      </c>
      <c r="Q9" s="346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351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8</v>
      </c>
      <c r="AC9" s="102" t="str">
        <f t="shared" ca="1" si="0"/>
        <v>ANO</v>
      </c>
      <c r="AG9" s="121" t="s">
        <v>351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374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+8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6"/>
      <c r="BT9" s="104" t="s">
        <v>1190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75"/>
      <c r="BY9" s="103" t="s">
        <v>878</v>
      </c>
      <c r="BZ9" s="103" t="s">
        <v>1056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349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4</v>
      </c>
      <c r="AC10" s="102" t="str">
        <f t="shared" ca="1" si="0"/>
        <v>NE</v>
      </c>
      <c r="AG10" s="121" t="s">
        <v>363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315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6"/>
      <c r="BT10" s="104" t="s">
        <v>1191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75"/>
      <c r="BY10" s="103" t="s">
        <v>975</v>
      </c>
      <c r="BZ10" s="103" t="s">
        <v>1054</v>
      </c>
      <c r="CA10" s="115" t="s">
        <v>208</v>
      </c>
    </row>
    <row r="11" spans="1:79" ht="15" customHeight="1" thickTop="1" thickBot="1" x14ac:dyDescent="0.25">
      <c r="R11" s="13"/>
      <c r="S11" s="110" t="s">
        <v>354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9</v>
      </c>
      <c r="AC11" s="102" t="str">
        <f t="shared" ca="1" si="0"/>
        <v>NE</v>
      </c>
      <c r="AG11" s="121" t="s">
        <v>364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378</v>
      </c>
      <c r="AT11" s="123"/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6"/>
      <c r="BT11" s="104" t="s">
        <v>1192</v>
      </c>
      <c r="BU11" s="103" t="s">
        <v>1193</v>
      </c>
      <c r="BV11" s="104" t="str">
        <f t="shared" si="13"/>
        <v>Lukáš Souček</v>
      </c>
      <c r="BW11" s="112">
        <f t="shared" si="14"/>
        <v>3</v>
      </c>
      <c r="BX11" s="375"/>
      <c r="BY11" s="103" t="s">
        <v>977</v>
      </c>
      <c r="BZ11" s="103" t="s">
        <v>1053</v>
      </c>
      <c r="CA11" s="115" t="s">
        <v>208</v>
      </c>
    </row>
    <row r="12" spans="1:79" ht="15" customHeight="1" thickTop="1" thickBot="1" x14ac:dyDescent="0.25">
      <c r="A12" s="337"/>
      <c r="B12" s="338"/>
      <c r="C12" s="338"/>
      <c r="D12" s="338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39" t="s">
        <v>7</v>
      </c>
      <c r="I12" s="339"/>
      <c r="J12" s="339"/>
      <c r="K12" s="339"/>
      <c r="M12" s="337"/>
      <c r="N12" s="338"/>
      <c r="O12" s="338"/>
      <c r="P12" s="338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360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8</v>
      </c>
      <c r="AC12" s="102" t="str">
        <f t="shared" ca="1" si="0"/>
        <v>ANO</v>
      </c>
      <c r="AG12" s="121" t="s">
        <v>357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379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6" t="s">
        <v>37</v>
      </c>
      <c r="BT12" s="104" t="s">
        <v>396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214</v>
      </c>
      <c r="BY12" s="100" t="s">
        <v>1185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0" t="str">
        <f ca="1">IFERROR(IF(VLOOKUP(A12,OFFSET($AG$2,,,COUNTIF($AG$2:$AG$50,"?*"),23),2,FALSE)&lt;&gt;0,YEAR(VLOOKUP(A12,OFFSET($AG$2,,,COUNTIF($AG$2:$AG$50,"?*"),23),2,FALSE)),""),"")</f>
        <v/>
      </c>
      <c r="C13" s="341"/>
      <c r="D13" s="117" t="str">
        <f ca="1">IFERROR(VLOOKUP(A12,OFFSET($AG$2,,,COUNTIF($AG$2:$AG$50,"?*"),23),15,FALSE),"")</f>
        <v/>
      </c>
      <c r="E13" s="331" t="str">
        <f ca="1">IFERROR(VLOOKUP(A12,OFFSET($AG$2,,,COUNTIF($AG$2:$AG$50,"?*"),23),16,FALSE),"")</f>
        <v/>
      </c>
      <c r="F13" s="332"/>
      <c r="M13" s="4" t="str">
        <f ca="1">IFERROR(IF(VLOOKUP(M12,OFFSET($AG$2,,,COUNTIF($AG$2:$AG$50,"?*"),23),10,FALSE)&lt;&gt;0,VLOOKUP(M12,OFFSET($AG$2,,,COUNTIF($AG$2:$AG$50,"?*"),23),10,FALSE),""),"")</f>
        <v/>
      </c>
      <c r="N13" s="340" t="str">
        <f ca="1">IFERROR(IF(VLOOKUP(M12,OFFSET($AG$2,,,COUNTIF($AG$2:$AG$50,"?*"),23),2,FALSE)&lt;&gt;0,YEAR(VLOOKUP(M12,OFFSET($AG$2,,,COUNTIF($AG$2:$AG$50,"?*"),23),2,FALSE)),""),"")</f>
        <v/>
      </c>
      <c r="O13" s="341"/>
      <c r="P13" s="117" t="str">
        <f ca="1">IFERROR(VLOOKUP(M12,OFFSET($AG$2,,,COUNTIF($AG$2:$AG$50,"?*"),23),15,FALSE),"")</f>
        <v/>
      </c>
      <c r="Q13" s="331" t="str">
        <f ca="1">IFERROR(VLOOKUP(M12,OFFSET($AG$2,,,COUNTIF($AG$2:$AG$50,"?*"),23),16,FALSE),"")</f>
        <v/>
      </c>
      <c r="R13" s="332"/>
      <c r="S13" s="110" t="s">
        <v>352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9</v>
      </c>
      <c r="AC13" s="102" t="str">
        <f t="shared" ca="1" si="0"/>
        <v>ANO</v>
      </c>
      <c r="AG13" s="121" t="s">
        <v>365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380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6"/>
      <c r="BT13" s="104" t="s">
        <v>1194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33" t="str">
        <f ca="1">IFERROR(VLOOKUP(A12,OFFSET($AG$2,,,COUNTIF($AG$2:$AG$50,"?*"),23),18,FALSE),"")</f>
        <v/>
      </c>
      <c r="B14" s="334"/>
      <c r="C14" s="334"/>
      <c r="D14" s="335" t="str">
        <f ca="1">IFERROR(VLOOKUP(A12,OFFSET($AG$2,,,COUNTIF($AG$2:$AG$50,"?*"),23),19,FALSE),"")</f>
        <v/>
      </c>
      <c r="E14" s="335"/>
      <c r="F14" s="336"/>
      <c r="G14" s="337"/>
      <c r="H14" s="338"/>
      <c r="I14" s="338"/>
      <c r="J14" s="338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3" t="str">
        <f ca="1">IFERROR(VLOOKUP(M12,OFFSET($AG$2,,,COUNTIF($AG$2:$AG$50,"?*"),23),18,FALSE),"")</f>
        <v/>
      </c>
      <c r="N14" s="334"/>
      <c r="O14" s="334"/>
      <c r="P14" s="335" t="str">
        <f ca="1">IFERROR(VLOOKUP(M12,OFFSET($AG$2,,,COUNTIF($AG$2:$AG$50,"?*"),23),19,FALSE),"")</f>
        <v/>
      </c>
      <c r="Q14" s="335"/>
      <c r="R14" s="336"/>
      <c r="S14" s="110" t="s">
        <v>865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-1</v>
      </c>
      <c r="AC14" s="102" t="str">
        <f t="shared" ca="1" si="0"/>
        <v>NE</v>
      </c>
      <c r="AG14" s="121" t="s">
        <v>361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381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+2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6"/>
      <c r="BT14" s="104" t="s">
        <v>1195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42" t="str">
        <f ca="1">IFERROR(IF(VLOOKUP(A12,OFFSET($AG$2,,,COUNTIF($AG$2:$AG$50,"?*"),23),13,FALSE)&lt;&gt;0,VLOOKUP(A12,OFFSET($AG$2,,,COUNTIF($AG$2:$AG$50,"?*"),23),13,FALSE),"?"),"")</f>
        <v/>
      </c>
      <c r="B15" s="343"/>
      <c r="C15" s="344"/>
      <c r="D15" s="345" t="str">
        <f ca="1">IFERROR(IF(VLOOKUP(A12,OFFSET($AG$2,,,COUNTIF($AG$2:$AG$50,"?*"),23),14,FALSE)&lt;&gt;0,VLOOKUP(A12,OFFSET($AG$2,,,COUNTIF($AG$2:$AG$50,"?*"),23),14,FALSE),"?"),"")</f>
        <v/>
      </c>
      <c r="E15" s="346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0" t="str">
        <f ca="1">IFERROR(IF(VLOOKUP(G14,OFFSET($AG$2,,,COUNTIF($AG$2:$AG$50,"?*"),23),2,FALSE)&lt;&gt;0,YEAR(VLOOKUP(G14,OFFSET($AG$2,,,COUNTIF($AG$2:$AG$50,"?*"),23),2,FALSE)),""),"")</f>
        <v/>
      </c>
      <c r="I15" s="341"/>
      <c r="J15" s="117" t="str">
        <f ca="1">IFERROR(VLOOKUP(G14,OFFSET($AG$2,,,COUNTIF($AG$2:$AG$50,"?*"),23),15,FALSE),"")</f>
        <v/>
      </c>
      <c r="K15" s="331" t="str">
        <f ca="1">IFERROR(VLOOKUP(G14,OFFSET($AG$2,,,COUNTIF($AG$2:$AG$50,"?*"),23),16,FALSE),"")</f>
        <v/>
      </c>
      <c r="L15" s="332"/>
      <c r="M15" s="342" t="str">
        <f ca="1">IFERROR(IF(VLOOKUP(M12,OFFSET($AG$2,,,COUNTIF($AG$2:$AG$50,"?*"),23),13,FALSE)&lt;&gt;0,VLOOKUP(M12,OFFSET($AG$2,,,COUNTIF($AG$2:$AG$50,"?*"),23),13,FALSE),"?"),"")</f>
        <v/>
      </c>
      <c r="N15" s="343"/>
      <c r="O15" s="344"/>
      <c r="P15" s="345" t="str">
        <f ca="1">IFERROR(IF(VLOOKUP(M12,OFFSET($AG$2,,,COUNTIF($AG$2:$AG$50,"?*"),23),14,FALSE)&lt;&gt;0,VLOOKUP(M12,OFFSET($AG$2,,,COUNTIF($AG$2:$AG$50,"?*"),23),14,FALSE),"?"),"")</f>
        <v/>
      </c>
      <c r="Q15" s="346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361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2</v>
      </c>
      <c r="AC15" s="102" t="str">
        <f t="shared" ca="1" si="0"/>
        <v>ANO</v>
      </c>
      <c r="AG15" s="121" t="s">
        <v>366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382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6"/>
      <c r="BT15" s="104" t="s">
        <v>397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3" t="str">
        <f ca="1">IFERROR(VLOOKUP(G14,OFFSET($AG$2,,,COUNTIF($AG$2:$AG$50,"?*"),23),18,FALSE),"")</f>
        <v/>
      </c>
      <c r="H16" s="334"/>
      <c r="I16" s="334"/>
      <c r="J16" s="335" t="str">
        <f ca="1">IFERROR(VLOOKUP(G14,OFFSET($AG$2,,,COUNTIF($AG$2:$AG$50,"?*"),23),19,FALSE),"")</f>
        <v/>
      </c>
      <c r="K16" s="335"/>
      <c r="L16" s="336"/>
      <c r="S16" s="110" t="s">
        <v>355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367</v>
      </c>
      <c r="AH16" s="122"/>
      <c r="AI16" s="123"/>
      <c r="AJ16" s="123"/>
      <c r="AK16" s="123"/>
      <c r="AL16" s="124">
        <f>IF(AG16&lt;&gt;"",AJ16+AK16,"")</f>
        <v>0</v>
      </c>
      <c r="AM16" s="123" t="s">
        <v>310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6"/>
      <c r="BT16" s="104" t="s">
        <v>1196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37"/>
      <c r="B17" s="338"/>
      <c r="C17" s="338"/>
      <c r="D17" s="338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2" t="str">
        <f ca="1">IFERROR(IF(VLOOKUP(G14,OFFSET($AG$2,,,COUNTIF($AG$2:$AG$50,"?*"),23),13,FALSE)&lt;&gt;0,VLOOKUP(G14,OFFSET($AG$2,,,COUNTIF($AG$2:$AG$50,"?*"),23),13,FALSE),"?"),"")</f>
        <v/>
      </c>
      <c r="H17" s="343"/>
      <c r="I17" s="344"/>
      <c r="J17" s="345" t="str">
        <f ca="1">IFERROR(IF(VLOOKUP(G14,OFFSET($AG$2,,,COUNTIF($AG$2:$AG$50,"?*"),23),14,FALSE)&lt;&gt;0,VLOOKUP(G14,OFFSET($AG$2,,,COUNTIF($AG$2:$AG$50,"?*"),23),14,FALSE),"?"),"")</f>
        <v/>
      </c>
      <c r="K17" s="346"/>
      <c r="L17" s="7" t="str">
        <f ca="1">IFERROR(IF(VLOOKUP(G14,OFFSET($AG$2,,,COUNTIF($AG$2:$AG$50,"?*"),23),7,FALSE)&lt;&gt;0,VLOOKUP(G14,OFFSET($AG$2,,,COUNTIF($AG$2:$AG$50,"?*"),23),7,FALSE),"?"),"")</f>
        <v/>
      </c>
      <c r="M17" s="337"/>
      <c r="N17" s="338"/>
      <c r="O17" s="338"/>
      <c r="P17" s="338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353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2</v>
      </c>
      <c r="AC17" s="102" t="str">
        <f t="shared" ca="1" si="0"/>
        <v>ANO</v>
      </c>
      <c r="AG17" s="121" t="s">
        <v>358</v>
      </c>
      <c r="AH17" s="122"/>
      <c r="AI17" s="123"/>
      <c r="AJ17" s="123"/>
      <c r="AK17" s="123"/>
      <c r="AL17" s="124">
        <f>IF(AG17&lt;&gt;"",AJ17+AK17,"")</f>
        <v>0</v>
      </c>
      <c r="AM17" s="123" t="s">
        <v>310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6" t="s">
        <v>41</v>
      </c>
      <c r="BT17" s="104" t="s">
        <v>398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0" t="str">
        <f ca="1">IFERROR(IF(VLOOKUP(A17,OFFSET($AG$2,,,COUNTIF($AG$2:$AG$50,"?*"),23),2,FALSE)&lt;&gt;0,YEAR(VLOOKUP(A17,OFFSET($AG$2,,,COUNTIF($AG$2:$AG$50,"?*"),23),2,FALSE)),""),"")</f>
        <v/>
      </c>
      <c r="C18" s="341"/>
      <c r="D18" s="150" t="str">
        <f ca="1">IFERROR(VLOOKUP(A17,OFFSET($AG$2,,,COUNTIF($AG$2:$AG$50,"?*"),23),15,FALSE),"")</f>
        <v/>
      </c>
      <c r="E18" s="331" t="str">
        <f ca="1">IFERROR(VLOOKUP(A17,OFFSET($AG$2,,,COUNTIF($AG$2:$AG$50,"?*"),23),16,FALSE),"")</f>
        <v/>
      </c>
      <c r="F18" s="332"/>
      <c r="M18" s="4" t="str">
        <f ca="1">IFERROR(IF(VLOOKUP(M17,OFFSET($AG$2,,,COUNTIF($AG$2:$AG$50,"?*"),23),10,FALSE)&lt;&gt;0,VLOOKUP(M17,OFFSET($AG$2,,,COUNTIF($AG$2:$AG$50,"?*"),23),10,FALSE),""),"")</f>
        <v/>
      </c>
      <c r="N18" s="340" t="str">
        <f ca="1">IFERROR(IF(VLOOKUP(M17,OFFSET($AG$2,,,COUNTIF($AG$2:$AG$50,"?*"),23),2,FALSE)&lt;&gt;0,YEAR(VLOOKUP(M17,OFFSET($AG$2,,,COUNTIF($AG$2:$AG$50,"?*"),23),2,FALSE)),""),"")</f>
        <v/>
      </c>
      <c r="O18" s="341"/>
      <c r="P18" s="117" t="str">
        <f ca="1">IFERROR(VLOOKUP(M17,OFFSET($AG$2,,,COUNTIF($AG$2:$AG$50,"?*"),23),15,FALSE),"")</f>
        <v/>
      </c>
      <c r="Q18" s="331" t="str">
        <f ca="1">IFERROR(VLOOKUP(M17,OFFSET($AG$2,,,COUNTIF($AG$2:$AG$50,"?*"),23),16,FALSE),"")</f>
        <v/>
      </c>
      <c r="R18" s="332"/>
      <c r="S18" s="110" t="s">
        <v>370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347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374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+10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6"/>
      <c r="BT18" s="104" t="s">
        <v>1197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33" t="str">
        <f ca="1">IFERROR(VLOOKUP(A17,OFFSET($AG$2,,,COUNTIF($AG$2:$AG$50,"?*"),23),18,FALSE),"")</f>
        <v/>
      </c>
      <c r="B19" s="334"/>
      <c r="C19" s="334"/>
      <c r="D19" s="335" t="str">
        <f ca="1">IFERROR(VLOOKUP(A17,OFFSET($AG$2,,,COUNTIF($AG$2:$AG$50,"?*"),23),19,FALSE),"")</f>
        <v/>
      </c>
      <c r="E19" s="335"/>
      <c r="F19" s="336"/>
      <c r="H19" s="347" t="str">
        <f>H$8</f>
        <v>VIT</v>
      </c>
      <c r="I19" s="347"/>
      <c r="J19" s="347"/>
      <c r="K19" s="347"/>
      <c r="M19" s="333" t="str">
        <f ca="1">IFERROR(VLOOKUP(M17,OFFSET($AG$2,,,COUNTIF($AG$2:$AG$50,"?*"),23),18,FALSE),"")</f>
        <v/>
      </c>
      <c r="N19" s="334"/>
      <c r="O19" s="334"/>
      <c r="P19" s="335" t="str">
        <f ca="1">IFERROR(VLOOKUP(M17,OFFSET($AG$2,,,COUNTIF($AG$2:$AG$50,"?*"),23),19,FALSE),"")</f>
        <v/>
      </c>
      <c r="Q19" s="335"/>
      <c r="R19" s="336"/>
      <c r="S19" s="110" t="s">
        <v>941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368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6"/>
      <c r="BT19" s="104" t="s">
        <v>1198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42" t="str">
        <f ca="1">IFERROR(IF(VLOOKUP(A17,OFFSET($AG$2,,,COUNTIF($AG$2:$AG$50,"?*"),23),13,FALSE)&lt;&gt;0,VLOOKUP(A17,OFFSET($AG$2,,,COUNTIF($AG$2:$AG$50,"?*"),23),13,FALSE),"?"),"")</f>
        <v/>
      </c>
      <c r="B20" s="343"/>
      <c r="C20" s="344"/>
      <c r="D20" s="345" t="str">
        <f ca="1">IFERROR(IF(VLOOKUP(A17,OFFSET($AG$2,,,COUNTIF($AG$2:$AG$50,"?*"),23),14,FALSE)&lt;&gt;0,VLOOKUP(A17,OFFSET($AG$2,,,COUNTIF($AG$2:$AG$50,"?*"),23),14,FALSE),"?"),"")</f>
        <v/>
      </c>
      <c r="E20" s="346"/>
      <c r="F20" s="7" t="str">
        <f ca="1">IFERROR(IF(VLOOKUP(A17,OFFSET($AG$2,,,COUNTIF($AG$2:$AG$50,"?*"),23),7,FALSE)&lt;&gt;0,VLOOKUP(A17,OFFSET($AG$2,,,COUNTIF($AG$2:$AG$50,"?*"),23),7,FALSE),"?"),"")</f>
        <v/>
      </c>
      <c r="H20" s="347"/>
      <c r="I20" s="347"/>
      <c r="J20" s="347"/>
      <c r="K20" s="347"/>
      <c r="M20" s="342" t="str">
        <f ca="1">IFERROR(IF(VLOOKUP(M17,OFFSET($AG$2,,,COUNTIF($AG$2:$AG$50,"?*"),23),13,FALSE)&lt;&gt;0,VLOOKUP(M17,OFFSET($AG$2,,,COUNTIF($AG$2:$AG$50,"?*"),23),13,FALSE),"?"),"")</f>
        <v/>
      </c>
      <c r="N20" s="343"/>
      <c r="O20" s="344"/>
      <c r="P20" s="345" t="str">
        <f ca="1">IFERROR(IF(VLOOKUP(M17,OFFSET($AG$2,,,COUNTIF($AG$2:$AG$50,"?*"),23),14,FALSE)&lt;&gt;0,VLOOKUP(M17,OFFSET($AG$2,,,COUNTIF($AG$2:$AG$50,"?*"),23),14,FALSE),"?"),"")</f>
        <v/>
      </c>
      <c r="Q20" s="346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1182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356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383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6"/>
      <c r="BT20" s="104" t="s">
        <v>1199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359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352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384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+9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6"/>
      <c r="BT21" s="104" t="s">
        <v>1200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369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374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6" t="s">
        <v>38</v>
      </c>
      <c r="BT22" s="104" t="s">
        <v>1201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37"/>
      <c r="B23" s="338"/>
      <c r="C23" s="338"/>
      <c r="D23" s="338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39" t="s">
        <v>13</v>
      </c>
      <c r="I23" s="339"/>
      <c r="J23" s="339"/>
      <c r="K23" s="339"/>
      <c r="M23" s="337"/>
      <c r="N23" s="338"/>
      <c r="O23" s="338"/>
      <c r="P23" s="338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356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370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385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6"/>
      <c r="BT23" s="104" t="s">
        <v>867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0" t="str">
        <f ca="1">IFERROR(IF(VLOOKUP(A23,OFFSET($AG$2,,,COUNTIF($AG$2:$AG$50,"?*"),23),2,FALSE)&lt;&gt;0,YEAR(VLOOKUP(A23,OFFSET($AG$2,,,COUNTIF($AG$2:$AG$50,"?*"),23),2,FALSE)),""),"")</f>
        <v/>
      </c>
      <c r="C24" s="341"/>
      <c r="D24" s="117" t="str">
        <f ca="1">IFERROR(VLOOKUP(A23,OFFSET($AG$2,,,COUNTIF($AG$2:$AG$50,"?*"),23),15,FALSE),"")</f>
        <v/>
      </c>
      <c r="E24" s="331" t="str">
        <f ca="1">IFERROR(VLOOKUP(A23,OFFSET($AG$2,,,COUNTIF($AG$2:$AG$50,"?*"),23),16,FALSE),"")</f>
        <v/>
      </c>
      <c r="F24" s="332"/>
      <c r="M24" s="4" t="str">
        <f ca="1">IFERROR(IF(VLOOKUP(M23,OFFSET($AG$2,,,COUNTIF($AG$2:$AG$50,"?*"),23),10,FALSE)&lt;&gt;0,VLOOKUP(M23,OFFSET($AG$2,,,COUNTIF($AG$2:$AG$50,"?*"),23),10,FALSE),""),"")</f>
        <v/>
      </c>
      <c r="N24" s="340" t="str">
        <f ca="1">IFERROR(IF(VLOOKUP(M23,OFFSET($AG$2,,,COUNTIF($AG$2:$AG$50,"?*"),23),2,FALSE)&lt;&gt;0,YEAR(VLOOKUP(M23,OFFSET($AG$2,,,COUNTIF($AG$2:$AG$50,"?*"),23),2,FALSE)),""),"")</f>
        <v/>
      </c>
      <c r="O24" s="341"/>
      <c r="P24" s="117" t="str">
        <f ca="1">IFERROR(VLOOKUP(M23,OFFSET($AG$2,,,COUNTIF($AG$2:$AG$50,"?*"),23),15,FALSE),"")</f>
        <v/>
      </c>
      <c r="Q24" s="331" t="str">
        <f ca="1">IFERROR(VLOOKUP(M23,OFFSET($AG$2,,,COUNTIF($AG$2:$AG$50,"?*"),23),16,FALSE),"")</f>
        <v/>
      </c>
      <c r="R24" s="332"/>
      <c r="S24" s="110" t="s">
        <v>357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371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6"/>
      <c r="BT24" s="104" t="s">
        <v>1202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33" t="str">
        <f ca="1">IFERROR(VLOOKUP(A23,OFFSET($AG$2,,,COUNTIF($AG$2:$AG$50,"?*"),23),18,FALSE),"")</f>
        <v/>
      </c>
      <c r="B25" s="334"/>
      <c r="C25" s="334"/>
      <c r="D25" s="335" t="str">
        <f ca="1">IFERROR(VLOOKUP(A23,OFFSET($AG$2,,,COUNTIF($AG$2:$AG$50,"?*"),23),19,FALSE),"")</f>
        <v/>
      </c>
      <c r="E25" s="335"/>
      <c r="F25" s="336"/>
      <c r="G25" s="337"/>
      <c r="H25" s="338"/>
      <c r="I25" s="338"/>
      <c r="J25" s="338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3" t="str">
        <f ca="1">IFERROR(VLOOKUP(M23,OFFSET($AG$2,,,COUNTIF($AG$2:$AG$50,"?*"),23),18,FALSE),"")</f>
        <v/>
      </c>
      <c r="N25" s="334"/>
      <c r="O25" s="334"/>
      <c r="P25" s="335" t="str">
        <f ca="1">IFERROR(VLOOKUP(M23,OFFSET($AG$2,,,COUNTIF($AG$2:$AG$50,"?*"),23),19,FALSE),"")</f>
        <v/>
      </c>
      <c r="Q25" s="335"/>
      <c r="R25" s="336"/>
      <c r="S25" s="111"/>
      <c r="AC25" s="102" t="str">
        <f t="shared" ca="1" si="0"/>
        <v/>
      </c>
      <c r="AG25" s="121" t="s">
        <v>359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376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6"/>
      <c r="BT25" s="104" t="s">
        <v>1203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42" t="str">
        <f ca="1">IFERROR(IF(VLOOKUP(A23,OFFSET($AG$2,,,COUNTIF($AG$2:$AG$50,"?*"),23),13,FALSE)&lt;&gt;0,VLOOKUP(A23,OFFSET($AG$2,,,COUNTIF($AG$2:$AG$50,"?*"),23),13,FALSE),"?"),"")</f>
        <v/>
      </c>
      <c r="B26" s="343"/>
      <c r="C26" s="344"/>
      <c r="D26" s="345" t="str">
        <f ca="1">IFERROR(IF(VLOOKUP(A23,OFFSET($AG$2,,,COUNTIF($AG$2:$AG$50,"?*"),23),14,FALSE)&lt;&gt;0,VLOOKUP(A23,OFFSET($AG$2,,,COUNTIF($AG$2:$AG$50,"?*"),23),14,FALSE),"?"),"")</f>
        <v/>
      </c>
      <c r="E26" s="346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0" t="str">
        <f ca="1">IFERROR(IF(VLOOKUP(G25,OFFSET($AG$2,,,COUNTIF($AG$2:$AG$50,"?*"),23),2,FALSE)&lt;&gt;0,YEAR(VLOOKUP(G25,OFFSET($AG$2,,,COUNTIF($AG$2:$AG$50,"?*"),23),2,FALSE)),""),"")</f>
        <v/>
      </c>
      <c r="I26" s="341"/>
      <c r="J26" s="117" t="str">
        <f ca="1">IFERROR(VLOOKUP(G25,OFFSET($AG$2,,,COUNTIF($AG$2:$AG$50,"?*"),23),15,FALSE),"")</f>
        <v/>
      </c>
      <c r="K26" s="331" t="str">
        <f ca="1">IFERROR(VLOOKUP(G25,OFFSET($AG$2,,,COUNTIF($AG$2:$AG$50,"?*"),23),16,FALSE),"")</f>
        <v/>
      </c>
      <c r="L26" s="332"/>
      <c r="M26" s="342" t="str">
        <f ca="1">IFERROR(IF(VLOOKUP(M23,OFFSET($AG$2,,,COUNTIF($AG$2:$AG$50,"?*"),23),13,FALSE)&lt;&gt;0,VLOOKUP(M23,OFFSET($AG$2,,,COUNTIF($AG$2:$AG$50,"?*"),23),13,FALSE),"?"),"")</f>
        <v/>
      </c>
      <c r="N26" s="343"/>
      <c r="O26" s="344"/>
      <c r="P26" s="345" t="str">
        <f ca="1">IFERROR(IF(VLOOKUP(M23,OFFSET($AG$2,,,COUNTIF($AG$2:$AG$50,"?*"),23),14,FALSE)&lt;&gt;0,VLOOKUP(M23,OFFSET($AG$2,,,COUNTIF($AG$2:$AG$50,"?*"),23),14,FALSE),"?"),"")</f>
        <v/>
      </c>
      <c r="Q26" s="346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346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387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+8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6"/>
      <c r="BT26" s="104" t="s">
        <v>1204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3" t="str">
        <f ca="1">IFERROR(VLOOKUP(G25,OFFSET($AG$2,,,COUNTIF($AG$2:$AG$50,"?*"),23),18,FALSE),"")</f>
        <v/>
      </c>
      <c r="H27" s="334"/>
      <c r="I27" s="334"/>
      <c r="J27" s="335" t="str">
        <f ca="1">IFERROR(VLOOKUP(G25,OFFSET($AG$2,,,COUNTIF($AG$2:$AG$50,"?*"),23),19,FALSE),"")</f>
        <v/>
      </c>
      <c r="K27" s="335"/>
      <c r="L27" s="336"/>
      <c r="S27" s="111"/>
      <c r="AC27" s="102" t="str">
        <f t="shared" ca="1" si="0"/>
        <v/>
      </c>
      <c r="AG27" s="121" t="s">
        <v>355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315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6" t="s">
        <v>39</v>
      </c>
      <c r="BT27" s="104" t="s">
        <v>1205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37"/>
      <c r="B28" s="338"/>
      <c r="C28" s="338"/>
      <c r="D28" s="338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2" t="str">
        <f ca="1">IFERROR(IF(VLOOKUP(G25,OFFSET($AG$2,,,COUNTIF($AG$2:$AG$50,"?*"),23),13,FALSE)&lt;&gt;0,VLOOKUP(G25,OFFSET($AG$2,,,COUNTIF($AG$2:$AG$50,"?*"),23),13,FALSE),"?"),"")</f>
        <v/>
      </c>
      <c r="H28" s="343"/>
      <c r="I28" s="344"/>
      <c r="J28" s="345" t="str">
        <f ca="1">IFERROR(IF(VLOOKUP(G25,OFFSET($AG$2,,,COUNTIF($AG$2:$AG$50,"?*"),23),14,FALSE)&lt;&gt;0,VLOOKUP(G25,OFFSET($AG$2,,,COUNTIF($AG$2:$AG$50,"?*"),23),14,FALSE),"?"),"")</f>
        <v/>
      </c>
      <c r="K28" s="346"/>
      <c r="L28" s="7" t="str">
        <f ca="1">IFERROR(IF(VLOOKUP(G25,OFFSET($AG$2,,,COUNTIF($AG$2:$AG$50,"?*"),23),7,FALSE)&lt;&gt;0,VLOOKUP(G25,OFFSET($AG$2,,,COUNTIF($AG$2:$AG$50,"?*"),23),7,FALSE),"?"),"")</f>
        <v/>
      </c>
      <c r="M28" s="337"/>
      <c r="N28" s="338"/>
      <c r="O28" s="338"/>
      <c r="P28" s="338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372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388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6"/>
      <c r="BT28" s="104" t="s">
        <v>1206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0" t="str">
        <f ca="1">IFERROR(IF(VLOOKUP(A28,OFFSET($AG$2,,,COUNTIF($AG$2:$AG$50,"?*"),23),2,FALSE)&lt;&gt;0,YEAR(VLOOKUP(A28,OFFSET($AG$2,,,COUNTIF($AG$2:$AG$50,"?*"),23),2,FALSE)),""),"")</f>
        <v/>
      </c>
      <c r="C29" s="341"/>
      <c r="D29" s="117" t="str">
        <f ca="1">IFERROR(VLOOKUP(A28,OFFSET($AG$2,,,COUNTIF($AG$2:$AG$50,"?*"),23),15,FALSE),"")</f>
        <v/>
      </c>
      <c r="E29" s="331" t="str">
        <f ca="1">IFERROR(VLOOKUP(A28,OFFSET($AG$2,,,COUNTIF($AG$2:$AG$50,"?*"),23),16,FALSE),"")</f>
        <v/>
      </c>
      <c r="F29" s="332"/>
      <c r="M29" s="4" t="str">
        <f ca="1">IFERROR(IF(VLOOKUP(M28,OFFSET($AG$2,,,COUNTIF($AG$2:$AG$50,"?*"),23),10,FALSE)&lt;&gt;0,VLOOKUP(M28,OFFSET($AG$2,,,COUNTIF($AG$2:$AG$50,"?*"),23),10,FALSE),""),"")</f>
        <v/>
      </c>
      <c r="N29" s="340" t="str">
        <f ca="1">IFERROR(IF(VLOOKUP(M28,OFFSET($AG$2,,,COUNTIF($AG$2:$AG$50,"?*"),23),2,FALSE)&lt;&gt;0,YEAR(VLOOKUP(M28,OFFSET($AG$2,,,COUNTIF($AG$2:$AG$50,"?*"),23),2,FALSE)),""),"")</f>
        <v/>
      </c>
      <c r="O29" s="341"/>
      <c r="P29" s="117" t="str">
        <f ca="1">IFERROR(VLOOKUP(M28,OFFSET($AG$2,,,COUNTIF($AG$2:$AG$50,"?*"),23),15,FALSE),"")</f>
        <v/>
      </c>
      <c r="Q29" s="331" t="str">
        <f ca="1">IFERROR(VLOOKUP(M28,OFFSET($AG$2,,,COUNTIF($AG$2:$AG$50,"?*"),23),16,FALSE),"")</f>
        <v/>
      </c>
      <c r="R29" s="33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6"/>
      <c r="BT29" s="104" t="s">
        <v>1207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33" t="str">
        <f ca="1">IFERROR(VLOOKUP(A28,OFFSET($AG$2,,,COUNTIF($AG$2:$AG$50,"?*"),23),18,FALSE),"")</f>
        <v/>
      </c>
      <c r="B30" s="334"/>
      <c r="C30" s="334"/>
      <c r="D30" s="335" t="str">
        <f ca="1">IFERROR(VLOOKUP(A28,OFFSET($AG$2,,,COUNTIF($AG$2:$AG$50,"?*"),23),19,FALSE),"")</f>
        <v/>
      </c>
      <c r="E30" s="335"/>
      <c r="F30" s="336"/>
      <c r="H30" s="347" t="str">
        <f>H$8</f>
        <v>VIT</v>
      </c>
      <c r="I30" s="347"/>
      <c r="J30" s="347"/>
      <c r="K30" s="347"/>
      <c r="M30" s="333" t="str">
        <f ca="1">IFERROR(VLOOKUP(M28,OFFSET($AG$2,,,COUNTIF($AG$2:$AG$50,"?*"),23),18,FALSE),"")</f>
        <v/>
      </c>
      <c r="N30" s="334"/>
      <c r="O30" s="334"/>
      <c r="P30" s="335" t="str">
        <f ca="1">IFERROR(VLOOKUP(M28,OFFSET($AG$2,,,COUNTIF($AG$2:$AG$50,"?*"),23),19,FALSE),"")</f>
        <v/>
      </c>
      <c r="Q30" s="335"/>
      <c r="R30" s="336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6"/>
      <c r="BT30" s="104" t="s">
        <v>1208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42" t="str">
        <f ca="1">IFERROR(IF(VLOOKUP(A28,OFFSET($AG$2,,,COUNTIF($AG$2:$AG$50,"?*"),23),13,FALSE)&lt;&gt;0,VLOOKUP(A28,OFFSET($AG$2,,,COUNTIF($AG$2:$AG$50,"?*"),23),13,FALSE),"?"),"")</f>
        <v/>
      </c>
      <c r="B31" s="343"/>
      <c r="C31" s="344"/>
      <c r="D31" s="345" t="str">
        <f ca="1">IFERROR(IF(VLOOKUP(A28,OFFSET($AG$2,,,COUNTIF($AG$2:$AG$50,"?*"),23),14,FALSE)&lt;&gt;0,VLOOKUP(A28,OFFSET($AG$2,,,COUNTIF($AG$2:$AG$50,"?*"),23),14,FALSE),"?"),"")</f>
        <v/>
      </c>
      <c r="E31" s="346"/>
      <c r="F31" s="7" t="str">
        <f ca="1">IFERROR(IF(VLOOKUP(A28,OFFSET($AG$2,,,COUNTIF($AG$2:$AG$50,"?*"),23),7,FALSE)&lt;&gt;0,VLOOKUP(A28,OFFSET($AG$2,,,COUNTIF($AG$2:$AG$50,"?*"),23),7,FALSE),"?"),"")</f>
        <v/>
      </c>
      <c r="H31" s="347"/>
      <c r="I31" s="347"/>
      <c r="J31" s="347"/>
      <c r="K31" s="347"/>
      <c r="M31" s="342" t="str">
        <f ca="1">IFERROR(IF(VLOOKUP(M28,OFFSET($AG$2,,,COUNTIF($AG$2:$AG$50,"?*"),23),13,FALSE)&lt;&gt;0,VLOOKUP(M28,OFFSET($AG$2,,,COUNTIF($AG$2:$AG$50,"?*"),23),13,FALSE),"?"),"")</f>
        <v/>
      </c>
      <c r="N31" s="343"/>
      <c r="O31" s="344"/>
      <c r="P31" s="345" t="str">
        <f ca="1">IFERROR(IF(VLOOKUP(M28,OFFSET($AG$2,,,COUNTIF($AG$2:$AG$50,"?*"),23),14,FALSE)&lt;&gt;0,VLOOKUP(M28,OFFSET($AG$2,,,COUNTIF($AG$2:$AG$50,"?*"),23),14,FALSE),"?"),"")</f>
        <v/>
      </c>
      <c r="Q31" s="346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6"/>
      <c r="BT31" s="104" t="s">
        <v>1209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7"/>
      <c r="B34" s="338"/>
      <c r="C34" s="338"/>
      <c r="D34" s="338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48" t="s">
        <v>16</v>
      </c>
      <c r="J34" s="337"/>
      <c r="K34" s="338"/>
      <c r="L34" s="338"/>
      <c r="M34" s="338"/>
      <c r="N34" s="338"/>
      <c r="O34" s="338"/>
      <c r="P34" s="338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0" t="str">
        <f ca="1">IFERROR(IF(VLOOKUP(A34,OFFSET($AG$2,,,COUNTIF($AG$2:$AG$50,"?*"),23),2,FALSE)&lt;&gt;0,YEAR(VLOOKUP(A34,OFFSET($AG$2,,,COUNTIF($AG$2:$AG$50,"?*"),23),2,FALSE)),""),"")</f>
        <v/>
      </c>
      <c r="C35" s="341"/>
      <c r="D35" s="117" t="str">
        <f ca="1">IFERROR(VLOOKUP(A34,OFFSET($AG$2,,,COUNTIF($AG$2:$AG$50,"?*"),23),15,FALSE),"")</f>
        <v/>
      </c>
      <c r="E35" s="331" t="str">
        <f ca="1">IFERROR(VLOOKUP(A34,OFFSET($AG$2,,,COUNTIF($AG$2:$AG$50,"?*"),23),16,FALSE),"")</f>
        <v/>
      </c>
      <c r="F35" s="332"/>
      <c r="H35" s="348"/>
      <c r="J35" s="4" t="str">
        <f ca="1">IFERROR(IF(VLOOKUP(J34,OFFSET($AG$2,,,COUNTIF($AG$2:$AG$50,"?*"),23),10,FALSE)&lt;&gt;0,VLOOKUP(J34,OFFSET($AG$2,,,COUNTIF($AG$2:$AG$50,"?*"),23),10,FALSE),""),"")</f>
        <v/>
      </c>
      <c r="K35" s="341" t="str">
        <f ca="1">IFERROR(IF(VLOOKUP(J34,OFFSET($AG$2,,,COUNTIF($AG$2:$AG$50,"?*"),23),2,FALSE)&lt;&gt;0,YEAR(VLOOKUP(J34,OFFSET($AG$2,,,COUNTIF($AG$2:$AG$50,"?*"),23),2,FALSE)),""),"")</f>
        <v/>
      </c>
      <c r="L35" s="349"/>
      <c r="M35" s="118" t="str">
        <f ca="1">IFERROR(VLOOKUP(J34,OFFSET($AG$2,,,COUNTIF($AG$2:$AG$50,"?*"),23),15,FALSE),"")</f>
        <v/>
      </c>
      <c r="N35" s="349" t="str">
        <f ca="1">IFERROR(VLOOKUP(J34,OFFSET($AG$2,,,COUNTIF($AG$2:$AG$50,"?*"),23),16,FALSE),"")</f>
        <v/>
      </c>
      <c r="O35" s="349"/>
      <c r="P35" s="349" t="str">
        <f ca="1">IFERROR(VLOOKUP(J34,OFFSET($AG$2,,,COUNTIF($AG$2:$AG$50,"?*"),23),18,FALSE),"")</f>
        <v/>
      </c>
      <c r="Q35" s="349"/>
      <c r="R35" s="35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57" t="str">
        <f ca="1">IFERROR(VLOOKUP(A34,OFFSET($AG$2,,,COUNTIF($AG$2:$AG$50,"?*"),23),18,FALSE),"")</f>
        <v/>
      </c>
      <c r="C36" s="357"/>
      <c r="D36" s="358" t="str">
        <f ca="1">IFERROR(VLOOKUP(A34,OFFSET($S$45,,,COUNTIF($S$45:$S$50,"?*"),14),5,FALSE),"")</f>
        <v/>
      </c>
      <c r="E36" s="359"/>
      <c r="F36" s="17" t="str">
        <f ca="1">IFERROR(VLOOKUP(A34,OFFSET($S$45,,,COUNTIF($S$45:$S$50,"?*"),14),14,FALSE),"")</f>
        <v/>
      </c>
      <c r="H36" s="348"/>
      <c r="J36" s="18" t="str">
        <f ca="1">IFERROR(IF(VLOOKUP(J34,OFFSET($AG$2,,,COUNTIF($AG$2:$AG$50,"?*"),23),7,FALSE)&lt;&gt;0,VLOOKUP(J34,OFFSET($AG$2,,,COUNTIF($AG$2:$AG$50,"?*"),23),7,FALSE),"?"),"")</f>
        <v/>
      </c>
      <c r="K36" s="360" t="str">
        <f ca="1">IFERROR(VLOOKUP(J34,OFFSET($AG$2,,,COUNTIF($AG$2:$AG$50,"?*"),23),19,FALSE),"")</f>
        <v/>
      </c>
      <c r="L36" s="360"/>
      <c r="M36" s="360"/>
      <c r="N36" s="361" t="str">
        <f ca="1">IFERROR(IF(VLOOKUP(J34,OFFSET($AG$2,,,COUNTIF($AG$2:$AG$50,"?*"),23),13,FALSE)&lt;&gt;0,VLOOKUP(J34,OFFSET($AG$2,,,COUNTIF($AG$2:$AG$50,"?*"),23),13,FALSE),"?"),"")</f>
        <v/>
      </c>
      <c r="O36" s="361"/>
      <c r="P36" s="361"/>
      <c r="Q36" s="360" t="str">
        <f ca="1">IFERROR(IF(VLOOKUP(J34,OFFSET($AG$2,,,COUNTIF($AG$2:$AG$50,"?*"),23),14,FALSE)&lt;&gt;0,VLOOKUP(J34,OFFSET($AG$2,,,COUNTIF($AG$2:$AG$50,"?*"),23),14,FALSE),"?"),"")</f>
        <v/>
      </c>
      <c r="R36" s="36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0" t="str">
        <f ca="1">IFERROR(VLOOKUP(A34,OFFSET($S$45,,,COUNTIF($S$45:$S$50,"?*"),14),3,FALSE),"")</f>
        <v/>
      </c>
      <c r="B37" s="351"/>
      <c r="C37" s="352" t="str">
        <f ca="1">IFERROR(VLOOKUP(A34,OFFSET($S$45,,,COUNTIF($S$45:$S$50,"?*"),14),13,FALSE),"")</f>
        <v/>
      </c>
      <c r="D37" s="353"/>
      <c r="E37" s="354" t="str">
        <f ca="1">IFERROR(VLOOKUP(A34,OFFSET($AG$2,,,COUNTIF($AG$2:$AG$50,"?*"),23),19,FALSE),"")</f>
        <v/>
      </c>
      <c r="F37" s="355"/>
      <c r="H37" s="348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2" t="str">
        <f ca="1">IFERROR(IF(VLOOKUP(A34,OFFSET($AG$2,,,COUNTIF($AG$2:$AG$50,"?*"),23),13,FALSE)&lt;&gt;0,VLOOKUP(A34,OFFSET($AG$2,,,COUNTIF($AG$2:$AG$50,"?*"),23),13,FALSE),"?"),"")</f>
        <v/>
      </c>
      <c r="B38" s="343"/>
      <c r="C38" s="344"/>
      <c r="D38" s="345" t="str">
        <f ca="1">IFERROR(IF(VLOOKUP(A34,OFFSET($AG$2,,,COUNTIF($AG$2:$AG$50,"?*"),23),14,FALSE)&lt;&gt;0,VLOOKUP(A34,OFFSET($AG$2,,,COUNTIF($AG$2:$AG$50,"?*"),23),14,FALSE),"?"),"")</f>
        <v/>
      </c>
      <c r="E38" s="346"/>
      <c r="F38" s="19" t="str">
        <f ca="1">IFERROR(VLOOKUP(A34,OFFSET($S$45,,,COUNTIF($S$45:$S$50,"?*"),14),6,FALSE),"")</f>
        <v/>
      </c>
      <c r="H38" s="348"/>
      <c r="J38" s="337"/>
      <c r="K38" s="338"/>
      <c r="L38" s="338"/>
      <c r="M38" s="338"/>
      <c r="N38" s="338"/>
      <c r="O38" s="338"/>
      <c r="P38" s="338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48"/>
      <c r="J39" s="4" t="str">
        <f ca="1">IFERROR(IF(VLOOKUP(J38,OFFSET($AG$2,,,COUNTIF($AG$2:$AG$50,"?*"),23),10,FALSE)&lt;&gt;0,VLOOKUP(J38,OFFSET($AG$2,,,COUNTIF($AG$2:$AG$50,"?*"),23),10,FALSE),""),"")</f>
        <v/>
      </c>
      <c r="K39" s="341" t="str">
        <f ca="1">IFERROR(IF(VLOOKUP(J38,OFFSET($AG$2,,,COUNTIF($AG$2:$AG$50,"?*"),23),2,FALSE)&lt;&gt;0,YEAR(VLOOKUP(J38,OFFSET($AG$2,,,COUNTIF($AG$2:$AG$50,"?*"),23),2,FALSE)),""),"")</f>
        <v/>
      </c>
      <c r="L39" s="349"/>
      <c r="M39" s="151" t="str">
        <f ca="1">IFERROR(VLOOKUP(J38,OFFSET($AG$2,,,COUNTIF($AG$2:$AG$50,"?*"),23),15,FALSE),"")</f>
        <v/>
      </c>
      <c r="N39" s="349" t="str">
        <f ca="1">IFERROR(VLOOKUP(J38,OFFSET($AG$2,,,COUNTIF($AG$2:$AG$50,"?*"),23),16,FALSE),"")</f>
        <v/>
      </c>
      <c r="O39" s="349"/>
      <c r="P39" s="349" t="str">
        <f ca="1">IFERROR(VLOOKUP(J38,OFFSET($AG$2,,,COUNTIF($AG$2:$AG$50,"?*"),23),18,FALSE),"")</f>
        <v/>
      </c>
      <c r="Q39" s="349"/>
      <c r="R39" s="35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7"/>
      <c r="B40" s="338"/>
      <c r="C40" s="338"/>
      <c r="D40" s="338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48"/>
      <c r="J40" s="18" t="str">
        <f ca="1">IFERROR(IF(VLOOKUP(J38,OFFSET($AG$2,,,COUNTIF($AG$2:$AG$50,"?*"),23),7,FALSE)&lt;&gt;0,VLOOKUP(J38,OFFSET($AG$2,,,COUNTIF($AG$2:$AG$50,"?*"),23),7,FALSE),"?"),"")</f>
        <v/>
      </c>
      <c r="K40" s="360" t="str">
        <f ca="1">IFERROR(VLOOKUP(J38,OFFSET($AG$2,,,COUNTIF($AG$2:$AG$50,"?*"),23),19,FALSE),"")</f>
        <v/>
      </c>
      <c r="L40" s="360"/>
      <c r="M40" s="360"/>
      <c r="N40" s="361" t="str">
        <f ca="1">IFERROR(IF(VLOOKUP(J38,OFFSET($AG$2,,,COUNTIF($AG$2:$AG$50,"?*"),23),13,FALSE)&lt;&gt;0,VLOOKUP(J38,OFFSET($AG$2,,,COUNTIF($AG$2:$AG$50,"?*"),23),13,FALSE),"?"),"")</f>
        <v/>
      </c>
      <c r="O40" s="361"/>
      <c r="P40" s="361"/>
      <c r="Q40" s="360" t="str">
        <f ca="1">IFERROR(IF(VLOOKUP(J38,OFFSET($AG$2,,,COUNTIF($AG$2:$AG$50,"?*"),23),14,FALSE)&lt;&gt;0,VLOOKUP(J38,OFFSET($AG$2,,,COUNTIF($AG$2:$AG$50,"?*"),23),14,FALSE),"?"),"")</f>
        <v/>
      </c>
      <c r="R40" s="36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0" t="str">
        <f ca="1">IFERROR(IF(VLOOKUP(A40,OFFSET($AG$2,,,COUNTIF($AG$2:$AG$50,"?*"),23),2,FALSE)&lt;&gt;0,YEAR(VLOOKUP(A40,OFFSET($AG$2,,,COUNTIF($AG$2:$AG$50,"?*"),23),2,FALSE)),""),"")</f>
        <v/>
      </c>
      <c r="C41" s="341"/>
      <c r="D41" s="117" t="str">
        <f ca="1">IFERROR(VLOOKUP(A40,OFFSET($AG$2,,,COUNTIF($AG$2:$AG$50,"?*"),23),15,FALSE),"")</f>
        <v/>
      </c>
      <c r="E41" s="331" t="str">
        <f ca="1">IFERROR(VLOOKUP(A40,OFFSET($AG$2,,,COUNTIF($AG$2:$AG$50,"?*"),23),16,FALSE),"")</f>
        <v/>
      </c>
      <c r="F41" s="332"/>
      <c r="H41" s="348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57" t="str">
        <f ca="1">IFERROR(VLOOKUP(A40,OFFSET($AG$2,,,COUNTIF($AG$2:$AG$50,"?*"),23),18,FALSE),"")</f>
        <v/>
      </c>
      <c r="C42" s="357"/>
      <c r="D42" s="358" t="str">
        <f ca="1">IFERROR(VLOOKUP(A40,OFFSET($S$45,,,COUNTIF($S$45:$S$50,"?*"),14),5,FALSE),"")</f>
        <v/>
      </c>
      <c r="E42" s="359"/>
      <c r="F42" s="17" t="str">
        <f ca="1">IFERROR(VLOOKUP(A40,OFFSET($S$45,,,COUNTIF($S$45:$S$50,"?*"),14),14,FALSE),"")</f>
        <v/>
      </c>
      <c r="H42" s="348"/>
      <c r="J42" s="337"/>
      <c r="K42" s="338"/>
      <c r="L42" s="338"/>
      <c r="M42" s="338"/>
      <c r="N42" s="338"/>
      <c r="O42" s="338"/>
      <c r="P42" s="338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0" t="str">
        <f ca="1">IFERROR(VLOOKUP(A40,OFFSET($S$45,,,COUNTIF($S$45:$S$50,"?*"),14),3,FALSE),"")</f>
        <v/>
      </c>
      <c r="B43" s="351"/>
      <c r="C43" s="352" t="str">
        <f ca="1">IFERROR(VLOOKUP(A40,OFFSET($S$45,,,COUNTIF($S$45:$S$50,"?*"),14),13,FALSE),"")</f>
        <v/>
      </c>
      <c r="D43" s="353"/>
      <c r="E43" s="354" t="str">
        <f ca="1">IFERROR(VLOOKUP(A40,OFFSET($AG$2,,,COUNTIF($AG$2:$AG$50,"?*"),23),19,FALSE),"")</f>
        <v/>
      </c>
      <c r="F43" s="355"/>
      <c r="H43" s="348"/>
      <c r="J43" s="4" t="str">
        <f ca="1">IFERROR(IF(VLOOKUP(J42,OFFSET($AG$2,,,COUNTIF($AG$2:$AG$50,"?*"),23),10,FALSE)&lt;&gt;0,VLOOKUP(J42,OFFSET($AG$2,,,COUNTIF($AG$2:$AG$50,"?*"),23),10,FALSE),""),"")</f>
        <v/>
      </c>
      <c r="K43" s="341" t="str">
        <f ca="1">IFERROR(IF(VLOOKUP(J42,OFFSET($AG$2,,,COUNTIF($AG$2:$AG$50,"?*"),23),2,FALSE)&lt;&gt;0,YEAR(VLOOKUP(J42,OFFSET($AG$2,,,COUNTIF($AG$2:$AG$50,"?*"),23),2,FALSE)),""),"")</f>
        <v/>
      </c>
      <c r="L43" s="349"/>
      <c r="M43" s="151" t="str">
        <f ca="1">IFERROR(VLOOKUP(J42,OFFSET($AG$2,,,COUNTIF($AG$2:$AG$50,"?*"),23),15,FALSE),"")</f>
        <v/>
      </c>
      <c r="N43" s="349" t="str">
        <f ca="1">IFERROR(VLOOKUP(J42,OFFSET($AG$2,,,COUNTIF($AG$2:$AG$50,"?*"),23),16,FALSE),"")</f>
        <v/>
      </c>
      <c r="O43" s="349"/>
      <c r="P43" s="349" t="str">
        <f ca="1">IFERROR(VLOOKUP(J42,OFFSET($AG$2,,,COUNTIF($AG$2:$AG$50,"?*"),23),18,FALSE),"")</f>
        <v/>
      </c>
      <c r="Q43" s="349"/>
      <c r="R43" s="35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2" t="str">
        <f ca="1">IFERROR(IF(VLOOKUP(A40,OFFSET($AG$2,,,COUNTIF($AG$2:$AG$50,"?*"),23),13,FALSE)&lt;&gt;0,VLOOKUP(A40,OFFSET($AG$2,,,COUNTIF($AG$2:$AG$50,"?*"),23),13,FALSE),"?"),"")</f>
        <v/>
      </c>
      <c r="B44" s="343"/>
      <c r="C44" s="344"/>
      <c r="D44" s="345" t="str">
        <f ca="1">IFERROR(IF(VLOOKUP(A40,OFFSET($AG$2,,,COUNTIF($AG$2:$AG$50,"?*"),23),14,FALSE)&lt;&gt;0,VLOOKUP(A40,OFFSET($AG$2,,,COUNTIF($AG$2:$AG$50,"?*"),23),14,FALSE),"?"),"")</f>
        <v/>
      </c>
      <c r="E44" s="346"/>
      <c r="F44" s="19" t="str">
        <f ca="1">IFERROR(VLOOKUP(A40,OFFSET($S$45,,,COUNTIF($S$45:$S$50,"?*"),14),6,FALSE),"")</f>
        <v/>
      </c>
      <c r="H44" s="348"/>
      <c r="J44" s="18" t="str">
        <f ca="1">IFERROR(IF(VLOOKUP(J42,OFFSET($AG$2,,,COUNTIF($AG$2:$AG$50,"?*"),23),7,FALSE)&lt;&gt;0,VLOOKUP(J42,OFFSET($AG$2,,,COUNTIF($AG$2:$AG$50,"?*"),23),7,FALSE),"?"),"")</f>
        <v/>
      </c>
      <c r="K44" s="360" t="str">
        <f ca="1">IFERROR(VLOOKUP(J42,OFFSET($AG$2,,,COUNTIF($AG$2:$AG$50,"?*"),23),19,FALSE),"")</f>
        <v/>
      </c>
      <c r="L44" s="360"/>
      <c r="M44" s="360"/>
      <c r="N44" s="361" t="str">
        <f ca="1">IFERROR(IF(VLOOKUP(J42,OFFSET($AG$2,,,COUNTIF($AG$2:$AG$50,"?*"),23),13,FALSE)&lt;&gt;0,VLOOKUP(J42,OFFSET($AG$2,,,COUNTIF($AG$2:$AG$50,"?*"),23),13,FALSE),"?"),"")</f>
        <v/>
      </c>
      <c r="O44" s="361"/>
      <c r="P44" s="361"/>
      <c r="Q44" s="360" t="str">
        <f ca="1">IFERROR(IF(VLOOKUP(J42,OFFSET($AG$2,,,COUNTIF($AG$2:$AG$50,"?*"),23),14,FALSE)&lt;&gt;0,VLOOKUP(J42,OFFSET($AG$2,,,COUNTIF($AG$2:$AG$50,"?*"),23),14,FALSE),"?"),"")</f>
        <v/>
      </c>
      <c r="R44" s="362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357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370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7"/>
      <c r="B47" s="378"/>
      <c r="C47" s="378"/>
      <c r="D47" s="378"/>
      <c r="E47" s="373" t="str">
        <f ca="1">IFERROR(VLOOKUP(A47,OFFSET($BN$2,,,COUNTIF($BN$2:$BN$11,"?*"),5),3,FALSE),"")</f>
        <v/>
      </c>
      <c r="F47" s="373"/>
      <c r="G47" s="373"/>
      <c r="H47" s="373"/>
      <c r="I47" s="374"/>
      <c r="J47" s="377"/>
      <c r="K47" s="378"/>
      <c r="L47" s="378"/>
      <c r="M47" s="378"/>
      <c r="N47" s="373" t="str">
        <f ca="1">IFERROR(VLOOKUP(J47,OFFSET($BN$2,,,COUNTIF($BN$2:$BN$11,"?*"),5),3,FALSE),"")</f>
        <v/>
      </c>
      <c r="O47" s="373"/>
      <c r="P47" s="373"/>
      <c r="Q47" s="373"/>
      <c r="R47" s="374"/>
      <c r="S47" s="111" t="s">
        <v>358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3" t="str">
        <f ca="1">IFERROR(VLOOKUP(A47,OFFSET($BN$2,,,COUNTIF($BN$2:$BN$11,"?*"),5),5,FALSE),"")</f>
        <v/>
      </c>
      <c r="B48" s="365" t="str">
        <f ca="1">IFERROR(IF(VLOOKUP(A47,OFFSET($BN$2,,,COUNTIF($BN$2:$BN$11,"?*"),5),4,FALSE)&lt;&gt;0,VLOOKUP(A47,OFFSET($BN$2,,,COUNTIF($BN$2:$BN$11,"?*"),5),4,FALSE),"-"),"")</f>
        <v/>
      </c>
      <c r="C48" s="365"/>
      <c r="D48" s="365"/>
      <c r="E48" s="365"/>
      <c r="F48" s="365"/>
      <c r="G48" s="365"/>
      <c r="H48" s="365"/>
      <c r="I48" s="366"/>
      <c r="J48" s="119" t="str">
        <f ca="1">IFERROR(VLOOKUP(J47,OFFSET($BN$2,,,COUNTIF($BN$2:$BN$11,"?*"),5),5,FALSE),"")</f>
        <v/>
      </c>
      <c r="K48" s="369" t="str">
        <f ca="1">IFERROR(IF(VLOOKUP(J47,OFFSET($BN$2,,,COUNTIF($BN$2:$BN$11,"?*"),5),4,FALSE)&lt;&gt;0,VLOOKUP(J47,OFFSET($BN$2,,,COUNTIF($BN$2:$BN$11,"?*"),5),4,FALSE),"-"),"")</f>
        <v/>
      </c>
      <c r="L48" s="369"/>
      <c r="M48" s="369"/>
      <c r="N48" s="369"/>
      <c r="O48" s="369"/>
      <c r="P48" s="369"/>
      <c r="Q48" s="369"/>
      <c r="R48" s="370"/>
      <c r="S48" s="111" t="s">
        <v>941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3"/>
      <c r="B49" s="365"/>
      <c r="C49" s="365"/>
      <c r="D49" s="365"/>
      <c r="E49" s="365"/>
      <c r="F49" s="365"/>
      <c r="G49" s="365"/>
      <c r="H49" s="365"/>
      <c r="I49" s="366"/>
      <c r="J49" s="371"/>
      <c r="K49" s="372"/>
      <c r="L49" s="372"/>
      <c r="M49" s="372"/>
      <c r="N49" s="373" t="str">
        <f ca="1">IFERROR(VLOOKUP(J49,OFFSET($BN$2,,,COUNTIF($BN$2:$BN$11,"?*"),5),3,FALSE),"")</f>
        <v/>
      </c>
      <c r="O49" s="373"/>
      <c r="P49" s="373"/>
      <c r="Q49" s="373"/>
      <c r="R49" s="374"/>
      <c r="S49" s="111" t="s">
        <v>1182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4"/>
      <c r="B50" s="367"/>
      <c r="C50" s="367"/>
      <c r="D50" s="367"/>
      <c r="E50" s="367"/>
      <c r="F50" s="367"/>
      <c r="G50" s="367"/>
      <c r="H50" s="367"/>
      <c r="I50" s="368"/>
      <c r="J50" s="119" t="str">
        <f ca="1">IFERROR(VLOOKUP(J49,OFFSET($BN$2,,,COUNTIF($BN$2:$BN$11,"?*"),5),5,FALSE),"")</f>
        <v/>
      </c>
      <c r="K50" s="369" t="str">
        <f ca="1">IFERROR(IF(VLOOKUP(J49,OFFSET($BN$2,,,COUNTIF($BN$2:$BN$11,"?*"),5),4,FALSE)&lt;&gt;0,VLOOKUP(J49,OFFSET($BN$2,,,COUNTIF($BN$2:$BN$11,"?*"),5),4,FALSE),"-"),"")</f>
        <v/>
      </c>
      <c r="L50" s="369"/>
      <c r="M50" s="369"/>
      <c r="N50" s="369"/>
      <c r="O50" s="369"/>
      <c r="P50" s="369"/>
      <c r="Q50" s="369"/>
      <c r="R50" s="37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2021-09-19T21:02:04Z</cp:lastPrinted>
  <dcterms:created xsi:type="dcterms:W3CDTF">2021-09-13T20:56:50Z</dcterms:created>
  <dcterms:modified xsi:type="dcterms:W3CDTF">2021-09-30T12:52:08Z</dcterms:modified>
</cp:coreProperties>
</file>