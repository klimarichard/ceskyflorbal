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priprava_LIB!$S$2:$AB$27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0" i="8" l="1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G20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A21" i="19"/>
  <c r="A26" i="19"/>
  <c r="G21" i="19"/>
  <c r="C13" i="19"/>
  <c r="B13" i="19"/>
  <c r="E13" i="19"/>
  <c r="A9" i="19"/>
  <c r="I20" i="19"/>
  <c r="G29" i="19"/>
  <c r="G16" i="19"/>
  <c r="A10" i="19"/>
  <c r="A24" i="19"/>
  <c r="G23" i="19"/>
  <c r="G31" i="19"/>
  <c r="A15" i="19"/>
  <c r="A29" i="19"/>
  <c r="G11" i="19"/>
  <c r="L9" i="19"/>
  <c r="A20" i="19"/>
  <c r="G12" i="19"/>
  <c r="H9" i="19"/>
  <c r="G19" i="19"/>
  <c r="G8" i="19"/>
  <c r="A8" i="19"/>
  <c r="D13" i="19"/>
  <c r="G22" i="19"/>
  <c r="G27" i="19"/>
  <c r="G30" i="19"/>
  <c r="G14" i="19"/>
  <c r="A23" i="19"/>
  <c r="G10" i="19"/>
  <c r="A16" i="19"/>
  <c r="A12" i="19"/>
  <c r="G24" i="19"/>
  <c r="G26" i="19"/>
  <c r="G25" i="19"/>
  <c r="A11" i="19"/>
  <c r="A14" i="19"/>
  <c r="J9" i="19"/>
  <c r="A30" i="19"/>
  <c r="K9" i="19"/>
  <c r="G18" i="19"/>
  <c r="A19" i="19"/>
  <c r="A17" i="19"/>
  <c r="J20" i="19"/>
  <c r="A27" i="19"/>
  <c r="A22" i="19"/>
  <c r="G17" i="19"/>
  <c r="G13" i="19"/>
  <c r="H20" i="19"/>
  <c r="K20" i="19"/>
  <c r="A31" i="19"/>
  <c r="G15" i="19"/>
  <c r="F13" i="19"/>
  <c r="A25" i="19"/>
  <c r="A18" i="19"/>
  <c r="I9" i="19"/>
  <c r="L20" i="19"/>
  <c r="K45" i="3" l="1"/>
  <c r="O45" i="3"/>
  <c r="P45" i="3"/>
  <c r="K46" i="3"/>
  <c r="O46" i="3"/>
  <c r="P46" i="3"/>
  <c r="K47" i="3"/>
  <c r="O47" i="3"/>
  <c r="P47" i="3"/>
  <c r="K48" i="3"/>
  <c r="O48" i="3"/>
  <c r="P48" i="3"/>
  <c r="D11" i="19"/>
  <c r="L17" i="19"/>
  <c r="K19" i="19"/>
  <c r="F14" i="19"/>
  <c r="L23" i="19"/>
  <c r="C8" i="19"/>
  <c r="B29" i="19"/>
  <c r="K18" i="19"/>
  <c r="J19" i="19"/>
  <c r="B23" i="19"/>
  <c r="B19" i="19"/>
  <c r="E12" i="19"/>
  <c r="L29" i="19"/>
  <c r="H22" i="19"/>
  <c r="F24" i="19"/>
  <c r="L12" i="19"/>
  <c r="C25" i="19"/>
  <c r="C31" i="19"/>
  <c r="C14" i="19"/>
  <c r="C12" i="19"/>
  <c r="I17" i="19"/>
  <c r="J18" i="19"/>
  <c r="D17" i="19"/>
  <c r="L19" i="19"/>
  <c r="J17" i="19"/>
  <c r="L10" i="19"/>
  <c r="J16" i="19"/>
  <c r="H17" i="19"/>
  <c r="I18" i="19"/>
  <c r="K10" i="19"/>
  <c r="B16" i="19"/>
  <c r="L21" i="19"/>
  <c r="H24" i="19"/>
  <c r="D31" i="19"/>
  <c r="B17" i="19"/>
  <c r="L25" i="19"/>
  <c r="H23" i="19"/>
  <c r="E26" i="19"/>
  <c r="J29" i="19"/>
  <c r="H29" i="19"/>
  <c r="I8" i="19"/>
  <c r="C30" i="19"/>
  <c r="L31" i="19"/>
  <c r="I11" i="19"/>
  <c r="D21" i="19"/>
  <c r="H27" i="19"/>
  <c r="K27" i="19"/>
  <c r="L8" i="19"/>
  <c r="H21" i="19"/>
  <c r="H31" i="19"/>
  <c r="E16" i="19"/>
  <c r="E25" i="19"/>
  <c r="J15" i="19"/>
  <c r="D26" i="19"/>
  <c r="D16" i="19"/>
  <c r="H11" i="19"/>
  <c r="E10" i="19"/>
  <c r="F17" i="19"/>
  <c r="F21" i="19"/>
  <c r="B11" i="19"/>
  <c r="C11" i="19"/>
  <c r="I25" i="19"/>
  <c r="D10" i="19"/>
  <c r="L16" i="19"/>
  <c r="L15" i="19"/>
  <c r="F30" i="19"/>
  <c r="C26" i="19"/>
  <c r="F9" i="19"/>
  <c r="I29" i="19"/>
  <c r="D23" i="19"/>
  <c r="I10" i="19"/>
  <c r="C21" i="19"/>
  <c r="F22" i="19"/>
  <c r="K31" i="19"/>
  <c r="C24" i="19"/>
  <c r="E14" i="19"/>
  <c r="I14" i="19"/>
  <c r="C10" i="19"/>
  <c r="H14" i="19"/>
  <c r="C18" i="19"/>
  <c r="D8" i="19"/>
  <c r="F11" i="19"/>
  <c r="B15" i="19"/>
  <c r="H12" i="19"/>
  <c r="H18" i="19"/>
  <c r="I31" i="19"/>
  <c r="J13" i="19"/>
  <c r="B27" i="19"/>
  <c r="I26" i="19"/>
  <c r="K14" i="19"/>
  <c r="H15" i="19"/>
  <c r="E27" i="19"/>
  <c r="E17" i="19"/>
  <c r="B21" i="19"/>
  <c r="H8" i="19"/>
  <c r="K26" i="19"/>
  <c r="J26" i="19"/>
  <c r="J12" i="19"/>
  <c r="F19" i="19"/>
  <c r="J21" i="19"/>
  <c r="L26" i="19"/>
  <c r="J22" i="19"/>
  <c r="B30" i="19"/>
  <c r="D22" i="19"/>
  <c r="I13" i="19"/>
  <c r="D20" i="19"/>
  <c r="L30" i="19"/>
  <c r="K11" i="19"/>
  <c r="D19" i="19"/>
  <c r="D24" i="19"/>
  <c r="C16" i="19"/>
  <c r="K21" i="19"/>
  <c r="E11" i="19"/>
  <c r="J14" i="19"/>
  <c r="C17" i="19"/>
  <c r="B8" i="19"/>
  <c r="L18" i="19"/>
  <c r="E22" i="19"/>
  <c r="E21" i="19"/>
  <c r="J11" i="19"/>
  <c r="I16" i="19"/>
  <c r="I22" i="19"/>
  <c r="F31" i="19"/>
  <c r="H10" i="19"/>
  <c r="C22" i="19"/>
  <c r="D15" i="19"/>
  <c r="L24" i="19"/>
  <c r="B22" i="19"/>
  <c r="L27" i="19"/>
  <c r="K24" i="19"/>
  <c r="E20" i="19"/>
  <c r="I30" i="19"/>
  <c r="F8" i="19"/>
  <c r="B25" i="19"/>
  <c r="E9" i="19"/>
  <c r="C20" i="19"/>
  <c r="J30" i="19"/>
  <c r="F27" i="19"/>
  <c r="B20" i="19"/>
  <c r="E24" i="19"/>
  <c r="K30" i="19"/>
  <c r="J8" i="19"/>
  <c r="F26" i="19"/>
  <c r="D12" i="19"/>
  <c r="K23" i="19"/>
  <c r="B9" i="19"/>
  <c r="F18" i="19"/>
  <c r="D18" i="19"/>
  <c r="H26" i="19"/>
  <c r="D30" i="19"/>
  <c r="K13" i="19"/>
  <c r="E31" i="19"/>
  <c r="L13" i="19"/>
  <c r="D9" i="19"/>
  <c r="B12" i="19"/>
  <c r="I23" i="19"/>
  <c r="L14" i="19"/>
  <c r="I15" i="19"/>
  <c r="D29" i="19"/>
  <c r="I21" i="19"/>
  <c r="I19" i="19"/>
  <c r="E29" i="19"/>
  <c r="C15" i="19"/>
  <c r="F23" i="19"/>
  <c r="C29" i="19"/>
  <c r="H30" i="19"/>
  <c r="F20" i="19"/>
  <c r="I24" i="19"/>
  <c r="B14" i="19"/>
  <c r="K29" i="19"/>
  <c r="J25" i="19"/>
  <c r="F15" i="19"/>
  <c r="D27" i="19"/>
  <c r="C23" i="19"/>
  <c r="L22" i="19"/>
  <c r="H16" i="19"/>
  <c r="B31" i="19"/>
  <c r="I27" i="19"/>
  <c r="K25" i="19"/>
  <c r="I12" i="19"/>
  <c r="K15" i="19"/>
  <c r="B24" i="19"/>
  <c r="K8" i="19"/>
  <c r="C27" i="19"/>
  <c r="E15" i="19"/>
  <c r="C19" i="19"/>
  <c r="F10" i="19"/>
  <c r="L11" i="19"/>
  <c r="J27" i="19"/>
  <c r="F12" i="19"/>
  <c r="F25" i="19"/>
  <c r="J23" i="19"/>
  <c r="K22" i="19"/>
  <c r="B26" i="19"/>
  <c r="H25" i="19"/>
  <c r="D25" i="19"/>
  <c r="K17" i="19"/>
  <c r="E30" i="19"/>
  <c r="F16" i="19"/>
  <c r="J10" i="19"/>
  <c r="K12" i="19"/>
  <c r="H19" i="19"/>
  <c r="H13" i="19"/>
  <c r="B18" i="19"/>
  <c r="E8" i="19"/>
  <c r="E18" i="19"/>
  <c r="F29" i="19"/>
  <c r="E19" i="19"/>
  <c r="D14" i="19"/>
  <c r="K16" i="19"/>
  <c r="C9" i="19"/>
  <c r="B10" i="19"/>
  <c r="J24" i="19"/>
  <c r="E23" i="19"/>
  <c r="J31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N35" i="16"/>
  <c r="K35" i="16"/>
  <c r="J35" i="16"/>
  <c r="E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Q24" i="16"/>
  <c r="N24" i="16"/>
  <c r="M24" i="16"/>
  <c r="E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Y14" i="16"/>
  <c r="J16" i="16" s="1"/>
  <c r="AX14" i="16"/>
  <c r="G16" i="16" s="1"/>
  <c r="AV4" i="16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E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Q7" i="16"/>
  <c r="N7" i="16"/>
  <c r="M7" i="16"/>
  <c r="E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K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Q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AU22" i="15"/>
  <c r="P7" i="15" s="1"/>
  <c r="AC16" i="15"/>
  <c r="BW15" i="15"/>
  <c r="BV15" i="15"/>
  <c r="BF15" i="15"/>
  <c r="BD15" i="15"/>
  <c r="AX15" i="15"/>
  <c r="B42" i="15" s="1"/>
  <c r="AV12" i="15"/>
  <c r="AU12" i="15"/>
  <c r="P2" i="15" s="1"/>
  <c r="AC15" i="15"/>
  <c r="R15" i="15"/>
  <c r="P15" i="15"/>
  <c r="M15" i="15"/>
  <c r="K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Y13" i="15"/>
  <c r="AC13" i="15"/>
  <c r="N13" i="15"/>
  <c r="M13" i="15"/>
  <c r="E13" i="15"/>
  <c r="B13" i="15"/>
  <c r="A13" i="15"/>
  <c r="BW12" i="15"/>
  <c r="BV12" i="15"/>
  <c r="BF12" i="15"/>
  <c r="BD12" i="15"/>
  <c r="AX12" i="15"/>
  <c r="M3" i="15" s="1"/>
  <c r="AV11" i="15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Q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Q2" i="15"/>
  <c r="N2" i="15"/>
  <c r="M2" i="15"/>
  <c r="E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AY10" i="16" l="1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H8" i="5"/>
  <c r="F8" i="5"/>
  <c r="K8" i="5"/>
  <c r="G8" i="5"/>
  <c r="D8" i="5"/>
  <c r="B3" i="5"/>
  <c r="N8" i="5"/>
  <c r="I8" i="5"/>
  <c r="L8" i="5"/>
  <c r="M8" i="5"/>
  <c r="J8" i="5"/>
  <c r="O8" i="5"/>
  <c r="C8" i="5"/>
  <c r="E8" i="5"/>
  <c r="B8" i="5"/>
  <c r="D3" i="16" l="1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I50" i="8" l="1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AW50" i="8" l="1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6" i="15" l="1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2" i="15" l="1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AW17" i="15" l="1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M2" i="15" l="1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4" i="5"/>
  <c r="E4" i="5"/>
  <c r="L4" i="5"/>
  <c r="F6" i="5"/>
  <c r="G6" i="5"/>
  <c r="E6" i="5"/>
  <c r="I4" i="5"/>
  <c r="G4" i="5"/>
  <c r="J6" i="5"/>
  <c r="C6" i="5"/>
  <c r="N6" i="5"/>
  <c r="N4" i="5"/>
  <c r="F4" i="5"/>
  <c r="I6" i="5"/>
  <c r="H6" i="5"/>
  <c r="J4" i="5"/>
  <c r="D4" i="5"/>
  <c r="B6" i="5"/>
  <c r="O6" i="5"/>
  <c r="M4" i="5"/>
  <c r="M6" i="5"/>
  <c r="C4" i="5"/>
  <c r="K4" i="5"/>
  <c r="K6" i="5"/>
  <c r="O4" i="5"/>
  <c r="B4" i="5"/>
  <c r="D6" i="5"/>
  <c r="L6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F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H2" i="5"/>
  <c r="C2" i="5"/>
  <c r="L7" i="5"/>
  <c r="E2" i="5"/>
  <c r="J2" i="5"/>
  <c r="O7" i="5"/>
  <c r="G2" i="5"/>
  <c r="F3" i="5"/>
  <c r="O2" i="5"/>
  <c r="C7" i="5"/>
  <c r="I5" i="5"/>
  <c r="I3" i="5"/>
  <c r="N3" i="5"/>
  <c r="K2" i="5"/>
  <c r="M5" i="5"/>
  <c r="K3" i="5"/>
  <c r="G5" i="5"/>
  <c r="M7" i="5"/>
  <c r="B5" i="5"/>
  <c r="C5" i="5"/>
  <c r="I2" i="5"/>
  <c r="D5" i="5"/>
  <c r="B7" i="5"/>
  <c r="L2" i="5"/>
  <c r="G7" i="5"/>
  <c r="H5" i="5"/>
  <c r="N2" i="5"/>
  <c r="M3" i="5"/>
  <c r="G3" i="5"/>
  <c r="H3" i="5"/>
  <c r="O5" i="5"/>
  <c r="K7" i="5"/>
  <c r="K5" i="5"/>
  <c r="C3" i="5"/>
  <c r="M2" i="5"/>
  <c r="J7" i="5"/>
  <c r="H7" i="5"/>
  <c r="N5" i="5"/>
  <c r="J5" i="5"/>
  <c r="F7" i="5"/>
  <c r="E3" i="5"/>
  <c r="D3" i="5"/>
  <c r="E5" i="5"/>
  <c r="L3" i="5"/>
  <c r="J3" i="5"/>
  <c r="B2" i="5"/>
  <c r="D7" i="5"/>
  <c r="D2" i="5"/>
  <c r="N7" i="5"/>
  <c r="E7" i="5"/>
  <c r="F5" i="5"/>
  <c r="O3" i="5"/>
  <c r="F2" i="5"/>
  <c r="L5" i="5"/>
  <c r="I7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D28" i="3"/>
  <c r="N11" i="3"/>
  <c r="C8" i="3"/>
  <c r="J14" i="3"/>
  <c r="L8" i="3"/>
  <c r="J13" i="3"/>
  <c r="N12" i="3"/>
  <c r="G29" i="3"/>
  <c r="N15" i="3"/>
  <c r="N13" i="3"/>
  <c r="D29" i="3"/>
  <c r="J12" i="3"/>
  <c r="A14" i="3"/>
  <c r="E13" i="3"/>
  <c r="A12" i="3"/>
  <c r="J11" i="3"/>
  <c r="E11" i="3"/>
  <c r="M30" i="3"/>
  <c r="P30" i="3"/>
  <c r="E15" i="3"/>
  <c r="A11" i="3"/>
  <c r="E14" i="3"/>
  <c r="P29" i="3"/>
  <c r="N14" i="3"/>
  <c r="D30" i="3"/>
  <c r="G30" i="3"/>
  <c r="J15" i="3"/>
  <c r="A15" i="3"/>
  <c r="A13" i="3"/>
  <c r="E12" i="3"/>
  <c r="M29" i="3"/>
  <c r="G28" i="3"/>
  <c r="AW50" i="4" l="1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M26" i="3"/>
  <c r="C14" i="3"/>
  <c r="C13" i="3"/>
  <c r="P13" i="3"/>
  <c r="P14" i="3"/>
  <c r="L15" i="3"/>
  <c r="L14" i="3"/>
  <c r="P26" i="3"/>
  <c r="L13" i="3"/>
  <c r="P23" i="3"/>
  <c r="L11" i="3"/>
  <c r="G11" i="3"/>
  <c r="C11" i="3"/>
  <c r="L12" i="3"/>
  <c r="J30" i="3"/>
  <c r="P15" i="3"/>
  <c r="P12" i="3"/>
  <c r="G14" i="3"/>
  <c r="M22" i="3"/>
  <c r="C12" i="3"/>
  <c r="P11" i="3"/>
  <c r="J23" i="3"/>
  <c r="G15" i="3"/>
  <c r="G13" i="3"/>
  <c r="C15" i="3"/>
  <c r="M23" i="3"/>
  <c r="G12" i="3"/>
  <c r="J28" i="3"/>
  <c r="P22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23" i="3"/>
  <c r="R22" i="3"/>
  <c r="L28" i="3"/>
  <c r="O22" i="3"/>
  <c r="A30" i="3"/>
  <c r="O26" i="3"/>
  <c r="L30" i="3"/>
  <c r="G19" i="3"/>
  <c r="O23" i="3"/>
  <c r="R23" i="3"/>
  <c r="R26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P21" i="3"/>
  <c r="I19" i="3"/>
  <c r="P20" i="3"/>
  <c r="A27" i="3"/>
  <c r="M19" i="3"/>
  <c r="P19" i="3"/>
  <c r="D21" i="3"/>
  <c r="A22" i="3"/>
  <c r="J27" i="3"/>
  <c r="A21" i="3"/>
  <c r="J21" i="3"/>
  <c r="G23" i="3"/>
  <c r="G20" i="3"/>
  <c r="J26" i="3"/>
  <c r="M21" i="3"/>
  <c r="J19" i="3"/>
  <c r="J29" i="3"/>
  <c r="A20" i="3"/>
  <c r="C30" i="3"/>
  <c r="J20" i="3"/>
  <c r="J22" i="3"/>
  <c r="M20" i="3"/>
  <c r="D20" i="3"/>
  <c r="R6" i="3" l="1"/>
  <c r="G6" i="3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F21" i="3"/>
  <c r="I23" i="3"/>
  <c r="G26" i="3"/>
  <c r="C27" i="3"/>
  <c r="R19" i="3"/>
  <c r="A23" i="3"/>
  <c r="L29" i="3"/>
  <c r="C21" i="3"/>
  <c r="R21" i="3"/>
  <c r="O20" i="3"/>
  <c r="D23" i="3"/>
  <c r="A29" i="3"/>
  <c r="L21" i="3"/>
  <c r="R20" i="3"/>
  <c r="L22" i="3"/>
  <c r="D22" i="3"/>
  <c r="A19" i="3"/>
  <c r="L19" i="3"/>
  <c r="A28" i="3"/>
  <c r="F20" i="3"/>
  <c r="L27" i="3"/>
  <c r="D26" i="3"/>
  <c r="C20" i="3"/>
  <c r="G22" i="3"/>
  <c r="D19" i="3"/>
  <c r="I20" i="3"/>
  <c r="L26" i="3"/>
  <c r="G21" i="3"/>
  <c r="L20" i="3"/>
  <c r="C22" i="3"/>
  <c r="O21" i="3"/>
  <c r="A26" i="3"/>
  <c r="O19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9" i="3"/>
  <c r="C26" i="3"/>
  <c r="C23" i="3"/>
  <c r="I26" i="3"/>
  <c r="I22" i="3"/>
  <c r="I21" i="3"/>
  <c r="F19" i="3"/>
  <c r="F26" i="3"/>
  <c r="F22" i="3"/>
  <c r="F23" i="3"/>
  <c r="C19" i="3"/>
  <c r="C28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8" i="3"/>
  <c r="M27" i="3"/>
  <c r="P27" i="3"/>
  <c r="P28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R27" i="3"/>
  <c r="O27" i="3"/>
  <c r="O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<sst xmlns="http://schemas.openxmlformats.org/spreadsheetml/2006/main" count="4487" uniqueCount="1470">
  <si>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</si>
  <si>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</si>
  <si>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</si>
  <si>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</si>
  <si>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</si>
  <si>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</si>
  <si>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</si>
  <si>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</si>
  <si>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</si>
  <si>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</si>
  <si>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</si>
  <si>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</si>
  <si>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</si>
  <si>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</si>
  <si>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</si>
  <si>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</si>
  <si>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</si>
  <si>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</si>
  <si>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</si>
  <si>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</si>
  <si>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</si>
  <si>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</si>
  <si>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</si>
  <si>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</si>
  <si>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</si>
  <si>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</si>
  <si>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</si>
  <si>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</si>
  <si>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</si>
  <si>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</si>
  <si>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</si>
  <si>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</si>
  <si>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</si>
  <si>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</si>
  <si>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</si>
  <si>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</si>
  <si>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</si>
  <si>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</si>
  <si>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</si>
  <si>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</si>
  <si>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</si>
  <si>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</si>
  <si>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</si>
  <si>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</si>
  <si>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</si>
  <si>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</si>
  <si>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</si>
  <si>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</si>
  <si>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</si>
  <si>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</si>
  <si>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</si>
  <si>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</si>
  <si>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</si>
  <si>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</si>
  <si>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</si>
  <si>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</si>
  <si>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</si>
  <si>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</si>
  <si>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</si>
  <si>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</si>
  <si>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</si>
  <si>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</si>
  <si>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</si>
  <si>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</si>
  <si>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</si>
  <si>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</si>
  <si>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</si>
  <si>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</si>
  <si>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</si>
  <si>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</si>
  <si>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</si>
  <si>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</si>
  <si>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</si>
  <si>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</si>
  <si>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</si>
  <si>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</si>
  <si>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</si>
  <si>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</si>
  <si>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</si>
  <si>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</si>
  <si>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</si>
  <si>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</si>
  <si>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</si>
  <si>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</si>
  <si>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</si>
  <si>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</si>
  <si>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</si>
  <si>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</si>
  <si>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</si>
  <si>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</si>
  <si>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</si>
  <si>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</si>
  <si>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</si>
  <si>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</si>
  <si>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</si>
  <si>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</si>
  <si>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</si>
  <si>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</si>
  <si>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</si>
  <si>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</si>
  <si>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</si>
  <si>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</si>
  <si>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</si>
  <si>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</si>
  <si>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</si>
  <si>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</si>
  <si>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</si>
  <si>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</si>
  <si>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</si>
  <si>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</si>
  <si>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</si>
  <si>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</si>
  <si>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</si>
  <si>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</si>
  <si>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</si>
  <si>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</si>
  <si>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</si>
  <si>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</si>
  <si>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</si>
  <si>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</si>
  <si>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</si>
  <si>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</si>
  <si>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</si>
  <si>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</si>
  <si>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</si>
  <si>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</si>
  <si>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</si>
  <si>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</si>
  <si>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</si>
  <si>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</si>
  <si>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</si>
  <si>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</si>
  <si>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</si>
  <si>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</si>
  <si>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</si>
  <si>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</si>
  <si>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</si>
  <si>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</si>
  <si>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</si>
  <si>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</si>
  <si>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</si>
  <si>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</si>
  <si>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</si>
  <si>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</si>
  <si>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</si>
  <si>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</si>
  <si>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</si>
  <si>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</si>
  <si>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</si>
  <si>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</si>
  <si>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</si>
  <si>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</si>
  <si>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</si>
  <si>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</si>
  <si>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</si>
  <si>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</si>
  <si>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</si>
  <si>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</si>
  <si>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</si>
  <si>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</si>
  <si>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</si>
  <si>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</si>
  <si>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</si>
  <si>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</si>
  <si>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</si>
  <si>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</si>
  <si>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</si>
  <si>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</si>
  <si>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</si>
  <si>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</si>
  <si>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</si>
  <si>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</si>
  <si>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</si>
  <si>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</si>
  <si>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</si>
  <si>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</si>
  <si>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</si>
  <si>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</si>
  <si>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</si>
  <si>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</si>
  <si>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</si>
  <si>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</si>
  <si>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</si>
  <si>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</si>
  <si>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</si>
  <si>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</si>
  <si>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</si>
  <si>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</si>
  <si>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</si>
  <si>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</si>
  <si>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</si>
  <si>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</si>
  <si>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</si>
  <si>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</si>
  <si>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</si>
  <si>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</si>
  <si>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</si>
  <si>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</si>
  <si>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</si>
  <si>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</si>
  <si>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</si>
  <si>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</si>
  <si>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</si>
  <si>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</si>
  <si>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</si>
  <si>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</si>
  <si>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</si>
  <si>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</si>
  <si>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</si>
  <si>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</si>
  <si>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</si>
  <si>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</si>
  <si>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</si>
  <si>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</si>
  <si>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</si>
  <si>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</si>
  <si>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</si>
  <si>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</si>
  <si>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</si>
  <si>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</si>
  <si>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</si>
  <si>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</si>
  <si>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</si>
  <si>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</si>
  <si>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</si>
  <si>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</si>
  <si>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</si>
  <si>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</si>
  <si>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</si>
  <si>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</si>
  <si>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</si>
  <si>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</si>
  <si>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</si>
  <si>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</si>
  <si>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</si>
  <si>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</si>
  <si>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</si>
  <si>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</si>
  <si>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</si>
  <si>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</si>
  <si>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</si>
  <si>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</si>
  <si>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</si>
  <si>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</si>
  <si>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</si>
  <si>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</si>
  <si>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</si>
  <si>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</si>
  <si>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</si>
  <si>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</si>
  <si>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</si>
  <si>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</si>
  <si>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</si>
  <si>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</si>
  <si>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</si>
  <si>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</si>
  <si>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</si>
  <si>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</si>
  <si>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</si>
  <si>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</si>
  <si>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</si>
  <si>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</si>
  <si>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</si>
  <si>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</si>
  <si>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</si>
  <si>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</si>
  <si>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</si>
  <si>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</si>
  <si>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</si>
  <si>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</si>
  <si>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</si>
  <si>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</si>
  <si>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</si>
  <si>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</si>
  <si>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</si>
  <si>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</si>
  <si>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</si>
  <si>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</si>
  <si>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</si>
  <si>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</si>
  <si>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</si>
  <si>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</si>
  <si>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</si>
  <si>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</si>
  <si>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</si>
  <si>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</si>
  <si>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</si>
  <si>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</si>
  <si>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</si>
  <si>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</si>
  <si>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</si>
  <si>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</si>
  <si>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</si>
  <si>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</si>
  <si>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</si>
  <si>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</si>
  <si>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</si>
  <si>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</si>
  <si>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</si>
  <si>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</si>
  <si>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</si>
  <si>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</si>
  <si>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</si>
  <si>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</si>
  <si>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</si>
  <si>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</si>
  <si>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</si>
  <si>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</si>
  <si>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</si>
  <si>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</si>
  <si>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</si>
  <si>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</si>
  <si>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</si>
  <si>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</si>
  <si>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</si>
  <si>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</si>
  <si>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</si>
  <si>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</si>
  <si>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</si>
  <si>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</si>
  <si>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</si>
  <si>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</si>
  <si>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</si>
  <si>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</si>
  <si>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</si>
  <si>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</si>
  <si>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</si>
  <si>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</si>
  <si>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</si>
  <si>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</si>
  <si>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</si>
  <si>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</si>
  <si>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</si>
  <si>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</si>
  <si>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</si>
  <si>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</si>
  <si>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</si>
  <si>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</si>
  <si>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</si>
  <si>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</si>
  <si>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</si>
  <si>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</si>
  <si>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</si>
  <si>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</si>
  <si>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</si>
  <si>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</si>
  <si>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</si>
  <si>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</si>
  <si>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</si>
  <si>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</si>
  <si>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</si>
  <si>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</si>
  <si>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</si>
  <si>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</si>
  <si>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</si>
  <si>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</si>
  <si>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</si>
  <si>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</si>
  <si>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</si>
  <si>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</si>
  <si>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</si>
  <si>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</si>
  <si>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</si>
  <si>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</si>
  <si>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</si>
  <si>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</si>
  <si>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</si>
  <si>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</si>
  <si>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</si>
  <si>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</si>
  <si>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</si>
  <si>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</si>
  <si>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</si>
  <si>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</si>
  <si>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</si>
  <si>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</si>
  <si>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</si>
  <si>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</si>
  <si>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</si>
  <si>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</si>
  <si>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</si>
  <si>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</si>
  <si>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</si>
  <si>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</si>
  <si>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</si>
  <si>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</si>
  <si>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</si>
  <si>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</si>
  <si>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</si>
  <si>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</si>
  <si>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</si>
  <si>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</si>
  <si>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</si>
  <si>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</si>
  <si>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</si>
  <si>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</si>
  <si>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</si>
  <si>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</si>
  <si>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</si>
  <si>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</si>
  <si>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</si>
  <si>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</si>
  <si>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</si>
  <si>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</si>
  <si>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</si>
  <si>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</si>
  <si>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</si>
  <si>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</si>
  <si>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</si>
  <si>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</si>
  <si>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</si>
  <si>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</si>
  <si>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</si>
  <si>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</si>
  <si>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</si>
  <si>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</si>
  <si>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</si>
  <si>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</si>
  <si>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</si>
  <si>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</si>
  <si>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</si>
  <si>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</si>
  <si>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</si>
  <si>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</si>
  <si>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</si>
  <si>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</si>
  <si>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</si>
  <si>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</si>
  <si>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</si>
  <si>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</si>
  <si>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</si>
  <si>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</si>
  <si>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</si>
  <si>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</si>
  <si>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</si>
  <si>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</si>
  <si>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</si>
  <si>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</si>
  <si>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</si>
  <si>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</si>
  <si>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</si>
  <si>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</si>
  <si>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</si>
  <si>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</si>
  <si>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</si>
  <si>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</si>
  <si>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</si>
  <si>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</si>
  <si>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</si>
  <si>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</si>
  <si>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</si>
  <si>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</si>
  <si>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</si>
  <si>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</si>
  <si>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</si>
  <si>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</si>
  <si>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</si>
  <si>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</si>
  <si>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</si>
  <si>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</si>
  <si>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</si>
  <si>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</si>
  <si>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</si>
  <si>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</si>
  <si>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</si>
  <si>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</si>
  <si>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</si>
  <si>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</si>
  <si>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</si>
  <si>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</si>
  <si>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</si>
  <si>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</si>
  <si>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</si>
  <si>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</si>
  <si>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</si>
  <si>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</si>
  <si>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</si>
  <si>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</si>
  <si>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</si>
  <si>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</si>
  <si>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</si>
  <si>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</si>
  <si>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</si>
  <si>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</si>
  <si>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</si>
  <si>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</si>
  <si>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</si>
  <si>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</si>
  <si>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</si>
  <si>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</si>
  <si>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</si>
  <si>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</si>
  <si>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</si>
  <si>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</si>
  <si>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</si>
  <si>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</si>
  <si>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</si>
  <si>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</si>
  <si>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</si>
  <si>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</si>
  <si>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</si>
  <si>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</si>
  <si>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</si>
  <si>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</si>
  <si>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</si>
  <si>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</si>
  <si>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</si>
  <si>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</si>
  <si>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</si>
  <si>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</si>
  <si>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</si>
  <si>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</si>
  <si>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</si>
  <si>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</si>
  <si>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</si>
  <si>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</si>
  <si>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</si>
  <si>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</si>
  <si>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</si>
  <si>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</si>
  <si>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</si>
  <si>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</si>
  <si>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</si>
  <si>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</si>
  <si>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</si>
  <si>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</si>
  <si>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</si>
  <si>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</si>
  <si>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</si>
  <si>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</si>
  <si>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</si>
  <si>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</si>
  <si>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</si>
  <si>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</si>
  <si>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</si>
  <si>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</si>
  <si>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</si>
  <si>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</si>
  <si>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</si>
  <si>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</si>
  <si>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</si>
  <si>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</si>
  <si>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</si>
  <si>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</si>
  <si>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</si>
  <si>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</si>
  <si>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</si>
  <si>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</si>
  <si>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</si>
  <si>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</si>
  <si>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</si>
  <si>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</si>
  <si>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</si>
  <si>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</si>
  <si>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</si>
  <si>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</si>
  <si>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</si>
  <si>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</si>
  <si>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</si>
  <si>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</si>
  <si>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</si>
  <si>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</si>
  <si>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</si>
  <si>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</si>
  <si>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</si>
  <si>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</si>
  <si>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</si>
  <si>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</si>
  <si>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</si>
  <si>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</si>
  <si>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</si>
  <si>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</si>
  <si>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</si>
  <si>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</si>
  <si>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</si>
  <si>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</si>
  <si>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</si>
  <si>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</si>
  <si>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</si>
  <si>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</si>
  <si>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</si>
  <si>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</si>
  <si>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</si>
  <si>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</si>
  <si>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</si>
  <si>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</si>
  <si>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</si>
  <si>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</si>
  <si>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</si>
  <si>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</si>
  <si>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</si>
  <si>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</si>
  <si>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</si>
  <si>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</si>
  <si>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</si>
  <si>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</si>
  <si>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</si>
  <si>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</si>
  <si>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</si>
  <si>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</si>
  <si>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</si>
  <si>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</si>
  <si>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</si>
  <si>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</si>
  <si>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</si>
  <si>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</si>
  <si>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</si>
  <si>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</si>
  <si>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</si>
  <si>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</si>
  <si>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</si>
  <si>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</si>
  <si>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</si>
  <si>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</si>
  <si>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</si>
  <si>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</si>
  <si>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</si>
  <si>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</si>
  <si>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</si>
  <si>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</si>
  <si>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</si>
  <si>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</si>
  <si>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</si>
  <si>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</si>
  <si>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</si>
  <si>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</si>
  <si>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</si>
  <si>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</si>
  <si>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</si>
  <si>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</si>
  <si>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</si>
  <si>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</si>
  <si>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</si>
  <si>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</si>
  <si>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</si>
  <si>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</si>
  <si>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</si>
  <si>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</si>
  <si>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</si>
  <si>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</si>
  <si>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</si>
  <si>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</si>
  <si>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</si>
  <si>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</si>
  <si>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</si>
  <si>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</si>
  <si>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</si>
  <si>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</si>
  <si>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</si>
  <si>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</si>
  <si>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</si>
  <si>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</si>
  <si>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</si>
  <si>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</si>
  <si>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</si>
  <si>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</si>
  <si>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</si>
  <si>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</si>
  <si>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</si>
  <si>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</si>
  <si>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</si>
  <si>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</si>
  <si>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</si>
  <si>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</si>
  <si>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</si>
  <si>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</si>
  <si>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</si>
  <si>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</si>
  <si>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</si>
  <si>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</si>
  <si>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</si>
  <si>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</si>
  <si>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</si>
  <si>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</si>
  <si>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</si>
  <si>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</si>
  <si>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</si>
  <si>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</si>
  <si>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</si>
  <si>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</si>
  <si>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</si>
  <si>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</si>
  <si>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</si>
  <si>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</si>
  <si>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</si>
  <si>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</si>
  <si>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</si>
  <si>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</si>
  <si>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</si>
  <si>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</si>
  <si>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</si>
  <si>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</si>
  <si>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</si>
  <si>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</si>
  <si>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</si>
  <si>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</si>
  <si>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</si>
  <si>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</si>
  <si>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</si>
  <si>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</si>
  <si>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</si>
  <si>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</si>
  <si>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</si>
  <si>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</si>
  <si>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</si>
  <si>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</si>
  <si>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</si>
  <si>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</si>
  <si>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</si>
  <si>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</si>
  <si>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</si>
  <si>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</si>
  <si>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</si>
  <si>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</si>
  <si>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</si>
  <si>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</si>
  <si>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</si>
  <si>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</si>
  <si>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</si>
  <si>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</si>
  <si>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</si>
  <si>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</si>
  <si>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</si>
  <si>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</si>
  <si>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</si>
  <si>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</si>
  <si>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</si>
  <si>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</si>
  <si>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</si>
  <si>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</si>
  <si>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</si>
  <si>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</si>
  <si>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</si>
  <si>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</si>
  <si>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</si>
  <si>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</si>
  <si>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</si>
  <si>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</si>
  <si>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</si>
  <si>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</si>
  <si>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</si>
  <si>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</si>
  <si>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</si>
  <si>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</si>
  <si>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</si>
  <si>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</si>
  <si>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</si>
  <si>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</si>
  <si>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</si>
  <si>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</si>
  <si>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</si>
  <si>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</si>
  <si>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1. Karel Šantora</t>
  </si>
  <si>
    <t>2. Petr Musil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</si>
  <si>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</si>
  <si>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</si>
  <si>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</si>
  <si>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</si>
  <si>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</si>
  <si>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</si>
  <si>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</si>
  <si>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</si>
  <si>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3. Mikuláš Komárek</t>
  </si>
  <si>
    <t>Lukáš Kafka</t>
  </si>
  <si>
    <t>Jakub Levínský</t>
  </si>
  <si>
    <t>2:4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</si>
  <si>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</si>
  <si>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</si>
  <si>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</si>
  <si>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</si>
  <si>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</si>
  <si>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</si>
  <si>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</si>
  <si>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</si>
  <si>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</si>
  <si>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</si>
  <si>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</si>
  <si>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</si>
  <si>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</si>
  <si>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</si>
  <si>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</si>
  <si>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</si>
  <si>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</si>
  <si>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</si>
  <si>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</si>
  <si>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</si>
  <si>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</si>
  <si>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</si>
  <si>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</si>
  <si>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</si>
  <si>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</si>
  <si>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</si>
  <si>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</si>
  <si>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</si>
  <si>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</si>
  <si>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</si>
  <si>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</si>
  <si>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</si>
  <si>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</si>
  <si>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</si>
  <si>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</si>
  <si>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</si>
  <si>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</si>
  <si>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</si>
  <si>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</si>
  <si>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</si>
  <si>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</si>
  <si>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</si>
  <si>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</si>
  <si>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</si>
  <si>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</si>
  <si>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</si>
  <si>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</si>
  <si>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</si>
  <si>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</si>
  <si>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</si>
  <si>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</si>
  <si>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</si>
  <si>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</si>
  <si>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</si>
  <si>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</si>
  <si>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</si>
  <si>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</si>
  <si>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</si>
  <si>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</si>
  <si>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</si>
  <si>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</si>
  <si>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</si>
  <si>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</si>
  <si>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</si>
  <si>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</si>
  <si>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</si>
  <si>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</si>
  <si>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</si>
  <si>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</si>
  <si>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</si>
  <si>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</si>
  <si>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</si>
  <si>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</si>
  <si>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</si>
  <si>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</si>
  <si>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</si>
  <si>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</si>
  <si>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</si>
  <si>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</si>
  <si>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</si>
  <si>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</si>
  <si>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</si>
  <si>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</si>
  <si>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</si>
  <si>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</si>
  <si>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CLP (h)</t>
  </si>
  <si>
    <t>2. Petr Majer</t>
  </si>
  <si>
    <t>5,64</t>
  </si>
  <si>
    <t>4. Martin Skřivánek</t>
  </si>
  <si>
    <t>Marek Matoušek</t>
  </si>
  <si>
    <t>Matěj Netrefa</t>
  </si>
  <si>
    <t>BA (h)</t>
  </si>
  <si>
    <t>9:4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</si>
  <si>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</si>
  <si>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</si>
  <si>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</si>
  <si>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</si>
  <si>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</si>
  <si>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</si>
  <si>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</si>
  <si>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</si>
  <si>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</si>
  <si>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</si>
  <si>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</si>
  <si>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</si>
  <si>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</si>
  <si>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</si>
  <si>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</si>
  <si>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</si>
  <si>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</si>
  <si>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</si>
  <si>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</si>
  <si>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</si>
  <si>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</si>
  <si>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</si>
  <si>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</si>
  <si>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</si>
  <si>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</si>
  <si>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</si>
  <si>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</si>
  <si>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</si>
  <si>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</si>
  <si>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</si>
  <si>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</si>
  <si>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</si>
  <si>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</si>
  <si>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</si>
  <si>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</si>
  <si>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</si>
  <si>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</si>
  <si>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</si>
  <si>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</si>
  <si>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</si>
  <si>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</si>
  <si>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</si>
  <si>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</si>
  <si>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</si>
  <si>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</si>
  <si>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</si>
  <si>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</si>
  <si>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</si>
  <si>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</si>
  <si>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</si>
  <si>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</si>
  <si>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</si>
  <si>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</si>
  <si>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</si>
  <si>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</si>
  <si>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</si>
  <si>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</si>
  <si>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</si>
  <si>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</si>
  <si>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</si>
  <si>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</si>
  <si>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</si>
  <si>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</si>
  <si>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</si>
  <si>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</si>
  <si>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</si>
  <si>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</si>
  <si>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</si>
  <si>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</si>
  <si>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</si>
  <si>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</si>
  <si>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</si>
  <si>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</si>
  <si>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</si>
  <si>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</si>
  <si>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</si>
  <si>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</si>
  <si>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</si>
  <si>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</si>
  <si>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</si>
  <si>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</si>
  <si>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</si>
  <si>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</si>
  <si>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</si>
  <si>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</si>
  <si>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</si>
  <si>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</si>
  <si>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</si>
  <si>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</si>
  <si>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</si>
  <si>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</si>
  <si>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</si>
  <si>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</si>
  <si>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</si>
  <si>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</si>
  <si>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</si>
  <si>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</si>
  <si>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</si>
  <si>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</si>
  <si>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</si>
  <si>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</si>
  <si>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</si>
  <si>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</si>
  <si>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</si>
  <si>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</si>
  <si>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</si>
  <si>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</si>
  <si>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</si>
  <si>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</si>
  <si>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</si>
  <si>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</si>
  <si>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</si>
  <si>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</si>
  <si>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</si>
  <si>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</si>
  <si>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</si>
  <si>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</si>
  <si>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</si>
  <si>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</si>
  <si>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</si>
  <si>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</si>
  <si>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</si>
  <si>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</si>
  <si>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</si>
  <si>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</si>
  <si>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</si>
  <si>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</si>
  <si>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</si>
  <si>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</si>
  <si>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</si>
  <si>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</si>
  <si>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</si>
  <si>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</si>
  <si>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</si>
  <si>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</si>
  <si>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</si>
  <si>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</si>
  <si>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</si>
  <si>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</si>
  <si>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</si>
  <si>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</si>
  <si>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</si>
  <si>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</si>
  <si>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</si>
  <si>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</si>
  <si>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</si>
  <si>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</si>
  <si>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</si>
  <si>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</si>
  <si>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</si>
  <si>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</si>
  <si>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</si>
  <si>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</si>
  <si>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</si>
  <si>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</si>
  <si>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</si>
  <si>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</si>
  <si>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</si>
  <si>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</si>
  <si>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</si>
  <si>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</si>
  <si>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</si>
  <si>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</si>
  <si>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3. Ivan Pergler</t>
  </si>
  <si>
    <t>5. Jan Procházka</t>
  </si>
  <si>
    <t>4. Jan Fiala</t>
  </si>
  <si>
    <t>4. Ivan Pergler</t>
  </si>
  <si>
    <t>Lukáš Blaszczyk</t>
  </si>
  <si>
    <t>3. Milan Tichý</t>
  </si>
  <si>
    <t>6. 11.</t>
  </si>
  <si>
    <t>7,42</t>
  </si>
  <si>
    <t>9,09</t>
  </si>
  <si>
    <t>5. Jakub Procházka</t>
  </si>
  <si>
    <t>Adam Pospíchal</t>
  </si>
  <si>
    <t>7:3</t>
  </si>
  <si>
    <t>1. Karel Hodík</t>
  </si>
  <si>
    <t>4. Mikuláš Komárek</t>
  </si>
  <si>
    <t>5. Vojtěch Wiener</t>
  </si>
  <si>
    <t>3:7</t>
  </si>
  <si>
    <t>25. 10.</t>
  </si>
  <si>
    <t>2. Patrik Suchánek</t>
  </si>
  <si>
    <t>3. Jiří Curney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</si>
  <si>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</si>
  <si>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</si>
  <si>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</si>
  <si>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</si>
  <si>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</si>
  <si>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</si>
  <si>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</si>
  <si>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</si>
  <si>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</si>
  <si>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5:6</t>
  </si>
  <si>
    <t>5. Jan Savický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</si>
  <si>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</si>
  <si>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</si>
  <si>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</si>
  <si>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</si>
  <si>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</si>
  <si>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</si>
  <si>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</si>
  <si>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</si>
  <si>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</si>
  <si>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</si>
  <si>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</si>
  <si>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</si>
  <si>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</si>
  <si>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</si>
  <si>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</si>
  <si>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</si>
  <si>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</si>
  <si>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</si>
  <si>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</si>
  <si>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</si>
  <si>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</si>
  <si>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</si>
  <si>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</si>
  <si>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</si>
  <si>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</si>
  <si>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</si>
  <si>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</si>
  <si>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</si>
  <si>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</si>
  <si>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</si>
  <si>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</si>
  <si>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</si>
  <si>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</si>
  <si>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</si>
  <si>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</si>
  <si>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</si>
  <si>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</si>
  <si>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</si>
  <si>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</si>
  <si>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</si>
  <si>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</si>
  <si>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</si>
  <si>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</si>
  <si>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</si>
  <si>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</si>
  <si>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</si>
  <si>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</si>
  <si>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</si>
  <si>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</si>
  <si>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</si>
  <si>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2. Jan Fiala</t>
  </si>
  <si>
    <t>3. Vojtěch Klápa</t>
  </si>
  <si>
    <t>2. Vojtěch Klápa</t>
  </si>
  <si>
    <t>1. Ondřej Stuchlík</t>
  </si>
  <si>
    <t>5. Daniel Cabejšek</t>
  </si>
  <si>
    <t>Štěpán Kostrhún</t>
  </si>
  <si>
    <t>Jakub Kocourek</t>
  </si>
  <si>
    <t>9:7</t>
  </si>
  <si>
    <t>8:7p</t>
  </si>
  <si>
    <t>20. 11.</t>
  </si>
  <si>
    <t>22. 11.</t>
  </si>
  <si>
    <t>2. Tomáš Hanák</t>
  </si>
  <si>
    <t>5. Radek Hanák</t>
  </si>
  <si>
    <t>4,50</t>
  </si>
  <si>
    <t>3. Jakub Hromada</t>
  </si>
  <si>
    <t>5. Martin Obuškevič</t>
  </si>
  <si>
    <t>1. Matěj Boček</t>
  </si>
  <si>
    <t>1. Vojtěch Novotný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</si>
  <si>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</si>
  <si>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</si>
  <si>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</si>
  <si>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</si>
  <si>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</si>
  <si>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</si>
  <si>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</si>
  <si>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</si>
  <si>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</si>
  <si>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</si>
  <si>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</si>
  <si>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</si>
  <si>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3. Štěpán Slaný</t>
  </si>
  <si>
    <t>4. Radek Krajcigr</t>
  </si>
  <si>
    <t>5. Jaromír Ekl</t>
  </si>
  <si>
    <t>7,71</t>
  </si>
  <si>
    <t>7,77</t>
  </si>
  <si>
    <t>15,00</t>
  </si>
  <si>
    <t>2. Štěpán Slaný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</si>
  <si>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</si>
  <si>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</si>
  <si>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</si>
  <si>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</si>
  <si>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</si>
  <si>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</si>
  <si>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</si>
  <si>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</si>
  <si>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</si>
  <si>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</si>
  <si>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</si>
  <si>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</si>
  <si>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</si>
  <si>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</si>
  <si>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</si>
  <si>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3. Tom Ondrušek</t>
  </si>
  <si>
    <t>5. Daniel Eremiáš</t>
  </si>
  <si>
    <t>4. Daniel Eremiáš</t>
  </si>
  <si>
    <t>5. Tom Ondrušek</t>
  </si>
  <si>
    <t>5. Jiří Bauer</t>
  </si>
  <si>
    <t>1. Šimon Stránský</t>
  </si>
  <si>
    <t>3. Radek Valeš</t>
  </si>
  <si>
    <t>4. Filip Smutný</t>
  </si>
  <si>
    <t>2. Daniel Mück</t>
  </si>
  <si>
    <t>4. Jan Král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</si>
  <si>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</si>
  <si>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</si>
  <si>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</si>
  <si>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</si>
  <si>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</si>
  <si>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</si>
  <si>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</si>
  <si>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</si>
  <si>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2. Jakub Bína</t>
  </si>
  <si>
    <t>5. Tadeáš Chroust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</si>
  <si>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</si>
  <si>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</si>
  <si>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</si>
  <si>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</si>
  <si>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</si>
  <si>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</si>
  <si>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</si>
  <si>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</si>
  <si>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</si>
  <si>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3. Wojciech Malajka</t>
  </si>
  <si>
    <t>4,37</t>
  </si>
  <si>
    <t>1. Lukáš Pešat</t>
  </si>
  <si>
    <t>2. Šimon Kuczera</t>
  </si>
  <si>
    <t>5. Šimon Soukup</t>
  </si>
  <si>
    <t>1. Daniel Chatrný</t>
  </si>
  <si>
    <t>3. Peter Nehila</t>
  </si>
  <si>
    <t>2. Tomáš Sovják</t>
  </si>
  <si>
    <t>3. Jiří Halama</t>
  </si>
  <si>
    <t>4. Josef Štourač</t>
  </si>
  <si>
    <t>5. Ronald Gašparík</t>
  </si>
  <si>
    <t>8:9</t>
  </si>
  <si>
    <t>4:5p</t>
  </si>
  <si>
    <t>2:13</t>
  </si>
  <si>
    <t>1. Adam Šmíd</t>
  </si>
  <si>
    <t>7,32</t>
  </si>
  <si>
    <t>10,14</t>
  </si>
  <si>
    <t>4. Jan Savický</t>
  </si>
  <si>
    <t>2. Přemek Pakosta</t>
  </si>
  <si>
    <t>3. Ivo Teichman</t>
  </si>
  <si>
    <t>4. Ivo Teichman</t>
  </si>
  <si>
    <t>5. Lukáš Kučera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</si>
  <si>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</si>
  <si>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</si>
  <si>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</si>
  <si>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</si>
  <si>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</si>
  <si>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</si>
  <si>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</si>
  <si>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</si>
  <si>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</si>
  <si>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</si>
  <si>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Adam Kučera</t>
  </si>
  <si>
    <t>Filip Eliáš</t>
  </si>
  <si>
    <t>5:2</t>
  </si>
  <si>
    <t>1,50</t>
  </si>
  <si>
    <t>3. Tomáš Jurco</t>
  </si>
  <si>
    <t>3,59</t>
  </si>
  <si>
    <t>3. Matěj Havlas</t>
  </si>
  <si>
    <t>5. Petr Brautferger</t>
  </si>
  <si>
    <t>Jan Slaběňák</t>
  </si>
  <si>
    <t>2. Rostislav Gattnar</t>
  </si>
  <si>
    <t>4. Matyáš Šindler</t>
  </si>
  <si>
    <t>5. Jiří Besta</t>
  </si>
  <si>
    <t>2. Adam Delong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</si>
  <si>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</si>
  <si>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</si>
  <si>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</si>
  <si>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</si>
  <si>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</si>
  <si>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</si>
  <si>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</si>
  <si>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</si>
  <si>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</si>
  <si>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</si>
  <si>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</si>
  <si>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</si>
  <si>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</si>
  <si>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</si>
  <si>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</si>
  <si>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</si>
  <si>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</si>
  <si>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</si>
  <si>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</si>
  <si>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</si>
  <si>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</si>
  <si>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</si>
  <si>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</si>
  <si>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</si>
  <si>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</si>
  <si>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</si>
  <si>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</si>
  <si>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</si>
  <si>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</si>
  <si>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</si>
  <si>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</si>
  <si>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</si>
  <si>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</si>
  <si>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</si>
  <si>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</si>
  <si>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</si>
  <si>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</si>
  <si>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</si>
  <si>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</si>
  <si>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</si>
  <si>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</si>
  <si>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</si>
  <si>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</si>
  <si>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</si>
  <si>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</si>
  <si>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</si>
  <si>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</si>
  <si>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</si>
  <si>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</si>
  <si>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</si>
  <si>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</si>
  <si>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</si>
  <si>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</si>
  <si>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</si>
  <si>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</si>
  <si>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</si>
  <si>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</si>
  <si>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</si>
  <si>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</si>
  <si>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</si>
  <si>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</si>
  <si>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</si>
  <si>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</si>
  <si>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</si>
  <si>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</si>
  <si>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</si>
  <si>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</si>
  <si>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</si>
  <si>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</si>
  <si>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</si>
  <si>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</si>
  <si>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</si>
  <si>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</si>
  <si>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</si>
  <si>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</si>
  <si>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5. Matěj Hronek</t>
  </si>
  <si>
    <t>2. Marek Fuchs</t>
  </si>
  <si>
    <t>3. Tomáš Brom</t>
  </si>
  <si>
    <t>2. Lukáš Jalový</t>
  </si>
  <si>
    <t>4. Lukáš Lhota</t>
  </si>
  <si>
    <t>24. 11.</t>
  </si>
  <si>
    <t>4,62</t>
  </si>
  <si>
    <t>1:5</t>
  </si>
  <si>
    <t>2021/2022</t>
  </si>
  <si>
    <t>3:5</t>
  </si>
  <si>
    <t>5 zápasů, 4 - 0 - 0 - 0 - 1, skóre 24:16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</si>
  <si>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</si>
  <si>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</si>
  <si>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</si>
  <si>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</si>
  <si>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</si>
  <si>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</si>
  <si>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</si>
  <si>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</si>
  <si>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</si>
  <si>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</si>
  <si>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</si>
  <si>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</si>
  <si>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</si>
  <si>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</si>
  <si>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</si>
  <si>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</si>
  <si>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</si>
  <si>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</si>
  <si>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</si>
  <si>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</si>
  <si>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</si>
  <si>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</si>
  <si>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</si>
  <si>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</si>
  <si>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</si>
  <si>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</si>
  <si>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</si>
  <si>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</si>
  <si>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</si>
  <si>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</si>
  <si>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</si>
  <si>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P - P - V - V - P - P - P - V - P - P</t>
  </si>
  <si>
    <t>5. Ondřej Stuchlík</t>
  </si>
  <si>
    <t>7,05</t>
  </si>
  <si>
    <t>3. Zbyněk Stuchlík</t>
  </si>
  <si>
    <t>4. Štěpán Čuda</t>
  </si>
  <si>
    <t>6,89</t>
  </si>
  <si>
    <t>4. Jakub Renčín</t>
  </si>
  <si>
    <t>5. Tomáš Hanák</t>
  </si>
  <si>
    <t>2. Jakub Hromada</t>
  </si>
  <si>
    <t>3. Matouš Burian</t>
  </si>
  <si>
    <t>5. Jakub Boček</t>
  </si>
  <si>
    <t>PP - P - V - P - P - P - V - VP - V - V</t>
  </si>
  <si>
    <t>V - V - P - V - V - V - P - V - P - PP</t>
  </si>
  <si>
    <t>4,34</t>
  </si>
  <si>
    <t>3. Filip Forman</t>
  </si>
  <si>
    <t>9:8p</t>
  </si>
  <si>
    <t>19. 12.</t>
  </si>
  <si>
    <t>P - VP - P - P - V - P - P - P - P - VP</t>
  </si>
  <si>
    <t>3. Ondřej Kopič</t>
  </si>
  <si>
    <t>5. Daniel Štěrba</t>
  </si>
  <si>
    <t>3. Jan Dvořák</t>
  </si>
  <si>
    <t>6,52</t>
  </si>
  <si>
    <t>4. Daniel Jukl</t>
  </si>
  <si>
    <t>1. Daniel Štěrba</t>
  </si>
  <si>
    <t>2. Jakub Jirsa</t>
  </si>
  <si>
    <t>5. Štěpán Slaný</t>
  </si>
  <si>
    <t>6,41</t>
  </si>
  <si>
    <t>3. David Sládeček</t>
  </si>
  <si>
    <t>4. Jiří Juhaňák</t>
  </si>
  <si>
    <t>5. Jonáš Kůra</t>
  </si>
  <si>
    <t>P - PP - P - P - P - P - V - P - V - PP</t>
  </si>
  <si>
    <t>V - P - V - V - V - V - PP - V - VP - P</t>
  </si>
  <si>
    <t>5,00</t>
  </si>
  <si>
    <t>2. Karel Pergler</t>
  </si>
  <si>
    <t>3,33</t>
  </si>
  <si>
    <t>3. Vojtěch Šimůnek</t>
  </si>
  <si>
    <t>1. Jiří Bauer</t>
  </si>
  <si>
    <t>2. Michal Strnad</t>
  </si>
  <si>
    <t>4. Matěj Netrefa</t>
  </si>
  <si>
    <t>5. Michal Podhráský</t>
  </si>
  <si>
    <t>Jakub Horník</t>
  </si>
  <si>
    <t>18. 11.</t>
  </si>
  <si>
    <t>P - VP - V - V - P - P - V - V - P - VP</t>
  </si>
  <si>
    <t>2. Radek Valeš</t>
  </si>
  <si>
    <t>3. Prokop Ferdan</t>
  </si>
  <si>
    <t>2. Jan Král</t>
  </si>
  <si>
    <t>3. Jakub Levínský</t>
  </si>
  <si>
    <t>4. Daniel Mück</t>
  </si>
  <si>
    <t>6,01</t>
  </si>
  <si>
    <t>1. Filip Smutný</t>
  </si>
  <si>
    <t>3. Šimon Stránský</t>
  </si>
  <si>
    <t>4. Vojtěch Wiener</t>
  </si>
  <si>
    <t>5. Prokop Ferdan</t>
  </si>
  <si>
    <t>5. Filip Smutný</t>
  </si>
  <si>
    <t>3. Vojtěch Wiener</t>
  </si>
  <si>
    <t>4. Jan Baudisch</t>
  </si>
  <si>
    <t>5. Vojtěch Janeček</t>
  </si>
  <si>
    <t>2:3</t>
  </si>
  <si>
    <t>V - V - V - P - V - V - V - V - V - P</t>
  </si>
  <si>
    <t>3. Matěj Pěnička</t>
  </si>
  <si>
    <t>2,91</t>
  </si>
  <si>
    <t>1. Jakub Bína</t>
  </si>
  <si>
    <t>4. Daniel Šebek</t>
  </si>
  <si>
    <t>5. Jakub Gruber</t>
  </si>
  <si>
    <t>3. Adam Hemerka</t>
  </si>
  <si>
    <t>4. Miroslav Fořt</t>
  </si>
  <si>
    <t>6:8</t>
  </si>
  <si>
    <t>V - PP - P - P - V - P - P - V - P - P</t>
  </si>
  <si>
    <t>4. Daniel Chatrný</t>
  </si>
  <si>
    <t>5. Šimon Kuczera</t>
  </si>
  <si>
    <t>5,22</t>
  </si>
  <si>
    <t>4,68</t>
  </si>
  <si>
    <t>2. Ladislav Gál</t>
  </si>
  <si>
    <t>1. Marcel Jakubec</t>
  </si>
  <si>
    <t>2. Daniel Chatrný</t>
  </si>
  <si>
    <t>3. Denis Zimmer</t>
  </si>
  <si>
    <t>2. František Vykopal</t>
  </si>
  <si>
    <t>5. Martin Ležatka</t>
  </si>
  <si>
    <t>6,33</t>
  </si>
  <si>
    <t>9,57</t>
  </si>
  <si>
    <t>4. Martin Ležatka</t>
  </si>
  <si>
    <t>5. Jakub Grich</t>
  </si>
  <si>
    <t>3. František Vykopal</t>
  </si>
  <si>
    <t>5. Peter Nehila</t>
  </si>
  <si>
    <t>1. Tomáš Sovják</t>
  </si>
  <si>
    <t>2. Martin Ležatka</t>
  </si>
  <si>
    <t>8:6</t>
  </si>
  <si>
    <t>3:8</t>
  </si>
  <si>
    <t>P - P - P - P - V - P - PP - P - P - V</t>
  </si>
  <si>
    <t>8:9p</t>
  </si>
  <si>
    <t>P - P - P - P - P - V - P - P - P - PP</t>
  </si>
  <si>
    <t>2. Matyáš Velc</t>
  </si>
  <si>
    <t>7,73</t>
  </si>
  <si>
    <t>5. Přemek Pakosta</t>
  </si>
  <si>
    <t>5. Lukáš Prix</t>
  </si>
  <si>
    <t>2. Vojtěch Klein</t>
  </si>
  <si>
    <t>3. Lukáš Prix</t>
  </si>
  <si>
    <t>3. Marek Zouzal</t>
  </si>
  <si>
    <t>5. Matěj Čermák</t>
  </si>
  <si>
    <t>2. Lukáš Ujhélyi</t>
  </si>
  <si>
    <t>4. Jakub Kolstrunk</t>
  </si>
  <si>
    <t>5. Josef Juha</t>
  </si>
  <si>
    <t>2. Kristián Kozák</t>
  </si>
  <si>
    <t>4. Radim Křenek</t>
  </si>
  <si>
    <t>13:1</t>
  </si>
  <si>
    <t>V - V - P - P - V - V - VP - P - V - V</t>
  </si>
  <si>
    <t>3:2</t>
  </si>
  <si>
    <t>8:3</t>
  </si>
  <si>
    <t>V - V - V - V - V - V - P - V - V - V</t>
  </si>
  <si>
    <t>5. Matěj Havlas</t>
  </si>
  <si>
    <t>3,68</t>
  </si>
  <si>
    <t>2. Martin Šindelář</t>
  </si>
  <si>
    <t>3. David Šimek</t>
  </si>
  <si>
    <t>1. Petr Brautferger</t>
  </si>
  <si>
    <t>2. Matěj Havlas</t>
  </si>
  <si>
    <t>3. Jonáš Kreysa</t>
  </si>
  <si>
    <t>4. Marek Beneš</t>
  </si>
  <si>
    <t>5. Martin Čermák</t>
  </si>
  <si>
    <t>V - V - V - V - P - V - V - P - V - V</t>
  </si>
  <si>
    <t>4,16</t>
  </si>
  <si>
    <t>4,40</t>
  </si>
  <si>
    <t>1. Rostislav Gattnar</t>
  </si>
  <si>
    <t>2. Jiří Besta</t>
  </si>
  <si>
    <t>Jakub Galia</t>
  </si>
  <si>
    <t>Jáchym Kuběna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</si>
</sst>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6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Normální" xfId="0" builtinId="0"/>
    <cellStyle name="Normální 2" xfId="1"/>
  </cellStyles>
  <dxfs count="923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242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26</v>
      </c>
      <c r="F2" s="71">
        <f t="shared" ca="1" si="0"/>
        <v>25</v>
      </c>
      <c r="G2" s="71">
        <f t="shared" ca="1" si="0"/>
        <v>28</v>
      </c>
      <c r="H2" s="71">
        <f t="shared" ca="1" si="0"/>
        <v>26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27</v>
      </c>
    </row>
    <row r="3" spans="1:15" s="71" customFormat="1" x14ac:dyDescent="0.25">
      <c r="A3" s="108" t="s">
        <v>247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243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0</v>
      </c>
      <c r="D4" s="71">
        <f t="shared" ca="1" si="2"/>
        <v>3</v>
      </c>
      <c r="E4" s="71">
        <f t="shared" ca="1" si="2"/>
        <v>2</v>
      </c>
      <c r="F4" s="71">
        <f t="shared" ca="1" si="2"/>
        <v>0</v>
      </c>
      <c r="G4" s="71">
        <f t="shared" ca="1" si="2"/>
        <v>7</v>
      </c>
      <c r="H4" s="71">
        <f t="shared" ca="1" si="2"/>
        <v>3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9</v>
      </c>
    </row>
    <row r="5" spans="1:15" s="71" customFormat="1" x14ac:dyDescent="0.25">
      <c r="A5" s="108" t="s">
        <v>244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5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245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5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4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246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5.5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6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531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22" priority="14" stopIfTrue="1" operator="greaterThan">
      <formula>40</formula>
    </cfRule>
    <cfRule type="cellIs" dxfId="921" priority="15" stopIfTrue="1" operator="between">
      <formula>35</formula>
      <formula>40</formula>
    </cfRule>
    <cfRule type="cellIs" dxfId="920" priority="16" operator="lessThan">
      <formula>35</formula>
    </cfRule>
  </conditionalFormatting>
  <conditionalFormatting sqref="B3:O3">
    <cfRule type="cellIs" dxfId="919" priority="1" stopIfTrue="1" operator="greaterThan">
      <formula>9</formula>
    </cfRule>
    <cfRule type="cellIs" dxfId="918" priority="11" stopIfTrue="1" operator="between">
      <formula>7</formula>
      <formula>9</formula>
    </cfRule>
    <cfRule type="cellIs" dxfId="917" priority="12" stopIfTrue="1" operator="equal">
      <formula>0</formula>
    </cfRule>
    <cfRule type="cellIs" dxfId="916" priority="13" operator="lessThan">
      <formula>7</formula>
    </cfRule>
  </conditionalFormatting>
  <conditionalFormatting sqref="B5:O7">
    <cfRule type="cellIs" dxfId="915" priority="7" stopIfTrue="1" operator="greaterThan">
      <formula>6</formula>
    </cfRule>
    <cfRule type="cellIs" dxfId="914" priority="8" stopIfTrue="1" operator="between">
      <formula>4</formula>
      <formula>6</formula>
    </cfRule>
    <cfRule type="cellIs" dxfId="913" priority="9" stopIfTrue="1" operator="between">
      <formula>1</formula>
      <formula>3</formula>
    </cfRule>
    <cfRule type="cellIs" dxfId="912" priority="10" operator="lessThan">
      <formula>1</formula>
    </cfRule>
  </conditionalFormatting>
  <conditionalFormatting sqref="B4:O4">
    <cfRule type="cellIs" dxfId="911" priority="4" stopIfTrue="1" operator="greaterThan">
      <formula>2</formula>
    </cfRule>
    <cfRule type="cellIs" dxfId="910" priority="5" stopIfTrue="1" operator="between">
      <formula>1</formula>
      <formula>2</formula>
    </cfRule>
    <cfRule type="cellIs" dxfId="909" priority="6" operator="lessThan">
      <formula>1</formula>
    </cfRule>
  </conditionalFormatting>
  <conditionalFormatting sqref="B8:O8">
    <cfRule type="cellIs" dxfId="908" priority="2" stopIfTrue="1" operator="greaterThan">
      <formula>0</formula>
    </cfRule>
    <cfRule type="cellIs" dxfId="907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1230</v>
      </c>
      <c r="BD1" s="62" t="s">
        <v>1231</v>
      </c>
      <c r="BE1" s="62" t="s">
        <v>1232</v>
      </c>
      <c r="BF1" s="62" t="s">
        <v>1233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13</v>
      </c>
      <c r="D2" s="76">
        <f t="shared" si="0"/>
        <v>12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36</v>
      </c>
      <c r="I2" s="76">
        <f t="shared" si="0"/>
        <v>98</v>
      </c>
      <c r="J2" s="76">
        <f t="shared" si="0"/>
        <v>47</v>
      </c>
      <c r="K2" s="76">
        <f t="shared" si="0"/>
        <v>51</v>
      </c>
      <c r="L2" s="76">
        <f t="shared" si="0"/>
        <v>29</v>
      </c>
      <c r="M2" s="76">
        <f t="shared" si="0"/>
        <v>16</v>
      </c>
      <c r="N2" s="76">
        <f t="shared" si="0"/>
        <v>1</v>
      </c>
      <c r="O2" s="67">
        <f t="shared" si="0"/>
        <v>55.17</v>
      </c>
      <c r="P2" s="76">
        <f t="shared" si="0"/>
        <v>22</v>
      </c>
      <c r="Q2" s="76">
        <f t="shared" si="0"/>
        <v>6</v>
      </c>
      <c r="R2" s="76">
        <f t="shared" si="0"/>
        <v>3</v>
      </c>
      <c r="S2" s="67">
        <f t="shared" si="0"/>
        <v>72.73</v>
      </c>
      <c r="T2" s="76">
        <f>AU2</f>
        <v>56</v>
      </c>
      <c r="U2" s="76">
        <f t="shared" ref="U2:V2" si="1">AV2</f>
        <v>363</v>
      </c>
      <c r="V2" s="68">
        <f t="shared" si="1"/>
        <v>27</v>
      </c>
      <c r="W2" s="72" t="s">
        <v>64</v>
      </c>
      <c r="X2" s="71">
        <v>13</v>
      </c>
      <c r="Y2" s="71">
        <v>12</v>
      </c>
      <c r="Z2" s="71">
        <v>0</v>
      </c>
      <c r="AA2" s="71">
        <v>0</v>
      </c>
      <c r="AB2" s="71">
        <v>1</v>
      </c>
      <c r="AC2" s="71">
        <v>36</v>
      </c>
      <c r="AD2" s="71">
        <v>98</v>
      </c>
      <c r="AE2" s="71">
        <v>47</v>
      </c>
      <c r="AF2" s="71">
        <v>51</v>
      </c>
      <c r="AG2" s="71">
        <v>29</v>
      </c>
      <c r="AH2" s="71">
        <v>16</v>
      </c>
      <c r="AI2" s="71">
        <v>1</v>
      </c>
      <c r="AJ2" s="70">
        <v>55.17</v>
      </c>
      <c r="AK2" s="71">
        <v>22</v>
      </c>
      <c r="AL2" s="71">
        <v>6</v>
      </c>
      <c r="AM2" s="71">
        <v>3</v>
      </c>
      <c r="AN2" s="70">
        <v>72.73</v>
      </c>
      <c r="AO2" s="71">
        <v>23</v>
      </c>
      <c r="AP2" s="71">
        <v>0</v>
      </c>
      <c r="AQ2" s="71">
        <v>1</v>
      </c>
      <c r="AR2" s="71">
        <v>0</v>
      </c>
      <c r="AS2" s="71">
        <v>0</v>
      </c>
      <c r="AT2" s="71">
        <v>0</v>
      </c>
      <c r="AU2" s="71">
        <v>56</v>
      </c>
      <c r="AV2" s="71">
        <v>363</v>
      </c>
      <c r="AW2" s="70">
        <v>27</v>
      </c>
      <c r="AX2" s="71">
        <v>964</v>
      </c>
      <c r="AY2" s="71">
        <v>1478</v>
      </c>
      <c r="AZ2" s="71">
        <v>188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3.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4.-6.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3</v>
      </c>
      <c r="BH2" s="62">
        <f>_xlfn.RANK.EQ(VLOOKUP(BA2,$B$2:$V$15,18,FALSE),$S$2:$S$15,0)</f>
        <v>4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13</v>
      </c>
      <c r="D3" s="76">
        <f t="shared" ref="D3:D15" si="5">Y3</f>
        <v>9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2</v>
      </c>
      <c r="H3" s="78">
        <f t="shared" ref="H3:H15" si="9">AC3</f>
        <v>31</v>
      </c>
      <c r="I3" s="76">
        <f t="shared" ref="I3:I15" si="10">AD3</f>
        <v>92</v>
      </c>
      <c r="J3" s="76">
        <f t="shared" ref="J3:J15" si="11">AE3</f>
        <v>37</v>
      </c>
      <c r="K3" s="76">
        <f t="shared" ref="K3:K15" si="12">AF3</f>
        <v>55</v>
      </c>
      <c r="L3" s="76">
        <f t="shared" ref="L3:L15" si="13">AG3</f>
        <v>15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33.33</v>
      </c>
      <c r="P3" s="76">
        <f t="shared" ref="P3:P15" si="17">AK3</f>
        <v>21</v>
      </c>
      <c r="Q3" s="76">
        <f t="shared" ref="Q3:Q15" si="18">AL3</f>
        <v>5</v>
      </c>
      <c r="R3" s="76">
        <f t="shared" ref="R3:R15" si="19">AM3</f>
        <v>0</v>
      </c>
      <c r="S3" s="67">
        <f t="shared" ref="S3:S15" si="20">AN3</f>
        <v>76.19</v>
      </c>
      <c r="T3" s="76">
        <f t="shared" ref="T3:T15" si="21">AU3</f>
        <v>44</v>
      </c>
      <c r="U3" s="76">
        <f t="shared" ref="U3:U15" si="22">AV3</f>
        <v>352</v>
      </c>
      <c r="V3" s="68">
        <f t="shared" ref="V3:V15" si="23">AW3</f>
        <v>26.14</v>
      </c>
      <c r="W3" s="72" t="s">
        <v>65</v>
      </c>
      <c r="X3" s="71">
        <v>13</v>
      </c>
      <c r="Y3" s="71">
        <v>9</v>
      </c>
      <c r="Z3" s="71">
        <v>2</v>
      </c>
      <c r="AA3" s="71">
        <v>0</v>
      </c>
      <c r="AB3" s="71">
        <v>2</v>
      </c>
      <c r="AC3" s="71">
        <v>31</v>
      </c>
      <c r="AD3" s="71">
        <v>92</v>
      </c>
      <c r="AE3" s="71">
        <v>37</v>
      </c>
      <c r="AF3" s="71">
        <v>55</v>
      </c>
      <c r="AG3" s="71">
        <v>15</v>
      </c>
      <c r="AH3" s="71">
        <v>5</v>
      </c>
      <c r="AI3" s="71">
        <v>1</v>
      </c>
      <c r="AJ3" s="70">
        <v>33.33</v>
      </c>
      <c r="AK3" s="71">
        <v>21</v>
      </c>
      <c r="AL3" s="71">
        <v>5</v>
      </c>
      <c r="AM3" s="71">
        <v>0</v>
      </c>
      <c r="AN3" s="70">
        <v>76.19</v>
      </c>
      <c r="AO3" s="71">
        <v>22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44</v>
      </c>
      <c r="AV3" s="71">
        <v>352</v>
      </c>
      <c r="AW3" s="70">
        <v>26.14</v>
      </c>
      <c r="AX3" s="71">
        <v>1870</v>
      </c>
      <c r="AY3" s="71">
        <v>790</v>
      </c>
      <c r="AZ3" s="71">
        <v>205</v>
      </c>
      <c r="BA3" s="3" t="s">
        <v>72</v>
      </c>
      <c r="BB3" s="62" t="s">
        <v>95</v>
      </c>
      <c r="BC3" s="62">
        <f t="shared" ref="BC3:BC15" si="24">MATCH(BA3,$B$2:$B$15,0)</f>
        <v>4</v>
      </c>
      <c r="BD3" s="62" t="str">
        <f t="shared" si="2"/>
        <v>7.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8.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8.</v>
      </c>
      <c r="BG3" s="62">
        <f t="shared" ref="BG3:BG15" si="27">_xlfn.RANK.EQ(VLOOKUP(BA3,$B$2:$V$15,14,FALSE),$O$2:$O$15,0)</f>
        <v>7</v>
      </c>
      <c r="BH3" s="62">
        <f t="shared" ref="BH3:BH15" si="28">_xlfn.RANK.EQ(VLOOKUP(BA3,$B$2:$V$15,18,FALSE),$S$2:$S$15,0)</f>
        <v>8</v>
      </c>
      <c r="BI3" s="62">
        <f>_xlfn.RANK.EQ(VLOOKUP(BA3,$B$2:$V$16,19,FALSE),$T$2:$T$15,1)</f>
        <v>8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13</v>
      </c>
      <c r="D4" s="76">
        <f t="shared" si="5"/>
        <v>10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30</v>
      </c>
      <c r="I4" s="76">
        <f t="shared" si="10"/>
        <v>102</v>
      </c>
      <c r="J4" s="76">
        <f t="shared" si="11"/>
        <v>57</v>
      </c>
      <c r="K4" s="76">
        <f t="shared" si="12"/>
        <v>45</v>
      </c>
      <c r="L4" s="76">
        <f t="shared" si="13"/>
        <v>17</v>
      </c>
      <c r="M4" s="76">
        <f t="shared" si="14"/>
        <v>8</v>
      </c>
      <c r="N4" s="76">
        <f t="shared" si="15"/>
        <v>0</v>
      </c>
      <c r="O4" s="67">
        <f t="shared" si="16"/>
        <v>47.06</v>
      </c>
      <c r="P4" s="76">
        <f t="shared" si="17"/>
        <v>11</v>
      </c>
      <c r="Q4" s="76">
        <f t="shared" si="18"/>
        <v>3</v>
      </c>
      <c r="R4" s="76">
        <f t="shared" si="19"/>
        <v>1</v>
      </c>
      <c r="S4" s="67">
        <f t="shared" si="20"/>
        <v>72.73</v>
      </c>
      <c r="T4" s="76">
        <f t="shared" si="21"/>
        <v>24</v>
      </c>
      <c r="U4" s="76">
        <f t="shared" si="22"/>
        <v>342</v>
      </c>
      <c r="V4" s="68">
        <f t="shared" si="23"/>
        <v>29.82</v>
      </c>
      <c r="W4" s="72" t="s">
        <v>66</v>
      </c>
      <c r="X4" s="71">
        <v>13</v>
      </c>
      <c r="Y4" s="71">
        <v>10</v>
      </c>
      <c r="Z4" s="71">
        <v>0</v>
      </c>
      <c r="AA4" s="71">
        <v>0</v>
      </c>
      <c r="AB4" s="71">
        <v>3</v>
      </c>
      <c r="AC4" s="71">
        <v>30</v>
      </c>
      <c r="AD4" s="71">
        <v>102</v>
      </c>
      <c r="AE4" s="71">
        <v>57</v>
      </c>
      <c r="AF4" s="71">
        <v>45</v>
      </c>
      <c r="AG4" s="71">
        <v>17</v>
      </c>
      <c r="AH4" s="71">
        <v>8</v>
      </c>
      <c r="AI4" s="71">
        <v>0</v>
      </c>
      <c r="AJ4" s="70">
        <v>47.06</v>
      </c>
      <c r="AK4" s="71">
        <v>11</v>
      </c>
      <c r="AL4" s="71">
        <v>3</v>
      </c>
      <c r="AM4" s="71">
        <v>1</v>
      </c>
      <c r="AN4" s="70">
        <v>72.73</v>
      </c>
      <c r="AO4" s="71">
        <v>12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24</v>
      </c>
      <c r="AV4" s="71">
        <v>342</v>
      </c>
      <c r="AW4" s="70">
        <v>29.82</v>
      </c>
      <c r="AX4" s="71">
        <v>970</v>
      </c>
      <c r="AY4" s="71">
        <v>1285</v>
      </c>
      <c r="AZ4" s="71">
        <v>173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4.</v>
      </c>
      <c r="BE4" s="62" t="str">
        <f t="shared" si="25"/>
        <v>6.</v>
      </c>
      <c r="BF4" s="62" t="str">
        <f t="shared" si="26"/>
        <v>11.</v>
      </c>
      <c r="BG4" s="62">
        <f t="shared" si="27"/>
        <v>4</v>
      </c>
      <c r="BH4" s="62">
        <f t="shared" si="28"/>
        <v>6</v>
      </c>
      <c r="BI4" s="62">
        <f t="shared" ref="BI4:BI15" si="29">_xlfn.RANK.EQ(VLOOKUP(BA4,$B$2:$V$16,19,FALSE),$T$2:$T$15,1)</f>
        <v>11</v>
      </c>
    </row>
    <row r="5" spans="1:61" ht="24" customHeight="1" x14ac:dyDescent="0.25">
      <c r="A5" s="138">
        <v>4</v>
      </c>
      <c r="B5" s="25" t="str">
        <f t="shared" si="3"/>
        <v>ACEMA Sparta Praha</v>
      </c>
      <c r="C5" s="76">
        <f t="shared" si="4"/>
        <v>13</v>
      </c>
      <c r="D5" s="76">
        <f t="shared" si="5"/>
        <v>8</v>
      </c>
      <c r="E5" s="76">
        <f t="shared" si="6"/>
        <v>1</v>
      </c>
      <c r="F5" s="76">
        <f t="shared" si="7"/>
        <v>0</v>
      </c>
      <c r="G5" s="76">
        <f t="shared" si="8"/>
        <v>4</v>
      </c>
      <c r="H5" s="78">
        <f t="shared" si="9"/>
        <v>26</v>
      </c>
      <c r="I5" s="76">
        <f t="shared" si="10"/>
        <v>83</v>
      </c>
      <c r="J5" s="76">
        <f t="shared" si="11"/>
        <v>62</v>
      </c>
      <c r="K5" s="76">
        <f t="shared" si="12"/>
        <v>21</v>
      </c>
      <c r="L5" s="76">
        <f t="shared" si="13"/>
        <v>19</v>
      </c>
      <c r="M5" s="76">
        <f t="shared" si="14"/>
        <v>8</v>
      </c>
      <c r="N5" s="76">
        <f t="shared" si="15"/>
        <v>0</v>
      </c>
      <c r="O5" s="67">
        <f t="shared" si="16"/>
        <v>42.11</v>
      </c>
      <c r="P5" s="76">
        <f t="shared" si="17"/>
        <v>24</v>
      </c>
      <c r="Q5" s="76">
        <f t="shared" si="18"/>
        <v>10</v>
      </c>
      <c r="R5" s="76">
        <f t="shared" si="19"/>
        <v>2</v>
      </c>
      <c r="S5" s="67">
        <f t="shared" si="20"/>
        <v>58.33</v>
      </c>
      <c r="T5" s="76">
        <f t="shared" si="21"/>
        <v>52</v>
      </c>
      <c r="U5" s="76">
        <f t="shared" si="22"/>
        <v>317</v>
      </c>
      <c r="V5" s="68">
        <f t="shared" si="23"/>
        <v>26.18</v>
      </c>
      <c r="W5" s="72" t="s">
        <v>72</v>
      </c>
      <c r="X5" s="71">
        <v>13</v>
      </c>
      <c r="Y5" s="71">
        <v>8</v>
      </c>
      <c r="Z5" s="71">
        <v>1</v>
      </c>
      <c r="AA5" s="71">
        <v>0</v>
      </c>
      <c r="AB5" s="71">
        <v>4</v>
      </c>
      <c r="AC5" s="71">
        <v>26</v>
      </c>
      <c r="AD5" s="71">
        <v>83</v>
      </c>
      <c r="AE5" s="71">
        <v>62</v>
      </c>
      <c r="AF5" s="71">
        <v>21</v>
      </c>
      <c r="AG5" s="71">
        <v>19</v>
      </c>
      <c r="AH5" s="71">
        <v>8</v>
      </c>
      <c r="AI5" s="71">
        <v>0</v>
      </c>
      <c r="AJ5" s="70">
        <v>42.11</v>
      </c>
      <c r="AK5" s="71">
        <v>24</v>
      </c>
      <c r="AL5" s="71">
        <v>10</v>
      </c>
      <c r="AM5" s="71">
        <v>2</v>
      </c>
      <c r="AN5" s="70">
        <v>58.33</v>
      </c>
      <c r="AO5" s="71">
        <v>26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52</v>
      </c>
      <c r="AV5" s="71">
        <v>317</v>
      </c>
      <c r="AW5" s="70">
        <v>26.18</v>
      </c>
      <c r="AX5" s="71">
        <v>1979</v>
      </c>
      <c r="AY5" s="71">
        <v>1135</v>
      </c>
      <c r="AZ5" s="71">
        <v>240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6.</v>
      </c>
      <c r="BE5" s="62" t="str">
        <f t="shared" si="25"/>
        <v>7.</v>
      </c>
      <c r="BF5" s="62" t="str">
        <f t="shared" si="26"/>
        <v>9.</v>
      </c>
      <c r="BG5" s="62">
        <f t="shared" si="27"/>
        <v>6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13</v>
      </c>
      <c r="D6" s="76">
        <f t="shared" si="5"/>
        <v>7</v>
      </c>
      <c r="E6" s="76">
        <f t="shared" si="6"/>
        <v>1</v>
      </c>
      <c r="F6" s="76">
        <f t="shared" si="7"/>
        <v>2</v>
      </c>
      <c r="G6" s="76">
        <f t="shared" si="8"/>
        <v>3</v>
      </c>
      <c r="H6" s="78">
        <f t="shared" si="9"/>
        <v>25</v>
      </c>
      <c r="I6" s="76">
        <f t="shared" si="10"/>
        <v>93</v>
      </c>
      <c r="J6" s="76">
        <f t="shared" si="11"/>
        <v>71</v>
      </c>
      <c r="K6" s="76">
        <f t="shared" si="12"/>
        <v>22</v>
      </c>
      <c r="L6" s="76">
        <f t="shared" si="13"/>
        <v>25</v>
      </c>
      <c r="M6" s="76">
        <f t="shared" si="14"/>
        <v>11</v>
      </c>
      <c r="N6" s="76">
        <f t="shared" si="15"/>
        <v>0</v>
      </c>
      <c r="O6" s="67">
        <f t="shared" si="16"/>
        <v>44</v>
      </c>
      <c r="P6" s="76">
        <f t="shared" si="17"/>
        <v>27</v>
      </c>
      <c r="Q6" s="76">
        <f t="shared" si="18"/>
        <v>10</v>
      </c>
      <c r="R6" s="76">
        <f t="shared" si="19"/>
        <v>3</v>
      </c>
      <c r="S6" s="67">
        <f t="shared" si="20"/>
        <v>62.96</v>
      </c>
      <c r="T6" s="76">
        <f t="shared" si="21"/>
        <v>54</v>
      </c>
      <c r="U6" s="76">
        <f t="shared" si="22"/>
        <v>356</v>
      </c>
      <c r="V6" s="68">
        <f t="shared" si="23"/>
        <v>26.12</v>
      </c>
      <c r="W6" s="72" t="s">
        <v>70</v>
      </c>
      <c r="X6" s="71">
        <v>13</v>
      </c>
      <c r="Y6" s="71">
        <v>7</v>
      </c>
      <c r="Z6" s="71">
        <v>1</v>
      </c>
      <c r="AA6" s="71">
        <v>2</v>
      </c>
      <c r="AB6" s="71">
        <v>3</v>
      </c>
      <c r="AC6" s="71">
        <v>25</v>
      </c>
      <c r="AD6" s="71">
        <v>93</v>
      </c>
      <c r="AE6" s="71">
        <v>71</v>
      </c>
      <c r="AF6" s="71">
        <v>22</v>
      </c>
      <c r="AG6" s="71">
        <v>25</v>
      </c>
      <c r="AH6" s="71">
        <v>11</v>
      </c>
      <c r="AI6" s="71">
        <v>0</v>
      </c>
      <c r="AJ6" s="70">
        <v>44</v>
      </c>
      <c r="AK6" s="71">
        <v>27</v>
      </c>
      <c r="AL6" s="71">
        <v>10</v>
      </c>
      <c r="AM6" s="71">
        <v>3</v>
      </c>
      <c r="AN6" s="70">
        <v>62.96</v>
      </c>
      <c r="AO6" s="71">
        <v>27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54</v>
      </c>
      <c r="AV6" s="71">
        <v>356</v>
      </c>
      <c r="AW6" s="70">
        <v>26.12</v>
      </c>
      <c r="AX6" s="71">
        <v>874</v>
      </c>
      <c r="AY6" s="71">
        <v>1053</v>
      </c>
      <c r="AZ6" s="71">
        <v>148</v>
      </c>
      <c r="BA6" s="3" t="s">
        <v>73</v>
      </c>
      <c r="BB6" s="62" t="s">
        <v>96</v>
      </c>
      <c r="BC6" s="62">
        <f t="shared" si="24"/>
        <v>13</v>
      </c>
      <c r="BD6" s="62" t="str">
        <f t="shared" si="2"/>
        <v>9.-11.</v>
      </c>
      <c r="BE6" s="62" t="str">
        <f t="shared" si="25"/>
        <v>13.</v>
      </c>
      <c r="BF6" s="62" t="str">
        <f t="shared" si="26"/>
        <v>14.</v>
      </c>
      <c r="BG6" s="62">
        <f t="shared" si="27"/>
        <v>9</v>
      </c>
      <c r="BH6" s="62">
        <f t="shared" si="28"/>
        <v>13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FbŠ Bohemians</v>
      </c>
      <c r="C7" s="76">
        <f t="shared" si="4"/>
        <v>12</v>
      </c>
      <c r="D7" s="76">
        <f t="shared" si="5"/>
        <v>8</v>
      </c>
      <c r="E7" s="76">
        <f t="shared" si="6"/>
        <v>0</v>
      </c>
      <c r="F7" s="76">
        <f t="shared" si="7"/>
        <v>1</v>
      </c>
      <c r="G7" s="76">
        <f t="shared" si="8"/>
        <v>3</v>
      </c>
      <c r="H7" s="78">
        <f t="shared" si="9"/>
        <v>25</v>
      </c>
      <c r="I7" s="76">
        <f t="shared" si="10"/>
        <v>72</v>
      </c>
      <c r="J7" s="76">
        <f t="shared" si="11"/>
        <v>58</v>
      </c>
      <c r="K7" s="76">
        <f t="shared" si="12"/>
        <v>14</v>
      </c>
      <c r="L7" s="76">
        <f t="shared" si="13"/>
        <v>37</v>
      </c>
      <c r="M7" s="76">
        <f t="shared" si="14"/>
        <v>10</v>
      </c>
      <c r="N7" s="76">
        <f t="shared" si="15"/>
        <v>2</v>
      </c>
      <c r="O7" s="67">
        <f t="shared" si="16"/>
        <v>27.03</v>
      </c>
      <c r="P7" s="76">
        <f t="shared" si="17"/>
        <v>16</v>
      </c>
      <c r="Q7" s="76">
        <f t="shared" si="18"/>
        <v>4</v>
      </c>
      <c r="R7" s="76">
        <f t="shared" si="19"/>
        <v>0</v>
      </c>
      <c r="S7" s="67">
        <f t="shared" si="20"/>
        <v>75</v>
      </c>
      <c r="T7" s="76">
        <f t="shared" si="21"/>
        <v>34</v>
      </c>
      <c r="U7" s="76">
        <f t="shared" si="22"/>
        <v>329</v>
      </c>
      <c r="V7" s="68">
        <f t="shared" si="23"/>
        <v>21.88</v>
      </c>
      <c r="W7" s="72" t="s">
        <v>68</v>
      </c>
      <c r="X7" s="71">
        <v>12</v>
      </c>
      <c r="Y7" s="71">
        <v>8</v>
      </c>
      <c r="Z7" s="71">
        <v>0</v>
      </c>
      <c r="AA7" s="71">
        <v>1</v>
      </c>
      <c r="AB7" s="71">
        <v>3</v>
      </c>
      <c r="AC7" s="71">
        <v>25</v>
      </c>
      <c r="AD7" s="71">
        <v>72</v>
      </c>
      <c r="AE7" s="71">
        <v>58</v>
      </c>
      <c r="AF7" s="71">
        <v>14</v>
      </c>
      <c r="AG7" s="71">
        <v>37</v>
      </c>
      <c r="AH7" s="71">
        <v>10</v>
      </c>
      <c r="AI7" s="71">
        <v>2</v>
      </c>
      <c r="AJ7" s="70">
        <v>27.03</v>
      </c>
      <c r="AK7" s="71">
        <v>16</v>
      </c>
      <c r="AL7" s="71">
        <v>4</v>
      </c>
      <c r="AM7" s="71">
        <v>0</v>
      </c>
      <c r="AN7" s="70">
        <v>75</v>
      </c>
      <c r="AO7" s="71">
        <v>17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34</v>
      </c>
      <c r="AV7" s="71">
        <v>329</v>
      </c>
      <c r="AW7" s="70">
        <v>21.88</v>
      </c>
      <c r="AX7" s="71">
        <v>1175</v>
      </c>
      <c r="AY7" s="71">
        <v>897</v>
      </c>
      <c r="AZ7" s="71">
        <v>173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</v>
      </c>
      <c r="BF7" s="62" t="str">
        <f t="shared" si="26"/>
        <v>5.-7.</v>
      </c>
      <c r="BG7" s="62">
        <f t="shared" si="27"/>
        <v>1</v>
      </c>
      <c r="BH7" s="62">
        <f t="shared" si="28"/>
        <v>1</v>
      </c>
      <c r="BI7" s="62">
        <f t="shared" si="29"/>
        <v>5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12</v>
      </c>
      <c r="D8" s="76">
        <f t="shared" si="5"/>
        <v>6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21</v>
      </c>
      <c r="I8" s="76">
        <f t="shared" si="10"/>
        <v>74</v>
      </c>
      <c r="J8" s="76">
        <f t="shared" si="11"/>
        <v>69</v>
      </c>
      <c r="K8" s="76">
        <f t="shared" si="12"/>
        <v>5</v>
      </c>
      <c r="L8" s="76">
        <f t="shared" si="13"/>
        <v>30</v>
      </c>
      <c r="M8" s="76">
        <f t="shared" si="14"/>
        <v>14</v>
      </c>
      <c r="N8" s="76">
        <f t="shared" si="15"/>
        <v>0</v>
      </c>
      <c r="O8" s="67">
        <f t="shared" si="16"/>
        <v>46.67</v>
      </c>
      <c r="P8" s="76">
        <f t="shared" si="17"/>
        <v>29</v>
      </c>
      <c r="Q8" s="76">
        <f t="shared" si="18"/>
        <v>9</v>
      </c>
      <c r="R8" s="76">
        <f t="shared" si="19"/>
        <v>0</v>
      </c>
      <c r="S8" s="67">
        <f t="shared" si="20"/>
        <v>68.97</v>
      </c>
      <c r="T8" s="76">
        <f t="shared" si="21"/>
        <v>60</v>
      </c>
      <c r="U8" s="76">
        <f t="shared" si="22"/>
        <v>268</v>
      </c>
      <c r="V8" s="68">
        <f t="shared" si="23"/>
        <v>27.61</v>
      </c>
      <c r="W8" s="72" t="s">
        <v>67</v>
      </c>
      <c r="X8" s="71">
        <v>12</v>
      </c>
      <c r="Y8" s="71">
        <v>6</v>
      </c>
      <c r="Z8" s="71">
        <v>1</v>
      </c>
      <c r="AA8" s="71">
        <v>1</v>
      </c>
      <c r="AB8" s="71">
        <v>4</v>
      </c>
      <c r="AC8" s="71">
        <v>21</v>
      </c>
      <c r="AD8" s="71">
        <v>74</v>
      </c>
      <c r="AE8" s="71">
        <v>69</v>
      </c>
      <c r="AF8" s="71">
        <v>5</v>
      </c>
      <c r="AG8" s="71">
        <v>30</v>
      </c>
      <c r="AH8" s="71">
        <v>14</v>
      </c>
      <c r="AI8" s="71">
        <v>0</v>
      </c>
      <c r="AJ8" s="70">
        <v>46.67</v>
      </c>
      <c r="AK8" s="71">
        <v>29</v>
      </c>
      <c r="AL8" s="71">
        <v>9</v>
      </c>
      <c r="AM8" s="71">
        <v>0</v>
      </c>
      <c r="AN8" s="70">
        <v>68.97</v>
      </c>
      <c r="AO8" s="71">
        <v>30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60</v>
      </c>
      <c r="AV8" s="71">
        <v>268</v>
      </c>
      <c r="AW8" s="70">
        <v>27.61</v>
      </c>
      <c r="AX8" s="71">
        <v>795</v>
      </c>
      <c r="AY8" s="71">
        <v>1025</v>
      </c>
      <c r="AZ8" s="71">
        <v>152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8.</v>
      </c>
      <c r="BE8" s="62" t="str">
        <f t="shared" si="25"/>
        <v>11.-13.</v>
      </c>
      <c r="BF8" s="62" t="str">
        <f t="shared" si="26"/>
        <v>4.</v>
      </c>
      <c r="BG8" s="62">
        <f t="shared" si="27"/>
        <v>8</v>
      </c>
      <c r="BH8" s="62">
        <f t="shared" si="28"/>
        <v>11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13</v>
      </c>
      <c r="D9" s="76">
        <f t="shared" si="5"/>
        <v>5</v>
      </c>
      <c r="E9" s="76">
        <f t="shared" si="6"/>
        <v>2</v>
      </c>
      <c r="F9" s="76">
        <f t="shared" si="7"/>
        <v>0</v>
      </c>
      <c r="G9" s="76">
        <f t="shared" si="8"/>
        <v>6</v>
      </c>
      <c r="H9" s="78">
        <f t="shared" si="9"/>
        <v>19</v>
      </c>
      <c r="I9" s="76">
        <f t="shared" si="10"/>
        <v>74</v>
      </c>
      <c r="J9" s="76">
        <f t="shared" si="11"/>
        <v>77</v>
      </c>
      <c r="K9" s="76">
        <f t="shared" si="12"/>
        <v>-3</v>
      </c>
      <c r="L9" s="76">
        <f t="shared" si="13"/>
        <v>15</v>
      </c>
      <c r="M9" s="76">
        <f t="shared" si="14"/>
        <v>6</v>
      </c>
      <c r="N9" s="76">
        <f t="shared" si="15"/>
        <v>0</v>
      </c>
      <c r="O9" s="67">
        <f t="shared" si="16"/>
        <v>40</v>
      </c>
      <c r="P9" s="76">
        <f t="shared" si="17"/>
        <v>20</v>
      </c>
      <c r="Q9" s="76">
        <f t="shared" si="18"/>
        <v>10</v>
      </c>
      <c r="R9" s="76">
        <f t="shared" si="19"/>
        <v>1</v>
      </c>
      <c r="S9" s="67">
        <f t="shared" si="20"/>
        <v>50</v>
      </c>
      <c r="T9" s="76">
        <f t="shared" si="21"/>
        <v>40</v>
      </c>
      <c r="U9" s="76">
        <f t="shared" si="22"/>
        <v>247</v>
      </c>
      <c r="V9" s="68">
        <f t="shared" si="23"/>
        <v>29.96</v>
      </c>
      <c r="W9" s="72" t="s">
        <v>76</v>
      </c>
      <c r="X9" s="71">
        <v>13</v>
      </c>
      <c r="Y9" s="71">
        <v>5</v>
      </c>
      <c r="Z9" s="71">
        <v>2</v>
      </c>
      <c r="AA9" s="71">
        <v>0</v>
      </c>
      <c r="AB9" s="71">
        <v>6</v>
      </c>
      <c r="AC9" s="71">
        <v>19</v>
      </c>
      <c r="AD9" s="71">
        <v>74</v>
      </c>
      <c r="AE9" s="71">
        <v>77</v>
      </c>
      <c r="AF9" s="71">
        <v>-3</v>
      </c>
      <c r="AG9" s="71">
        <v>15</v>
      </c>
      <c r="AH9" s="71">
        <v>6</v>
      </c>
      <c r="AI9" s="71">
        <v>0</v>
      </c>
      <c r="AJ9" s="70">
        <v>40</v>
      </c>
      <c r="AK9" s="71">
        <v>20</v>
      </c>
      <c r="AL9" s="71">
        <v>10</v>
      </c>
      <c r="AM9" s="71">
        <v>1</v>
      </c>
      <c r="AN9" s="70">
        <v>50</v>
      </c>
      <c r="AO9" s="71">
        <v>20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40</v>
      </c>
      <c r="AV9" s="71">
        <v>247</v>
      </c>
      <c r="AW9" s="70">
        <v>29.96</v>
      </c>
      <c r="AX9" s="71">
        <v>707</v>
      </c>
      <c r="AY9" s="71">
        <v>1236</v>
      </c>
      <c r="AZ9" s="71">
        <v>149</v>
      </c>
      <c r="BA9" s="3" t="s">
        <v>68</v>
      </c>
      <c r="BB9" s="62" t="s">
        <v>92</v>
      </c>
      <c r="BC9" s="62">
        <f t="shared" si="24"/>
        <v>6</v>
      </c>
      <c r="BD9" s="62" t="str">
        <f t="shared" si="2"/>
        <v>14.</v>
      </c>
      <c r="BE9" s="62" t="str">
        <f t="shared" si="25"/>
        <v>3.</v>
      </c>
      <c r="BF9" s="62" t="str">
        <f t="shared" si="26"/>
        <v>2.-4.</v>
      </c>
      <c r="BG9" s="62">
        <f t="shared" si="27"/>
        <v>14</v>
      </c>
      <c r="BH9" s="62">
        <f t="shared" si="28"/>
        <v>3</v>
      </c>
      <c r="BI9" s="62">
        <f t="shared" si="29"/>
        <v>2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13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7</v>
      </c>
      <c r="H10" s="78">
        <f t="shared" si="9"/>
        <v>16</v>
      </c>
      <c r="I10" s="76">
        <f t="shared" si="10"/>
        <v>71</v>
      </c>
      <c r="J10" s="76">
        <f t="shared" si="11"/>
        <v>71</v>
      </c>
      <c r="K10" s="76">
        <f t="shared" si="12"/>
        <v>0</v>
      </c>
      <c r="L10" s="76">
        <f t="shared" si="13"/>
        <v>20</v>
      </c>
      <c r="M10" s="76">
        <f t="shared" si="14"/>
        <v>12</v>
      </c>
      <c r="N10" s="76">
        <f t="shared" si="15"/>
        <v>0</v>
      </c>
      <c r="O10" s="67">
        <f t="shared" si="16"/>
        <v>60</v>
      </c>
      <c r="P10" s="76">
        <f t="shared" si="17"/>
        <v>19</v>
      </c>
      <c r="Q10" s="76">
        <f t="shared" si="18"/>
        <v>4</v>
      </c>
      <c r="R10" s="76">
        <f t="shared" si="19"/>
        <v>0</v>
      </c>
      <c r="S10" s="67">
        <f t="shared" si="20"/>
        <v>78.95</v>
      </c>
      <c r="T10" s="76">
        <f t="shared" si="21"/>
        <v>44</v>
      </c>
      <c r="U10" s="76">
        <f t="shared" si="22"/>
        <v>279</v>
      </c>
      <c r="V10" s="68">
        <f t="shared" si="23"/>
        <v>25.45</v>
      </c>
      <c r="W10" s="72" t="s">
        <v>69</v>
      </c>
      <c r="X10" s="71">
        <v>13</v>
      </c>
      <c r="Y10" s="71">
        <v>5</v>
      </c>
      <c r="Z10" s="71">
        <v>0</v>
      </c>
      <c r="AA10" s="71">
        <v>1</v>
      </c>
      <c r="AB10" s="71">
        <v>7</v>
      </c>
      <c r="AC10" s="71">
        <v>16</v>
      </c>
      <c r="AD10" s="71">
        <v>71</v>
      </c>
      <c r="AE10" s="71">
        <v>71</v>
      </c>
      <c r="AF10" s="71">
        <v>0</v>
      </c>
      <c r="AG10" s="71">
        <v>20</v>
      </c>
      <c r="AH10" s="71">
        <v>12</v>
      </c>
      <c r="AI10" s="71">
        <v>0</v>
      </c>
      <c r="AJ10" s="70">
        <v>60</v>
      </c>
      <c r="AK10" s="71">
        <v>19</v>
      </c>
      <c r="AL10" s="71">
        <v>4</v>
      </c>
      <c r="AM10" s="71">
        <v>0</v>
      </c>
      <c r="AN10" s="70">
        <v>78.95</v>
      </c>
      <c r="AO10" s="71">
        <v>22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44</v>
      </c>
      <c r="AV10" s="71">
        <v>279</v>
      </c>
      <c r="AW10" s="70">
        <v>25.45</v>
      </c>
      <c r="AX10" s="71">
        <v>739</v>
      </c>
      <c r="AY10" s="71">
        <v>1514</v>
      </c>
      <c r="AZ10" s="71">
        <v>173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12.</v>
      </c>
      <c r="BE10" s="62" t="str">
        <f t="shared" si="25"/>
        <v>10.</v>
      </c>
      <c r="BF10" s="62" t="str">
        <f t="shared" si="26"/>
        <v>12.</v>
      </c>
      <c r="BG10" s="62">
        <f t="shared" si="27"/>
        <v>12</v>
      </c>
      <c r="BH10" s="62">
        <f t="shared" si="28"/>
        <v>10</v>
      </c>
      <c r="BI10" s="62">
        <f t="shared" si="29"/>
        <v>12</v>
      </c>
    </row>
    <row r="11" spans="1:61" ht="24" customHeight="1" x14ac:dyDescent="0.25">
      <c r="A11" s="138">
        <v>10</v>
      </c>
      <c r="B11" s="25" t="str">
        <f t="shared" si="3"/>
        <v>Navláčil PANTHERS OTROKOVICE</v>
      </c>
      <c r="C11" s="76">
        <f t="shared" si="4"/>
        <v>13</v>
      </c>
      <c r="D11" s="76">
        <f t="shared" si="5"/>
        <v>3</v>
      </c>
      <c r="E11" s="76">
        <f t="shared" si="6"/>
        <v>0</v>
      </c>
      <c r="F11" s="76">
        <f t="shared" si="7"/>
        <v>1</v>
      </c>
      <c r="G11" s="76">
        <f t="shared" si="8"/>
        <v>9</v>
      </c>
      <c r="H11" s="78">
        <f t="shared" si="9"/>
        <v>10</v>
      </c>
      <c r="I11" s="76">
        <f t="shared" si="10"/>
        <v>69</v>
      </c>
      <c r="J11" s="76">
        <f t="shared" si="11"/>
        <v>93</v>
      </c>
      <c r="K11" s="76">
        <f t="shared" si="12"/>
        <v>-24</v>
      </c>
      <c r="L11" s="76">
        <f t="shared" si="13"/>
        <v>28</v>
      </c>
      <c r="M11" s="76">
        <f t="shared" si="14"/>
        <v>8</v>
      </c>
      <c r="N11" s="76">
        <f t="shared" si="15"/>
        <v>0</v>
      </c>
      <c r="O11" s="67">
        <f t="shared" si="16"/>
        <v>28.57</v>
      </c>
      <c r="P11" s="76">
        <f t="shared" si="17"/>
        <v>17</v>
      </c>
      <c r="Q11" s="76">
        <f t="shared" si="18"/>
        <v>8</v>
      </c>
      <c r="R11" s="76">
        <f t="shared" si="19"/>
        <v>0</v>
      </c>
      <c r="S11" s="67">
        <f t="shared" si="20"/>
        <v>52.94</v>
      </c>
      <c r="T11" s="76">
        <f t="shared" si="21"/>
        <v>34</v>
      </c>
      <c r="U11" s="76">
        <f t="shared" si="22"/>
        <v>268</v>
      </c>
      <c r="V11" s="68">
        <f t="shared" si="23"/>
        <v>25.75</v>
      </c>
      <c r="W11" s="72" t="s">
        <v>71</v>
      </c>
      <c r="X11" s="71">
        <v>13</v>
      </c>
      <c r="Y11" s="71">
        <v>3</v>
      </c>
      <c r="Z11" s="71">
        <v>0</v>
      </c>
      <c r="AA11" s="71">
        <v>1</v>
      </c>
      <c r="AB11" s="71">
        <v>9</v>
      </c>
      <c r="AC11" s="71">
        <v>10</v>
      </c>
      <c r="AD11" s="71">
        <v>69</v>
      </c>
      <c r="AE11" s="71">
        <v>93</v>
      </c>
      <c r="AF11" s="71">
        <v>-24</v>
      </c>
      <c r="AG11" s="71">
        <v>28</v>
      </c>
      <c r="AH11" s="71">
        <v>8</v>
      </c>
      <c r="AI11" s="71">
        <v>0</v>
      </c>
      <c r="AJ11" s="70">
        <v>28.57</v>
      </c>
      <c r="AK11" s="71">
        <v>17</v>
      </c>
      <c r="AL11" s="71">
        <v>8</v>
      </c>
      <c r="AM11" s="71">
        <v>0</v>
      </c>
      <c r="AN11" s="70">
        <v>52.94</v>
      </c>
      <c r="AO11" s="71">
        <v>17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34</v>
      </c>
      <c r="AV11" s="71">
        <v>268</v>
      </c>
      <c r="AW11" s="70">
        <v>25.75</v>
      </c>
      <c r="AX11" s="71">
        <v>1156</v>
      </c>
      <c r="AY11" s="71">
        <v>1173</v>
      </c>
      <c r="AZ11" s="71">
        <v>179</v>
      </c>
      <c r="BA11" s="3" t="s">
        <v>71</v>
      </c>
      <c r="BB11" s="62" t="s">
        <v>94</v>
      </c>
      <c r="BC11" s="62">
        <f t="shared" si="24"/>
        <v>10</v>
      </c>
      <c r="BD11" s="62" t="str">
        <f t="shared" si="2"/>
        <v>13.</v>
      </c>
      <c r="BE11" s="62" t="str">
        <f t="shared" si="25"/>
        <v>9.</v>
      </c>
      <c r="BF11" s="62" t="str">
        <f t="shared" si="26"/>
        <v>2.-4.</v>
      </c>
      <c r="BG11" s="62">
        <f t="shared" si="27"/>
        <v>13</v>
      </c>
      <c r="BH11" s="62">
        <f t="shared" si="28"/>
        <v>9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TJ Sokol Královské Vinohrady</v>
      </c>
      <c r="C12" s="76">
        <f t="shared" si="4"/>
        <v>13</v>
      </c>
      <c r="D12" s="76">
        <f t="shared" si="5"/>
        <v>3</v>
      </c>
      <c r="E12" s="76">
        <f t="shared" si="6"/>
        <v>0</v>
      </c>
      <c r="F12" s="76">
        <f t="shared" si="7"/>
        <v>0</v>
      </c>
      <c r="G12" s="76">
        <f t="shared" si="8"/>
        <v>10</v>
      </c>
      <c r="H12" s="78">
        <f t="shared" si="9"/>
        <v>9</v>
      </c>
      <c r="I12" s="76">
        <f t="shared" si="10"/>
        <v>53</v>
      </c>
      <c r="J12" s="76">
        <f t="shared" si="11"/>
        <v>100</v>
      </c>
      <c r="K12" s="76">
        <f t="shared" si="12"/>
        <v>-47</v>
      </c>
      <c r="L12" s="76">
        <f t="shared" si="13"/>
        <v>27</v>
      </c>
      <c r="M12" s="76">
        <f t="shared" si="14"/>
        <v>12</v>
      </c>
      <c r="N12" s="76">
        <f t="shared" si="15"/>
        <v>3</v>
      </c>
      <c r="O12" s="67">
        <f t="shared" si="16"/>
        <v>44.44</v>
      </c>
      <c r="P12" s="76">
        <f t="shared" si="17"/>
        <v>19</v>
      </c>
      <c r="Q12" s="76">
        <f t="shared" si="18"/>
        <v>12</v>
      </c>
      <c r="R12" s="76">
        <f t="shared" si="19"/>
        <v>0</v>
      </c>
      <c r="S12" s="67">
        <f t="shared" si="20"/>
        <v>36.840000000000003</v>
      </c>
      <c r="T12" s="76">
        <f t="shared" si="21"/>
        <v>50</v>
      </c>
      <c r="U12" s="76">
        <f t="shared" si="22"/>
        <v>253</v>
      </c>
      <c r="V12" s="68">
        <f t="shared" si="23"/>
        <v>20.95</v>
      </c>
      <c r="W12" s="72" t="s">
        <v>77</v>
      </c>
      <c r="X12" s="71">
        <v>13</v>
      </c>
      <c r="Y12" s="71">
        <v>3</v>
      </c>
      <c r="Z12" s="71">
        <v>0</v>
      </c>
      <c r="AA12" s="71">
        <v>0</v>
      </c>
      <c r="AB12" s="71">
        <v>10</v>
      </c>
      <c r="AC12" s="71">
        <v>9</v>
      </c>
      <c r="AD12" s="71">
        <v>53</v>
      </c>
      <c r="AE12" s="71">
        <v>100</v>
      </c>
      <c r="AF12" s="71">
        <v>-47</v>
      </c>
      <c r="AG12" s="71">
        <v>27</v>
      </c>
      <c r="AH12" s="71">
        <v>12</v>
      </c>
      <c r="AI12" s="71">
        <v>3</v>
      </c>
      <c r="AJ12" s="70">
        <v>44.44</v>
      </c>
      <c r="AK12" s="71">
        <v>19</v>
      </c>
      <c r="AL12" s="71">
        <v>12</v>
      </c>
      <c r="AM12" s="71">
        <v>0</v>
      </c>
      <c r="AN12" s="70">
        <v>36.840000000000003</v>
      </c>
      <c r="AO12" s="71">
        <v>20</v>
      </c>
      <c r="AP12" s="71">
        <v>0</v>
      </c>
      <c r="AQ12" s="71">
        <v>1</v>
      </c>
      <c r="AR12" s="71">
        <v>0</v>
      </c>
      <c r="AS12" s="71">
        <v>0</v>
      </c>
      <c r="AT12" s="71">
        <v>0</v>
      </c>
      <c r="AU12" s="71">
        <v>50</v>
      </c>
      <c r="AV12" s="71">
        <v>253</v>
      </c>
      <c r="AW12" s="70">
        <v>20.95</v>
      </c>
      <c r="AX12" s="71">
        <v>752</v>
      </c>
      <c r="AY12" s="71">
        <v>651</v>
      </c>
      <c r="AZ12" s="71">
        <v>108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11.</v>
      </c>
      <c r="BE12" s="62" t="str">
        <f t="shared" si="25"/>
        <v>2.</v>
      </c>
      <c r="BF12" s="62" t="str">
        <f t="shared" si="26"/>
        <v>5.-7.</v>
      </c>
      <c r="BG12" s="62">
        <f t="shared" si="27"/>
        <v>11</v>
      </c>
      <c r="BH12" s="62">
        <f t="shared" si="28"/>
        <v>2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13</v>
      </c>
      <c r="D13" s="76">
        <f t="shared" si="5"/>
        <v>2</v>
      </c>
      <c r="E13" s="76">
        <f t="shared" si="6"/>
        <v>0</v>
      </c>
      <c r="F13" s="76">
        <f t="shared" si="7"/>
        <v>2</v>
      </c>
      <c r="G13" s="76">
        <f t="shared" si="8"/>
        <v>9</v>
      </c>
      <c r="H13" s="78">
        <f t="shared" si="9"/>
        <v>8</v>
      </c>
      <c r="I13" s="76">
        <f t="shared" si="10"/>
        <v>50</v>
      </c>
      <c r="J13" s="76">
        <f t="shared" si="11"/>
        <v>96</v>
      </c>
      <c r="K13" s="76">
        <f t="shared" si="12"/>
        <v>-46</v>
      </c>
      <c r="L13" s="76">
        <f t="shared" si="13"/>
        <v>16</v>
      </c>
      <c r="M13" s="76">
        <f t="shared" si="14"/>
        <v>5</v>
      </c>
      <c r="N13" s="76">
        <f t="shared" si="15"/>
        <v>3</v>
      </c>
      <c r="O13" s="67">
        <f t="shared" si="16"/>
        <v>31.25</v>
      </c>
      <c r="P13" s="76">
        <f t="shared" si="17"/>
        <v>27</v>
      </c>
      <c r="Q13" s="76">
        <f t="shared" si="18"/>
        <v>13</v>
      </c>
      <c r="R13" s="76">
        <f t="shared" si="19"/>
        <v>0</v>
      </c>
      <c r="S13" s="67">
        <f t="shared" si="20"/>
        <v>51.85</v>
      </c>
      <c r="T13" s="76">
        <f t="shared" si="21"/>
        <v>61</v>
      </c>
      <c r="U13" s="76">
        <f t="shared" si="22"/>
        <v>231</v>
      </c>
      <c r="V13" s="68">
        <f t="shared" si="23"/>
        <v>21.64</v>
      </c>
      <c r="W13" s="72" t="s">
        <v>74</v>
      </c>
      <c r="X13" s="71">
        <v>13</v>
      </c>
      <c r="Y13" s="71">
        <v>2</v>
      </c>
      <c r="Z13" s="71">
        <v>0</v>
      </c>
      <c r="AA13" s="71">
        <v>2</v>
      </c>
      <c r="AB13" s="71">
        <v>9</v>
      </c>
      <c r="AC13" s="71">
        <v>8</v>
      </c>
      <c r="AD13" s="71">
        <v>50</v>
      </c>
      <c r="AE13" s="71">
        <v>96</v>
      </c>
      <c r="AF13" s="71">
        <v>-46</v>
      </c>
      <c r="AG13" s="71">
        <v>16</v>
      </c>
      <c r="AH13" s="71">
        <v>5</v>
      </c>
      <c r="AI13" s="71">
        <v>3</v>
      </c>
      <c r="AJ13" s="70">
        <v>31.25</v>
      </c>
      <c r="AK13" s="71">
        <v>27</v>
      </c>
      <c r="AL13" s="71">
        <v>13</v>
      </c>
      <c r="AM13" s="71">
        <v>0</v>
      </c>
      <c r="AN13" s="70">
        <v>51.85</v>
      </c>
      <c r="AO13" s="71">
        <v>28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61</v>
      </c>
      <c r="AV13" s="71">
        <v>231</v>
      </c>
      <c r="AW13" s="70">
        <v>21.64</v>
      </c>
      <c r="AX13" s="71">
        <v>1091</v>
      </c>
      <c r="AY13" s="71">
        <v>650</v>
      </c>
      <c r="AZ13" s="71">
        <v>134</v>
      </c>
      <c r="BA13" s="3" t="s">
        <v>75</v>
      </c>
      <c r="BB13" s="62" t="s">
        <v>98</v>
      </c>
      <c r="BC13" s="62">
        <f t="shared" si="24"/>
        <v>14</v>
      </c>
      <c r="BD13" s="62" t="str">
        <f t="shared" si="2"/>
        <v>9.-11.</v>
      </c>
      <c r="BE13" s="62" t="str">
        <f t="shared" si="25"/>
        <v>11.-13.</v>
      </c>
      <c r="BF13" s="62" t="str">
        <f t="shared" si="26"/>
        <v>13.</v>
      </c>
      <c r="BG13" s="62">
        <f t="shared" si="27"/>
        <v>9</v>
      </c>
      <c r="BH13" s="62">
        <f t="shared" si="28"/>
        <v>11</v>
      </c>
      <c r="BI13" s="62">
        <f t="shared" si="29"/>
        <v>13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13</v>
      </c>
      <c r="D14" s="76">
        <f t="shared" si="5"/>
        <v>1</v>
      </c>
      <c r="E14" s="76">
        <f t="shared" si="6"/>
        <v>2</v>
      </c>
      <c r="F14" s="76">
        <f t="shared" si="7"/>
        <v>0</v>
      </c>
      <c r="G14" s="76">
        <f t="shared" si="8"/>
        <v>10</v>
      </c>
      <c r="H14" s="78">
        <f t="shared" si="9"/>
        <v>7</v>
      </c>
      <c r="I14" s="76">
        <f t="shared" si="10"/>
        <v>70</v>
      </c>
      <c r="J14" s="76">
        <f t="shared" si="11"/>
        <v>110</v>
      </c>
      <c r="K14" s="76">
        <f t="shared" si="12"/>
        <v>-40</v>
      </c>
      <c r="L14" s="76">
        <f t="shared" si="13"/>
        <v>16</v>
      </c>
      <c r="M14" s="76">
        <f t="shared" si="14"/>
        <v>6</v>
      </c>
      <c r="N14" s="76">
        <f t="shared" si="15"/>
        <v>0</v>
      </c>
      <c r="O14" s="67">
        <f t="shared" si="16"/>
        <v>37.5</v>
      </c>
      <c r="P14" s="76">
        <f t="shared" si="17"/>
        <v>36</v>
      </c>
      <c r="Q14" s="76">
        <f t="shared" si="18"/>
        <v>22</v>
      </c>
      <c r="R14" s="76">
        <f t="shared" si="19"/>
        <v>1</v>
      </c>
      <c r="S14" s="67">
        <f t="shared" si="20"/>
        <v>38.89</v>
      </c>
      <c r="T14" s="76">
        <f t="shared" si="21"/>
        <v>98</v>
      </c>
      <c r="U14" s="76">
        <f t="shared" si="22"/>
        <v>330</v>
      </c>
      <c r="V14" s="68">
        <f t="shared" si="23"/>
        <v>21.21</v>
      </c>
      <c r="W14" s="72" t="s">
        <v>73</v>
      </c>
      <c r="X14" s="71">
        <v>13</v>
      </c>
      <c r="Y14" s="71">
        <v>1</v>
      </c>
      <c r="Z14" s="71">
        <v>2</v>
      </c>
      <c r="AA14" s="71">
        <v>0</v>
      </c>
      <c r="AB14" s="71">
        <v>10</v>
      </c>
      <c r="AC14" s="71">
        <v>7</v>
      </c>
      <c r="AD14" s="71">
        <v>70</v>
      </c>
      <c r="AE14" s="71">
        <v>110</v>
      </c>
      <c r="AF14" s="71">
        <v>-40</v>
      </c>
      <c r="AG14" s="71">
        <v>16</v>
      </c>
      <c r="AH14" s="71">
        <v>6</v>
      </c>
      <c r="AI14" s="71">
        <v>0</v>
      </c>
      <c r="AJ14" s="70">
        <v>37.5</v>
      </c>
      <c r="AK14" s="71">
        <v>36</v>
      </c>
      <c r="AL14" s="71">
        <v>22</v>
      </c>
      <c r="AM14" s="71">
        <v>1</v>
      </c>
      <c r="AN14" s="70">
        <v>38.89</v>
      </c>
      <c r="AO14" s="71">
        <v>34</v>
      </c>
      <c r="AP14" s="71">
        <v>2</v>
      </c>
      <c r="AQ14" s="71">
        <v>0</v>
      </c>
      <c r="AR14" s="71">
        <v>1</v>
      </c>
      <c r="AS14" s="71">
        <v>0</v>
      </c>
      <c r="AT14" s="71">
        <v>0</v>
      </c>
      <c r="AU14" s="71">
        <v>98</v>
      </c>
      <c r="AV14" s="71">
        <v>330</v>
      </c>
      <c r="AW14" s="70">
        <v>21.21</v>
      </c>
      <c r="AX14" s="71">
        <v>1231</v>
      </c>
      <c r="AY14" s="71">
        <v>1066</v>
      </c>
      <c r="AZ14" s="71">
        <v>177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4.-6.</v>
      </c>
      <c r="BF14" s="62" t="str">
        <f t="shared" si="26"/>
        <v>10.</v>
      </c>
      <c r="BG14" s="62">
        <f t="shared" si="27"/>
        <v>2</v>
      </c>
      <c r="BH14" s="62">
        <f t="shared" si="28"/>
        <v>4</v>
      </c>
      <c r="BI14" s="62">
        <f t="shared" si="29"/>
        <v>10</v>
      </c>
    </row>
    <row r="15" spans="1:61" ht="24" customHeight="1" thickBot="1" x14ac:dyDescent="0.3">
      <c r="A15" s="139">
        <v>14</v>
      </c>
      <c r="B15" s="134" t="str">
        <f t="shared" si="3"/>
        <v>SOKOLI Pardubice</v>
      </c>
      <c r="C15" s="135">
        <f t="shared" si="4"/>
        <v>13</v>
      </c>
      <c r="D15" s="135">
        <f t="shared" si="5"/>
        <v>2</v>
      </c>
      <c r="E15" s="135">
        <f t="shared" si="6"/>
        <v>0</v>
      </c>
      <c r="F15" s="135">
        <f t="shared" si="7"/>
        <v>1</v>
      </c>
      <c r="G15" s="135">
        <f t="shared" si="8"/>
        <v>10</v>
      </c>
      <c r="H15" s="79">
        <f t="shared" si="9"/>
        <v>7</v>
      </c>
      <c r="I15" s="135">
        <f t="shared" si="10"/>
        <v>56</v>
      </c>
      <c r="J15" s="135">
        <f t="shared" si="11"/>
        <v>109</v>
      </c>
      <c r="K15" s="135">
        <f t="shared" si="12"/>
        <v>-53</v>
      </c>
      <c r="L15" s="135">
        <f t="shared" si="13"/>
        <v>16</v>
      </c>
      <c r="M15" s="135">
        <f t="shared" si="14"/>
        <v>6</v>
      </c>
      <c r="N15" s="135">
        <f t="shared" si="15"/>
        <v>1</v>
      </c>
      <c r="O15" s="136">
        <f t="shared" si="16"/>
        <v>37.5</v>
      </c>
      <c r="P15" s="135">
        <f t="shared" si="17"/>
        <v>22</v>
      </c>
      <c r="Q15" s="135">
        <f t="shared" si="18"/>
        <v>11</v>
      </c>
      <c r="R15" s="135">
        <f t="shared" si="19"/>
        <v>0</v>
      </c>
      <c r="S15" s="136">
        <f t="shared" si="20"/>
        <v>50</v>
      </c>
      <c r="T15" s="135">
        <f t="shared" si="21"/>
        <v>69</v>
      </c>
      <c r="U15" s="135">
        <f t="shared" si="22"/>
        <v>262</v>
      </c>
      <c r="V15" s="137">
        <f t="shared" si="23"/>
        <v>21.37</v>
      </c>
      <c r="W15" s="72" t="s">
        <v>75</v>
      </c>
      <c r="X15" s="71">
        <v>13</v>
      </c>
      <c r="Y15" s="71">
        <v>2</v>
      </c>
      <c r="Z15" s="71">
        <v>0</v>
      </c>
      <c r="AA15" s="71">
        <v>1</v>
      </c>
      <c r="AB15" s="71">
        <v>10</v>
      </c>
      <c r="AC15" s="71">
        <v>7</v>
      </c>
      <c r="AD15" s="71">
        <v>56</v>
      </c>
      <c r="AE15" s="71">
        <v>109</v>
      </c>
      <c r="AF15" s="71">
        <v>-53</v>
      </c>
      <c r="AG15" s="71">
        <v>16</v>
      </c>
      <c r="AH15" s="71">
        <v>6</v>
      </c>
      <c r="AI15" s="71">
        <v>1</v>
      </c>
      <c r="AJ15" s="70">
        <v>37.5</v>
      </c>
      <c r="AK15" s="71">
        <v>22</v>
      </c>
      <c r="AL15" s="71">
        <v>11</v>
      </c>
      <c r="AM15" s="71">
        <v>0</v>
      </c>
      <c r="AN15" s="70">
        <v>50</v>
      </c>
      <c r="AO15" s="71">
        <v>22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69</v>
      </c>
      <c r="AV15" s="71">
        <v>262</v>
      </c>
      <c r="AW15" s="70">
        <v>21.37</v>
      </c>
      <c r="AX15" s="71">
        <v>951</v>
      </c>
      <c r="AY15" s="71">
        <v>1301</v>
      </c>
      <c r="AZ15" s="71">
        <v>173</v>
      </c>
      <c r="BA15" s="3" t="s">
        <v>77</v>
      </c>
      <c r="BB15" s="62" t="s">
        <v>5</v>
      </c>
      <c r="BC15" s="62">
        <f t="shared" si="24"/>
        <v>11</v>
      </c>
      <c r="BD15" s="62" t="str">
        <f t="shared" si="2"/>
        <v>5.</v>
      </c>
      <c r="BE15" s="62" t="str">
        <f t="shared" si="25"/>
        <v>14.</v>
      </c>
      <c r="BF15" s="62" t="str">
        <f t="shared" si="26"/>
        <v>7.</v>
      </c>
      <c r="BG15" s="62">
        <f t="shared" si="27"/>
        <v>5</v>
      </c>
      <c r="BH15" s="62">
        <f t="shared" si="28"/>
        <v>14</v>
      </c>
      <c r="BI15" s="62">
        <f t="shared" si="29"/>
        <v>7</v>
      </c>
    </row>
    <row r="16" spans="1:61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906" priority="20">
      <formula>MOD(ROW($A2),2)=1</formula>
    </cfRule>
  </conditionalFormatting>
  <conditionalFormatting sqref="A2:A15">
    <cfRule type="cellIs" dxfId="905" priority="1" operator="between">
      <formula>1</formula>
      <formula>6</formula>
    </cfRule>
    <cfRule type="cellIs" dxfId="904" priority="18" operator="between">
      <formula>7</formula>
      <formula>10</formula>
    </cfRule>
    <cfRule type="cellIs" dxfId="903" priority="19" operator="greaterThanOrEqual">
      <formula>11</formula>
    </cfRule>
  </conditionalFormatting>
  <conditionalFormatting sqref="I2:I15">
    <cfRule type="top10" dxfId="902" priority="16" bottom="1" rank="1"/>
    <cfRule type="top10" dxfId="901" priority="17" rank="1"/>
  </conditionalFormatting>
  <conditionalFormatting sqref="J2:J15">
    <cfRule type="top10" dxfId="900" priority="14" bottom="1" rank="1"/>
    <cfRule type="top10" dxfId="899" priority="15" rank="1"/>
  </conditionalFormatting>
  <conditionalFormatting sqref="K2:K15">
    <cfRule type="top10" dxfId="898" priority="12" bottom="1" rank="1"/>
    <cfRule type="top10" dxfId="897" priority="13" rank="1"/>
  </conditionalFormatting>
  <conditionalFormatting sqref="O2:O15">
    <cfRule type="top10" dxfId="896" priority="10" bottom="1" rank="1"/>
    <cfRule type="top10" dxfId="895" priority="11" rank="1"/>
  </conditionalFormatting>
  <conditionalFormatting sqref="S2:S15">
    <cfRule type="top10" dxfId="894" priority="8" bottom="1" rank="1"/>
    <cfRule type="top10" dxfId="893" priority="9" rank="1"/>
  </conditionalFormatting>
  <conditionalFormatting sqref="T2:T15">
    <cfRule type="top10" dxfId="892" priority="6" bottom="1" rank="1"/>
    <cfRule type="top10" dxfId="891" priority="7" rank="1"/>
  </conditionalFormatting>
  <conditionalFormatting sqref="U2:U15">
    <cfRule type="top10" dxfId="890" priority="4" bottom="1" rank="1"/>
    <cfRule type="top10" dxfId="889" priority="5" rank="1"/>
  </conditionalFormatting>
  <conditionalFormatting sqref="V2:V15">
    <cfRule type="top10" dxfId="888" priority="2" bottom="1" rank="1"/>
    <cfRule type="top10" dxfId="887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activeCell="S27" sqref="S27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90" t="s">
        <v>91</v>
      </c>
      <c r="B1" s="390"/>
      <c r="C1" s="390"/>
      <c r="D1" s="390"/>
      <c r="E1" s="390"/>
      <c r="F1" s="390"/>
      <c r="G1" s="390"/>
      <c r="H1" s="390"/>
      <c r="I1" s="390"/>
      <c r="J1" s="390" t="s">
        <v>97</v>
      </c>
      <c r="K1" s="390"/>
      <c r="L1" s="390"/>
      <c r="M1" s="390"/>
      <c r="N1" s="390"/>
      <c r="O1" s="390"/>
      <c r="P1" s="390"/>
      <c r="Q1" s="390"/>
      <c r="R1" s="390"/>
      <c r="S1" s="285" t="s">
        <v>1295</v>
      </c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7"/>
    </row>
    <row r="2" spans="1:31" ht="15" customHeight="1" thickBot="1" x14ac:dyDescent="0.3">
      <c r="A2" s="391"/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227" t="s">
        <v>1296</v>
      </c>
      <c r="T2" s="228" t="s">
        <v>1297</v>
      </c>
      <c r="U2" s="228" t="s">
        <v>1292</v>
      </c>
      <c r="V2" s="229" t="s">
        <v>1298</v>
      </c>
      <c r="W2" s="230" t="s">
        <v>1288</v>
      </c>
      <c r="X2" s="347" t="s">
        <v>45</v>
      </c>
      <c r="Y2" s="348"/>
      <c r="Z2" s="348"/>
      <c r="AA2" s="348"/>
      <c r="AB2" s="64" t="s">
        <v>28</v>
      </c>
      <c r="AC2" s="348" t="s">
        <v>1299</v>
      </c>
      <c r="AD2" s="348"/>
      <c r="AE2" s="349"/>
    </row>
    <row r="3" spans="1:31" ht="15" customHeight="1" thickTop="1" thickBot="1" x14ac:dyDescent="0.3">
      <c r="A3" s="392" t="str">
        <f>INDEX(tabulka!$BA$2:$BA$15,MATCH($A$1,tabulka!$BB$2:$BB$15,0))</f>
        <v>BLACK ANGELS</v>
      </c>
      <c r="B3" s="392"/>
      <c r="C3" s="392"/>
      <c r="D3" s="392"/>
      <c r="E3" s="392"/>
      <c r="F3" s="392"/>
      <c r="G3" s="392"/>
      <c r="H3" s="392"/>
      <c r="I3" s="392"/>
      <c r="J3" s="392" t="str">
        <f>INDEX(tabulka!$BA$2:$BA$15,MATCH($J$1,tabulka!$BB$2:$BB$15,0))</f>
        <v>FBŠ Hummel Hattrick Brno</v>
      </c>
      <c r="K3" s="392"/>
      <c r="L3" s="392"/>
      <c r="M3" s="392"/>
      <c r="N3" s="392"/>
      <c r="O3" s="392"/>
      <c r="P3" s="392"/>
      <c r="Q3" s="392"/>
      <c r="R3" s="392"/>
      <c r="S3" s="154" t="s">
        <v>97</v>
      </c>
      <c r="T3" s="155" t="s">
        <v>91</v>
      </c>
      <c r="U3" s="208" t="s">
        <v>1310</v>
      </c>
      <c r="V3" s="156" t="s">
        <v>1311</v>
      </c>
      <c r="W3" s="157" t="s">
        <v>1291</v>
      </c>
      <c r="X3" s="317" t="str">
        <f>IF(S3&lt;&gt;"",CONCATENATE(S3, " - ",T3),"")</f>
        <v>HAT - BA</v>
      </c>
      <c r="Y3" s="317"/>
      <c r="Z3" s="317"/>
      <c r="AA3" s="264"/>
      <c r="AB3" s="211" t="str">
        <f>IF(U3&lt;&gt;"",U3,"")</f>
        <v>1:5</v>
      </c>
      <c r="AC3" s="316" t="str">
        <f>IF(AND(V3&lt;&gt;"",W3&lt;&gt;""),CONCATENATE(V3," (",W3,")"),IF(V3&lt;&gt;"",V3,""))</f>
        <v>2021/2022 (ZČ)</v>
      </c>
      <c r="AD3" s="317"/>
      <c r="AE3" s="318"/>
    </row>
    <row r="4" spans="1:31" ht="15" customHeight="1" thickTop="1" thickBot="1" x14ac:dyDescent="0.3">
      <c r="A4" s="355" t="s">
        <v>25</v>
      </c>
      <c r="B4" s="356"/>
      <c r="C4" s="28" t="s">
        <v>26</v>
      </c>
      <c r="D4" s="28" t="s">
        <v>27</v>
      </c>
      <c r="E4" s="356" t="s">
        <v>28</v>
      </c>
      <c r="F4" s="356"/>
      <c r="G4" s="28" t="s">
        <v>29</v>
      </c>
      <c r="H4" s="28" t="s">
        <v>30</v>
      </c>
      <c r="I4" s="29" t="s">
        <v>31</v>
      </c>
      <c r="J4" s="362" t="s">
        <v>25</v>
      </c>
      <c r="K4" s="363"/>
      <c r="L4" s="30" t="s">
        <v>26</v>
      </c>
      <c r="M4" s="30" t="s">
        <v>27</v>
      </c>
      <c r="N4" s="363" t="s">
        <v>28</v>
      </c>
      <c r="O4" s="363"/>
      <c r="P4" s="30" t="s">
        <v>29</v>
      </c>
      <c r="Q4" s="30" t="s">
        <v>30</v>
      </c>
      <c r="R4" s="174" t="s">
        <v>31</v>
      </c>
      <c r="S4" s="158" t="s">
        <v>91</v>
      </c>
      <c r="T4" s="159" t="s">
        <v>97</v>
      </c>
      <c r="U4" s="209" t="s">
        <v>1217</v>
      </c>
      <c r="V4" s="160" t="s">
        <v>1293</v>
      </c>
      <c r="W4" s="161" t="s">
        <v>1291</v>
      </c>
      <c r="X4" s="320" t="str">
        <f t="shared" ref="X4:X14" si="0">IF(S4&lt;&gt;"",CONCATENATE(S4, " - ",T4),"")</f>
        <v>BA - HAT</v>
      </c>
      <c r="Y4" s="320"/>
      <c r="Z4" s="320"/>
      <c r="AA4" s="266"/>
      <c r="AB4" s="212" t="str">
        <f t="shared" ref="AB4:AB14" si="1">IF(U4&lt;&gt;"",U4,"")</f>
        <v>5:2</v>
      </c>
      <c r="AC4" s="319" t="str">
        <f t="shared" ref="AC4:AC14" si="2">IF(AND(V4&lt;&gt;"",W4&lt;&gt;""),CONCATENATE(V4," (",W4,")"),IF(V4&lt;&gt;"",V4,""))</f>
        <v>2020/2021 (ZČ)</v>
      </c>
      <c r="AD4" s="320"/>
      <c r="AE4" s="321"/>
    </row>
    <row r="5" spans="1:31" ht="15" customHeight="1" thickBot="1" x14ac:dyDescent="0.3">
      <c r="A5" s="393" t="str">
        <f>IFERROR(CONCATENATE(VLOOKUP($A$1,tabulka!$BB$2:$BF$15,2,FALSE),". místo"),"")</f>
        <v>7. místo</v>
      </c>
      <c r="B5" s="394"/>
      <c r="C5" s="31">
        <f>IFERROR(VLOOKUP($A$3,tabulka!$B$2:$V$15,3,FALSE)+VLOOKUP($A$3,tabulka!$B$2:$V$15,4,FALSE),"")</f>
        <v>7</v>
      </c>
      <c r="D5" s="32">
        <f>IFERROR(VLOOKUP($A$3,tabulka!$B$2:$V$15,5,FALSE)+VLOOKUP($A$3,tabulka!$B$2:$V$15,6,FALSE),"")</f>
        <v>5</v>
      </c>
      <c r="E5" s="394" t="str">
        <f>IFERROR(CONCATENATE(VLOOKUP($A$3,tabulka!$B$2:$V$15,8,FALSE),":",VLOOKUP($A$3,tabulka!$B$2:$V$15,9,FALSE)),"")</f>
        <v>74:69</v>
      </c>
      <c r="F5" s="394"/>
      <c r="G5" s="82">
        <f>IFERROR(VLOOKUP($A$3,tabulka!$B$2:$V$15,14,FALSE),"")</f>
        <v>46.67</v>
      </c>
      <c r="H5" s="82">
        <f>IFERROR(VLOOKUP($A$3,tabulka!$B$2:$V$15,18,FALSE),"")</f>
        <v>68.97</v>
      </c>
      <c r="I5" s="33">
        <f>IFERROR(VLOOKUP($A$3,tabulka!$B$2:$V$15,19,FALSE),"")</f>
        <v>60</v>
      </c>
      <c r="J5" s="395" t="str">
        <f>IFERROR(CONCATENATE(VLOOKUP($J$1,tabulka!$BB$2:$BF$15,2,FALSE),". místo"),"")</f>
        <v>12. místo</v>
      </c>
      <c r="K5" s="396"/>
      <c r="L5" s="34">
        <f>IFERROR(VLOOKUP($J$3,tabulka!$B$2:$V$15,3,FALSE)+VLOOKUP($J$3,tabulka!$B$2:$V$15,4,FALSE),"")</f>
        <v>2</v>
      </c>
      <c r="M5" s="35">
        <f>IFERROR(VLOOKUP($J$3,tabulka!$B$2:$V$15,5,FALSE)+VLOOKUP($J$3,tabulka!$B$2:$V$15,6,FALSE),"")</f>
        <v>11</v>
      </c>
      <c r="N5" s="396" t="str">
        <f>IFERROR(CONCATENATE(VLOOKUP($J$3,tabulka!$B$2:$V$15,8,FALSE),":",VLOOKUP($J$3,tabulka!$B$2:$V$15,9,FALSE)),"")</f>
        <v>50:96</v>
      </c>
      <c r="O5" s="396"/>
      <c r="P5" s="83">
        <f>IFERROR(VLOOKUP($J$3,tabulka!$B$2:$V$15,14,FALSE),"")</f>
        <v>31.25</v>
      </c>
      <c r="Q5" s="83">
        <f>IFERROR(VLOOKUP($J$3,tabulka!$B$2:$V$15,18,FALSE),"")</f>
        <v>51.85</v>
      </c>
      <c r="R5" s="175">
        <f>IFERROR(VLOOKUP($J$3,tabulka!$B$2:$V$15,19,FALSE),"")</f>
        <v>61</v>
      </c>
      <c r="S5" s="158" t="s">
        <v>97</v>
      </c>
      <c r="T5" s="159" t="s">
        <v>91</v>
      </c>
      <c r="U5" s="209" t="s">
        <v>1312</v>
      </c>
      <c r="V5" s="160" t="s">
        <v>1293</v>
      </c>
      <c r="W5" s="161" t="s">
        <v>1291</v>
      </c>
      <c r="X5" s="320" t="str">
        <f t="shared" si="0"/>
        <v>HAT - BA</v>
      </c>
      <c r="Y5" s="320"/>
      <c r="Z5" s="320"/>
      <c r="AA5" s="266"/>
      <c r="AB5" s="212" t="str">
        <f t="shared" si="1"/>
        <v>3:5</v>
      </c>
      <c r="AC5" s="319" t="str">
        <f t="shared" si="2"/>
        <v>2020/2021 (ZČ)</v>
      </c>
      <c r="AD5" s="320"/>
      <c r="AE5" s="321"/>
    </row>
    <row r="6" spans="1:31" ht="15" customHeight="1" thickTop="1" x14ac:dyDescent="0.25">
      <c r="A6" s="26"/>
      <c r="B6" s="26"/>
      <c r="C6" s="26"/>
      <c r="D6" s="26"/>
      <c r="E6" s="322" t="s">
        <v>103</v>
      </c>
      <c r="F6" s="322"/>
      <c r="G6" s="36" t="str">
        <f>IFERROR(VLOOKUP($A$1,tabulka!$BB$2:$BF$15,3,FALSE),"")</f>
        <v>4.</v>
      </c>
      <c r="H6" s="36" t="str">
        <f>IFERROR(VLOOKUP($A$1,tabulka!$BB$2:$BF$15,4,FALSE),"")</f>
        <v>6.</v>
      </c>
      <c r="I6" s="36" t="str">
        <f>IFERROR(VLOOKUP($A$1,tabulka!$BB$2:$BF$15,5,FALSE),"")</f>
        <v>11.</v>
      </c>
      <c r="J6" s="26"/>
      <c r="K6" s="26"/>
      <c r="L6" s="26"/>
      <c r="N6" s="322" t="s">
        <v>103</v>
      </c>
      <c r="O6" s="322"/>
      <c r="P6" s="36" t="str">
        <f>IFERROR(VLOOKUP($J$1,tabulka!$BB$2:$BF$15,3,FALSE),"")</f>
        <v>12.</v>
      </c>
      <c r="Q6" s="36" t="str">
        <f>IFERROR(VLOOKUP($J$1,tabulka!$BB$2:$BF$15,4,FALSE),"")</f>
        <v>10.</v>
      </c>
      <c r="R6" s="36" t="str">
        <f>IFERROR(VLOOKUP($J$1,tabulka!$BB$2:$BF$15,5,FALSE),"")</f>
        <v>12.</v>
      </c>
      <c r="S6" s="158" t="s">
        <v>91</v>
      </c>
      <c r="T6" s="159" t="s">
        <v>97</v>
      </c>
      <c r="U6" s="209" t="s">
        <v>1121</v>
      </c>
      <c r="V6" s="160" t="s">
        <v>1294</v>
      </c>
      <c r="W6" s="161" t="s">
        <v>1291</v>
      </c>
      <c r="X6" s="320" t="str">
        <f t="shared" si="0"/>
        <v>BA - HAT</v>
      </c>
      <c r="Y6" s="320"/>
      <c r="Z6" s="320"/>
      <c r="AA6" s="266"/>
      <c r="AB6" s="212" t="str">
        <f t="shared" si="1"/>
        <v>6:3</v>
      </c>
      <c r="AC6" s="319" t="str">
        <f t="shared" si="2"/>
        <v>2019/2020 (ZČ)</v>
      </c>
      <c r="AD6" s="320"/>
      <c r="AE6" s="321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97</v>
      </c>
      <c r="T7" s="159" t="s">
        <v>91</v>
      </c>
      <c r="U7" s="209" t="s">
        <v>1033</v>
      </c>
      <c r="V7" s="160" t="s">
        <v>1294</v>
      </c>
      <c r="W7" s="161" t="s">
        <v>1291</v>
      </c>
      <c r="X7" s="320" t="str">
        <f t="shared" si="0"/>
        <v>HAT - BA</v>
      </c>
      <c r="Y7" s="320"/>
      <c r="Z7" s="320"/>
      <c r="AA7" s="266"/>
      <c r="AB7" s="212" t="str">
        <f t="shared" si="1"/>
        <v>7:3</v>
      </c>
      <c r="AC7" s="319" t="str">
        <f t="shared" si="2"/>
        <v>2019/2020 (ZČ)</v>
      </c>
      <c r="AD7" s="320"/>
      <c r="AE7" s="321"/>
    </row>
    <row r="8" spans="1:31" ht="15" customHeight="1" thickTop="1" thickBot="1" x14ac:dyDescent="0.3">
      <c r="A8" s="397" t="s">
        <v>32</v>
      </c>
      <c r="B8" s="398"/>
      <c r="C8" s="399" t="str">
        <f ca="1">IFERROR(IF(INDIRECT("priprava_" &amp; A1 &amp; "!BY12")&lt;&gt;0,INDIRECT("priprava_" &amp; A1 &amp; "!BY12"),""),"")</f>
        <v>PP - P - V - P - P - P - V - VP - V - V</v>
      </c>
      <c r="D8" s="399"/>
      <c r="E8" s="399"/>
      <c r="F8" s="399"/>
      <c r="G8" s="399"/>
      <c r="H8" s="400"/>
      <c r="I8" s="25"/>
      <c r="J8" s="401" t="s">
        <v>32</v>
      </c>
      <c r="K8" s="402"/>
      <c r="L8" s="403" t="str">
        <f ca="1">IFERROR(IF(INDIRECT("priprava_" &amp; J1 &amp; "!BY12")&lt;&gt;0,INDIRECT("priprava_" &amp; J1 &amp; "!BY12"),""),"")</f>
        <v>P - PP - P - P - P - P - V - P - V - PP</v>
      </c>
      <c r="M8" s="403"/>
      <c r="N8" s="403"/>
      <c r="O8" s="403"/>
      <c r="P8" s="403"/>
      <c r="Q8" s="404"/>
      <c r="R8" s="25"/>
      <c r="S8" s="158"/>
      <c r="T8" s="159"/>
      <c r="U8" s="209"/>
      <c r="V8" s="160"/>
      <c r="W8" s="161"/>
      <c r="X8" s="320" t="str">
        <f t="shared" si="0"/>
        <v/>
      </c>
      <c r="Y8" s="320"/>
      <c r="Z8" s="320"/>
      <c r="AA8" s="266"/>
      <c r="AB8" s="212" t="str">
        <f t="shared" si="1"/>
        <v/>
      </c>
      <c r="AC8" s="319" t="str">
        <f t="shared" si="2"/>
        <v/>
      </c>
      <c r="AD8" s="320"/>
      <c r="AE8" s="321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/>
      <c r="T9" s="159"/>
      <c r="U9" s="209"/>
      <c r="V9" s="160"/>
      <c r="W9" s="161"/>
      <c r="X9" s="320" t="str">
        <f t="shared" si="0"/>
        <v/>
      </c>
      <c r="Y9" s="320"/>
      <c r="Z9" s="320"/>
      <c r="AA9" s="266"/>
      <c r="AB9" s="212" t="str">
        <f t="shared" si="1"/>
        <v/>
      </c>
      <c r="AC9" s="319" t="str">
        <f t="shared" si="2"/>
        <v/>
      </c>
      <c r="AD9" s="320"/>
      <c r="AE9" s="321"/>
    </row>
    <row r="10" spans="1:31" ht="15" customHeight="1" thickTop="1" thickBot="1" x14ac:dyDescent="0.3">
      <c r="A10" s="355" t="s">
        <v>33</v>
      </c>
      <c r="B10" s="356"/>
      <c r="C10" s="356"/>
      <c r="D10" s="361"/>
      <c r="E10" s="360" t="s">
        <v>34</v>
      </c>
      <c r="F10" s="356"/>
      <c r="G10" s="356"/>
      <c r="H10" s="361"/>
      <c r="I10" s="25"/>
      <c r="J10" s="355" t="s">
        <v>33</v>
      </c>
      <c r="K10" s="356"/>
      <c r="L10" s="356"/>
      <c r="M10" s="361"/>
      <c r="N10" s="360" t="s">
        <v>34</v>
      </c>
      <c r="O10" s="356"/>
      <c r="P10" s="356"/>
      <c r="Q10" s="361"/>
      <c r="R10" s="37"/>
      <c r="S10" s="158"/>
      <c r="T10" s="159"/>
      <c r="U10" s="209"/>
      <c r="V10" s="160"/>
      <c r="W10" s="161"/>
      <c r="X10" s="320" t="str">
        <f t="shared" si="0"/>
        <v/>
      </c>
      <c r="Y10" s="320"/>
      <c r="Z10" s="320"/>
      <c r="AA10" s="266"/>
      <c r="AB10" s="212" t="str">
        <f t="shared" si="1"/>
        <v/>
      </c>
      <c r="AC10" s="319" t="str">
        <f t="shared" si="2"/>
        <v/>
      </c>
      <c r="AD10" s="320"/>
      <c r="AE10" s="321"/>
    </row>
    <row r="11" spans="1:31" ht="15" customHeight="1" x14ac:dyDescent="0.25">
      <c r="A11" s="405" t="str">
        <f ca="1">IFERROR(IF(INDIRECT("priprava_" &amp; A$1 &amp; "!BZ2")&lt;&gt;"",INDIRECT("priprava_" &amp; A$1 &amp; "!BZ2"),""),"")</f>
        <v>PAR (d)</v>
      </c>
      <c r="B11" s="334"/>
      <c r="C11" s="406" t="str">
        <f ca="1">IFERROR(IF(A11&lt;&gt;"",INDIRECT("priprava_" &amp; A$1 &amp; "!CA2"),""),"")</f>
        <v>6:5</v>
      </c>
      <c r="D11" s="407"/>
      <c r="E11" s="333" t="str">
        <f ca="1">IFERROR(IF(INDIRECT("priprava_" &amp; A$1 &amp; "!BZ7")&lt;&gt;"",INDIRECT("priprava_" &amp; A$1 &amp; "!BZ7"),""),"")</f>
        <v>OTR (h)</v>
      </c>
      <c r="F11" s="334"/>
      <c r="G11" s="406" t="str">
        <f ca="1">IFERROR(IF(E11&lt;&gt;"",INDIRECT("priprava_" &amp; A$1 &amp; "!BY7"),""),"")</f>
        <v>17. 11.</v>
      </c>
      <c r="H11" s="407"/>
      <c r="I11" s="25"/>
      <c r="J11" s="405" t="str">
        <f ca="1">IFERROR(IF(INDIRECT("priprava_" &amp; J$1 &amp; "!BZ2")&lt;&gt;"",INDIRECT("priprava_" &amp; J$1 &amp; "!BZ2"),""),"")</f>
        <v>LIB (d)</v>
      </c>
      <c r="K11" s="334"/>
      <c r="L11" s="406" t="str">
        <f ca="1">IFERROR(IF(J11&lt;&gt;"",INDIRECT("priprava_" &amp; J$1 &amp; "!CA2"),""),"")</f>
        <v>7:8p</v>
      </c>
      <c r="M11" s="407"/>
      <c r="N11" s="333" t="str">
        <f ca="1">IFERROR(IF(INDIRECT("priprava_" &amp; J$1 &amp; "!BZ7")&lt;&gt;"",INDIRECT("priprava_" &amp; J$1 &amp; "!BZ7"),""),"")</f>
        <v>PAR (d)</v>
      </c>
      <c r="O11" s="334"/>
      <c r="P11" s="406" t="str">
        <f ca="1">IFERROR(IF(N11&lt;&gt;"",INDIRECT("priprava_" &amp; J$1 &amp; "!BY7"),""),"")</f>
        <v>17. 11.</v>
      </c>
      <c r="Q11" s="407"/>
      <c r="R11" s="38"/>
      <c r="S11" s="158"/>
      <c r="T11" s="159"/>
      <c r="U11" s="209"/>
      <c r="V11" s="160"/>
      <c r="W11" s="161"/>
      <c r="X11" s="320" t="str">
        <f t="shared" si="0"/>
        <v/>
      </c>
      <c r="Y11" s="320"/>
      <c r="Z11" s="320"/>
      <c r="AA11" s="266"/>
      <c r="AB11" s="212" t="str">
        <f t="shared" si="1"/>
        <v/>
      </c>
      <c r="AC11" s="319" t="str">
        <f t="shared" si="2"/>
        <v/>
      </c>
      <c r="AD11" s="320"/>
      <c r="AE11" s="321"/>
    </row>
    <row r="12" spans="1:31" ht="15" customHeight="1" x14ac:dyDescent="0.25">
      <c r="A12" s="388" t="str">
        <f ca="1">IFERROR(IF(INDIRECT("priprava_" &amp; A$1 &amp; "!BZ3")&lt;&gt;"",INDIRECT("priprava_" &amp; A$1 &amp; "!BZ3"),""),"")</f>
        <v>CLP (h)</v>
      </c>
      <c r="B12" s="387"/>
      <c r="C12" s="385" t="str">
        <f ca="1">IFERROR(IF(A12&lt;&gt;"",INDIRECT("priprava_" &amp; A$1 &amp; "!CA3"),""),"")</f>
        <v>9:7</v>
      </c>
      <c r="D12" s="386"/>
      <c r="E12" s="266" t="str">
        <f ca="1">IFERROR(IF(INDIRECT("priprava_" &amp; A$1 &amp; "!BZ8")&lt;&gt;"",INDIRECT("priprava_" &amp; A$1 &amp; "!BZ8"),""),"")</f>
        <v>MB (d)</v>
      </c>
      <c r="F12" s="387"/>
      <c r="G12" s="385" t="str">
        <f ca="1">IFERROR(IF(E12&lt;&gt;"",INDIRECT("priprava_" &amp; A$1 &amp; "!BY8"),""),"")</f>
        <v>20. 11.</v>
      </c>
      <c r="H12" s="386"/>
      <c r="I12" s="26"/>
      <c r="J12" s="388" t="str">
        <f ca="1">IFERROR(IF(INDIRECT("priprava_" &amp; J$1 &amp; "!BZ3")&lt;&gt;"",INDIRECT("priprava_" &amp; J$1 &amp; "!BZ3"),""),"")</f>
        <v>OST (h)</v>
      </c>
      <c r="K12" s="387"/>
      <c r="L12" s="385" t="str">
        <f ca="1">IFERROR(IF(J12&lt;&gt;"",INDIRECT("priprava_" &amp; J$1 &amp; "!CA3"),""),"")</f>
        <v>4:2</v>
      </c>
      <c r="M12" s="386"/>
      <c r="N12" s="266" t="str">
        <f ca="1">IFERROR(IF(INDIRECT("priprava_" &amp; J$1 &amp; "!BZ8")&lt;&gt;"",INDIRECT("priprava_" &amp; J$1 &amp; "!BZ8"),""),"")</f>
        <v>BOH (h)</v>
      </c>
      <c r="O12" s="387"/>
      <c r="P12" s="385" t="str">
        <f ca="1">IFERROR(IF(N12&lt;&gt;"",INDIRECT("priprava_" &amp; J$1 &amp; "!BY8"),""),"")</f>
        <v>21. 11.</v>
      </c>
      <c r="Q12" s="386"/>
      <c r="R12" s="25"/>
      <c r="S12" s="158"/>
      <c r="T12" s="159"/>
      <c r="U12" s="209"/>
      <c r="V12" s="160"/>
      <c r="W12" s="161"/>
      <c r="X12" s="320" t="str">
        <f t="shared" si="0"/>
        <v/>
      </c>
      <c r="Y12" s="320"/>
      <c r="Z12" s="320"/>
      <c r="AA12" s="266"/>
      <c r="AB12" s="212" t="str">
        <f t="shared" si="1"/>
        <v/>
      </c>
      <c r="AC12" s="319" t="str">
        <f t="shared" si="2"/>
        <v/>
      </c>
      <c r="AD12" s="320"/>
      <c r="AE12" s="321"/>
    </row>
    <row r="13" spans="1:31" ht="15" customHeight="1" x14ac:dyDescent="0.25">
      <c r="A13" s="389" t="str">
        <f ca="1">IFERROR(IF(INDIRECT("priprava_" &amp; A$1 &amp; "!BZ4")&lt;&gt;"",INDIRECT("priprava_" &amp; A$1 &amp; "!BZ4"),""),"")</f>
        <v>CHO (h)</v>
      </c>
      <c r="B13" s="330"/>
      <c r="C13" s="331" t="str">
        <f ca="1">IFERROR(IF(A13&lt;&gt;"",INDIRECT("priprava_" &amp; A$1 &amp; "!CA4"),""),"")</f>
        <v>8:7p</v>
      </c>
      <c r="D13" s="332"/>
      <c r="E13" s="329" t="str">
        <f ca="1">IFERROR(IF(INDIRECT("priprava_" &amp; A$1 &amp; "!BZ9")&lt;&gt;"",INDIRECT("priprava_" &amp; A$1 &amp; "!BZ9"),""),"")</f>
        <v>BOH (h)</v>
      </c>
      <c r="F13" s="330"/>
      <c r="G13" s="331" t="str">
        <f ca="1">IFERROR(IF(E13&lt;&gt;"",INDIRECT("priprava_" &amp; A$1 &amp; "!BY9"),""),"")</f>
        <v>22. 11.</v>
      </c>
      <c r="H13" s="332"/>
      <c r="I13" s="25"/>
      <c r="J13" s="389" t="str">
        <f ca="1">IFERROR(IF(INDIRECT("priprava_" &amp; J$1 &amp; "!BZ4")&lt;&gt;"",INDIRECT("priprava_" &amp; J$1 &amp; "!BZ4"),""),"")</f>
        <v>TAT (d)</v>
      </c>
      <c r="K13" s="330"/>
      <c r="L13" s="331" t="str">
        <f ca="1">IFERROR(IF(J13&lt;&gt;"",INDIRECT("priprava_" &amp; J$1 &amp; "!CA4"),""),"")</f>
        <v>2:5</v>
      </c>
      <c r="M13" s="332"/>
      <c r="N13" s="329" t="str">
        <f ca="1">IFERROR(IF(INDIRECT("priprava_" &amp; J$1 &amp; "!BZ9")&lt;&gt;"",INDIRECT("priprava_" &amp; J$1 &amp; "!BZ9"),""),"")</f>
        <v>VIT (d)</v>
      </c>
      <c r="O13" s="330"/>
      <c r="P13" s="331" t="str">
        <f ca="1">IFERROR(IF(N13&lt;&gt;"",INDIRECT("priprava_" &amp; J$1 &amp; "!BY9"),""),"")</f>
        <v>26. 11.</v>
      </c>
      <c r="Q13" s="332"/>
      <c r="R13" s="27"/>
      <c r="S13" s="158"/>
      <c r="T13" s="159"/>
      <c r="U13" s="209"/>
      <c r="V13" s="160"/>
      <c r="W13" s="161"/>
      <c r="X13" s="320" t="str">
        <f t="shared" si="0"/>
        <v/>
      </c>
      <c r="Y13" s="320"/>
      <c r="Z13" s="320"/>
      <c r="AA13" s="266"/>
      <c r="AB13" s="212" t="str">
        <f t="shared" si="1"/>
        <v/>
      </c>
      <c r="AC13" s="319" t="str">
        <f t="shared" si="2"/>
        <v/>
      </c>
      <c r="AD13" s="320"/>
      <c r="AE13" s="321"/>
    </row>
    <row r="14" spans="1:31" ht="15" customHeight="1" x14ac:dyDescent="0.25">
      <c r="A14" s="388" t="str">
        <f ca="1">IFERROR(IF(INDIRECT("priprava_" &amp; A$1 &amp; "!BZ5")&lt;&gt;"",INDIRECT("priprava_" &amp; A$1 &amp; "!BZ5"),""),"")</f>
        <v>LIB (d)</v>
      </c>
      <c r="B14" s="387"/>
      <c r="C14" s="385" t="str">
        <f ca="1">IFERROR(IF(A14&lt;&gt;"",INDIRECT("priprava_" &amp; A$1 &amp; "!CA5"),""),"")</f>
        <v>8:5</v>
      </c>
      <c r="D14" s="386"/>
      <c r="E14" s="266" t="str">
        <f ca="1">IFERROR(IF(INDIRECT("priprava_" &amp; A$1 &amp; "!BZ10")&lt;&gt;"",INDIRECT("priprava_" &amp; A$1 &amp; "!BZ10"),""),"")</f>
        <v>SPA (h)</v>
      </c>
      <c r="F14" s="387"/>
      <c r="G14" s="385" t="str">
        <f ca="1">IFERROR(IF(E14&lt;&gt;"",INDIRECT("priprava_" &amp; A$1 &amp; "!BY10"),""),"")</f>
        <v>26. 11.</v>
      </c>
      <c r="H14" s="386"/>
      <c r="I14" s="26"/>
      <c r="J14" s="388" t="str">
        <f ca="1">IFERROR(IF(INDIRECT("priprava_" &amp; J$1 &amp; "!BZ5")&lt;&gt;"",INDIRECT("priprava_" &amp; J$1 &amp; "!BZ5"),""),"")</f>
        <v>SKV (h)</v>
      </c>
      <c r="K14" s="387"/>
      <c r="L14" s="385" t="str">
        <f ca="1">IFERROR(IF(J14&lt;&gt;"",INDIRECT("priprava_" &amp; J$1 &amp; "!CA5"),""),"")</f>
        <v>6:5</v>
      </c>
      <c r="M14" s="386"/>
      <c r="N14" s="266" t="str">
        <f ca="1">IFERROR(IF(INDIRECT("priprava_" &amp; J$1 &amp; "!BZ10")&lt;&gt;"",INDIRECT("priprava_" &amp; J$1 &amp; "!BZ10"),""),"")</f>
        <v>CLP (h)</v>
      </c>
      <c r="O14" s="387"/>
      <c r="P14" s="385" t="str">
        <f ca="1">IFERROR(IF(N14&lt;&gt;"",INDIRECT("priprava_" &amp; J$1 &amp; "!BY10"),""),"")</f>
        <v>17. 12.</v>
      </c>
      <c r="Q14" s="386"/>
      <c r="R14" s="25"/>
      <c r="S14" s="158"/>
      <c r="T14" s="159"/>
      <c r="U14" s="209"/>
      <c r="V14" s="160"/>
      <c r="W14" s="161"/>
      <c r="X14" s="320" t="str">
        <f t="shared" si="0"/>
        <v/>
      </c>
      <c r="Y14" s="320"/>
      <c r="Z14" s="320"/>
      <c r="AA14" s="266"/>
      <c r="AB14" s="212" t="str">
        <f t="shared" si="1"/>
        <v/>
      </c>
      <c r="AC14" s="319" t="str">
        <f t="shared" si="2"/>
        <v/>
      </c>
      <c r="AD14" s="320"/>
      <c r="AE14" s="321"/>
    </row>
    <row r="15" spans="1:31" ht="15" customHeight="1" thickBot="1" x14ac:dyDescent="0.3">
      <c r="A15" s="344" t="str">
        <f ca="1">IFERROR(IF(INDIRECT("priprava_" &amp; A$1 &amp; "!BZ6")&lt;&gt;"",INDIRECT("priprava_" &amp; A$1 &amp; "!BZ6"),""),"")</f>
        <v>TAT (d)</v>
      </c>
      <c r="B15" s="343"/>
      <c r="C15" s="327" t="str">
        <f ca="1">IFERROR(IF(A15&lt;&gt;"",INDIRECT("priprava_" &amp; A$1 &amp; "!CA6"),""),"")</f>
        <v>6:9</v>
      </c>
      <c r="D15" s="328"/>
      <c r="E15" s="342" t="str">
        <f ca="1">IFERROR(IF(INDIRECT("priprava_" &amp; A$1 &amp; "!BZ11")&lt;&gt;"",INDIRECT("priprava_" &amp; A$1 &amp; "!BZ11"),""),"")</f>
        <v>SKV (d)</v>
      </c>
      <c r="F15" s="343"/>
      <c r="G15" s="327" t="str">
        <f ca="1">IFERROR(IF(E15&lt;&gt;"",INDIRECT("priprava_" &amp; A$1 &amp; "!BY11"),""),"")</f>
        <v>17. 12.</v>
      </c>
      <c r="H15" s="328"/>
      <c r="I15" s="25"/>
      <c r="J15" s="344" t="str">
        <f ca="1">IFERROR(IF(INDIRECT("priprava_" &amp; J$1 &amp; "!BZ6")&lt;&gt;"",INDIRECT("priprava_" &amp; J$1 &amp; "!BZ6"),""),"")</f>
        <v>SPA (d)</v>
      </c>
      <c r="K15" s="343"/>
      <c r="L15" s="327" t="str">
        <f ca="1">IFERROR(IF(J15&lt;&gt;"",INDIRECT("priprava_" &amp; J$1 &amp; "!CA6"),""),"")</f>
        <v>3:7</v>
      </c>
      <c r="M15" s="328"/>
      <c r="N15" s="342" t="str">
        <f ca="1">IFERROR(IF(INDIRECT("priprava_" &amp; J$1 &amp; "!BZ11")&lt;&gt;"",INDIRECT("priprava_" &amp; J$1 &amp; "!BZ11"),""),"")</f>
        <v>OTR (h)</v>
      </c>
      <c r="O15" s="343"/>
      <c r="P15" s="327" t="str">
        <f ca="1">IFERROR(IF(N15&lt;&gt;"",INDIRECT("priprava_" &amp; J$1 &amp; "!BY11"),""),"")</f>
        <v>19. 12.</v>
      </c>
      <c r="Q15" s="328"/>
      <c r="R15" s="25"/>
      <c r="S15" s="158"/>
      <c r="T15" s="159"/>
      <c r="U15" s="209"/>
      <c r="V15" s="160"/>
      <c r="W15" s="161"/>
      <c r="X15" s="320" t="str">
        <f t="shared" ref="X15:X18" si="3">IF(S15&lt;&gt;"",CONCATENATE(S15, " - ",T15),"")</f>
        <v/>
      </c>
      <c r="Y15" s="320"/>
      <c r="Z15" s="320"/>
      <c r="AA15" s="266"/>
      <c r="AB15" s="212" t="str">
        <f t="shared" ref="AB15:AB18" si="4">IF(U15&lt;&gt;"",U15,"")</f>
        <v/>
      </c>
      <c r="AC15" s="319" t="str">
        <f t="shared" ref="AC15:AC18" si="5">IF(AND(V15&lt;&gt;"",W15&lt;&gt;""),CONCATENATE(V15," (",W15,")"),IF(V15&lt;&gt;"",V15,""))</f>
        <v/>
      </c>
      <c r="AD15" s="320"/>
      <c r="AE15" s="321"/>
    </row>
    <row r="16" spans="1:31" ht="15" customHeight="1" thickTop="1" x14ac:dyDescent="0.25">
      <c r="R16" s="37"/>
      <c r="S16" s="158"/>
      <c r="T16" s="159"/>
      <c r="U16" s="209"/>
      <c r="V16" s="160"/>
      <c r="W16" s="161"/>
      <c r="X16" s="320" t="str">
        <f t="shared" si="3"/>
        <v/>
      </c>
      <c r="Y16" s="320"/>
      <c r="Z16" s="320"/>
      <c r="AA16" s="266"/>
      <c r="AB16" s="212" t="str">
        <f t="shared" si="4"/>
        <v/>
      </c>
      <c r="AC16" s="319" t="str">
        <f t="shared" si="5"/>
        <v/>
      </c>
      <c r="AD16" s="320"/>
      <c r="AE16" s="321"/>
    </row>
    <row r="17" spans="1:31" ht="15" customHeight="1" thickBot="1" x14ac:dyDescent="0.3">
      <c r="A17" s="354" t="s">
        <v>35</v>
      </c>
      <c r="B17" s="354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158"/>
      <c r="T17" s="159"/>
      <c r="U17" s="209"/>
      <c r="V17" s="160"/>
      <c r="W17" s="161"/>
      <c r="X17" s="320" t="str">
        <f t="shared" si="3"/>
        <v/>
      </c>
      <c r="Y17" s="320"/>
      <c r="Z17" s="320"/>
      <c r="AA17" s="266"/>
      <c r="AB17" s="212" t="str">
        <f t="shared" si="4"/>
        <v/>
      </c>
      <c r="AC17" s="319" t="str">
        <f t="shared" si="5"/>
        <v/>
      </c>
      <c r="AD17" s="320"/>
      <c r="AE17" s="321"/>
    </row>
    <row r="18" spans="1:31" ht="15" customHeight="1" thickTop="1" thickBot="1" x14ac:dyDescent="0.3">
      <c r="A18" s="355" t="s">
        <v>36</v>
      </c>
      <c r="B18" s="356"/>
      <c r="C18" s="357"/>
      <c r="D18" s="358" t="s">
        <v>37</v>
      </c>
      <c r="E18" s="356"/>
      <c r="F18" s="359"/>
      <c r="G18" s="360" t="s">
        <v>38</v>
      </c>
      <c r="H18" s="356"/>
      <c r="I18" s="361"/>
      <c r="J18" s="362" t="s">
        <v>36</v>
      </c>
      <c r="K18" s="363"/>
      <c r="L18" s="364"/>
      <c r="M18" s="365" t="s">
        <v>37</v>
      </c>
      <c r="N18" s="363"/>
      <c r="O18" s="366"/>
      <c r="P18" s="367" t="s">
        <v>38</v>
      </c>
      <c r="Q18" s="363"/>
      <c r="R18" s="368"/>
      <c r="S18" s="162"/>
      <c r="T18" s="163"/>
      <c r="U18" s="210"/>
      <c r="V18" s="164"/>
      <c r="W18" s="165"/>
      <c r="X18" s="408" t="str">
        <f t="shared" si="3"/>
        <v/>
      </c>
      <c r="Y18" s="408"/>
      <c r="Z18" s="408"/>
      <c r="AA18" s="409"/>
      <c r="AB18" s="213" t="str">
        <f t="shared" si="4"/>
        <v/>
      </c>
      <c r="AC18" s="410" t="str">
        <f t="shared" si="5"/>
        <v/>
      </c>
      <c r="AD18" s="408"/>
      <c r="AE18" s="411"/>
    </row>
    <row r="19" spans="1:31" ht="15" customHeight="1" thickBot="1" x14ac:dyDescent="0.3">
      <c r="A19" s="379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Boček J.</v>
      </c>
      <c r="B19" s="380"/>
      <c r="C19" s="39">
        <f ca="1">IFERROR(IF(A19&lt;&gt;"",INDIRECT("priprava_" &amp; A$1 &amp; "!BW2"),""),"")</f>
        <v>26</v>
      </c>
      <c r="D19" s="381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Boček J.</v>
      </c>
      <c r="E19" s="380"/>
      <c r="F19" s="39">
        <f ca="1">IFERROR(IF(D19&lt;&gt;"",INDIRECT("priprava_" &amp; A$1 &amp; "!BW12"),""),"")</f>
        <v>18</v>
      </c>
      <c r="G19" s="381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Boček M.</v>
      </c>
      <c r="H19" s="380"/>
      <c r="I19" s="39">
        <f ca="1">IFERROR(IF(G19&lt;&gt;"",INDIRECT("priprava_" &amp; A$1 &amp; "!BW22"),""),"")</f>
        <v>9</v>
      </c>
      <c r="J19" s="382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Jalový</v>
      </c>
      <c r="K19" s="383"/>
      <c r="L19" s="40">
        <f ca="1">IFERROR(IF(J19&lt;&gt;"",INDIRECT("priprava_" &amp; J$1 &amp; "!BW2"),""),"")</f>
        <v>14</v>
      </c>
      <c r="M19" s="384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Slezák</v>
      </c>
      <c r="N19" s="383"/>
      <c r="O19" s="40">
        <f ca="1">IFERROR(IF(M19&lt;&gt;"",INDIRECT("priprava_" &amp; J$1 &amp; "!BW12"),""),"")</f>
        <v>8</v>
      </c>
      <c r="P19" s="384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Jalový</v>
      </c>
      <c r="Q19" s="383"/>
      <c r="R19" s="41">
        <f ca="1">IFERROR(IF(P19&lt;&gt;"",INDIRECT("priprava_" &amp; J$1 &amp; "!BW22"),""),"")</f>
        <v>9</v>
      </c>
    </row>
    <row r="20" spans="1:31" ht="15" customHeight="1" thickTop="1" thickBot="1" x14ac:dyDescent="0.3">
      <c r="A20" s="345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Hanák T.</v>
      </c>
      <c r="B20" s="276"/>
      <c r="C20" s="42">
        <f ca="1">IFERROR(IF(A20&lt;&gt;"",INDIRECT("priprava_" &amp; A$1 &amp; "!BW3"),""),"")</f>
        <v>19</v>
      </c>
      <c r="D20" s="346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Hanák T.</v>
      </c>
      <c r="E20" s="276"/>
      <c r="F20" s="43">
        <f ca="1">IFERROR(IF(D20&lt;&gt;"",INDIRECT("priprava_" &amp; A$1 &amp; "!BW13"),""),"")</f>
        <v>12</v>
      </c>
      <c r="G20" s="275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Boček J.</v>
      </c>
      <c r="H20" s="276"/>
      <c r="I20" s="44">
        <f ca="1">IFERROR(IF(G20&lt;&gt;"",INDIRECT("priprava_" &amp; A$1 &amp; "!BW23"),""),"")</f>
        <v>8</v>
      </c>
      <c r="J20" s="277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Brom</v>
      </c>
      <c r="K20" s="278"/>
      <c r="L20" s="45">
        <f ca="1">IFERROR(IF(J20&lt;&gt;"",INDIRECT("priprava_" &amp; J$1 &amp; "!BW3"),""),"")</f>
        <v>12</v>
      </c>
      <c r="M20" s="279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Fuchs</v>
      </c>
      <c r="N20" s="278"/>
      <c r="O20" s="46">
        <f ca="1">IFERROR(IF(M20&lt;&gt;"",INDIRECT("priprava_" &amp; J$1 &amp; "!BW13"),""),"")</f>
        <v>6</v>
      </c>
      <c r="P20" s="280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Brom</v>
      </c>
      <c r="Q20" s="278"/>
      <c r="R20" s="47">
        <f ca="1">IFERROR(IF(P20&lt;&gt;"",INDIRECT("priprava_" &amp; J$1 &amp; "!BW23"),""),"")</f>
        <v>6</v>
      </c>
      <c r="Y20" s="288" t="s">
        <v>1067</v>
      </c>
      <c r="Z20" s="289"/>
      <c r="AA20" s="289"/>
      <c r="AB20" s="289"/>
      <c r="AC20" s="289"/>
      <c r="AD20" s="289"/>
      <c r="AE20" s="290"/>
    </row>
    <row r="21" spans="1:31" ht="15" customHeight="1" thickBot="1" x14ac:dyDescent="0.3">
      <c r="A21" s="345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Hromada</v>
      </c>
      <c r="B21" s="276"/>
      <c r="C21" s="42">
        <f ca="1">IFERROR(IF(A21&lt;&gt;"",INDIRECT("priprava_" &amp; A$1 &amp; "!BW4"),""),"")</f>
        <v>16</v>
      </c>
      <c r="D21" s="346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Hromada</v>
      </c>
      <c r="E21" s="276"/>
      <c r="F21" s="43">
        <f ca="1">IFERROR(IF(D21&lt;&gt;"",INDIRECT("priprava_" &amp; A$1 &amp; "!BW14"),""),"")</f>
        <v>9</v>
      </c>
      <c r="G21" s="275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Hromada</v>
      </c>
      <c r="H21" s="276"/>
      <c r="I21" s="44">
        <f ca="1">IFERROR(IF(G21&lt;&gt;"",INDIRECT("priprava_" &amp; A$1 &amp; "!BW24"),""),"")</f>
        <v>7</v>
      </c>
      <c r="J21" s="277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Slezák</v>
      </c>
      <c r="K21" s="278"/>
      <c r="L21" s="45">
        <f ca="1">IFERROR(IF(J21&lt;&gt;"",INDIRECT("priprava_" &amp; J$1 &amp; "!BW4"),""),"")</f>
        <v>9</v>
      </c>
      <c r="M21" s="279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Brom</v>
      </c>
      <c r="N21" s="278"/>
      <c r="O21" s="46">
        <f ca="1">IFERROR(IF(M21&lt;&gt;"",INDIRECT("priprava_" &amp; J$1 &amp; "!BW14"),""),"")</f>
        <v>6</v>
      </c>
      <c r="P21" s="280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Sládeček</v>
      </c>
      <c r="Q21" s="278"/>
      <c r="R21" s="47">
        <f ca="1">IFERROR(IF(P21&lt;&gt;"",INDIRECT("priprava_" &amp; J$1 &amp; "!BW24"),""),"")</f>
        <v>4</v>
      </c>
      <c r="Y21" s="231" t="s">
        <v>1066</v>
      </c>
      <c r="Z21" s="232" t="s">
        <v>78</v>
      </c>
      <c r="AA21" s="233" t="s">
        <v>1063</v>
      </c>
      <c r="AB21" s="233" t="s">
        <v>122</v>
      </c>
      <c r="AC21" s="233" t="s">
        <v>1064</v>
      </c>
      <c r="AD21" s="233" t="s">
        <v>42</v>
      </c>
      <c r="AE21" s="234" t="s">
        <v>1065</v>
      </c>
    </row>
    <row r="22" spans="1:31" ht="15" customHeight="1" x14ac:dyDescent="0.25">
      <c r="A22" s="345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Boček M.</v>
      </c>
      <c r="B22" s="276"/>
      <c r="C22" s="42">
        <f ca="1">IFERROR(IF(A22&lt;&gt;"",INDIRECT("priprava_" &amp; A$1 &amp; "!BW5"),""),"")</f>
        <v>15</v>
      </c>
      <c r="D22" s="346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Boček M.</v>
      </c>
      <c r="E22" s="276"/>
      <c r="F22" s="43">
        <f ca="1">IFERROR(IF(D22&lt;&gt;"",INDIRECT("priprava_" &amp; A$1 &amp; "!BW15"),""),"")</f>
        <v>6</v>
      </c>
      <c r="G22" s="275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Renčín</v>
      </c>
      <c r="H22" s="276"/>
      <c r="I22" s="44">
        <f ca="1">IFERROR(IF(G22&lt;&gt;"",INDIRECT("priprava_" &amp; A$1 &amp; "!BW25"),""),"")</f>
        <v>7</v>
      </c>
      <c r="J22" s="277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Fuchs</v>
      </c>
      <c r="K22" s="278"/>
      <c r="L22" s="45">
        <f ca="1">IFERROR(IF(J22&lt;&gt;"",INDIRECT("priprava_" &amp; J$1 &amp; "!BW5"),""),"")</f>
        <v>8</v>
      </c>
      <c r="M22" s="279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Jalový</v>
      </c>
      <c r="N22" s="278"/>
      <c r="O22" s="46">
        <f ca="1">IFERROR(IF(M22&lt;&gt;"",INDIRECT("priprava_" &amp; J$1 &amp; "!BW15"),""),"")</f>
        <v>5</v>
      </c>
      <c r="P22" s="280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Juhaňák</v>
      </c>
      <c r="Q22" s="278"/>
      <c r="R22" s="47">
        <f ca="1">IFERROR(IF(P22&lt;&gt;"",INDIRECT("priprava_" &amp; J$1 &amp; "!BW25"),""),"")</f>
        <v>4</v>
      </c>
      <c r="Y22" s="195" t="s">
        <v>91</v>
      </c>
      <c r="Z22" s="196">
        <v>64</v>
      </c>
      <c r="AA22" s="197">
        <v>29</v>
      </c>
      <c r="AB22" s="197">
        <v>0</v>
      </c>
      <c r="AC22" s="197">
        <v>35</v>
      </c>
      <c r="AD22" s="197">
        <v>87</v>
      </c>
      <c r="AE22" s="198">
        <v>45</v>
      </c>
    </row>
    <row r="23" spans="1:31" ht="15" customHeight="1" thickBot="1" x14ac:dyDescent="0.3">
      <c r="A23" s="335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Hanák R.</v>
      </c>
      <c r="B23" s="336"/>
      <c r="C23" s="48">
        <f ca="1">IFERROR(IF(A23&lt;&gt;"",INDIRECT("priprava_" &amp; A$1 &amp; "!BW6"),""),"")</f>
        <v>10</v>
      </c>
      <c r="D23" s="337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Obuškevič</v>
      </c>
      <c r="E23" s="336"/>
      <c r="F23" s="49">
        <f ca="1">IFERROR(IF(D23&lt;&gt;"",INDIRECT("priprava_" &amp; A$1 &amp; "!BW16"),""),"")</f>
        <v>5</v>
      </c>
      <c r="G23" s="338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Hanák T.</v>
      </c>
      <c r="H23" s="336"/>
      <c r="I23" s="50">
        <f ca="1">IFERROR(IF(G23&lt;&gt;"",INDIRECT("priprava_" &amp; A$1 &amp; "!BW26"),""),"")</f>
        <v>7</v>
      </c>
      <c r="J23" s="339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Hronek M.</v>
      </c>
      <c r="K23" s="340"/>
      <c r="L23" s="51">
        <f ca="1">IFERROR(IF(J23&lt;&gt;"",INDIRECT("priprava_" &amp; J$1 &amp; "!BW6"),""),"")</f>
        <v>7</v>
      </c>
      <c r="M23" s="341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Procházka</v>
      </c>
      <c r="N23" s="340"/>
      <c r="O23" s="52">
        <f ca="1">IFERROR(IF(M23&lt;&gt;"",INDIRECT("priprava_" &amp; J$1 &amp; "!BW16"),""),"")</f>
        <v>4</v>
      </c>
      <c r="P23" s="35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Kůra J.</v>
      </c>
      <c r="Q23" s="340"/>
      <c r="R23" s="53">
        <f ca="1">IFERROR(IF(P23&lt;&gt;"",INDIRECT("priprava_" &amp; J$1 &amp; "!BW26"),""),"")</f>
        <v>4</v>
      </c>
      <c r="Y23" s="199" t="s">
        <v>97</v>
      </c>
      <c r="Z23" s="200">
        <v>65</v>
      </c>
      <c r="AA23" s="201">
        <v>14</v>
      </c>
      <c r="AB23" s="201">
        <v>0</v>
      </c>
      <c r="AC23" s="201">
        <v>51</v>
      </c>
      <c r="AD23" s="201">
        <v>49</v>
      </c>
      <c r="AE23" s="202">
        <v>22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355" t="s">
        <v>39</v>
      </c>
      <c r="B25" s="356"/>
      <c r="C25" s="357"/>
      <c r="D25" s="358" t="s">
        <v>40</v>
      </c>
      <c r="E25" s="356"/>
      <c r="F25" s="359"/>
      <c r="G25" s="360" t="s">
        <v>41</v>
      </c>
      <c r="H25" s="356"/>
      <c r="I25" s="361"/>
      <c r="J25" s="362" t="s">
        <v>39</v>
      </c>
      <c r="K25" s="363"/>
      <c r="L25" s="364"/>
      <c r="M25" s="365" t="s">
        <v>40</v>
      </c>
      <c r="N25" s="363"/>
      <c r="O25" s="366"/>
      <c r="P25" s="367" t="s">
        <v>41</v>
      </c>
      <c r="Q25" s="363"/>
      <c r="R25" s="368"/>
      <c r="S25" s="256" t="s">
        <v>1300</v>
      </c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8"/>
    </row>
    <row r="26" spans="1:31" ht="15" customHeight="1" thickBot="1" x14ac:dyDescent="0.3">
      <c r="A26" s="379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Novotný</v>
      </c>
      <c r="B26" s="380"/>
      <c r="C26" s="39">
        <f ca="1">IFERROR(IF(A26&lt;&gt;"",INDIRECT("priprava_" &amp; A$1 &amp; "!BW27"),""),"")</f>
        <v>10</v>
      </c>
      <c r="D26" s="381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Matiášek</v>
      </c>
      <c r="E26" s="380"/>
      <c r="F26" s="54">
        <f ca="1">IFERROR(IF(D26&lt;&gt;"",INDIRECT("priprava_" &amp; A$1 &amp; "!BW7"),""),"")</f>
        <v>4.5</v>
      </c>
      <c r="G26" s="381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Matiášek</v>
      </c>
      <c r="H26" s="380"/>
      <c r="I26" s="39">
        <f ca="1">IFERROR(IF(G26&lt;&gt;"",INDIRECT("priprava_" &amp; A$1 &amp; "!BW17"),""),"")</f>
        <v>5</v>
      </c>
      <c r="J26" s="382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Hronek M.</v>
      </c>
      <c r="K26" s="383"/>
      <c r="L26" s="40">
        <f ca="1">IFERROR(IF(J26&lt;&gt;"",INDIRECT("priprava_" &amp; J$1 &amp; "!BW27"),""),"")</f>
        <v>10</v>
      </c>
      <c r="M26" s="384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Raška</v>
      </c>
      <c r="N26" s="383"/>
      <c r="O26" s="55">
        <f ca="1">IFERROR(IF(M26&lt;&gt;"",INDIRECT("priprava_" &amp; J$1 &amp; "!BW7"),""),"")</f>
        <v>6.41</v>
      </c>
      <c r="P26" s="384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Raška</v>
      </c>
      <c r="Q26" s="383"/>
      <c r="R26" s="41">
        <f ca="1">IFERROR(IF(P26&lt;&gt;"",INDIRECT("priprava_" &amp; J$1 &amp; "!BW17"),""),"")</f>
        <v>2</v>
      </c>
      <c r="S26" s="235" t="s">
        <v>1288</v>
      </c>
      <c r="T26" s="245" t="s">
        <v>1289</v>
      </c>
      <c r="U26" s="246"/>
      <c r="V26" s="246"/>
      <c r="W26" s="247"/>
      <c r="X26" s="259" t="s">
        <v>189</v>
      </c>
      <c r="Y26" s="260"/>
      <c r="Z26" s="261" t="s">
        <v>1301</v>
      </c>
      <c r="AA26" s="261"/>
      <c r="AB26" s="261"/>
      <c r="AC26" s="261"/>
      <c r="AD26" s="261"/>
      <c r="AE26" s="262"/>
    </row>
    <row r="27" spans="1:31" ht="15" customHeight="1" x14ac:dyDescent="0.25">
      <c r="A27" s="345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Hromada</v>
      </c>
      <c r="B27" s="276"/>
      <c r="C27" s="42">
        <f ca="1">IFERROR(IF(A27&lt;&gt;"",INDIRECT("priprava_" &amp; A$1 &amp; "!BW28"),""),"")</f>
        <v>8</v>
      </c>
      <c r="D27" s="346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Körber</v>
      </c>
      <c r="E27" s="276"/>
      <c r="F27" s="56">
        <f ca="1">IFERROR(IF(D27&lt;&gt;"",INDIRECT("priprava_" &amp; A$1 &amp; "!BW8"),""),"")</f>
        <v>6.89</v>
      </c>
      <c r="G27" s="275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Körber</v>
      </c>
      <c r="H27" s="276"/>
      <c r="I27" s="44">
        <f ca="1">IFERROR(IF(G27&lt;&gt;"",INDIRECT("priprava_" &amp; A$1 &amp; "!BW18"),""),"")</f>
        <v>3</v>
      </c>
      <c r="J27" s="277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Jalový</v>
      </c>
      <c r="K27" s="278"/>
      <c r="L27" s="45">
        <f ca="1">IFERROR(IF(J27&lt;&gt;"",INDIRECT("priprava_" &amp; J$1 &amp; "!BW28"),""),"")</f>
        <v>8</v>
      </c>
      <c r="M27" s="279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Létal</v>
      </c>
      <c r="N27" s="278"/>
      <c r="O27" s="57">
        <f ca="1">IFERROR(IF(M27&lt;&gt;"",INDIRECT("priprava_" &amp; J$1 &amp; "!BW8"),""),"")</f>
        <v>7.42</v>
      </c>
      <c r="P27" s="280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Létal</v>
      </c>
      <c r="Q27" s="278"/>
      <c r="R27" s="47">
        <f ca="1">IFERROR(IF(P27&lt;&gt;"",INDIRECT("priprava_" &amp; J$1 &amp; "!BW18"),""),"")</f>
        <v>0</v>
      </c>
      <c r="S27" s="214" t="s">
        <v>1290</v>
      </c>
      <c r="T27" s="215" t="s">
        <v>1313</v>
      </c>
      <c r="U27" s="220"/>
      <c r="V27" s="220"/>
      <c r="W27" s="221"/>
      <c r="X27" s="263" t="str">
        <f>IF(AND(S27&lt;&gt;"",LEFT(T27,1)&lt;&gt;" "),S27,"")</f>
        <v>celkem</v>
      </c>
      <c r="Y27" s="264"/>
      <c r="Z27" s="267" t="str">
        <f>IF(AND(T27&lt;&gt;"",LEFT(T27,1)&lt;&gt;" "),T27,"")</f>
        <v>5 zápasů, 4 - 0 - 0 - 0 - 1, skóre 24:16</v>
      </c>
      <c r="AA27" s="267"/>
      <c r="AB27" s="267"/>
      <c r="AC27" s="267"/>
      <c r="AD27" s="267"/>
      <c r="AE27" s="268"/>
    </row>
    <row r="28" spans="1:31" ht="15" customHeight="1" x14ac:dyDescent="0.25">
      <c r="A28" s="345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Burian</v>
      </c>
      <c r="B28" s="276"/>
      <c r="C28" s="42">
        <f ca="1">IFERROR(IF(A28&lt;&gt;"",INDIRECT("priprava_" &amp; A$1 &amp; "!BW29"),""),"")</f>
        <v>8</v>
      </c>
      <c r="D28" s="346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76"/>
      <c r="F28" s="56" t="str">
        <f ca="1">IFERROR(IF(D28&lt;&gt;"",INDIRECT("priprava_" &amp; A$1 &amp; "!BW9"),""),"")</f>
        <v/>
      </c>
      <c r="G28" s="275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76"/>
      <c r="I28" s="44" t="str">
        <f ca="1">IFERROR(IF(G28&lt;&gt;"",INDIRECT("priprava_" &amp; A$1 &amp; "!BW19"),""),"")</f>
        <v/>
      </c>
      <c r="J28" s="277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Slezák</v>
      </c>
      <c r="K28" s="278"/>
      <c r="L28" s="45">
        <f ca="1">IFERROR(IF(J28&lt;&gt;"",INDIRECT("priprava_" &amp; J$1 &amp; "!BW29"),""),"")</f>
        <v>8</v>
      </c>
      <c r="M28" s="279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Kolajta</v>
      </c>
      <c r="N28" s="278"/>
      <c r="O28" s="57">
        <f ca="1">IFERROR(IF(M28&lt;&gt;"",INDIRECT("priprava_" &amp; J$1 &amp; "!BW9"),""),"")</f>
        <v>9.09</v>
      </c>
      <c r="P28" s="280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Kolajta</v>
      </c>
      <c r="Q28" s="278"/>
      <c r="R28" s="47">
        <f ca="1">IFERROR(IF(P28&lt;&gt;"",INDIRECT("priprava_" &amp; J$1 &amp; "!BW19"),""),"")</f>
        <v>0</v>
      </c>
      <c r="S28" s="216" t="s">
        <v>1291</v>
      </c>
      <c r="T28" s="217" t="s">
        <v>1313</v>
      </c>
      <c r="U28" s="222"/>
      <c r="V28" s="222"/>
      <c r="W28" s="223"/>
      <c r="X28" s="265" t="str">
        <f>IF(S28&lt;&gt;"",S28,"")</f>
        <v>ZČ</v>
      </c>
      <c r="Y28" s="266"/>
      <c r="Z28" s="252" t="str">
        <f t="shared" ref="Z28:Z34" si="6">IF(T28&lt;&gt;"",T28,"")</f>
        <v>5 zápasů, 4 - 0 - 0 - 0 - 1, skóre 24:16</v>
      </c>
      <c r="AA28" s="252"/>
      <c r="AB28" s="252"/>
      <c r="AC28" s="252"/>
      <c r="AD28" s="252"/>
      <c r="AE28" s="253"/>
    </row>
    <row r="29" spans="1:31" ht="15" customHeight="1" x14ac:dyDescent="0.25">
      <c r="A29" s="345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Boček M.</v>
      </c>
      <c r="B29" s="276"/>
      <c r="C29" s="42">
        <f ca="1">IFERROR(IF(A29&lt;&gt;"",INDIRECT("priprava_" &amp; A$1 &amp; "!BW30"),""),"")</f>
        <v>8</v>
      </c>
      <c r="D29" s="346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76"/>
      <c r="F29" s="56" t="str">
        <f ca="1">IFERROR(IF(D29&lt;&gt;"",INDIRECT("priprava_" &amp; A$1 &amp; "!BW10"),""),"")</f>
        <v/>
      </c>
      <c r="G29" s="275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76"/>
      <c r="I29" s="44" t="str">
        <f ca="1">IFERROR(IF(G29&lt;&gt;"",INDIRECT("priprava_" &amp; A$1 &amp; "!BW20"),""),"")</f>
        <v/>
      </c>
      <c r="J29" s="277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Lhota</v>
      </c>
      <c r="K29" s="278"/>
      <c r="L29" s="45">
        <f ca="1">IFERROR(IF(J29&lt;&gt;"",INDIRECT("priprava_" &amp; J$1 &amp; "!BW30"),""),"")</f>
        <v>7</v>
      </c>
      <c r="M29" s="279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78"/>
      <c r="O29" s="57" t="str">
        <f ca="1">IFERROR(IF(M29&lt;&gt;"",INDIRECT("priprava_" &amp; J$1 &amp; "!BW10"),""),"")</f>
        <v/>
      </c>
      <c r="P29" s="280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78"/>
      <c r="R29" s="47" t="str">
        <f ca="1">IFERROR(IF(P29&lt;&gt;"",INDIRECT("priprava_" &amp; J$1 &amp; "!BW20"),""),"")</f>
        <v/>
      </c>
      <c r="S29" s="216"/>
      <c r="T29" s="217"/>
      <c r="U29" s="222"/>
      <c r="V29" s="222"/>
      <c r="W29" s="223"/>
      <c r="X29" s="265" t="str">
        <f t="shared" ref="X29:X34" si="7">IF(S29&lt;&gt;"",S29,"")</f>
        <v/>
      </c>
      <c r="Y29" s="266"/>
      <c r="Z29" s="252" t="str">
        <f t="shared" si="6"/>
        <v/>
      </c>
      <c r="AA29" s="252"/>
      <c r="AB29" s="252"/>
      <c r="AC29" s="252"/>
      <c r="AD29" s="252"/>
      <c r="AE29" s="253"/>
    </row>
    <row r="30" spans="1:31" ht="15" customHeight="1" thickBot="1" x14ac:dyDescent="0.3">
      <c r="A30" s="335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Boček J.</v>
      </c>
      <c r="B30" s="336"/>
      <c r="C30" s="48">
        <f ca="1">IFERROR(IF(A30&lt;&gt;"",INDIRECT("priprava_" &amp; A$1 &amp; "!BW31"),""),"")</f>
        <v>6</v>
      </c>
      <c r="D30" s="337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36"/>
      <c r="F30" s="58" t="str">
        <f ca="1">IFERROR(IF(D30&lt;&gt;"",INDIRECT("priprava_" &amp; A$1 &amp; "!BW11"),""),"")</f>
        <v/>
      </c>
      <c r="G30" s="338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36"/>
      <c r="I30" s="50" t="str">
        <f ca="1">IFERROR(IF(G30&lt;&gt;"",INDIRECT("priprava_" &amp; A$1 &amp; "!BW21"),""),"")</f>
        <v/>
      </c>
      <c r="J30" s="339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Procházka</v>
      </c>
      <c r="K30" s="340"/>
      <c r="L30" s="51">
        <f ca="1">IFERROR(IF(J30&lt;&gt;"",INDIRECT("priprava_" &amp; J$1 &amp; "!BW31"),""),"")</f>
        <v>6</v>
      </c>
      <c r="M30" s="341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40"/>
      <c r="O30" s="59" t="str">
        <f ca="1">IFERROR(IF(M30&lt;&gt;"",INDIRECT("priprava_" &amp; J$1 &amp; "!BW11"),""),"")</f>
        <v/>
      </c>
      <c r="P30" s="35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40"/>
      <c r="R30" s="53" t="str">
        <f ca="1">IFERROR(IF(P30&lt;&gt;"",INDIRECT("priprava_" &amp; J$1 &amp; "!BW21"),""),"")</f>
        <v/>
      </c>
      <c r="S30" s="216"/>
      <c r="T30" s="217"/>
      <c r="U30" s="222"/>
      <c r="V30" s="222"/>
      <c r="W30" s="223"/>
      <c r="X30" s="265" t="str">
        <f t="shared" si="7"/>
        <v/>
      </c>
      <c r="Y30" s="266"/>
      <c r="Z30" s="252" t="str">
        <f t="shared" si="6"/>
        <v/>
      </c>
      <c r="AA30" s="252"/>
      <c r="AB30" s="252"/>
      <c r="AC30" s="252"/>
      <c r="AD30" s="252"/>
      <c r="AE30" s="253"/>
    </row>
    <row r="31" spans="1:31" ht="15" customHeight="1" thickTop="1" thickBot="1" x14ac:dyDescent="0.3">
      <c r="S31" s="216"/>
      <c r="T31" s="217"/>
      <c r="U31" s="222"/>
      <c r="V31" s="222"/>
      <c r="W31" s="223"/>
      <c r="X31" s="265" t="str">
        <f t="shared" si="7"/>
        <v/>
      </c>
      <c r="Y31" s="266"/>
      <c r="Z31" s="252" t="str">
        <f t="shared" si="6"/>
        <v/>
      </c>
      <c r="AA31" s="252"/>
      <c r="AB31" s="252"/>
      <c r="AC31" s="252"/>
      <c r="AD31" s="252"/>
      <c r="AE31" s="253"/>
    </row>
    <row r="32" spans="1:31" ht="15" customHeight="1" thickTop="1" thickBot="1" x14ac:dyDescent="0.3">
      <c r="I32" s="140"/>
      <c r="J32" s="140"/>
      <c r="K32" s="350" t="s">
        <v>44</v>
      </c>
      <c r="L32" s="351"/>
      <c r="M32" s="351"/>
      <c r="N32" s="351"/>
      <c r="O32" s="351"/>
      <c r="P32" s="351"/>
      <c r="Q32" s="351"/>
      <c r="R32" s="352"/>
      <c r="S32" s="218"/>
      <c r="T32" s="217"/>
      <c r="U32" s="222"/>
      <c r="V32" s="222"/>
      <c r="W32" s="223"/>
      <c r="X32" s="265" t="str">
        <f t="shared" si="7"/>
        <v/>
      </c>
      <c r="Y32" s="266"/>
      <c r="Z32" s="252" t="str">
        <f t="shared" si="6"/>
        <v/>
      </c>
      <c r="AA32" s="252"/>
      <c r="AB32" s="252"/>
      <c r="AC32" s="252"/>
      <c r="AD32" s="252"/>
      <c r="AE32" s="253"/>
    </row>
    <row r="33" spans="1:31" ht="15" customHeight="1" thickTop="1" thickBot="1" x14ac:dyDescent="0.3">
      <c r="B33" s="307" t="s">
        <v>43</v>
      </c>
      <c r="C33" s="308"/>
      <c r="D33" s="308"/>
      <c r="E33" s="308"/>
      <c r="F33" s="308"/>
      <c r="G33" s="308"/>
      <c r="H33" s="308"/>
      <c r="I33" s="309"/>
      <c r="J33" s="141"/>
      <c r="K33" s="305" t="str">
        <f t="shared" ref="K33:K48" si="8">X3</f>
        <v>HAT - BA</v>
      </c>
      <c r="L33" s="306"/>
      <c r="M33" s="306"/>
      <c r="N33" s="306"/>
      <c r="O33" s="142" t="str">
        <f t="shared" ref="O33:O48" si="9">AB3</f>
        <v>1:5</v>
      </c>
      <c r="P33" s="323" t="str">
        <f t="shared" ref="P33:P48" si="10">AC3</f>
        <v>2021/2022 (ZČ)</v>
      </c>
      <c r="Q33" s="306"/>
      <c r="R33" s="324"/>
      <c r="S33" s="216"/>
      <c r="T33" s="217"/>
      <c r="U33" s="222"/>
      <c r="V33" s="222"/>
      <c r="W33" s="223"/>
      <c r="X33" s="265" t="str">
        <f t="shared" si="7"/>
        <v/>
      </c>
      <c r="Y33" s="266"/>
      <c r="Z33" s="252" t="str">
        <f t="shared" si="6"/>
        <v/>
      </c>
      <c r="AA33" s="252"/>
      <c r="AB33" s="252"/>
      <c r="AC33" s="252"/>
      <c r="AD33" s="252"/>
      <c r="AE33" s="253"/>
    </row>
    <row r="34" spans="1:31" ht="15" customHeight="1" x14ac:dyDescent="0.25">
      <c r="B34" s="299" t="str">
        <f>$A$1</f>
        <v>BA</v>
      </c>
      <c r="C34" s="300"/>
      <c r="D34" s="300"/>
      <c r="E34" s="301"/>
      <c r="F34" s="302" t="str">
        <f>$J$1</f>
        <v>HAT</v>
      </c>
      <c r="G34" s="303"/>
      <c r="H34" s="303"/>
      <c r="I34" s="304"/>
      <c r="J34" s="141"/>
      <c r="K34" s="310" t="str">
        <f t="shared" si="8"/>
        <v>BA - HAT</v>
      </c>
      <c r="L34" s="311"/>
      <c r="M34" s="311"/>
      <c r="N34" s="311"/>
      <c r="O34" s="143" t="str">
        <f t="shared" si="9"/>
        <v>5:2</v>
      </c>
      <c r="P34" s="325" t="str">
        <f t="shared" si="10"/>
        <v>2020/2021 (ZČ)</v>
      </c>
      <c r="Q34" s="311"/>
      <c r="R34" s="326"/>
      <c r="S34" s="218"/>
      <c r="T34" s="224"/>
      <c r="U34" s="225"/>
      <c r="V34" s="225"/>
      <c r="W34" s="226"/>
      <c r="X34" s="248" t="str">
        <f t="shared" si="7"/>
        <v/>
      </c>
      <c r="Y34" s="249"/>
      <c r="Z34" s="254" t="str">
        <f t="shared" si="6"/>
        <v/>
      </c>
      <c r="AA34" s="254"/>
      <c r="AB34" s="254"/>
      <c r="AC34" s="254"/>
      <c r="AD34" s="254"/>
      <c r="AE34" s="255"/>
    </row>
    <row r="35" spans="1:31" ht="15" customHeight="1" x14ac:dyDescent="0.25">
      <c r="B35" s="294" t="str">
        <f>X27</f>
        <v>celkem</v>
      </c>
      <c r="C35" s="292" t="s">
        <v>1290</v>
      </c>
      <c r="D35" s="273" t="str">
        <f>Z27</f>
        <v>5 zápasů, 4 - 0 - 0 - 0 - 1, skóre 24:16</v>
      </c>
      <c r="E35" s="273"/>
      <c r="F35" s="273"/>
      <c r="G35" s="273"/>
      <c r="H35" s="273"/>
      <c r="I35" s="274"/>
      <c r="J35" s="144"/>
      <c r="K35" s="310" t="str">
        <f t="shared" si="8"/>
        <v>HAT - BA</v>
      </c>
      <c r="L35" s="311"/>
      <c r="M35" s="311"/>
      <c r="N35" s="311"/>
      <c r="O35" s="143" t="str">
        <f t="shared" si="9"/>
        <v>3:5</v>
      </c>
      <c r="P35" s="325" t="str">
        <f t="shared" si="10"/>
        <v>2020/2021 (ZČ)</v>
      </c>
      <c r="Q35" s="311"/>
      <c r="R35" s="326"/>
      <c r="S35" s="216"/>
      <c r="T35" s="236"/>
      <c r="U35" s="238"/>
      <c r="V35" s="238"/>
      <c r="W35" s="239"/>
      <c r="X35" s="248"/>
      <c r="Y35" s="249"/>
      <c r="Z35" s="254"/>
      <c r="AA35" s="254"/>
      <c r="AB35" s="254"/>
      <c r="AC35" s="254"/>
      <c r="AD35" s="254"/>
      <c r="AE35" s="255"/>
    </row>
    <row r="36" spans="1:31" ht="15" customHeight="1" x14ac:dyDescent="0.25">
      <c r="B36" s="294" t="str">
        <f t="shared" ref="B36:B42" si="11">X28</f>
        <v>ZČ</v>
      </c>
      <c r="C36" s="292" t="s">
        <v>1290</v>
      </c>
      <c r="D36" s="273" t="str">
        <f t="shared" ref="D36:D42" si="12">Z28</f>
        <v>5 zápasů, 4 - 0 - 0 - 0 - 1, skóre 24:16</v>
      </c>
      <c r="E36" s="273"/>
      <c r="F36" s="273"/>
      <c r="G36" s="273"/>
      <c r="H36" s="273"/>
      <c r="I36" s="274"/>
      <c r="J36" s="144"/>
      <c r="K36" s="294" t="str">
        <f t="shared" si="8"/>
        <v>BA - HAT</v>
      </c>
      <c r="L36" s="292"/>
      <c r="M36" s="292"/>
      <c r="N36" s="292"/>
      <c r="O36" s="145" t="str">
        <f t="shared" si="9"/>
        <v>6:3</v>
      </c>
      <c r="P36" s="291" t="str">
        <f t="shared" si="10"/>
        <v>2019/2020 (ZČ)</v>
      </c>
      <c r="Q36" s="292"/>
      <c r="R36" s="293"/>
      <c r="S36" s="216"/>
      <c r="T36" s="236"/>
      <c r="U36" s="238"/>
      <c r="V36" s="238"/>
      <c r="W36" s="239"/>
      <c r="X36" s="248"/>
      <c r="Y36" s="249"/>
      <c r="Z36" s="254"/>
      <c r="AA36" s="254"/>
      <c r="AB36" s="254"/>
      <c r="AC36" s="254"/>
      <c r="AD36" s="254"/>
      <c r="AE36" s="255"/>
    </row>
    <row r="37" spans="1:31" ht="15" customHeight="1" x14ac:dyDescent="0.25">
      <c r="B37" s="294" t="str">
        <f t="shared" si="11"/>
        <v/>
      </c>
      <c r="C37" s="292" t="s">
        <v>1290</v>
      </c>
      <c r="D37" s="273" t="str">
        <f t="shared" si="12"/>
        <v/>
      </c>
      <c r="E37" s="273"/>
      <c r="F37" s="273"/>
      <c r="G37" s="273"/>
      <c r="H37" s="273"/>
      <c r="I37" s="274"/>
      <c r="J37" s="144"/>
      <c r="K37" s="294" t="str">
        <f t="shared" si="8"/>
        <v>HAT - BA</v>
      </c>
      <c r="L37" s="292"/>
      <c r="M37" s="292"/>
      <c r="N37" s="292"/>
      <c r="O37" s="145" t="str">
        <f t="shared" si="9"/>
        <v>7:3</v>
      </c>
      <c r="P37" s="291" t="str">
        <f t="shared" si="10"/>
        <v>2019/2020 (ZČ)</v>
      </c>
      <c r="Q37" s="292"/>
      <c r="R37" s="293"/>
      <c r="S37" s="216"/>
      <c r="T37" s="236"/>
      <c r="U37" s="238"/>
      <c r="V37" s="238"/>
      <c r="W37" s="239"/>
      <c r="X37" s="248"/>
      <c r="Y37" s="249"/>
      <c r="Z37" s="254"/>
      <c r="AA37" s="254"/>
      <c r="AB37" s="254"/>
      <c r="AC37" s="254"/>
      <c r="AD37" s="254"/>
      <c r="AE37" s="255"/>
    </row>
    <row r="38" spans="1:31" ht="15" customHeight="1" x14ac:dyDescent="0.25">
      <c r="B38" s="294" t="str">
        <f t="shared" si="11"/>
        <v/>
      </c>
      <c r="C38" s="292" t="s">
        <v>1290</v>
      </c>
      <c r="D38" s="273" t="str">
        <f t="shared" si="12"/>
        <v/>
      </c>
      <c r="E38" s="273"/>
      <c r="F38" s="273"/>
      <c r="G38" s="273"/>
      <c r="H38" s="273"/>
      <c r="I38" s="274"/>
      <c r="J38" s="146"/>
      <c r="K38" s="371" t="str">
        <f t="shared" si="8"/>
        <v/>
      </c>
      <c r="L38" s="372"/>
      <c r="M38" s="372"/>
      <c r="N38" s="372"/>
      <c r="O38" s="147" t="str">
        <f t="shared" si="9"/>
        <v/>
      </c>
      <c r="P38" s="373" t="str">
        <f t="shared" si="10"/>
        <v/>
      </c>
      <c r="Q38" s="372"/>
      <c r="R38" s="374"/>
      <c r="S38" s="216"/>
      <c r="T38" s="236"/>
      <c r="U38" s="238"/>
      <c r="V38" s="238"/>
      <c r="W38" s="239"/>
      <c r="X38" s="248"/>
      <c r="Y38" s="249"/>
      <c r="Z38" s="254"/>
      <c r="AA38" s="254"/>
      <c r="AB38" s="254"/>
      <c r="AC38" s="254"/>
      <c r="AD38" s="254"/>
      <c r="AE38" s="255"/>
    </row>
    <row r="39" spans="1:31" ht="15" customHeight="1" x14ac:dyDescent="0.25">
      <c r="B39" s="294" t="str">
        <f t="shared" si="11"/>
        <v/>
      </c>
      <c r="C39" s="292" t="s">
        <v>1290</v>
      </c>
      <c r="D39" s="273" t="str">
        <f t="shared" si="12"/>
        <v/>
      </c>
      <c r="E39" s="273"/>
      <c r="F39" s="273"/>
      <c r="G39" s="273"/>
      <c r="H39" s="273"/>
      <c r="I39" s="274"/>
      <c r="J39" s="146"/>
      <c r="K39" s="294" t="str">
        <f t="shared" si="8"/>
        <v/>
      </c>
      <c r="L39" s="292"/>
      <c r="M39" s="292"/>
      <c r="N39" s="292"/>
      <c r="O39" s="145" t="str">
        <f t="shared" si="9"/>
        <v/>
      </c>
      <c r="P39" s="291" t="str">
        <f t="shared" si="10"/>
        <v/>
      </c>
      <c r="Q39" s="292"/>
      <c r="R39" s="293"/>
      <c r="S39" s="216"/>
      <c r="T39" s="236"/>
      <c r="U39" s="238"/>
      <c r="V39" s="238"/>
      <c r="W39" s="239"/>
      <c r="X39" s="248"/>
      <c r="Y39" s="249"/>
      <c r="Z39" s="254"/>
      <c r="AA39" s="254"/>
      <c r="AB39" s="254"/>
      <c r="AC39" s="254"/>
      <c r="AD39" s="254"/>
      <c r="AE39" s="255"/>
    </row>
    <row r="40" spans="1:31" ht="15" customHeight="1" thickBot="1" x14ac:dyDescent="0.3">
      <c r="B40" s="295" t="str">
        <f t="shared" si="11"/>
        <v/>
      </c>
      <c r="C40" s="296" t="s">
        <v>1290</v>
      </c>
      <c r="D40" s="375" t="str">
        <f t="shared" si="12"/>
        <v/>
      </c>
      <c r="E40" s="375"/>
      <c r="F40" s="375"/>
      <c r="G40" s="375"/>
      <c r="H40" s="375"/>
      <c r="I40" s="376"/>
      <c r="J40" s="144"/>
      <c r="K40" s="294" t="str">
        <f t="shared" si="8"/>
        <v/>
      </c>
      <c r="L40" s="292"/>
      <c r="M40" s="292"/>
      <c r="N40" s="292"/>
      <c r="O40" s="145" t="str">
        <f t="shared" si="9"/>
        <v/>
      </c>
      <c r="P40" s="291" t="str">
        <f t="shared" si="10"/>
        <v/>
      </c>
      <c r="Q40" s="292"/>
      <c r="R40" s="293"/>
      <c r="S40" s="219"/>
      <c r="T40" s="237"/>
      <c r="U40" s="240"/>
      <c r="V40" s="240"/>
      <c r="W40" s="241"/>
      <c r="X40" s="250"/>
      <c r="Y40" s="251"/>
      <c r="Z40" s="269"/>
      <c r="AA40" s="269"/>
      <c r="AB40" s="269"/>
      <c r="AC40" s="269"/>
      <c r="AD40" s="269"/>
      <c r="AE40" s="270"/>
    </row>
    <row r="41" spans="1:31" ht="15" customHeight="1" thickTop="1" x14ac:dyDescent="0.25">
      <c r="B41" s="294" t="str">
        <f t="shared" si="11"/>
        <v/>
      </c>
      <c r="C41" s="292" t="s">
        <v>1290</v>
      </c>
      <c r="D41" s="273" t="str">
        <f t="shared" si="12"/>
        <v/>
      </c>
      <c r="E41" s="273"/>
      <c r="F41" s="273"/>
      <c r="G41" s="273"/>
      <c r="H41" s="273"/>
      <c r="I41" s="274"/>
      <c r="J41" s="144"/>
      <c r="K41" s="371" t="str">
        <f t="shared" si="8"/>
        <v/>
      </c>
      <c r="L41" s="372"/>
      <c r="M41" s="372"/>
      <c r="N41" s="372"/>
      <c r="O41" s="147" t="str">
        <f t="shared" si="9"/>
        <v/>
      </c>
      <c r="P41" s="373" t="str">
        <f t="shared" si="10"/>
        <v/>
      </c>
      <c r="Q41" s="372"/>
      <c r="R41" s="374"/>
    </row>
    <row r="42" spans="1:31" ht="15" customHeight="1" thickBot="1" x14ac:dyDescent="0.3">
      <c r="B42" s="297" t="str">
        <f t="shared" si="11"/>
        <v/>
      </c>
      <c r="C42" s="298" t="s">
        <v>1290</v>
      </c>
      <c r="D42" s="377" t="str">
        <f t="shared" si="12"/>
        <v/>
      </c>
      <c r="E42" s="377"/>
      <c r="F42" s="377"/>
      <c r="G42" s="377"/>
      <c r="H42" s="377"/>
      <c r="I42" s="378"/>
      <c r="J42" s="144"/>
      <c r="K42" s="294" t="str">
        <f t="shared" si="8"/>
        <v/>
      </c>
      <c r="L42" s="292"/>
      <c r="M42" s="292"/>
      <c r="N42" s="292"/>
      <c r="O42" s="145" t="str">
        <f t="shared" si="9"/>
        <v/>
      </c>
      <c r="P42" s="291" t="str">
        <f t="shared" si="10"/>
        <v/>
      </c>
      <c r="Q42" s="292"/>
      <c r="R42" s="293"/>
    </row>
    <row r="43" spans="1:31" ht="15" customHeight="1" thickTop="1" thickBot="1" x14ac:dyDescent="0.3">
      <c r="I43" s="144"/>
      <c r="J43" s="144"/>
      <c r="K43" s="294" t="str">
        <f t="shared" si="8"/>
        <v/>
      </c>
      <c r="L43" s="292"/>
      <c r="M43" s="292"/>
      <c r="N43" s="292"/>
      <c r="O43" s="145" t="str">
        <f t="shared" si="9"/>
        <v/>
      </c>
      <c r="P43" s="291" t="str">
        <f t="shared" si="10"/>
        <v/>
      </c>
      <c r="Q43" s="292"/>
      <c r="R43" s="293"/>
    </row>
    <row r="44" spans="1:31" ht="15" customHeight="1" thickTop="1" thickBot="1" x14ac:dyDescent="0.3">
      <c r="B44" s="285" t="s">
        <v>1062</v>
      </c>
      <c r="C44" s="286"/>
      <c r="D44" s="286"/>
      <c r="E44" s="286"/>
      <c r="F44" s="286"/>
      <c r="G44" s="286"/>
      <c r="H44" s="286"/>
      <c r="I44" s="287"/>
      <c r="J44" s="144"/>
      <c r="K44" s="294" t="str">
        <f t="shared" si="8"/>
        <v/>
      </c>
      <c r="L44" s="292"/>
      <c r="M44" s="292"/>
      <c r="N44" s="292"/>
      <c r="O44" s="145" t="str">
        <f t="shared" si="9"/>
        <v/>
      </c>
      <c r="P44" s="291" t="str">
        <f t="shared" si="10"/>
        <v/>
      </c>
      <c r="Q44" s="292"/>
      <c r="R44" s="293"/>
    </row>
    <row r="45" spans="1:31" ht="15" customHeight="1" thickBot="1" x14ac:dyDescent="0.3">
      <c r="A45" s="144"/>
      <c r="B45" s="283" t="s">
        <v>86</v>
      </c>
      <c r="C45" s="284"/>
      <c r="D45" s="192" t="s">
        <v>78</v>
      </c>
      <c r="E45" s="190" t="s">
        <v>1063</v>
      </c>
      <c r="F45" s="190" t="s">
        <v>122</v>
      </c>
      <c r="G45" s="190" t="s">
        <v>1064</v>
      </c>
      <c r="H45" s="190" t="s">
        <v>42</v>
      </c>
      <c r="I45" s="191" t="s">
        <v>1065</v>
      </c>
      <c r="J45" s="144"/>
      <c r="K45" s="294" t="str">
        <f t="shared" si="8"/>
        <v/>
      </c>
      <c r="L45" s="292"/>
      <c r="M45" s="292"/>
      <c r="N45" s="292"/>
      <c r="O45" s="145" t="str">
        <f t="shared" si="9"/>
        <v/>
      </c>
      <c r="P45" s="291" t="str">
        <f t="shared" si="10"/>
        <v/>
      </c>
      <c r="Q45" s="292"/>
      <c r="R45" s="293"/>
    </row>
    <row r="46" spans="1:31" ht="15" customHeight="1" x14ac:dyDescent="0.25">
      <c r="A46" s="140"/>
      <c r="B46" s="271" t="str">
        <f>$A$1</f>
        <v>BA</v>
      </c>
      <c r="C46" s="272"/>
      <c r="D46" s="193">
        <f>IFERROR(VLOOKUP($B46,$Y$22:$AE$23,2,FALSE),"")</f>
        <v>64</v>
      </c>
      <c r="E46" s="188">
        <f>IFERROR(VLOOKUP($B46,$Y$22:$AE$23,3,FALSE),"")</f>
        <v>29</v>
      </c>
      <c r="F46" s="189">
        <f>IFERROR(VLOOKUP($B46,$Y$22:$AE$23,4,FALSE),"")</f>
        <v>0</v>
      </c>
      <c r="G46" s="189">
        <f>IFERROR(VLOOKUP($B46,$Y$22:$AE$23,5,FALSE),"")</f>
        <v>35</v>
      </c>
      <c r="H46" s="204">
        <f>IFERROR(VLOOKUP($B46,$Y$22:$AE$23,6,FALSE),"")</f>
        <v>87</v>
      </c>
      <c r="I46" s="206">
        <f>IFERROR(VLOOKUP($B46,$Y$22:$AE$23,7,FALSE),"")</f>
        <v>45</v>
      </c>
      <c r="J46" s="144"/>
      <c r="K46" s="294" t="str">
        <f t="shared" si="8"/>
        <v/>
      </c>
      <c r="L46" s="292"/>
      <c r="M46" s="292"/>
      <c r="N46" s="292"/>
      <c r="O46" s="145" t="str">
        <f t="shared" si="9"/>
        <v/>
      </c>
      <c r="P46" s="291" t="str">
        <f t="shared" si="10"/>
        <v/>
      </c>
      <c r="Q46" s="292"/>
      <c r="R46" s="293"/>
    </row>
    <row r="47" spans="1:31" ht="15" customHeight="1" thickBot="1" x14ac:dyDescent="0.3">
      <c r="A47" s="140"/>
      <c r="B47" s="281" t="str">
        <f>$J$1</f>
        <v>HAT</v>
      </c>
      <c r="C47" s="282"/>
      <c r="D47" s="194">
        <f>IFERROR(VLOOKUP($B47,$Y$22:$AE$23,2,FALSE),"")</f>
        <v>65</v>
      </c>
      <c r="E47" s="186">
        <f>IFERROR(VLOOKUP($B47,$Y$22:$AE$23,3,FALSE),"")</f>
        <v>14</v>
      </c>
      <c r="F47" s="187">
        <f>IFERROR(VLOOKUP($B47,$Y$22:$AE$23,4,FALSE),"")</f>
        <v>0</v>
      </c>
      <c r="G47" s="187">
        <f>IFERROR(VLOOKUP($B47,$Y$22:$AE$23,5,FALSE),"")</f>
        <v>51</v>
      </c>
      <c r="H47" s="205">
        <f>IFERROR(VLOOKUP($B47,$Y$22:$AE$23,6,FALSE),"")</f>
        <v>49</v>
      </c>
      <c r="I47" s="207">
        <f>IFERROR(VLOOKUP($B47,$Y$22:$AE$23,7,FALSE),"")</f>
        <v>22</v>
      </c>
      <c r="J47" s="144"/>
      <c r="K47" s="294" t="str">
        <f t="shared" si="8"/>
        <v/>
      </c>
      <c r="L47" s="292"/>
      <c r="M47" s="292"/>
      <c r="N47" s="292"/>
      <c r="O47" s="145" t="str">
        <f t="shared" si="9"/>
        <v/>
      </c>
      <c r="P47" s="291" t="str">
        <f t="shared" si="10"/>
        <v/>
      </c>
      <c r="Q47" s="292"/>
      <c r="R47" s="293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2" t="str">
        <f t="shared" si="8"/>
        <v/>
      </c>
      <c r="L48" s="313"/>
      <c r="M48" s="313"/>
      <c r="N48" s="313"/>
      <c r="O48" s="148" t="str">
        <f t="shared" si="9"/>
        <v/>
      </c>
      <c r="P48" s="314" t="str">
        <f t="shared" si="10"/>
        <v/>
      </c>
      <c r="Q48" s="313"/>
      <c r="R48" s="315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69">
        <f ca="1">TODAY()</f>
        <v>44514</v>
      </c>
      <c r="H50" s="370"/>
      <c r="I50" s="370"/>
      <c r="J50" s="370"/>
      <c r="K50" s="370"/>
      <c r="L50" s="370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</mergeCells>
  <conditionalFormatting sqref="A1:R2">
    <cfRule type="cellIs" dxfId="886" priority="29" stopIfTrue="1" operator="equal">
      <formula>"OTR"</formula>
    </cfRule>
  </conditionalFormatting>
  <conditionalFormatting sqref="A1:R2 B34 F34">
    <cfRule type="cellIs" dxfId="885" priority="30" stopIfTrue="1" operator="equal">
      <formula>"PAR"</formula>
    </cfRule>
    <cfRule type="cellIs" dxfId="884" priority="31" stopIfTrue="1" operator="equal">
      <formula>"CLP"</formula>
    </cfRule>
    <cfRule type="cellIs" dxfId="883" priority="32" stopIfTrue="1" operator="equal">
      <formula>"HAT"</formula>
    </cfRule>
    <cfRule type="cellIs" dxfId="882" priority="33" stopIfTrue="1" operator="equal">
      <formula>"LIB"</formula>
    </cfRule>
    <cfRule type="cellIs" dxfId="881" priority="34" stopIfTrue="1" operator="equal">
      <formula>"BA"</formula>
    </cfRule>
    <cfRule type="cellIs" dxfId="880" priority="35" stopIfTrue="1" operator="equal">
      <formula>"SPA"</formula>
    </cfRule>
    <cfRule type="cellIs" dxfId="879" priority="36" stopIfTrue="1" operator="equal">
      <formula>"OST"</formula>
    </cfRule>
    <cfRule type="cellIs" dxfId="878" priority="37" stopIfTrue="1" operator="equal">
      <formula>"BOH"</formula>
    </cfRule>
    <cfRule type="cellIs" dxfId="877" priority="38" stopIfTrue="1" operator="equal">
      <formula>"TAT"</formula>
    </cfRule>
    <cfRule type="cellIs" dxfId="876" priority="39" stopIfTrue="1" operator="equal">
      <formula>"MB"</formula>
    </cfRule>
    <cfRule type="cellIs" dxfId="875" priority="40" stopIfTrue="1" operator="equal">
      <formula>"VIT"</formula>
    </cfRule>
    <cfRule type="cellIs" dxfId="874" priority="41" stopIfTrue="1" operator="equal">
      <formula>"CHO"</formula>
    </cfRule>
    <cfRule type="cellIs" dxfId="873" priority="42" stopIfTrue="1" operator="equal">
      <formula>"SKV"</formula>
    </cfRule>
  </conditionalFormatting>
  <conditionalFormatting sqref="K33:R48">
    <cfRule type="expression" dxfId="872" priority="28">
      <formula>AND($K33&lt;&gt;"", MOD(ROW($K33),2)=0)</formula>
    </cfRule>
  </conditionalFormatting>
  <conditionalFormatting sqref="B35:I42">
    <cfRule type="expression" dxfId="871" priority="111">
      <formula>AND($B35&lt;&gt;"",MOD(ROW($B35),2)=0)</formula>
    </cfRule>
  </conditionalFormatting>
  <conditionalFormatting sqref="B46:B47">
    <cfRule type="cellIs" dxfId="870" priority="14" stopIfTrue="1" operator="equal">
      <formula>"PAR"</formula>
    </cfRule>
    <cfRule type="cellIs" dxfId="869" priority="15" stopIfTrue="1" operator="equal">
      <formula>"CLP"</formula>
    </cfRule>
    <cfRule type="cellIs" dxfId="868" priority="16" stopIfTrue="1" operator="equal">
      <formula>"HAT"</formula>
    </cfRule>
    <cfRule type="cellIs" dxfId="867" priority="17" stopIfTrue="1" operator="equal">
      <formula>"LIB"</formula>
    </cfRule>
    <cfRule type="cellIs" dxfId="866" priority="18" stopIfTrue="1" operator="equal">
      <formula>"BA"</formula>
    </cfRule>
    <cfRule type="cellIs" dxfId="865" priority="19" stopIfTrue="1" operator="equal">
      <formula>"SPA"</formula>
    </cfRule>
    <cfRule type="cellIs" dxfId="864" priority="20" stopIfTrue="1" operator="equal">
      <formula>"OST"</formula>
    </cfRule>
    <cfRule type="cellIs" dxfId="863" priority="21" stopIfTrue="1" operator="equal">
      <formula>"BOH"</formula>
    </cfRule>
    <cfRule type="cellIs" dxfId="862" priority="22" stopIfTrue="1" operator="equal">
      <formula>"TAT"</formula>
    </cfRule>
    <cfRule type="cellIs" dxfId="861" priority="23" stopIfTrue="1" operator="equal">
      <formula>"MB"</formula>
    </cfRule>
    <cfRule type="cellIs" dxfId="860" priority="24" stopIfTrue="1" operator="equal">
      <formula>"VIT"</formula>
    </cfRule>
    <cfRule type="cellIs" dxfId="859" priority="25" stopIfTrue="1" operator="equal">
      <formula>"CHO"</formula>
    </cfRule>
    <cfRule type="cellIs" dxfId="858" priority="26" stopIfTrue="1" operator="equal">
      <formula>"SKV"</formula>
    </cfRule>
  </conditionalFormatting>
  <conditionalFormatting sqref="Y22:Y23">
    <cfRule type="cellIs" dxfId="857" priority="1" stopIfTrue="1" operator="equal">
      <formula>"PAR"</formula>
    </cfRule>
    <cfRule type="cellIs" dxfId="856" priority="2" stopIfTrue="1" operator="equal">
      <formula>"CLP"</formula>
    </cfRule>
    <cfRule type="cellIs" dxfId="855" priority="3" stopIfTrue="1" operator="equal">
      <formula>"HAT"</formula>
    </cfRule>
    <cfRule type="cellIs" dxfId="854" priority="4" stopIfTrue="1" operator="equal">
      <formula>"LIB"</formula>
    </cfRule>
    <cfRule type="cellIs" dxfId="853" priority="5" stopIfTrue="1" operator="equal">
      <formula>"BA"</formula>
    </cfRule>
    <cfRule type="cellIs" dxfId="852" priority="6" stopIfTrue="1" operator="equal">
      <formula>"SPA"</formula>
    </cfRule>
    <cfRule type="cellIs" dxfId="851" priority="7" stopIfTrue="1" operator="equal">
      <formula>"OST"</formula>
    </cfRule>
    <cfRule type="cellIs" dxfId="850" priority="8" stopIfTrue="1" operator="equal">
      <formula>"BOH"</formula>
    </cfRule>
    <cfRule type="cellIs" dxfId="849" priority="9" stopIfTrue="1" operator="equal">
      <formula>"TAT"</formula>
    </cfRule>
    <cfRule type="cellIs" dxfId="848" priority="10" stopIfTrue="1" operator="equal">
      <formula>"MB"</formula>
    </cfRule>
    <cfRule type="cellIs" dxfId="847" priority="11" stopIfTrue="1" operator="equal">
      <formula>"VIT"</formula>
    </cfRule>
    <cfRule type="cellIs" dxfId="846" priority="12" stopIfTrue="1" operator="equal">
      <formula>"CHO"</formula>
    </cfRule>
    <cfRule type="cellIs" dxfId="845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12" t="str">
        <f>prehled!A1</f>
        <v>BA</v>
      </c>
      <c r="B1" s="412"/>
      <c r="C1" s="412"/>
      <c r="D1" s="412"/>
      <c r="E1" s="412"/>
      <c r="F1" s="412"/>
      <c r="G1" s="412" t="str">
        <f>prehled!J1</f>
        <v>HAT</v>
      </c>
      <c r="H1" s="412"/>
      <c r="I1" s="412"/>
      <c r="J1" s="412"/>
      <c r="K1" s="412"/>
      <c r="L1" s="412"/>
    </row>
    <row r="2" spans="1:12" x14ac:dyDescent="0.2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</row>
    <row r="3" spans="1:12" s="152" customFormat="1" ht="19.5" x14ac:dyDescent="0.25">
      <c r="A3" s="413" t="s">
        <v>86</v>
      </c>
      <c r="B3" s="413"/>
      <c r="C3" s="413"/>
      <c r="D3" s="413"/>
      <c r="E3" s="413"/>
      <c r="F3" s="413"/>
      <c r="G3" s="413" t="s">
        <v>86</v>
      </c>
      <c r="H3" s="413"/>
      <c r="I3" s="413"/>
      <c r="J3" s="413"/>
      <c r="K3" s="413"/>
      <c r="L3" s="413"/>
    </row>
    <row r="4" spans="1:12" ht="14.25" customHeight="1" x14ac:dyDescent="0.25">
      <c r="A4" s="412" t="str">
        <f>A1</f>
        <v>BA</v>
      </c>
      <c r="B4" s="182" t="str">
        <f ca="1">IF($A$4&lt;&gt;0,IFERROR(INDEX(zajimavosti_tymy!B:B,MATCH(prehled!$A$3,OFFSET(zajimavosti_tymy!$A$2,,,(COUNTA(zajimavosti_tymy!$A:$A)-1)*3),0)+1),""),"")</f>
        <v/>
      </c>
      <c r="C4" s="183" t="str">
        <f ca="1">IF($A$4&lt;&gt;0,IFERROR(INDEX(zajimavosti_tymy!C:C,MATCH(prehled!$A$3,OFFSET(zajimavosti_tymy!$A$2,,,(COUNTA(zajimavosti_tymy!$A:$A)-1)*3),0)+1),""),"")</f>
        <v/>
      </c>
      <c r="D4" s="183" t="str">
        <f ca="1">IF($A$4&lt;&gt;0,IFERROR(INDEX(zajimavosti_tymy!D:D,MATCH(prehled!$A$3,OFFSET(zajimavosti_tymy!$A$2,,,(COUNTA(zajimavosti_tymy!$A:$A)-1)*3),0)+1),""),"")</f>
        <v/>
      </c>
      <c r="E4" s="183" t="str">
        <f ca="1">IF($A$4&lt;&gt;0,IFERROR(INDEX(zajimavosti_tymy!E:E,MATCH(prehled!$A$3,OFFSET(zajimavosti_tymy!$A$2,,,(COUNTA(zajimavosti_tymy!$A:$A)-1)*3),0)+1),""),"")</f>
        <v/>
      </c>
      <c r="F4" s="184" t="str">
        <f ca="1">IF($A$4&lt;&gt;0,IFERROR(INDEX(zajimavosti_tymy!F:F,MATCH(prehled!$A$3,OFFSET(zajimavosti_tymy!$A$2,,,(COUNTA(zajimavosti_tymy!$A:$A)-1)*3),0)+1),""),"")</f>
        <v/>
      </c>
      <c r="G4" s="412" t="str">
        <f>G1</f>
        <v>HAT</v>
      </c>
      <c r="H4" s="182" t="str">
        <f ca="1">IF($G$4&lt;&gt;0,IFERROR(INDEX(zajimavosti_tymy!B:B,MATCH(prehled!$J$3,OFFSET(zajimavosti_tymy!$A$2,,,(COUNTA(zajimavosti_tymy!$A:$A)-1)*3),0)+1),""),"")</f>
        <v/>
      </c>
      <c r="I4" s="183" t="str">
        <f ca="1">IF($G$4&lt;&gt;0,IFERROR(INDEX(zajimavosti_tymy!C:C,MATCH(prehled!$J$3,OFFSET(zajimavosti_tymy!$A$2,,,(COUNTA(zajimavosti_tymy!$A:$A)-1)*3),0)+1),""),"")</f>
        <v/>
      </c>
      <c r="J4" s="183" t="str">
        <f ca="1">IF($G$4&lt;&gt;0,IFERROR(INDEX(zajimavosti_tymy!D:D,MATCH(prehled!$J$3,OFFSET(zajimavosti_tymy!$A$2,,,(COUNTA(zajimavosti_tymy!$A:$A)-1)*3),0)+1),""),"")</f>
        <v/>
      </c>
      <c r="K4" s="183" t="str">
        <f ca="1">IF($G$4&lt;&gt;0,IFERROR(INDEX(zajimavosti_tymy!E:E,MATCH(prehled!$J$3,OFFSET(zajimavosti_tymy!$A$2,,,(COUNTA(zajimavosti_tymy!$A:$A)-1)*3),0)+1),""),"")</f>
        <v/>
      </c>
      <c r="L4" s="18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12"/>
      <c r="B5" s="182" t="str">
        <f ca="1">IF($A$4&lt;&gt;0,IFERROR(INDEX(zajimavosti_tymy!B:B,MATCH(prehled!$A$3,OFFSET(zajimavosti_tymy!$A$2,,,(COUNTA(zajimavosti_tymy!$A:$A)-1)*3),0)+2),""),"")</f>
        <v/>
      </c>
      <c r="C5" s="183" t="str">
        <f ca="1">IF($A$4&lt;&gt;0,IFERROR(INDEX(zajimavosti_tymy!C:C,MATCH(prehled!$A$3,OFFSET(zajimavosti_tymy!$A$2,,,(COUNTA(zajimavosti_tymy!$A:$A)-1)*3),0)+2),""),"")</f>
        <v/>
      </c>
      <c r="D5" s="183" t="str">
        <f ca="1">IF($A$4&lt;&gt;0,IFERROR(INDEX(zajimavosti_tymy!D:D,MATCH(prehled!$A$3,OFFSET(zajimavosti_tymy!$A$2,,,(COUNTA(zajimavosti_tymy!$A:$A)-1)*3),0)+2),""),"")</f>
        <v/>
      </c>
      <c r="E5" s="183" t="str">
        <f ca="1">IF($A$4&lt;&gt;0,IFERROR(INDEX(zajimavosti_tymy!E:E,MATCH(prehled!$A$3,OFFSET(zajimavosti_tymy!$A$2,,,(COUNTA(zajimavosti_tymy!$A:$A)-1)*3),0)+2),""),"")</f>
        <v/>
      </c>
      <c r="F5" s="184" t="str">
        <f ca="1">IF($A$4&lt;&gt;0,IFERROR(INDEX(zajimavosti_tymy!F:F,MATCH(prehled!$A$3,OFFSET(zajimavosti_tymy!$A$2,,,(COUNTA(zajimavosti_tymy!$A:$A)-1)*3),0)+2),""),"")</f>
        <v/>
      </c>
      <c r="G5" s="412"/>
      <c r="H5" s="182" t="str">
        <f ca="1">IF($G$4&lt;&gt;0,IFERROR(INDEX(zajimavosti_tymy!B:B,MATCH(prehled!$J$3,OFFSET(zajimavosti_tymy!$A$2,,,(COUNTA(zajimavosti_tymy!$A:$A)-1)*3),0)+2),""),"")</f>
        <v/>
      </c>
      <c r="I5" s="183" t="str">
        <f ca="1">IF($G$4&lt;&gt;0,IFERROR(INDEX(zajimavosti_tymy!C:C,MATCH(prehled!$J$3,OFFSET(zajimavosti_tymy!$A$2,,,(COUNTA(zajimavosti_tymy!$A:$A)-1)*3),0)+2),""),"")</f>
        <v/>
      </c>
      <c r="J5" s="183" t="str">
        <f ca="1">IF($G$4&lt;&gt;0,IFERROR(INDEX(zajimavosti_tymy!D:D,MATCH(prehled!$J$3,OFFSET(zajimavosti_tymy!$A$2,,,(COUNTA(zajimavosti_tymy!$A:$A)-1)*3),0)+2),""),"")</f>
        <v/>
      </c>
      <c r="K5" s="183" t="str">
        <f ca="1">IF($G$4&lt;&gt;0,IFERROR(INDEX(zajimavosti_tymy!E:E,MATCH(prehled!$J$3,OFFSET(zajimavosti_tymy!$A$2,,,(COUNTA(zajimavosti_tymy!$A:$A)-1)*3),0)+2),""),"")</f>
        <v/>
      </c>
      <c r="L5" s="18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12"/>
      <c r="B6" s="182" t="str">
        <f ca="1">IF($A$4&lt;&gt;0,IFERROR(INDEX(zajimavosti_tymy!B:B,MATCH(prehled!$A$3,OFFSET(zajimavosti_tymy!$A$2,,,(COUNTA(zajimavosti_tymy!$A:$A)-1)*3),0)+3),""),"")</f>
        <v/>
      </c>
      <c r="C6" s="183" t="str">
        <f ca="1">IF($A$4&lt;&gt;0,IFERROR(INDEX(zajimavosti_tymy!C:C,MATCH(prehled!$A$3,OFFSET(zajimavosti_tymy!$A$2,,,(COUNTA(zajimavosti_tymy!$A:$A)-1)*3),0)+3),""),"")</f>
        <v/>
      </c>
      <c r="D6" s="183" t="str">
        <f ca="1">IF($A$4&lt;&gt;0,IFERROR(INDEX(zajimavosti_tymy!D:D,MATCH(prehled!$A$3,OFFSET(zajimavosti_tymy!$A$2,,,(COUNTA(zajimavosti_tymy!$A:$A)-1)*3),0)+3),""),"")</f>
        <v/>
      </c>
      <c r="E6" s="183" t="str">
        <f ca="1">IF($A$4&lt;&gt;0,IFERROR(INDEX(zajimavosti_tymy!E:E,MATCH(prehled!$A$3,OFFSET(zajimavosti_tymy!$A$2,,,(COUNTA(zajimavosti_tymy!$A:$A)-1)*3),0)+3),""),"")</f>
        <v/>
      </c>
      <c r="F6" s="184" t="str">
        <f ca="1">IF($A$4&lt;&gt;0,IFERROR(INDEX(zajimavosti_tymy!F:F,MATCH(prehled!$A$3,OFFSET(zajimavosti_tymy!$A$2,,,(COUNTA(zajimavosti_tymy!$A:$A)-1)*3),0)+3),""),"")</f>
        <v/>
      </c>
      <c r="G6" s="412"/>
      <c r="H6" s="182" t="str">
        <f ca="1">IF($G$4&lt;&gt;0,IFERROR(INDEX(zajimavosti_tymy!B:B,MATCH(prehled!$J$3,OFFSET(zajimavosti_tymy!$A$2,,,(COUNTA(zajimavosti_tymy!$A:$A)-1)*3),0)+3),""),"")</f>
        <v/>
      </c>
      <c r="I6" s="183" t="str">
        <f ca="1">IF($G$4&lt;&gt;0,IFERROR(INDEX(zajimavosti_tymy!C:C,MATCH(prehled!$J$3,OFFSET(zajimavosti_tymy!$A$2,,,(COUNTA(zajimavosti_tymy!$A:$A)-1)*3),0)+3),""),"")</f>
        <v/>
      </c>
      <c r="J6" s="183" t="str">
        <f ca="1">IF($G$4&lt;&gt;0,IFERROR(INDEX(zajimavosti_tymy!D:D,MATCH(prehled!$J$3,OFFSET(zajimavosti_tymy!$A$2,,,(COUNTA(zajimavosti_tymy!$A:$A)-1)*3),0)+3),""),"")</f>
        <v/>
      </c>
      <c r="K6" s="183" t="str">
        <f ca="1">IF($G$4&lt;&gt;0,IFERROR(INDEX(zajimavosti_tymy!E:E,MATCH(prehled!$J$3,OFFSET(zajimavosti_tymy!$A$2,,,(COUNTA(zajimavosti_tymy!$A:$A)-1)*3),0)+3),""),"")</f>
        <v/>
      </c>
      <c r="L6" s="184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13" t="s">
        <v>780</v>
      </c>
      <c r="B7" s="413"/>
      <c r="C7" s="413"/>
      <c r="D7" s="413"/>
      <c r="E7" s="413"/>
      <c r="F7" s="413"/>
      <c r="G7" s="413" t="s">
        <v>780</v>
      </c>
      <c r="H7" s="413"/>
      <c r="I7" s="413"/>
      <c r="J7" s="413"/>
      <c r="K7" s="413"/>
      <c r="L7" s="413"/>
    </row>
    <row r="8" spans="1:12" x14ac:dyDescent="0.25">
      <c r="A8" s="185" t="str">
        <f ca="1">IF(INDIRECT("priprava_" &amp; A$1 &amp; "!A1")&lt;&gt;0,INDIRECT("priprava_" &amp; A$1 &amp; "!A1"),"")</f>
        <v>Jakub Boček</v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8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8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85" t="str">
        <f ca="1">IF(INDIRECT("priprava_" &amp; G$1 &amp; "!A1")&lt;&gt;0,INDIRECT("priprava_" &amp; G$1 &amp; "!A1"),"")</f>
        <v>Tomáš Brom</v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>Jakub Hromada</v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83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84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85" t="str">
        <f ca="1">IF(INDIRECT("priprava_" &amp; G$1 &amp; "!M1")&lt;&gt;0,INDIRECT("priprava_" &amp; G$1 &amp; "!M1"),"")</f>
        <v>Matěj Hronek</v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>Jakub Boček</v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8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8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85" t="str">
        <f ca="1">IF(INDIRECT("priprava_" &amp; G$1 &amp; "!G3")&lt;&gt;0,INDIRECT("priprava_" &amp; G$1 &amp; "!G3"),"")</f>
        <v>Lukáš Vlach</v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>Daniel Ludvík</v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83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83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83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84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85" t="str">
        <f ca="1">IF(INDIRECT("priprava_" &amp; G$1 &amp; "!A6")&lt;&gt;0,INDIRECT("priprava_" &amp; G$1 &amp; "!A6"),"")</f>
        <v>Lukáš Jalový</v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>Martin Obuškevič</v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84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85" t="str">
        <f ca="1">IF(INDIRECT("priprava_" &amp; G$1 &amp; "!M6")&lt;&gt;0,INDIRECT("priprava_" &amp; G$1 &amp; "!M6"),"")</f>
        <v>David Sládeček</v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>Matouš Burian</v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8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84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85" t="str">
        <f ca="1">IF(INDIRECT("priprava_" &amp; G$1 &amp; "!A12")&lt;&gt;0,INDIRECT("priprava_" &amp; G$1 &amp; "!A12"),"")</f>
        <v>Dominik Dvořák</v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>Radek Hanák</v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83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84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85" t="str">
        <f ca="1">IF(INDIRECT("priprava_" &amp; G$1 &amp; "!M12")&lt;&gt;0,INDIRECT("priprava_" &amp; G$1 &amp; "!M12"),"")</f>
        <v>Jakub Procházka</v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>Tomáš Hanák</v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84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85" t="str">
        <f ca="1">IF(INDIRECT("priprava_" &amp; G$1 &amp; "!G14")&lt;&gt;0,INDIRECT("priprava_" &amp; G$1 &amp; "!G14"),"")</f>
        <v>Jonáš Kůra</v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>Jan Bauman</v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>Lukáš Lhota</v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>Jan Pícha</v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83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84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85" t="str">
        <f ca="1">IF(INDIRECT("priprava_" &amp; G$1 &amp; "!M17")&lt;&gt;0,INDIRECT("priprava_" &amp; G$1 &amp; "!M17"),"")</f>
        <v>Jiří Juhaňák</v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>Jakub Renčín</v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83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84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85" t="str">
        <f ca="1">IF(INDIRECT("priprava_" &amp; G$1 &amp; "!A23")&lt;&gt;0,INDIRECT("priprava_" &amp; G$1 &amp; "!A23"),"")</f>
        <v>Matěj Bednář</v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>Jan Kopecký</v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83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84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85" t="str">
        <f ca="1">IF(INDIRECT("priprava_" &amp; G$1 &amp; "!M23")&lt;&gt;0,INDIRECT("priprava_" &amp; G$1 &amp; "!M23"),"")</f>
        <v>Šimon Hronek</v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>Adam Bouček</v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84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85" t="str">
        <f ca="1">IF(INDIRECT("priprava_" &amp; G$1 &amp; "!G25")&lt;&gt;0,INDIRECT("priprava_" &amp; G$1 &amp; "!G25"),"")</f>
        <v>Matěj Kostka</v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>Vojtěch Novotný</v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>Jiří Hájek</v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>Andrej Svatoš</v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>Lukáš Suk</v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>Tomáš Straka</v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8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8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85" t="str">
        <f ca="1">IF(INDIRECT("priprava_" &amp; G$1 &amp; "!J34")&lt;&gt;0,INDIRECT("priprava_" &amp; G$1 &amp; "!J34"),"")</f>
        <v>René Slezák</v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>Marek Fryš</v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>Tomáš Čáslava</v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>Ondřej Matiášek</v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>Zdeněk Raška</v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>Daniel Körber</v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8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85" t="str">
        <f ca="1">IF(INDIRECT("priprava_" &amp; G$1 &amp; "!A40")&lt;&gt;0,INDIRECT("priprava_" &amp; G$1 &amp; "!A40"),"")</f>
        <v>Ondřej Kolajta</v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3" t="s">
        <v>781</v>
      </c>
      <c r="B28" s="413"/>
      <c r="C28" s="413"/>
      <c r="D28" s="413"/>
      <c r="E28" s="413"/>
      <c r="F28" s="413"/>
      <c r="G28" s="413" t="s">
        <v>781</v>
      </c>
      <c r="H28" s="413"/>
      <c r="I28" s="413"/>
      <c r="J28" s="413"/>
      <c r="K28" s="413"/>
      <c r="L28" s="413"/>
    </row>
    <row r="29" spans="1:12" x14ac:dyDescent="0.25">
      <c r="A29" s="185" t="str">
        <f ca="1">IF(INDIRECT("priprava_" &amp; A$1 &amp; "!A47")&lt;&gt;0,INDIRECT("priprava_" &amp; A$1 &amp; "!A47"),"")</f>
        <v>Tomáš Janeček</v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>Marek Fiala</v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>Petr Pajer</v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>Simon Šiška</v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>Martina Egersdorf</v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>Filip Kejík</v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4" priority="70" stopIfTrue="1" operator="equal">
      <formula>"OTR"</formula>
    </cfRule>
  </conditionalFormatting>
  <conditionalFormatting sqref="A1:F2">
    <cfRule type="cellIs" dxfId="843" priority="71" stopIfTrue="1" operator="equal">
      <formula>"PAR"</formula>
    </cfRule>
    <cfRule type="cellIs" dxfId="842" priority="72" stopIfTrue="1" operator="equal">
      <formula>"CLP"</formula>
    </cfRule>
    <cfRule type="cellIs" dxfId="841" priority="73" stopIfTrue="1" operator="equal">
      <formula>"HAT"</formula>
    </cfRule>
    <cfRule type="cellIs" dxfId="840" priority="74" stopIfTrue="1" operator="equal">
      <formula>"LIB"</formula>
    </cfRule>
    <cfRule type="cellIs" dxfId="839" priority="75" stopIfTrue="1" operator="equal">
      <formula>"BA"</formula>
    </cfRule>
    <cfRule type="cellIs" dxfId="838" priority="76" stopIfTrue="1" operator="equal">
      <formula>"SPA"</formula>
    </cfRule>
    <cfRule type="cellIs" dxfId="837" priority="77" stopIfTrue="1" operator="equal">
      <formula>"OST"</formula>
    </cfRule>
    <cfRule type="cellIs" dxfId="836" priority="78" stopIfTrue="1" operator="equal">
      <formula>"BOH"</formula>
    </cfRule>
    <cfRule type="cellIs" dxfId="835" priority="79" stopIfTrue="1" operator="equal">
      <formula>"TAT"</formula>
    </cfRule>
    <cfRule type="cellIs" dxfId="834" priority="80" stopIfTrue="1" operator="equal">
      <formula>"MB"</formula>
    </cfRule>
    <cfRule type="cellIs" dxfId="833" priority="81" stopIfTrue="1" operator="equal">
      <formula>"VIT"</formula>
    </cfRule>
    <cfRule type="cellIs" dxfId="832" priority="82" stopIfTrue="1" operator="equal">
      <formula>"CHO"</formula>
    </cfRule>
    <cfRule type="cellIs" dxfId="831" priority="83" stopIfTrue="1" operator="equal">
      <formula>"SKV"</formula>
    </cfRule>
  </conditionalFormatting>
  <conditionalFormatting sqref="G1:L2">
    <cfRule type="cellIs" dxfId="830" priority="56" stopIfTrue="1" operator="equal">
      <formula>"OTR"</formula>
    </cfRule>
  </conditionalFormatting>
  <conditionalFormatting sqref="G1:L2">
    <cfRule type="cellIs" dxfId="829" priority="57" stopIfTrue="1" operator="equal">
      <formula>"PAR"</formula>
    </cfRule>
    <cfRule type="cellIs" dxfId="828" priority="58" stopIfTrue="1" operator="equal">
      <formula>"CLP"</formula>
    </cfRule>
    <cfRule type="cellIs" dxfId="827" priority="59" stopIfTrue="1" operator="equal">
      <formula>"HAT"</formula>
    </cfRule>
    <cfRule type="cellIs" dxfId="826" priority="60" stopIfTrue="1" operator="equal">
      <formula>"LIB"</formula>
    </cfRule>
    <cfRule type="cellIs" dxfId="825" priority="61" stopIfTrue="1" operator="equal">
      <formula>"BA"</formula>
    </cfRule>
    <cfRule type="cellIs" dxfId="824" priority="62" stopIfTrue="1" operator="equal">
      <formula>"SPA"</formula>
    </cfRule>
    <cfRule type="cellIs" dxfId="823" priority="63" stopIfTrue="1" operator="equal">
      <formula>"OST"</formula>
    </cfRule>
    <cfRule type="cellIs" dxfId="822" priority="64" stopIfTrue="1" operator="equal">
      <formula>"BOH"</formula>
    </cfRule>
    <cfRule type="cellIs" dxfId="821" priority="65" stopIfTrue="1" operator="equal">
      <formula>"TAT"</formula>
    </cfRule>
    <cfRule type="cellIs" dxfId="820" priority="66" stopIfTrue="1" operator="equal">
      <formula>"MB"</formula>
    </cfRule>
    <cfRule type="cellIs" dxfId="819" priority="67" stopIfTrue="1" operator="equal">
      <formula>"VIT"</formula>
    </cfRule>
    <cfRule type="cellIs" dxfId="818" priority="68" stopIfTrue="1" operator="equal">
      <formula>"CHO"</formula>
    </cfRule>
    <cfRule type="cellIs" dxfId="817" priority="69" stopIfTrue="1" operator="equal">
      <formula>"SKV"</formula>
    </cfRule>
  </conditionalFormatting>
  <conditionalFormatting sqref="B4:F6">
    <cfRule type="expression" dxfId="816" priority="3">
      <formula>AND($B4&lt;&gt;"",MOD(ROW($B4),2)=0,B4=0)</formula>
    </cfRule>
    <cfRule type="expression" dxfId="815" priority="4">
      <formula>AND($B4&lt;&gt;"",MOD(ROW($B4),2)=1,B4=0)</formula>
    </cfRule>
    <cfRule type="expression" dxfId="814" priority="18">
      <formula>AND($B4&lt;&gt;"",MOD(ROW($B4),2)=0)</formula>
    </cfRule>
    <cfRule type="expression" dxfId="813" priority="55">
      <formula>AND($B4&lt;&gt;"",MOD(ROW($B4),2)=1)</formula>
    </cfRule>
  </conditionalFormatting>
  <conditionalFormatting sqref="A8:F27">
    <cfRule type="expression" dxfId="812" priority="17">
      <formula>AND($A8&lt;&gt;"",MOD(ROW($A8),2)=0)</formula>
    </cfRule>
    <cfRule type="expression" dxfId="811" priority="54">
      <formula>AND($A8&lt;&gt;"",MOD(ROW($A8),2)=1)</formula>
    </cfRule>
  </conditionalFormatting>
  <conditionalFormatting sqref="A29:F31">
    <cfRule type="expression" dxfId="810" priority="16">
      <formula>AND($A29&lt;&gt;"",MOD(ROW($A29),2)=1)</formula>
    </cfRule>
    <cfRule type="expression" dxfId="809" priority="53">
      <formula>AND($A29&lt;&gt;"",MOD(ROW($A29),2)=0)</formula>
    </cfRule>
  </conditionalFormatting>
  <conditionalFormatting sqref="H4:L6">
    <cfRule type="expression" dxfId="808" priority="1">
      <formula>AND($H4&lt;&gt;"",MOD(ROW($H4),2)=0,H4=0)</formula>
    </cfRule>
    <cfRule type="expression" dxfId="807" priority="2">
      <formula>AND($H4&lt;&gt;"",MOD(ROW($H4),2)=1,H4=0)</formula>
    </cfRule>
    <cfRule type="expression" dxfId="806" priority="15">
      <formula>AND($H4&lt;&gt;"",MOD(ROW($H4),2)=0)</formula>
    </cfRule>
    <cfRule type="expression" dxfId="805" priority="52">
      <formula>AND($H4&lt;&gt;"",MOD(ROW($H4),2)=1)</formula>
    </cfRule>
  </conditionalFormatting>
  <conditionalFormatting sqref="G8:L27">
    <cfRule type="expression" dxfId="804" priority="14">
      <formula>AND($G8&lt;&gt;"",MOD(ROW($G8),2)=0)</formula>
    </cfRule>
    <cfRule type="expression" dxfId="803" priority="51">
      <formula>AND($G8&lt;&gt;"",MOD(ROW($G8),2)=1)</formula>
    </cfRule>
  </conditionalFormatting>
  <conditionalFormatting sqref="G29:L31">
    <cfRule type="expression" dxfId="802" priority="13">
      <formula>AND($G29&lt;&gt;"",MOD(ROW($G29),2)=1)</formula>
    </cfRule>
    <cfRule type="expression" dxfId="801" priority="50">
      <formula>AND($G29&lt;&gt;"",MOD(ROW($G29),2)=0)</formula>
    </cfRule>
  </conditionalFormatting>
  <conditionalFormatting sqref="A4">
    <cfRule type="cellIs" dxfId="800" priority="36" stopIfTrue="1" operator="equal">
      <formula>"OTR"</formula>
    </cfRule>
  </conditionalFormatting>
  <conditionalFormatting sqref="A4">
    <cfRule type="cellIs" dxfId="799" priority="37" stopIfTrue="1" operator="equal">
      <formula>"PAR"</formula>
    </cfRule>
    <cfRule type="cellIs" dxfId="798" priority="38" stopIfTrue="1" operator="equal">
      <formula>"CLP"</formula>
    </cfRule>
    <cfRule type="cellIs" dxfId="797" priority="39" stopIfTrue="1" operator="equal">
      <formula>"HAT"</formula>
    </cfRule>
    <cfRule type="cellIs" dxfId="796" priority="40" stopIfTrue="1" operator="equal">
      <formula>"LIB"</formula>
    </cfRule>
    <cfRule type="cellIs" dxfId="795" priority="41" stopIfTrue="1" operator="equal">
      <formula>"BA"</formula>
    </cfRule>
    <cfRule type="cellIs" dxfId="794" priority="42" stopIfTrue="1" operator="equal">
      <formula>"SPA"</formula>
    </cfRule>
    <cfRule type="cellIs" dxfId="793" priority="43" stopIfTrue="1" operator="equal">
      <formula>"OST"</formula>
    </cfRule>
    <cfRule type="cellIs" dxfId="792" priority="44" stopIfTrue="1" operator="equal">
      <formula>"BOH"</formula>
    </cfRule>
    <cfRule type="cellIs" dxfId="791" priority="45" stopIfTrue="1" operator="equal">
      <formula>"TAT"</formula>
    </cfRule>
    <cfRule type="cellIs" dxfId="790" priority="46" stopIfTrue="1" operator="equal">
      <formula>"MB"</formula>
    </cfRule>
    <cfRule type="cellIs" dxfId="789" priority="47" stopIfTrue="1" operator="equal">
      <formula>"VIT"</formula>
    </cfRule>
    <cfRule type="cellIs" dxfId="788" priority="48" stopIfTrue="1" operator="equal">
      <formula>"CHO"</formula>
    </cfRule>
    <cfRule type="cellIs" dxfId="787" priority="49" stopIfTrue="1" operator="equal">
      <formula>"SKV"</formula>
    </cfRule>
  </conditionalFormatting>
  <conditionalFormatting sqref="G4">
    <cfRule type="cellIs" dxfId="786" priority="22" stopIfTrue="1" operator="equal">
      <formula>"OTR"</formula>
    </cfRule>
  </conditionalFormatting>
  <conditionalFormatting sqref="G4">
    <cfRule type="cellIs" dxfId="785" priority="23" stopIfTrue="1" operator="equal">
      <formula>"PAR"</formula>
    </cfRule>
    <cfRule type="cellIs" dxfId="784" priority="24" stopIfTrue="1" operator="equal">
      <formula>"CLP"</formula>
    </cfRule>
    <cfRule type="cellIs" dxfId="783" priority="25" stopIfTrue="1" operator="equal">
      <formula>"HAT"</formula>
    </cfRule>
    <cfRule type="cellIs" dxfId="782" priority="26" stopIfTrue="1" operator="equal">
      <formula>"LIB"</formula>
    </cfRule>
    <cfRule type="cellIs" dxfId="781" priority="27" stopIfTrue="1" operator="equal">
      <formula>"BA"</formula>
    </cfRule>
    <cfRule type="cellIs" dxfId="780" priority="28" stopIfTrue="1" operator="equal">
      <formula>"SPA"</formula>
    </cfRule>
    <cfRule type="cellIs" dxfId="779" priority="29" stopIfTrue="1" operator="equal">
      <formula>"OST"</formula>
    </cfRule>
    <cfRule type="cellIs" dxfId="778" priority="30" stopIfTrue="1" operator="equal">
      <formula>"BOH"</formula>
    </cfRule>
    <cfRule type="cellIs" dxfId="777" priority="31" stopIfTrue="1" operator="equal">
      <formula>"TAT"</formula>
    </cfRule>
    <cfRule type="cellIs" dxfId="776" priority="32" stopIfTrue="1" operator="equal">
      <formula>"MB"</formula>
    </cfRule>
    <cfRule type="cellIs" dxfId="775" priority="33" stopIfTrue="1" operator="equal">
      <formula>"VIT"</formula>
    </cfRule>
    <cfRule type="cellIs" dxfId="774" priority="34" stopIfTrue="1" operator="equal">
      <formula>"CHO"</formula>
    </cfRule>
    <cfRule type="cellIs" dxfId="773" priority="35" stopIfTrue="1" operator="equal">
      <formula>"SKV"</formula>
    </cfRule>
  </conditionalFormatting>
  <conditionalFormatting sqref="I8:L27">
    <cfRule type="expression" dxfId="772" priority="11">
      <formula>AND($G8&lt;&gt;"",MOD(ROW($G8),2)=0,I8=0)</formula>
    </cfRule>
    <cfRule type="expression" dxfId="771" priority="12">
      <formula>AND($G8&lt;&gt;"",MOD(ROW($G8),2)=1,I8=0)</formula>
    </cfRule>
  </conditionalFormatting>
  <conditionalFormatting sqref="I29:L31">
    <cfRule type="expression" dxfId="770" priority="9">
      <formula>AND($G29&lt;&gt;"",MOD(ROW($G29),2)=1,I29=0)</formula>
    </cfRule>
    <cfRule type="expression" dxfId="769" priority="10">
      <formula>AND($G29&lt;&gt;"",MOD(ROW($G29),2)=0,I29=0)</formula>
    </cfRule>
  </conditionalFormatting>
  <conditionalFormatting sqref="C8:F27">
    <cfRule type="expression" dxfId="768" priority="7">
      <formula>AND($A8&lt;&gt;"",MOD(ROW($A8),2)=0,C8=0)</formula>
    </cfRule>
    <cfRule type="expression" dxfId="767" priority="8">
      <formula>AND($A8&lt;&gt;"",MOD(ROW($A8),2)=1,C8=0)</formula>
    </cfRule>
  </conditionalFormatting>
  <conditionalFormatting sqref="C29:F31">
    <cfRule type="expression" dxfId="766" priority="5">
      <formula>AND($A29&lt;&gt;"",MOD(ROW($A29),2)=1,C29)</formula>
    </cfRule>
    <cfRule type="expression" dxfId="765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4" t="s">
        <v>792</v>
      </c>
      <c r="B1" s="414"/>
      <c r="C1" s="415" t="s">
        <v>791</v>
      </c>
      <c r="D1" s="415"/>
      <c r="E1" s="415"/>
      <c r="F1" s="415"/>
      <c r="G1" s="415"/>
      <c r="H1" s="171" t="s">
        <v>790</v>
      </c>
    </row>
    <row r="2" spans="1:8" x14ac:dyDescent="0.25">
      <c r="A2" s="169" t="s">
        <v>210</v>
      </c>
      <c r="B2" s="170">
        <v>37276</v>
      </c>
      <c r="C2" s="178" t="s">
        <v>787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786</v>
      </c>
      <c r="D3" s="178" t="s">
        <v>892</v>
      </c>
      <c r="E3" s="178" t="s">
        <v>893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789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788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894</v>
      </c>
      <c r="D6" s="178" t="s">
        <v>895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937</v>
      </c>
      <c r="D7" s="178" t="s">
        <v>938</v>
      </c>
      <c r="E7" s="178" t="s">
        <v>939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896</v>
      </c>
      <c r="D8" s="178" t="s">
        <v>897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898</v>
      </c>
      <c r="D9" s="178" t="s">
        <v>899</v>
      </c>
      <c r="E9" s="178" t="s">
        <v>900</v>
      </c>
      <c r="F9" s="178" t="s">
        <v>901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902</v>
      </c>
      <c r="D10" s="178" t="s">
        <v>903</v>
      </c>
      <c r="E10" s="178" t="s">
        <v>900</v>
      </c>
      <c r="F10" s="178" t="s">
        <v>904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905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906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907</v>
      </c>
      <c r="D13" s="178" t="s">
        <v>908</v>
      </c>
      <c r="E13" s="178" t="s">
        <v>909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910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911</v>
      </c>
      <c r="D15" s="178" t="s">
        <v>912</v>
      </c>
      <c r="E15" s="178" t="s">
        <v>913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907</v>
      </c>
      <c r="D16" s="178" t="s">
        <v>909</v>
      </c>
      <c r="E16" s="178" t="s">
        <v>914</v>
      </c>
      <c r="F16" s="178" t="s">
        <v>915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916</v>
      </c>
      <c r="D17" s="178" t="s">
        <v>917</v>
      </c>
      <c r="E17" s="178" t="s">
        <v>918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902</v>
      </c>
      <c r="D18" s="178" t="s">
        <v>919</v>
      </c>
      <c r="E18" s="178" t="s">
        <v>920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921</v>
      </c>
      <c r="D19" s="178" t="s">
        <v>922</v>
      </c>
      <c r="E19" s="178" t="s">
        <v>923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924</v>
      </c>
      <c r="D20" s="179" t="s">
        <v>925</v>
      </c>
      <c r="E20" s="179" t="s">
        <v>926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927</v>
      </c>
      <c r="D21" s="179" t="s">
        <v>928</v>
      </c>
      <c r="E21" s="179" t="s">
        <v>929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930</v>
      </c>
      <c r="D22" s="179" t="s">
        <v>931</v>
      </c>
      <c r="E22" s="179" t="s">
        <v>932</v>
      </c>
      <c r="F22" s="179" t="s">
        <v>933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934</v>
      </c>
      <c r="D23" s="179" t="s">
        <v>935</v>
      </c>
      <c r="E23" s="179" t="s">
        <v>936</v>
      </c>
      <c r="H23" s="166" t="str">
        <f t="shared" si="0"/>
        <v>Vojtěch Klápa (37777)</v>
      </c>
    </row>
    <row r="24" spans="1:8" x14ac:dyDescent="0.25">
      <c r="A24" s="168" t="s">
        <v>638</v>
      </c>
      <c r="B24" s="177">
        <v>30929</v>
      </c>
      <c r="C24" s="179" t="s">
        <v>948</v>
      </c>
      <c r="D24" s="179" t="s">
        <v>949</v>
      </c>
      <c r="H24" s="166" t="str">
        <f t="shared" si="0"/>
        <v>Ivan Ponomarev (30929)</v>
      </c>
    </row>
    <row r="25" spans="1:8" x14ac:dyDescent="0.25">
      <c r="A25" s="168" t="s">
        <v>647</v>
      </c>
      <c r="B25" s="177">
        <v>35663</v>
      </c>
      <c r="C25" s="179" t="s">
        <v>950</v>
      </c>
      <c r="D25" s="179" t="s">
        <v>951</v>
      </c>
      <c r="H25" s="166" t="str">
        <f t="shared" si="0"/>
        <v>Lukáš Chyna (35663)</v>
      </c>
    </row>
    <row r="26" spans="1:8" x14ac:dyDescent="0.25">
      <c r="A26" s="168" t="s">
        <v>389</v>
      </c>
      <c r="B26" s="177">
        <v>33976</v>
      </c>
      <c r="C26" s="179" t="s">
        <v>952</v>
      </c>
      <c r="D26" s="179" t="s">
        <v>953</v>
      </c>
      <c r="E26" s="179" t="s">
        <v>954</v>
      </c>
      <c r="F26" s="179" t="s">
        <v>955</v>
      </c>
      <c r="H26" s="166" t="str">
        <f t="shared" si="0"/>
        <v>Milan Tichý (33976)</v>
      </c>
    </row>
    <row r="27" spans="1:8" x14ac:dyDescent="0.25">
      <c r="A27" s="168" t="s">
        <v>642</v>
      </c>
      <c r="B27" s="177">
        <v>31959</v>
      </c>
      <c r="C27" s="179" t="s">
        <v>956</v>
      </c>
      <c r="D27" s="179" t="s">
        <v>957</v>
      </c>
      <c r="E27" s="179" t="s">
        <v>958</v>
      </c>
      <c r="F27" s="179" t="s">
        <v>959</v>
      </c>
      <c r="H27" s="166" t="str">
        <f t="shared" si="0"/>
        <v>Lukáš Mlejnek (31959)</v>
      </c>
    </row>
    <row r="28" spans="1:8" x14ac:dyDescent="0.25">
      <c r="A28" s="168" t="s">
        <v>656</v>
      </c>
      <c r="B28" s="177">
        <v>36660</v>
      </c>
      <c r="C28" s="179" t="s">
        <v>960</v>
      </c>
      <c r="D28" s="179" t="s">
        <v>961</v>
      </c>
      <c r="E28" s="179" t="s">
        <v>962</v>
      </c>
      <c r="H28" s="166" t="str">
        <f t="shared" si="0"/>
        <v>Jan Spilka (36660)</v>
      </c>
    </row>
    <row r="29" spans="1:8" x14ac:dyDescent="0.25">
      <c r="A29" s="168" t="s">
        <v>652</v>
      </c>
      <c r="B29" s="177">
        <v>33176</v>
      </c>
      <c r="C29" s="179" t="s">
        <v>963</v>
      </c>
      <c r="D29" s="179" t="s">
        <v>964</v>
      </c>
      <c r="E29" s="179" t="s">
        <v>965</v>
      </c>
      <c r="H29" s="166" t="str">
        <f t="shared" si="0"/>
        <v>Tomáš Kadlec (33176)</v>
      </c>
    </row>
    <row r="30" spans="1:8" x14ac:dyDescent="0.25">
      <c r="A30" s="168" t="s">
        <v>637</v>
      </c>
      <c r="B30" s="177">
        <v>30346</v>
      </c>
      <c r="C30" s="179" t="s">
        <v>966</v>
      </c>
      <c r="D30" s="179" t="s">
        <v>967</v>
      </c>
      <c r="E30" s="179" t="s">
        <v>307</v>
      </c>
      <c r="H30" s="166" t="str">
        <f t="shared" si="0"/>
        <v>Štěpán Slaný (30346)</v>
      </c>
    </row>
    <row r="31" spans="1:8" x14ac:dyDescent="0.25">
      <c r="A31" s="168" t="s">
        <v>635</v>
      </c>
      <c r="B31" s="177">
        <v>35199</v>
      </c>
      <c r="C31" s="179" t="s">
        <v>968</v>
      </c>
      <c r="D31" s="179" t="s">
        <v>969</v>
      </c>
      <c r="H31" s="166" t="str">
        <f t="shared" si="0"/>
        <v>Daniel Štěrba (35199)</v>
      </c>
    </row>
    <row r="32" spans="1:8" x14ac:dyDescent="0.25">
      <c r="A32" s="168" t="s">
        <v>970</v>
      </c>
      <c r="B32" s="177">
        <v>35852</v>
      </c>
      <c r="C32" s="179" t="s">
        <v>971</v>
      </c>
      <c r="D32" s="179" t="s">
        <v>972</v>
      </c>
      <c r="H32" s="166" t="str">
        <f t="shared" si="0"/>
        <v>Vojtěch Hrůza (35852)</v>
      </c>
    </row>
    <row r="33" spans="1:8" x14ac:dyDescent="0.25">
      <c r="A33" s="168" t="s">
        <v>653</v>
      </c>
      <c r="B33" s="177">
        <v>34046</v>
      </c>
      <c r="C33" s="179" t="s">
        <v>973</v>
      </c>
      <c r="D33" s="179" t="s">
        <v>974</v>
      </c>
      <c r="E33" s="179" t="s">
        <v>955</v>
      </c>
      <c r="H33" s="166" t="str">
        <f t="shared" si="0"/>
        <v>Tomáš Novák (34046)</v>
      </c>
    </row>
    <row r="34" spans="1:8" x14ac:dyDescent="0.25">
      <c r="A34" s="168" t="s">
        <v>641</v>
      </c>
      <c r="B34" s="177">
        <v>37722</v>
      </c>
      <c r="C34" s="179" t="s">
        <v>975</v>
      </c>
      <c r="D34" s="179" t="s">
        <v>976</v>
      </c>
      <c r="E34" s="179" t="s">
        <v>977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643</v>
      </c>
      <c r="B35" s="177">
        <v>37697</v>
      </c>
      <c r="C35" s="179" t="s">
        <v>978</v>
      </c>
      <c r="D35" s="179" t="s">
        <v>979</v>
      </c>
      <c r="H35" s="166" t="str">
        <f t="shared" si="1"/>
        <v>Oliver Brodský (37697)</v>
      </c>
    </row>
    <row r="36" spans="1:8" x14ac:dyDescent="0.25">
      <c r="A36" s="168" t="s">
        <v>639</v>
      </c>
      <c r="B36" s="177">
        <v>35758</v>
      </c>
      <c r="C36" s="179" t="s">
        <v>980</v>
      </c>
      <c r="D36" s="179" t="s">
        <v>981</v>
      </c>
      <c r="E36" s="179" t="s">
        <v>982</v>
      </c>
      <c r="H36" s="166" t="str">
        <f t="shared" si="1"/>
        <v>Jiří Vlček (35758)</v>
      </c>
    </row>
    <row r="37" spans="1:8" x14ac:dyDescent="0.25">
      <c r="A37" s="168" t="s">
        <v>634</v>
      </c>
      <c r="B37" s="177">
        <v>31655</v>
      </c>
      <c r="C37" s="179" t="s">
        <v>983</v>
      </c>
      <c r="D37" s="179" t="s">
        <v>984</v>
      </c>
      <c r="E37" s="179" t="s">
        <v>985</v>
      </c>
      <c r="F37" s="179" t="s">
        <v>986</v>
      </c>
      <c r="H37" s="166" t="str">
        <f t="shared" si="1"/>
        <v>Marek Dzierža (31655)</v>
      </c>
    </row>
    <row r="38" spans="1:8" x14ac:dyDescent="0.25">
      <c r="A38" s="168" t="s">
        <v>640</v>
      </c>
      <c r="B38" s="177">
        <v>37944</v>
      </c>
      <c r="C38" s="179" t="s">
        <v>987</v>
      </c>
      <c r="D38" s="179" t="s">
        <v>988</v>
      </c>
      <c r="E38" s="179" t="s">
        <v>989</v>
      </c>
      <c r="H38" s="166" t="str">
        <f t="shared" si="1"/>
        <v>Albert Kouba (37944)</v>
      </c>
    </row>
    <row r="39" spans="1:8" x14ac:dyDescent="0.25">
      <c r="A39" s="168" t="s">
        <v>636</v>
      </c>
      <c r="B39" s="177">
        <v>33030</v>
      </c>
      <c r="C39" s="179" t="s">
        <v>990</v>
      </c>
      <c r="D39" s="179" t="s">
        <v>991</v>
      </c>
      <c r="E39" s="179" t="s">
        <v>992</v>
      </c>
      <c r="H39" s="166" t="str">
        <f t="shared" si="1"/>
        <v>Jakub Karel (33030)</v>
      </c>
    </row>
    <row r="40" spans="1:8" x14ac:dyDescent="0.25">
      <c r="A40" s="168" t="s">
        <v>632</v>
      </c>
      <c r="B40" s="177">
        <v>37951</v>
      </c>
      <c r="C40" s="179" t="s">
        <v>993</v>
      </c>
      <c r="D40" s="179" t="s">
        <v>994</v>
      </c>
      <c r="E40" s="179" t="s">
        <v>995</v>
      </c>
      <c r="F40" s="179" t="s">
        <v>996</v>
      </c>
      <c r="H40" s="166" t="str">
        <f t="shared" si="1"/>
        <v>Ondřej Kopič (37951)</v>
      </c>
    </row>
    <row r="41" spans="1:8" x14ac:dyDescent="0.25">
      <c r="A41" s="168" t="s">
        <v>403</v>
      </c>
      <c r="B41" s="177">
        <v>34592</v>
      </c>
      <c r="C41" s="179" t="s">
        <v>997</v>
      </c>
      <c r="D41" s="179" t="s">
        <v>998</v>
      </c>
      <c r="E41" s="179" t="s">
        <v>999</v>
      </c>
      <c r="F41" s="179" t="s">
        <v>1000</v>
      </c>
      <c r="H41" s="166" t="str">
        <f t="shared" si="1"/>
        <v>Petr Novotný (34592)</v>
      </c>
    </row>
    <row r="42" spans="1:8" x14ac:dyDescent="0.25">
      <c r="A42" s="168" t="s">
        <v>644</v>
      </c>
      <c r="B42" s="177">
        <v>33522</v>
      </c>
      <c r="C42" s="179" t="s">
        <v>1001</v>
      </c>
      <c r="D42" s="179" t="s">
        <v>1002</v>
      </c>
      <c r="E42" s="179" t="s">
        <v>1003</v>
      </c>
      <c r="F42" s="179" t="s">
        <v>1004</v>
      </c>
      <c r="H42" s="166" t="str">
        <f t="shared" si="1"/>
        <v>Jakub Jirsa (33522)</v>
      </c>
    </row>
    <row r="43" spans="1:8" x14ac:dyDescent="0.25">
      <c r="A43" s="168" t="s">
        <v>631</v>
      </c>
      <c r="B43" s="177">
        <v>33970</v>
      </c>
      <c r="C43" s="179" t="s">
        <v>1005</v>
      </c>
      <c r="D43" s="179" t="s">
        <v>1006</v>
      </c>
      <c r="E43" s="179" t="s">
        <v>1007</v>
      </c>
      <c r="H43" s="166" t="str">
        <f t="shared" si="1"/>
        <v>Radek Krajcigr (33970)</v>
      </c>
    </row>
    <row r="44" spans="1:8" x14ac:dyDescent="0.25">
      <c r="A44" s="168" t="s">
        <v>633</v>
      </c>
      <c r="B44" s="177">
        <v>32150</v>
      </c>
      <c r="C44" s="179" t="s">
        <v>1008</v>
      </c>
      <c r="D44" s="179" t="s">
        <v>1009</v>
      </c>
      <c r="E44" s="179" t="s">
        <v>1010</v>
      </c>
      <c r="F44" s="179" t="s">
        <v>955</v>
      </c>
      <c r="H44" s="166" t="str">
        <f t="shared" si="1"/>
        <v>Jaromír Ekl (32150)</v>
      </c>
    </row>
    <row r="45" spans="1:8" x14ac:dyDescent="0.25">
      <c r="A45" s="168" t="s">
        <v>668</v>
      </c>
      <c r="B45" s="177">
        <v>31211</v>
      </c>
      <c r="C45" s="179" t="s">
        <v>1011</v>
      </c>
      <c r="D45" s="179" t="s">
        <v>1012</v>
      </c>
      <c r="E45" s="179" t="s">
        <v>1013</v>
      </c>
      <c r="H45" s="166" t="str">
        <f t="shared" si="1"/>
        <v>David Derka (31211)</v>
      </c>
    </row>
    <row r="46" spans="1:8" x14ac:dyDescent="0.25">
      <c r="A46" s="168" t="s">
        <v>540</v>
      </c>
      <c r="B46" s="177">
        <v>33195</v>
      </c>
      <c r="C46" s="179" t="s">
        <v>1068</v>
      </c>
      <c r="D46" s="179" t="s">
        <v>1069</v>
      </c>
      <c r="E46" s="179" t="s">
        <v>1070</v>
      </c>
      <c r="H46" s="166" t="str">
        <f t="shared" si="1"/>
        <v>Vojtěch Zezulka (33195)</v>
      </c>
    </row>
    <row r="47" spans="1:8" x14ac:dyDescent="0.25">
      <c r="A47" s="168" t="s">
        <v>545</v>
      </c>
      <c r="B47" s="177">
        <v>33767</v>
      </c>
      <c r="C47" s="179" t="s">
        <v>1071</v>
      </c>
      <c r="D47" s="179" t="s">
        <v>1072</v>
      </c>
      <c r="H47" s="166" t="str">
        <f t="shared" si="1"/>
        <v>Pavel Čihák (33767)</v>
      </c>
    </row>
    <row r="48" spans="1:8" x14ac:dyDescent="0.25">
      <c r="A48" s="168" t="s">
        <v>544</v>
      </c>
      <c r="B48" s="177">
        <v>34316</v>
      </c>
      <c r="C48" s="179" t="s">
        <v>1073</v>
      </c>
      <c r="H48" s="166" t="str">
        <f t="shared" si="1"/>
        <v>Marek Ďopan (34316)</v>
      </c>
    </row>
    <row r="49" spans="1:8" x14ac:dyDescent="0.25">
      <c r="A49" s="168" t="s">
        <v>547</v>
      </c>
      <c r="B49" s="177">
        <v>38057</v>
      </c>
      <c r="C49" s="179" t="s">
        <v>1074</v>
      </c>
      <c r="H49" s="166" t="str">
        <f t="shared" si="1"/>
        <v>Vojtěch Bílek (38057)</v>
      </c>
    </row>
    <row r="50" spans="1:8" x14ac:dyDescent="0.25">
      <c r="A50" s="168" t="s">
        <v>538</v>
      </c>
      <c r="B50" s="177">
        <v>37455</v>
      </c>
      <c r="C50" s="179" t="s">
        <v>1075</v>
      </c>
      <c r="D50" s="179" t="s">
        <v>1076</v>
      </c>
      <c r="E50" s="179" t="s">
        <v>1077</v>
      </c>
      <c r="H50" s="166" t="str">
        <f t="shared" si="1"/>
        <v>Matúš Gajdoš (37455)</v>
      </c>
    </row>
    <row r="51" spans="1:8" x14ac:dyDescent="0.25">
      <c r="A51" s="168" t="s">
        <v>549</v>
      </c>
      <c r="B51" s="177">
        <v>36370</v>
      </c>
      <c r="C51" s="179" t="s">
        <v>1078</v>
      </c>
      <c r="H51" s="166" t="str">
        <f t="shared" si="1"/>
        <v>Jan Dobisík (36370)</v>
      </c>
    </row>
    <row r="52" spans="1:8" x14ac:dyDescent="0.25">
      <c r="A52" s="168" t="s">
        <v>533</v>
      </c>
      <c r="B52" s="177">
        <v>36990</v>
      </c>
      <c r="C52" s="179" t="s">
        <v>1079</v>
      </c>
      <c r="D52" s="179" t="s">
        <v>1080</v>
      </c>
      <c r="H52" s="166" t="str">
        <f t="shared" si="1"/>
        <v>Jakub Buršík (36990)</v>
      </c>
    </row>
    <row r="53" spans="1:8" x14ac:dyDescent="0.25">
      <c r="A53" s="168" t="s">
        <v>537</v>
      </c>
      <c r="B53" s="177">
        <v>33400</v>
      </c>
      <c r="C53" s="179" t="s">
        <v>1081</v>
      </c>
      <c r="D53" s="179" t="s">
        <v>1082</v>
      </c>
      <c r="H53" s="166" t="str">
        <f t="shared" si="1"/>
        <v>Adam Růžek (33400)</v>
      </c>
    </row>
    <row r="54" spans="1:8" x14ac:dyDescent="0.25">
      <c r="A54" s="168" t="s">
        <v>532</v>
      </c>
      <c r="B54" s="177">
        <v>37353</v>
      </c>
      <c r="C54" s="179" t="s">
        <v>1083</v>
      </c>
      <c r="H54" s="166" t="str">
        <f t="shared" si="1"/>
        <v>Karel Petrák (37353)</v>
      </c>
    </row>
    <row r="55" spans="1:8" x14ac:dyDescent="0.25">
      <c r="A55" s="168" t="s">
        <v>565</v>
      </c>
      <c r="B55" s="177">
        <v>29350</v>
      </c>
      <c r="C55" s="179" t="s">
        <v>1084</v>
      </c>
      <c r="D55" s="179" t="s">
        <v>1085</v>
      </c>
      <c r="H55" s="166" t="str">
        <f t="shared" si="1"/>
        <v>Michal Jedlička (29350)</v>
      </c>
    </row>
    <row r="56" spans="1:8" x14ac:dyDescent="0.25">
      <c r="A56" s="168" t="s">
        <v>379</v>
      </c>
      <c r="B56" s="177">
        <v>33335</v>
      </c>
      <c r="C56" s="179" t="s">
        <v>1235</v>
      </c>
      <c r="D56" s="179" t="s">
        <v>1236</v>
      </c>
      <c r="E56" s="179" t="s">
        <v>1237</v>
      </c>
      <c r="F56" s="179" t="s">
        <v>1238</v>
      </c>
      <c r="H56" s="166" t="str">
        <f t="shared" si="1"/>
        <v>Lukáš Bauer (33335)</v>
      </c>
    </row>
    <row r="57" spans="1:8" x14ac:dyDescent="0.25">
      <c r="A57" s="168" t="s">
        <v>376</v>
      </c>
      <c r="B57" s="177">
        <v>33193</v>
      </c>
      <c r="C57" s="179" t="s">
        <v>1239</v>
      </c>
      <c r="D57" s="179" t="s">
        <v>1240</v>
      </c>
      <c r="E57" s="179" t="s">
        <v>1241</v>
      </c>
      <c r="F57" s="179" t="s">
        <v>1242</v>
      </c>
      <c r="G57" s="179" t="s">
        <v>1243</v>
      </c>
      <c r="H57" s="166" t="str">
        <f t="shared" si="1"/>
        <v>Patrik Suchánek (33193)</v>
      </c>
    </row>
    <row r="58" spans="1:8" x14ac:dyDescent="0.25">
      <c r="A58" s="168" t="s">
        <v>370</v>
      </c>
      <c r="B58" s="177">
        <v>34602</v>
      </c>
      <c r="C58" s="179" t="s">
        <v>1244</v>
      </c>
      <c r="D58" s="179" t="s">
        <v>1245</v>
      </c>
      <c r="E58" s="179" t="s">
        <v>1246</v>
      </c>
      <c r="F58" s="179" t="s">
        <v>1247</v>
      </c>
      <c r="G58" s="179" t="s">
        <v>1248</v>
      </c>
      <c r="H58" s="166" t="str">
        <f t="shared" si="1"/>
        <v>Jakub Gruber (34602)</v>
      </c>
    </row>
    <row r="59" spans="1:8" x14ac:dyDescent="0.25">
      <c r="A59" s="168" t="s">
        <v>377</v>
      </c>
      <c r="B59" s="177">
        <v>36648</v>
      </c>
      <c r="C59" s="179" t="s">
        <v>972</v>
      </c>
      <c r="D59" s="179" t="s">
        <v>1249</v>
      </c>
      <c r="E59" s="179" t="s">
        <v>1250</v>
      </c>
      <c r="H59" s="166" t="str">
        <f t="shared" si="1"/>
        <v>Petr Koláčný (36648)</v>
      </c>
    </row>
    <row r="60" spans="1:8" x14ac:dyDescent="0.25">
      <c r="A60" s="168" t="s">
        <v>380</v>
      </c>
      <c r="B60" s="177">
        <v>37578</v>
      </c>
      <c r="C60" s="179" t="s">
        <v>972</v>
      </c>
      <c r="D60" s="179" t="s">
        <v>1251</v>
      </c>
      <c r="E60" s="179" t="s">
        <v>1252</v>
      </c>
      <c r="F60" s="179" t="s">
        <v>1253</v>
      </c>
      <c r="H60" s="166" t="str">
        <f t="shared" si="1"/>
        <v>Lukáš Punčochář (37578)</v>
      </c>
    </row>
    <row r="61" spans="1:8" x14ac:dyDescent="0.25">
      <c r="A61" s="168" t="s">
        <v>386</v>
      </c>
      <c r="B61" s="177">
        <v>37407</v>
      </c>
      <c r="C61" s="179" t="s">
        <v>1254</v>
      </c>
      <c r="D61" s="179" t="s">
        <v>1255</v>
      </c>
      <c r="E61" s="179" t="s">
        <v>1252</v>
      </c>
      <c r="F61" s="179" t="s">
        <v>1256</v>
      </c>
      <c r="H61" s="166" t="str">
        <f t="shared" si="1"/>
        <v>Adam Hemerka (37407)</v>
      </c>
    </row>
    <row r="62" spans="1:8" x14ac:dyDescent="0.25">
      <c r="A62" s="168" t="s">
        <v>383</v>
      </c>
      <c r="B62" s="177">
        <v>37122</v>
      </c>
      <c r="C62" s="179" t="s">
        <v>972</v>
      </c>
      <c r="H62" s="166" t="str">
        <f t="shared" si="1"/>
        <v>Miroslav Fořt (37122)</v>
      </c>
    </row>
    <row r="63" spans="1:8" x14ac:dyDescent="0.25">
      <c r="A63" s="168" t="s">
        <v>378</v>
      </c>
      <c r="B63" s="177">
        <v>32590</v>
      </c>
      <c r="C63" s="179" t="s">
        <v>1243</v>
      </c>
      <c r="D63" s="179" t="s">
        <v>1257</v>
      </c>
      <c r="E63" s="179" t="s">
        <v>1240</v>
      </c>
      <c r="F63" s="179" t="s">
        <v>1258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375</v>
      </c>
      <c r="B64" s="177">
        <v>32329</v>
      </c>
      <c r="C64" s="179" t="s">
        <v>1259</v>
      </c>
      <c r="D64" s="179" t="s">
        <v>1257</v>
      </c>
      <c r="E64" s="179" t="s">
        <v>1260</v>
      </c>
      <c r="F64" s="179" t="s">
        <v>1261</v>
      </c>
      <c r="G64" s="179" t="s">
        <v>1262</v>
      </c>
      <c r="H64" s="166" t="str">
        <f t="shared" si="1"/>
        <v>Milan Tomašík (32329)</v>
      </c>
    </row>
    <row r="65" spans="1:8" x14ac:dyDescent="0.25">
      <c r="A65" s="168" t="s">
        <v>372</v>
      </c>
      <c r="B65" s="177">
        <v>34634</v>
      </c>
      <c r="C65" s="179" t="s">
        <v>1263</v>
      </c>
      <c r="D65" s="179" t="s">
        <v>1264</v>
      </c>
      <c r="E65" s="179" t="s">
        <v>1265</v>
      </c>
      <c r="F65" s="179" t="s">
        <v>1266</v>
      </c>
      <c r="H65" s="166" t="str">
        <f t="shared" si="1"/>
        <v>Tadeáš Chroust (34634)</v>
      </c>
    </row>
    <row r="66" spans="1:8" x14ac:dyDescent="0.25">
      <c r="A66" s="168" t="s">
        <v>374</v>
      </c>
      <c r="B66" s="177">
        <v>35871</v>
      </c>
      <c r="C66" s="179" t="s">
        <v>1263</v>
      </c>
      <c r="D66" s="179" t="s">
        <v>1267</v>
      </c>
      <c r="E66" s="179" t="s">
        <v>1268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368</v>
      </c>
      <c r="B67" s="177">
        <v>33157</v>
      </c>
      <c r="C67" s="179" t="s">
        <v>1269</v>
      </c>
      <c r="D67" s="179" t="s">
        <v>1270</v>
      </c>
      <c r="E67" s="179" t="s">
        <v>1271</v>
      </c>
      <c r="F67" s="179" t="s">
        <v>1239</v>
      </c>
      <c r="G67" s="179" t="s">
        <v>1272</v>
      </c>
      <c r="H67" s="166" t="str">
        <f t="shared" si="2"/>
        <v>Martin Tokoš (33157)</v>
      </c>
    </row>
    <row r="68" spans="1:8" x14ac:dyDescent="0.25">
      <c r="A68" s="168" t="s">
        <v>371</v>
      </c>
      <c r="B68" s="177">
        <v>37103</v>
      </c>
      <c r="C68" s="179" t="s">
        <v>972</v>
      </c>
      <c r="D68" s="179" t="s">
        <v>1273</v>
      </c>
      <c r="E68" s="179" t="s">
        <v>1250</v>
      </c>
      <c r="F68" s="179" t="s">
        <v>1274</v>
      </c>
      <c r="H68" s="166" t="str">
        <f t="shared" si="2"/>
        <v>Dominik Beneš (37103)</v>
      </c>
    </row>
    <row r="69" spans="1:8" x14ac:dyDescent="0.25">
      <c r="A69" s="168" t="s">
        <v>366</v>
      </c>
      <c r="B69" s="177">
        <v>32786</v>
      </c>
      <c r="C69" s="179" t="s">
        <v>1263</v>
      </c>
      <c r="D69" s="179" t="s">
        <v>1275</v>
      </c>
      <c r="E69" s="179" t="s">
        <v>1260</v>
      </c>
      <c r="F69" s="179" t="s">
        <v>1261</v>
      </c>
      <c r="G69" s="179" t="s">
        <v>1276</v>
      </c>
      <c r="H69" s="166" t="str">
        <f t="shared" si="2"/>
        <v>Jiří Curney (32786)</v>
      </c>
    </row>
    <row r="70" spans="1:8" x14ac:dyDescent="0.25">
      <c r="A70" s="168" t="s">
        <v>367</v>
      </c>
      <c r="B70" s="177">
        <v>37358</v>
      </c>
      <c r="C70" s="179" t="s">
        <v>972</v>
      </c>
      <c r="D70" s="179" t="s">
        <v>1277</v>
      </c>
      <c r="E70" s="179" t="s">
        <v>1252</v>
      </c>
      <c r="H70" s="166" t="str">
        <f t="shared" si="2"/>
        <v>Matěj Pěnička (37358)</v>
      </c>
    </row>
    <row r="71" spans="1:8" x14ac:dyDescent="0.25">
      <c r="A71" s="168" t="s">
        <v>369</v>
      </c>
      <c r="B71" s="177">
        <v>33919</v>
      </c>
      <c r="C71" s="179" t="s">
        <v>1278</v>
      </c>
      <c r="D71" s="179" t="s">
        <v>1279</v>
      </c>
      <c r="E71" s="179" t="s">
        <v>1280</v>
      </c>
      <c r="H71" s="166" t="str">
        <f t="shared" si="2"/>
        <v>Jan Natov (33919)</v>
      </c>
    </row>
    <row r="72" spans="1:8" x14ac:dyDescent="0.25">
      <c r="A72" s="168" t="s">
        <v>403</v>
      </c>
      <c r="B72" s="177">
        <v>30091</v>
      </c>
      <c r="C72" s="179" t="s">
        <v>1281</v>
      </c>
      <c r="D72" s="179" t="s">
        <v>1282</v>
      </c>
      <c r="E72" s="179" t="s">
        <v>1283</v>
      </c>
      <c r="F72" s="179" t="s">
        <v>1284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64" priority="2">
      <formula>LEN(TRIM(C2))&gt;0</formula>
    </cfRule>
  </conditionalFormatting>
  <conditionalFormatting sqref="A2:G1048576">
    <cfRule type="expression" dxfId="763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5" t="s">
        <v>791</v>
      </c>
      <c r="C1" s="415"/>
      <c r="D1" s="415"/>
      <c r="E1" s="415"/>
      <c r="F1" s="415"/>
    </row>
    <row r="2" spans="1:6" ht="14.25" customHeight="1" x14ac:dyDescent="0.25">
      <c r="A2" s="417" t="s">
        <v>77</v>
      </c>
      <c r="B2" s="178" t="s">
        <v>1286</v>
      </c>
      <c r="C2" s="178" t="s">
        <v>1287</v>
      </c>
      <c r="D2" s="178" t="s">
        <v>940</v>
      </c>
      <c r="E2" s="178" t="s">
        <v>941</v>
      </c>
      <c r="F2" s="178" t="s">
        <v>1019</v>
      </c>
    </row>
    <row r="3" spans="1:6" ht="14.25" x14ac:dyDescent="0.25">
      <c r="A3" s="417"/>
      <c r="B3" s="178"/>
      <c r="C3" s="178"/>
      <c r="D3" s="178"/>
      <c r="E3" s="178"/>
      <c r="F3" s="178"/>
    </row>
    <row r="4" spans="1:6" ht="14.25" x14ac:dyDescent="0.25">
      <c r="A4" s="417"/>
      <c r="B4" s="178"/>
      <c r="C4" s="178"/>
      <c r="D4" s="178"/>
      <c r="E4" s="178"/>
      <c r="F4" s="178"/>
    </row>
    <row r="5" spans="1:6" ht="14.25" x14ac:dyDescent="0.25">
      <c r="A5" s="416" t="s">
        <v>76</v>
      </c>
    </row>
    <row r="6" spans="1:6" ht="14.25" x14ac:dyDescent="0.25">
      <c r="A6" s="416"/>
    </row>
    <row r="7" spans="1:6" ht="14.25" x14ac:dyDescent="0.25">
      <c r="A7" s="416"/>
    </row>
    <row r="8" spans="1:6" ht="14.25" x14ac:dyDescent="0.25">
      <c r="A8" s="416" t="s">
        <v>73</v>
      </c>
      <c r="B8" s="181" t="s">
        <v>1014</v>
      </c>
      <c r="C8" s="181" t="s">
        <v>1015</v>
      </c>
      <c r="D8" s="181" t="s">
        <v>1016</v>
      </c>
      <c r="E8" s="181" t="s">
        <v>1017</v>
      </c>
      <c r="F8" s="181" t="s">
        <v>1018</v>
      </c>
    </row>
    <row r="9" spans="1:6" ht="14.25" x14ac:dyDescent="0.25">
      <c r="A9" s="416"/>
    </row>
    <row r="10" spans="1:6" ht="14.25" x14ac:dyDescent="0.25">
      <c r="A10" s="416"/>
    </row>
    <row r="11" spans="1:6" ht="16.5" customHeight="1" x14ac:dyDescent="0.25">
      <c r="A11" s="416" t="s">
        <v>68</v>
      </c>
      <c r="B11" s="181" t="s">
        <v>1086</v>
      </c>
      <c r="C11" s="181" t="s">
        <v>1087</v>
      </c>
      <c r="D11" s="181" t="s">
        <v>1088</v>
      </c>
      <c r="E11" s="181" t="s">
        <v>1089</v>
      </c>
    </row>
    <row r="12" spans="1:6" ht="16.5" customHeight="1" x14ac:dyDescent="0.25">
      <c r="A12" s="416"/>
      <c r="B12" s="181" t="s">
        <v>1090</v>
      </c>
      <c r="C12" s="181" t="s">
        <v>1091</v>
      </c>
      <c r="D12" s="181" t="s">
        <v>1092</v>
      </c>
      <c r="E12" s="181" t="s">
        <v>1093</v>
      </c>
    </row>
    <row r="13" spans="1:6" ht="16.5" customHeight="1" x14ac:dyDescent="0.25">
      <c r="A13" s="416"/>
      <c r="B13" s="181" t="s">
        <v>1094</v>
      </c>
      <c r="C13" s="181" t="s">
        <v>1095</v>
      </c>
      <c r="D13" s="181" t="s">
        <v>1096</v>
      </c>
    </row>
    <row r="14" spans="1:6" ht="16.5" customHeight="1" x14ac:dyDescent="0.25">
      <c r="A14" s="416" t="s">
        <v>65</v>
      </c>
      <c r="B14" s="181" t="s">
        <v>1285</v>
      </c>
    </row>
    <row r="15" spans="1:6" ht="16.5" customHeight="1" x14ac:dyDescent="0.25">
      <c r="A15" s="416"/>
    </row>
    <row r="16" spans="1:6" ht="16.5" customHeight="1" x14ac:dyDescent="0.25">
      <c r="A16" s="416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62" priority="33">
      <formula>AND($B2&lt;&gt;"",MOD(ROW($B2),2)=1)</formula>
    </cfRule>
  </conditionalFormatting>
  <conditionalFormatting sqref="A5:F10 A14:F14 B11:F13 A17:F1048576 B15:F16">
    <cfRule type="expression" dxfId="761" priority="32">
      <formula>AND($A5&lt;&gt;"",MOD(ROW($A5),3)=2)</formula>
    </cfRule>
  </conditionalFormatting>
  <conditionalFormatting sqref="A1:A10 A14 A17:A1048576">
    <cfRule type="cellIs" dxfId="760" priority="18" stopIfTrue="1" operator="equal">
      <formula>"OTR"</formula>
    </cfRule>
    <cfRule type="cellIs" dxfId="759" priority="19" stopIfTrue="1" operator="equal">
      <formula>"PAR"</formula>
    </cfRule>
    <cfRule type="cellIs" dxfId="758" priority="20" stopIfTrue="1" operator="equal">
      <formula>"FBC 4CLEAN Česká Lípa"</formula>
    </cfRule>
    <cfRule type="cellIs" dxfId="757" priority="21" stopIfTrue="1" operator="equal">
      <formula>"HAT"</formula>
    </cfRule>
    <cfRule type="cellIs" dxfId="756" priority="22" stopIfTrue="1" operator="equal">
      <formula>"FBC Liberec"</formula>
    </cfRule>
    <cfRule type="cellIs" dxfId="755" priority="23" stopIfTrue="1" operator="equal">
      <formula>"BA"</formula>
    </cfRule>
    <cfRule type="cellIs" dxfId="754" priority="24" stopIfTrue="1" operator="equal">
      <formula>"SPA"</formula>
    </cfRule>
    <cfRule type="cellIs" dxfId="753" priority="25" stopIfTrue="1" operator="equal">
      <formula>"OST"</formula>
    </cfRule>
    <cfRule type="cellIs" dxfId="752" priority="26" stopIfTrue="1" operator="equal">
      <formula>"BOH"</formula>
    </cfRule>
    <cfRule type="cellIs" dxfId="751" priority="27" stopIfTrue="1" operator="equal">
      <formula>"TAT"</formula>
    </cfRule>
    <cfRule type="cellIs" dxfId="750" priority="28" stopIfTrue="1" operator="equal">
      <formula>"Předvýběr.CZ Florbal MB"</formula>
    </cfRule>
    <cfRule type="cellIs" dxfId="749" priority="29" stopIfTrue="1" operator="equal">
      <formula>"VIT"</formula>
    </cfRule>
    <cfRule type="cellIs" dxfId="748" priority="30" stopIfTrue="1" operator="equal">
      <formula>"CHO"</formula>
    </cfRule>
    <cfRule type="cellIs" dxfId="747" priority="31" stopIfTrue="1" operator="equal">
      <formula>"TJ Sokol Královské Vinohrady"</formula>
    </cfRule>
  </conditionalFormatting>
  <conditionalFormatting sqref="C2:F1048576">
    <cfRule type="notContainsBlanks" dxfId="746" priority="34">
      <formula>LEN(TRIM(C2))&gt;0</formula>
    </cfRule>
  </conditionalFormatting>
  <conditionalFormatting sqref="A2:A10 A14 A17:A1048567">
    <cfRule type="notContainsBlanks" dxfId="745" priority="17">
      <formula>LEN(TRIM(A2))&gt;0</formula>
    </cfRule>
  </conditionalFormatting>
  <conditionalFormatting sqref="A11:A13">
    <cfRule type="expression" dxfId="744" priority="16">
      <formula>AND($A11&lt;&gt;"",MOD(ROW($A11),3)=2)</formula>
    </cfRule>
  </conditionalFormatting>
  <conditionalFormatting sqref="A11:A13">
    <cfRule type="cellIs" dxfId="743" priority="2" stopIfTrue="1" operator="equal">
      <formula>"OTR"</formula>
    </cfRule>
    <cfRule type="cellIs" dxfId="742" priority="3" stopIfTrue="1" operator="equal">
      <formula>"PAR"</formula>
    </cfRule>
    <cfRule type="cellIs" dxfId="741" priority="4" stopIfTrue="1" operator="equal">
      <formula>"FBC 4CLEAN Česká Lípa"</formula>
    </cfRule>
    <cfRule type="cellIs" dxfId="740" priority="5" stopIfTrue="1" operator="equal">
      <formula>"HAT"</formula>
    </cfRule>
    <cfRule type="cellIs" dxfId="739" priority="6" stopIfTrue="1" operator="equal">
      <formula>"FBC Liberec"</formula>
    </cfRule>
    <cfRule type="cellIs" dxfId="738" priority="7" stopIfTrue="1" operator="equal">
      <formula>"BA"</formula>
    </cfRule>
    <cfRule type="cellIs" dxfId="737" priority="8" stopIfTrue="1" operator="equal">
      <formula>"SPA"</formula>
    </cfRule>
    <cfRule type="cellIs" dxfId="736" priority="9" stopIfTrue="1" operator="equal">
      <formula>"OST"</formula>
    </cfRule>
    <cfRule type="cellIs" dxfId="735" priority="10" stopIfTrue="1" operator="equal">
      <formula>"FbŠ Bohemians"</formula>
    </cfRule>
    <cfRule type="cellIs" dxfId="734" priority="11" stopIfTrue="1" operator="equal">
      <formula>"TAT"</formula>
    </cfRule>
    <cfRule type="cellIs" dxfId="733" priority="12" stopIfTrue="1" operator="equal">
      <formula>"MB"</formula>
    </cfRule>
    <cfRule type="cellIs" dxfId="732" priority="13" stopIfTrue="1" operator="equal">
      <formula>"VIT"</formula>
    </cfRule>
    <cfRule type="cellIs" dxfId="731" priority="14" stopIfTrue="1" operator="equal">
      <formula>"CHO"</formula>
    </cfRule>
    <cfRule type="cellIs" dxfId="730" priority="15" stopIfTrue="1" operator="equal">
      <formula>"TJ Sokol Královské Vinohrady"</formula>
    </cfRule>
  </conditionalFormatting>
  <conditionalFormatting sqref="A11:A13">
    <cfRule type="notContainsBlanks" dxfId="729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6</v>
      </c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65" t="s">
        <v>1</v>
      </c>
      <c r="I1" s="465"/>
      <c r="J1" s="465"/>
      <c r="K1" s="465"/>
      <c r="M1" s="431" t="s">
        <v>113</v>
      </c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1995</v>
      </c>
      <c r="C2" s="425"/>
      <c r="D2" s="5">
        <f ca="1">IFERROR(VLOOKUP(A1,OFFSET($AG$2,,,COUNTIF($AG$2:$AG$50,"?*"),23),15,FALSE),"")</f>
        <v>26</v>
      </c>
      <c r="E2" s="426" t="str">
        <f ca="1">IFERROR(VLOOKUP(A1,OFFSET($AG$2,,,COUNTIF($AG$2:$AG$50,"?*"),23),16,FALSE),"")</f>
        <v>183/76</v>
      </c>
      <c r="F2" s="427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2000</v>
      </c>
      <c r="O2" s="425"/>
      <c r="P2" s="6">
        <f ca="1">IFERROR(VLOOKUP(M1,OFFSET($AG$2,,,COUNTIF($AG$2:$AG$50,"?*"),23),15,FALSE),"")</f>
        <v>21</v>
      </c>
      <c r="Q2" s="426" t="str">
        <f ca="1">IFERROR(VLOOKUP(M1,OFFSET($AG$2,,,COUNTIF($AG$2:$AG$50,"?*"),23),16,FALSE),"")</f>
        <v>186/80</v>
      </c>
      <c r="R2" s="427"/>
      <c r="S2" s="110" t="s">
        <v>104</v>
      </c>
      <c r="T2" s="102" t="s">
        <v>107</v>
      </c>
      <c r="U2" s="102">
        <v>12</v>
      </c>
      <c r="V2" s="102">
        <v>13</v>
      </c>
      <c r="W2" s="102">
        <v>4</v>
      </c>
      <c r="X2" s="102">
        <v>0</v>
      </c>
      <c r="Y2" s="102">
        <v>11</v>
      </c>
      <c r="Z2" s="102">
        <v>24</v>
      </c>
      <c r="AA2" s="102">
        <v>2</v>
      </c>
      <c r="AB2" s="102">
        <v>-12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19" t="s">
        <v>36</v>
      </c>
      <c r="BT2" s="104" t="s">
        <v>182</v>
      </c>
      <c r="BU2" s="103">
        <v>24</v>
      </c>
      <c r="BV2" s="104" t="str">
        <f>IFERROR(RIGHT(BT2,LEN(BT2)-SEARCH(" ",BT2)),"")</f>
        <v>Viktor Kopecký</v>
      </c>
      <c r="BW2" s="102">
        <f>IF(BT2&lt;&gt;0,_xlfn.NUMBERVALUE(BU2,","),"")</f>
        <v>24</v>
      </c>
      <c r="BX2" s="418" t="s">
        <v>192</v>
      </c>
      <c r="BY2" s="103" t="s">
        <v>1021</v>
      </c>
      <c r="BZ2" s="103" t="s">
        <v>849</v>
      </c>
      <c r="CA2" s="115" t="s">
        <v>1342</v>
      </c>
    </row>
    <row r="3" spans="1:79" ht="15" customHeight="1" thickTop="1" thickBot="1" x14ac:dyDescent="0.25">
      <c r="A3" s="460" t="str">
        <f ca="1">IFERROR(VLOOKUP(A1,OFFSET($AG$2,,,COUNTIF($AG$2:$AG$50,"?*"),23),18,FALSE),"")</f>
        <v>13 OZ, 15 (6+9), -16 ±</v>
      </c>
      <c r="B3" s="461"/>
      <c r="C3" s="461"/>
      <c r="D3" s="462" t="str">
        <f ca="1">IFERROR(VLOOKUP(A1,OFFSET($AG$2,,,COUNTIF($AG$2:$AG$50,"?*"),23),19,FALSE),"")</f>
        <v>116 OZ, 55 (32+23)</v>
      </c>
      <c r="E3" s="462"/>
      <c r="F3" s="463"/>
      <c r="G3" s="431" t="s">
        <v>9</v>
      </c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60" t="str">
        <f ca="1">IFERROR(VLOOKUP(M1,OFFSET($AG$2,,,COUNTIF($AG$2:$AG$50,"?*"),23),18,FALSE),"")</f>
        <v>13 OZ, 5 (5+0), -14 ±</v>
      </c>
      <c r="N3" s="461"/>
      <c r="O3" s="461"/>
      <c r="P3" s="462" t="str">
        <f ca="1">IFERROR(VLOOKUP(M1,OFFSET($AG$2,,,COUNTIF($AG$2:$AG$50,"?*"),23),19,FALSE),"")</f>
        <v>34 OZ, 18 (9+9)</v>
      </c>
      <c r="Q3" s="462"/>
      <c r="R3" s="463"/>
      <c r="S3" s="110" t="s">
        <v>6</v>
      </c>
      <c r="T3" s="102" t="s">
        <v>58</v>
      </c>
      <c r="U3" s="102">
        <v>13</v>
      </c>
      <c r="V3" s="102">
        <v>6</v>
      </c>
      <c r="W3" s="102">
        <v>4</v>
      </c>
      <c r="X3" s="102">
        <v>0</v>
      </c>
      <c r="Y3" s="102">
        <v>9</v>
      </c>
      <c r="Z3" s="102">
        <v>15</v>
      </c>
      <c r="AA3" s="102">
        <v>6</v>
      </c>
      <c r="AB3" s="102">
        <v>-16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19"/>
      <c r="BT3" s="104" t="s">
        <v>1102</v>
      </c>
      <c r="BU3" s="103">
        <v>15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15</v>
      </c>
      <c r="BX3" s="418"/>
      <c r="BY3" s="103" t="s">
        <v>1343</v>
      </c>
      <c r="BZ3" s="103" t="s">
        <v>850</v>
      </c>
      <c r="CA3" s="115" t="s">
        <v>1149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>Chodov</v>
      </c>
      <c r="B4" s="449"/>
      <c r="C4" s="450"/>
      <c r="D4" s="451">
        <f ca="1">IFERROR(IF(VLOOKUP(A1,OFFSET($AG$2,,,COUNTIF($AG$2:$AG$50,"?*"),23),14,FALSE)&lt;&gt;0,VLOOKUP(A1,OFFSET($AG$2,,,COUNTIF($AG$2:$AG$50,"?*"),23),14,FALSE),"?"),"")</f>
        <v>2006</v>
      </c>
      <c r="E4" s="452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1993</v>
      </c>
      <c r="I4" s="425"/>
      <c r="J4" s="5">
        <f ca="1">IFERROR(VLOOKUP(G3,OFFSET($AG$2,,,COUNTIF($AG$2:$AG$50,"?*"),23),15,FALSE),"")</f>
        <v>28</v>
      </c>
      <c r="K4" s="426" t="str">
        <f ca="1">IFERROR(VLOOKUP(G3,OFFSET($AG$2,,,COUNTIF($AG$2:$AG$50,"?*"),23),16,FALSE),"")</f>
        <v>173/68</v>
      </c>
      <c r="L4" s="427"/>
      <c r="M4" s="448" t="str">
        <f ca="1">IFERROR(IF(VLOOKUP(M1,OFFSET($AG$2,,,COUNTIF($AG$2:$AG$50,"?*"),23),13,FALSE)&lt;&gt;0,VLOOKUP(M1,OFFSET($AG$2,,,COUNTIF($AG$2:$AG$50,"?*"),23),13,FALSE),"?"),"")</f>
        <v>Slovan J. Hradec</v>
      </c>
      <c r="N4" s="449"/>
      <c r="O4" s="450"/>
      <c r="P4" s="451">
        <f ca="1">IFERROR(IF(VLOOKUP(M1,OFFSET($AG$2,,,COUNTIF($AG$2:$AG$50,"?*"),23),14,FALSE)&lt;&gt;0,VLOOKUP(M1,OFFSET($AG$2,,,COUNTIF($AG$2:$AG$50,"?*"),23),14,FALSE),"?"),"")</f>
        <v>2014</v>
      </c>
      <c r="Q4" s="452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13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-17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13 OZ, 3 (1+2), -17 ±</v>
      </c>
      <c r="AY4" s="129" t="str">
        <f t="shared" ca="1" si="2"/>
        <v>37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19"/>
      <c r="BT4" s="104" t="s">
        <v>1103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18"/>
      <c r="BY4" s="103" t="s">
        <v>841</v>
      </c>
      <c r="BZ4" s="103" t="s">
        <v>839</v>
      </c>
      <c r="CA4" s="115" t="s">
        <v>1097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>10 OZ, 6 (3+3), -13 ±</v>
      </c>
      <c r="H5" s="461"/>
      <c r="I5" s="461"/>
      <c r="J5" s="462" t="str">
        <f ca="1">IFERROR(VLOOKUP(G3,OFFSET($AG$2,,,COUNTIF($AG$2:$AG$50,"?*"),23),19,FALSE),"")</f>
        <v>107 OZ, 92 (29+63)</v>
      </c>
      <c r="K5" s="462"/>
      <c r="L5" s="463"/>
      <c r="R5" s="13"/>
      <c r="S5" s="110" t="s">
        <v>108</v>
      </c>
      <c r="T5" s="102" t="s">
        <v>107</v>
      </c>
      <c r="U5" s="102">
        <v>12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-15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13 OZ, 15 (6+9), -16 ±</v>
      </c>
      <c r="AY5" s="129" t="str">
        <f t="shared" ca="1" si="2"/>
        <v>116 OZ, 55 (32+23)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19"/>
      <c r="BT5" s="104" t="s">
        <v>1025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18"/>
      <c r="BY5" s="103" t="s">
        <v>822</v>
      </c>
      <c r="BZ5" s="103" t="s">
        <v>823</v>
      </c>
      <c r="CA5" s="115" t="s">
        <v>1050</v>
      </c>
    </row>
    <row r="6" spans="1:79" ht="15" customHeight="1" thickTop="1" thickBot="1" x14ac:dyDescent="0.25">
      <c r="A6" s="431" t="s">
        <v>10</v>
      </c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48" t="str">
        <f ca="1">IFERROR(IF(VLOOKUP(G3,OFFSET($AG$2,,,COUNTIF($AG$2:$AG$50,"?*"),23),13,FALSE)&lt;&gt;0,VLOOKUP(G3,OFFSET($AG$2,,,COUNTIF($AG$2:$AG$50,"?*"),23),13,FALSE),"?"),"")</f>
        <v>Future</v>
      </c>
      <c r="H6" s="449"/>
      <c r="I6" s="450"/>
      <c r="J6" s="451">
        <f ca="1">IFERROR(IF(VLOOKUP(G3,OFFSET($AG$2,,,COUNTIF($AG$2:$AG$50,"?*"),23),14,FALSE)&lt;&gt;0,VLOOKUP(G3,OFFSET($AG$2,,,COUNTIF($AG$2:$AG$50,"?*"),23),14,FALSE),"?"),"")</f>
        <v>2003</v>
      </c>
      <c r="K6" s="452"/>
      <c r="L6" s="7">
        <f ca="1">IFERROR(IF(VLOOKUP(G3,OFFSET($AG$2,,,COUNTIF($AG$2:$AG$50,"?*"),23),7,FALSE)&lt;&gt;0,VLOOKUP(G3,OFFSET($AG$2,,,COUNTIF($AG$2:$AG$50,"?*"),23),7,FALSE),"?"),"")</f>
        <v>6</v>
      </c>
      <c r="M6" s="431" t="s">
        <v>4</v>
      </c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10</v>
      </c>
      <c r="T6" s="102" t="s">
        <v>58</v>
      </c>
      <c r="U6" s="102">
        <v>12</v>
      </c>
      <c r="V6" s="102">
        <v>3</v>
      </c>
      <c r="W6" s="102">
        <v>0</v>
      </c>
      <c r="X6" s="102">
        <v>0</v>
      </c>
      <c r="Y6" s="102">
        <v>5</v>
      </c>
      <c r="Z6" s="102">
        <v>8</v>
      </c>
      <c r="AA6" s="102">
        <v>14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11 OZ, 0 (0+0), -13 ±</v>
      </c>
      <c r="AY6" s="129" t="str">
        <f t="shared" ca="1" si="2"/>
        <v>69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750</v>
      </c>
      <c r="BO6" s="122">
        <v>32155</v>
      </c>
      <c r="BP6" s="131" t="s">
        <v>410</v>
      </c>
      <c r="BQ6" s="132" t="s">
        <v>181</v>
      </c>
      <c r="BR6" s="127">
        <f t="shared" ca="1" si="13"/>
        <v>33</v>
      </c>
      <c r="BS6" s="419"/>
      <c r="BT6" s="104" t="s">
        <v>1346</v>
      </c>
      <c r="BU6" s="103">
        <v>8</v>
      </c>
      <c r="BV6" s="104" t="str">
        <f t="shared" si="14"/>
        <v>Ondřej Stuchlík</v>
      </c>
      <c r="BW6" s="102">
        <f t="shared" si="15"/>
        <v>8</v>
      </c>
      <c r="BX6" s="418"/>
      <c r="BY6" s="103" t="s">
        <v>820</v>
      </c>
      <c r="BZ6" s="103" t="s">
        <v>821</v>
      </c>
      <c r="CA6" s="115" t="s">
        <v>834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1993</v>
      </c>
      <c r="C7" s="425"/>
      <c r="D7" s="5">
        <f ca="1">IFERROR(VLOOKUP(A6,OFFSET($AG$2,,,COUNTIF($AG$2:$AG$50,"?*"),23),15,FALSE),"")</f>
        <v>28</v>
      </c>
      <c r="E7" s="426" t="str">
        <f ca="1">IFERROR(VLOOKUP(A6,OFFSET($AG$2,,,COUNTIF($AG$2:$AG$50,"?*"),23),16,FALSE),"")</f>
        <v>169/65</v>
      </c>
      <c r="F7" s="427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1999</v>
      </c>
      <c r="O7" s="425"/>
      <c r="P7" s="6">
        <f ca="1">IFERROR(VLOOKUP(M6,OFFSET($AG$2,,,COUNTIF($AG$2:$AG$50,"?*"),23),15,FALSE),"")</f>
        <v>22</v>
      </c>
      <c r="Q7" s="426" t="str">
        <f ca="1">IFERROR(VLOOKUP(M6,OFFSET($AG$2,,,COUNTIF($AG$2:$AG$50,"?*"),23),16,FALSE),"")</f>
        <v>181/82</v>
      </c>
      <c r="R7" s="427"/>
      <c r="S7" s="110" t="s">
        <v>9</v>
      </c>
      <c r="U7" s="102">
        <v>10</v>
      </c>
      <c r="V7" s="102">
        <v>3</v>
      </c>
      <c r="W7" s="102">
        <v>2</v>
      </c>
      <c r="X7" s="102">
        <v>0</v>
      </c>
      <c r="Y7" s="102">
        <v>3</v>
      </c>
      <c r="Z7" s="102">
        <v>6</v>
      </c>
      <c r="AA7" s="102">
        <v>6</v>
      </c>
      <c r="AB7" s="102">
        <v>-13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8 OZ, 2 (1+1), -2 ±</v>
      </c>
      <c r="AY7" s="129" t="str">
        <f t="shared" ca="1" si="2"/>
        <v>169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9" t="s">
        <v>40</v>
      </c>
      <c r="BT7" s="104" t="s">
        <v>752</v>
      </c>
      <c r="BU7" s="103" t="s">
        <v>1347</v>
      </c>
      <c r="BV7" s="104" t="str">
        <f t="shared" si="14"/>
        <v>Karel Šantora</v>
      </c>
      <c r="BW7" s="112">
        <f t="shared" si="15"/>
        <v>7.05</v>
      </c>
      <c r="BX7" s="418" t="s">
        <v>193</v>
      </c>
      <c r="BY7" s="103" t="s">
        <v>1099</v>
      </c>
      <c r="BZ7" s="103" t="s">
        <v>847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>12 OZ, 8 (3+5), -8 ±</v>
      </c>
      <c r="B8" s="461"/>
      <c r="C8" s="461"/>
      <c r="D8" s="462" t="str">
        <f ca="1">IFERROR(VLOOKUP(A6,OFFSET($AG$2,,,COUNTIF($AG$2:$AG$50,"?*"),23),19,FALSE),"")</f>
        <v>121 OZ, 64 (35+29)</v>
      </c>
      <c r="E8" s="462"/>
      <c r="F8" s="463"/>
      <c r="H8" s="464" t="s">
        <v>5</v>
      </c>
      <c r="I8" s="464"/>
      <c r="J8" s="464"/>
      <c r="K8" s="464"/>
      <c r="M8" s="460" t="str">
        <f ca="1">IFERROR(VLOOKUP(M6,OFFSET($AG$2,,,COUNTIF($AG$2:$AG$50,"?*"),23),18,FALSE),"")</f>
        <v>13 OZ, 3 (1+2), -17 ±</v>
      </c>
      <c r="N8" s="461"/>
      <c r="O8" s="461"/>
      <c r="P8" s="462" t="str">
        <f ca="1">IFERROR(VLOOKUP(M6,OFFSET($AG$2,,,COUNTIF($AG$2:$AG$50,"?*"),23),19,FALSE),"")</f>
        <v>37 OZ, 4 (1+3)</v>
      </c>
      <c r="Q8" s="462"/>
      <c r="R8" s="463"/>
      <c r="S8" s="110" t="s">
        <v>113</v>
      </c>
      <c r="T8" s="102" t="s">
        <v>107</v>
      </c>
      <c r="U8" s="102">
        <v>13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-14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7 OZ, 1 (0+1), 0 ±</v>
      </c>
      <c r="AY8" s="129" t="str">
        <f t="shared" ca="1" si="2"/>
        <v>61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9"/>
      <c r="BT8" s="104" t="s">
        <v>753</v>
      </c>
      <c r="BU8" s="103" t="s">
        <v>864</v>
      </c>
      <c r="BV8" s="104" t="str">
        <f t="shared" si="14"/>
        <v>Petr Musil</v>
      </c>
      <c r="BW8" s="112">
        <f t="shared" si="15"/>
        <v>8.09</v>
      </c>
      <c r="BX8" s="418"/>
      <c r="BY8" s="103" t="s">
        <v>1100</v>
      </c>
      <c r="BZ8" s="103" t="s">
        <v>837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>Lhokamo</v>
      </c>
      <c r="B9" s="449"/>
      <c r="C9" s="450"/>
      <c r="D9" s="451">
        <f ca="1">IFERROR(IF(VLOOKUP(A6,OFFSET($AG$2,,,COUNTIF($AG$2:$AG$50,"?*"),23),14,FALSE)&lt;&gt;0,VLOOKUP(A6,OFFSET($AG$2,,,COUNTIF($AG$2:$AG$50,"?*"),23),14,FALSE),"?"),"")</f>
        <v>2004</v>
      </c>
      <c r="E9" s="452"/>
      <c r="F9" s="7">
        <f ca="1">IFERROR(IF(VLOOKUP(A6,OFFSET($AG$2,,,COUNTIF($AG$2:$AG$50,"?*"),23),7,FALSE)&lt;&gt;0,VLOOKUP(A6,OFFSET($AG$2,,,COUNTIF($AG$2:$AG$50,"?*"),23),7,FALSE),"?"),"")</f>
        <v>7</v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>Bohemians</v>
      </c>
      <c r="N9" s="449"/>
      <c r="O9" s="450"/>
      <c r="P9" s="451">
        <f ca="1">IFERROR(IF(VLOOKUP(M6,OFFSET($AG$2,,,COUNTIF($AG$2:$AG$50,"?*"),23),14,FALSE)&lt;&gt;0,VLOOKUP(M6,OFFSET($AG$2,,,COUNTIF($AG$2:$AG$50,"?*"),23),14,FALSE),"?"),"")</f>
        <v>2009</v>
      </c>
      <c r="Q9" s="452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9"/>
      <c r="BV9" s="104" t="str">
        <f t="shared" si="14"/>
        <v/>
      </c>
      <c r="BW9" s="112" t="str">
        <f t="shared" si="15"/>
        <v/>
      </c>
      <c r="BX9" s="418"/>
      <c r="BY9" s="103" t="s">
        <v>1101</v>
      </c>
      <c r="BZ9" s="103" t="s">
        <v>861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T10" s="102" t="s">
        <v>107</v>
      </c>
      <c r="U10" s="102">
        <v>10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-9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10 OZ, 0 (0+0), -6 ±</v>
      </c>
      <c r="AY10" s="129" t="str">
        <f t="shared" ca="1" si="2"/>
        <v>10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9"/>
      <c r="BV10" s="104" t="str">
        <f t="shared" si="14"/>
        <v/>
      </c>
      <c r="BW10" s="112" t="str">
        <f t="shared" si="15"/>
        <v/>
      </c>
      <c r="BX10" s="418"/>
      <c r="BY10" s="103" t="s">
        <v>1150</v>
      </c>
      <c r="BZ10" s="103" t="s">
        <v>840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13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-17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749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13 OZ, 1 (1+0), -15 ±</v>
      </c>
      <c r="AY11" s="129" t="str">
        <f t="shared" ca="1" si="2"/>
        <v>215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9"/>
      <c r="BV11" s="104" t="str">
        <f t="shared" si="14"/>
        <v/>
      </c>
      <c r="BW11" s="112" t="str">
        <f t="shared" si="15"/>
        <v/>
      </c>
      <c r="BX11" s="418"/>
      <c r="BY11" s="103" t="s">
        <v>1344</v>
      </c>
      <c r="BZ11" s="103" t="s">
        <v>857</v>
      </c>
      <c r="CA11" s="115" t="s">
        <v>188</v>
      </c>
    </row>
    <row r="12" spans="1:79" ht="15" customHeight="1" thickTop="1" thickBot="1" x14ac:dyDescent="0.25">
      <c r="A12" s="431" t="s">
        <v>0</v>
      </c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65" t="s">
        <v>7</v>
      </c>
      <c r="I12" s="465"/>
      <c r="J12" s="465"/>
      <c r="K12" s="465"/>
      <c r="M12" s="431" t="s">
        <v>104</v>
      </c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9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-8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9" t="s">
        <v>37</v>
      </c>
      <c r="BT12" s="104" t="s">
        <v>182</v>
      </c>
      <c r="BU12" s="103">
        <v>13</v>
      </c>
      <c r="BV12" s="104" t="str">
        <f t="shared" si="14"/>
        <v>Viktor Kopecký</v>
      </c>
      <c r="BW12" s="102">
        <f t="shared" si="15"/>
        <v>13</v>
      </c>
      <c r="BX12" s="116" t="s">
        <v>191</v>
      </c>
      <c r="BY12" s="100" t="s">
        <v>1345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2003</v>
      </c>
      <c r="C13" s="425"/>
      <c r="D13" s="5">
        <f ca="1">IFERROR(VLOOKUP(A12,OFFSET($AG$2,,,COUNTIF($AG$2:$AG$50,"?*"),23),15,FALSE),"")</f>
        <v>18</v>
      </c>
      <c r="E13" s="426" t="str">
        <f ca="1">IFERROR(VLOOKUP(A12,OFFSET($AG$2,,,COUNTIF($AG$2:$AG$50,"?*"),23),16,FALSE),"")</f>
        <v>185/71</v>
      </c>
      <c r="F13" s="427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1995</v>
      </c>
      <c r="O13" s="425"/>
      <c r="P13" s="6">
        <f ca="1">IFERROR(VLOOKUP(M12,OFFSET($AG$2,,,COUNTIF($AG$2:$AG$50,"?*"),23),15,FALSE),"")</f>
        <v>26</v>
      </c>
      <c r="Q13" s="426" t="str">
        <f ca="1">IFERROR(VLOOKUP(M12,OFFSET($AG$2,,,COUNTIF($AG$2:$AG$50,"?*"),23),16,FALSE),"")</f>
        <v>191/78</v>
      </c>
      <c r="R13" s="427"/>
      <c r="S13" s="110" t="s">
        <v>8</v>
      </c>
      <c r="T13" s="102" t="s">
        <v>107</v>
      </c>
      <c r="U13" s="102">
        <v>8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-2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13 OZ, 12 (8+4), -17 ±</v>
      </c>
      <c r="AY13" s="129" t="str">
        <f t="shared" ca="1" si="2"/>
        <v>33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9"/>
      <c r="BT13" s="104" t="s">
        <v>1104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60" t="str">
        <f ca="1">IFERROR(VLOOKUP(A12,OFFSET($AG$2,,,COUNTIF($AG$2:$AG$50,"?*"),23),18,FALSE),"")</f>
        <v>13 OZ, 12 (8+4), -17 ±</v>
      </c>
      <c r="B14" s="461"/>
      <c r="C14" s="461"/>
      <c r="D14" s="462" t="str">
        <f ca="1">IFERROR(VLOOKUP(A12,OFFSET($AG$2,,,COUNTIF($AG$2:$AG$50,"?*"),23),19,FALSE),"")</f>
        <v>33 OZ, 17 (12+5)</v>
      </c>
      <c r="E14" s="462"/>
      <c r="F14" s="463"/>
      <c r="G14" s="431" t="s">
        <v>109</v>
      </c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60" t="str">
        <f ca="1">IFERROR(VLOOKUP(M12,OFFSET($AG$2,,,COUNTIF($AG$2:$AG$50,"?*"),23),18,FALSE),"")</f>
        <v>12 OZ, 24 (13+11), -12 ±</v>
      </c>
      <c r="N14" s="461"/>
      <c r="O14" s="461"/>
      <c r="P14" s="462" t="str">
        <f ca="1">IFERROR(VLOOKUP(M12,OFFSET($AG$2,,,COUNTIF($AG$2:$AG$50,"?*"),23),19,FALSE),"")</f>
        <v>115 OZ, 148 (97+51)</v>
      </c>
      <c r="Q14" s="462"/>
      <c r="R14" s="463"/>
      <c r="S14" s="110" t="s">
        <v>106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-11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249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12 OZ, 24 (13+11), -12 ±</v>
      </c>
      <c r="AY14" s="129" t="str">
        <f t="shared" ca="1" si="2"/>
        <v>115 OZ, 148 (97+51)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9"/>
      <c r="BT14" s="104" t="s">
        <v>1022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>SK Florbal Benešov</v>
      </c>
      <c r="B15" s="449"/>
      <c r="C15" s="450"/>
      <c r="D15" s="451">
        <f ca="1">IFERROR(IF(VLOOKUP(A12,OFFSET($AG$2,,,COUNTIF($AG$2:$AG$50,"?*"),23),14,FALSE)&lt;&gt;0,VLOOKUP(A12,OFFSET($AG$2,,,COUNTIF($AG$2:$AG$50,"?*"),23),14,FALSE),"?"),"")</f>
        <v>2009</v>
      </c>
      <c r="E15" s="452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2000</v>
      </c>
      <c r="I15" s="425"/>
      <c r="J15" s="5">
        <f ca="1">IFERROR(VLOOKUP(G14,OFFSET($AG$2,,,COUNTIF($AG$2:$AG$50,"?*"),23),15,FALSE),"")</f>
        <v>21</v>
      </c>
      <c r="K15" s="426" t="str">
        <f ca="1">IFERROR(VLOOKUP(G14,OFFSET($AG$2,,,COUNTIF($AG$2:$AG$50,"?*"),23),16,FALSE),"")</f>
        <v>191/86</v>
      </c>
      <c r="L15" s="427"/>
      <c r="M15" s="448" t="str">
        <f ca="1">IFERROR(IF(VLOOKUP(M12,OFFSET($AG$2,,,COUNTIF($AG$2:$AG$50,"?*"),23),13,FALSE)&lt;&gt;0,VLOOKUP(M12,OFFSET($AG$2,,,COUNTIF($AG$2:$AG$50,"?*"),23),13,FALSE),"?"),"")</f>
        <v>Florbal Ústí</v>
      </c>
      <c r="N15" s="449"/>
      <c r="O15" s="450"/>
      <c r="P15" s="451">
        <f ca="1">IFERROR(IF(VLOOKUP(M12,OFFSET($AG$2,,,COUNTIF($AG$2:$AG$50,"?*"),23),14,FALSE)&lt;&gt;0,VLOOKUP(M12,OFFSET($AG$2,,,COUNTIF($AG$2:$AG$50,"?*"),23),14,FALSE),"?"),"")</f>
        <v>2008</v>
      </c>
      <c r="Q15" s="452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111</v>
      </c>
      <c r="T15" s="102" t="s">
        <v>58</v>
      </c>
      <c r="U15" s="102">
        <v>13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-15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9 OZ, 2 (2+0), -8 ±</v>
      </c>
      <c r="AY15" s="129" t="str">
        <f t="shared" ca="1" si="2"/>
        <v>105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9"/>
      <c r="BT15" s="104" t="s">
        <v>1024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>10 OZ, 3 (1+2), -9 ±</v>
      </c>
      <c r="H16" s="461"/>
      <c r="I16" s="461"/>
      <c r="J16" s="462" t="str">
        <f ca="1">IFERROR(VLOOKUP(G14,OFFSET($AG$2,,,COUNTIF($AG$2:$AG$50,"?*"),23),19,FALSE),"")</f>
        <v>23 OZ, 4 (1+3)</v>
      </c>
      <c r="K16" s="462"/>
      <c r="L16" s="463"/>
      <c r="R16" s="13"/>
      <c r="S16" s="110" t="s">
        <v>17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-11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9"/>
      <c r="BT16" s="104" t="s">
        <v>1023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31" t="s">
        <v>112</v>
      </c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48" t="str">
        <f ca="1">IFERROR(IF(VLOOKUP(G14,OFFSET($AG$2,,,COUNTIF($AG$2:$AG$50,"?*"),23),13,FALSE)&lt;&gt;0,VLOOKUP(G14,OFFSET($AG$2,,,COUNTIF($AG$2:$AG$50,"?*"),23),13,FALSE),"?"),"")</f>
        <v>SKV</v>
      </c>
      <c r="H17" s="449"/>
      <c r="I17" s="450"/>
      <c r="J17" s="451">
        <f ca="1">IFERROR(IF(VLOOKUP(G14,OFFSET($AG$2,,,COUNTIF($AG$2:$AG$50,"?*"),23),14,FALSE)&lt;&gt;0,VLOOKUP(G14,OFFSET($AG$2,,,COUNTIF($AG$2:$AG$50,"?*"),23),14,FALSE),"?"),"")</f>
        <v>2014</v>
      </c>
      <c r="K17" s="452"/>
      <c r="L17" s="7">
        <f ca="1">IFERROR(IF(VLOOKUP(G14,OFFSET($AG$2,,,COUNTIF($AG$2:$AG$50,"?*"),23),7,FALSE)&lt;&gt;0,VLOOKUP(G14,OFFSET($AG$2,,,COUNTIF($AG$2:$AG$50,"?*"),23),7,FALSE),"?"),"")</f>
        <v>3</v>
      </c>
      <c r="M17" s="431" t="s">
        <v>11</v>
      </c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10 OZ, 3 (1+2), -9 ±</v>
      </c>
      <c r="AY17" s="129" t="str">
        <f t="shared" ca="1" si="2"/>
        <v>23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9" t="s">
        <v>41</v>
      </c>
      <c r="BT17" s="104" t="s">
        <v>752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>
        <f ca="1">IFERROR(IF(VLOOKUP(A17,OFFSET($AG$2,,,COUNTIF($AG$2:$AG$50,"?*"),23),2,FALSE)&lt;&gt;0,YEAR(VLOOKUP(A17,OFFSET($AG$2,,,COUNTIF($AG$2:$AG$50,"?*"),23),2,FALSE)),""),"")</f>
        <v>2002</v>
      </c>
      <c r="C18" s="425"/>
      <c r="D18" s="149">
        <f ca="1">IFERROR(VLOOKUP(A17,OFFSET($AG$2,,,COUNTIF($AG$2:$AG$50,"?*"),23),15,FALSE),"")</f>
        <v>19</v>
      </c>
      <c r="E18" s="426" t="str">
        <f ca="1">IFERROR(VLOOKUP(A17,OFFSET($AG$2,,,COUNTIF($AG$2:$AG$50,"?*"),23),16,FALSE),"")</f>
        <v>? / ?</v>
      </c>
      <c r="F18" s="427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2001</v>
      </c>
      <c r="O18" s="425"/>
      <c r="P18" s="6">
        <f ca="1">IFERROR(VLOOKUP(M17,OFFSET($AG$2,,,COUNTIF($AG$2:$AG$50,"?*"),23),15,FALSE),"")</f>
        <v>20</v>
      </c>
      <c r="Q18" s="426" t="str">
        <f ca="1">IFERROR(VLOOKUP(M17,OFFSET($AG$2,,,COUNTIF($AG$2:$AG$50,"?*"),23),16,FALSE),"")</f>
        <v>181/80</v>
      </c>
      <c r="R18" s="427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250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8 P</v>
      </c>
      <c r="AY18" s="129" t="str">
        <f t="shared" ca="1" si="2"/>
        <v>46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9"/>
      <c r="BT18" s="104" t="s">
        <v>753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60" t="str">
        <f ca="1">IFERROR(VLOOKUP(A17,OFFSET($AG$2,,,COUNTIF($AG$2:$AG$50,"?*"),23),18,FALSE),"")</f>
        <v>10 OZ, 0 (0+0), -6 ±</v>
      </c>
      <c r="B19" s="461"/>
      <c r="C19" s="461"/>
      <c r="D19" s="462" t="str">
        <f ca="1">IFERROR(VLOOKUP(A17,OFFSET($AG$2,,,COUNTIF($AG$2:$AG$50,"?*"),23),19,FALSE),"")</f>
        <v>10 OZ, 0 (0+0)</v>
      </c>
      <c r="E19" s="462"/>
      <c r="F19" s="463"/>
      <c r="H19" s="464" t="str">
        <f>H$8</f>
        <v>SKV</v>
      </c>
      <c r="I19" s="464"/>
      <c r="J19" s="464"/>
      <c r="K19" s="464"/>
      <c r="M19" s="460" t="str">
        <f ca="1">IFERROR(VLOOKUP(M17,OFFSET($AG$2,,,COUNTIF($AG$2:$AG$50,"?*"),23),18,FALSE),"")</f>
        <v>11 OZ, 0 (0+0), -13 ±</v>
      </c>
      <c r="N19" s="461"/>
      <c r="O19" s="461"/>
      <c r="P19" s="462" t="str">
        <f ca="1">IFERROR(VLOOKUP(M17,OFFSET($AG$2,,,COUNTIF($AG$2:$AG$50,"?*"),23),19,FALSE),"")</f>
        <v>69 OZ, 16 (9+7)</v>
      </c>
      <c r="Q19" s="462"/>
      <c r="R19" s="463"/>
      <c r="S19" s="110" t="s">
        <v>143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11 OZ, 0 (0+0), -3 ±</v>
      </c>
      <c r="AY19" s="129" t="str">
        <f t="shared" ca="1" si="2"/>
        <v>29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9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>Tatran Střešovice</v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>?</v>
      </c>
      <c r="E20" s="452"/>
      <c r="F20" s="7">
        <f ca="1">IFERROR(IF(VLOOKUP(A17,OFFSET($AG$2,,,COUNTIF($AG$2:$AG$50,"?*"),23),7,FALSE)&lt;&gt;0,VLOOKUP(A17,OFFSET($AG$2,,,COUNTIF($AG$2:$AG$50,"?*"),23),7,FALSE),"?"),"")</f>
        <v>1</v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>Bulldogs Brno</v>
      </c>
      <c r="N20" s="449"/>
      <c r="O20" s="450"/>
      <c r="P20" s="451">
        <f ca="1">IFERROR(IF(VLOOKUP(M17,OFFSET($AG$2,,,COUNTIF($AG$2:$AG$50,"?*"),23),14,FALSE)&lt;&gt;0,VLOOKUP(M17,OFFSET($AG$2,,,COUNTIF($AG$2:$AG$50,"?*"),23),14,FALSE),"?"),"")</f>
        <v>2013</v>
      </c>
      <c r="Q20" s="452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396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12 OZ, 12 (6+6), -15 ±</v>
      </c>
      <c r="AY20" s="129" t="str">
        <f t="shared" ca="1" si="2"/>
        <v>24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9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13 OZ, 1 (1+0), -11 ±</v>
      </c>
      <c r="AY21" s="129" t="str">
        <f t="shared" ca="1" si="2"/>
        <v>36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9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T22" s="102" t="s">
        <v>58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13 OZ, 5 (5+0), -14 ±</v>
      </c>
      <c r="AY22" s="129" t="str">
        <f t="shared" ca="1" si="2"/>
        <v>34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9" t="s">
        <v>38</v>
      </c>
      <c r="BT22" s="104" t="s">
        <v>182</v>
      </c>
      <c r="BU22" s="103">
        <v>11</v>
      </c>
      <c r="BV22" s="104" t="str">
        <f t="shared" si="14"/>
        <v>Viktor Kopecký</v>
      </c>
      <c r="BW22" s="102">
        <f t="shared" si="15"/>
        <v>11</v>
      </c>
    </row>
    <row r="23" spans="1:75" ht="15" customHeight="1" thickTop="1" thickBot="1" x14ac:dyDescent="0.25">
      <c r="A23" s="431" t="s">
        <v>106</v>
      </c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65" t="s">
        <v>13</v>
      </c>
      <c r="I23" s="465"/>
      <c r="J23" s="465"/>
      <c r="K23" s="465"/>
      <c r="M23" s="431" t="s">
        <v>143</v>
      </c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11</v>
      </c>
      <c r="T23" s="102" t="s">
        <v>58</v>
      </c>
      <c r="U23" s="102">
        <v>11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-13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12 OZ, 8 (3+5), -8 ±</v>
      </c>
      <c r="AY23" s="129" t="str">
        <f t="shared" ca="1" si="2"/>
        <v>121 OZ, 64 (35+29)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9"/>
      <c r="BT23" s="104" t="s">
        <v>1102</v>
      </c>
      <c r="BU23" s="103">
        <v>9</v>
      </c>
      <c r="BV23" s="104" t="str">
        <f t="shared" si="14"/>
        <v>Jan Fiala</v>
      </c>
      <c r="BW23" s="102">
        <f t="shared" si="15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2002</v>
      </c>
      <c r="C24" s="425"/>
      <c r="D24" s="5">
        <f ca="1">IFERROR(VLOOKUP(A23,OFFSET($AG$2,,,COUNTIF($AG$2:$AG$50,"?*"),23),15,FALSE),"")</f>
        <v>19</v>
      </c>
      <c r="E24" s="426" t="str">
        <f ca="1">IFERROR(VLOOKUP(A23,OFFSET($AG$2,,,COUNTIF($AG$2:$AG$50,"?*"),23),16,FALSE),"")</f>
        <v>182/75</v>
      </c>
      <c r="F24" s="427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2000</v>
      </c>
      <c r="O24" s="425"/>
      <c r="P24" s="6">
        <f ca="1">IFERROR(VLOOKUP(M23,OFFSET($AG$2,,,COUNTIF($AG$2:$AG$50,"?*"),23),15,FALSE),"")</f>
        <v>21</v>
      </c>
      <c r="Q24" s="426" t="str">
        <f ca="1">IFERROR(VLOOKUP(M23,OFFSET($AG$2,,,COUNTIF($AG$2:$AG$50,"?*"),23),16,FALSE),"")</f>
        <v>175/70</v>
      </c>
      <c r="R24" s="427"/>
      <c r="S24" s="110" t="s">
        <v>19</v>
      </c>
      <c r="T24" s="102" t="s">
        <v>58</v>
      </c>
      <c r="U24" s="102">
        <v>11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10 OZ, 6 (3+3), -13 ±</v>
      </c>
      <c r="AY24" s="129" t="str">
        <f t="shared" ca="1" si="2"/>
        <v>107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9"/>
      <c r="BT24" s="104" t="s">
        <v>1022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60" t="str">
        <f ca="1">IFERROR(VLOOKUP(A23,OFFSET($AG$2,,,COUNTIF($AG$2:$AG$50,"?*"),23),18,FALSE),"")</f>
        <v>11 OZ, 1 (1+0), -11 ±</v>
      </c>
      <c r="B25" s="461"/>
      <c r="C25" s="461"/>
      <c r="D25" s="462" t="str">
        <f ca="1">IFERROR(VLOOKUP(A23,OFFSET($AG$2,,,COUNTIF($AG$2:$AG$50,"?*"),23),19,FALSE),"")</f>
        <v>28 OZ, 3 (2+1)</v>
      </c>
      <c r="E25" s="462"/>
      <c r="F25" s="463"/>
      <c r="G25" s="431" t="s">
        <v>17</v>
      </c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60" t="str">
        <f ca="1">IFERROR(VLOOKUP(M23,OFFSET($AG$2,,,COUNTIF($AG$2:$AG$50,"?*"),23),18,FALSE),"")</f>
        <v>7 OZ, 1 (0+1), 0 ±</v>
      </c>
      <c r="N25" s="461"/>
      <c r="O25" s="461"/>
      <c r="P25" s="462" t="str">
        <f ca="1">IFERROR(VLOOKUP(M23,OFFSET($AG$2,,,COUNTIF($AG$2:$AG$50,"?*"),23),19,FALSE),"")</f>
        <v>61 OZ, 17 (2+15)</v>
      </c>
      <c r="Q25" s="462"/>
      <c r="R25" s="463"/>
      <c r="S25" s="110" t="s">
        <v>15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4 P</v>
      </c>
      <c r="AY25" s="129" t="str">
        <f t="shared" ca="1" si="2"/>
        <v>46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9"/>
      <c r="BT25" s="104" t="s">
        <v>810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>FA Mladá Boleslav</v>
      </c>
      <c r="B26" s="449"/>
      <c r="C26" s="450"/>
      <c r="D26" s="451">
        <f ca="1">IFERROR(IF(VLOOKUP(A23,OFFSET($AG$2,,,COUNTIF($AG$2:$AG$50,"?*"),23),14,FALSE)&lt;&gt;0,VLOOKUP(A23,OFFSET($AG$2,,,COUNTIF($AG$2:$AG$50,"?*"),23),14,FALSE),"?"),"")</f>
        <v>2010</v>
      </c>
      <c r="E26" s="452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5">
        <f ca="1">IFERROR(VLOOKUP(G25,OFFSET($AG$2,,,COUNTIF($AG$2:$AG$50,"?*"),23),15,FALSE),"")</f>
        <v>19</v>
      </c>
      <c r="K26" s="426" t="str">
        <f ca="1">IFERROR(VLOOKUP(G25,OFFSET($AG$2,,,COUNTIF($AG$2:$AG$50,"?*"),23),16,FALSE),"")</f>
        <v>181/66</v>
      </c>
      <c r="L26" s="427"/>
      <c r="M26" s="448" t="str">
        <f ca="1">IFERROR(IF(VLOOKUP(M23,OFFSET($AG$2,,,COUNTIF($AG$2:$AG$50,"?*"),23),13,FALSE)&lt;&gt;0,VLOOKUP(M23,OFFSET($AG$2,,,COUNTIF($AG$2:$AG$50,"?*"),23),13,FALSE),"?"),"")</f>
        <v>SKV</v>
      </c>
      <c r="N26" s="449"/>
      <c r="O26" s="450"/>
      <c r="P26" s="451">
        <f ca="1">IFERROR(IF(VLOOKUP(M23,OFFSET($AG$2,,,COUNTIF($AG$2:$AG$50,"?*"),23),14,FALSE)&lt;&gt;0,VLOOKUP(M23,OFFSET($AG$2,,,COUNTIF($AG$2:$AG$50,"?*"),23),14,FALSE),"?"),"")</f>
        <v>2015</v>
      </c>
      <c r="Q26" s="452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110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9"/>
      <c r="BT26" s="104" t="s">
        <v>811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>13 OZ, 1 (1+0), -11 ±</v>
      </c>
      <c r="H27" s="461"/>
      <c r="I27" s="461"/>
      <c r="J27" s="462" t="str">
        <f ca="1">IFERROR(VLOOKUP(G25,OFFSET($AG$2,,,COUNTIF($AG$2:$AG$50,"?*"),23),19,FALSE),"")</f>
        <v>36 OZ, 1 (1+0)</v>
      </c>
      <c r="K27" s="462"/>
      <c r="L27" s="463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4 OZ, 0 (0+0), -1 ±</v>
      </c>
      <c r="AY27" s="129" t="str">
        <f t="shared" ca="1" si="2"/>
        <v>6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19" t="s">
        <v>39</v>
      </c>
      <c r="BT27" s="104" t="s">
        <v>1105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31" t="s">
        <v>111</v>
      </c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48" t="str">
        <f ca="1">IFERROR(IF(VLOOKUP(G25,OFFSET($AG$2,,,COUNTIF($AG$2:$AG$50,"?*"),23),13,FALSE)&lt;&gt;0,VLOOKUP(G25,OFFSET($AG$2,,,COUNTIF($AG$2:$AG$50,"?*"),23),13,FALSE),"?"),"")</f>
        <v>SKV</v>
      </c>
      <c r="H28" s="449"/>
      <c r="I28" s="450"/>
      <c r="J28" s="451">
        <f ca="1">IFERROR(IF(VLOOKUP(G25,OFFSET($AG$2,,,COUNTIF($AG$2:$AG$50,"?*"),23),14,FALSE)&lt;&gt;0,VLOOKUP(G25,OFFSET($AG$2,,,COUNTIF($AG$2:$AG$50,"?*"),23),14,FALSE),"?"),"")</f>
        <v>2012</v>
      </c>
      <c r="K28" s="452"/>
      <c r="L28" s="7">
        <f ca="1">IFERROR(IF(VLOOKUP(G25,OFFSET($AG$2,,,COUNTIF($AG$2:$AG$50,"?*"),23),7,FALSE)&lt;&gt;0,VLOOKUP(G25,OFFSET($AG$2,,,COUNTIF($AG$2:$AG$50,"?*"),23),7,FALSE),"?"),"")</f>
        <v>2</v>
      </c>
      <c r="M28" s="431" t="s">
        <v>19</v>
      </c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11 OZ, 1 (1+0), -11 ±</v>
      </c>
      <c r="AY28" s="129" t="str">
        <f t="shared" ca="1" si="2"/>
        <v>28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19"/>
      <c r="BT28" s="104" t="s">
        <v>1102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1993</v>
      </c>
      <c r="C29" s="425"/>
      <c r="D29" s="5">
        <f ca="1">IFERROR(VLOOKUP(A28,OFFSET($AG$2,,,COUNTIF($AG$2:$AG$50,"?*"),23),15,FALSE),"")</f>
        <v>28</v>
      </c>
      <c r="E29" s="426" t="str">
        <f ca="1">IFERROR(VLOOKUP(A28,OFFSET($AG$2,,,COUNTIF($AG$2:$AG$50,"?*"),23),16,FALSE),"")</f>
        <v>169/70</v>
      </c>
      <c r="F29" s="427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2002</v>
      </c>
      <c r="O29" s="425"/>
      <c r="P29" s="6">
        <f ca="1">IFERROR(VLOOKUP(M28,OFFSET($AG$2,,,COUNTIF($AG$2:$AG$50,"?*"),23),15,FALSE),"")</f>
        <v>19</v>
      </c>
      <c r="Q29" s="426" t="str">
        <f ca="1">IFERROR(VLOOKUP(M28,OFFSET($AG$2,,,COUNTIF($AG$2:$AG$50,"?*"),23),16,FALSE),"")</f>
        <v>187/61</v>
      </c>
      <c r="R29" s="427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9"/>
      <c r="BT29" s="104" t="s">
        <v>1348</v>
      </c>
      <c r="BU29" s="103">
        <v>6</v>
      </c>
      <c r="BV29" s="104" t="str">
        <f t="shared" si="14"/>
        <v>Zbyněk Stuchlík</v>
      </c>
      <c r="BW29" s="102">
        <f t="shared" si="15"/>
        <v>6</v>
      </c>
    </row>
    <row r="30" spans="1:75" ht="15" customHeight="1" x14ac:dyDescent="0.2">
      <c r="A30" s="460" t="str">
        <f ca="1">IFERROR(VLOOKUP(A28,OFFSET($AG$2,,,COUNTIF($AG$2:$AG$50,"?*"),23),18,FALSE),"")</f>
        <v>13 OZ, 1 (1+0), -15 ±</v>
      </c>
      <c r="B30" s="461"/>
      <c r="C30" s="461"/>
      <c r="D30" s="462" t="str">
        <f ca="1">IFERROR(VLOOKUP(A28,OFFSET($AG$2,,,COUNTIF($AG$2:$AG$50,"?*"),23),19,FALSE),"")</f>
        <v>215 OZ, 68 (37+31)</v>
      </c>
      <c r="E30" s="462"/>
      <c r="F30" s="463"/>
      <c r="H30" s="464" t="str">
        <f>H$8</f>
        <v>SKV</v>
      </c>
      <c r="I30" s="464"/>
      <c r="J30" s="464"/>
      <c r="K30" s="464"/>
      <c r="M30" s="460" t="str">
        <f ca="1">IFERROR(VLOOKUP(M28,OFFSET($AG$2,,,COUNTIF($AG$2:$AG$50,"?*"),23),18,FALSE),"")</f>
        <v>11 OZ, 0 (0+0), -3 ±</v>
      </c>
      <c r="N30" s="461"/>
      <c r="O30" s="461"/>
      <c r="P30" s="462" t="str">
        <f ca="1">IFERROR(VLOOKUP(M28,OFFSET($AG$2,,,COUNTIF($AG$2:$AG$50,"?*"),23),19,FALSE),"")</f>
        <v>29 OZ, 3 (2+1)</v>
      </c>
      <c r="Q30" s="462"/>
      <c r="R30" s="463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9"/>
      <c r="BT30" s="104" t="s">
        <v>1349</v>
      </c>
      <c r="BU30" s="103">
        <v>6</v>
      </c>
      <c r="BV30" s="104" t="str">
        <f t="shared" si="14"/>
        <v>Štěpán Čuda</v>
      </c>
      <c r="BW30" s="102">
        <f t="shared" si="15"/>
        <v>6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>SKF Draci 99 Liberec</v>
      </c>
      <c r="B31" s="449"/>
      <c r="C31" s="450"/>
      <c r="D31" s="451">
        <f ca="1">IFERROR(IF(VLOOKUP(A28,OFFSET($AG$2,,,COUNTIF($AG$2:$AG$50,"?*"),23),14,FALSE)&lt;&gt;0,VLOOKUP(A28,OFFSET($AG$2,,,COUNTIF($AG$2:$AG$50,"?*"),23),14,FALSE),"?"),"")</f>
        <v>1998</v>
      </c>
      <c r="E31" s="452"/>
      <c r="F31" s="7">
        <f ca="1">IFERROR(IF(VLOOKUP(A28,OFFSET($AG$2,,,COUNTIF($AG$2:$AG$50,"?*"),23),7,FALSE)&lt;&gt;0,VLOOKUP(A28,OFFSET($AG$2,,,COUNTIF($AG$2:$AG$50,"?*"),23),7,FALSE),"?"),"")</f>
        <v>11</v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>SKV</v>
      </c>
      <c r="N31" s="449"/>
      <c r="O31" s="450"/>
      <c r="P31" s="451">
        <f ca="1">IFERROR(IF(VLOOKUP(M28,OFFSET($AG$2,,,COUNTIF($AG$2:$AG$50,"?*"),23),14,FALSE)&lt;&gt;0,VLOOKUP(M28,OFFSET($AG$2,,,COUNTIF($AG$2:$AG$50,"?*"),23),14,FALSE),"?"),"")</f>
        <v>2013</v>
      </c>
      <c r="Q31" s="452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9"/>
      <c r="BT31" s="104" t="s">
        <v>1106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31" t="s">
        <v>110</v>
      </c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59" t="s">
        <v>16</v>
      </c>
      <c r="J34" s="431" t="s">
        <v>8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4">
        <f ca="1">IFERROR(IF(VLOOKUP(A34,OFFSET($AG$2,,,COUNTIF($AG$2:$AG$50,"?*"),23),2,FALSE)&lt;&gt;0,YEAR(VLOOKUP(A34,OFFSET($AG$2,,,COUNTIF($AG$2:$AG$50,"?*"),23),2,FALSE)),""),"")</f>
        <v>1998</v>
      </c>
      <c r="C35" s="425"/>
      <c r="D35" s="5">
        <f ca="1">IFERROR(VLOOKUP(A34,OFFSET($AG$2,,,COUNTIF($AG$2:$AG$50,"?*"),23),15,FALSE),"")</f>
        <v>23</v>
      </c>
      <c r="E35" s="426" t="str">
        <f ca="1">IFERROR(VLOOKUP(A34,OFFSET($AG$2,,,COUNTIF($AG$2:$AG$50,"?*"),23),16,FALSE),"")</f>
        <v>175/69</v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1993</v>
      </c>
      <c r="L35" s="433"/>
      <c r="M35" s="15">
        <f ca="1">IFERROR(VLOOKUP(J34,OFFSET($AG$2,,,COUNTIF($AG$2:$AG$50,"?*"),23),15,FALSE),"")</f>
        <v>28</v>
      </c>
      <c r="N35" s="433" t="str">
        <f ca="1">IFERROR(VLOOKUP(J34,OFFSET($AG$2,,,COUNTIF($AG$2:$AG$50,"?*"),23),16,FALSE),"")</f>
        <v>180/78</v>
      </c>
      <c r="O35" s="433"/>
      <c r="P35" s="433" t="str">
        <f ca="1">IFERROR(VLOOKUP(J34,OFFSET($AG$2,,,COUNTIF($AG$2:$AG$50,"?*"),23),18,FALSE),"")</f>
        <v>8 OZ, 2 (1+1), -2 ±</v>
      </c>
      <c r="Q35" s="433"/>
      <c r="R35" s="434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28" t="str">
        <f ca="1">IFERROR(VLOOKUP(A34,OFFSET($AG$2,,,COUNTIF($AG$2:$AG$50,"?*"),23),18,FALSE),"")</f>
        <v>1 V, 8 P</v>
      </c>
      <c r="C36" s="428"/>
      <c r="D36" s="429">
        <f ca="1">IFERROR(VLOOKUP(A34,OFFSET($S$45,,,COUNTIF($S$45:$S$50,"?*"),14),5,FALSE),"")</f>
        <v>63</v>
      </c>
      <c r="E36" s="430"/>
      <c r="F36" s="17">
        <f ca="1">IFERROR(VLOOKUP(A34,OFFSET($S$45,,,COUNTIF($S$45:$S$50,"?*"),14),14,FALSE),"")</f>
        <v>76.579925650557627</v>
      </c>
      <c r="H36" s="459"/>
      <c r="J36" s="18">
        <f ca="1">IFERROR(IF(VLOOKUP(J34,OFFSET($AG$2,,,COUNTIF($AG$2:$AG$50,"?*"),23),7,FALSE)&lt;&gt;0,VLOOKUP(J34,OFFSET($AG$2,,,COUNTIF($AG$2:$AG$50,"?*"),23),7,FALSE),"?"),"")</f>
        <v>8</v>
      </c>
      <c r="K36" s="435" t="str">
        <f ca="1">IFERROR(VLOOKUP(J34,OFFSET($AG$2,,,COUNTIF($AG$2:$AG$50,"?*"),23),19,FALSE),"")</f>
        <v>169 OZ, 141 (93+48)</v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>ASP Hr. Králové</v>
      </c>
      <c r="O36" s="436"/>
      <c r="P36" s="436"/>
      <c r="Q36" s="435">
        <f ca="1">IFERROR(IF(VLOOKUP(J34,OFFSET($AG$2,,,COUNTIF($AG$2:$AG$50,"?*"),23),14,FALSE)&lt;&gt;0,VLOOKUP(J34,OFFSET($AG$2,,,COUNTIF($AG$2:$AG$50,"?*"),23),14,FALSE),"?"),"")</f>
        <v>2007</v>
      </c>
      <c r="R36" s="437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467.04</v>
      </c>
      <c r="B37" s="454"/>
      <c r="C37" s="455">
        <f ca="1">IFERROR(VLOOKUP(A34,OFFSET($S$45,,,COUNTIF($S$45:$S$50,"?*"),14),13,FALSE),"")</f>
        <v>8.0935251798561136</v>
      </c>
      <c r="D37" s="456"/>
      <c r="E37" s="457" t="str">
        <f ca="1">IFERROR(VLOOKUP(A34,OFFSET($AG$2,,,COUNTIF($AG$2:$AG$50,"?*"),23),19,FALSE),"")</f>
        <v>46 OZ, 0 A</v>
      </c>
      <c r="F37" s="458"/>
      <c r="H37" s="459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>FTC Vysoké Mýto</v>
      </c>
      <c r="B38" s="449"/>
      <c r="C38" s="450"/>
      <c r="D38" s="451">
        <f ca="1">IFERROR(IF(VLOOKUP(A34,OFFSET($AG$2,,,COUNTIF($AG$2:$AG$50,"?*"),23),14,FALSE)&lt;&gt;0,VLOOKUP(A34,OFFSET($AG$2,,,COUNTIF($AG$2:$AG$50,"?*"),23),14,FALSE),"?"),"")</f>
        <v>2012</v>
      </c>
      <c r="E38" s="452"/>
      <c r="F38" s="19">
        <f ca="1">IFERROR(VLOOKUP(A34,OFFSET($S$45,,,COUNTIF($S$45:$S$50,"?*"),14),6,FALSE),"")</f>
        <v>0</v>
      </c>
      <c r="H38" s="459"/>
      <c r="J38" s="431" t="s">
        <v>153</v>
      </c>
      <c r="K38" s="432"/>
      <c r="L38" s="432"/>
      <c r="M38" s="432"/>
      <c r="N38" s="432"/>
      <c r="O38" s="432"/>
      <c r="P38" s="43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5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180/69</v>
      </c>
      <c r="O39" s="433"/>
      <c r="P39" s="433" t="str">
        <f ca="1">IFERROR(VLOOKUP(J38,OFFSET($AG$2,,,COUNTIF($AG$2:$AG$50,"?*"),23),18,FALSE),"")</f>
        <v>4 OZ, 0 (0+0), -1 ±</v>
      </c>
      <c r="Q39" s="433"/>
      <c r="R39" s="434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31" t="s">
        <v>15</v>
      </c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59"/>
      <c r="J40" s="18">
        <f ca="1">IFERROR(IF(VLOOKUP(J38,OFFSET($AG$2,,,COUNTIF($AG$2:$AG$50,"?*"),23),7,FALSE)&lt;&gt;0,VLOOKUP(J38,OFFSET($AG$2,,,COUNTIF($AG$2:$AG$50,"?*"),23),7,FALSE),"?"),"")</f>
        <v>2</v>
      </c>
      <c r="K40" s="435" t="str">
        <f ca="1">IFERROR(VLOOKUP(J38,OFFSET($AG$2,,,COUNTIF($AG$2:$AG$50,"?*"),23),19,FALSE),"")</f>
        <v>6 OZ, 0 (0+0)</v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>SKV</v>
      </c>
      <c r="O40" s="436"/>
      <c r="P40" s="436"/>
      <c r="Q40" s="435">
        <f ca="1">IFERROR(IF(VLOOKUP(J38,OFFSET($AG$2,,,COUNTIF($AG$2:$AG$50,"?*"),23),14,FALSE)&lt;&gt;0,VLOOKUP(J38,OFFSET($AG$2,,,COUNTIF($AG$2:$AG$50,"?*"),23),14,FALSE),"?"),"")</f>
        <v>2010</v>
      </c>
      <c r="R40" s="437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4">
        <f ca="1">IFERROR(IF(VLOOKUP(A40,OFFSET($AG$2,,,COUNTIF($AG$2:$AG$50,"?*"),23),2,FALSE)&lt;&gt;0,YEAR(VLOOKUP(A40,OFFSET($AG$2,,,COUNTIF($AG$2:$AG$50,"?*"),23),2,FALSE)),""),"")</f>
        <v>1996</v>
      </c>
      <c r="C41" s="425"/>
      <c r="D41" s="5">
        <f ca="1">IFERROR(VLOOKUP(A40,OFFSET($AG$2,,,COUNTIF($AG$2:$AG$50,"?*"),23),15,FALSE),"")</f>
        <v>25</v>
      </c>
      <c r="E41" s="426" t="str">
        <f ca="1">IFERROR(VLOOKUP(A40,OFFSET($AG$2,,,COUNTIF($AG$2:$AG$50,"?*"),23),16,FALSE),"")</f>
        <v>187/88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6</v>
      </c>
      <c r="B42" s="428" t="str">
        <f ca="1">IFERROR(VLOOKUP(A40,OFFSET($AG$2,,,COUNTIF($AG$2:$AG$50,"?*"),23),18,FALSE),"")</f>
        <v>2 V, 4 P</v>
      </c>
      <c r="C42" s="428"/>
      <c r="D42" s="429">
        <f ca="1">IFERROR(VLOOKUP(A40,OFFSET($S$45,,,COUNTIF($S$45:$S$50,"?*"),14),5,FALSE),"")</f>
        <v>35</v>
      </c>
      <c r="E42" s="430"/>
      <c r="F42" s="17">
        <f ca="1">IFERROR(VLOOKUP(A40,OFFSET($S$45,,,COUNTIF($S$45:$S$50,"?*"),14),14,FALSE),"")</f>
        <v>66.019417475728162</v>
      </c>
      <c r="H42" s="459"/>
      <c r="J42" s="431"/>
      <c r="K42" s="432"/>
      <c r="L42" s="432"/>
      <c r="M42" s="432"/>
      <c r="N42" s="432"/>
      <c r="O42" s="432"/>
      <c r="P42" s="43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53">
        <f ca="1">IFERROR(VLOOKUP(A40,OFFSET($S$45,,,COUNTIF($S$45:$S$50,"?*"),14),3,FALSE),"")</f>
        <v>297.77</v>
      </c>
      <c r="B43" s="454"/>
      <c r="C43" s="455">
        <f ca="1">IFERROR(VLOOKUP(A40,OFFSET($S$45,,,COUNTIF($S$45:$S$50,"?*"),14),13,FALSE),"")</f>
        <v>7.0524230110487967</v>
      </c>
      <c r="D43" s="456"/>
      <c r="E43" s="457" t="str">
        <f ca="1">IFERROR(VLOOKUP(A40,OFFSET($AG$2,,,COUNTIF($AG$2:$AG$50,"?*"),23),19,FALSE),"")</f>
        <v>46 OZ, 2 A</v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>Chodov</v>
      </c>
      <c r="B44" s="449"/>
      <c r="C44" s="450"/>
      <c r="D44" s="451">
        <f ca="1">IFERROR(IF(VLOOKUP(A40,OFFSET($AG$2,,,COUNTIF($AG$2:$AG$50,"?*"),23),14,FALSE)&lt;&gt;0,VLOOKUP(A40,OFFSET($AG$2,,,COUNTIF($AG$2:$AG$50,"?*"),23),14,FALSE),"?"),"")</f>
        <v>2008</v>
      </c>
      <c r="E44" s="452"/>
      <c r="F44" s="19">
        <f ca="1">IFERROR(VLOOKUP(A40,OFFSET($S$45,,,COUNTIF($S$45:$S$50,"?*"),14),6,FALSE),"")</f>
        <v>0</v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9</v>
      </c>
      <c r="U45" s="112">
        <v>467.04</v>
      </c>
      <c r="V45" s="102">
        <v>1</v>
      </c>
      <c r="W45" s="102">
        <v>63</v>
      </c>
      <c r="X45" s="102">
        <v>0</v>
      </c>
      <c r="Y45" s="102">
        <v>269</v>
      </c>
      <c r="Z45" s="102">
        <v>0</v>
      </c>
      <c r="AA45" s="102">
        <v>8</v>
      </c>
      <c r="AB45" s="102">
        <v>206</v>
      </c>
      <c r="AC45" s="102">
        <v>0</v>
      </c>
      <c r="AD45" s="102">
        <v>0</v>
      </c>
      <c r="AE45" s="112">
        <f>IF(S45&lt;&gt;"",IF(T45&gt;0,W45/(U45/60),0),"")</f>
        <v>8.0935251798561136</v>
      </c>
      <c r="AF45" s="112">
        <f>IF(S45&lt;&gt;"",IF(Y45&gt;0,(AB45/Y45)*100,"-"),"")</f>
        <v>76.579925650557627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6</v>
      </c>
      <c r="U46" s="112">
        <v>297.77</v>
      </c>
      <c r="V46" s="102">
        <v>2</v>
      </c>
      <c r="W46" s="102">
        <v>35</v>
      </c>
      <c r="X46" s="102">
        <v>0</v>
      </c>
      <c r="Y46" s="102">
        <v>103</v>
      </c>
      <c r="Z46" s="102">
        <v>0</v>
      </c>
      <c r="AA46" s="102">
        <v>4</v>
      </c>
      <c r="AB46" s="102">
        <v>68</v>
      </c>
      <c r="AC46" s="102">
        <v>0</v>
      </c>
      <c r="AD46" s="102">
        <v>0</v>
      </c>
      <c r="AE46" s="112">
        <f t="shared" ref="AE46:AE50" si="39">IF(S46&lt;&gt;"",IF(T46&gt;0,W46/(U46/60),0),"")</f>
        <v>7.0524230110487967</v>
      </c>
      <c r="AF46" s="112">
        <f t="shared" ref="AF46:AF50" si="40">IF(S46&lt;&gt;"",IF(Y46&gt;0,(AB46/Y46)*100,"-"),"")</f>
        <v>66.019417475728162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20" t="s">
        <v>20</v>
      </c>
      <c r="B47" s="421"/>
      <c r="C47" s="421"/>
      <c r="D47" s="421"/>
      <c r="E47" s="422" t="str">
        <f ca="1">IFERROR(VLOOKUP(A47,OFFSET($BN$2,,,COUNTIF($BN$2:$BN$11,"?*"),5),3,FALSE),"")</f>
        <v>trenér</v>
      </c>
      <c r="F47" s="422"/>
      <c r="G47" s="422"/>
      <c r="H47" s="422"/>
      <c r="I47" s="423"/>
      <c r="J47" s="420" t="s">
        <v>21</v>
      </c>
      <c r="K47" s="421"/>
      <c r="L47" s="421"/>
      <c r="M47" s="421"/>
      <c r="N47" s="422" t="str">
        <f ca="1">IFERROR(VLOOKUP(J47,OFFSET($BN$2,,,COUNTIF($BN$2:$BN$11,"?*"),5),3,FALSE),"")</f>
        <v>trenér</v>
      </c>
      <c r="O47" s="422"/>
      <c r="P47" s="422"/>
      <c r="Q47" s="422"/>
      <c r="R47" s="423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38">
        <f ca="1">IFERROR(VLOOKUP(A47,OFFSET($BN$2,,,COUNTIF($BN$2:$BN$11,"?*"),5),5,FALSE),"")</f>
        <v>38</v>
      </c>
      <c r="B48" s="440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40"/>
      <c r="D48" s="440"/>
      <c r="E48" s="440"/>
      <c r="F48" s="440"/>
      <c r="G48" s="440"/>
      <c r="H48" s="440"/>
      <c r="I48" s="441"/>
      <c r="J48" s="24">
        <f ca="1">IFERROR(VLOOKUP(J47,OFFSET($BN$2,,,COUNTIF($BN$2:$BN$11,"?*"),5),5,FALSE),"")</f>
        <v>35</v>
      </c>
      <c r="K48" s="444" t="str">
        <f ca="1">IFERROR(IF(VLOOKUP(J47,OFFSET($BN$2,,,COUNTIF($BN$2:$BN$11,"?*"),5),4,FALSE)&lt;&gt;0,VLOOKUP(J47,OFFSET($BN$2,,,COUNTIF($BN$2:$BN$11,"?*"),5),4,FALSE),"-"),"")</f>
        <v>2x mistr české ligy (Chodov)</v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 t="s">
        <v>22</v>
      </c>
      <c r="K49" s="447"/>
      <c r="L49" s="447"/>
      <c r="M49" s="447"/>
      <c r="N49" s="422" t="str">
        <f ca="1">IFERROR(VLOOKUP(J49,OFFSET($BN$2,,,COUNTIF($BN$2:$BN$11,"?*"),5),3,FALSE),"")</f>
        <v>kondiční trenér</v>
      </c>
      <c r="O49" s="422"/>
      <c r="P49" s="422"/>
      <c r="Q49" s="422"/>
      <c r="R49" s="423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24">
        <f ca="1">IFERROR(VLOOKUP(J49,OFFSET($BN$2,,,COUNTIF($BN$2:$BN$11,"?*"),5),5,FALSE),"")</f>
        <v>31</v>
      </c>
      <c r="K50" s="444" t="str">
        <f ca="1">IFERROR(IF(VLOOKUP(J49,OFFSET($BN$2,,,COUNTIF($BN$2:$BN$11,"?*"),5),4,FALSE)&lt;&gt;0,VLOOKUP(J49,OFFSET($BN$2,,,COUNTIF($BN$2:$BN$11,"?*"),5),4,FALSE),"-"),"")</f>
        <v>postup do Tipsport superligy (hráč)</v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8" priority="13" stopIfTrue="1" operator="equal">
      <formula>"OTR"</formula>
    </cfRule>
    <cfRule type="cellIs" dxfId="727" priority="14" stopIfTrue="1" operator="equal">
      <formula>"PAR"</formula>
    </cfRule>
    <cfRule type="cellIs" dxfId="726" priority="15" stopIfTrue="1" operator="equal">
      <formula>"CLP"</formula>
    </cfRule>
    <cfRule type="cellIs" dxfId="725" priority="16" stopIfTrue="1" operator="equal">
      <formula>"HAT"</formula>
    </cfRule>
    <cfRule type="cellIs" dxfId="724" priority="17" stopIfTrue="1" operator="equal">
      <formula>"LIB"</formula>
    </cfRule>
    <cfRule type="cellIs" dxfId="723" priority="18" stopIfTrue="1" operator="equal">
      <formula>"BA"</formula>
    </cfRule>
    <cfRule type="cellIs" dxfId="722" priority="19" stopIfTrue="1" operator="equal">
      <formula>"SPA"</formula>
    </cfRule>
    <cfRule type="cellIs" dxfId="721" priority="20" stopIfTrue="1" operator="equal">
      <formula>"OST"</formula>
    </cfRule>
    <cfRule type="cellIs" dxfId="720" priority="21" stopIfTrue="1" operator="equal">
      <formula>"BOH"</formula>
    </cfRule>
    <cfRule type="cellIs" dxfId="719" priority="22" stopIfTrue="1" operator="equal">
      <formula>"TAT"</formula>
    </cfRule>
    <cfRule type="cellIs" dxfId="718" priority="23" stopIfTrue="1" operator="equal">
      <formula>"MB"</formula>
    </cfRule>
    <cfRule type="cellIs" dxfId="717" priority="24" stopIfTrue="1" operator="equal">
      <formula>"VIT"</formula>
    </cfRule>
    <cfRule type="cellIs" dxfId="716" priority="25" stopIfTrue="1" operator="equal">
      <formula>"CHO"</formula>
    </cfRule>
    <cfRule type="cellIs" dxfId="715" priority="26" stopIfTrue="1" operator="equal">
      <formula>"SKV"</formula>
    </cfRule>
  </conditionalFormatting>
  <conditionalFormatting sqref="H19:K20">
    <cfRule type="cellIs" dxfId="714" priority="41" stopIfTrue="1" operator="equal">
      <formula>"OTR"</formula>
    </cfRule>
    <cfRule type="cellIs" dxfId="713" priority="42" stopIfTrue="1" operator="equal">
      <formula>"PAR"</formula>
    </cfRule>
    <cfRule type="cellIs" dxfId="712" priority="43" stopIfTrue="1" operator="equal">
      <formula>"CLP"</formula>
    </cfRule>
    <cfRule type="cellIs" dxfId="711" priority="44" stopIfTrue="1" operator="equal">
      <formula>"HAT"</formula>
    </cfRule>
    <cfRule type="cellIs" dxfId="710" priority="45" stopIfTrue="1" operator="equal">
      <formula>"LIB"</formula>
    </cfRule>
    <cfRule type="cellIs" dxfId="709" priority="46" stopIfTrue="1" operator="equal">
      <formula>"BA"</formula>
    </cfRule>
    <cfRule type="cellIs" dxfId="708" priority="47" stopIfTrue="1" operator="equal">
      <formula>"SPA"</formula>
    </cfRule>
    <cfRule type="cellIs" dxfId="707" priority="48" stopIfTrue="1" operator="equal">
      <formula>"OST"</formula>
    </cfRule>
    <cfRule type="cellIs" dxfId="706" priority="49" stopIfTrue="1" operator="equal">
      <formula>"BOH"</formula>
    </cfRule>
    <cfRule type="cellIs" dxfId="705" priority="50" stopIfTrue="1" operator="equal">
      <formula>"TAT"</formula>
    </cfRule>
    <cfRule type="cellIs" dxfId="704" priority="51" stopIfTrue="1" operator="equal">
      <formula>"MB"</formula>
    </cfRule>
    <cfRule type="cellIs" dxfId="703" priority="52" stopIfTrue="1" operator="equal">
      <formula>"VIT"</formula>
    </cfRule>
    <cfRule type="cellIs" dxfId="702" priority="53" stopIfTrue="1" operator="equal">
      <formula>"CHO"</formula>
    </cfRule>
    <cfRule type="cellIs" dxfId="701" priority="54" stopIfTrue="1" operator="equal">
      <formula>"SKV"</formula>
    </cfRule>
  </conditionalFormatting>
  <conditionalFormatting sqref="H8:K9">
    <cfRule type="cellIs" dxfId="700" priority="27" stopIfTrue="1" operator="equal">
      <formula>"OTR"</formula>
    </cfRule>
    <cfRule type="cellIs" dxfId="699" priority="28" stopIfTrue="1" operator="equal">
      <formula>"PAR"</formula>
    </cfRule>
    <cfRule type="cellIs" dxfId="698" priority="29" stopIfTrue="1" operator="equal">
      <formula>"CLP"</formula>
    </cfRule>
    <cfRule type="cellIs" dxfId="697" priority="30" stopIfTrue="1" operator="equal">
      <formula>"HAT"</formula>
    </cfRule>
    <cfRule type="cellIs" dxfId="696" priority="31" stopIfTrue="1" operator="equal">
      <formula>"LIB"</formula>
    </cfRule>
    <cfRule type="cellIs" dxfId="695" priority="32" stopIfTrue="1" operator="equal">
      <formula>"BA"</formula>
    </cfRule>
    <cfRule type="cellIs" dxfId="694" priority="33" stopIfTrue="1" operator="equal">
      <formula>"SPA"</formula>
    </cfRule>
    <cfRule type="cellIs" dxfId="693" priority="34" stopIfTrue="1" operator="equal">
      <formula>"OST"</formula>
    </cfRule>
    <cfRule type="cellIs" dxfId="692" priority="35" stopIfTrue="1" operator="equal">
      <formula>"BOH"</formula>
    </cfRule>
    <cfRule type="cellIs" dxfId="691" priority="36" stopIfTrue="1" operator="equal">
      <formula>"TAT"</formula>
    </cfRule>
    <cfRule type="cellIs" dxfId="690" priority="37" stopIfTrue="1" operator="equal">
      <formula>"MB"</formula>
    </cfRule>
    <cfRule type="cellIs" dxfId="689" priority="38" stopIfTrue="1" operator="equal">
      <formula>"VIT"</formula>
    </cfRule>
    <cfRule type="cellIs" dxfId="688" priority="39" stopIfTrue="1" operator="equal">
      <formula>"CHO"</formula>
    </cfRule>
    <cfRule type="cellIs" dxfId="687" priority="40" stopIfTrue="1" operator="equal">
      <formula>"SKV"</formula>
    </cfRule>
  </conditionalFormatting>
  <conditionalFormatting sqref="S2:S42">
    <cfRule type="expression" dxfId="686" priority="11" stopIfTrue="1">
      <formula>IFERROR(IF(VLOOKUP($S2,OFFSET($AG$2,,,COUNTIF($AG$2:$AG$50,"?*")),1,FALSE)&lt;&gt;0,1,0),0)&gt;0</formula>
    </cfRule>
  </conditionalFormatting>
  <conditionalFormatting sqref="S2:S42">
    <cfRule type="expression" dxfId="685" priority="12">
      <formula>IFERROR(IF(VLOOKUP($S2,OFFSET($AG$2,,,COUNTIF($AG$2:$AG$50,"?*")),1,FALSE)&lt;&gt;0,1,0),0)=0</formula>
    </cfRule>
  </conditionalFormatting>
  <conditionalFormatting sqref="S45:S50">
    <cfRule type="expression" dxfId="684" priority="10">
      <formula>IFERROR(IF(VLOOKUP($S45,OFFSET($AG$2,,,COUNTIF($AG$2:$AG$50,"?*")),1,FALSE)&lt;&gt;0,1,0),0)&gt;0</formula>
    </cfRule>
  </conditionalFormatting>
  <conditionalFormatting sqref="S45:S50">
    <cfRule type="expression" dxfId="683" priority="9">
      <formula>IFERROR(IF(VLOOKUP($S45,OFFSET($AG$2,,,COUNTIF($AG$2:$AG$50,"?*")),1,FALSE)&lt;&gt;0,1,0),0)=0</formula>
    </cfRule>
  </conditionalFormatting>
  <conditionalFormatting sqref="AG2:AG50">
    <cfRule type="expression" dxfId="682" priority="5" stopIfTrue="1">
      <formula>OR($AH2="",$AI2="",$AJ2="",$AK2="",$AL2="",$AM2="",$AN2="",$AQ2="",$AR2="",$AS2="",$AT2="")</formula>
    </cfRule>
    <cfRule type="expression" dxfId="681" priority="7" stopIfTrue="1">
      <formula>IFERROR(IF(VLOOKUP($AG2,OFFSET($S$2,,,COUNTIF($S$2:$S$42,"?*")),1,FALSE)&lt;&gt;0,1,0),0)=0</formula>
    </cfRule>
    <cfRule type="expression" dxfId="680" priority="8">
      <formula>IFERROR(IF(VLOOKUP($AG2,OFFSET($S$2,,,COUNTIF($S$2:$S$42,"?*")),1,FALSE)&lt;&gt;0,1,0),0)&gt;0</formula>
    </cfRule>
  </conditionalFormatting>
  <conditionalFormatting sqref="AG2:BC50">
    <cfRule type="expression" dxfId="679" priority="4">
      <formula>AND($AG2&lt;&gt;"",MOD(ROW($AG2),2)=0)</formula>
    </cfRule>
  </conditionalFormatting>
  <conditionalFormatting sqref="BN2:BR11">
    <cfRule type="expression" dxfId="67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43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680</v>
      </c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465" t="s">
        <v>1</v>
      </c>
      <c r="I1" s="465"/>
      <c r="J1" s="465"/>
      <c r="K1" s="465"/>
      <c r="M1" s="431" t="s">
        <v>673</v>
      </c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242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4">
        <f ca="1">IFERROR(IF(VLOOKUP(A1,OFFSET($AG$2,,,COUNTIF($AG$2:$AG$50,"?*"),23),2,FALSE)&lt;&gt;0,YEAR(VLOOKUP(A1,OFFSET($AG$2,,,COUNTIF($AG$2:$AG$50,"?*"),23),2,FALSE)),""),"")</f>
        <v>2000</v>
      </c>
      <c r="C2" s="425"/>
      <c r="D2" s="117">
        <f ca="1">IFERROR(VLOOKUP(A1,OFFSET($AG$2,,,COUNTIF($AG$2:$AG$50,"?*"),23),15,FALSE),"")</f>
        <v>21</v>
      </c>
      <c r="E2" s="426" t="str">
        <f ca="1">IFERROR(VLOOKUP(A1,OFFSET($AG$2,,,COUNTIF($AG$2:$AG$50,"?*"),23),16,FALSE),"")</f>
        <v>180/72</v>
      </c>
      <c r="F2" s="427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2000</v>
      </c>
      <c r="O2" s="425"/>
      <c r="P2" s="117">
        <f ca="1">IFERROR(VLOOKUP(M1,OFFSET($AG$2,,,COUNTIF($AG$2:$AG$50,"?*"),23),15,FALSE),"")</f>
        <v>21</v>
      </c>
      <c r="Q2" s="426" t="str">
        <f ca="1">IFERROR(VLOOKUP(M1,OFFSET($AG$2,,,COUNTIF($AG$2:$AG$50,"?*"),23),16,FALSE),"")</f>
        <v>194/78</v>
      </c>
      <c r="R2" s="427"/>
      <c r="S2" s="110" t="s">
        <v>680</v>
      </c>
      <c r="T2" s="102" t="s">
        <v>107</v>
      </c>
      <c r="U2" s="102">
        <v>12</v>
      </c>
      <c r="V2" s="102">
        <v>18</v>
      </c>
      <c r="W2" s="102">
        <v>4</v>
      </c>
      <c r="X2" s="102">
        <v>0</v>
      </c>
      <c r="Y2" s="102">
        <v>8</v>
      </c>
      <c r="Z2" s="102">
        <v>26</v>
      </c>
      <c r="AA2" s="102">
        <v>6</v>
      </c>
      <c r="AB2" s="102">
        <v>16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674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27</v>
      </c>
      <c r="AQ2" s="123">
        <v>175</v>
      </c>
      <c r="AR2" s="123">
        <v>79</v>
      </c>
      <c r="AS2" s="126" t="s">
        <v>64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5 (4+1),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59 OZ, 13 (8+5)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1336</v>
      </c>
      <c r="BO2" s="122">
        <v>28414</v>
      </c>
      <c r="BP2" s="131" t="s">
        <v>175</v>
      </c>
      <c r="BQ2" s="132" t="s">
        <v>1337</v>
      </c>
      <c r="BR2" s="127">
        <f ca="1">IF(BN2&lt;&gt;"",IF(BO2&lt;&gt;"",INT((TODAY()-BO2)/365),"?"),"")</f>
        <v>44</v>
      </c>
      <c r="BS2" s="419" t="s">
        <v>36</v>
      </c>
      <c r="BT2" s="104" t="s">
        <v>695</v>
      </c>
      <c r="BU2" s="103">
        <v>26</v>
      </c>
      <c r="BV2" s="104" t="str">
        <f>IFERROR(RIGHT(BT2,LEN(BT2)-SEARCH(" ",BT2)),"")</f>
        <v>Jakub Boček</v>
      </c>
      <c r="BW2" s="102">
        <f>IF(BT2&lt;&gt;0,_xlfn.NUMBERVALUE(BU2,","),"")</f>
        <v>26</v>
      </c>
      <c r="BX2" s="418" t="s">
        <v>192</v>
      </c>
      <c r="BY2" s="103" t="s">
        <v>1343</v>
      </c>
      <c r="BZ2" s="103" t="s">
        <v>818</v>
      </c>
      <c r="CA2" s="115" t="s">
        <v>1020</v>
      </c>
    </row>
    <row r="3" spans="1:79" ht="15" customHeight="1" thickTop="1" thickBot="1" x14ac:dyDescent="0.25">
      <c r="A3" s="460" t="str">
        <f ca="1">IFERROR(VLOOKUP(A1,OFFSET($AG$2,,,COUNTIF($AG$2:$AG$50,"?*"),23),18,FALSE),"")</f>
        <v>12 OZ, 26 (18+8), +16 ±</v>
      </c>
      <c r="B3" s="461"/>
      <c r="C3" s="461"/>
      <c r="D3" s="462" t="str">
        <f ca="1">IFERROR(VLOOKUP(A1,OFFSET($AG$2,,,COUNTIF($AG$2:$AG$50,"?*"),23),19,FALSE),"")</f>
        <v>49 OZ, 99 (53+46)</v>
      </c>
      <c r="E3" s="462"/>
      <c r="F3" s="463"/>
      <c r="G3" s="431" t="s">
        <v>680</v>
      </c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460" t="str">
        <f ca="1">IFERROR(VLOOKUP(M1,OFFSET($AG$2,,,COUNTIF($AG$2:$AG$50,"?*"),23),18,FALSE),"")</f>
        <v>11 OZ, 16 (9+7), +13 ±</v>
      </c>
      <c r="N3" s="461"/>
      <c r="O3" s="461"/>
      <c r="P3" s="462" t="str">
        <f ca="1">IFERROR(VLOOKUP(M1,OFFSET($AG$2,,,COUNTIF($AG$2:$AG$50,"?*"),23),19,FALSE),"")</f>
        <v>57 OZ, 65 (33+32)</v>
      </c>
      <c r="Q3" s="462"/>
      <c r="R3" s="463"/>
      <c r="S3" s="110" t="s">
        <v>676</v>
      </c>
      <c r="T3" s="102" t="s">
        <v>107</v>
      </c>
      <c r="U3" s="102">
        <v>12</v>
      </c>
      <c r="V3" s="102">
        <v>12</v>
      </c>
      <c r="W3" s="102">
        <v>1</v>
      </c>
      <c r="X3" s="102">
        <v>0</v>
      </c>
      <c r="Y3" s="102">
        <v>7</v>
      </c>
      <c r="Z3" s="102">
        <v>19</v>
      </c>
      <c r="AA3" s="102">
        <v>0</v>
      </c>
      <c r="AB3" s="102">
        <v>3</v>
      </c>
      <c r="AC3" s="102" t="str">
        <f t="shared" ca="1" si="0"/>
        <v>ANO</v>
      </c>
      <c r="AG3" s="121" t="s">
        <v>757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9 OZ, 2 (1+1), -1 ±</v>
      </c>
      <c r="AY3" s="129" t="str">
        <f t="shared" ca="1" si="2"/>
        <v>9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1338</v>
      </c>
      <c r="BO3" s="122">
        <v>27741</v>
      </c>
      <c r="BP3" s="131" t="s">
        <v>237</v>
      </c>
      <c r="BQ3" s="132"/>
      <c r="BR3" s="127">
        <f t="shared" ref="BR3:BR11" ca="1" si="13">IF(BN3&lt;&gt;"",IF(BO3&lt;&gt;"",INT((TODAY()-BO3)/365),"?"),"")</f>
        <v>45</v>
      </c>
      <c r="BS3" s="419"/>
      <c r="BT3" s="104" t="s">
        <v>1113</v>
      </c>
      <c r="BU3" s="103">
        <v>19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19</v>
      </c>
      <c r="BX3" s="418"/>
      <c r="BY3" s="103" t="s">
        <v>841</v>
      </c>
      <c r="BZ3" s="103" t="s">
        <v>851</v>
      </c>
      <c r="CA3" s="115" t="s">
        <v>1109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>BLACK ANGELS</v>
      </c>
      <c r="B4" s="449"/>
      <c r="C4" s="450"/>
      <c r="D4" s="451">
        <f ca="1">IFERROR(IF(VLOOKUP(A1,OFFSET($AG$2,,,COUNTIF($AG$2:$AG$50,"?*"),23),14,FALSE)&lt;&gt;0,VLOOKUP(A1,OFFSET($AG$2,,,COUNTIF($AG$2:$AG$50,"?*"),23),14,FALSE),"?"),"")</f>
        <v>2008</v>
      </c>
      <c r="E4" s="452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2000</v>
      </c>
      <c r="I4" s="425"/>
      <c r="J4" s="117">
        <f ca="1">IFERROR(VLOOKUP(G3,OFFSET($AG$2,,,COUNTIF($AG$2:$AG$50,"?*"),23),15,FALSE),"")</f>
        <v>21</v>
      </c>
      <c r="K4" s="426" t="str">
        <f ca="1">IFERROR(VLOOKUP(G3,OFFSET($AG$2,,,COUNTIF($AG$2:$AG$50,"?*"),23),16,FALSE),"")</f>
        <v>180/72</v>
      </c>
      <c r="L4" s="427"/>
      <c r="M4" s="448" t="str">
        <f ca="1">IFERROR(IF(VLOOKUP(M1,OFFSET($AG$2,,,COUNTIF($AG$2:$AG$50,"?*"),23),13,FALSE)&lt;&gt;0,VLOOKUP(M1,OFFSET($AG$2,,,COUNTIF($AG$2:$AG$50,"?*"),23),13,FALSE),"?"),"")</f>
        <v>BLACK ANGELS</v>
      </c>
      <c r="N4" s="449"/>
      <c r="O4" s="450"/>
      <c r="P4" s="451">
        <f ca="1">IFERROR(IF(VLOOKUP(M1,OFFSET($AG$2,,,COUNTIF($AG$2:$AG$50,"?*"),23),14,FALSE)&lt;&gt;0,VLOOKUP(M1,OFFSET($AG$2,,,COUNTIF($AG$2:$AG$50,"?*"),23),14,FALSE),"?"),"")</f>
        <v>2008</v>
      </c>
      <c r="Q4" s="452"/>
      <c r="R4" s="7">
        <f ca="1">IFERROR(IF(VLOOKUP(M1,OFFSET($AG$2,,,COUNTIF($AG$2:$AG$50,"?*"),23),7,FALSE)&lt;&gt;0,VLOOKUP(M1,OFFSET($AG$2,,,COUNTIF($AG$2:$AG$50,"?*"),23),7,FALSE),"?"),"")</f>
        <v>3</v>
      </c>
      <c r="S4" s="110" t="s">
        <v>673</v>
      </c>
      <c r="U4" s="102">
        <v>11</v>
      </c>
      <c r="V4" s="102">
        <v>9</v>
      </c>
      <c r="W4" s="102">
        <v>3</v>
      </c>
      <c r="X4" s="102">
        <v>0</v>
      </c>
      <c r="Y4" s="102">
        <v>7</v>
      </c>
      <c r="Z4" s="102">
        <v>16</v>
      </c>
      <c r="AA4" s="102">
        <v>8</v>
      </c>
      <c r="AB4" s="102">
        <v>13</v>
      </c>
      <c r="AC4" s="102" t="str">
        <f t="shared" ca="1" si="0"/>
        <v>ANO</v>
      </c>
      <c r="AG4" s="121" t="s">
        <v>680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137</v>
      </c>
      <c r="AQ4" s="123">
        <v>180</v>
      </c>
      <c r="AR4" s="123">
        <v>72</v>
      </c>
      <c r="AS4" s="126" t="s">
        <v>67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12 OZ, 26 (18+8), +16 ±</v>
      </c>
      <c r="AY4" s="129" t="str">
        <f t="shared" ca="1" si="2"/>
        <v>49 OZ, 99 (53+46)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1339</v>
      </c>
      <c r="BO4" s="122">
        <v>33641</v>
      </c>
      <c r="BP4" s="131" t="s">
        <v>1340</v>
      </c>
      <c r="BQ4" s="132"/>
      <c r="BR4" s="127">
        <f t="shared" ca="1" si="13"/>
        <v>29</v>
      </c>
      <c r="BS4" s="419"/>
      <c r="BT4" s="104" t="s">
        <v>1116</v>
      </c>
      <c r="BU4" s="103">
        <v>16</v>
      </c>
      <c r="BV4" s="104" t="str">
        <f t="shared" si="14"/>
        <v>Jakub Hromada</v>
      </c>
      <c r="BW4" s="102">
        <f t="shared" si="15"/>
        <v>16</v>
      </c>
      <c r="BX4" s="418"/>
      <c r="BY4" s="103" t="s">
        <v>822</v>
      </c>
      <c r="BZ4" s="103" t="s">
        <v>813</v>
      </c>
      <c r="CA4" s="115" t="s">
        <v>1110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>12 OZ, 26 (18+8), +16 ±</v>
      </c>
      <c r="H5" s="461"/>
      <c r="I5" s="461"/>
      <c r="J5" s="462" t="str">
        <f ca="1">IFERROR(VLOOKUP(G3,OFFSET($AG$2,,,COUNTIF($AG$2:$AG$50,"?*"),23),19,FALSE),"")</f>
        <v>49 OZ, 99 (53+46)</v>
      </c>
      <c r="K5" s="462"/>
      <c r="L5" s="463"/>
      <c r="R5" s="13"/>
      <c r="S5" s="110" t="s">
        <v>678</v>
      </c>
      <c r="T5" s="102" t="s">
        <v>107</v>
      </c>
      <c r="U5" s="102">
        <v>12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8</v>
      </c>
      <c r="AB5" s="102">
        <v>19</v>
      </c>
      <c r="AC5" s="102" t="str">
        <f t="shared" ca="1" si="0"/>
        <v>ANO</v>
      </c>
      <c r="AG5" s="121" t="s">
        <v>678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137</v>
      </c>
      <c r="AQ5" s="123">
        <v>179</v>
      </c>
      <c r="AR5" s="123">
        <v>75</v>
      </c>
      <c r="AS5" s="126" t="s">
        <v>67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12 OZ, 15 (6+9), +19 ±</v>
      </c>
      <c r="AY5" s="129" t="str">
        <f t="shared" ca="1" si="2"/>
        <v>50 OZ, 58 (30+28)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1341</v>
      </c>
      <c r="BO5" s="122">
        <v>21690</v>
      </c>
      <c r="BP5" s="131" t="s">
        <v>176</v>
      </c>
      <c r="BQ5" s="132"/>
      <c r="BR5" s="127">
        <f t="shared" ca="1" si="13"/>
        <v>62</v>
      </c>
      <c r="BS5" s="419"/>
      <c r="BT5" s="104" t="s">
        <v>825</v>
      </c>
      <c r="BU5" s="103">
        <v>15</v>
      </c>
      <c r="BV5" s="104" t="str">
        <f t="shared" si="14"/>
        <v>Matěj Boček</v>
      </c>
      <c r="BW5" s="102">
        <f t="shared" si="15"/>
        <v>15</v>
      </c>
      <c r="BX5" s="418"/>
      <c r="BY5" s="103" t="s">
        <v>833</v>
      </c>
      <c r="BZ5" s="103" t="s">
        <v>814</v>
      </c>
      <c r="CA5" s="115" t="s">
        <v>806</v>
      </c>
    </row>
    <row r="6" spans="1:79" ht="15" customHeight="1" thickTop="1" thickBot="1" x14ac:dyDescent="0.25">
      <c r="A6" s="431" t="s">
        <v>690</v>
      </c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448" t="str">
        <f ca="1">IFERROR(IF(VLOOKUP(G3,OFFSET($AG$2,,,COUNTIF($AG$2:$AG$50,"?*"),23),13,FALSE)&lt;&gt;0,VLOOKUP(G3,OFFSET($AG$2,,,COUNTIF($AG$2:$AG$50,"?*"),23),13,FALSE),"?"),"")</f>
        <v>BLACK ANGELS</v>
      </c>
      <c r="H6" s="449"/>
      <c r="I6" s="450"/>
      <c r="J6" s="451">
        <f ca="1">IFERROR(IF(VLOOKUP(G3,OFFSET($AG$2,,,COUNTIF($AG$2:$AG$50,"?*"),23),14,FALSE)&lt;&gt;0,VLOOKUP(G3,OFFSET($AG$2,,,COUNTIF($AG$2:$AG$50,"?*"),23),14,FALSE),"?"),"")</f>
        <v>2008</v>
      </c>
      <c r="K6" s="452"/>
      <c r="L6" s="7">
        <f ca="1">IFERROR(IF(VLOOKUP(G3,OFFSET($AG$2,,,COUNTIF($AG$2:$AG$50,"?*"),23),7,FALSE)&lt;&gt;0,VLOOKUP(G3,OFFSET($AG$2,,,COUNTIF($AG$2:$AG$50,"?*"),23),7,FALSE),"?"),"")</f>
        <v>3</v>
      </c>
      <c r="M6" s="431" t="s">
        <v>682</v>
      </c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110" t="s">
        <v>679</v>
      </c>
      <c r="T6" s="102" t="s">
        <v>107</v>
      </c>
      <c r="U6" s="102">
        <v>12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2</v>
      </c>
      <c r="AC6" s="102" t="str">
        <f t="shared" ca="1" si="0"/>
        <v>ANO</v>
      </c>
      <c r="AG6" s="121" t="s">
        <v>677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137</v>
      </c>
      <c r="AQ6" s="123">
        <v>188</v>
      </c>
      <c r="AR6" s="123">
        <v>83</v>
      </c>
      <c r="AS6" s="126" t="s">
        <v>284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8 OZ, 3 (1+2), +1 ±</v>
      </c>
      <c r="AY6" s="129" t="str">
        <f t="shared" ca="1" si="2"/>
        <v>53 OZ, 11 (3+8)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19"/>
      <c r="BT6" s="104" t="s">
        <v>1114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18"/>
      <c r="BY6" s="103" t="s">
        <v>832</v>
      </c>
      <c r="BZ6" s="103" t="s">
        <v>816</v>
      </c>
      <c r="CA6" s="115" t="s">
        <v>798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1994</v>
      </c>
      <c r="C7" s="425"/>
      <c r="D7" s="117">
        <f ca="1">IFERROR(VLOOKUP(A6,OFFSET($AG$2,,,COUNTIF($AG$2:$AG$50,"?*"),23),15,FALSE),"")</f>
        <v>27</v>
      </c>
      <c r="E7" s="426" t="str">
        <f ca="1">IFERROR(VLOOKUP(A6,OFFSET($AG$2,,,COUNTIF($AG$2:$AG$50,"?*"),23),16,FALSE),"")</f>
        <v>190/77</v>
      </c>
      <c r="F7" s="427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2000</v>
      </c>
      <c r="O7" s="425"/>
      <c r="P7" s="117">
        <f ca="1">IFERROR(VLOOKUP(M6,OFFSET($AG$2,,,COUNTIF($AG$2:$AG$50,"?*"),23),15,FALSE),"")</f>
        <v>21</v>
      </c>
      <c r="Q7" s="426" t="str">
        <f ca="1">IFERROR(VLOOKUP(M6,OFFSET($AG$2,,,COUNTIF($AG$2:$AG$50,"?*"),23),16,FALSE),"")</f>
        <v>190/77</v>
      </c>
      <c r="R7" s="427"/>
      <c r="S7" s="110" t="s">
        <v>684</v>
      </c>
      <c r="T7" s="102" t="s">
        <v>107</v>
      </c>
      <c r="U7" s="102">
        <v>12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-6</v>
      </c>
      <c r="AC7" s="102" t="str">
        <f t="shared" ca="1" si="0"/>
        <v>ANO</v>
      </c>
      <c r="AG7" s="121" t="s">
        <v>675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27</v>
      </c>
      <c r="AQ7" s="123">
        <v>169</v>
      </c>
      <c r="AR7" s="123">
        <v>91</v>
      </c>
      <c r="AS7" s="126" t="s">
        <v>67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11 OZ, 7 (3+4), +5 ±</v>
      </c>
      <c r="AY7" s="129" t="str">
        <f t="shared" ca="1" si="2"/>
        <v>46 OZ, 29 (16+13)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9" t="s">
        <v>40</v>
      </c>
      <c r="BT7" s="104" t="s">
        <v>693</v>
      </c>
      <c r="BU7" s="103" t="s">
        <v>1115</v>
      </c>
      <c r="BV7" s="104" t="str">
        <f t="shared" si="14"/>
        <v>Ondřej Matiášek</v>
      </c>
      <c r="BW7" s="112">
        <f t="shared" si="15"/>
        <v>4.5</v>
      </c>
      <c r="BX7" s="418" t="s">
        <v>193</v>
      </c>
      <c r="BY7" s="103" t="s">
        <v>1100</v>
      </c>
      <c r="BZ7" s="103" t="s">
        <v>839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>9 OZ, 1 (0+1), -8 ±</v>
      </c>
      <c r="B8" s="461"/>
      <c r="C8" s="461"/>
      <c r="D8" s="462" t="str">
        <f ca="1">IFERROR(VLOOKUP(A6,OFFSET($AG$2,,,COUNTIF($AG$2:$AG$50,"?*"),23),19,FALSE),"")</f>
        <v>103 OZ, 42 (14+28)</v>
      </c>
      <c r="E8" s="462"/>
      <c r="F8" s="463"/>
      <c r="H8" s="464" t="s">
        <v>91</v>
      </c>
      <c r="I8" s="464"/>
      <c r="J8" s="464"/>
      <c r="K8" s="464"/>
      <c r="M8" s="460" t="str">
        <f ca="1">IFERROR(VLOOKUP(M6,OFFSET($AG$2,,,COUNTIF($AG$2:$AG$50,"?*"),23),18,FALSE),"")</f>
        <v>11 OZ, 9 (5+4), +17 ±</v>
      </c>
      <c r="N8" s="461"/>
      <c r="O8" s="461"/>
      <c r="P8" s="462" t="str">
        <f ca="1">IFERROR(VLOOKUP(M6,OFFSET($AG$2,,,COUNTIF($AG$2:$AG$50,"?*"),23),19,FALSE),"")</f>
        <v>50 OZ, 15 (7+8)</v>
      </c>
      <c r="Q8" s="462"/>
      <c r="R8" s="463"/>
      <c r="S8" s="110" t="s">
        <v>682</v>
      </c>
      <c r="T8" s="102" t="s">
        <v>58</v>
      </c>
      <c r="U8" s="102">
        <v>11</v>
      </c>
      <c r="V8" s="102">
        <v>5</v>
      </c>
      <c r="W8" s="102">
        <v>0</v>
      </c>
      <c r="X8" s="102">
        <v>0</v>
      </c>
      <c r="Y8" s="102">
        <v>4</v>
      </c>
      <c r="Z8" s="102">
        <v>9</v>
      </c>
      <c r="AA8" s="102">
        <v>0</v>
      </c>
      <c r="AB8" s="102">
        <v>17</v>
      </c>
      <c r="AC8" s="102" t="str">
        <f t="shared" ca="1" si="0"/>
        <v>ANO</v>
      </c>
      <c r="AG8" s="121" t="s">
        <v>756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137</v>
      </c>
      <c r="AQ8" s="123">
        <v>184</v>
      </c>
      <c r="AR8" s="123">
        <v>71</v>
      </c>
      <c r="AS8" s="126" t="s">
        <v>1333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8 OZ, 0 (0+0), -6 ±</v>
      </c>
      <c r="AY8" s="129" t="str">
        <f t="shared" ca="1" si="2"/>
        <v>13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9"/>
      <c r="BT8" s="104" t="s">
        <v>694</v>
      </c>
      <c r="BU8" s="103" t="s">
        <v>1350</v>
      </c>
      <c r="BV8" s="104" t="str">
        <f t="shared" si="14"/>
        <v>Daniel Körber</v>
      </c>
      <c r="BW8" s="112">
        <f t="shared" si="15"/>
        <v>6.89</v>
      </c>
      <c r="BX8" s="418"/>
      <c r="BY8" s="103" t="s">
        <v>1111</v>
      </c>
      <c r="BZ8" s="103" t="s">
        <v>850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>FbŠ Bohemians</v>
      </c>
      <c r="B9" s="449"/>
      <c r="C9" s="450"/>
      <c r="D9" s="451">
        <f ca="1">IFERROR(IF(VLOOKUP(A6,OFFSET($AG$2,,,COUNTIF($AG$2:$AG$50,"?*"),23),14,FALSE)&lt;&gt;0,VLOOKUP(A6,OFFSET($AG$2,,,COUNTIF($AG$2:$AG$50,"?*"),23),14,FALSE),"?"),"")</f>
        <v>2004</v>
      </c>
      <c r="E9" s="452"/>
      <c r="F9" s="7">
        <f ca="1">IFERROR(IF(VLOOKUP(A6,OFFSET($AG$2,,,COUNTIF($AG$2:$AG$50,"?*"),23),7,FALSE)&lt;&gt;0,VLOOKUP(A6,OFFSET($AG$2,,,COUNTIF($AG$2:$AG$50,"?*"),23),7,FALSE),"?"),"")</f>
        <v>7</v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>Vosy Praha</v>
      </c>
      <c r="N9" s="449"/>
      <c r="O9" s="450"/>
      <c r="P9" s="451">
        <f ca="1">IFERROR(IF(VLOOKUP(M6,OFFSET($AG$2,,,COUNTIF($AG$2:$AG$50,"?*"),23),14,FALSE)&lt;&gt;0,VLOOKUP(M6,OFFSET($AG$2,,,COUNTIF($AG$2:$AG$50,"?*"),23),14,FALSE),"?"),"")</f>
        <v>2009</v>
      </c>
      <c r="Q9" s="452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675</v>
      </c>
      <c r="T9" s="102" t="s">
        <v>107</v>
      </c>
      <c r="U9" s="102">
        <v>11</v>
      </c>
      <c r="V9" s="102">
        <v>3</v>
      </c>
      <c r="W9" s="102">
        <v>0</v>
      </c>
      <c r="X9" s="102">
        <v>0</v>
      </c>
      <c r="Y9" s="102">
        <v>4</v>
      </c>
      <c r="Z9" s="102">
        <v>7</v>
      </c>
      <c r="AA9" s="102">
        <v>8</v>
      </c>
      <c r="AB9" s="102">
        <v>5</v>
      </c>
      <c r="AC9" s="102" t="str">
        <f t="shared" ca="1" si="0"/>
        <v>ANO</v>
      </c>
      <c r="AG9" s="121" t="s">
        <v>686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137</v>
      </c>
      <c r="AQ9" s="123">
        <v>181</v>
      </c>
      <c r="AR9" s="123">
        <v>81</v>
      </c>
      <c r="AS9" s="126" t="s">
        <v>68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12 OZ, 3 (2+1), -14 ±</v>
      </c>
      <c r="AY9" s="129" t="str">
        <f t="shared" ca="1" si="2"/>
        <v>37 OZ, 6 (3+3)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9"/>
      <c r="BV9" s="104" t="str">
        <f t="shared" si="14"/>
        <v/>
      </c>
      <c r="BW9" s="112" t="str">
        <f t="shared" si="15"/>
        <v/>
      </c>
      <c r="BX9" s="418"/>
      <c r="BY9" s="103" t="s">
        <v>1112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755</v>
      </c>
      <c r="U10" s="102">
        <v>9</v>
      </c>
      <c r="V10" s="102">
        <v>3</v>
      </c>
      <c r="W10" s="102">
        <v>0</v>
      </c>
      <c r="X10" s="102">
        <v>0</v>
      </c>
      <c r="Y10" s="102">
        <v>3</v>
      </c>
      <c r="Z10" s="102">
        <v>6</v>
      </c>
      <c r="AA10" s="102">
        <v>2</v>
      </c>
      <c r="AB10" s="102">
        <v>-2</v>
      </c>
      <c r="AC10" s="102" t="str">
        <f t="shared" ca="1" si="0"/>
        <v>ANO</v>
      </c>
      <c r="AG10" s="121" t="s">
        <v>679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137</v>
      </c>
      <c r="AQ10" s="123">
        <v>191</v>
      </c>
      <c r="AR10" s="123">
        <v>88</v>
      </c>
      <c r="AS10" s="126" t="s">
        <v>1332</v>
      </c>
      <c r="AT10" s="123">
        <v>2008</v>
      </c>
      <c r="AU10" s="127">
        <f ca="1">IF(AG10&lt;&gt;"",IF(AH10&lt;&gt;"",INT((TODAY()-AH10)/365),"?"),"")</f>
        <v>22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12 OZ, 10 (5+5), +2 ±</v>
      </c>
      <c r="AY10" s="129" t="str">
        <f t="shared" ca="1" si="2"/>
        <v>53 OZ, 60 (37+23)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9"/>
      <c r="BV10" s="104" t="str">
        <f t="shared" si="14"/>
        <v/>
      </c>
      <c r="BW10" s="112" t="str">
        <f t="shared" si="15"/>
        <v/>
      </c>
      <c r="BX10" s="418"/>
      <c r="BY10" s="103" t="s">
        <v>1150</v>
      </c>
      <c r="BZ10" s="103" t="s">
        <v>849</v>
      </c>
      <c r="CA10" s="115" t="s">
        <v>188</v>
      </c>
    </row>
    <row r="11" spans="1:79" ht="15" customHeight="1" thickTop="1" thickBot="1" x14ac:dyDescent="0.25">
      <c r="R11" s="13"/>
      <c r="S11" s="110" t="s">
        <v>674</v>
      </c>
      <c r="T11" s="102" t="s">
        <v>58</v>
      </c>
      <c r="U11" s="102">
        <v>12</v>
      </c>
      <c r="V11" s="102">
        <v>4</v>
      </c>
      <c r="W11" s="102">
        <v>3</v>
      </c>
      <c r="X11" s="102">
        <v>0</v>
      </c>
      <c r="Y11" s="102">
        <v>1</v>
      </c>
      <c r="Z11" s="102">
        <v>5</v>
      </c>
      <c r="AA11" s="102">
        <v>0</v>
      </c>
      <c r="AB11" s="102">
        <v>1</v>
      </c>
      <c r="AC11" s="102" t="str">
        <f t="shared" ca="1" si="0"/>
        <v>ANO</v>
      </c>
      <c r="AG11" s="121" t="s">
        <v>676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137</v>
      </c>
      <c r="AQ11" s="123">
        <v>187</v>
      </c>
      <c r="AR11" s="123">
        <v>83</v>
      </c>
      <c r="AS11" s="126" t="s">
        <v>1334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12 OZ, 19 (12+7), +3 ±</v>
      </c>
      <c r="AY11" s="129" t="str">
        <f t="shared" ca="1" si="2"/>
        <v>42 OZ, 70 (43+27)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9"/>
      <c r="BV11" s="104" t="str">
        <f t="shared" si="14"/>
        <v/>
      </c>
      <c r="BW11" s="112" t="str">
        <f t="shared" si="15"/>
        <v/>
      </c>
      <c r="BX11" s="418"/>
      <c r="BY11" s="103" t="s">
        <v>1344</v>
      </c>
      <c r="BZ11" s="103" t="s">
        <v>848</v>
      </c>
      <c r="CA11" s="115" t="s">
        <v>188</v>
      </c>
    </row>
    <row r="12" spans="1:79" ht="15" customHeight="1" thickTop="1" thickBot="1" x14ac:dyDescent="0.25">
      <c r="A12" s="431" t="s">
        <v>675</v>
      </c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65" t="s">
        <v>7</v>
      </c>
      <c r="I12" s="465"/>
      <c r="J12" s="465"/>
      <c r="K12" s="465"/>
      <c r="M12" s="431" t="s">
        <v>679</v>
      </c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110" t="s">
        <v>686</v>
      </c>
      <c r="T12" s="102" t="s">
        <v>107</v>
      </c>
      <c r="U12" s="102">
        <v>12</v>
      </c>
      <c r="V12" s="102">
        <v>2</v>
      </c>
      <c r="W12" s="102">
        <v>1</v>
      </c>
      <c r="X12" s="102">
        <v>0</v>
      </c>
      <c r="Y12" s="102">
        <v>1</v>
      </c>
      <c r="Z12" s="102">
        <v>3</v>
      </c>
      <c r="AA12" s="102">
        <v>0</v>
      </c>
      <c r="AB12" s="102">
        <v>-14</v>
      </c>
      <c r="AC12" s="102" t="str">
        <f t="shared" ca="1" si="0"/>
        <v>ANO</v>
      </c>
      <c r="AG12" s="121" t="s">
        <v>673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137</v>
      </c>
      <c r="AQ12" s="123">
        <v>194</v>
      </c>
      <c r="AR12" s="123">
        <v>78</v>
      </c>
      <c r="AS12" s="126" t="s">
        <v>67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11 OZ, 16 (9+7), +13 ±</v>
      </c>
      <c r="AY12" s="129" t="str">
        <f t="shared" ca="1" si="2"/>
        <v>57 OZ, 65 (33+32)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9" t="s">
        <v>37</v>
      </c>
      <c r="BT12" s="104" t="s">
        <v>695</v>
      </c>
      <c r="BU12" s="103">
        <v>18</v>
      </c>
      <c r="BV12" s="104" t="str">
        <f t="shared" si="14"/>
        <v>Jakub Boček</v>
      </c>
      <c r="BW12" s="102">
        <f t="shared" si="15"/>
        <v>18</v>
      </c>
      <c r="BX12" s="120" t="s">
        <v>191</v>
      </c>
      <c r="BY12" s="100" t="s">
        <v>1356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2002</v>
      </c>
      <c r="C13" s="425"/>
      <c r="D13" s="117">
        <f ca="1">IFERROR(VLOOKUP(A12,OFFSET($AG$2,,,COUNTIF($AG$2:$AG$50,"?*"),23),15,FALSE),"")</f>
        <v>19</v>
      </c>
      <c r="E13" s="426" t="str">
        <f ca="1">IFERROR(VLOOKUP(A12,OFFSET($AG$2,,,COUNTIF($AG$2:$AG$50,"?*"),23),16,FALSE),"")</f>
        <v>169/91</v>
      </c>
      <c r="F13" s="427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1998</v>
      </c>
      <c r="O13" s="425"/>
      <c r="P13" s="117">
        <f ca="1">IFERROR(VLOOKUP(M12,OFFSET($AG$2,,,COUNTIF($AG$2:$AG$50,"?*"),23),15,FALSE),"")</f>
        <v>22</v>
      </c>
      <c r="Q13" s="426" t="str">
        <f ca="1">IFERROR(VLOOKUP(M12,OFFSET($AG$2,,,COUNTIF($AG$2:$AG$50,"?*"),23),16,FALSE),"")</f>
        <v>191/88</v>
      </c>
      <c r="R13" s="427"/>
      <c r="S13" s="110" t="s">
        <v>677</v>
      </c>
      <c r="T13" s="102" t="s">
        <v>58</v>
      </c>
      <c r="U13" s="102">
        <v>8</v>
      </c>
      <c r="V13" s="102">
        <v>1</v>
      </c>
      <c r="W13" s="102">
        <v>1</v>
      </c>
      <c r="X13" s="102">
        <v>0</v>
      </c>
      <c r="Y13" s="102">
        <v>2</v>
      </c>
      <c r="Z13" s="102">
        <v>3</v>
      </c>
      <c r="AA13" s="102">
        <v>0</v>
      </c>
      <c r="AB13" s="102">
        <v>1</v>
      </c>
      <c r="AC13" s="102" t="str">
        <f t="shared" ca="1" si="0"/>
        <v>ANO</v>
      </c>
      <c r="AG13" s="121" t="s">
        <v>1108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9"/>
      <c r="BT13" s="104" t="s">
        <v>1113</v>
      </c>
      <c r="BU13" s="103">
        <v>12</v>
      </c>
      <c r="BV13" s="104" t="str">
        <f t="shared" si="14"/>
        <v>Tomáš Hanák</v>
      </c>
      <c r="BW13" s="102">
        <f t="shared" si="15"/>
        <v>12</v>
      </c>
    </row>
    <row r="14" spans="1:79" ht="15" customHeight="1" thickTop="1" thickBot="1" x14ac:dyDescent="0.25">
      <c r="A14" s="460" t="str">
        <f ca="1">IFERROR(VLOOKUP(A12,OFFSET($AG$2,,,COUNTIF($AG$2:$AG$50,"?*"),23),18,FALSE),"")</f>
        <v>11 OZ, 7 (3+4), +5 ±</v>
      </c>
      <c r="B14" s="461"/>
      <c r="C14" s="461"/>
      <c r="D14" s="462" t="str">
        <f ca="1">IFERROR(VLOOKUP(A12,OFFSET($AG$2,,,COUNTIF($AG$2:$AG$50,"?*"),23),19,FALSE),"")</f>
        <v>46 OZ, 29 (16+13)</v>
      </c>
      <c r="E14" s="462"/>
      <c r="F14" s="463"/>
      <c r="G14" s="431" t="s">
        <v>676</v>
      </c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460" t="str">
        <f ca="1">IFERROR(VLOOKUP(M12,OFFSET($AG$2,,,COUNTIF($AG$2:$AG$50,"?*"),23),18,FALSE),"")</f>
        <v>12 OZ, 10 (5+5), +2 ±</v>
      </c>
      <c r="N14" s="461"/>
      <c r="O14" s="461"/>
      <c r="P14" s="462" t="str">
        <f ca="1">IFERROR(VLOOKUP(M12,OFFSET($AG$2,,,COUNTIF($AG$2:$AG$50,"?*"),23),19,FALSE),"")</f>
        <v>53 OZ, 60 (37+23)</v>
      </c>
      <c r="Q14" s="462"/>
      <c r="R14" s="463"/>
      <c r="S14" s="110" t="s">
        <v>757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691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27</v>
      </c>
      <c r="AQ14" s="123">
        <v>185</v>
      </c>
      <c r="AR14" s="123">
        <v>83</v>
      </c>
      <c r="AS14" s="126" t="s">
        <v>67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1 (1+0), -7 ±</v>
      </c>
      <c r="AY14" s="129" t="str">
        <f t="shared" ca="1" si="2"/>
        <v>55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9"/>
      <c r="BT14" s="104" t="s">
        <v>1116</v>
      </c>
      <c r="BU14" s="103">
        <v>9</v>
      </c>
      <c r="BV14" s="104" t="str">
        <f t="shared" si="14"/>
        <v>Jakub Hromada</v>
      </c>
      <c r="BW14" s="102">
        <f t="shared" si="15"/>
        <v>9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>BLACK ANGELS</v>
      </c>
      <c r="B15" s="449"/>
      <c r="C15" s="450"/>
      <c r="D15" s="451">
        <f ca="1">IFERROR(IF(VLOOKUP(A12,OFFSET($AG$2,,,COUNTIF($AG$2:$AG$50,"?*"),23),14,FALSE)&lt;&gt;0,VLOOKUP(A12,OFFSET($AG$2,,,COUNTIF($AG$2:$AG$50,"?*"),23),14,FALSE),"?"),"")</f>
        <v>2008</v>
      </c>
      <c r="E15" s="452"/>
      <c r="F15" s="7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2002</v>
      </c>
      <c r="I15" s="425"/>
      <c r="J15" s="117">
        <f ca="1">IFERROR(VLOOKUP(G14,OFFSET($AG$2,,,COUNTIF($AG$2:$AG$50,"?*"),23),15,FALSE),"")</f>
        <v>19</v>
      </c>
      <c r="K15" s="426" t="str">
        <f ca="1">IFERROR(VLOOKUP(G14,OFFSET($AG$2,,,COUNTIF($AG$2:$AG$50,"?*"),23),16,FALSE),"")</f>
        <v>187/83</v>
      </c>
      <c r="L15" s="427"/>
      <c r="M15" s="448" t="str">
        <f ca="1">IFERROR(IF(VLOOKUP(M12,OFFSET($AG$2,,,COUNTIF($AG$2:$AG$50,"?*"),23),13,FALSE)&lt;&gt;0,VLOOKUP(M12,OFFSET($AG$2,,,COUNTIF($AG$2:$AG$50,"?*"),23),13,FALSE),"?"),"")</f>
        <v>JIP Český Krumlov</v>
      </c>
      <c r="N15" s="449"/>
      <c r="O15" s="450"/>
      <c r="P15" s="451">
        <f ca="1">IFERROR(IF(VLOOKUP(M12,OFFSET($AG$2,,,COUNTIF($AG$2:$AG$50,"?*"),23),14,FALSE)&lt;&gt;0,VLOOKUP(M12,OFFSET($AG$2,,,COUNTIF($AG$2:$AG$50,"?*"),23),14,FALSE),"?"),"")</f>
        <v>2008</v>
      </c>
      <c r="Q15" s="452"/>
      <c r="R15" s="7">
        <f ca="1">IFERROR(IF(VLOOKUP(M12,OFFSET($AG$2,,,COUNTIF($AG$2:$AG$50,"?*"),23),7,FALSE)&lt;&gt;0,VLOOKUP(M12,OFFSET($AG$2,,,COUNTIF($AG$2:$AG$50,"?*"),23),7,FALSE),"?"),"")</f>
        <v>3</v>
      </c>
      <c r="S15" s="110" t="s">
        <v>685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689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1329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3 V, 4 P</v>
      </c>
      <c r="AY15" s="129" t="str">
        <f t="shared" ca="1" si="2"/>
        <v>47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9"/>
      <c r="BT15" s="104" t="s">
        <v>825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>12 OZ, 19 (12+7), +3 ±</v>
      </c>
      <c r="H16" s="461"/>
      <c r="I16" s="461"/>
      <c r="J16" s="462" t="str">
        <f ca="1">IFERROR(VLOOKUP(G14,OFFSET($AG$2,,,COUNTIF($AG$2:$AG$50,"?*"),23),19,FALSE),"")</f>
        <v>42 OZ, 70 (43+27)</v>
      </c>
      <c r="K16" s="462"/>
      <c r="L16" s="463"/>
      <c r="R16" s="13"/>
      <c r="S16" s="110" t="s">
        <v>681</v>
      </c>
      <c r="T16" s="102" t="s">
        <v>107</v>
      </c>
      <c r="U16" s="102">
        <v>12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-12</v>
      </c>
      <c r="AC16" s="102" t="str">
        <f t="shared" ca="1" si="0"/>
        <v>ANO</v>
      </c>
      <c r="AG16" s="121" t="s">
        <v>1107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1 OZ, 0 (0+0), 0 ±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9"/>
      <c r="BT16" s="104" t="s">
        <v>1117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31" t="s">
        <v>674</v>
      </c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448" t="str">
        <f ca="1">IFERROR(IF(VLOOKUP(G14,OFFSET($AG$2,,,COUNTIF($AG$2:$AG$50,"?*"),23),13,FALSE)&lt;&gt;0,VLOOKUP(G14,OFFSET($AG$2,,,COUNTIF($AG$2:$AG$50,"?*"),23),13,FALSE),"?"),"")</f>
        <v>FBC Český Krumlov</v>
      </c>
      <c r="H17" s="449"/>
      <c r="I17" s="450"/>
      <c r="J17" s="451">
        <f ca="1">IFERROR(IF(VLOOKUP(G14,OFFSET($AG$2,,,COUNTIF($AG$2:$AG$50,"?*"),23),14,FALSE)&lt;&gt;0,VLOOKUP(G14,OFFSET($AG$2,,,COUNTIF($AG$2:$AG$50,"?*"),23),14,FALSE),"?"),"")</f>
        <v>2007</v>
      </c>
      <c r="K17" s="452"/>
      <c r="L17" s="7">
        <f ca="1">IFERROR(IF(VLOOKUP(G14,OFFSET($AG$2,,,COUNTIF($AG$2:$AG$50,"?*"),23),7,FALSE)&lt;&gt;0,VLOOKUP(G14,OFFSET($AG$2,,,COUNTIF($AG$2:$AG$50,"?*"),23),7,FALSE),"?"),"")</f>
        <v>3</v>
      </c>
      <c r="M17" s="431" t="s">
        <v>755</v>
      </c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110" t="s">
        <v>691</v>
      </c>
      <c r="T17" s="102" t="s">
        <v>107</v>
      </c>
      <c r="U17" s="102">
        <v>10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-7</v>
      </c>
      <c r="AC17" s="102" t="str">
        <f t="shared" ca="1" si="0"/>
        <v>ANO</v>
      </c>
      <c r="AG17" s="121" t="s">
        <v>690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137</v>
      </c>
      <c r="AQ17" s="123">
        <v>190</v>
      </c>
      <c r="AR17" s="123">
        <v>77</v>
      </c>
      <c r="AS17" s="126" t="s">
        <v>68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9 OZ, 1 (0+1), -8 ±</v>
      </c>
      <c r="AY17" s="129" t="str">
        <f t="shared" ca="1" si="2"/>
        <v>103 OZ, 42 (14+28)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9" t="s">
        <v>41</v>
      </c>
      <c r="BT17" s="104" t="s">
        <v>693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1995</v>
      </c>
      <c r="C18" s="425"/>
      <c r="D18" s="149">
        <f ca="1">IFERROR(VLOOKUP(A17,OFFSET($AG$2,,,COUNTIF($AG$2:$AG$50,"?*"),23),15,FALSE),"")</f>
        <v>25</v>
      </c>
      <c r="E18" s="426" t="str">
        <f ca="1">IFERROR(VLOOKUP(A17,OFFSET($AG$2,,,COUNTIF($AG$2:$AG$50,"?*"),23),16,FALSE),"")</f>
        <v>175/79</v>
      </c>
      <c r="F18" s="427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1995</v>
      </c>
      <c r="O18" s="425"/>
      <c r="P18" s="117">
        <f ca="1">IFERROR(VLOOKUP(M17,OFFSET($AG$2,,,COUNTIF($AG$2:$AG$50,"?*"),23),15,FALSE),"")</f>
        <v>26</v>
      </c>
      <c r="Q18" s="426" t="str">
        <f ca="1">IFERROR(VLOOKUP(M17,OFFSET($AG$2,,,COUNTIF($AG$2:$AG$50,"?*"),23),16,FALSE),"")</f>
        <v>193/93</v>
      </c>
      <c r="R18" s="427"/>
      <c r="S18" s="110" t="s">
        <v>690</v>
      </c>
      <c r="T18" s="102" t="s">
        <v>107</v>
      </c>
      <c r="U18" s="102">
        <v>9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2</v>
      </c>
      <c r="AB18" s="102">
        <v>-8</v>
      </c>
      <c r="AC18" s="102" t="str">
        <f t="shared" ca="1" si="0"/>
        <v>ANO</v>
      </c>
      <c r="AG18" s="121" t="s">
        <v>687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150</v>
      </c>
      <c r="AP18" s="125"/>
      <c r="AQ18" s="123">
        <v>180</v>
      </c>
      <c r="AR18" s="123">
        <v>76</v>
      </c>
      <c r="AS18" s="126" t="s">
        <v>1331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5 V, 2 P</v>
      </c>
      <c r="AY18" s="129" t="str">
        <f t="shared" ca="1" si="2"/>
        <v>46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9"/>
      <c r="BT18" s="104" t="s">
        <v>694</v>
      </c>
      <c r="BU18" s="103">
        <v>3</v>
      </c>
      <c r="BV18" s="104" t="str">
        <f t="shared" si="14"/>
        <v>Daniel Körber</v>
      </c>
      <c r="BW18" s="102">
        <f t="shared" si="15"/>
        <v>3</v>
      </c>
    </row>
    <row r="19" spans="1:75" ht="15" customHeight="1" x14ac:dyDescent="0.2">
      <c r="A19" s="460" t="str">
        <f ca="1">IFERROR(VLOOKUP(A17,OFFSET($AG$2,,,COUNTIF($AG$2:$AG$50,"?*"),23),18,FALSE),"")</f>
        <v>12 OZ, 5 (4+1), +1 ±</v>
      </c>
      <c r="B19" s="461"/>
      <c r="C19" s="461"/>
      <c r="D19" s="462" t="str">
        <f ca="1">IFERROR(VLOOKUP(A17,OFFSET($AG$2,,,COUNTIF($AG$2:$AG$50,"?*"),23),19,FALSE),"")</f>
        <v>59 OZ, 13 (8+5)</v>
      </c>
      <c r="E19" s="462"/>
      <c r="F19" s="463"/>
      <c r="H19" s="464" t="str">
        <f>H$8</f>
        <v>BA</v>
      </c>
      <c r="I19" s="464"/>
      <c r="J19" s="464"/>
      <c r="K19" s="464"/>
      <c r="M19" s="460" t="str">
        <f ca="1">IFERROR(VLOOKUP(M17,OFFSET($AG$2,,,COUNTIF($AG$2:$AG$50,"?*"),23),18,FALSE),"")</f>
        <v>9 OZ, 6 (3+3), -2 ±</v>
      </c>
      <c r="N19" s="461"/>
      <c r="O19" s="461"/>
      <c r="P19" s="462" t="str">
        <f ca="1">IFERROR(VLOOKUP(M17,OFFSET($AG$2,,,COUNTIF($AG$2:$AG$50,"?*"),23),19,FALSE),"")</f>
        <v>37 OZ, 18 (12+6)</v>
      </c>
      <c r="Q19" s="462"/>
      <c r="R19" s="463"/>
      <c r="S19" s="110" t="s">
        <v>689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0</v>
      </c>
      <c r="AC19" s="102" t="str">
        <f t="shared" ca="1" si="0"/>
        <v>ANO</v>
      </c>
      <c r="AG19" s="121" t="s">
        <v>688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5 OZ, 0 (0+0), -5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9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>Tatran Střešovice</v>
      </c>
      <c r="B20" s="449"/>
      <c r="C20" s="450"/>
      <c r="D20" s="451">
        <f ca="1">IFERROR(IF(VLOOKUP(A17,OFFSET($AG$2,,,COUNTIF($AG$2:$AG$50,"?*"),23),14,FALSE)&lt;&gt;0,VLOOKUP(A17,OFFSET($AG$2,,,COUNTIF($AG$2:$AG$50,"?*"),23),14,FALSE),"?"),"")</f>
        <v>2005</v>
      </c>
      <c r="E20" s="452"/>
      <c r="F20" s="7">
        <f ca="1">IFERROR(IF(VLOOKUP(A17,OFFSET($AG$2,,,COUNTIF($AG$2:$AG$50,"?*"),23),7,FALSE)&lt;&gt;0,VLOOKUP(A17,OFFSET($AG$2,,,COUNTIF($AG$2:$AG$50,"?*"),23),7,FALSE),"?"),"")</f>
        <v>3</v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>Warrios</v>
      </c>
      <c r="N20" s="449"/>
      <c r="O20" s="450"/>
      <c r="P20" s="451">
        <f ca="1">IFERROR(IF(VLOOKUP(M17,OFFSET($AG$2,,,COUNTIF($AG$2:$AG$50,"?*"),23),14,FALSE)&lt;&gt;0,VLOOKUP(M17,OFFSET($AG$2,,,COUNTIF($AG$2:$AG$50,"?*"),23),14,FALSE),"?"),"")</f>
        <v>2005</v>
      </c>
      <c r="Q20" s="452"/>
      <c r="R20" s="7">
        <f ca="1">IFERROR(IF(VLOOKUP(M17,OFFSET($AG$2,,,COUNTIF($AG$2:$AG$50,"?*"),23),7,FALSE)&lt;&gt;0,VLOOKUP(M17,OFFSET($AG$2,,,COUNTIF($AG$2:$AG$50,"?*"),23),7,FALSE),"?"),"")</f>
        <v>3</v>
      </c>
      <c r="S20" s="110" t="s">
        <v>1107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685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137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9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1108</v>
      </c>
      <c r="T21" s="102" t="s">
        <v>58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681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27</v>
      </c>
      <c r="AQ21" s="123">
        <v>190</v>
      </c>
      <c r="AR21" s="123">
        <v>75</v>
      </c>
      <c r="AS21" s="126" t="s">
        <v>1335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12 OZ, 2 (0+2), -12 ±</v>
      </c>
      <c r="AY21" s="129" t="str">
        <f t="shared" ca="1" si="2"/>
        <v>52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9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107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682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137</v>
      </c>
      <c r="AQ22" s="123">
        <v>190</v>
      </c>
      <c r="AR22" s="123">
        <v>77</v>
      </c>
      <c r="AS22" s="126" t="s">
        <v>396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11 OZ, 9 (5+4), +17 ±</v>
      </c>
      <c r="AY22" s="129" t="str">
        <f t="shared" ca="1" si="2"/>
        <v>50 OZ, 15 (7+8)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9" t="s">
        <v>38</v>
      </c>
      <c r="BT22" s="104" t="s">
        <v>1118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31" t="s">
        <v>684</v>
      </c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465" t="s">
        <v>13</v>
      </c>
      <c r="I23" s="465"/>
      <c r="J23" s="465"/>
      <c r="K23" s="465"/>
      <c r="M23" s="431" t="s">
        <v>691</v>
      </c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110" t="s">
        <v>683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2</v>
      </c>
      <c r="AC23" s="102" t="str">
        <f t="shared" ca="1" si="16"/>
        <v>ANO</v>
      </c>
      <c r="AG23" s="121" t="s">
        <v>755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137</v>
      </c>
      <c r="AQ23" s="123">
        <v>193</v>
      </c>
      <c r="AR23" s="123">
        <v>93</v>
      </c>
      <c r="AS23" s="126" t="s">
        <v>1330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9 OZ, 6 (3+3), -2 ±</v>
      </c>
      <c r="AY23" s="129" t="str">
        <f t="shared" ca="1" si="2"/>
        <v>37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9"/>
      <c r="BT23" s="104" t="s">
        <v>824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1996</v>
      </c>
      <c r="C24" s="425"/>
      <c r="D24" s="117">
        <f ca="1">IFERROR(VLOOKUP(A23,OFFSET($AG$2,,,COUNTIF($AG$2:$AG$50,"?*"),23),15,FALSE),"")</f>
        <v>25</v>
      </c>
      <c r="E24" s="426" t="str">
        <f ca="1">IFERROR(VLOOKUP(A23,OFFSET($AG$2,,,COUNTIF($AG$2:$AG$50,"?*"),23),16,FALSE),"")</f>
        <v>184/80</v>
      </c>
      <c r="F24" s="427"/>
      <c r="M24" s="4" t="str">
        <f ca="1">IFERROR(IF(VLOOKUP(M23,OFFSET($AG$2,,,COUNTIF($AG$2:$AG$50,"?*"),23),10,FALSE)&lt;&gt;0,VLOOKUP(M23,OFFSET($AG$2,,,COUNTIF($AG$2:$AG$50,"?*"),23),10,FALSE),""),"")</f>
        <v>P</v>
      </c>
      <c r="N24" s="424">
        <f ca="1">IFERROR(IF(VLOOKUP(M23,OFFSET($AG$2,,,COUNTIF($AG$2:$AG$50,"?*"),23),2,FALSE)&lt;&gt;0,YEAR(VLOOKUP(M23,OFFSET($AG$2,,,COUNTIF($AG$2:$AG$50,"?*"),23),2,FALSE)),""),"")</f>
        <v>1997</v>
      </c>
      <c r="O24" s="425"/>
      <c r="P24" s="117">
        <f ca="1">IFERROR(VLOOKUP(M23,OFFSET($AG$2,,,COUNTIF($AG$2:$AG$50,"?*"),23),15,FALSE),"")</f>
        <v>24</v>
      </c>
      <c r="Q24" s="426" t="str">
        <f ca="1">IFERROR(VLOOKUP(M23,OFFSET($AG$2,,,COUNTIF($AG$2:$AG$50,"?*"),23),16,FALSE),"")</f>
        <v>185/83</v>
      </c>
      <c r="R24" s="427"/>
      <c r="S24" s="110" t="s">
        <v>756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684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27</v>
      </c>
      <c r="AQ24" s="123">
        <v>184</v>
      </c>
      <c r="AR24" s="123">
        <v>80</v>
      </c>
      <c r="AS24" s="126" t="s">
        <v>67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12 OZ, 10 (3+7), -6 ±</v>
      </c>
      <c r="AY24" s="129" t="str">
        <f t="shared" ca="1" si="2"/>
        <v>101 OZ, 123 (67+56)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9"/>
      <c r="BT24" s="104" t="s">
        <v>1116</v>
      </c>
      <c r="BU24" s="103">
        <v>7</v>
      </c>
      <c r="BV24" s="104" t="str">
        <f t="shared" si="14"/>
        <v>Jakub Hromada</v>
      </c>
      <c r="BW24" s="102">
        <f t="shared" si="15"/>
        <v>7</v>
      </c>
    </row>
    <row r="25" spans="1:75" ht="15" customHeight="1" thickTop="1" thickBot="1" x14ac:dyDescent="0.25">
      <c r="A25" s="460" t="str">
        <f ca="1">IFERROR(VLOOKUP(A23,OFFSET($AG$2,,,COUNTIF($AG$2:$AG$50,"?*"),23),18,FALSE),"")</f>
        <v>12 OZ, 10 (3+7), -6 ±</v>
      </c>
      <c r="B25" s="461"/>
      <c r="C25" s="461"/>
      <c r="D25" s="462" t="str">
        <f ca="1">IFERROR(VLOOKUP(A23,OFFSET($AG$2,,,COUNTIF($AG$2:$AG$50,"?*"),23),19,FALSE),"")</f>
        <v>101 OZ, 123 (67+56)</v>
      </c>
      <c r="E25" s="462"/>
      <c r="F25" s="463"/>
      <c r="G25" s="431" t="s">
        <v>677</v>
      </c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460" t="str">
        <f ca="1">IFERROR(VLOOKUP(M23,OFFSET($AG$2,,,COUNTIF($AG$2:$AG$50,"?*"),23),18,FALSE),"")</f>
        <v>10 OZ, 1 (1+0), -7 ±</v>
      </c>
      <c r="N25" s="461"/>
      <c r="O25" s="461"/>
      <c r="P25" s="462" t="str">
        <f ca="1">IFERROR(VLOOKUP(M23,OFFSET($AG$2,,,COUNTIF($AG$2:$AG$50,"?*"),23),19,FALSE),"")</f>
        <v>55 OZ, 31 (19+12)</v>
      </c>
      <c r="Q25" s="462"/>
      <c r="R25" s="463"/>
      <c r="S25" s="110" t="s">
        <v>692</v>
      </c>
      <c r="T25" s="102" t="s">
        <v>58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-3</v>
      </c>
      <c r="AC25" s="102" t="str">
        <f t="shared" ca="1" si="16"/>
        <v>ANO</v>
      </c>
      <c r="AG25" s="121" t="s">
        <v>683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137</v>
      </c>
      <c r="AQ25" s="123">
        <v>192</v>
      </c>
      <c r="AR25" s="123">
        <v>86</v>
      </c>
      <c r="AS25" s="126" t="s">
        <v>67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7 OZ, 0 (0+0), +2 ±</v>
      </c>
      <c r="AY25" s="129" t="str">
        <f t="shared" ca="1" si="2"/>
        <v>54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9"/>
      <c r="BT25" s="104" t="s">
        <v>1351</v>
      </c>
      <c r="BU25" s="103">
        <v>7</v>
      </c>
      <c r="BV25" s="104" t="str">
        <f t="shared" si="14"/>
        <v>Jakub Renčín</v>
      </c>
      <c r="BW25" s="102">
        <f t="shared" si="15"/>
        <v>7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>BLACK ANGELS</v>
      </c>
      <c r="B26" s="449"/>
      <c r="C26" s="450"/>
      <c r="D26" s="451">
        <f ca="1">IFERROR(IF(VLOOKUP(A23,OFFSET($AG$2,,,COUNTIF($AG$2:$AG$50,"?*"),23),14,FALSE)&lt;&gt;0,VLOOKUP(A23,OFFSET($AG$2,,,COUNTIF($AG$2:$AG$50,"?*"),23),14,FALSE),"?"),"")</f>
        <v>2011</v>
      </c>
      <c r="E26" s="452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2001</v>
      </c>
      <c r="I26" s="425"/>
      <c r="J26" s="117">
        <f ca="1">IFERROR(VLOOKUP(G25,OFFSET($AG$2,,,COUNTIF($AG$2:$AG$50,"?*"),23),15,FALSE),"")</f>
        <v>20</v>
      </c>
      <c r="K26" s="426" t="str">
        <f ca="1">IFERROR(VLOOKUP(G25,OFFSET($AG$2,,,COUNTIF($AG$2:$AG$50,"?*"),23),16,FALSE),"")</f>
        <v>188/83</v>
      </c>
      <c r="L26" s="427"/>
      <c r="M26" s="448" t="str">
        <f ca="1">IFERROR(IF(VLOOKUP(M23,OFFSET($AG$2,,,COUNTIF($AG$2:$AG$50,"?*"),23),13,FALSE)&lt;&gt;0,VLOOKUP(M23,OFFSET($AG$2,,,COUNTIF($AG$2:$AG$50,"?*"),23),13,FALSE),"?"),"")</f>
        <v>BLACK ANGELS</v>
      </c>
      <c r="N26" s="449"/>
      <c r="O26" s="450"/>
      <c r="P26" s="451">
        <f ca="1">IFERROR(IF(VLOOKUP(M23,OFFSET($AG$2,,,COUNTIF($AG$2:$AG$50,"?*"),23),14,FALSE)&lt;&gt;0,VLOOKUP(M23,OFFSET($AG$2,,,COUNTIF($AG$2:$AG$50,"?*"),23),14,FALSE),"?"),"")</f>
        <v>2008</v>
      </c>
      <c r="Q26" s="452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687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692</v>
      </c>
      <c r="AH26" s="122"/>
      <c r="AI26" s="123"/>
      <c r="AJ26" s="123"/>
      <c r="AK26" s="123"/>
      <c r="AL26" s="123">
        <f>IF(AG26&lt;&gt;"",AJ26+AK26,"")</f>
        <v>0</v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Svatoš</v>
      </c>
      <c r="AX26" s="129" t="str">
        <f t="shared" ca="1" si="1"/>
        <v>10 OZ, 0 (0+0), -3 ±</v>
      </c>
      <c r="AY26" s="129" t="str">
        <f t="shared" ca="1" si="2"/>
        <v>10 OZ, 0 (0+0)</v>
      </c>
      <c r="AZ26" s="130"/>
      <c r="BA26" s="130"/>
      <c r="BB26" s="130"/>
      <c r="BC26" s="130"/>
      <c r="BD26" s="3" t="str">
        <f t="shared" si="3"/>
        <v>Svatoš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9"/>
      <c r="BT26" s="104" t="s">
        <v>1352</v>
      </c>
      <c r="BU26" s="103">
        <v>7</v>
      </c>
      <c r="BV26" s="104" t="str">
        <f t="shared" si="14"/>
        <v>Tomáš Hanák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>8 OZ, 3 (1+2), +1 ±</v>
      </c>
      <c r="H27" s="461"/>
      <c r="I27" s="461"/>
      <c r="J27" s="462" t="str">
        <f ca="1">IFERROR(VLOOKUP(G25,OFFSET($AG$2,,,COUNTIF($AG$2:$AG$50,"?*"),23),19,FALSE),"")</f>
        <v>53 OZ, 11 (3+8)</v>
      </c>
      <c r="K27" s="462"/>
      <c r="L27" s="463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3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18">IF(AG27&lt;&gt;"",IF(AH27&lt;&gt;"",INT((TODAY()-AH27)/365),"?"),"")</f>
        <v/>
      </c>
      <c r="AV27" s="127" t="str">
        <f t="shared" ref="AV27:AV33" si="19">IF(AG27&lt;&gt;"",CONCATENATE(IF(AQ27&lt;&gt;"",AQ27,"? "),"/",IF(AR27&lt;&gt;"",AR27," ?")),"")</f>
        <v/>
      </c>
      <c r="AW27" s="128" t="str">
        <f t="shared" ref="AW27:AW33" si="20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19" t="s">
        <v>39</v>
      </c>
      <c r="BT27" s="104" t="s">
        <v>1119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31" t="s">
        <v>681</v>
      </c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448" t="str">
        <f ca="1">IFERROR(IF(VLOOKUP(G25,OFFSET($AG$2,,,COUNTIF($AG$2:$AG$50,"?*"),23),13,FALSE)&lt;&gt;0,VLOOKUP(G25,OFFSET($AG$2,,,COUNTIF($AG$2:$AG$50,"?*"),23),13,FALSE),"?"),"")</f>
        <v>Florbal Benešov</v>
      </c>
      <c r="H28" s="449"/>
      <c r="I28" s="450"/>
      <c r="J28" s="451">
        <f ca="1">IFERROR(IF(VLOOKUP(G25,OFFSET($AG$2,,,COUNTIF($AG$2:$AG$50,"?*"),23),14,FALSE)&lt;&gt;0,VLOOKUP(G25,OFFSET($AG$2,,,COUNTIF($AG$2:$AG$50,"?*"),23),14,FALSE),"?"),"")</f>
        <v>2009</v>
      </c>
      <c r="K28" s="452"/>
      <c r="L28" s="7">
        <f ca="1">IFERROR(IF(VLOOKUP(G25,OFFSET($AG$2,,,COUNTIF($AG$2:$AG$50,"?*"),23),7,FALSE)&lt;&gt;0,VLOOKUP(G25,OFFSET($AG$2,,,COUNTIF($AG$2:$AG$50,"?*"),23),7,FALSE),"?"),"")</f>
        <v>3</v>
      </c>
      <c r="M28" s="431" t="s">
        <v>692</v>
      </c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19"/>
      <c r="BT28" s="104" t="s">
        <v>1353</v>
      </c>
      <c r="BU28" s="103">
        <v>8</v>
      </c>
      <c r="BV28" s="104" t="str">
        <f t="shared" si="14"/>
        <v>Jakub Hromada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4">
        <f ca="1">IFERROR(IF(VLOOKUP(A28,OFFSET($AG$2,,,COUNTIF($AG$2:$AG$50,"?*"),23),2,FALSE)&lt;&gt;0,YEAR(VLOOKUP(A28,OFFSET($AG$2,,,COUNTIF($AG$2:$AG$50,"?*"),23),2,FALSE)),""),"")</f>
        <v>1997</v>
      </c>
      <c r="C29" s="425"/>
      <c r="D29" s="117">
        <f ca="1">IFERROR(VLOOKUP(A28,OFFSET($AG$2,,,COUNTIF($AG$2:$AG$50,"?*"),23),15,FALSE),"")</f>
        <v>24</v>
      </c>
      <c r="E29" s="426" t="str">
        <f ca="1">IFERROR(VLOOKUP(A28,OFFSET($AG$2,,,COUNTIF($AG$2:$AG$50,"?*"),23),16,FALSE),"")</f>
        <v>190/75</v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>?</v>
      </c>
      <c r="Q29" s="426" t="str">
        <f ca="1">IFERROR(VLOOKUP(M28,OFFSET($AG$2,,,COUNTIF($AG$2:$AG$50,"?*"),23),16,FALSE),"")</f>
        <v>? / ?</v>
      </c>
      <c r="R29" s="427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9"/>
      <c r="BT29" s="104" t="s">
        <v>1354</v>
      </c>
      <c r="BU29" s="103">
        <v>8</v>
      </c>
      <c r="BV29" s="104" t="str">
        <f t="shared" si="14"/>
        <v>Matouš Burian</v>
      </c>
      <c r="BW29" s="102">
        <f t="shared" si="15"/>
        <v>8</v>
      </c>
    </row>
    <row r="30" spans="1:75" ht="15" customHeight="1" x14ac:dyDescent="0.2">
      <c r="A30" s="460" t="str">
        <f ca="1">IFERROR(VLOOKUP(A28,OFFSET($AG$2,,,COUNTIF($AG$2:$AG$50,"?*"),23),18,FALSE),"")</f>
        <v>12 OZ, 2 (0+2), -12 ±</v>
      </c>
      <c r="B30" s="461"/>
      <c r="C30" s="461"/>
      <c r="D30" s="462" t="str">
        <f ca="1">IFERROR(VLOOKUP(A28,OFFSET($AG$2,,,COUNTIF($AG$2:$AG$50,"?*"),23),19,FALSE),"")</f>
        <v>52 OZ, 27 (15+12)</v>
      </c>
      <c r="E30" s="462"/>
      <c r="F30" s="463"/>
      <c r="H30" s="464" t="str">
        <f>H$8</f>
        <v>BA</v>
      </c>
      <c r="I30" s="464"/>
      <c r="J30" s="464"/>
      <c r="K30" s="464"/>
      <c r="M30" s="460" t="str">
        <f ca="1">IFERROR(VLOOKUP(M28,OFFSET($AG$2,,,COUNTIF($AG$2:$AG$50,"?*"),23),18,FALSE),"")</f>
        <v>10 OZ, 0 (0+0), -3 ±</v>
      </c>
      <c r="N30" s="461"/>
      <c r="O30" s="461"/>
      <c r="P30" s="462" t="str">
        <f ca="1">IFERROR(VLOOKUP(M28,OFFSET($AG$2,,,COUNTIF($AG$2:$AG$50,"?*"),23),19,FALSE),"")</f>
        <v>10 OZ, 0 (0+0)</v>
      </c>
      <c r="Q30" s="462"/>
      <c r="R30" s="463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9"/>
      <c r="BT30" s="104" t="s">
        <v>825</v>
      </c>
      <c r="BU30" s="103">
        <v>8</v>
      </c>
      <c r="BV30" s="104" t="str">
        <f t="shared" si="14"/>
        <v>Matěj Boček</v>
      </c>
      <c r="BW30" s="102">
        <f t="shared" si="15"/>
        <v>8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>Start Praha</v>
      </c>
      <c r="B31" s="449"/>
      <c r="C31" s="450"/>
      <c r="D31" s="451">
        <f ca="1">IFERROR(IF(VLOOKUP(A28,OFFSET($AG$2,,,COUNTIF($AG$2:$AG$50,"?*"),23),14,FALSE)&lt;&gt;0,VLOOKUP(A28,OFFSET($AG$2,,,COUNTIF($AG$2:$AG$50,"?*"),23),14,FALSE),"?"),"")</f>
        <v>2004</v>
      </c>
      <c r="E31" s="452"/>
      <c r="F31" s="7">
        <f ca="1">IFERROR(IF(VLOOKUP(A28,OFFSET($AG$2,,,COUNTIF($AG$2:$AG$50,"?*"),23),7,FALSE)&lt;&gt;0,VLOOKUP(A28,OFFSET($AG$2,,,COUNTIF($AG$2:$AG$50,"?*"),23),7,FALSE),"?"),"")</f>
        <v>3</v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>?</v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>?</v>
      </c>
      <c r="Q31" s="452"/>
      <c r="R31" s="7" t="str">
        <f ca="1">IFERROR(IF(VLOOKUP(M28,OFFSET($AG$2,,,COUNTIF($AG$2:$AG$50,"?*"),23),7,FALSE)&lt;&gt;0,VLOOKUP(M28,OFFSET($AG$2,,,COUNTIF($AG$2:$AG$50,"?*"),23),7,FALSE),"?"),"")</f>
        <v>?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9"/>
      <c r="BT31" s="104" t="s">
        <v>1355</v>
      </c>
      <c r="BU31" s="103">
        <v>6</v>
      </c>
      <c r="BV31" s="104" t="str">
        <f t="shared" si="14"/>
        <v>Jakub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31" t="s">
        <v>687</v>
      </c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459" t="s">
        <v>16</v>
      </c>
      <c r="J34" s="431" t="s">
        <v>683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4</v>
      </c>
      <c r="B35" s="424">
        <f ca="1">IFERROR(IF(VLOOKUP(A34,OFFSET($AG$2,,,COUNTIF($AG$2:$AG$50,"?*"),23),2,FALSE)&lt;&gt;0,YEAR(VLOOKUP(A34,OFFSET($AG$2,,,COUNTIF($AG$2:$AG$50,"?*"),23),2,FALSE)),""),"")</f>
        <v>1990</v>
      </c>
      <c r="C35" s="425"/>
      <c r="D35" s="117">
        <f ca="1">IFERROR(VLOOKUP(A34,OFFSET($AG$2,,,COUNTIF($AG$2:$AG$50,"?*"),23),15,FALSE),"")</f>
        <v>31</v>
      </c>
      <c r="E35" s="426" t="str">
        <f ca="1">IFERROR(VLOOKUP(A34,OFFSET($AG$2,,,COUNTIF($AG$2:$AG$50,"?*"),23),16,FALSE),"")</f>
        <v>180/76</v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1999</v>
      </c>
      <c r="L35" s="433"/>
      <c r="M35" s="118">
        <f ca="1">IFERROR(VLOOKUP(J34,OFFSET($AG$2,,,COUNTIF($AG$2:$AG$50,"?*"),23),15,FALSE),"")</f>
        <v>21</v>
      </c>
      <c r="N35" s="433" t="str">
        <f ca="1">IFERROR(VLOOKUP(J34,OFFSET($AG$2,,,COUNTIF($AG$2:$AG$50,"?*"),23),16,FALSE),"")</f>
        <v>192/86</v>
      </c>
      <c r="O35" s="433"/>
      <c r="P35" s="433" t="str">
        <f ca="1">IFERROR(VLOOKUP(J34,OFFSET($AG$2,,,COUNTIF($AG$2:$AG$50,"?*"),23),18,FALSE),"")</f>
        <v>7 OZ, 0 (0+0), +2 ±</v>
      </c>
      <c r="Q35" s="433"/>
      <c r="R35" s="434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28" t="str">
        <f ca="1">IFERROR(VLOOKUP(A34,OFFSET($AG$2,,,COUNTIF($AG$2:$AG$50,"?*"),23),18,FALSE),"")</f>
        <v>5 V, 2 P</v>
      </c>
      <c r="C36" s="428"/>
      <c r="D36" s="429">
        <f ca="1">IFERROR(VLOOKUP(A34,OFFSET($S$45,,,COUNTIF($S$45:$S$50,"?*"),14),5,FALSE),"")</f>
        <v>27</v>
      </c>
      <c r="E36" s="430"/>
      <c r="F36" s="17">
        <f ca="1">IFERROR(VLOOKUP(A34,OFFSET($S$45,,,COUNTIF($S$45:$S$50,"?*"),14),14,FALSE),"")</f>
        <v>83.333333333333343</v>
      </c>
      <c r="H36" s="459"/>
      <c r="J36" s="18">
        <f ca="1">IFERROR(IF(VLOOKUP(J34,OFFSET($AG$2,,,COUNTIF($AG$2:$AG$50,"?*"),23),7,FALSE)&lt;&gt;0,VLOOKUP(J34,OFFSET($AG$2,,,COUNTIF($AG$2:$AG$50,"?*"),23),7,FALSE),"?"),"")</f>
        <v>3</v>
      </c>
      <c r="K36" s="435" t="str">
        <f ca="1">IFERROR(VLOOKUP(J34,OFFSET($AG$2,,,COUNTIF($AG$2:$AG$50,"?*"),23),19,FALSE),"")</f>
        <v>54 OZ, 10 (2+8)</v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>BLACK ANGELS</v>
      </c>
      <c r="O36" s="436"/>
      <c r="P36" s="436"/>
      <c r="Q36" s="435">
        <f ca="1">IFERROR(IF(VLOOKUP(J34,OFFSET($AG$2,,,COUNTIF($AG$2:$AG$50,"?*"),23),14,FALSE)&lt;&gt;0,VLOOKUP(J34,OFFSET($AG$2,,,COUNTIF($AG$2:$AG$50,"?*"),23),14,FALSE),"?"),"")</f>
        <v>2010</v>
      </c>
      <c r="R36" s="437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359.98</v>
      </c>
      <c r="B37" s="454"/>
      <c r="C37" s="455">
        <f ca="1">IFERROR(VLOOKUP(A34,OFFSET($S$45,,,COUNTIF($S$45:$S$50,"?*"),14),13,FALSE),"")</f>
        <v>4.5002500138896604</v>
      </c>
      <c r="D37" s="456"/>
      <c r="E37" s="457" t="str">
        <f ca="1">IFERROR(VLOOKUP(A34,OFFSET($AG$2,,,COUNTIF($AG$2:$AG$50,"?*"),23),19,FALSE),"")</f>
        <v>46 OZ, 2 A</v>
      </c>
      <c r="F37" s="458"/>
      <c r="H37" s="459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>Sparta Praha</v>
      </c>
      <c r="B38" s="449"/>
      <c r="C38" s="450"/>
      <c r="D38" s="451">
        <f ca="1">IFERROR(IF(VLOOKUP(A34,OFFSET($AG$2,,,COUNTIF($AG$2:$AG$50,"?*"),23),14,FALSE)&lt;&gt;0,VLOOKUP(A34,OFFSET($AG$2,,,COUNTIF($AG$2:$AG$50,"?*"),23),14,FALSE),"?"),"")</f>
        <v>1999</v>
      </c>
      <c r="E38" s="452"/>
      <c r="F38" s="19">
        <f ca="1">IFERROR(VLOOKUP(A34,OFFSET($S$45,,,COUNTIF($S$45:$S$50,"?*"),14),6,FALSE),"")</f>
        <v>0</v>
      </c>
      <c r="H38" s="459"/>
      <c r="J38" s="431" t="s">
        <v>686</v>
      </c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2001</v>
      </c>
      <c r="L39" s="433"/>
      <c r="M39" s="150">
        <f ca="1">IFERROR(VLOOKUP(J38,OFFSET($AG$2,,,COUNTIF($AG$2:$AG$50,"?*"),23),15,FALSE),"")</f>
        <v>20</v>
      </c>
      <c r="N39" s="433" t="str">
        <f ca="1">IFERROR(VLOOKUP(J38,OFFSET($AG$2,,,COUNTIF($AG$2:$AG$50,"?*"),23),16,FALSE),"")</f>
        <v>181/81</v>
      </c>
      <c r="O39" s="433"/>
      <c r="P39" s="433" t="str">
        <f ca="1">IFERROR(VLOOKUP(J38,OFFSET($AG$2,,,COUNTIF($AG$2:$AG$50,"?*"),23),18,FALSE),"")</f>
        <v>12 OZ, 3 (2+1), -14 ±</v>
      </c>
      <c r="Q39" s="433"/>
      <c r="R39" s="434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31" t="s">
        <v>689</v>
      </c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459"/>
      <c r="J40" s="18">
        <f ca="1">IFERROR(IF(VLOOKUP(J38,OFFSET($AG$2,,,COUNTIF($AG$2:$AG$50,"?*"),23),7,FALSE)&lt;&gt;0,VLOOKUP(J38,OFFSET($AG$2,,,COUNTIF($AG$2:$AG$50,"?*"),23),7,FALSE),"?"),"")</f>
        <v>2</v>
      </c>
      <c r="K40" s="435" t="str">
        <f ca="1">IFERROR(VLOOKUP(J38,OFFSET($AG$2,,,COUNTIF($AG$2:$AG$50,"?*"),23),19,FALSE),"")</f>
        <v>37 OZ, 6 (3+3)</v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>FbŠ Bohemians</v>
      </c>
      <c r="O40" s="436"/>
      <c r="P40" s="436"/>
      <c r="Q40" s="435">
        <f ca="1">IFERROR(IF(VLOOKUP(J38,OFFSET($AG$2,,,COUNTIF($AG$2:$AG$50,"?*"),23),14,FALSE)&lt;&gt;0,VLOOKUP(J38,OFFSET($AG$2,,,COUNTIF($AG$2:$AG$50,"?*"),23),14,FALSE),"?"),"")</f>
        <v>2009</v>
      </c>
      <c r="R40" s="437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424">
        <f ca="1">IFERROR(IF(VLOOKUP(A40,OFFSET($AG$2,,,COUNTIF($AG$2:$AG$50,"?*"),23),2,FALSE)&lt;&gt;0,YEAR(VLOOKUP(A40,OFFSET($AG$2,,,COUNTIF($AG$2:$AG$50,"?*"),23),2,FALSE)),""),"")</f>
        <v>1995</v>
      </c>
      <c r="C41" s="425"/>
      <c r="D41" s="117">
        <f ca="1">IFERROR(VLOOKUP(A40,OFFSET($AG$2,,,COUNTIF($AG$2:$AG$50,"?*"),23),15,FALSE),"")</f>
        <v>26</v>
      </c>
      <c r="E41" s="426" t="str">
        <f ca="1">IFERROR(VLOOKUP(A40,OFFSET($AG$2,,,COUNTIF($AG$2:$AG$50,"?*"),23),16,FALSE),"")</f>
        <v>175/72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7</v>
      </c>
      <c r="B42" s="428" t="str">
        <f ca="1">IFERROR(VLOOKUP(A40,OFFSET($AG$2,,,COUNTIF($AG$2:$AG$50,"?*"),23),18,FALSE),"")</f>
        <v>3 V, 4 P</v>
      </c>
      <c r="C42" s="428"/>
      <c r="D42" s="429">
        <f ca="1">IFERROR(VLOOKUP(A40,OFFSET($S$45,,,COUNTIF($S$45:$S$50,"?*"),14),5,FALSE),"")</f>
        <v>41</v>
      </c>
      <c r="E42" s="430"/>
      <c r="F42" s="17">
        <f ca="1">IFERROR(VLOOKUP(A40,OFFSET($S$45,,,COUNTIF($S$45:$S$50,"?*"),14),14,FALSE),"")</f>
        <v>68.461538461538467</v>
      </c>
      <c r="H42" s="459"/>
      <c r="J42" s="431" t="s">
        <v>756</v>
      </c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53">
        <f ca="1">IFERROR(VLOOKUP(A40,OFFSET($S$45,,,COUNTIF($S$45:$S$50,"?*"),14),3,FALSE),"")</f>
        <v>357</v>
      </c>
      <c r="B43" s="454"/>
      <c r="C43" s="455">
        <f ca="1">IFERROR(VLOOKUP(A40,OFFSET($S$45,,,COUNTIF($S$45:$S$50,"?*"),14),13,FALSE),"")</f>
        <v>6.8907563025210079</v>
      </c>
      <c r="D43" s="456"/>
      <c r="E43" s="457" t="str">
        <f ca="1">IFERROR(VLOOKUP(A40,OFFSET($AG$2,,,COUNTIF($AG$2:$AG$50,"?*"),23),19,FALSE),"")</f>
        <v>47 OZ, 2 A</v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2001</v>
      </c>
      <c r="L43" s="433"/>
      <c r="M43" s="150">
        <f ca="1">IFERROR(VLOOKUP(J42,OFFSET($AG$2,,,COUNTIF($AG$2:$AG$50,"?*"),23),15,FALSE),"")</f>
        <v>20</v>
      </c>
      <c r="N43" s="433" t="str">
        <f ca="1">IFERROR(VLOOKUP(J42,OFFSET($AG$2,,,COUNTIF($AG$2:$AG$50,"?*"),23),16,FALSE),"")</f>
        <v>184/71</v>
      </c>
      <c r="O43" s="433"/>
      <c r="P43" s="433" t="str">
        <f ca="1">IFERROR(VLOOKUP(J42,OFFSET($AG$2,,,COUNTIF($AG$2:$AG$50,"?*"),23),18,FALSE),"")</f>
        <v>8 OZ, 0 (0+0), -6 ±</v>
      </c>
      <c r="Q43" s="433"/>
      <c r="R43" s="434"/>
      <c r="AG43" s="121"/>
      <c r="AH43" s="122"/>
      <c r="AI43" s="123"/>
      <c r="AJ43" s="123"/>
      <c r="AK43" s="123"/>
      <c r="AL43" s="123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>Hurrican Karlovy Vary</v>
      </c>
      <c r="B44" s="449"/>
      <c r="C44" s="450"/>
      <c r="D44" s="451">
        <f ca="1">IFERROR(IF(VLOOKUP(A40,OFFSET($AG$2,,,COUNTIF($AG$2:$AG$50,"?*"),23),14,FALSE)&lt;&gt;0,VLOOKUP(A40,OFFSET($AG$2,,,COUNTIF($AG$2:$AG$50,"?*"),23),14,FALSE),"?"),"")</f>
        <v>2003</v>
      </c>
      <c r="E44" s="452"/>
      <c r="F44" s="19">
        <f ca="1">IFERROR(VLOOKUP(A40,OFFSET($S$45,,,COUNTIF($S$45:$S$50,"?*"),14),6,FALSE),"")</f>
        <v>0</v>
      </c>
      <c r="H44" s="459"/>
      <c r="J44" s="18">
        <f ca="1">IFERROR(IF(VLOOKUP(J42,OFFSET($AG$2,,,COUNTIF($AG$2:$AG$50,"?*"),23),7,FALSE)&lt;&gt;0,VLOOKUP(J42,OFFSET($AG$2,,,COUNTIF($AG$2:$AG$50,"?*"),23),7,FALSE),"?"),"")</f>
        <v>2</v>
      </c>
      <c r="K44" s="435" t="str">
        <f ca="1">IFERROR(VLOOKUP(J42,OFFSET($AG$2,,,COUNTIF($AG$2:$AG$50,"?*"),23),19,FALSE),"")</f>
        <v>13 OZ, 0 (0+0)</v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>FC Vorms Praha</v>
      </c>
      <c r="O44" s="436"/>
      <c r="P44" s="436"/>
      <c r="Q44" s="435">
        <f ca="1">IFERROR(IF(VLOOKUP(J42,OFFSET($AG$2,,,COUNTIF($AG$2:$AG$50,"?*"),23),14,FALSE)&lt;&gt;0,VLOOKUP(J42,OFFSET($AG$2,,,COUNTIF($AG$2:$AG$50,"?*"),23),14,FALSE),"?"),"")</f>
        <v>2009</v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3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687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162</v>
      </c>
      <c r="Z45" s="102">
        <v>0</v>
      </c>
      <c r="AA45" s="102">
        <v>2</v>
      </c>
      <c r="AB45" s="102">
        <v>135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83.333333333333343</v>
      </c>
      <c r="AG45" s="121"/>
      <c r="AH45" s="122"/>
      <c r="AI45" s="123"/>
      <c r="AJ45" s="123"/>
      <c r="AK45" s="123"/>
      <c r="AL45" s="123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689</v>
      </c>
      <c r="T46" s="102">
        <v>7</v>
      </c>
      <c r="U46" s="112">
        <v>357</v>
      </c>
      <c r="V46" s="102">
        <v>3</v>
      </c>
      <c r="W46" s="102">
        <v>41</v>
      </c>
      <c r="X46" s="102">
        <v>0</v>
      </c>
      <c r="Y46" s="102">
        <v>130</v>
      </c>
      <c r="Z46" s="102">
        <v>0</v>
      </c>
      <c r="AA46" s="102">
        <v>4</v>
      </c>
      <c r="AB46" s="102">
        <v>89</v>
      </c>
      <c r="AC46" s="102">
        <v>1</v>
      </c>
      <c r="AD46" s="102">
        <v>0</v>
      </c>
      <c r="AE46" s="112">
        <f t="shared" ref="AE46:AE50" si="26">IF(S46&lt;&gt;"",IF(T46&gt;0,W46/(U46/60),0),"")</f>
        <v>6.8907563025210079</v>
      </c>
      <c r="AF46" s="112">
        <f t="shared" ref="AF46:AF50" si="27">IF(S46&lt;&gt;"",IF(Y46&gt;0,(AB46/Y46)*100,"-"),"")</f>
        <v>68.461538461538467</v>
      </c>
      <c r="AG46" s="121"/>
      <c r="AH46" s="122"/>
      <c r="AI46" s="123"/>
      <c r="AJ46" s="123"/>
      <c r="AK46" s="123"/>
      <c r="AL46" s="123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20" t="s">
        <v>1336</v>
      </c>
      <c r="B47" s="421"/>
      <c r="C47" s="421"/>
      <c r="D47" s="421"/>
      <c r="E47" s="422" t="str">
        <f ca="1">IFERROR(VLOOKUP(A47,OFFSET($BN$2,,,COUNTIF($BN$2:$BN$11,"?*"),5),3,FALSE),"")</f>
        <v>trenér</v>
      </c>
      <c r="F47" s="422"/>
      <c r="G47" s="422"/>
      <c r="H47" s="422"/>
      <c r="I47" s="423"/>
      <c r="J47" s="420" t="s">
        <v>1338</v>
      </c>
      <c r="K47" s="421"/>
      <c r="L47" s="421"/>
      <c r="M47" s="421"/>
      <c r="N47" s="422" t="str">
        <f ca="1">IFERROR(VLOOKUP(J47,OFFSET($BN$2,,,COUNTIF($BN$2:$BN$11,"?*"),5),3,FALSE),"")</f>
        <v>asistent trenéra</v>
      </c>
      <c r="O47" s="422"/>
      <c r="P47" s="422"/>
      <c r="Q47" s="422"/>
      <c r="R47" s="423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3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38">
        <f ca="1">IFERROR(VLOOKUP(A47,OFFSET($BN$2,,,COUNTIF($BN$2:$BN$11,"?*"),5),5,FALSE),"")</f>
        <v>44</v>
      </c>
      <c r="B48" s="440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440"/>
      <c r="D48" s="440"/>
      <c r="E48" s="440"/>
      <c r="F48" s="440"/>
      <c r="G48" s="440"/>
      <c r="H48" s="440"/>
      <c r="I48" s="441"/>
      <c r="J48" s="119">
        <f ca="1">IFERROR(VLOOKUP(J47,OFFSET($BN$2,,,COUNTIF($BN$2:$BN$11,"?*"),5),5,FALSE),"")</f>
        <v>45</v>
      </c>
      <c r="K48" s="444" t="str">
        <f ca="1">IFERROR(IF(VLOOKUP(J47,OFFSET($BN$2,,,COUNTIF($BN$2:$BN$11,"?*"),5),4,FALSE)&lt;&gt;0,VLOOKUP(J47,OFFSET($BN$2,,,COUNTIF($BN$2:$BN$11,"?*"),5),4,FALSE),"-"),"")</f>
        <v>-</v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3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 t="s">
        <v>1339</v>
      </c>
      <c r="K49" s="447"/>
      <c r="L49" s="447"/>
      <c r="M49" s="447"/>
      <c r="N49" s="422" t="str">
        <f ca="1">IFERROR(VLOOKUP(J49,OFFSET($BN$2,,,COUNTIF($BN$2:$BN$11,"?*"),5),3,FALSE),"")</f>
        <v>fyzioterapeutka/vedoucí</v>
      </c>
      <c r="O49" s="422"/>
      <c r="P49" s="422"/>
      <c r="Q49" s="422"/>
      <c r="R49" s="42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3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>
        <f ca="1">IFERROR(VLOOKUP(J49,OFFSET($BN$2,,,COUNTIF($BN$2:$BN$11,"?*"),5),5,FALSE),"")</f>
        <v>29</v>
      </c>
      <c r="K50" s="444" t="str">
        <f ca="1">IFERROR(IF(VLOOKUP(J49,OFFSET($BN$2,,,COUNTIF($BN$2:$BN$11,"?*"),5),4,FALSE)&lt;&gt;0,VLOOKUP(J49,OFFSET($BN$2,,,COUNTIF($BN$2:$BN$11,"?*"),5),4,FALSE),"-"),"")</f>
        <v>-</v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3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7" priority="10" stopIfTrue="1" operator="equal">
      <formula>"OTR"</formula>
    </cfRule>
    <cfRule type="cellIs" dxfId="676" priority="11" stopIfTrue="1" operator="equal">
      <formula>"PAR"</formula>
    </cfRule>
    <cfRule type="cellIs" dxfId="675" priority="12" stopIfTrue="1" operator="equal">
      <formula>"CLP"</formula>
    </cfRule>
    <cfRule type="cellIs" dxfId="674" priority="13" stopIfTrue="1" operator="equal">
      <formula>"HAT"</formula>
    </cfRule>
    <cfRule type="cellIs" dxfId="673" priority="14" stopIfTrue="1" operator="equal">
      <formula>"LIB"</formula>
    </cfRule>
    <cfRule type="cellIs" dxfId="672" priority="15" stopIfTrue="1" operator="equal">
      <formula>"BA"</formula>
    </cfRule>
    <cfRule type="cellIs" dxfId="671" priority="16" stopIfTrue="1" operator="equal">
      <formula>"SPA"</formula>
    </cfRule>
    <cfRule type="cellIs" dxfId="670" priority="17" stopIfTrue="1" operator="equal">
      <formula>"OST"</formula>
    </cfRule>
    <cfRule type="cellIs" dxfId="669" priority="18" stopIfTrue="1" operator="equal">
      <formula>"BOH"</formula>
    </cfRule>
    <cfRule type="cellIs" dxfId="668" priority="19" stopIfTrue="1" operator="equal">
      <formula>"TAT"</formula>
    </cfRule>
    <cfRule type="cellIs" dxfId="667" priority="20" stopIfTrue="1" operator="equal">
      <formula>"MB"</formula>
    </cfRule>
    <cfRule type="cellIs" dxfId="666" priority="21" stopIfTrue="1" operator="equal">
      <formula>"VIT"</formula>
    </cfRule>
    <cfRule type="cellIs" dxfId="665" priority="22" stopIfTrue="1" operator="equal">
      <formula>"CHO"</formula>
    </cfRule>
    <cfRule type="cellIs" dxfId="664" priority="23" stopIfTrue="1" operator="equal">
      <formula>"SKV"</formula>
    </cfRule>
  </conditionalFormatting>
  <conditionalFormatting sqref="H19:K20">
    <cfRule type="cellIs" dxfId="663" priority="38" stopIfTrue="1" operator="equal">
      <formula>"OTR"</formula>
    </cfRule>
    <cfRule type="cellIs" dxfId="662" priority="39" stopIfTrue="1" operator="equal">
      <formula>"PAR"</formula>
    </cfRule>
    <cfRule type="cellIs" dxfId="661" priority="40" stopIfTrue="1" operator="equal">
      <formula>"CLP"</formula>
    </cfRule>
    <cfRule type="cellIs" dxfId="660" priority="41" stopIfTrue="1" operator="equal">
      <formula>"HAT"</formula>
    </cfRule>
    <cfRule type="cellIs" dxfId="659" priority="42" stopIfTrue="1" operator="equal">
      <formula>"LIB"</formula>
    </cfRule>
    <cfRule type="cellIs" dxfId="658" priority="43" stopIfTrue="1" operator="equal">
      <formula>"BA"</formula>
    </cfRule>
    <cfRule type="cellIs" dxfId="657" priority="44" stopIfTrue="1" operator="equal">
      <formula>"SPA"</formula>
    </cfRule>
    <cfRule type="cellIs" dxfId="656" priority="45" stopIfTrue="1" operator="equal">
      <formula>"OST"</formula>
    </cfRule>
    <cfRule type="cellIs" dxfId="655" priority="46" stopIfTrue="1" operator="equal">
      <formula>"BOH"</formula>
    </cfRule>
    <cfRule type="cellIs" dxfId="654" priority="47" stopIfTrue="1" operator="equal">
      <formula>"TAT"</formula>
    </cfRule>
    <cfRule type="cellIs" dxfId="653" priority="48" stopIfTrue="1" operator="equal">
      <formula>"MB"</formula>
    </cfRule>
    <cfRule type="cellIs" dxfId="652" priority="49" stopIfTrue="1" operator="equal">
      <formula>"VIT"</formula>
    </cfRule>
    <cfRule type="cellIs" dxfId="651" priority="50" stopIfTrue="1" operator="equal">
      <formula>"CHO"</formula>
    </cfRule>
    <cfRule type="cellIs" dxfId="650" priority="51" stopIfTrue="1" operator="equal">
      <formula>"SKV"</formula>
    </cfRule>
  </conditionalFormatting>
  <conditionalFormatting sqref="H8:K9">
    <cfRule type="cellIs" dxfId="649" priority="24" stopIfTrue="1" operator="equal">
      <formula>"OTR"</formula>
    </cfRule>
    <cfRule type="cellIs" dxfId="648" priority="25" stopIfTrue="1" operator="equal">
      <formula>"PAR"</formula>
    </cfRule>
    <cfRule type="cellIs" dxfId="647" priority="26" stopIfTrue="1" operator="equal">
      <formula>"CLP"</formula>
    </cfRule>
    <cfRule type="cellIs" dxfId="646" priority="27" stopIfTrue="1" operator="equal">
      <formula>"HAT"</formula>
    </cfRule>
    <cfRule type="cellIs" dxfId="645" priority="28" stopIfTrue="1" operator="equal">
      <formula>"LIB"</formula>
    </cfRule>
    <cfRule type="cellIs" dxfId="644" priority="29" stopIfTrue="1" operator="equal">
      <formula>"BA"</formula>
    </cfRule>
    <cfRule type="cellIs" dxfId="643" priority="30" stopIfTrue="1" operator="equal">
      <formula>"SPA"</formula>
    </cfRule>
    <cfRule type="cellIs" dxfId="642" priority="31" stopIfTrue="1" operator="equal">
      <formula>"OST"</formula>
    </cfRule>
    <cfRule type="cellIs" dxfId="641" priority="32" stopIfTrue="1" operator="equal">
      <formula>"BOH"</formula>
    </cfRule>
    <cfRule type="cellIs" dxfId="640" priority="33" stopIfTrue="1" operator="equal">
      <formula>"TAT"</formula>
    </cfRule>
    <cfRule type="cellIs" dxfId="639" priority="34" stopIfTrue="1" operator="equal">
      <formula>"MB"</formula>
    </cfRule>
    <cfRule type="cellIs" dxfId="638" priority="35" stopIfTrue="1" operator="equal">
      <formula>"VIT"</formula>
    </cfRule>
    <cfRule type="cellIs" dxfId="637" priority="36" stopIfTrue="1" operator="equal">
      <formula>"CHO"</formula>
    </cfRule>
    <cfRule type="cellIs" dxfId="636" priority="37" stopIfTrue="1" operator="equal">
      <formula>"SKV"</formula>
    </cfRule>
  </conditionalFormatting>
  <conditionalFormatting sqref="S2:S42">
    <cfRule type="expression" dxfId="635" priority="8" stopIfTrue="1">
      <formula>IFERROR(IF(VLOOKUP($S2,OFFSET($AG$2,,,COUNTIF($AG$2:$AG$50,"?*")),1,FALSE)&lt;&gt;0,1,0),0)&gt;0</formula>
    </cfRule>
  </conditionalFormatting>
  <conditionalFormatting sqref="S2:S42">
    <cfRule type="expression" dxfId="634" priority="9">
      <formula>IFERROR(IF(VLOOKUP($S2,OFFSET($AG$2,,,COUNTIF($AG$2:$AG$50,"?*")),1,FALSE)&lt;&gt;0,1,0),0)=0</formula>
    </cfRule>
  </conditionalFormatting>
  <conditionalFormatting sqref="S45:S50">
    <cfRule type="expression" dxfId="633" priority="7">
      <formula>IFERROR(IF(VLOOKUP($S45,OFFSET($AG$2,,,COUNTIF($AG$2:$AG$50,"?*")),1,FALSE)&lt;&gt;0,1,0),0)&gt;0</formula>
    </cfRule>
  </conditionalFormatting>
  <conditionalFormatting sqref="S45:S50">
    <cfRule type="expression" dxfId="632" priority="6">
      <formula>IFERROR(IF(VLOOKUP($S45,OFFSET($AG$2,,,COUNTIF($AG$2:$AG$50,"?*")),1,FALSE)&lt;&gt;0,1,0),0)=0</formula>
    </cfRule>
  </conditionalFormatting>
  <conditionalFormatting sqref="AG2:AG50">
    <cfRule type="expression" dxfId="631" priority="3" stopIfTrue="1">
      <formula>OR($AH2="",$AI2="",$AJ2="",$AK2="",$AL2="",$AM2="",$AN2="",$AQ2="",$AR2="",$AS2="",$AT2="")</formula>
    </cfRule>
    <cfRule type="expression" dxfId="630" priority="4" stopIfTrue="1">
      <formula>IFERROR(IF(VLOOKUP($AG2,OFFSET($S$2,,,COUNTIF($S$2:$S$42,"?*")),1,FALSE)&lt;&gt;0,1,0),0)=0</formula>
    </cfRule>
    <cfRule type="expression" dxfId="629" priority="5">
      <formula>IFERROR(IF(VLOOKUP($AG2,OFFSET($S$2,,,COUNTIF($S$2:$S$42,"?*")),1,FALSE)&lt;&gt;0,1,0),0)&gt;0</formula>
    </cfRule>
  </conditionalFormatting>
  <conditionalFormatting sqref="AG2:BC50">
    <cfRule type="expression" dxfId="628" priority="2">
      <formula>AND($AG2&lt;&gt;"",MOD(ROW($AG2),2)=0)</formula>
    </cfRule>
  </conditionalFormatting>
  <conditionalFormatting sqref="BN2:BR11">
    <cfRule type="expression" dxfId="62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532</v>
      </c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65" t="s">
        <v>1</v>
      </c>
      <c r="I1" s="465"/>
      <c r="J1" s="465"/>
      <c r="K1" s="465"/>
      <c r="M1" s="431" t="s">
        <v>533</v>
      </c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2002</v>
      </c>
      <c r="C2" s="425"/>
      <c r="D2" s="117">
        <f ca="1">IFERROR(VLOOKUP(A1,OFFSET($AG$2,,,COUNTIF($AG$2:$AG$50,"?*"),23),15,FALSE),"")</f>
        <v>19</v>
      </c>
      <c r="E2" s="426" t="str">
        <f ca="1">IFERROR(VLOOKUP(A1,OFFSET($AG$2,,,COUNTIF($AG$2:$AG$50,"?*"),23),16,FALSE),"")</f>
        <v>182/77</v>
      </c>
      <c r="F2" s="427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2001</v>
      </c>
      <c r="O2" s="425"/>
      <c r="P2" s="117">
        <f ca="1">IFERROR(VLOOKUP(M1,OFFSET($AG$2,,,COUNTIF($AG$2:$AG$50,"?*"),23),15,FALSE),"")</f>
        <v>20</v>
      </c>
      <c r="Q2" s="426" t="str">
        <f ca="1">IFERROR(VLOOKUP(M1,OFFSET($AG$2,,,COUNTIF($AG$2:$AG$50,"?*"),23),16,FALSE),"")</f>
        <v>183/67</v>
      </c>
      <c r="R2" s="427"/>
      <c r="S2" s="110" t="s">
        <v>534</v>
      </c>
      <c r="T2" s="102" t="s">
        <v>107</v>
      </c>
      <c r="U2" s="102">
        <v>12</v>
      </c>
      <c r="V2" s="102">
        <v>14</v>
      </c>
      <c r="W2" s="102">
        <v>4</v>
      </c>
      <c r="X2" s="102">
        <v>0</v>
      </c>
      <c r="Y2" s="102">
        <v>24</v>
      </c>
      <c r="Z2" s="102">
        <v>38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543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565</v>
      </c>
      <c r="BO2" s="122">
        <v>29350</v>
      </c>
      <c r="BP2" s="131" t="s">
        <v>236</v>
      </c>
      <c r="BQ2" s="132" t="s">
        <v>566</v>
      </c>
      <c r="BR2" s="127">
        <f ca="1">IF(BN2&lt;&gt;"",IF(BO2&lt;&gt;"",INT((TODAY()-BO2)/365),"?"),"")</f>
        <v>41</v>
      </c>
      <c r="BS2" s="419" t="s">
        <v>36</v>
      </c>
      <c r="BT2" s="104" t="s">
        <v>575</v>
      </c>
      <c r="BU2" s="103">
        <v>38</v>
      </c>
      <c r="BV2" s="104" t="str">
        <f>IFERROR(RIGHT(BT2,LEN(BT2)-SEARCH(" ",BT2)),"")</f>
        <v>Filip Forman</v>
      </c>
      <c r="BW2" s="102">
        <f>IF(BT2&lt;&gt;0,_xlfn.NUMBERVALUE(BU2,","),"")</f>
        <v>38</v>
      </c>
      <c r="BX2" s="418" t="s">
        <v>192</v>
      </c>
      <c r="BY2" s="103" t="s">
        <v>1343</v>
      </c>
      <c r="BZ2" s="103" t="s">
        <v>813</v>
      </c>
      <c r="CA2" s="115" t="s">
        <v>1195</v>
      </c>
    </row>
    <row r="3" spans="1:79" ht="15" customHeight="1" thickTop="1" thickBot="1" x14ac:dyDescent="0.25">
      <c r="A3" s="460" t="str">
        <f ca="1">IFERROR(VLOOKUP(A1,OFFSET($AG$2,,,COUNTIF($AG$2:$AG$50,"?*"),23),18,FALSE),"")</f>
        <v>12 OZ, 26 (19+7), +27 ±</v>
      </c>
      <c r="B3" s="461"/>
      <c r="C3" s="461"/>
      <c r="D3" s="462" t="str">
        <f ca="1">IFERROR(VLOOKUP(A1,OFFSET($AG$2,,,COUNTIF($AG$2:$AG$50,"?*"),23),19,FALSE),"")</f>
        <v>12 OZ, 26 (19+7)</v>
      </c>
      <c r="E3" s="462"/>
      <c r="F3" s="463"/>
      <c r="G3" s="431" t="s">
        <v>534</v>
      </c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60" t="str">
        <f ca="1">IFERROR(VLOOKUP(M1,OFFSET($AG$2,,,COUNTIF($AG$2:$AG$50,"?*"),23),18,FALSE),"")</f>
        <v>15 OZ, 30 (15+15), +19 ±</v>
      </c>
      <c r="N3" s="461"/>
      <c r="O3" s="461"/>
      <c r="P3" s="462" t="str">
        <f ca="1">IFERROR(VLOOKUP(M1,OFFSET($AG$2,,,COUNTIF($AG$2:$AG$50,"?*"),23),19,FALSE),"")</f>
        <v>87 OZ, 125 (77+48)</v>
      </c>
      <c r="Q3" s="462"/>
      <c r="R3" s="463"/>
      <c r="S3" s="110" t="s">
        <v>533</v>
      </c>
      <c r="U3" s="102">
        <v>12</v>
      </c>
      <c r="V3" s="102">
        <v>15</v>
      </c>
      <c r="W3" s="102">
        <v>0</v>
      </c>
      <c r="X3" s="102">
        <v>0</v>
      </c>
      <c r="Y3" s="102">
        <v>14</v>
      </c>
      <c r="Z3" s="102">
        <v>29</v>
      </c>
      <c r="AA3" s="102">
        <v>4</v>
      </c>
      <c r="AB3" s="102">
        <v>24</v>
      </c>
      <c r="AC3" s="102" t="str">
        <f t="shared" ca="1" si="0"/>
        <v>ANO</v>
      </c>
      <c r="AG3" s="121" t="s">
        <v>547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12 OZ, 1 (1+0), -8 ±</v>
      </c>
      <c r="AY3" s="129" t="str">
        <f t="shared" ca="1" si="2"/>
        <v>12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567</v>
      </c>
      <c r="BO3" s="122">
        <v>33849</v>
      </c>
      <c r="BP3" s="131" t="s">
        <v>237</v>
      </c>
      <c r="BQ3" s="132" t="s">
        <v>568</v>
      </c>
      <c r="BR3" s="127">
        <f t="shared" ref="BR3:BR11" ca="1" si="12">IF(BN3&lt;&gt;"",IF(BO3&lt;&gt;"",INT((TODAY()-BO3)/365),"?"),"")</f>
        <v>29</v>
      </c>
      <c r="BS3" s="419"/>
      <c r="BT3" s="104" t="s">
        <v>573</v>
      </c>
      <c r="BU3" s="103">
        <v>29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29</v>
      </c>
      <c r="BX3" s="418"/>
      <c r="BY3" s="103" t="s">
        <v>841</v>
      </c>
      <c r="BZ3" s="103" t="s">
        <v>814</v>
      </c>
      <c r="CA3" s="115" t="s">
        <v>779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>Panthers Praha</v>
      </c>
      <c r="B4" s="449"/>
      <c r="C4" s="450"/>
      <c r="D4" s="451">
        <f ca="1">IFERROR(IF(VLOOKUP(A1,OFFSET($AG$2,,,COUNTIF($AG$2:$AG$50,"?*"),23),14,FALSE)&lt;&gt;0,VLOOKUP(A1,OFFSET($AG$2,,,COUNTIF($AG$2:$AG$50,"?*"),23),14,FALSE),"?"),"")</f>
        <v>2009</v>
      </c>
      <c r="E4" s="452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4">
        <f ca="1">IFERROR(IF(VLOOKUP(G3,OFFSET($AG$2,,,COUNTIF($AG$2:$AG$50,"?*"),23),2,FALSE)&lt;&gt;0,YEAR(VLOOKUP(G3,OFFSET($AG$2,,,COUNTIF($AG$2:$AG$50,"?*"),23),2,FALSE)),""),"")</f>
        <v>1995</v>
      </c>
      <c r="I4" s="425"/>
      <c r="J4" s="117">
        <f ca="1">IFERROR(VLOOKUP(G3,OFFSET($AG$2,,,COUNTIF($AG$2:$AG$50,"?*"),23),15,FALSE),"")</f>
        <v>26</v>
      </c>
      <c r="K4" s="426" t="str">
        <f ca="1">IFERROR(VLOOKUP(G3,OFFSET($AG$2,,,COUNTIF($AG$2:$AG$50,"?*"),23),16,FALSE),"")</f>
        <v>175/72</v>
      </c>
      <c r="L4" s="427"/>
      <c r="M4" s="448" t="str">
        <f ca="1">IFERROR(IF(VLOOKUP(M1,OFFSET($AG$2,,,COUNTIF($AG$2:$AG$50,"?*"),23),13,FALSE)&lt;&gt;0,VLOOKUP(M1,OFFSET($AG$2,,,COUNTIF($AG$2:$AG$50,"?*"),23),13,FALSE),"?"),"")</f>
        <v>FbŠ Bohemians</v>
      </c>
      <c r="N4" s="449"/>
      <c r="O4" s="450"/>
      <c r="P4" s="451">
        <f ca="1">IFERROR(IF(VLOOKUP(M1,OFFSET($AG$2,,,COUNTIF($AG$2:$AG$50,"?*"),23),14,FALSE)&lt;&gt;0,VLOOKUP(M1,OFFSET($AG$2,,,COUNTIF($AG$2:$AG$50,"?*"),23),14,FALSE),"?"),"")</f>
        <v>2006</v>
      </c>
      <c r="Q4" s="452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532</v>
      </c>
      <c r="T4" s="102" t="s">
        <v>107</v>
      </c>
      <c r="U4" s="102">
        <v>12</v>
      </c>
      <c r="V4" s="102">
        <v>19</v>
      </c>
      <c r="W4" s="102">
        <v>4</v>
      </c>
      <c r="X4" s="102">
        <v>0</v>
      </c>
      <c r="Y4" s="102">
        <v>7</v>
      </c>
      <c r="Z4" s="102">
        <v>26</v>
      </c>
      <c r="AA4" s="102">
        <v>4</v>
      </c>
      <c r="AB4" s="102">
        <v>27</v>
      </c>
      <c r="AC4" s="102" t="str">
        <f t="shared" ca="1" si="0"/>
        <v>ANO</v>
      </c>
      <c r="AG4" s="121" t="s">
        <v>1026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4 OZ, 1 (1+0), 0 ±</v>
      </c>
      <c r="AY4" s="129" t="str">
        <f t="shared" ca="1" si="2"/>
        <v>4 OZ, 1 (1+0)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569</v>
      </c>
      <c r="BO4" s="122">
        <v>28301</v>
      </c>
      <c r="BP4" s="131" t="s">
        <v>237</v>
      </c>
      <c r="BQ4" s="132"/>
      <c r="BR4" s="127">
        <f t="shared" ca="1" si="12"/>
        <v>44</v>
      </c>
      <c r="BS4" s="419"/>
      <c r="BT4" s="104" t="s">
        <v>1122</v>
      </c>
      <c r="BU4" s="103">
        <v>26</v>
      </c>
      <c r="BV4" s="104" t="str">
        <f t="shared" si="13"/>
        <v>Karel Petrák</v>
      </c>
      <c r="BW4" s="102">
        <f t="shared" si="14"/>
        <v>26</v>
      </c>
      <c r="BX4" s="418"/>
      <c r="BY4" s="103" t="s">
        <v>822</v>
      </c>
      <c r="BZ4" s="103" t="s">
        <v>815</v>
      </c>
      <c r="CA4" s="115" t="s">
        <v>1121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>12 OZ, 38 (14+24), +24 ±</v>
      </c>
      <c r="H5" s="461"/>
      <c r="I5" s="461"/>
      <c r="J5" s="462" t="str">
        <f ca="1">IFERROR(VLOOKUP(G3,OFFSET($AG$2,,,COUNTIF($AG$2:$AG$50,"?*"),23),19,FALSE),"")</f>
        <v>64 OZ, 144 (58+86)</v>
      </c>
      <c r="K5" s="462"/>
      <c r="L5" s="463"/>
      <c r="S5" s="110" t="s">
        <v>535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533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15 OZ, 30 (15+15), +19 ±</v>
      </c>
      <c r="AY5" s="129" t="str">
        <f t="shared" ca="1" si="2"/>
        <v>87 OZ, 125 (77+48)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570</v>
      </c>
      <c r="BO5" s="122">
        <v>24059</v>
      </c>
      <c r="BP5" s="131" t="s">
        <v>360</v>
      </c>
      <c r="BQ5" s="132"/>
      <c r="BR5" s="127">
        <f t="shared" ca="1" si="12"/>
        <v>56</v>
      </c>
      <c r="BS5" s="419"/>
      <c r="BT5" s="104" t="s">
        <v>794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18"/>
      <c r="BY5" s="103" t="s">
        <v>820</v>
      </c>
      <c r="BZ5" s="103" t="s">
        <v>816</v>
      </c>
      <c r="CA5" s="115" t="s">
        <v>765</v>
      </c>
    </row>
    <row r="6" spans="1:79" ht="15" customHeight="1" thickTop="1" thickBot="1" x14ac:dyDescent="0.25">
      <c r="A6" s="431" t="s">
        <v>535</v>
      </c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48" t="str">
        <f ca="1">IFERROR(IF(VLOOKUP(G3,OFFSET($AG$2,,,COUNTIF($AG$2:$AG$50,"?*"),23),13,FALSE)&lt;&gt;0,VLOOKUP(G3,OFFSET($AG$2,,,COUNTIF($AG$2:$AG$50,"?*"),23),13,FALSE),"?"),"")</f>
        <v>FbŠ Bohemians</v>
      </c>
      <c r="H6" s="449"/>
      <c r="I6" s="450"/>
      <c r="J6" s="451">
        <f ca="1">IFERROR(IF(VLOOKUP(G3,OFFSET($AG$2,,,COUNTIF($AG$2:$AG$50,"?*"),23),14,FALSE)&lt;&gt;0,VLOOKUP(G3,OFFSET($AG$2,,,COUNTIF($AG$2:$AG$50,"?*"),23),14,FALSE),"?"),"")</f>
        <v>2010</v>
      </c>
      <c r="K6" s="452"/>
      <c r="L6" s="7">
        <f ca="1">IFERROR(IF(VLOOKUP(G3,OFFSET($AG$2,,,COUNTIF($AG$2:$AG$50,"?*"),23),7,FALSE)&lt;&gt;0,VLOOKUP(G3,OFFSET($AG$2,,,COUNTIF($AG$2:$AG$50,"?*"),23),7,FALSE),"?"),"")</f>
        <v>3</v>
      </c>
      <c r="M6" s="431" t="s">
        <v>536</v>
      </c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536</v>
      </c>
      <c r="U6" s="102">
        <v>12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4</v>
      </c>
      <c r="AB6" s="102">
        <v>22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571</v>
      </c>
      <c r="BO6" s="122">
        <v>33657</v>
      </c>
      <c r="BP6" s="131" t="s">
        <v>410</v>
      </c>
      <c r="BQ6" s="132"/>
      <c r="BR6" s="127">
        <f t="shared" ca="1" si="12"/>
        <v>29</v>
      </c>
      <c r="BS6" s="419"/>
      <c r="BT6" s="104" t="s">
        <v>1123</v>
      </c>
      <c r="BU6" s="103">
        <v>10</v>
      </c>
      <c r="BV6" s="104" t="str">
        <f t="shared" si="13"/>
        <v>Patrik Šebek</v>
      </c>
      <c r="BW6" s="102">
        <f t="shared" si="14"/>
        <v>10</v>
      </c>
      <c r="BX6" s="418"/>
      <c r="BY6" s="103" t="s">
        <v>1098</v>
      </c>
      <c r="BZ6" s="103" t="s">
        <v>826</v>
      </c>
      <c r="CA6" s="115" t="s">
        <v>754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2003</v>
      </c>
      <c r="C7" s="425"/>
      <c r="D7" s="117">
        <f ca="1">IFERROR(VLOOKUP(A6,OFFSET($AG$2,,,COUNTIF($AG$2:$AG$50,"?*"),23),15,FALSE),"")</f>
        <v>18</v>
      </c>
      <c r="E7" s="426" t="str">
        <f ca="1">IFERROR(VLOOKUP(A6,OFFSET($AG$2,,,COUNTIF($AG$2:$AG$50,"?*"),23),16,FALSE),"")</f>
        <v>175/65</v>
      </c>
      <c r="F7" s="427"/>
      <c r="M7" s="4" t="str">
        <f ca="1">IFERROR(IF(VLOOKUP(M6,OFFSET($AG$2,,,COUNTIF($AG$2:$AG$50,"?*"),23),10,FALSE)&lt;&gt;0,VLOOKUP(M6,OFFSET($AG$2,,,COUNTIF($AG$2:$AG$50,"?*"),23),10,FALSE),""),"")</f>
        <v>P</v>
      </c>
      <c r="N7" s="424">
        <f ca="1">IFERROR(IF(VLOOKUP(M6,OFFSET($AG$2,,,COUNTIF($AG$2:$AG$50,"?*"),23),2,FALSE)&lt;&gt;0,YEAR(VLOOKUP(M6,OFFSET($AG$2,,,COUNTIF($AG$2:$AG$50,"?*"),23),2,FALSE)),""),"")</f>
        <v>2000</v>
      </c>
      <c r="O7" s="425"/>
      <c r="P7" s="117">
        <f ca="1">IFERROR(VLOOKUP(M6,OFFSET($AG$2,,,COUNTIF($AG$2:$AG$50,"?*"),23),15,FALSE),"")</f>
        <v>21</v>
      </c>
      <c r="Q7" s="426" t="str">
        <f ca="1">IFERROR(VLOOKUP(M6,OFFSET($AG$2,,,COUNTIF($AG$2:$AG$50,"?*"),23),16,FALSE),"")</f>
        <v>190/76</v>
      </c>
      <c r="R7" s="427"/>
      <c r="S7" s="110" t="s">
        <v>538</v>
      </c>
      <c r="U7" s="102">
        <v>9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-8</v>
      </c>
      <c r="AC7" s="102" t="str">
        <f t="shared" ca="1" si="0"/>
        <v>ANO</v>
      </c>
      <c r="AG7" s="121" t="s">
        <v>545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558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12 OZ, 1 (1+0), -5 ±</v>
      </c>
      <c r="AY7" s="129" t="str">
        <f t="shared" ca="1" si="2"/>
        <v>255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574</v>
      </c>
      <c r="BU7" s="103" t="s">
        <v>1358</v>
      </c>
      <c r="BV7" s="104" t="str">
        <f t="shared" si="13"/>
        <v>Radovan Michajlovič</v>
      </c>
      <c r="BW7" s="112">
        <f t="shared" si="14"/>
        <v>4.34</v>
      </c>
      <c r="BX7" s="418" t="s">
        <v>193</v>
      </c>
      <c r="BY7" s="103" t="s">
        <v>1100</v>
      </c>
      <c r="BZ7" s="103" t="s">
        <v>821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>8 OZ, 11 (5+6), +23 ±</v>
      </c>
      <c r="B8" s="461"/>
      <c r="C8" s="461"/>
      <c r="D8" s="462" t="str">
        <f ca="1">IFERROR(VLOOKUP(A6,OFFSET($AG$2,,,COUNTIF($AG$2:$AG$50,"?*"),23),19,FALSE),"")</f>
        <v>34 OZ, 42 (18+24)</v>
      </c>
      <c r="E8" s="462"/>
      <c r="F8" s="463"/>
      <c r="H8" s="464" t="s">
        <v>92</v>
      </c>
      <c r="I8" s="464"/>
      <c r="J8" s="464"/>
      <c r="K8" s="464"/>
      <c r="M8" s="460" t="str">
        <f ca="1">IFERROR(VLOOKUP(M6,OFFSET($AG$2,,,COUNTIF($AG$2:$AG$50,"?*"),23),18,FALSE),"")</f>
        <v>12 OZ, 10 (5+5), +22 ±</v>
      </c>
      <c r="N8" s="461"/>
      <c r="O8" s="461"/>
      <c r="P8" s="462" t="str">
        <f ca="1">IFERROR(VLOOKUP(M6,OFFSET($AG$2,,,COUNTIF($AG$2:$AG$50,"?*"),23),19,FALSE),"")</f>
        <v>107 OZ, 104 (52+52)</v>
      </c>
      <c r="Q8" s="462"/>
      <c r="R8" s="463"/>
      <c r="S8" s="110" t="s">
        <v>542</v>
      </c>
      <c r="U8" s="102">
        <v>11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-5</v>
      </c>
      <c r="AC8" s="102" t="str">
        <f t="shared" ca="1" si="0"/>
        <v>ANO</v>
      </c>
      <c r="AG8" s="121" t="s">
        <v>549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9 OZ, 2 (0+2), -1 ±</v>
      </c>
      <c r="AY8" s="129" t="str">
        <f t="shared" ca="1" si="2"/>
        <v>114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1124</v>
      </c>
      <c r="BU8" s="103" t="s">
        <v>1058</v>
      </c>
      <c r="BV8" s="104" t="str">
        <f t="shared" si="13"/>
        <v>Jakub Zavřel</v>
      </c>
      <c r="BW8" s="112">
        <f t="shared" si="14"/>
        <v>3.5</v>
      </c>
      <c r="BX8" s="418"/>
      <c r="BY8" s="103" t="s">
        <v>1101</v>
      </c>
      <c r="BZ8" s="103" t="s">
        <v>823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>Black Angels</v>
      </c>
      <c r="B9" s="449"/>
      <c r="C9" s="450"/>
      <c r="D9" s="451">
        <f ca="1">IFERROR(IF(VLOOKUP(A6,OFFSET($AG$2,,,COUNTIF($AG$2:$AG$50,"?*"),23),14,FALSE)&lt;&gt;0,VLOOKUP(A6,OFFSET($AG$2,,,COUNTIF($AG$2:$AG$50,"?*"),23),14,FALSE),"?"),"")</f>
        <v>2009</v>
      </c>
      <c r="E9" s="452"/>
      <c r="F9" s="7">
        <f ca="1">IFERROR(IF(VLOOKUP(A6,OFFSET($AG$2,,,COUNTIF($AG$2:$AG$50,"?*"),23),7,FALSE)&lt;&gt;0,VLOOKUP(A6,OFFSET($AG$2,,,COUNTIF($AG$2:$AG$50,"?*"),23),7,FALSE),"?"),"")</f>
        <v>2</v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>FbŠ Bohemians</v>
      </c>
      <c r="N9" s="449"/>
      <c r="O9" s="450"/>
      <c r="P9" s="451">
        <f ca="1">IFERROR(IF(VLOOKUP(M6,OFFSET($AG$2,,,COUNTIF($AG$2:$AG$50,"?*"),23),14,FALSE)&lt;&gt;0,VLOOKUP(M6,OFFSET($AG$2,,,COUNTIF($AG$2:$AG$50,"?*"),23),14,FALSE),"?"),"")</f>
        <v>2011</v>
      </c>
      <c r="Q9" s="452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544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559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-13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1125</v>
      </c>
      <c r="BU9" s="103" t="s">
        <v>1126</v>
      </c>
      <c r="BV9" s="104" t="str">
        <f t="shared" si="13"/>
        <v>Tomáš Hyršl</v>
      </c>
      <c r="BW9" s="112">
        <f t="shared" si="14"/>
        <v>5.62</v>
      </c>
      <c r="BX9" s="418"/>
      <c r="BY9" s="103" t="s">
        <v>1112</v>
      </c>
      <c r="BZ9" s="103" t="s">
        <v>812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554</v>
      </c>
      <c r="T10" s="102" t="s">
        <v>58</v>
      </c>
      <c r="U10" s="102">
        <v>9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550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1150</v>
      </c>
      <c r="BZ10" s="103" t="s">
        <v>839</v>
      </c>
      <c r="CA10" s="115" t="s">
        <v>188</v>
      </c>
    </row>
    <row r="11" spans="1:79" ht="15" customHeight="1" thickTop="1" thickBot="1" x14ac:dyDescent="0.25">
      <c r="R11" s="13"/>
      <c r="S11" s="110" t="s">
        <v>537</v>
      </c>
      <c r="T11" s="102" t="s">
        <v>107</v>
      </c>
      <c r="U11" s="102">
        <v>12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-15</v>
      </c>
      <c r="AC11" s="102" t="str">
        <f t="shared" ca="1" si="0"/>
        <v>ANO</v>
      </c>
      <c r="AG11" s="121" t="s">
        <v>534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12 OZ, 38 (14+24), +24 ±</v>
      </c>
      <c r="AY11" s="129" t="str">
        <f t="shared" ca="1" si="2"/>
        <v>64 OZ, 144 (58+86)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1344</v>
      </c>
      <c r="BZ11" s="103" t="s">
        <v>850</v>
      </c>
      <c r="CA11" s="115" t="s">
        <v>188</v>
      </c>
    </row>
    <row r="12" spans="1:79" ht="15" customHeight="1" thickTop="1" thickBot="1" x14ac:dyDescent="0.25">
      <c r="A12" s="431" t="s">
        <v>537</v>
      </c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65" t="s">
        <v>7</v>
      </c>
      <c r="I12" s="465"/>
      <c r="J12" s="465"/>
      <c r="K12" s="465"/>
      <c r="M12" s="431" t="s">
        <v>3</v>
      </c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549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-1</v>
      </c>
      <c r="AC12" s="102" t="str">
        <f t="shared" ca="1" si="0"/>
        <v>ANO</v>
      </c>
      <c r="AG12" s="121" t="s">
        <v>551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572</v>
      </c>
      <c r="BU12" s="103">
        <v>19</v>
      </c>
      <c r="BV12" s="104" t="str">
        <f t="shared" si="13"/>
        <v>Karel Petrák</v>
      </c>
      <c r="BW12" s="102">
        <f t="shared" si="14"/>
        <v>19</v>
      </c>
      <c r="BX12" s="120" t="s">
        <v>191</v>
      </c>
      <c r="BY12" s="100" t="s">
        <v>1357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1991</v>
      </c>
      <c r="C13" s="425"/>
      <c r="D13" s="117">
        <f ca="1">IFERROR(VLOOKUP(A12,OFFSET($AG$2,,,COUNTIF($AG$2:$AG$50,"?*"),23),15,FALSE),"")</f>
        <v>30</v>
      </c>
      <c r="E13" s="426" t="str">
        <f ca="1">IFERROR(VLOOKUP(A12,OFFSET($AG$2,,,COUNTIF($AG$2:$AG$50,"?*"),23),16,FALSE),"")</f>
        <v>175/85</v>
      </c>
      <c r="F13" s="427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1999</v>
      </c>
      <c r="O13" s="425"/>
      <c r="P13" s="117">
        <f ca="1">IFERROR(VLOOKUP(M12,OFFSET($AG$2,,,COUNTIF($AG$2:$AG$50,"?*"),23),15,FALSE),"")</f>
        <v>22</v>
      </c>
      <c r="Q13" s="426" t="str">
        <f ca="1">IFERROR(VLOOKUP(M12,OFFSET($AG$2,,,COUNTIF($AG$2:$AG$50,"?*"),23),16,FALSE),"")</f>
        <v>184/81</v>
      </c>
      <c r="R13" s="427"/>
      <c r="S13" s="110" t="s">
        <v>444</v>
      </c>
      <c r="T13" s="102" t="s">
        <v>107</v>
      </c>
      <c r="U13" s="102">
        <v>11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-11</v>
      </c>
      <c r="AC13" s="102" t="str">
        <f t="shared" ca="1" si="0"/>
        <v>ANO</v>
      </c>
      <c r="AG13" s="121" t="s">
        <v>538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1059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9 OZ, 5 (2+3), -8 ±</v>
      </c>
      <c r="AY13" s="129" t="str">
        <f t="shared" ca="1" si="2"/>
        <v>9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573</v>
      </c>
      <c r="BU13" s="103">
        <v>15</v>
      </c>
      <c r="BV13" s="104" t="str">
        <f t="shared" si="13"/>
        <v>Jakub Buršík</v>
      </c>
      <c r="BW13" s="102">
        <f t="shared" si="14"/>
        <v>15</v>
      </c>
    </row>
    <row r="14" spans="1:79" ht="15" customHeight="1" thickTop="1" thickBot="1" x14ac:dyDescent="0.25">
      <c r="A14" s="460" t="str">
        <f ca="1">IFERROR(VLOOKUP(A12,OFFSET($AG$2,,,COUNTIF($AG$2:$AG$50,"?*"),23),18,FALSE),"")</f>
        <v>12 OZ, 2 (2+0), -15 ±</v>
      </c>
      <c r="B14" s="461"/>
      <c r="C14" s="461"/>
      <c r="D14" s="462" t="str">
        <f ca="1">IFERROR(VLOOKUP(A12,OFFSET($AG$2,,,COUNTIF($AG$2:$AG$50,"?*"),23),19,FALSE),"")</f>
        <v>222 OZ, 102 (46+56)</v>
      </c>
      <c r="E14" s="462"/>
      <c r="F14" s="463"/>
      <c r="G14" s="431" t="s">
        <v>538</v>
      </c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60" t="str">
        <f ca="1">IFERROR(VLOOKUP(M12,OFFSET($AG$2,,,COUNTIF($AG$2:$AG$50,"?*"),23),18,FALSE),"")</f>
        <v>7 OZ, 2 (2+0), -5 ±</v>
      </c>
      <c r="N14" s="461"/>
      <c r="O14" s="461"/>
      <c r="P14" s="462" t="str">
        <f ca="1">IFERROR(VLOOKUP(M12,OFFSET($AG$2,,,COUNTIF($AG$2:$AG$50,"?*"),23),19,FALSE),"")</f>
        <v>113 OZ, 65 (37+28)</v>
      </c>
      <c r="Q14" s="462"/>
      <c r="R14" s="463"/>
      <c r="S14" s="110" t="s">
        <v>1026</v>
      </c>
      <c r="U14" s="102">
        <v>4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539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1359</v>
      </c>
      <c r="BU14" s="103">
        <v>14</v>
      </c>
      <c r="BV14" s="104" t="str">
        <f t="shared" si="13"/>
        <v>Filip Forman</v>
      </c>
      <c r="BW14" s="102">
        <f t="shared" si="14"/>
        <v>14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>Děkanka</v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>?</v>
      </c>
      <c r="E15" s="452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2002</v>
      </c>
      <c r="I15" s="425"/>
      <c r="J15" s="117">
        <f ca="1">IFERROR(VLOOKUP(G14,OFFSET($AG$2,,,COUNTIF($AG$2:$AG$50,"?*"),23),15,FALSE),"")</f>
        <v>19</v>
      </c>
      <c r="K15" s="426" t="str">
        <f ca="1">IFERROR(VLOOKUP(G14,OFFSET($AG$2,,,COUNTIF($AG$2:$AG$50,"?*"),23),16,FALSE),"")</f>
        <v>183/80</v>
      </c>
      <c r="L15" s="427"/>
      <c r="M15" s="448" t="str">
        <f ca="1">IFERROR(IF(VLOOKUP(M12,OFFSET($AG$2,,,COUNTIF($AG$2:$AG$50,"?*"),23),13,FALSE)&lt;&gt;0,VLOOKUP(M12,OFFSET($AG$2,,,COUNTIF($AG$2:$AG$50,"?*"),23),13,FALSE),"?"),"")</f>
        <v>Black Angels</v>
      </c>
      <c r="N15" s="449"/>
      <c r="O15" s="450"/>
      <c r="P15" s="451">
        <f ca="1">IFERROR(IF(VLOOKUP(M12,OFFSET($AG$2,,,COUNTIF($AG$2:$AG$50,"?*"),23),14,FALSE)&lt;&gt;0,VLOOKUP(M12,OFFSET($AG$2,,,COUNTIF($AG$2:$AG$50,"?*"),23),14,FALSE),"?"),"")</f>
        <v>2008</v>
      </c>
      <c r="Q15" s="452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546</v>
      </c>
      <c r="U15" s="102">
        <v>9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-5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249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794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>9 OZ, 5 (2+3), -8 ±</v>
      </c>
      <c r="H16" s="461"/>
      <c r="I16" s="461"/>
      <c r="J16" s="462" t="str">
        <f ca="1">IFERROR(VLOOKUP(G14,OFFSET($AG$2,,,COUNTIF($AG$2:$AG$50,"?*"),23),19,FALSE),"")</f>
        <v>9 OZ, 5 (2+3)</v>
      </c>
      <c r="K16" s="462"/>
      <c r="L16" s="463"/>
      <c r="S16" s="110" t="s">
        <v>545</v>
      </c>
      <c r="T16" s="102" t="s">
        <v>58</v>
      </c>
      <c r="U16" s="102">
        <v>12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542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11 OZ, 3 (1+2), -5 ±</v>
      </c>
      <c r="AY16" s="129" t="str">
        <f t="shared" ca="1" si="2"/>
        <v>31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1123</v>
      </c>
      <c r="BU16" s="103">
        <v>5</v>
      </c>
      <c r="BV16" s="104" t="str">
        <f t="shared" si="13"/>
        <v>Patrik Šebek</v>
      </c>
      <c r="BW16" s="102">
        <f t="shared" si="14"/>
        <v>5</v>
      </c>
    </row>
    <row r="17" spans="1:75" ht="15" customHeight="1" thickTop="1" thickBot="1" x14ac:dyDescent="0.25">
      <c r="A17" s="431" t="s">
        <v>544</v>
      </c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48" t="str">
        <f ca="1">IFERROR(IF(VLOOKUP(G14,OFFSET($AG$2,,,COUNTIF($AG$2:$AG$50,"?*"),23),13,FALSE)&lt;&gt;0,VLOOKUP(G14,OFFSET($AG$2,,,COUNTIF($AG$2:$AG$50,"?*"),23),13,FALSE),"?"),"")</f>
        <v>Snipers Bratislava</v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>?</v>
      </c>
      <c r="K17" s="452"/>
      <c r="L17" s="7">
        <f ca="1">IFERROR(IF(VLOOKUP(G14,OFFSET($AG$2,,,COUNTIF($AG$2:$AG$50,"?*"),23),7,FALSE)&lt;&gt;0,VLOOKUP(G14,OFFSET($AG$2,,,COUNTIF($AG$2:$AG$50,"?*"),23),7,FALSE),"?"),"")</f>
        <v>1</v>
      </c>
      <c r="M17" s="431" t="s">
        <v>547</v>
      </c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547</v>
      </c>
      <c r="U17" s="102">
        <v>12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-8</v>
      </c>
      <c r="AC17" s="102" t="str">
        <f t="shared" ca="1" si="0"/>
        <v>ANO</v>
      </c>
      <c r="AG17" s="121" t="s">
        <v>552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574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1993</v>
      </c>
      <c r="C18" s="425"/>
      <c r="D18" s="149">
        <f ca="1">IFERROR(VLOOKUP(A17,OFFSET($AG$2,,,COUNTIF($AG$2:$AG$50,"?*"),23),15,FALSE),"")</f>
        <v>27</v>
      </c>
      <c r="E18" s="426" t="str">
        <f ca="1">IFERROR(VLOOKUP(A17,OFFSET($AG$2,,,COUNTIF($AG$2:$AG$50,"?*"),23),16,FALSE),"")</f>
        <v>188/86</v>
      </c>
      <c r="F18" s="427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2004</v>
      </c>
      <c r="O18" s="425"/>
      <c r="P18" s="117">
        <f ca="1">IFERROR(VLOOKUP(M17,OFFSET($AG$2,,,COUNTIF($AG$2:$AG$50,"?*"),23),15,FALSE),"")</f>
        <v>17</v>
      </c>
      <c r="Q18" s="426" t="str">
        <f ca="1">IFERROR(VLOOKUP(M17,OFFSET($AG$2,,,COUNTIF($AG$2:$AG$50,"?*"),23),16,FALSE),"")</f>
        <v>186/77</v>
      </c>
      <c r="R18" s="427"/>
      <c r="S18" s="110" t="s">
        <v>759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548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10 OZ, 0 (0+0), -11 ±</v>
      </c>
      <c r="AY18" s="129" t="str">
        <f t="shared" ca="1" si="2"/>
        <v>188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1124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60" t="str">
        <f ca="1">IFERROR(VLOOKUP(A17,OFFSET($AG$2,,,COUNTIF($AG$2:$AG$50,"?*"),23),18,FALSE),"")</f>
        <v>11 OZ, 0 (0+0), -13 ±</v>
      </c>
      <c r="B19" s="461"/>
      <c r="C19" s="461"/>
      <c r="D19" s="462" t="str">
        <f ca="1">IFERROR(VLOOKUP(A17,OFFSET($AG$2,,,COUNTIF($AG$2:$AG$50,"?*"),23),19,FALSE),"")</f>
        <v>200 OZ, 130 (49+81)</v>
      </c>
      <c r="E19" s="462"/>
      <c r="F19" s="463"/>
      <c r="H19" s="464" t="str">
        <f>H$8</f>
        <v>BOH</v>
      </c>
      <c r="I19" s="464"/>
      <c r="J19" s="464"/>
      <c r="K19" s="464"/>
      <c r="M19" s="460" t="str">
        <f ca="1">IFERROR(VLOOKUP(M17,OFFSET($AG$2,,,COUNTIF($AG$2:$AG$50,"?*"),23),18,FALSE),"")</f>
        <v>12 OZ, 1 (1+0), -8 ±</v>
      </c>
      <c r="N19" s="461"/>
      <c r="O19" s="461"/>
      <c r="P19" s="462" t="str">
        <f ca="1">IFERROR(VLOOKUP(M17,OFFSET($AG$2,,,COUNTIF($AG$2:$AG$50,"?*"),23),19,FALSE),"")</f>
        <v>12 OZ, 1 (1+0)</v>
      </c>
      <c r="Q19" s="462"/>
      <c r="R19" s="463"/>
      <c r="S19" s="110" t="s">
        <v>540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535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1125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>FbK Jeseník</v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>?</v>
      </c>
      <c r="E20" s="452"/>
      <c r="F20" s="7">
        <f ca="1">IFERROR(IF(VLOOKUP(A17,OFFSET($AG$2,,,COUNTIF($AG$2:$AG$50,"?*"),23),7,FALSE)&lt;&gt;0,VLOOKUP(A17,OFFSET($AG$2,,,COUNTIF($AG$2:$AG$50,"?*"),23),7,FALSE),"?"),"")</f>
        <v>11</v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>FbŠ Bohemians</v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>?</v>
      </c>
      <c r="Q20" s="452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758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541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560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3 P</v>
      </c>
      <c r="AY20" s="129" t="str">
        <f t="shared" ca="1" si="2"/>
        <v>202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557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553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561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1120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NE</v>
      </c>
      <c r="AG22" s="121" t="s">
        <v>654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401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9 OZ, 0 (0+0), -1 ±</v>
      </c>
      <c r="AY22" s="129" t="str">
        <f t="shared" ca="1" si="2"/>
        <v>94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575</v>
      </c>
      <c r="BU22" s="103">
        <v>24</v>
      </c>
      <c r="BV22" s="104" t="str">
        <f t="shared" si="13"/>
        <v>Filip Forman</v>
      </c>
      <c r="BW22" s="102">
        <f t="shared" si="14"/>
        <v>24</v>
      </c>
    </row>
    <row r="23" spans="1:75" ht="15" customHeight="1" thickTop="1" thickBot="1" x14ac:dyDescent="0.25">
      <c r="A23" s="431" t="s">
        <v>543</v>
      </c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65" t="s">
        <v>13</v>
      </c>
      <c r="I23" s="465"/>
      <c r="J23" s="465"/>
      <c r="K23" s="465"/>
      <c r="M23" s="431" t="s">
        <v>546</v>
      </c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654</v>
      </c>
      <c r="T23" s="102" t="s">
        <v>58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367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293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573</v>
      </c>
      <c r="BU23" s="103">
        <v>14</v>
      </c>
      <c r="BV23" s="104" t="str">
        <f t="shared" si="13"/>
        <v>Jakub Buršík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>
        <f ca="1">IFERROR(IF(VLOOKUP(A23,OFFSET($AG$2,,,COUNTIF($AG$2:$AG$50,"?*"),23),2,FALSE)&lt;&gt;0,YEAR(VLOOKUP(A23,OFFSET($AG$2,,,COUNTIF($AG$2:$AG$50,"?*"),23),2,FALSE)),""),"")</f>
        <v>2004</v>
      </c>
      <c r="C24" s="425"/>
      <c r="D24" s="117">
        <f ca="1">IFERROR(VLOOKUP(A23,OFFSET($AG$2,,,COUNTIF($AG$2:$AG$50,"?*"),23),15,FALSE),"")</f>
        <v>17</v>
      </c>
      <c r="E24" s="426" t="str">
        <f ca="1">IFERROR(VLOOKUP(A23,OFFSET($AG$2,,,COUNTIF($AG$2:$AG$50,"?*"),23),16,FALSE),"")</f>
        <v>? / ?</v>
      </c>
      <c r="F24" s="427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2003</v>
      </c>
      <c r="O24" s="425"/>
      <c r="P24" s="117">
        <f ca="1">IFERROR(VLOOKUP(M23,OFFSET($AG$2,,,COUNTIF($AG$2:$AG$50,"?*"),23),15,FALSE),"")</f>
        <v>18</v>
      </c>
      <c r="Q24" s="426" t="str">
        <f ca="1">IFERROR(VLOOKUP(M23,OFFSET($AG$2,,,COUNTIF($AG$2:$AG$50,"?*"),23),16,FALSE),"")</f>
        <v>185/74</v>
      </c>
      <c r="R24" s="427"/>
      <c r="S24" s="110" t="s">
        <v>541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532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455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12 OZ, 26 (19+7),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12 OZ, 26 (19+7)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1122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60" t="str">
        <f ca="1">IFERROR(VLOOKUP(A23,OFFSET($AG$2,,,COUNTIF($AG$2:$AG$50,"?*"),23),18,FALSE),"")</f>
        <v>10 OZ, 0 (0+0), -5 ±</v>
      </c>
      <c r="B25" s="461"/>
      <c r="C25" s="461"/>
      <c r="D25" s="462" t="str">
        <f ca="1">IFERROR(VLOOKUP(A23,OFFSET($AG$2,,,COUNTIF($AG$2:$AG$50,"?*"),23),19,FALSE),"")</f>
        <v>10 OZ, 0 (0+0)</v>
      </c>
      <c r="E25" s="462"/>
      <c r="F25" s="463"/>
      <c r="G25" s="431" t="s">
        <v>444</v>
      </c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60" t="str">
        <f ca="1">IFERROR(VLOOKUP(M23,OFFSET($AG$2,,,COUNTIF($AG$2:$AG$50,"?*"),23),18,FALSE),"")</f>
        <v>9 OZ, 1 (1+0), -5 ±</v>
      </c>
      <c r="N25" s="461"/>
      <c r="O25" s="461"/>
      <c r="P25" s="462" t="str">
        <f ca="1">IFERROR(VLOOKUP(M23,OFFSET($AG$2,,,COUNTIF($AG$2:$AG$50,"?*"),23),19,FALSE),"")</f>
        <v>9 OZ, 1 (1+0)</v>
      </c>
      <c r="Q25" s="462"/>
      <c r="R25" s="463"/>
      <c r="S25" s="110" t="s">
        <v>543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444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11 OZ, 2 (0+2), -11 ±</v>
      </c>
      <c r="AY25" s="129" t="str">
        <f t="shared" ca="1" si="16"/>
        <v>29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794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>?</v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>?</v>
      </c>
      <c r="E26" s="452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117">
        <f ca="1">IFERROR(VLOOKUP(G25,OFFSET($AG$2,,,COUNTIF($AG$2:$AG$50,"?*"),23),15,FALSE),"")</f>
        <v>19</v>
      </c>
      <c r="K26" s="426" t="str">
        <f ca="1">IFERROR(VLOOKUP(G25,OFFSET($AG$2,,,COUNTIF($AG$2:$AG$50,"?*"),23),16,FALSE),"")</f>
        <v>185/79</v>
      </c>
      <c r="L26" s="427"/>
      <c r="M26" s="448" t="str">
        <f ca="1">IFERROR(IF(VLOOKUP(M23,OFFSET($AG$2,,,COUNTIF($AG$2:$AG$50,"?*"),23),13,FALSE)&lt;&gt;0,VLOOKUP(M23,OFFSET($AG$2,,,COUNTIF($AG$2:$AG$50,"?*"),23),13,FALSE),"?"),"")</f>
        <v>ŠK Seahorses Bratislava</v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>?</v>
      </c>
      <c r="Q26" s="452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548</v>
      </c>
      <c r="T26" s="102" t="s">
        <v>58</v>
      </c>
      <c r="U26" s="102">
        <v>10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-11</v>
      </c>
      <c r="AC26" s="102" t="str">
        <f t="shared" ca="1" si="0"/>
        <v>ANO</v>
      </c>
      <c r="AG26" s="121" t="s">
        <v>537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562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12 OZ, 2 (2+0), -15 ±</v>
      </c>
      <c r="AY26" s="129" t="str">
        <f t="shared" ca="1" si="16"/>
        <v>222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1123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>11 OZ, 2 (0+2), -11 ±</v>
      </c>
      <c r="H27" s="461"/>
      <c r="I27" s="461"/>
      <c r="J27" s="462" t="str">
        <f ca="1">IFERROR(VLOOKUP(G25,OFFSET($AG$2,,,COUNTIF($AG$2:$AG$50,"?*"),23),19,FALSE),"")</f>
        <v>29 OZ, 3 (1+2)</v>
      </c>
      <c r="K27" s="462"/>
      <c r="L27" s="463"/>
      <c r="S27" s="110" t="s">
        <v>544</v>
      </c>
      <c r="T27" s="102" t="s">
        <v>58</v>
      </c>
      <c r="U27" s="102">
        <v>11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-13</v>
      </c>
      <c r="AC27" s="102" t="str">
        <f t="shared" ca="1" si="0"/>
        <v>ANO</v>
      </c>
      <c r="AG27" s="121" t="s">
        <v>546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1060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9 OZ, 1 (1+0), -5 ±</v>
      </c>
      <c r="AY27" s="129" t="str">
        <f t="shared" ca="1" si="16"/>
        <v>9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575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31" t="s">
        <v>545</v>
      </c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48" t="str">
        <f ca="1">IFERROR(IF(VLOOKUP(G25,OFFSET($AG$2,,,COUNTIF($AG$2:$AG$50,"?*"),23),13,FALSE)&lt;&gt;0,VLOOKUP(G25,OFFSET($AG$2,,,COUNTIF($AG$2:$AG$50,"?*"),23),13,FALSE),"?"),"")</f>
        <v>Tatran Střešovice</v>
      </c>
      <c r="H28" s="449"/>
      <c r="I28" s="450"/>
      <c r="J28" s="451">
        <f ca="1">IFERROR(IF(VLOOKUP(G25,OFFSET($AG$2,,,COUNTIF($AG$2:$AG$50,"?*"),23),14,FALSE)&lt;&gt;0,VLOOKUP(G25,OFFSET($AG$2,,,COUNTIF($AG$2:$AG$50,"?*"),23),14,FALSE),"?"),"")</f>
        <v>2010</v>
      </c>
      <c r="K28" s="452"/>
      <c r="L28" s="7">
        <f ca="1">IFERROR(IF(VLOOKUP(G25,OFFSET($AG$2,,,COUNTIF($AG$2:$AG$50,"?*"),23),7,FALSE)&lt;&gt;0,VLOOKUP(G25,OFFSET($AG$2,,,COUNTIF($AG$2:$AG$50,"?*"),23),7,FALSE),"?"),"")</f>
        <v>2</v>
      </c>
      <c r="M28" s="431" t="s">
        <v>554</v>
      </c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539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536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10 (5+5), +22 ±</v>
      </c>
      <c r="AY28" s="129" t="str">
        <f t="shared" ca="1" si="16"/>
        <v>107 OZ, 104 (52+52)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1127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4">
        <f ca="1">IFERROR(IF(VLOOKUP(A28,OFFSET($AG$2,,,COUNTIF($AG$2:$AG$50,"?*"),23),2,FALSE)&lt;&gt;0,YEAR(VLOOKUP(A28,OFFSET($AG$2,,,COUNTIF($AG$2:$AG$50,"?*"),23),2,FALSE)),""),"")</f>
        <v>1992</v>
      </c>
      <c r="C29" s="425"/>
      <c r="D29" s="117">
        <f ca="1">IFERROR(VLOOKUP(A28,OFFSET($AG$2,,,COUNTIF($AG$2:$AG$50,"?*"),23),15,FALSE),"")</f>
        <v>29</v>
      </c>
      <c r="E29" s="426" t="str">
        <f ca="1">IFERROR(VLOOKUP(A28,OFFSET($AG$2,,,COUNTIF($AG$2:$AG$50,"?*"),23),16,FALSE),"")</f>
        <v>184/84</v>
      </c>
      <c r="F29" s="427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2001</v>
      </c>
      <c r="O29" s="425"/>
      <c r="P29" s="117">
        <f ca="1">IFERROR(VLOOKUP(M28,OFFSET($AG$2,,,COUNTIF($AG$2:$AG$50,"?*"),23),15,FALSE),"")</f>
        <v>20</v>
      </c>
      <c r="Q29" s="426" t="str">
        <f ca="1">IFERROR(VLOOKUP(M28,OFFSET($AG$2,,,COUNTIF($AG$2:$AG$50,"?*"),23),16,FALSE),"")</f>
        <v>182/73</v>
      </c>
      <c r="R29" s="427"/>
      <c r="S29" s="111"/>
      <c r="AC29" s="102" t="str">
        <f t="shared" ca="1" si="0"/>
        <v/>
      </c>
      <c r="AG29" s="121" t="s">
        <v>554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288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2 (2+0), -1 ±</v>
      </c>
      <c r="AY29" s="129" t="str">
        <f t="shared" ca="1" si="16"/>
        <v>11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9"/>
      <c r="BT29" s="104" t="s">
        <v>835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60" t="str">
        <f ca="1">IFERROR(VLOOKUP(A28,OFFSET($AG$2,,,COUNTIF($AG$2:$AG$50,"?*"),23),18,FALSE),"")</f>
        <v>12 OZ, 1 (1+0), -5 ±</v>
      </c>
      <c r="B30" s="461"/>
      <c r="C30" s="461"/>
      <c r="D30" s="462" t="str">
        <f ca="1">IFERROR(VLOOKUP(A28,OFFSET($AG$2,,,COUNTIF($AG$2:$AG$50,"?*"),23),19,FALSE),"")</f>
        <v>255 OZ, 136 (70+66)</v>
      </c>
      <c r="E30" s="462"/>
      <c r="F30" s="463"/>
      <c r="H30" s="464" t="str">
        <f>H$8</f>
        <v>BOH</v>
      </c>
      <c r="I30" s="464"/>
      <c r="J30" s="464"/>
      <c r="K30" s="464"/>
      <c r="M30" s="460" t="str">
        <f ca="1">IFERROR(VLOOKUP(M28,OFFSET($AG$2,,,COUNTIF($AG$2:$AG$50,"?*"),23),18,FALSE),"")</f>
        <v>9 OZ, 2 (2+0), -1 ±</v>
      </c>
      <c r="N30" s="461"/>
      <c r="O30" s="461"/>
      <c r="P30" s="462" t="str">
        <f ca="1">IFERROR(VLOOKUP(M28,OFFSET($AG$2,,,COUNTIF($AG$2:$AG$50,"?*"),23),19,FALSE),"")</f>
        <v>11 OZ, 2 (2+0)</v>
      </c>
      <c r="Q30" s="462"/>
      <c r="R30" s="463"/>
      <c r="S30" s="111"/>
      <c r="AC30" s="102" t="str">
        <f t="shared" ca="1" si="0"/>
        <v/>
      </c>
      <c r="AG30" s="121" t="s">
        <v>555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563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9"/>
      <c r="BT30" s="104" t="s">
        <v>836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>Faraos</v>
      </c>
      <c r="B31" s="449"/>
      <c r="C31" s="450"/>
      <c r="D31" s="451">
        <f ca="1">IFERROR(IF(VLOOKUP(A28,OFFSET($AG$2,,,COUNTIF($AG$2:$AG$50,"?*"),23),14,FALSE)&lt;&gt;0,VLOOKUP(A28,OFFSET($AG$2,,,COUNTIF($AG$2:$AG$50,"?*"),23),14,FALSE),"?"),"")</f>
        <v>2002</v>
      </c>
      <c r="E31" s="452"/>
      <c r="F31" s="7">
        <f ca="1">IFERROR(IF(VLOOKUP(A28,OFFSET($AG$2,,,COUNTIF($AG$2:$AG$50,"?*"),23),7,FALSE)&lt;&gt;0,VLOOKUP(A28,OFFSET($AG$2,,,COUNTIF($AG$2:$AG$50,"?*"),23),7,FALSE),"?"),"")</f>
        <v>12</v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>FBC Falcon</v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>?</v>
      </c>
      <c r="Q31" s="452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556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9"/>
      <c r="BT31" s="104" t="s">
        <v>1123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557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540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564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31" t="s">
        <v>557</v>
      </c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59" t="s">
        <v>16</v>
      </c>
      <c r="J34" s="431" t="s">
        <v>548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4">
        <f ca="1">IFERROR(IF(VLOOKUP(A34,OFFSET($AG$2,,,COUNTIF($AG$2:$AG$50,"?*"),23),2,FALSE)&lt;&gt;0,YEAR(VLOOKUP(A34,OFFSET($AG$2,,,COUNTIF($AG$2:$AG$50,"?*"),23),2,FALSE)),""),"")</f>
        <v>2002</v>
      </c>
      <c r="C35" s="425"/>
      <c r="D35" s="117">
        <f ca="1">IFERROR(VLOOKUP(A34,OFFSET($AG$2,,,COUNTIF($AG$2:$AG$50,"?*"),23),15,FALSE),"")</f>
        <v>19</v>
      </c>
      <c r="E35" s="426" t="str">
        <f ca="1">IFERROR(VLOOKUP(A34,OFFSET($AG$2,,,COUNTIF($AG$2:$AG$50,"?*"),23),16,FALSE),"")</f>
        <v>173/70</v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>P</v>
      </c>
      <c r="K35" s="425">
        <f ca="1">IFERROR(IF(VLOOKUP(J34,OFFSET($AG$2,,,COUNTIF($AG$2:$AG$50,"?*"),23),2,FALSE)&lt;&gt;0,YEAR(VLOOKUP(J34,OFFSET($AG$2,,,COUNTIF($AG$2:$AG$50,"?*"),23),2,FALSE)),""),"")</f>
        <v>1990</v>
      </c>
      <c r="L35" s="433"/>
      <c r="M35" s="118">
        <f ca="1">IFERROR(VLOOKUP(J34,OFFSET($AG$2,,,COUNTIF($AG$2:$AG$50,"?*"),23),15,FALSE),"")</f>
        <v>31</v>
      </c>
      <c r="N35" s="433" t="str">
        <f ca="1">IFERROR(VLOOKUP(J34,OFFSET($AG$2,,,COUNTIF($AG$2:$AG$50,"?*"),23),16,FALSE),"")</f>
        <v>184/90</v>
      </c>
      <c r="O35" s="433"/>
      <c r="P35" s="433" t="str">
        <f ca="1">IFERROR(VLOOKUP(J34,OFFSET($AG$2,,,COUNTIF($AG$2:$AG$50,"?*"),23),18,FALSE),"")</f>
        <v>10 OZ, 0 (0+0), -11 ±</v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28" t="str">
        <f ca="1">IFERROR(VLOOKUP(A34,OFFSET($AG$2,,,COUNTIF($AG$2:$AG$50,"?*"),23),18,FALSE),"")</f>
        <v>2 V, 0 P</v>
      </c>
      <c r="C36" s="428"/>
      <c r="D36" s="429">
        <f ca="1">IFERROR(VLOOKUP(A34,OFFSET($S$45,,,COUNTIF($S$45:$S$50,"?*"),14),5,FALSE),"")</f>
        <v>7</v>
      </c>
      <c r="E36" s="430"/>
      <c r="F36" s="17">
        <f ca="1">IFERROR(VLOOKUP(A34,OFFSET($S$45,,,COUNTIF($S$45:$S$50,"?*"),14),14,FALSE),"")</f>
        <v>86.538461538461547</v>
      </c>
      <c r="H36" s="459"/>
      <c r="J36" s="18">
        <f ca="1">IFERROR(IF(VLOOKUP(J34,OFFSET($AG$2,,,COUNTIF($AG$2:$AG$50,"?*"),23),7,FALSE)&lt;&gt;0,VLOOKUP(J34,OFFSET($AG$2,,,COUNTIF($AG$2:$AG$50,"?*"),23),7,FALSE),"?"),"")</f>
        <v>11</v>
      </c>
      <c r="K36" s="435" t="str">
        <f ca="1">IFERROR(VLOOKUP(J34,OFFSET($AG$2,,,COUNTIF($AG$2:$AG$50,"?*"),23),19,FALSE),"")</f>
        <v>188 OZ, 68 (32+36)</v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>FbŠ Bohemians</v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>?</v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120</v>
      </c>
      <c r="B37" s="454"/>
      <c r="C37" s="455">
        <f ca="1">IFERROR(VLOOKUP(A34,OFFSET($S$45,,,COUNTIF($S$45:$S$50,"?*"),14),13,FALSE),"")</f>
        <v>3.5</v>
      </c>
      <c r="D37" s="456"/>
      <c r="E37" s="457" t="str">
        <f ca="1">IFERROR(VLOOKUP(A34,OFFSET($AG$2,,,COUNTIF($AG$2:$AG$50,"?*"),23),19,FALSE),"")</f>
        <v>12 OZ, 2 A</v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>FbŠ Bohemians</v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>?</v>
      </c>
      <c r="E38" s="452"/>
      <c r="F38" s="19">
        <f ca="1">IFERROR(VLOOKUP(A34,OFFSET($S$45,,,COUNTIF($S$45:$S$50,"?*"),14),6,FALSE),"")</f>
        <v>0</v>
      </c>
      <c r="H38" s="459"/>
      <c r="J38" s="431" t="s">
        <v>1026</v>
      </c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203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? / ?</v>
      </c>
      <c r="O39" s="433"/>
      <c r="P39" s="433" t="str">
        <f ca="1">IFERROR(VLOOKUP(J38,OFFSET($AG$2,,,COUNTIF($AG$2:$AG$50,"?*"),23),18,FALSE),"")</f>
        <v>4 OZ, 1 (1+0), 0 ±</v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 t="s">
        <v>539</v>
      </c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9"/>
      <c r="J40" s="18">
        <f ca="1">IFERROR(IF(VLOOKUP(J38,OFFSET($AG$2,,,COUNTIF($AG$2:$AG$50,"?*"),23),7,FALSE)&lt;&gt;0,VLOOKUP(J38,OFFSET($AG$2,,,COUNTIF($AG$2:$AG$50,"?*"),23),7,FALSE),"?"),"")</f>
        <v>1</v>
      </c>
      <c r="K40" s="435" t="str">
        <f ca="1">IFERROR(VLOOKUP(J38,OFFSET($AG$2,,,COUNTIF($AG$2:$AG$50,"?*"),23),19,FALSE),"")</f>
        <v>4 OZ, 1 (1+0)</v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>?</v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>?</v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4">
        <f ca="1">IFERROR(IF(VLOOKUP(A40,OFFSET($AG$2,,,COUNTIF($AG$2:$AG$50,"?*"),23),2,FALSE)&lt;&gt;0,YEAR(VLOOKUP(A40,OFFSET($AG$2,,,COUNTIF($AG$2:$AG$50,"?*"),23),2,FALSE)),""),"")</f>
        <v>1994</v>
      </c>
      <c r="C41" s="425"/>
      <c r="D41" s="117">
        <f ca="1">IFERROR(VLOOKUP(A40,OFFSET($AG$2,,,COUNTIF($AG$2:$AG$50,"?*"),23),15,FALSE),"")</f>
        <v>27</v>
      </c>
      <c r="E41" s="426" t="str">
        <f ca="1">IFERROR(VLOOKUP(A40,OFFSET($AG$2,,,COUNTIF($AG$2:$AG$50,"?*"),23),16,FALSE),"")</f>
        <v>185/75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28" t="str">
        <f ca="1">IFERROR(VLOOKUP(A40,OFFSET($AG$2,,,COUNTIF($AG$2:$AG$50,"?*"),23),18,FALSE),"")</f>
        <v>2 V, 2 P</v>
      </c>
      <c r="C42" s="428"/>
      <c r="D42" s="429">
        <f ca="1">IFERROR(VLOOKUP(A40,OFFSET($S$45,,,COUNTIF($S$45:$S$50,"?*"),14),5,FALSE),"")</f>
        <v>18</v>
      </c>
      <c r="E42" s="430"/>
      <c r="F42" s="17">
        <f ca="1">IFERROR(VLOOKUP(A40,OFFSET($S$45,,,COUNTIF($S$45:$S$50,"?*"),14),14,FALSE),"")</f>
        <v>74.285714285714292</v>
      </c>
      <c r="H42" s="459"/>
      <c r="J42" s="431" t="s">
        <v>654</v>
      </c>
      <c r="K42" s="432"/>
      <c r="L42" s="432"/>
      <c r="M42" s="432"/>
      <c r="N42" s="432"/>
      <c r="O42" s="432"/>
      <c r="P42" s="432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>
        <f ca="1">IFERROR(VLOOKUP(A40,OFFSET($S$45,,,COUNTIF($S$45:$S$50,"?*"),14),3,FALSE),"")</f>
        <v>192.06</v>
      </c>
      <c r="B43" s="454"/>
      <c r="C43" s="455">
        <f ca="1">IFERROR(VLOOKUP(A40,OFFSET($S$45,,,COUNTIF($S$45:$S$50,"?*"),14),13,FALSE),"")</f>
        <v>5.6232427366447988</v>
      </c>
      <c r="D43" s="456"/>
      <c r="E43" s="457" t="str">
        <f ca="1">IFERROR(VLOOKUP(A40,OFFSET($AG$2,,,COUNTIF($AG$2:$AG$50,"?*"),23),19,FALSE),"")</f>
        <v>30 OZ, 0 A</v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1905</v>
      </c>
      <c r="L43" s="433"/>
      <c r="M43" s="203">
        <f ca="1">IFERROR(VLOOKUP(J42,OFFSET($AG$2,,,COUNTIF($AG$2:$AG$50,"?*"),23),15,FALSE),"")</f>
        <v>116</v>
      </c>
      <c r="N43" s="433" t="str">
        <f ca="1">IFERROR(VLOOKUP(J42,OFFSET($AG$2,,,COUNTIF($AG$2:$AG$50,"?*"),23),16,FALSE),"")</f>
        <v>185/88</v>
      </c>
      <c r="O43" s="433"/>
      <c r="P43" s="433" t="str">
        <f ca="1">IFERROR(VLOOKUP(J42,OFFSET($AG$2,,,COUNTIF($AG$2:$AG$50,"?*"),23),18,FALSE),"")</f>
        <v>9 OZ, 0 (0+0), -1 ±</v>
      </c>
      <c r="Q43" s="433"/>
      <c r="R43" s="434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>FbŠ Bohemians</v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>?</v>
      </c>
      <c r="E44" s="452"/>
      <c r="F44" s="19">
        <f ca="1">IFERROR(VLOOKUP(A40,OFFSET($S$45,,,COUNTIF($S$45:$S$50,"?*"),14),6,FALSE),"")</f>
        <v>0</v>
      </c>
      <c r="H44" s="459"/>
      <c r="J44" s="18">
        <f ca="1">IFERROR(IF(VLOOKUP(J42,OFFSET($AG$2,,,COUNTIF($AG$2:$AG$50,"?*"),23),7,FALSE)&lt;&gt;0,VLOOKUP(J42,OFFSET($AG$2,,,COUNTIF($AG$2:$AG$50,"?*"),23),7,FALSE),"?"),"")</f>
        <v>5</v>
      </c>
      <c r="K44" s="435" t="str">
        <f ca="1">IFERROR(VLOOKUP(J42,OFFSET($AG$2,,,COUNTIF($AG$2:$AG$50,"?*"),23),19,FALSE),"")</f>
        <v>94 OZ, 1 (0+1)</v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>FBC Česká Lípa</v>
      </c>
      <c r="O44" s="436"/>
      <c r="P44" s="436"/>
      <c r="Q44" s="435">
        <f ca="1">IFERROR(IF(VLOOKUP(J42,OFFSET($AG$2,,,COUNTIF($AG$2:$AG$50,"?*"),23),14,FALSE)&lt;&gt;0,VLOOKUP(J42,OFFSET($AG$2,,,COUNTIF($AG$2:$AG$50,"?*"),23),14,FALSE),"?"),"")</f>
        <v>2007</v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541</v>
      </c>
      <c r="T45" s="102">
        <v>7</v>
      </c>
      <c r="U45" s="112">
        <v>400.62</v>
      </c>
      <c r="V45" s="102">
        <v>4</v>
      </c>
      <c r="W45" s="102">
        <v>29</v>
      </c>
      <c r="X45" s="102">
        <v>0</v>
      </c>
      <c r="Y45" s="102">
        <v>163</v>
      </c>
      <c r="Z45" s="102">
        <v>0</v>
      </c>
      <c r="AA45" s="102">
        <v>3</v>
      </c>
      <c r="AB45" s="102">
        <v>134</v>
      </c>
      <c r="AC45" s="102">
        <v>0</v>
      </c>
      <c r="AD45" s="102">
        <v>0</v>
      </c>
      <c r="AE45" s="112">
        <f>IF(S45&lt;&gt;"",IF(T45&gt;0,W45/(U45/60),0),"")</f>
        <v>4.3432679347012124</v>
      </c>
      <c r="AF45" s="112">
        <f>IF(S45&lt;&gt;"",IF(Y45&gt;0,(AB45/Y45)*100,"-"),"")</f>
        <v>82.208588957055213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557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 t="s">
        <v>565</v>
      </c>
      <c r="B47" s="421"/>
      <c r="C47" s="421"/>
      <c r="D47" s="421"/>
      <c r="E47" s="422" t="str">
        <f ca="1">IFERROR(VLOOKUP(A47,OFFSET($BN$2,,,COUNTIF($BN$2:$BN$11,"?*"),5),3,FALSE),"")</f>
        <v>hlavní trenér</v>
      </c>
      <c r="F47" s="422"/>
      <c r="G47" s="422"/>
      <c r="H47" s="422"/>
      <c r="I47" s="423"/>
      <c r="J47" s="420" t="s">
        <v>570</v>
      </c>
      <c r="K47" s="421"/>
      <c r="L47" s="421"/>
      <c r="M47" s="421"/>
      <c r="N47" s="422" t="str">
        <f ca="1">IFERROR(VLOOKUP(J47,OFFSET($BN$2,,,COUNTIF($BN$2:$BN$11,"?*"),5),3,FALSE),"")</f>
        <v>vedoucí družstva</v>
      </c>
      <c r="O47" s="422"/>
      <c r="P47" s="422"/>
      <c r="Q47" s="422"/>
      <c r="R47" s="423"/>
      <c r="S47" s="111" t="s">
        <v>539</v>
      </c>
      <c r="T47" s="102">
        <v>4</v>
      </c>
      <c r="U47" s="112">
        <v>192.06</v>
      </c>
      <c r="V47" s="102">
        <v>2</v>
      </c>
      <c r="W47" s="102">
        <v>18</v>
      </c>
      <c r="X47" s="102">
        <v>0</v>
      </c>
      <c r="Y47" s="102">
        <v>70</v>
      </c>
      <c r="Z47" s="102">
        <v>0</v>
      </c>
      <c r="AA47" s="102">
        <v>2</v>
      </c>
      <c r="AB47" s="102">
        <v>52</v>
      </c>
      <c r="AC47" s="102">
        <v>0</v>
      </c>
      <c r="AD47" s="102">
        <v>0</v>
      </c>
      <c r="AE47" s="112">
        <f t="shared" si="26"/>
        <v>5.6232427366447988</v>
      </c>
      <c r="AF47" s="112">
        <f t="shared" si="27"/>
        <v>74.285714285714292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>
        <f ca="1">IFERROR(VLOOKUP(A47,OFFSET($BN$2,,,COUNTIF($BN$2:$BN$11,"?*"),5),5,FALSE),"")</f>
        <v>41</v>
      </c>
      <c r="B48" s="440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40"/>
      <c r="D48" s="440"/>
      <c r="E48" s="440"/>
      <c r="F48" s="440"/>
      <c r="G48" s="440"/>
      <c r="H48" s="440"/>
      <c r="I48" s="441"/>
      <c r="J48" s="119">
        <f ca="1">IFERROR(VLOOKUP(J47,OFFSET($BN$2,,,COUNTIF($BN$2:$BN$11,"?*"),5),5,FALSE),"")</f>
        <v>56</v>
      </c>
      <c r="K48" s="444" t="str">
        <f ca="1">IFERROR(IF(VLOOKUP(J47,OFFSET($BN$2,,,COUNTIF($BN$2:$BN$11,"?*"),5),4,FALSE)&lt;&gt;0,VLOOKUP(J47,OFFSET($BN$2,,,COUNTIF($BN$2:$BN$11,"?*"),5),4,FALSE),"-"),"")</f>
        <v>-</v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6" priority="11" stopIfTrue="1" operator="equal">
      <formula>"OTR"</formula>
    </cfRule>
    <cfRule type="cellIs" dxfId="625" priority="12" stopIfTrue="1" operator="equal">
      <formula>"PAR"</formula>
    </cfRule>
    <cfRule type="cellIs" dxfId="624" priority="13" stopIfTrue="1" operator="equal">
      <formula>"CLP"</formula>
    </cfRule>
    <cfRule type="cellIs" dxfId="623" priority="14" stopIfTrue="1" operator="equal">
      <formula>"HAT"</formula>
    </cfRule>
    <cfRule type="cellIs" dxfId="622" priority="15" stopIfTrue="1" operator="equal">
      <formula>"LIB"</formula>
    </cfRule>
    <cfRule type="cellIs" dxfId="621" priority="16" stopIfTrue="1" operator="equal">
      <formula>"BA"</formula>
    </cfRule>
    <cfRule type="cellIs" dxfId="620" priority="17" stopIfTrue="1" operator="equal">
      <formula>"SPA"</formula>
    </cfRule>
    <cfRule type="cellIs" dxfId="619" priority="18" stopIfTrue="1" operator="equal">
      <formula>"OST"</formula>
    </cfRule>
    <cfRule type="cellIs" dxfId="618" priority="19" stopIfTrue="1" operator="equal">
      <formula>"BOH"</formula>
    </cfRule>
    <cfRule type="cellIs" dxfId="617" priority="20" stopIfTrue="1" operator="equal">
      <formula>"TAT"</formula>
    </cfRule>
    <cfRule type="cellIs" dxfId="616" priority="21" stopIfTrue="1" operator="equal">
      <formula>"MB"</formula>
    </cfRule>
    <cfRule type="cellIs" dxfId="615" priority="22" stopIfTrue="1" operator="equal">
      <formula>"VIT"</formula>
    </cfRule>
    <cfRule type="cellIs" dxfId="614" priority="23" stopIfTrue="1" operator="equal">
      <formula>"CHO"</formula>
    </cfRule>
    <cfRule type="cellIs" dxfId="613" priority="24" stopIfTrue="1" operator="equal">
      <formula>"SKV"</formula>
    </cfRule>
  </conditionalFormatting>
  <conditionalFormatting sqref="H19:K20">
    <cfRule type="cellIs" dxfId="612" priority="39" stopIfTrue="1" operator="equal">
      <formula>"OTR"</formula>
    </cfRule>
    <cfRule type="cellIs" dxfId="611" priority="40" stopIfTrue="1" operator="equal">
      <formula>"PAR"</formula>
    </cfRule>
    <cfRule type="cellIs" dxfId="610" priority="41" stopIfTrue="1" operator="equal">
      <formula>"CLP"</formula>
    </cfRule>
    <cfRule type="cellIs" dxfId="609" priority="42" stopIfTrue="1" operator="equal">
      <formula>"HAT"</formula>
    </cfRule>
    <cfRule type="cellIs" dxfId="608" priority="43" stopIfTrue="1" operator="equal">
      <formula>"LIB"</formula>
    </cfRule>
    <cfRule type="cellIs" dxfId="607" priority="44" stopIfTrue="1" operator="equal">
      <formula>"BA"</formula>
    </cfRule>
    <cfRule type="cellIs" dxfId="606" priority="45" stopIfTrue="1" operator="equal">
      <formula>"SPA"</formula>
    </cfRule>
    <cfRule type="cellIs" dxfId="605" priority="46" stopIfTrue="1" operator="equal">
      <formula>"OST"</formula>
    </cfRule>
    <cfRule type="cellIs" dxfId="604" priority="47" stopIfTrue="1" operator="equal">
      <formula>"BOH"</formula>
    </cfRule>
    <cfRule type="cellIs" dxfId="603" priority="48" stopIfTrue="1" operator="equal">
      <formula>"TAT"</formula>
    </cfRule>
    <cfRule type="cellIs" dxfId="602" priority="49" stopIfTrue="1" operator="equal">
      <formula>"MB"</formula>
    </cfRule>
    <cfRule type="cellIs" dxfId="601" priority="50" stopIfTrue="1" operator="equal">
      <formula>"VIT"</formula>
    </cfRule>
    <cfRule type="cellIs" dxfId="600" priority="51" stopIfTrue="1" operator="equal">
      <formula>"CHO"</formula>
    </cfRule>
    <cfRule type="cellIs" dxfId="599" priority="52" stopIfTrue="1" operator="equal">
      <formula>"SKV"</formula>
    </cfRule>
  </conditionalFormatting>
  <conditionalFormatting sqref="H8:K9">
    <cfRule type="cellIs" dxfId="598" priority="25" stopIfTrue="1" operator="equal">
      <formula>"OTR"</formula>
    </cfRule>
    <cfRule type="cellIs" dxfId="597" priority="26" stopIfTrue="1" operator="equal">
      <formula>"PAR"</formula>
    </cfRule>
    <cfRule type="cellIs" dxfId="596" priority="27" stopIfTrue="1" operator="equal">
      <formula>"CLP"</formula>
    </cfRule>
    <cfRule type="cellIs" dxfId="595" priority="28" stopIfTrue="1" operator="equal">
      <formula>"HAT"</formula>
    </cfRule>
    <cfRule type="cellIs" dxfId="594" priority="29" stopIfTrue="1" operator="equal">
      <formula>"LIB"</formula>
    </cfRule>
    <cfRule type="cellIs" dxfId="593" priority="30" stopIfTrue="1" operator="equal">
      <formula>"BA"</formula>
    </cfRule>
    <cfRule type="cellIs" dxfId="592" priority="31" stopIfTrue="1" operator="equal">
      <formula>"SPA"</formula>
    </cfRule>
    <cfRule type="cellIs" dxfId="591" priority="32" stopIfTrue="1" operator="equal">
      <formula>"OST"</formula>
    </cfRule>
    <cfRule type="cellIs" dxfId="590" priority="33" stopIfTrue="1" operator="equal">
      <formula>"BOH"</formula>
    </cfRule>
    <cfRule type="cellIs" dxfId="589" priority="34" stopIfTrue="1" operator="equal">
      <formula>"TAT"</formula>
    </cfRule>
    <cfRule type="cellIs" dxfId="588" priority="35" stopIfTrue="1" operator="equal">
      <formula>"MB"</formula>
    </cfRule>
    <cfRule type="cellIs" dxfId="587" priority="36" stopIfTrue="1" operator="equal">
      <formula>"VIT"</formula>
    </cfRule>
    <cfRule type="cellIs" dxfId="586" priority="37" stopIfTrue="1" operator="equal">
      <formula>"CHO"</formula>
    </cfRule>
    <cfRule type="cellIs" dxfId="585" priority="38" stopIfTrue="1" operator="equal">
      <formula>"SKV"</formula>
    </cfRule>
  </conditionalFormatting>
  <conditionalFormatting sqref="S2:S42">
    <cfRule type="expression" dxfId="584" priority="9" stopIfTrue="1">
      <formula>IFERROR(IF(VLOOKUP($S2,OFFSET($AG$2,,,COUNTIF($AG$2:$AG$50,"?*")),1,FALSE)&lt;&gt;0,1,0),0)&gt;0</formula>
    </cfRule>
  </conditionalFormatting>
  <conditionalFormatting sqref="S2:S42">
    <cfRule type="expression" dxfId="583" priority="10">
      <formula>IFERROR(IF(VLOOKUP($S2,OFFSET($AG$2,,,COUNTIF($AG$2:$AG$50,"?*")),1,FALSE)&lt;&gt;0,1,0),0)=0</formula>
    </cfRule>
  </conditionalFormatting>
  <conditionalFormatting sqref="S45:S50">
    <cfRule type="expression" dxfId="582" priority="8">
      <formula>IFERROR(IF(VLOOKUP($S45,OFFSET($AG$2,,,COUNTIF($AG$2:$AG$50,"?*")),1,FALSE)&lt;&gt;0,1,0),0)&gt;0</formula>
    </cfRule>
  </conditionalFormatting>
  <conditionalFormatting sqref="S45:S50">
    <cfRule type="expression" dxfId="581" priority="7">
      <formula>IFERROR(IF(VLOOKUP($S45,OFFSET($AG$2,,,COUNTIF($AG$2:$AG$50,"?*")),1,FALSE)&lt;&gt;0,1,0),0)=0</formula>
    </cfRule>
  </conditionalFormatting>
  <conditionalFormatting sqref="AG2:AG50">
    <cfRule type="expression" dxfId="580" priority="4" stopIfTrue="1">
      <formula>OR($AH2="",$AI2="",$AJ2="",$AK2="",$AL2="",$AM2="",$AN2="",$AQ2="",$AR2="",$AS2="",$AT2="")</formula>
    </cfRule>
    <cfRule type="expression" dxfId="579" priority="5" stopIfTrue="1">
      <formula>IFERROR(IF(VLOOKUP($AG2,OFFSET($S$2,,,COUNTIF($S$2:$S$42,"?*")),1,FALSE)&lt;&gt;0,1,0),0)=0</formula>
    </cfRule>
    <cfRule type="expression" dxfId="578" priority="6">
      <formula>IFERROR(IF(VLOOKUP($AG2,OFFSET($S$2,,,COUNTIF($S$2:$S$42,"?*")),1,FALSE)&lt;&gt;0,1,0),0)&gt;0</formula>
    </cfRule>
  </conditionalFormatting>
  <conditionalFormatting sqref="AG2:AK50 AM2:BC50">
    <cfRule type="expression" dxfId="577" priority="3">
      <formula>AND($AG2&lt;&gt;"",MOD(ROW($AG2),2)=0)</formula>
    </cfRule>
  </conditionalFormatting>
  <conditionalFormatting sqref="BN2:BR11">
    <cfRule type="expression" dxfId="576" priority="2">
      <formula>AND($BN2&lt;&gt;"",MOD(ROW($BN2),2)=0)</formula>
    </cfRule>
  </conditionalFormatting>
  <conditionalFormatting sqref="AL2:AL50">
    <cfRule type="expression" dxfId="57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V1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633</v>
      </c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65" t="s">
        <v>1</v>
      </c>
      <c r="I1" s="465"/>
      <c r="J1" s="465"/>
      <c r="K1" s="465"/>
      <c r="M1" s="431" t="s">
        <v>632</v>
      </c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1988</v>
      </c>
      <c r="C2" s="425"/>
      <c r="D2" s="117">
        <f ca="1">IFERROR(VLOOKUP(A1,OFFSET($AG$2,,,COUNTIF($AG$2:$AG$50,"?*"),23),15,FALSE),"")</f>
        <v>33</v>
      </c>
      <c r="E2" s="426" t="str">
        <f ca="1">IFERROR(VLOOKUP(A1,OFFSET($AG$2,,,COUNTIF($AG$2:$AG$50,"?*"),23),16,FALSE),"")</f>
        <v>200/99</v>
      </c>
      <c r="F2" s="427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2003</v>
      </c>
      <c r="O2" s="425"/>
      <c r="P2" s="117">
        <f ca="1">IFERROR(VLOOKUP(M1,OFFSET($AG$2,,,COUNTIF($AG$2:$AG$50,"?*"),23),15,FALSE),"")</f>
        <v>17</v>
      </c>
      <c r="Q2" s="426" t="str">
        <f ca="1">IFERROR(VLOOKUP(M1,OFFSET($AG$2,,,COUNTIF($AG$2:$AG$50,"?*"),23),16,FALSE),"")</f>
        <v>175/70</v>
      </c>
      <c r="R2" s="427"/>
      <c r="S2" s="110" t="s">
        <v>389</v>
      </c>
      <c r="T2" s="102" t="s">
        <v>58</v>
      </c>
      <c r="U2" s="102">
        <v>11</v>
      </c>
      <c r="V2" s="102">
        <v>8</v>
      </c>
      <c r="W2" s="102">
        <v>0</v>
      </c>
      <c r="X2" s="102">
        <v>0</v>
      </c>
      <c r="Y2" s="102">
        <v>8</v>
      </c>
      <c r="Z2" s="102">
        <v>16</v>
      </c>
      <c r="AA2" s="102">
        <v>6</v>
      </c>
      <c r="AB2" s="102">
        <v>-8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643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401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668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19" t="s">
        <v>36</v>
      </c>
      <c r="BT2" s="104" t="s">
        <v>672</v>
      </c>
      <c r="BU2" s="103">
        <v>16</v>
      </c>
      <c r="BV2" s="104" t="str">
        <f>IFERROR(RIGHT(BT2,LEN(BT2)-SEARCH(" ",BT2)),"")</f>
        <v>Milan Tichý</v>
      </c>
      <c r="BW2" s="102">
        <f>IF(BT2&lt;&gt;0,_xlfn.NUMBERVALUE(BU2,","),"")</f>
        <v>16</v>
      </c>
      <c r="BX2" s="418" t="s">
        <v>192</v>
      </c>
      <c r="BY2" s="103" t="s">
        <v>1028</v>
      </c>
      <c r="BZ2" s="103" t="s">
        <v>818</v>
      </c>
      <c r="CA2" s="115" t="s">
        <v>1360</v>
      </c>
    </row>
    <row r="3" spans="1:79" ht="15" customHeight="1" thickTop="1" thickBot="1" x14ac:dyDescent="0.25">
      <c r="A3" s="460" t="str">
        <f ca="1">IFERROR(VLOOKUP(A1,OFFSET($AG$2,,,COUNTIF($AG$2:$AG$50,"?*"),23),18,FALSE),"")</f>
        <v>13 OZ, 13 (7+6), -16 ±</v>
      </c>
      <c r="B3" s="461"/>
      <c r="C3" s="461"/>
      <c r="D3" s="462" t="str">
        <f ca="1">IFERROR(VLOOKUP(A1,OFFSET($AG$2,,,COUNTIF($AG$2:$AG$50,"?*"),23),19,FALSE),"")</f>
        <v>320 OZ, 306 (183+123)</v>
      </c>
      <c r="E3" s="462"/>
      <c r="F3" s="463"/>
      <c r="G3" s="431" t="s">
        <v>631</v>
      </c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60" t="str">
        <f ca="1">IFERROR(VLOOKUP(M1,OFFSET($AG$2,,,COUNTIF($AG$2:$AG$50,"?*"),23),18,FALSE),"")</f>
        <v>13 OZ, 14 (11+3), -19 ±</v>
      </c>
      <c r="N3" s="461"/>
      <c r="O3" s="461"/>
      <c r="P3" s="462" t="str">
        <f ca="1">IFERROR(VLOOKUP(M1,OFFSET($AG$2,,,COUNTIF($AG$2:$AG$50,"?*"),23),19,FALSE),"")</f>
        <v>37 OZ, 35 (25+10)</v>
      </c>
      <c r="Q3" s="462"/>
      <c r="R3" s="463"/>
      <c r="S3" s="110" t="s">
        <v>637</v>
      </c>
      <c r="T3" s="102" t="s">
        <v>58</v>
      </c>
      <c r="U3" s="102">
        <v>13</v>
      </c>
      <c r="V3" s="102">
        <v>9</v>
      </c>
      <c r="W3" s="102">
        <v>4</v>
      </c>
      <c r="X3" s="102">
        <v>0</v>
      </c>
      <c r="Y3" s="102">
        <v>6</v>
      </c>
      <c r="Z3" s="102">
        <v>15</v>
      </c>
      <c r="AA3" s="102">
        <v>12</v>
      </c>
      <c r="AB3" s="102">
        <v>-4</v>
      </c>
      <c r="AC3" s="102" t="str">
        <f t="shared" ca="1" si="0"/>
        <v>ANO</v>
      </c>
      <c r="AG3" s="121" t="s">
        <v>648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658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669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19"/>
      <c r="BT3" s="104" t="s">
        <v>1138</v>
      </c>
      <c r="BU3" s="103">
        <v>15</v>
      </c>
      <c r="BV3" s="104" t="str">
        <f t="shared" ref="BV3:BV31" si="13">IFERROR(RIGHT(BT3,LEN(BT3)-SEARCH(" ",BT3)),"")</f>
        <v>Štěpán Slaný</v>
      </c>
      <c r="BW3" s="102">
        <f t="shared" ref="BW3:BW31" si="14">IF(BT3&lt;&gt;0,_xlfn.NUMBERVALUE(BU3,","),"")</f>
        <v>15</v>
      </c>
      <c r="BX3" s="418"/>
      <c r="BY3" s="103" t="s">
        <v>1343</v>
      </c>
      <c r="BZ3" s="103" t="s">
        <v>849</v>
      </c>
      <c r="CA3" s="115" t="s">
        <v>1180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>FbK Sokol Mladá Boleslav</v>
      </c>
      <c r="B4" s="449"/>
      <c r="C4" s="450"/>
      <c r="D4" s="451">
        <f ca="1">IFERROR(IF(VLOOKUP(A1,OFFSET($AG$2,,,COUNTIF($AG$2:$AG$50,"?*"),23),14,FALSE)&lt;&gt;0,VLOOKUP(A1,OFFSET($AG$2,,,COUNTIF($AG$2:$AG$50,"?*"),23),14,FALSE),"?"),"")</f>
        <v>2007</v>
      </c>
      <c r="E4" s="452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1993</v>
      </c>
      <c r="I4" s="425"/>
      <c r="J4" s="117">
        <f ca="1">IFERROR(VLOOKUP(G3,OFFSET($AG$2,,,COUNTIF($AG$2:$AG$50,"?*"),23),15,FALSE),"")</f>
        <v>28</v>
      </c>
      <c r="K4" s="426" t="str">
        <f ca="1">IFERROR(VLOOKUP(G3,OFFSET($AG$2,,,COUNTIF($AG$2:$AG$50,"?*"),23),16,FALSE),"")</f>
        <v>186/82</v>
      </c>
      <c r="L4" s="427"/>
      <c r="M4" s="448" t="str">
        <f ca="1">IFERROR(IF(VLOOKUP(M1,OFFSET($AG$2,,,COUNTIF($AG$2:$AG$50,"?*"),23),13,FALSE)&lt;&gt;0,VLOOKUP(M1,OFFSET($AG$2,,,COUNTIF($AG$2:$AG$50,"?*"),23),13,FALSE),"?"),"")</f>
        <v>FBC Česká Lípa</v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>?</v>
      </c>
      <c r="Q4" s="452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632</v>
      </c>
      <c r="T4" s="102" t="s">
        <v>107</v>
      </c>
      <c r="U4" s="102">
        <v>13</v>
      </c>
      <c r="V4" s="102">
        <v>11</v>
      </c>
      <c r="W4" s="102">
        <v>1</v>
      </c>
      <c r="X4" s="102">
        <v>0</v>
      </c>
      <c r="Y4" s="102">
        <v>3</v>
      </c>
      <c r="Z4" s="102">
        <v>14</v>
      </c>
      <c r="AA4" s="102">
        <v>2</v>
      </c>
      <c r="AB4" s="102">
        <v>-19</v>
      </c>
      <c r="AC4" s="102" t="str">
        <f t="shared" ca="1" si="0"/>
        <v>ANO</v>
      </c>
      <c r="AG4" s="121" t="s">
        <v>649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659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1 V, 1 P</v>
      </c>
      <c r="AY4" s="129" t="str">
        <f t="shared" ca="1" si="2"/>
        <v>64 OZ, 3 A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670</v>
      </c>
      <c r="BO4" s="122">
        <v>31784</v>
      </c>
      <c r="BP4" s="131" t="s">
        <v>176</v>
      </c>
      <c r="BQ4" s="132"/>
      <c r="BR4" s="127">
        <f t="shared" ca="1" si="12"/>
        <v>34</v>
      </c>
      <c r="BS4" s="419"/>
      <c r="BT4" s="104" t="s">
        <v>1363</v>
      </c>
      <c r="BU4" s="103">
        <v>14</v>
      </c>
      <c r="BV4" s="104" t="str">
        <f t="shared" si="13"/>
        <v>Ondřej Kopič</v>
      </c>
      <c r="BW4" s="102">
        <f t="shared" si="14"/>
        <v>14</v>
      </c>
      <c r="BX4" s="418"/>
      <c r="BY4" s="103" t="s">
        <v>841</v>
      </c>
      <c r="BZ4" s="103" t="s">
        <v>812</v>
      </c>
      <c r="CA4" s="115" t="s">
        <v>1130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>12 OZ, 14 (9+5), -8 ±</v>
      </c>
      <c r="H5" s="461"/>
      <c r="I5" s="461"/>
      <c r="J5" s="462" t="str">
        <f ca="1">IFERROR(VLOOKUP(G3,OFFSET($AG$2,,,COUNTIF($AG$2:$AG$50,"?*"),23),19,FALSE),"")</f>
        <v>206 OZ, 341 (243+98)</v>
      </c>
      <c r="K5" s="462"/>
      <c r="L5" s="463"/>
      <c r="S5" s="110" t="s">
        <v>631</v>
      </c>
      <c r="T5" s="102" t="s">
        <v>107</v>
      </c>
      <c r="U5" s="102">
        <v>12</v>
      </c>
      <c r="V5" s="102">
        <v>9</v>
      </c>
      <c r="W5" s="102">
        <v>0</v>
      </c>
      <c r="X5" s="102">
        <v>1</v>
      </c>
      <c r="Y5" s="102">
        <v>5</v>
      </c>
      <c r="Z5" s="102">
        <v>14</v>
      </c>
      <c r="AA5" s="102">
        <v>12</v>
      </c>
      <c r="AB5" s="102">
        <v>-8</v>
      </c>
      <c r="AC5" s="102" t="str">
        <f t="shared" ca="1" si="0"/>
        <v>ANO</v>
      </c>
      <c r="AG5" s="121" t="s">
        <v>634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660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13 OZ, 1 (1+0), -15 ±</v>
      </c>
      <c r="AY5" s="129" t="str">
        <f t="shared" ca="1" si="2"/>
        <v>116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671</v>
      </c>
      <c r="BO5" s="122">
        <v>29101</v>
      </c>
      <c r="BP5" s="131" t="s">
        <v>176</v>
      </c>
      <c r="BQ5" s="132"/>
      <c r="BR5" s="127">
        <f t="shared" ca="1" si="12"/>
        <v>42</v>
      </c>
      <c r="BS5" s="419"/>
      <c r="BT5" s="104" t="s">
        <v>1133</v>
      </c>
      <c r="BU5" s="103">
        <v>14</v>
      </c>
      <c r="BV5" s="104" t="str">
        <f t="shared" si="13"/>
        <v>Radek Krajcigr</v>
      </c>
      <c r="BW5" s="102">
        <f t="shared" si="14"/>
        <v>14</v>
      </c>
      <c r="BX5" s="418"/>
      <c r="BY5" s="103" t="s">
        <v>822</v>
      </c>
      <c r="BZ5" s="103" t="s">
        <v>828</v>
      </c>
      <c r="CA5" s="115" t="s">
        <v>1037</v>
      </c>
    </row>
    <row r="6" spans="1:79" ht="15" customHeight="1" thickTop="1" thickBot="1" x14ac:dyDescent="0.25">
      <c r="A6" s="431" t="s">
        <v>389</v>
      </c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48" t="str">
        <f ca="1">IFERROR(IF(VLOOKUP(G3,OFFSET($AG$2,,,COUNTIF($AG$2:$AG$50,"?*"),23),13,FALSE)&lt;&gt;0,VLOOKUP(G3,OFFSET($AG$2,,,COUNTIF($AG$2:$AG$50,"?*"),23),13,FALSE),"?"),"")</f>
        <v>Erupting Dragons H. B.</v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>?</v>
      </c>
      <c r="K6" s="452"/>
      <c r="L6" s="7">
        <f ca="1">IFERROR(IF(VLOOKUP(G3,OFFSET($AG$2,,,COUNTIF($AG$2:$AG$50,"?*"),23),7,FALSE)&lt;&gt;0,VLOOKUP(G3,OFFSET($AG$2,,,COUNTIF($AG$2:$AG$50,"?*"),23),7,FALSE),"?"),"")</f>
        <v>10</v>
      </c>
      <c r="M6" s="431" t="s">
        <v>635</v>
      </c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635</v>
      </c>
      <c r="T6" s="102" t="s">
        <v>58</v>
      </c>
      <c r="U6" s="102">
        <v>12</v>
      </c>
      <c r="V6" s="102">
        <v>4</v>
      </c>
      <c r="W6" s="102">
        <v>1</v>
      </c>
      <c r="X6" s="102">
        <v>0</v>
      </c>
      <c r="Y6" s="102">
        <v>10</v>
      </c>
      <c r="Z6" s="102">
        <v>14</v>
      </c>
      <c r="AA6" s="102">
        <v>2</v>
      </c>
      <c r="AB6" s="102">
        <v>-24</v>
      </c>
      <c r="AC6" s="102" t="str">
        <f t="shared" ca="1" si="0"/>
        <v>ANO</v>
      </c>
      <c r="AG6" s="121" t="s">
        <v>633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661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13 OZ, 13 (7+6), -16 ±</v>
      </c>
      <c r="AY6" s="129" t="str">
        <f t="shared" ca="1" si="2"/>
        <v>320 OZ, 306 (183+123)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9"/>
      <c r="BT6" s="104" t="s">
        <v>1364</v>
      </c>
      <c r="BU6" s="103">
        <v>14</v>
      </c>
      <c r="BV6" s="104" t="str">
        <f t="shared" si="13"/>
        <v>Daniel Štěrba</v>
      </c>
      <c r="BW6" s="102">
        <f t="shared" si="14"/>
        <v>14</v>
      </c>
      <c r="BX6" s="418"/>
      <c r="BY6" s="103" t="s">
        <v>820</v>
      </c>
      <c r="BZ6" s="103" t="s">
        <v>840</v>
      </c>
      <c r="CA6" s="115" t="s">
        <v>1131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1993</v>
      </c>
      <c r="C7" s="425"/>
      <c r="D7" s="117">
        <f ca="1">IFERROR(VLOOKUP(A6,OFFSET($AG$2,,,COUNTIF($AG$2:$AG$50,"?*"),23),15,FALSE),"")</f>
        <v>28</v>
      </c>
      <c r="E7" s="426" t="str">
        <f ca="1">IFERROR(VLOOKUP(A6,OFFSET($AG$2,,,COUNTIF($AG$2:$AG$50,"?*"),23),16,FALSE),"")</f>
        <v>192/90</v>
      </c>
      <c r="F7" s="427"/>
      <c r="M7" s="4" t="str">
        <f ca="1">IFERROR(IF(VLOOKUP(M6,OFFSET($AG$2,,,COUNTIF($AG$2:$AG$50,"?*"),23),10,FALSE)&lt;&gt;0,VLOOKUP(M6,OFFSET($AG$2,,,COUNTIF($AG$2:$AG$50,"?*"),23),10,FALSE),""),"")</f>
        <v>P</v>
      </c>
      <c r="N7" s="424">
        <f ca="1">IFERROR(IF(VLOOKUP(M6,OFFSET($AG$2,,,COUNTIF($AG$2:$AG$50,"?*"),23),2,FALSE)&lt;&gt;0,YEAR(VLOOKUP(M6,OFFSET($AG$2,,,COUNTIF($AG$2:$AG$50,"?*"),23),2,FALSE)),""),"")</f>
        <v>1996</v>
      </c>
      <c r="O7" s="425"/>
      <c r="P7" s="117">
        <f ca="1">IFERROR(VLOOKUP(M6,OFFSET($AG$2,,,COUNTIF($AG$2:$AG$50,"?*"),23),15,FALSE),"")</f>
        <v>25</v>
      </c>
      <c r="Q7" s="426" t="str">
        <f ca="1">IFERROR(VLOOKUP(M6,OFFSET($AG$2,,,COUNTIF($AG$2:$AG$50,"?*"),23),16,FALSE),"")</f>
        <v>185/85</v>
      </c>
      <c r="R7" s="427"/>
      <c r="S7" s="110" t="s">
        <v>633</v>
      </c>
      <c r="T7" s="102" t="s">
        <v>107</v>
      </c>
      <c r="U7" s="102">
        <v>13</v>
      </c>
      <c r="V7" s="102">
        <v>7</v>
      </c>
      <c r="W7" s="102">
        <v>0</v>
      </c>
      <c r="X7" s="102">
        <v>0</v>
      </c>
      <c r="Y7" s="102">
        <v>6</v>
      </c>
      <c r="Z7" s="102">
        <v>13</v>
      </c>
      <c r="AA7" s="102">
        <v>5</v>
      </c>
      <c r="AB7" s="102">
        <v>-16</v>
      </c>
      <c r="AC7" s="102" t="str">
        <f t="shared" ca="1" si="0"/>
        <v>ANO</v>
      </c>
      <c r="AG7" s="121" t="s">
        <v>645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809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795</v>
      </c>
      <c r="BU7" s="103" t="s">
        <v>1135</v>
      </c>
      <c r="BV7" s="104" t="str">
        <f t="shared" si="13"/>
        <v>Lukáš Chyna</v>
      </c>
      <c r="BW7" s="112">
        <f t="shared" si="14"/>
        <v>7.71</v>
      </c>
      <c r="BX7" s="418" t="s">
        <v>193</v>
      </c>
      <c r="BY7" s="103" t="s">
        <v>1100</v>
      </c>
      <c r="BZ7" s="103" t="s">
        <v>847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>11 OZ, 16 (8+8), -8 ±</v>
      </c>
      <c r="B8" s="461"/>
      <c r="C8" s="461"/>
      <c r="D8" s="462" t="str">
        <f ca="1">IFERROR(VLOOKUP(A6,OFFSET($AG$2,,,COUNTIF($AG$2:$AG$50,"?*"),23),19,FALSE),"")</f>
        <v>85 OZ, 77 (45+32)</v>
      </c>
      <c r="E8" s="462"/>
      <c r="F8" s="463"/>
      <c r="H8" s="464" t="s">
        <v>96</v>
      </c>
      <c r="I8" s="464"/>
      <c r="J8" s="464"/>
      <c r="K8" s="464"/>
      <c r="M8" s="460" t="str">
        <f ca="1">IFERROR(VLOOKUP(M6,OFFSET($AG$2,,,COUNTIF($AG$2:$AG$50,"?*"),23),18,FALSE),"")</f>
        <v>12 OZ, 14 (4+10), -24 ±</v>
      </c>
      <c r="N8" s="461"/>
      <c r="O8" s="461"/>
      <c r="P8" s="462" t="str">
        <f ca="1">IFERROR(VLOOKUP(M6,OFFSET($AG$2,,,COUNTIF($AG$2:$AG$50,"?*"),23),19,FALSE),"")</f>
        <v>114 OZ, 90 (32+58)</v>
      </c>
      <c r="Q8" s="462"/>
      <c r="R8" s="463"/>
      <c r="S8" s="110" t="s">
        <v>644</v>
      </c>
      <c r="T8" s="102" t="s">
        <v>107</v>
      </c>
      <c r="U8" s="102">
        <v>13</v>
      </c>
      <c r="V8" s="102">
        <v>2</v>
      </c>
      <c r="W8" s="102">
        <v>0</v>
      </c>
      <c r="X8" s="102">
        <v>0</v>
      </c>
      <c r="Y8" s="102">
        <v>9</v>
      </c>
      <c r="Z8" s="102">
        <v>11</v>
      </c>
      <c r="AA8" s="102">
        <v>4</v>
      </c>
      <c r="AB8" s="102">
        <v>-3</v>
      </c>
      <c r="AC8" s="102" t="str">
        <f t="shared" ca="1" si="0"/>
        <v>ANO</v>
      </c>
      <c r="AG8" s="121" t="s">
        <v>646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401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796</v>
      </c>
      <c r="BU8" s="103" t="s">
        <v>1136</v>
      </c>
      <c r="BV8" s="104" t="str">
        <f t="shared" si="13"/>
        <v>Ivan Ponomarev</v>
      </c>
      <c r="BW8" s="112">
        <f t="shared" si="14"/>
        <v>7.77</v>
      </c>
      <c r="BX8" s="418"/>
      <c r="BY8" s="103" t="s">
        <v>1101</v>
      </c>
      <c r="BZ8" s="103" t="s">
        <v>831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>FBC Česká Lípa</v>
      </c>
      <c r="B9" s="449"/>
      <c r="C9" s="450"/>
      <c r="D9" s="451">
        <f ca="1">IFERROR(IF(VLOOKUP(A6,OFFSET($AG$2,,,COUNTIF($AG$2:$AG$50,"?*"),23),14,FALSE)&lt;&gt;0,VLOOKUP(A6,OFFSET($AG$2,,,COUNTIF($AG$2:$AG$50,"?*"),23),14,FALSE),"?"),"")</f>
        <v>2008</v>
      </c>
      <c r="E9" s="452"/>
      <c r="F9" s="7">
        <f ca="1">IFERROR(IF(VLOOKUP(A6,OFFSET($AG$2,,,COUNTIF($AG$2:$AG$50,"?*"),23),7,FALSE)&lt;&gt;0,VLOOKUP(A6,OFFSET($AG$2,,,COUNTIF($AG$2:$AG$50,"?*"),23),7,FALSE),"?"),"")</f>
        <v>7</v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>FbK Sokol Mladá Boleslav</v>
      </c>
      <c r="N9" s="449"/>
      <c r="O9" s="450"/>
      <c r="P9" s="451">
        <f ca="1">IFERROR(IF(VLOOKUP(M6,OFFSET($AG$2,,,COUNTIF($AG$2:$AG$50,"?*"),23),14,FALSE)&lt;&gt;0,VLOOKUP(M6,OFFSET($AG$2,,,COUNTIF($AG$2:$AG$50,"?*"),23),14,FALSE),"?"),"")</f>
        <v>2007</v>
      </c>
      <c r="Q9" s="452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642</v>
      </c>
      <c r="T9" s="102" t="s">
        <v>58</v>
      </c>
      <c r="U9" s="102">
        <v>13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-10</v>
      </c>
      <c r="AC9" s="102" t="str">
        <f t="shared" ca="1" si="0"/>
        <v>ANO</v>
      </c>
      <c r="AG9" s="121" t="s">
        <v>650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401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1365</v>
      </c>
      <c r="BU9" s="103" t="s">
        <v>1366</v>
      </c>
      <c r="BV9" s="104" t="str">
        <f t="shared" si="13"/>
        <v>Jan Dvořák</v>
      </c>
      <c r="BW9" s="112">
        <f t="shared" si="14"/>
        <v>6.52</v>
      </c>
      <c r="BX9" s="418"/>
      <c r="BY9" s="103" t="s">
        <v>1150</v>
      </c>
      <c r="BZ9" s="103" t="s">
        <v>815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636</v>
      </c>
      <c r="T10" s="102" t="s">
        <v>107</v>
      </c>
      <c r="U10" s="102">
        <v>12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4</v>
      </c>
      <c r="AB10" s="102">
        <v>-8</v>
      </c>
      <c r="AC10" s="102" t="str">
        <f t="shared" ca="1" si="0"/>
        <v>ANO</v>
      </c>
      <c r="AG10" s="121" t="s">
        <v>647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401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T10" s="104" t="s">
        <v>1367</v>
      </c>
      <c r="BU10" s="103" t="s">
        <v>1137</v>
      </c>
      <c r="BV10" s="104" t="str">
        <f t="shared" si="13"/>
        <v>Daniel Jukl</v>
      </c>
      <c r="BW10" s="112">
        <f t="shared" si="14"/>
        <v>15</v>
      </c>
      <c r="BX10" s="418"/>
      <c r="BY10" s="103" t="s">
        <v>1344</v>
      </c>
      <c r="BZ10" s="103" t="s">
        <v>823</v>
      </c>
      <c r="CA10" s="115" t="s">
        <v>188</v>
      </c>
    </row>
    <row r="11" spans="1:79" ht="15" customHeight="1" thickTop="1" thickBot="1" x14ac:dyDescent="0.25">
      <c r="R11" s="13"/>
      <c r="S11" s="110" t="s">
        <v>640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3</v>
      </c>
      <c r="Z11" s="102">
        <v>5</v>
      </c>
      <c r="AA11" s="102">
        <v>4</v>
      </c>
      <c r="AB11" s="102">
        <v>-2</v>
      </c>
      <c r="AC11" s="102" t="str">
        <f t="shared" ca="1" si="0"/>
        <v>ANO</v>
      </c>
      <c r="AG11" s="121" t="s">
        <v>651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658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861</v>
      </c>
      <c r="CA11" s="115" t="s">
        <v>188</v>
      </c>
    </row>
    <row r="12" spans="1:79" ht="15" customHeight="1" thickTop="1" thickBot="1" x14ac:dyDescent="0.25">
      <c r="A12" s="431" t="s">
        <v>639</v>
      </c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65" t="s">
        <v>7</v>
      </c>
      <c r="I12" s="465"/>
      <c r="J12" s="465"/>
      <c r="K12" s="465"/>
      <c r="M12" s="431" t="s">
        <v>640</v>
      </c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653</v>
      </c>
      <c r="T12" s="102" t="s">
        <v>58</v>
      </c>
      <c r="U12" s="102">
        <v>7</v>
      </c>
      <c r="V12" s="102">
        <v>3</v>
      </c>
      <c r="W12" s="102">
        <v>0</v>
      </c>
      <c r="X12" s="102">
        <v>0</v>
      </c>
      <c r="Y12" s="102">
        <v>1</v>
      </c>
      <c r="Z12" s="102">
        <v>4</v>
      </c>
      <c r="AA12" s="102">
        <v>27</v>
      </c>
      <c r="AB12" s="102">
        <v>-10</v>
      </c>
      <c r="AC12" s="102" t="str">
        <f t="shared" ca="1" si="0"/>
        <v>ANO</v>
      </c>
      <c r="AG12" s="121" t="s">
        <v>644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401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13 OZ, 11 (2+9), -3 ±</v>
      </c>
      <c r="AY12" s="129" t="str">
        <f t="shared" ca="1" si="2"/>
        <v>116 OZ, 87 (27+60)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943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1362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1997</v>
      </c>
      <c r="C13" s="425"/>
      <c r="D13" s="117">
        <f ca="1">IFERROR(VLOOKUP(A12,OFFSET($AG$2,,,COUNTIF($AG$2:$AG$50,"?*"),23),15,FALSE),"")</f>
        <v>23</v>
      </c>
      <c r="E13" s="426" t="str">
        <f ca="1">IFERROR(VLOOKUP(A12,OFFSET($AG$2,,,COUNTIF($AG$2:$AG$50,"?*"),23),16,FALSE),"")</f>
        <v>185/75</v>
      </c>
      <c r="F13" s="427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2003</v>
      </c>
      <c r="O13" s="425"/>
      <c r="P13" s="117">
        <f ca="1">IFERROR(VLOOKUP(M12,OFFSET($AG$2,,,COUNTIF($AG$2:$AG$50,"?*"),23),15,FALSE),"")</f>
        <v>18</v>
      </c>
      <c r="Q13" s="426" t="str">
        <f ca="1">IFERROR(VLOOKUP(M12,OFFSET($AG$2,,,COUNTIF($AG$2:$AG$50,"?*"),23),16,FALSE),"")</f>
        <v>170/62</v>
      </c>
      <c r="R13" s="427"/>
      <c r="S13" s="110" t="s">
        <v>942</v>
      </c>
      <c r="U13" s="102">
        <v>8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-2</v>
      </c>
      <c r="AC13" s="102" t="str">
        <f t="shared" ca="1" si="0"/>
        <v>ANO</v>
      </c>
      <c r="AG13" s="121" t="s">
        <v>652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661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4 OZ, 2 (1+1), -1 ±</v>
      </c>
      <c r="AY13" s="129" t="str">
        <f t="shared" ca="1" si="2"/>
        <v>287 OZ, 72 (32+40)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944</v>
      </c>
      <c r="BU13" s="103">
        <v>9</v>
      </c>
      <c r="BV13" s="104" t="str">
        <f t="shared" si="13"/>
        <v>Radek Krajcigr</v>
      </c>
      <c r="BW13" s="102">
        <f t="shared" si="14"/>
        <v>9</v>
      </c>
    </row>
    <row r="14" spans="1:79" ht="15" customHeight="1" thickTop="1" thickBot="1" x14ac:dyDescent="0.25">
      <c r="A14" s="460" t="str">
        <f ca="1">IFERROR(VLOOKUP(A12,OFFSET($AG$2,,,COUNTIF($AG$2:$AG$50,"?*"),23),18,FALSE),"")</f>
        <v>8 OZ, 3 (3+0), -1 ±</v>
      </c>
      <c r="B14" s="461"/>
      <c r="C14" s="461"/>
      <c r="D14" s="462" t="str">
        <f ca="1">IFERROR(VLOOKUP(A12,OFFSET($AG$2,,,COUNTIF($AG$2:$AG$50,"?*"),23),19,FALSE),"")</f>
        <v>73 OZ, 20 (11+9)</v>
      </c>
      <c r="E14" s="462"/>
      <c r="F14" s="463"/>
      <c r="G14" s="431" t="s">
        <v>644</v>
      </c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60" t="str">
        <f ca="1">IFERROR(VLOOKUP(M12,OFFSET($AG$2,,,COUNTIF($AG$2:$AG$50,"?*"),23),18,FALSE),"")</f>
        <v>11 OZ, 5 (2+3), -2 ±</v>
      </c>
      <c r="N14" s="461"/>
      <c r="O14" s="461"/>
      <c r="P14" s="462" t="str">
        <f ca="1">IFERROR(VLOOKUP(M12,OFFSET($AG$2,,,COUNTIF($AG$2:$AG$50,"?*"),23),19,FALSE),"")</f>
        <v>19 OZ, 5 (2+3)</v>
      </c>
      <c r="Q14" s="462"/>
      <c r="R14" s="463"/>
      <c r="S14" s="110" t="s">
        <v>639</v>
      </c>
      <c r="T14" s="102" t="s">
        <v>107</v>
      </c>
      <c r="U14" s="102">
        <v>8</v>
      </c>
      <c r="V14" s="102">
        <v>3</v>
      </c>
      <c r="W14" s="102">
        <v>0</v>
      </c>
      <c r="X14" s="102">
        <v>0</v>
      </c>
      <c r="Y14" s="102">
        <v>0</v>
      </c>
      <c r="Z14" s="102">
        <v>3</v>
      </c>
      <c r="AA14" s="102">
        <v>2</v>
      </c>
      <c r="AB14" s="102">
        <v>-1</v>
      </c>
      <c r="AC14" s="102" t="str">
        <f t="shared" ca="1" si="0"/>
        <v>ANO</v>
      </c>
      <c r="AG14" s="121" t="s">
        <v>636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401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12 OZ, 7 (2+5), -8 ±</v>
      </c>
      <c r="AY14" s="129" t="str">
        <f t="shared" ca="1" si="2"/>
        <v>103 OZ, 33 (10+23)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1132</v>
      </c>
      <c r="BU14" s="103">
        <v>9</v>
      </c>
      <c r="BV14" s="104" t="str">
        <f t="shared" si="13"/>
        <v>Štěpán Slaný</v>
      </c>
      <c r="BW14" s="102">
        <f t="shared" si="14"/>
        <v>9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>Akademie Zákupy</v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>?</v>
      </c>
      <c r="E15" s="452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1991</v>
      </c>
      <c r="I15" s="425"/>
      <c r="J15" s="117">
        <f ca="1">IFERROR(VLOOKUP(G14,OFFSET($AG$2,,,COUNTIF($AG$2:$AG$50,"?*"),23),15,FALSE),"")</f>
        <v>30</v>
      </c>
      <c r="K15" s="426" t="str">
        <f ca="1">IFERROR(VLOOKUP(G14,OFFSET($AG$2,,,COUNTIF($AG$2:$AG$50,"?*"),23),16,FALSE),"")</f>
        <v>186/87</v>
      </c>
      <c r="L15" s="427"/>
      <c r="M15" s="448" t="str">
        <f ca="1">IFERROR(IF(VLOOKUP(M12,OFFSET($AG$2,,,COUNTIF($AG$2:$AG$50,"?*"),23),13,FALSE)&lt;&gt;0,VLOOKUP(M12,OFFSET($AG$2,,,COUNTIF($AG$2:$AG$50,"?*"),23),13,FALSE),"?"),"")</f>
        <v>FBC Česká Lípa</v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>?</v>
      </c>
      <c r="Q15" s="452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652</v>
      </c>
      <c r="T15" s="102" t="s">
        <v>58</v>
      </c>
      <c r="U15" s="102">
        <v>4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-1</v>
      </c>
      <c r="AC15" s="102" t="str">
        <f t="shared" ca="1" si="0"/>
        <v>ANO</v>
      </c>
      <c r="AG15" s="121" t="s">
        <v>632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401</v>
      </c>
      <c r="AT15" s="123"/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13 OZ, 14 (11+3), -19 ±</v>
      </c>
      <c r="AY15" s="129" t="str">
        <f t="shared" ca="1" si="2"/>
        <v>37 OZ, 35 (25+10)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945</v>
      </c>
      <c r="BU15" s="103">
        <v>8</v>
      </c>
      <c r="BV15" s="104" t="str">
        <f t="shared" si="13"/>
        <v>Milan Tichý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>13 OZ, 11 (2+9), -3 ±</v>
      </c>
      <c r="H16" s="461"/>
      <c r="I16" s="461"/>
      <c r="J16" s="462" t="str">
        <f ca="1">IFERROR(VLOOKUP(G14,OFFSET($AG$2,,,COUNTIF($AG$2:$AG$50,"?*"),23),19,FALSE),"")</f>
        <v>116 OZ, 87 (27+60)</v>
      </c>
      <c r="K16" s="462"/>
      <c r="L16" s="463"/>
      <c r="S16" s="110" t="s">
        <v>641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640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401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11 OZ, 5 (2+3), -2 ±</v>
      </c>
      <c r="AY16" s="129" t="str">
        <f t="shared" ca="1" si="2"/>
        <v>19 OZ, 5 (2+3)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1134</v>
      </c>
      <c r="BU16" s="103">
        <v>7</v>
      </c>
      <c r="BV16" s="104" t="str">
        <f t="shared" si="13"/>
        <v>Jaromír Ekl</v>
      </c>
      <c r="BW16" s="102">
        <f t="shared" si="14"/>
        <v>7</v>
      </c>
    </row>
    <row r="17" spans="1:75" ht="15" customHeight="1" thickTop="1" thickBot="1" x14ac:dyDescent="0.25">
      <c r="A17" s="431" t="s">
        <v>403</v>
      </c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48" t="str">
        <f ca="1">IFERROR(IF(VLOOKUP(G14,OFFSET($AG$2,,,COUNTIF($AG$2:$AG$50,"?*"),23),13,FALSE)&lt;&gt;0,VLOOKUP(G14,OFFSET($AG$2,,,COUNTIF($AG$2:$AG$50,"?*"),23),13,FALSE),"?"),"")</f>
        <v>FBC Česká Lípa</v>
      </c>
      <c r="H17" s="449"/>
      <c r="I17" s="450"/>
      <c r="J17" s="451">
        <f ca="1">IFERROR(IF(VLOOKUP(G14,OFFSET($AG$2,,,COUNTIF($AG$2:$AG$50,"?*"),23),14,FALSE)&lt;&gt;0,VLOOKUP(G14,OFFSET($AG$2,,,COUNTIF($AG$2:$AG$50,"?*"),23),14,FALSE),"?"),"")</f>
        <v>2006</v>
      </c>
      <c r="K17" s="452"/>
      <c r="L17" s="7">
        <f ca="1">IFERROR(IF(VLOOKUP(G14,OFFSET($AG$2,,,COUNTIF($AG$2:$AG$50,"?*"),23),7,FALSE)&lt;&gt;0,VLOOKUP(G14,OFFSET($AG$2,,,COUNTIF($AG$2:$AG$50,"?*"),23),7,FALSE),"?"),"")</f>
        <v>6</v>
      </c>
      <c r="M17" s="431" t="s">
        <v>637</v>
      </c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634</v>
      </c>
      <c r="T17" s="102" t="s">
        <v>107</v>
      </c>
      <c r="U17" s="102">
        <v>13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631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662</v>
      </c>
      <c r="AT17" s="123"/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12 OZ, 14 (9+5), -8 ±</v>
      </c>
      <c r="AY17" s="129" t="str">
        <f t="shared" ca="1" si="2"/>
        <v>206 OZ, 341 (243+98)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795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4">
        <f ca="1">IFERROR(IF(VLOOKUP(A17,OFFSET($AG$2,,,COUNTIF($AG$2:$AG$50,"?*"),23),2,FALSE)&lt;&gt;0,YEAR(VLOOKUP(A17,OFFSET($AG$2,,,COUNTIF($AG$2:$AG$50,"?*"),23),2,FALSE)),""),"")</f>
        <v>1994</v>
      </c>
      <c r="C18" s="425"/>
      <c r="D18" s="149">
        <f ca="1">IFERROR(VLOOKUP(A17,OFFSET($AG$2,,,COUNTIF($AG$2:$AG$50,"?*"),23),15,FALSE),"")</f>
        <v>27</v>
      </c>
      <c r="E18" s="426" t="str">
        <f ca="1">IFERROR(VLOOKUP(A17,OFFSET($AG$2,,,COUNTIF($AG$2:$AG$50,"?*"),23),16,FALSE),"")</f>
        <v>174/76</v>
      </c>
      <c r="F18" s="427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1983</v>
      </c>
      <c r="O18" s="425"/>
      <c r="P18" s="117">
        <f ca="1">IFERROR(VLOOKUP(M17,OFFSET($AG$2,,,COUNTIF($AG$2:$AG$50,"?*"),23),15,FALSE),"")</f>
        <v>38</v>
      </c>
      <c r="Q18" s="426" t="str">
        <f ca="1">IFERROR(VLOOKUP(M17,OFFSET($AG$2,,,COUNTIF($AG$2:$AG$50,"?*"),23),16,FALSE),"")</f>
        <v>184/91</v>
      </c>
      <c r="R18" s="427"/>
      <c r="S18" s="110" t="s">
        <v>649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642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663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13 OZ, 8 (6+2), -10 ±</v>
      </c>
      <c r="AY18" s="129" t="str">
        <f t="shared" ca="1" si="2"/>
        <v>96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796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60" t="str">
        <f ca="1">IFERROR(VLOOKUP(A17,OFFSET($AG$2,,,COUNTIF($AG$2:$AG$50,"?*"),23),18,FALSE),"")</f>
        <v>6 OZ, 0 (0+0), -2 ±</v>
      </c>
      <c r="B19" s="461"/>
      <c r="C19" s="461"/>
      <c r="D19" s="462" t="str">
        <f ca="1">IFERROR(VLOOKUP(A17,OFFSET($AG$2,,,COUNTIF($AG$2:$AG$50,"?*"),23),19,FALSE),"")</f>
        <v>74 OZ, 44 (21+23)</v>
      </c>
      <c r="E19" s="462"/>
      <c r="F19" s="463"/>
      <c r="H19" s="464" t="str">
        <f>H$8</f>
        <v>CLP</v>
      </c>
      <c r="I19" s="464"/>
      <c r="J19" s="464"/>
      <c r="K19" s="464"/>
      <c r="M19" s="460" t="str">
        <f ca="1">IFERROR(VLOOKUP(M17,OFFSET($AG$2,,,COUNTIF($AG$2:$AG$50,"?*"),23),18,FALSE),"")</f>
        <v>13 OZ, 15 (9+6), -4 ±</v>
      </c>
      <c r="N19" s="461"/>
      <c r="O19" s="461"/>
      <c r="P19" s="462" t="str">
        <f ca="1">IFERROR(VLOOKUP(M17,OFFSET($AG$2,,,COUNTIF($AG$2:$AG$50,"?*"),23),19,FALSE),"")</f>
        <v>322 OZ, 335 (165+170)</v>
      </c>
      <c r="Q19" s="462"/>
      <c r="R19" s="463"/>
      <c r="S19" s="110" t="s">
        <v>1129</v>
      </c>
      <c r="T19" s="102" t="s">
        <v>107</v>
      </c>
      <c r="U19" s="102">
        <v>4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NE</v>
      </c>
      <c r="AG19" s="121" t="s">
        <v>653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661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7 OZ, 4 (3+1), -10 ±</v>
      </c>
      <c r="AY19" s="129" t="str">
        <f t="shared" ca="1" si="2"/>
        <v>199 OZ, 75 (36+39)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1365</v>
      </c>
      <c r="BU19" s="103">
        <v>1</v>
      </c>
      <c r="BV19" s="104" t="str">
        <f t="shared" si="13"/>
        <v>Jan Dvořák</v>
      </c>
      <c r="BW19" s="102">
        <f t="shared" si="14"/>
        <v>1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>Pitbulls Kolín</v>
      </c>
      <c r="B20" s="449"/>
      <c r="C20" s="450"/>
      <c r="D20" s="451">
        <f ca="1">IFERROR(IF(VLOOKUP(A17,OFFSET($AG$2,,,COUNTIF($AG$2:$AG$50,"?*"),23),14,FALSE)&lt;&gt;0,VLOOKUP(A17,OFFSET($AG$2,,,COUNTIF($AG$2:$AG$50,"?*"),23),14,FALSE),"?"),"")</f>
        <v>2007</v>
      </c>
      <c r="E20" s="452"/>
      <c r="F20" s="7">
        <f ca="1">IFERROR(IF(VLOOKUP(A17,OFFSET($AG$2,,,COUNTIF($AG$2:$AG$50,"?*"),23),7,FALSE)&lt;&gt;0,VLOOKUP(A17,OFFSET($AG$2,,,COUNTIF($AG$2:$AG$50,"?*"),23),7,FALSE),"?"),"")</f>
        <v>5</v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>FBC Líný FŠI Česká Lípa</v>
      </c>
      <c r="N20" s="449"/>
      <c r="O20" s="450"/>
      <c r="P20" s="451">
        <f ca="1">IFERROR(IF(VLOOKUP(M17,OFFSET($AG$2,,,COUNTIF($AG$2:$AG$50,"?*"),23),14,FALSE)&lt;&gt;0,VLOOKUP(M17,OFFSET($AG$2,,,COUNTIF($AG$2:$AG$50,"?*"),23),14,FALSE),"?"),"")</f>
        <v>1998</v>
      </c>
      <c r="Q20" s="452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1128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403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808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T20" s="104" t="s">
        <v>1367</v>
      </c>
      <c r="BU20" s="103">
        <v>0</v>
      </c>
      <c r="BV20" s="104" t="str">
        <f t="shared" si="13"/>
        <v>Daniel Jukl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656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654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401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645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638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807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1368</v>
      </c>
      <c r="BU22" s="103">
        <v>10</v>
      </c>
      <c r="BV22" s="104" t="str">
        <f t="shared" si="13"/>
        <v>Daniel Štěrba</v>
      </c>
      <c r="BW22" s="102">
        <f t="shared" si="14"/>
        <v>10</v>
      </c>
    </row>
    <row r="23" spans="1:75" ht="15" customHeight="1" thickTop="1" thickBot="1" x14ac:dyDescent="0.25">
      <c r="A23" s="431" t="s">
        <v>636</v>
      </c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65" t="s">
        <v>13</v>
      </c>
      <c r="I23" s="465"/>
      <c r="J23" s="465"/>
      <c r="K23" s="465"/>
      <c r="M23" s="431" t="s">
        <v>634</v>
      </c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643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655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664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1369</v>
      </c>
      <c r="BU23" s="103">
        <v>9</v>
      </c>
      <c r="BV23" s="104" t="str">
        <f t="shared" si="13"/>
        <v>Jakub Jirsa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4">
        <f ca="1">IFERROR(IF(VLOOKUP(A23,OFFSET($AG$2,,,COUNTIF($AG$2:$AG$50,"?*"),23),2,FALSE)&lt;&gt;0,YEAR(VLOOKUP(A23,OFFSET($AG$2,,,COUNTIF($AG$2:$AG$50,"?*"),23),2,FALSE)),""),"")</f>
        <v>1990</v>
      </c>
      <c r="C24" s="425"/>
      <c r="D24" s="117">
        <f ca="1">IFERROR(VLOOKUP(A23,OFFSET($AG$2,,,COUNTIF($AG$2:$AG$50,"?*"),23),15,FALSE),"")</f>
        <v>31</v>
      </c>
      <c r="E24" s="426" t="str">
        <f ca="1">IFERROR(VLOOKUP(A23,OFFSET($AG$2,,,COUNTIF($AG$2:$AG$50,"?*"),23),16,FALSE),"")</f>
        <v>186/86</v>
      </c>
      <c r="F24" s="427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1986</v>
      </c>
      <c r="O24" s="425"/>
      <c r="P24" s="117">
        <f ca="1">IFERROR(VLOOKUP(M23,OFFSET($AG$2,,,COUNTIF($AG$2:$AG$50,"?*"),23),15,FALSE),"")</f>
        <v>35</v>
      </c>
      <c r="Q24" s="426" t="str">
        <f ca="1">IFERROR(VLOOKUP(M23,OFFSET($AG$2,,,COUNTIF($AG$2:$AG$50,"?*"),23),16,FALSE),"")</f>
        <v>182/79</v>
      </c>
      <c r="R24" s="427"/>
      <c r="S24" s="110" t="s">
        <v>403</v>
      </c>
      <c r="U24" s="102">
        <v>6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-2</v>
      </c>
      <c r="AC24" s="102" t="str">
        <f t="shared" ca="1" si="0"/>
        <v>ANO</v>
      </c>
      <c r="AG24" s="121" t="s">
        <v>637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665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15 (9+6),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335 (165+170)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1027</v>
      </c>
      <c r="BU24" s="103">
        <v>8</v>
      </c>
      <c r="BV24" s="104" t="str">
        <f t="shared" si="13"/>
        <v>Milan Tichý</v>
      </c>
      <c r="BW24" s="102">
        <f t="shared" si="14"/>
        <v>8</v>
      </c>
    </row>
    <row r="25" spans="1:75" ht="15" customHeight="1" thickTop="1" thickBot="1" x14ac:dyDescent="0.25">
      <c r="A25" s="460" t="str">
        <f ca="1">IFERROR(VLOOKUP(A23,OFFSET($AG$2,,,COUNTIF($AG$2:$AG$50,"?*"),23),18,FALSE),"")</f>
        <v>12 OZ, 7 (2+5), -8 ±</v>
      </c>
      <c r="B25" s="461"/>
      <c r="C25" s="461"/>
      <c r="D25" s="462" t="str">
        <f ca="1">IFERROR(VLOOKUP(A23,OFFSET($AG$2,,,COUNTIF($AG$2:$AG$50,"?*"),23),19,FALSE),"")</f>
        <v>103 OZ, 33 (10+23)</v>
      </c>
      <c r="E25" s="462"/>
      <c r="F25" s="463"/>
      <c r="G25" s="431" t="s">
        <v>642</v>
      </c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60" t="str">
        <f ca="1">IFERROR(VLOOKUP(M23,OFFSET($AG$2,,,COUNTIF($AG$2:$AG$50,"?*"),23),18,FALSE),"")</f>
        <v>13 OZ, 1 (1+0), -15 ±</v>
      </c>
      <c r="N25" s="461"/>
      <c r="O25" s="461"/>
      <c r="P25" s="462" t="str">
        <f ca="1">IFERROR(VLOOKUP(M23,OFFSET($AG$2,,,COUNTIF($AG$2:$AG$50,"?*"),23),19,FALSE),"")</f>
        <v>116 OZ, 51 (32+19)</v>
      </c>
      <c r="Q25" s="462"/>
      <c r="R25" s="463"/>
      <c r="S25" s="110" t="s">
        <v>646</v>
      </c>
      <c r="T25" s="102" t="s">
        <v>58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656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401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842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>FBC Česká Lípa</v>
      </c>
      <c r="B26" s="449"/>
      <c r="C26" s="450"/>
      <c r="D26" s="451">
        <f ca="1">IFERROR(IF(VLOOKUP(A23,OFFSET($AG$2,,,COUNTIF($AG$2:$AG$50,"?*"),23),14,FALSE)&lt;&gt;0,VLOOKUP(A23,OFFSET($AG$2,,,COUNTIF($AG$2:$AG$50,"?*"),23),14,FALSE),"?"),"")</f>
        <v>2006</v>
      </c>
      <c r="E26" s="452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1987</v>
      </c>
      <c r="I26" s="425"/>
      <c r="J26" s="117">
        <f ca="1">IFERROR(VLOOKUP(G25,OFFSET($AG$2,,,COUNTIF($AG$2:$AG$50,"?*"),23),15,FALSE),"")</f>
        <v>34</v>
      </c>
      <c r="K26" s="426" t="str">
        <f ca="1">IFERROR(VLOOKUP(G25,OFFSET($AG$2,,,COUNTIF($AG$2:$AG$50,"?*"),23),16,FALSE),"")</f>
        <v>185/85</v>
      </c>
      <c r="L26" s="427"/>
      <c r="M26" s="448" t="str">
        <f ca="1">IFERROR(IF(VLOOKUP(M23,OFFSET($AG$2,,,COUNTIF($AG$2:$AG$50,"?*"),23),13,FALSE)&lt;&gt;0,VLOOKUP(M23,OFFSET($AG$2,,,COUNTIF($AG$2:$AG$50,"?*"),23),13,FALSE),"?"),"")</f>
        <v>S.K. P.E.M.A. Opava</v>
      </c>
      <c r="N26" s="449"/>
      <c r="O26" s="450"/>
      <c r="P26" s="451">
        <f ca="1">IFERROR(IF(VLOOKUP(M23,OFFSET($AG$2,,,COUNTIF($AG$2:$AG$50,"?*"),23),14,FALSE)&lt;&gt;0,VLOOKUP(M23,OFFSET($AG$2,,,COUNTIF($AG$2:$AG$50,"?*"),23),14,FALSE),"?"),"")</f>
        <v>2005</v>
      </c>
      <c r="Q26" s="452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647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942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8 OZ, 4 (1+3), -2 ±</v>
      </c>
      <c r="AY26" s="129" t="str">
        <f t="shared" ca="1" si="16"/>
        <v>8 OZ, 4 (1+3)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1370</v>
      </c>
      <c r="BU26" s="103">
        <v>6</v>
      </c>
      <c r="BV26" s="104" t="str">
        <f t="shared" si="13"/>
        <v>Štěpán Slaný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>13 OZ, 8 (6+2), -10 ±</v>
      </c>
      <c r="H27" s="461"/>
      <c r="I27" s="461"/>
      <c r="J27" s="462" t="str">
        <f ca="1">IFERROR(VLOOKUP(G25,OFFSET($AG$2,,,COUNTIF($AG$2:$AG$50,"?*"),23),19,FALSE),"")</f>
        <v>96 OZ, 28 (18+10)</v>
      </c>
      <c r="K27" s="462"/>
      <c r="L27" s="463"/>
      <c r="S27" s="110" t="s">
        <v>638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641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11 OZ, 1 (1+0), +2 ±</v>
      </c>
      <c r="AY27" s="129" t="str">
        <f t="shared" ca="1" si="16"/>
        <v>32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843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31" t="s">
        <v>641</v>
      </c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48" t="str">
        <f ca="1">IFERROR(IF(VLOOKUP(G25,OFFSET($AG$2,,,COUNTIF($AG$2:$AG$50,"?*"),23),13,FALSE)&lt;&gt;0,VLOOKUP(G25,OFFSET($AG$2,,,COUNTIF($AG$2:$AG$50,"?*"),23),13,FALSE),"?"),"")</f>
        <v>Radiaci</v>
      </c>
      <c r="H28" s="449"/>
      <c r="I28" s="450"/>
      <c r="J28" s="451">
        <f ca="1">IFERROR(IF(VLOOKUP(G25,OFFSET($AG$2,,,COUNTIF($AG$2:$AG$50,"?*"),23),14,FALSE)&lt;&gt;0,VLOOKUP(G25,OFFSET($AG$2,,,COUNTIF($AG$2:$AG$50,"?*"),23),14,FALSE),"?"),"")</f>
        <v>1999</v>
      </c>
      <c r="K28" s="452"/>
      <c r="L28" s="7">
        <f ca="1">IFERROR(IF(VLOOKUP(G25,OFFSET($AG$2,,,COUNTIF($AG$2:$AG$50,"?*"),23),7,FALSE)&lt;&gt;0,VLOOKUP(G25,OFFSET($AG$2,,,COUNTIF($AG$2:$AG$50,"?*"),23),7,FALSE),"?"),"")</f>
        <v>6</v>
      </c>
      <c r="M28" s="431" t="s">
        <v>653</v>
      </c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635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661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14 (4+10), -24 ±</v>
      </c>
      <c r="AY28" s="129" t="str">
        <f t="shared" ca="1" si="16"/>
        <v>114 OZ, 90 (32+58)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944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2003</v>
      </c>
      <c r="C29" s="425"/>
      <c r="D29" s="117">
        <f ca="1">IFERROR(VLOOKUP(A28,OFFSET($AG$2,,,COUNTIF($AG$2:$AG$50,"?*"),23),15,FALSE),"")</f>
        <v>18</v>
      </c>
      <c r="E29" s="426" t="str">
        <f ca="1">IFERROR(VLOOKUP(A28,OFFSET($AG$2,,,COUNTIF($AG$2:$AG$50,"?*"),23),16,FALSE),"")</f>
        <v>192/82</v>
      </c>
      <c r="F29" s="427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1993</v>
      </c>
      <c r="O29" s="425"/>
      <c r="P29" s="117">
        <f ca="1">IFERROR(VLOOKUP(M28,OFFSET($AG$2,,,COUNTIF($AG$2:$AG$50,"?*"),23),15,FALSE),"")</f>
        <v>28</v>
      </c>
      <c r="Q29" s="426" t="str">
        <f ca="1">IFERROR(VLOOKUP(M28,OFFSET($AG$2,,,COUNTIF($AG$2:$AG$50,"?*"),23),16,FALSE),"")</f>
        <v>178/75</v>
      </c>
      <c r="R29" s="427"/>
      <c r="S29" s="111"/>
      <c r="AC29" s="102" t="str">
        <f t="shared" ca="1" si="0"/>
        <v/>
      </c>
      <c r="AG29" s="121" t="s">
        <v>389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401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16 (8+8), -8 ±</v>
      </c>
      <c r="AY29" s="129" t="str">
        <f t="shared" ca="1" si="16"/>
        <v>85 OZ, 77 (45+32)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9"/>
      <c r="BT29" s="104" t="s">
        <v>1132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60" t="str">
        <f ca="1">IFERROR(VLOOKUP(A28,OFFSET($AG$2,,,COUNTIF($AG$2:$AG$50,"?*"),23),18,FALSE),"")</f>
        <v>11 OZ, 1 (1+0), +2 ±</v>
      </c>
      <c r="B30" s="461"/>
      <c r="C30" s="461"/>
      <c r="D30" s="462" t="str">
        <f ca="1">IFERROR(VLOOKUP(A28,OFFSET($AG$2,,,COUNTIF($AG$2:$AG$50,"?*"),23),19,FALSE),"")</f>
        <v>32 OZ, 3 (3+0)</v>
      </c>
      <c r="E30" s="462"/>
      <c r="F30" s="463"/>
      <c r="H30" s="464" t="str">
        <f>H$8</f>
        <v>CLP</v>
      </c>
      <c r="I30" s="464"/>
      <c r="J30" s="464"/>
      <c r="K30" s="464"/>
      <c r="M30" s="460" t="str">
        <f ca="1">IFERROR(VLOOKUP(M28,OFFSET($AG$2,,,COUNTIF($AG$2:$AG$50,"?*"),23),18,FALSE),"")</f>
        <v>7 OZ, 4 (3+1), -10 ±</v>
      </c>
      <c r="N30" s="461"/>
      <c r="O30" s="461"/>
      <c r="P30" s="462" t="str">
        <f ca="1">IFERROR(VLOOKUP(M28,OFFSET($AG$2,,,COUNTIF($AG$2:$AG$50,"?*"),23),19,FALSE),"")</f>
        <v>199 OZ, 75 (36+39)</v>
      </c>
      <c r="Q30" s="462"/>
      <c r="R30" s="463"/>
      <c r="S30" s="111"/>
      <c r="AC30" s="102" t="str">
        <f t="shared" ca="1" si="0"/>
        <v/>
      </c>
      <c r="AG30" s="121" t="s">
        <v>639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667</v>
      </c>
      <c r="AT30" s="123"/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9"/>
      <c r="BT30" s="104" t="s">
        <v>945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>FBC Česká Lípa</v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>?</v>
      </c>
      <c r="E31" s="452"/>
      <c r="F31" s="7">
        <f ca="1">IFERROR(IF(VLOOKUP(A28,OFFSET($AG$2,,,COUNTIF($AG$2:$AG$50,"?*"),23),7,FALSE)&lt;&gt;0,VLOOKUP(A28,OFFSET($AG$2,,,COUNTIF($AG$2:$AG$50,"?*"),23),7,FALSE),"?"),"")</f>
        <v>2</v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>FbK Sokol Mladá Boleslav</v>
      </c>
      <c r="N31" s="449"/>
      <c r="O31" s="450"/>
      <c r="P31" s="451">
        <f ca="1">IFERROR(IF(VLOOKUP(M28,OFFSET($AG$2,,,COUNTIF($AG$2:$AG$50,"?*"),23),14,FALSE)&lt;&gt;0,VLOOKUP(M28,OFFSET($AG$2,,,COUNTIF($AG$2:$AG$50,"?*"),23),14,FALSE),"?"),"")</f>
        <v>2005</v>
      </c>
      <c r="Q31" s="452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657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666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9"/>
      <c r="BT31" s="104" t="s">
        <v>1134</v>
      </c>
      <c r="BU31" s="103">
        <v>5</v>
      </c>
      <c r="BV31" s="104" t="str">
        <f t="shared" si="13"/>
        <v>Jaromír Ekl</v>
      </c>
      <c r="BW31" s="102">
        <f t="shared" si="14"/>
        <v>5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 t="s">
        <v>647</v>
      </c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59" t="s">
        <v>16</v>
      </c>
      <c r="J34" s="431" t="s">
        <v>942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4">
        <f ca="1">IFERROR(IF(VLOOKUP(A34,OFFSET($AG$2,,,COUNTIF($AG$2:$AG$50,"?*"),23),2,FALSE)&lt;&gt;0,YEAR(VLOOKUP(A34,OFFSET($AG$2,,,COUNTIF($AG$2:$AG$50,"?*"),23),2,FALSE)),""),"")</f>
        <v>1997</v>
      </c>
      <c r="C35" s="425"/>
      <c r="D35" s="117">
        <f ca="1">IFERROR(VLOOKUP(A34,OFFSET($AG$2,,,COUNTIF($AG$2:$AG$50,"?*"),23),15,FALSE),"")</f>
        <v>24</v>
      </c>
      <c r="E35" s="426" t="str">
        <f ca="1">IFERROR(VLOOKUP(A34,OFFSET($AG$2,,,COUNTIF($AG$2:$AG$50,"?*"),23),16,FALSE),"")</f>
        <v>181/79</v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76" t="str">
        <f ca="1">IFERROR(VLOOKUP(J34,OFFSET($AG$2,,,COUNTIF($AG$2:$AG$50,"?*"),23),15,FALSE),"")</f>
        <v>?</v>
      </c>
      <c r="N35" s="433" t="str">
        <f ca="1">IFERROR(VLOOKUP(J34,OFFSET($AG$2,,,COUNTIF($AG$2:$AG$50,"?*"),23),16,FALSE),"")</f>
        <v>? / ?</v>
      </c>
      <c r="O35" s="433"/>
      <c r="P35" s="433" t="str">
        <f ca="1">IFERROR(VLOOKUP(J34,OFFSET($AG$2,,,COUNTIF($AG$2:$AG$50,"?*"),23),18,FALSE),"")</f>
        <v>8 OZ, 4 (1+3), -2 ±</v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28" t="str">
        <f ca="1">IFERROR(VLOOKUP(A34,OFFSET($AG$2,,,COUNTIF($AG$2:$AG$50,"?*"),23),18,FALSE),"")</f>
        <v>2 V, 3 P</v>
      </c>
      <c r="C36" s="428"/>
      <c r="D36" s="429">
        <f ca="1">IFERROR(VLOOKUP(A34,OFFSET($S$45,,,COUNTIF($S$45:$S$50,"?*"),14),5,FALSE),"")</f>
        <v>29</v>
      </c>
      <c r="E36" s="430"/>
      <c r="F36" s="17">
        <f ca="1">IFERROR(VLOOKUP(A34,OFFSET($S$45,,,COUNTIF($S$45:$S$50,"?*"),14),14,FALSE),"")</f>
        <v>71.568627450980387</v>
      </c>
      <c r="H36" s="459"/>
      <c r="J36" s="18" t="str">
        <f ca="1">IFERROR(IF(VLOOKUP(J34,OFFSET($AG$2,,,COUNTIF($AG$2:$AG$50,"?*"),23),7,FALSE)&lt;&gt;0,VLOOKUP(J34,OFFSET($AG$2,,,COUNTIF($AG$2:$AG$50,"?*"),23),7,FALSE),"?"),"")</f>
        <v>?</v>
      </c>
      <c r="K36" s="435" t="str">
        <f ca="1">IFERROR(VLOOKUP(J34,OFFSET($AG$2,,,COUNTIF($AG$2:$AG$50,"?*"),23),19,FALSE),"")</f>
        <v>8 OZ, 4 (1+3)</v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>?</v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>?</v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225.57</v>
      </c>
      <c r="B37" s="454"/>
      <c r="C37" s="455">
        <f ca="1">IFERROR(VLOOKUP(A34,OFFSET($S$45,,,COUNTIF($S$45:$S$50,"?*"),14),13,FALSE),"")</f>
        <v>7.7137917276233541</v>
      </c>
      <c r="D37" s="456"/>
      <c r="E37" s="457" t="str">
        <f ca="1">IFERROR(VLOOKUP(A34,OFFSET($AG$2,,,COUNTIF($AG$2:$AG$50,"?*"),23),19,FALSE),"")</f>
        <v>48 OZ, 0 A</v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>FBC Česká Lípa</v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>?</v>
      </c>
      <c r="E38" s="452"/>
      <c r="F38" s="19">
        <f ca="1">IFERROR(VLOOKUP(A34,OFFSET($S$45,,,COUNTIF($S$45:$S$50,"?*"),14),6,FALSE),"")</f>
        <v>0</v>
      </c>
      <c r="H38" s="459"/>
      <c r="J38" s="431" t="s">
        <v>643</v>
      </c>
      <c r="K38" s="432"/>
      <c r="L38" s="432"/>
      <c r="M38" s="432"/>
      <c r="N38" s="432"/>
      <c r="O38" s="432"/>
      <c r="P38" s="43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76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189/91</v>
      </c>
      <c r="O39" s="433"/>
      <c r="P39" s="433" t="str">
        <f ca="1">IFERROR(VLOOKUP(J38,OFFSET($AG$2,,,COUNTIF($AG$2:$AG$50,"?*"),23),18,FALSE),"")</f>
        <v>6 OZ, 0 (0+0), -2 ±</v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 t="s">
        <v>638</v>
      </c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9"/>
      <c r="J40" s="18">
        <f ca="1">IFERROR(IF(VLOOKUP(J38,OFFSET($AG$2,,,COUNTIF($AG$2:$AG$50,"?*"),23),7,FALSE)&lt;&gt;0,VLOOKUP(J38,OFFSET($AG$2,,,COUNTIF($AG$2:$AG$50,"?*"),23),7,FALSE),"?"),"")</f>
        <v>1</v>
      </c>
      <c r="K40" s="435" t="str">
        <f ca="1">IFERROR(VLOOKUP(J38,OFFSET($AG$2,,,COUNTIF($AG$2:$AG$50,"?*"),23),19,FALSE),"")</f>
        <v>6 OZ, 0 (0+0)</v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>FBC Česká Lípa</v>
      </c>
      <c r="O40" s="436"/>
      <c r="P40" s="436"/>
      <c r="Q40" s="435">
        <f ca="1">IFERROR(IF(VLOOKUP(J38,OFFSET($AG$2,,,COUNTIF($AG$2:$AG$50,"?*"),23),14,FALSE)&lt;&gt;0,VLOOKUP(J38,OFFSET($AG$2,,,COUNTIF($AG$2:$AG$50,"?*"),23),14,FALSE),"?"),"")</f>
        <v>2014</v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4">
        <f ca="1">IFERROR(IF(VLOOKUP(A40,OFFSET($AG$2,,,COUNTIF($AG$2:$AG$50,"?*"),23),2,FALSE)&lt;&gt;0,YEAR(VLOOKUP(A40,OFFSET($AG$2,,,COUNTIF($AG$2:$AG$50,"?*"),23),2,FALSE)),""),"")</f>
        <v>1984</v>
      </c>
      <c r="C41" s="425"/>
      <c r="D41" s="117">
        <f ca="1">IFERROR(VLOOKUP(A40,OFFSET($AG$2,,,COUNTIF($AG$2:$AG$50,"?*"),23),15,FALSE),"")</f>
        <v>37</v>
      </c>
      <c r="E41" s="426" t="str">
        <f ca="1">IFERROR(VLOOKUP(A40,OFFSET($AG$2,,,COUNTIF($AG$2:$AG$50,"?*"),23),16,FALSE),"")</f>
        <v>172/72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28" t="str">
        <f ca="1">IFERROR(VLOOKUP(A40,OFFSET($AG$2,,,COUNTIF($AG$2:$AG$50,"?*"),23),18,FALSE),"")</f>
        <v>1 V, 7 P</v>
      </c>
      <c r="C42" s="428"/>
      <c r="D42" s="429">
        <f ca="1">IFERROR(VLOOKUP(A40,OFFSET($S$45,,,COUNTIF($S$45:$S$50,"?*"),14),5,FALSE),"")</f>
        <v>53</v>
      </c>
      <c r="E42" s="430"/>
      <c r="F42" s="17">
        <f ca="1">IFERROR(VLOOKUP(A40,OFFSET($S$45,,,COUNTIF($S$45:$S$50,"?*"),14),14,FALSE),"")</f>
        <v>76.126126126126124</v>
      </c>
      <c r="H42" s="459"/>
      <c r="J42" s="431" t="s">
        <v>646</v>
      </c>
      <c r="K42" s="432"/>
      <c r="L42" s="432"/>
      <c r="M42" s="432"/>
      <c r="N42" s="432"/>
      <c r="O42" s="432"/>
      <c r="P42" s="43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>
        <f ca="1">IFERROR(VLOOKUP(A40,OFFSET($S$45,,,COUNTIF($S$45:$S$50,"?*"),14),3,FALSE),"")</f>
        <v>409.45</v>
      </c>
      <c r="B43" s="454"/>
      <c r="C43" s="455">
        <f ca="1">IFERROR(VLOOKUP(A40,OFFSET($S$45,,,COUNTIF($S$45:$S$50,"?*"),14),13,FALSE),"")</f>
        <v>7.7665160581267552</v>
      </c>
      <c r="D43" s="456"/>
      <c r="E43" s="457" t="str">
        <f ca="1">IFERROR(VLOOKUP(A40,OFFSET($AG$2,,,COUNTIF($AG$2:$AG$50,"?*"),23),19,FALSE),"")</f>
        <v>140 OZ, 7 A</v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>L</v>
      </c>
      <c r="K43" s="425">
        <f ca="1">IFERROR(IF(VLOOKUP(J42,OFFSET($AG$2,,,COUNTIF($AG$2:$AG$50,"?*"),23),2,FALSE)&lt;&gt;0,YEAR(VLOOKUP(J42,OFFSET($AG$2,,,COUNTIF($AG$2:$AG$50,"?*"),23),2,FALSE)),""),"")</f>
        <v>2004</v>
      </c>
      <c r="L43" s="433"/>
      <c r="M43" s="176">
        <f ca="1">IFERROR(VLOOKUP(J42,OFFSET($AG$2,,,COUNTIF($AG$2:$AG$50,"?*"),23),15,FALSE),"")</f>
        <v>17</v>
      </c>
      <c r="N43" s="433" t="str">
        <f ca="1">IFERROR(VLOOKUP(J42,OFFSET($AG$2,,,COUNTIF($AG$2:$AG$50,"?*"),23),16,FALSE),"")</f>
        <v>? / ?</v>
      </c>
      <c r="O43" s="433"/>
      <c r="P43" s="433" t="str">
        <f ca="1">IFERROR(VLOOKUP(J42,OFFSET($AG$2,,,COUNTIF($AG$2:$AG$50,"?*"),23),18,FALSE),"")</f>
        <v>7 OZ, 0 (0+0), -1 ±</v>
      </c>
      <c r="Q43" s="433"/>
      <c r="R43" s="434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>Taifun Moskva</v>
      </c>
      <c r="B44" s="449"/>
      <c r="C44" s="450"/>
      <c r="D44" s="451">
        <f ca="1">IFERROR(IF(VLOOKUP(A40,OFFSET($AG$2,,,COUNTIF($AG$2:$AG$50,"?*"),23),14,FALSE)&lt;&gt;0,VLOOKUP(A40,OFFSET($AG$2,,,COUNTIF($AG$2:$AG$50,"?*"),23),14,FALSE),"?"),"")</f>
        <v>1998</v>
      </c>
      <c r="E44" s="452"/>
      <c r="F44" s="19">
        <f ca="1">IFERROR(VLOOKUP(A40,OFFSET($S$45,,,COUNTIF($S$45:$S$50,"?*"),14),6,FALSE),"")</f>
        <v>0</v>
      </c>
      <c r="H44" s="459"/>
      <c r="J44" s="18">
        <f ca="1">IFERROR(IF(VLOOKUP(J42,OFFSET($AG$2,,,COUNTIF($AG$2:$AG$50,"?*"),23),7,FALSE)&lt;&gt;0,VLOOKUP(J42,OFFSET($AG$2,,,COUNTIF($AG$2:$AG$50,"?*"),23),7,FALSE),"?"),"")</f>
        <v>1</v>
      </c>
      <c r="K44" s="435" t="str">
        <f ca="1">IFERROR(VLOOKUP(J42,OFFSET($AG$2,,,COUNTIF($AG$2:$AG$50,"?*"),23),19,FALSE),"")</f>
        <v>7 OZ, 0 (0+0)</v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>FBC Česká Lípa</v>
      </c>
      <c r="O44" s="436"/>
      <c r="P44" s="436"/>
      <c r="Q44" s="435">
        <f ca="1">IFERROR(IF(VLOOKUP(J42,OFFSET($AG$2,,,COUNTIF($AG$2:$AG$50,"?*"),23),14,FALSE)&lt;&gt;0,VLOOKUP(J42,OFFSET($AG$2,,,COUNTIF($AG$2:$AG$50,"?*"),23),14,FALSE),"?"),"")</f>
        <v>2012</v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638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222</v>
      </c>
      <c r="Z45" s="102">
        <v>0</v>
      </c>
      <c r="AA45" s="102">
        <v>7</v>
      </c>
      <c r="AB45" s="102">
        <v>169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76.126126126126124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647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 t="s">
        <v>668</v>
      </c>
      <c r="B47" s="421"/>
      <c r="C47" s="421"/>
      <c r="D47" s="421"/>
      <c r="E47" s="422" t="str">
        <f ca="1">IFERROR(VLOOKUP(A47,OFFSET($BN$2,,,COUNTIF($BN$2:$BN$11,"?*"),5),3,FALSE),"")</f>
        <v>trenér</v>
      </c>
      <c r="F47" s="422"/>
      <c r="G47" s="422"/>
      <c r="H47" s="422"/>
      <c r="I47" s="423"/>
      <c r="J47" s="420" t="s">
        <v>669</v>
      </c>
      <c r="K47" s="421"/>
      <c r="L47" s="421"/>
      <c r="M47" s="421"/>
      <c r="N47" s="422" t="str">
        <f ca="1">IFERROR(VLOOKUP(J47,OFFSET($BN$2,,,COUNTIF($BN$2:$BN$11,"?*"),5),3,FALSE),"")</f>
        <v>asistent trenéra</v>
      </c>
      <c r="O47" s="422"/>
      <c r="P47" s="422"/>
      <c r="Q47" s="422"/>
      <c r="R47" s="423"/>
      <c r="S47" s="111" t="s">
        <v>649</v>
      </c>
      <c r="T47" s="102">
        <v>2</v>
      </c>
      <c r="U47" s="112">
        <v>119.62</v>
      </c>
      <c r="V47" s="102">
        <v>1</v>
      </c>
      <c r="W47" s="102">
        <v>13</v>
      </c>
      <c r="X47" s="102">
        <v>0</v>
      </c>
      <c r="Y47" s="102">
        <v>44</v>
      </c>
      <c r="Z47" s="102">
        <v>0</v>
      </c>
      <c r="AA47" s="102">
        <v>1</v>
      </c>
      <c r="AB47" s="102">
        <v>31</v>
      </c>
      <c r="AC47" s="102">
        <v>1</v>
      </c>
      <c r="AD47" s="102">
        <v>0</v>
      </c>
      <c r="AE47" s="112">
        <f t="shared" si="26"/>
        <v>6.5206487209496737</v>
      </c>
      <c r="AF47" s="112">
        <f t="shared" si="27"/>
        <v>70.454545454545453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>
        <f ca="1">IFERROR(VLOOKUP(A47,OFFSET($BN$2,,,COUNTIF($BN$2:$BN$11,"?*"),5),5,FALSE),"")</f>
        <v>36</v>
      </c>
      <c r="B48" s="440" t="str">
        <f ca="1">IFERROR(IF(VLOOKUP(A47,OFFSET($BN$2,,,COUNTIF($BN$2:$BN$11,"?*"),5),4,FALSE)&lt;&gt;0,VLOOKUP(A47,OFFSET($BN$2,,,COUNTIF($BN$2:$BN$11,"?*"),5),4,FALSE),"-"),"")</f>
        <v>-</v>
      </c>
      <c r="C48" s="440"/>
      <c r="D48" s="440"/>
      <c r="E48" s="440"/>
      <c r="F48" s="440"/>
      <c r="G48" s="440"/>
      <c r="H48" s="440"/>
      <c r="I48" s="441"/>
      <c r="J48" s="119">
        <f ca="1">IFERROR(VLOOKUP(J47,OFFSET($BN$2,,,COUNTIF($BN$2:$BN$11,"?*"),5),5,FALSE),"")</f>
        <v>38</v>
      </c>
      <c r="K48" s="444" t="str">
        <f ca="1">IFERROR(IF(VLOOKUP(J47,OFFSET($BN$2,,,COUNTIF($BN$2:$BN$11,"?*"),5),4,FALSE)&lt;&gt;0,VLOOKUP(J47,OFFSET($BN$2,,,COUNTIF($BN$2:$BN$11,"?*"),5),4,FALSE),"-"),"")</f>
        <v>-</v>
      </c>
      <c r="L48" s="444"/>
      <c r="M48" s="444"/>
      <c r="N48" s="444"/>
      <c r="O48" s="444"/>
      <c r="P48" s="444"/>
      <c r="Q48" s="444"/>
      <c r="R48" s="445"/>
      <c r="S48" s="111" t="s">
        <v>1128</v>
      </c>
      <c r="T48" s="102">
        <v>1</v>
      </c>
      <c r="U48" s="112">
        <v>20</v>
      </c>
      <c r="V48" s="102">
        <v>0</v>
      </c>
      <c r="W48" s="102">
        <v>5</v>
      </c>
      <c r="X48" s="102">
        <v>0</v>
      </c>
      <c r="Y48" s="102">
        <v>15</v>
      </c>
      <c r="Z48" s="102">
        <v>0</v>
      </c>
      <c r="AA48" s="102">
        <v>1</v>
      </c>
      <c r="AB48" s="102">
        <v>10</v>
      </c>
      <c r="AC48" s="102">
        <v>0</v>
      </c>
      <c r="AD48" s="102">
        <v>0</v>
      </c>
      <c r="AE48" s="112">
        <f t="shared" si="26"/>
        <v>15</v>
      </c>
      <c r="AF48" s="112">
        <f t="shared" si="27"/>
        <v>66.666666666666657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 t="s">
        <v>670</v>
      </c>
      <c r="K49" s="447"/>
      <c r="L49" s="447"/>
      <c r="M49" s="447"/>
      <c r="N49" s="422" t="str">
        <f ca="1">IFERROR(VLOOKUP(J49,OFFSET($BN$2,,,COUNTIF($BN$2:$BN$11,"?*"),5),3,FALSE),"")</f>
        <v>kondiční trenér</v>
      </c>
      <c r="O49" s="422"/>
      <c r="P49" s="422"/>
      <c r="Q49" s="422"/>
      <c r="R49" s="423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>
        <f ca="1">IFERROR(VLOOKUP(J49,OFFSET($BN$2,,,COUNTIF($BN$2:$BN$11,"?*"),5),5,FALSE),"")</f>
        <v>34</v>
      </c>
      <c r="K50" s="444" t="str">
        <f ca="1">IFERROR(IF(VLOOKUP(J49,OFFSET($BN$2,,,COUNTIF($BN$2:$BN$11,"?*"),5),4,FALSE)&lt;&gt;0,VLOOKUP(J49,OFFSET($BN$2,,,COUNTIF($BN$2:$BN$11,"?*"),5),4,FALSE),"-"),"")</f>
        <v>-</v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4" priority="11" stopIfTrue="1" operator="equal">
      <formula>"OTR"</formula>
    </cfRule>
    <cfRule type="cellIs" dxfId="573" priority="12" stopIfTrue="1" operator="equal">
      <formula>"PAR"</formula>
    </cfRule>
    <cfRule type="cellIs" dxfId="572" priority="13" stopIfTrue="1" operator="equal">
      <formula>"CLP"</formula>
    </cfRule>
    <cfRule type="cellIs" dxfId="571" priority="14" stopIfTrue="1" operator="equal">
      <formula>"HAT"</formula>
    </cfRule>
    <cfRule type="cellIs" dxfId="570" priority="15" stopIfTrue="1" operator="equal">
      <formula>"LIB"</formula>
    </cfRule>
    <cfRule type="cellIs" dxfId="569" priority="16" stopIfTrue="1" operator="equal">
      <formula>"BA"</formula>
    </cfRule>
    <cfRule type="cellIs" dxfId="568" priority="17" stopIfTrue="1" operator="equal">
      <formula>"SPA"</formula>
    </cfRule>
    <cfRule type="cellIs" dxfId="567" priority="18" stopIfTrue="1" operator="equal">
      <formula>"OST"</formula>
    </cfRule>
    <cfRule type="cellIs" dxfId="566" priority="19" stopIfTrue="1" operator="equal">
      <formula>"BOH"</formula>
    </cfRule>
    <cfRule type="cellIs" dxfId="565" priority="20" stopIfTrue="1" operator="equal">
      <formula>"TAT"</formula>
    </cfRule>
    <cfRule type="cellIs" dxfId="564" priority="21" stopIfTrue="1" operator="equal">
      <formula>"MB"</formula>
    </cfRule>
    <cfRule type="cellIs" dxfId="563" priority="22" stopIfTrue="1" operator="equal">
      <formula>"VIT"</formula>
    </cfRule>
    <cfRule type="cellIs" dxfId="562" priority="23" stopIfTrue="1" operator="equal">
      <formula>"CHO"</formula>
    </cfRule>
    <cfRule type="cellIs" dxfId="561" priority="24" stopIfTrue="1" operator="equal">
      <formula>"SKV"</formula>
    </cfRule>
  </conditionalFormatting>
  <conditionalFormatting sqref="H19:K20">
    <cfRule type="cellIs" dxfId="560" priority="39" stopIfTrue="1" operator="equal">
      <formula>"OTR"</formula>
    </cfRule>
    <cfRule type="cellIs" dxfId="559" priority="40" stopIfTrue="1" operator="equal">
      <formula>"PAR"</formula>
    </cfRule>
    <cfRule type="cellIs" dxfId="558" priority="41" stopIfTrue="1" operator="equal">
      <formula>"CLP"</formula>
    </cfRule>
    <cfRule type="cellIs" dxfId="557" priority="42" stopIfTrue="1" operator="equal">
      <formula>"HAT"</formula>
    </cfRule>
    <cfRule type="cellIs" dxfId="556" priority="43" stopIfTrue="1" operator="equal">
      <formula>"LIB"</formula>
    </cfRule>
    <cfRule type="cellIs" dxfId="555" priority="44" stopIfTrue="1" operator="equal">
      <formula>"BA"</formula>
    </cfRule>
    <cfRule type="cellIs" dxfId="554" priority="45" stopIfTrue="1" operator="equal">
      <formula>"SPA"</formula>
    </cfRule>
    <cfRule type="cellIs" dxfId="553" priority="46" stopIfTrue="1" operator="equal">
      <formula>"OST"</formula>
    </cfRule>
    <cfRule type="cellIs" dxfId="552" priority="47" stopIfTrue="1" operator="equal">
      <formula>"BOH"</formula>
    </cfRule>
    <cfRule type="cellIs" dxfId="551" priority="48" stopIfTrue="1" operator="equal">
      <formula>"TAT"</formula>
    </cfRule>
    <cfRule type="cellIs" dxfId="550" priority="49" stopIfTrue="1" operator="equal">
      <formula>"MB"</formula>
    </cfRule>
    <cfRule type="cellIs" dxfId="549" priority="50" stopIfTrue="1" operator="equal">
      <formula>"VIT"</formula>
    </cfRule>
    <cfRule type="cellIs" dxfId="548" priority="51" stopIfTrue="1" operator="equal">
      <formula>"CHO"</formula>
    </cfRule>
    <cfRule type="cellIs" dxfId="547" priority="52" stopIfTrue="1" operator="equal">
      <formula>"SKV"</formula>
    </cfRule>
  </conditionalFormatting>
  <conditionalFormatting sqref="H8:K9">
    <cfRule type="cellIs" dxfId="546" priority="25" stopIfTrue="1" operator="equal">
      <formula>"OTR"</formula>
    </cfRule>
    <cfRule type="cellIs" dxfId="545" priority="26" stopIfTrue="1" operator="equal">
      <formula>"PAR"</formula>
    </cfRule>
    <cfRule type="cellIs" dxfId="544" priority="27" stopIfTrue="1" operator="equal">
      <formula>"CLP"</formula>
    </cfRule>
    <cfRule type="cellIs" dxfId="543" priority="28" stopIfTrue="1" operator="equal">
      <formula>"HAT"</formula>
    </cfRule>
    <cfRule type="cellIs" dxfId="542" priority="29" stopIfTrue="1" operator="equal">
      <formula>"LIB"</formula>
    </cfRule>
    <cfRule type="cellIs" dxfId="541" priority="30" stopIfTrue="1" operator="equal">
      <formula>"BA"</formula>
    </cfRule>
    <cfRule type="cellIs" dxfId="540" priority="31" stopIfTrue="1" operator="equal">
      <formula>"SPA"</formula>
    </cfRule>
    <cfRule type="cellIs" dxfId="539" priority="32" stopIfTrue="1" operator="equal">
      <formula>"OST"</formula>
    </cfRule>
    <cfRule type="cellIs" dxfId="538" priority="33" stopIfTrue="1" operator="equal">
      <formula>"BOH"</formula>
    </cfRule>
    <cfRule type="cellIs" dxfId="537" priority="34" stopIfTrue="1" operator="equal">
      <formula>"TAT"</formula>
    </cfRule>
    <cfRule type="cellIs" dxfId="536" priority="35" stopIfTrue="1" operator="equal">
      <formula>"MB"</formula>
    </cfRule>
    <cfRule type="cellIs" dxfId="535" priority="36" stopIfTrue="1" operator="equal">
      <formula>"VIT"</formula>
    </cfRule>
    <cfRule type="cellIs" dxfId="534" priority="37" stopIfTrue="1" operator="equal">
      <formula>"CHO"</formula>
    </cfRule>
    <cfRule type="cellIs" dxfId="533" priority="38" stopIfTrue="1" operator="equal">
      <formula>"SKV"</formula>
    </cfRule>
  </conditionalFormatting>
  <conditionalFormatting sqref="S2:S42">
    <cfRule type="expression" dxfId="532" priority="9" stopIfTrue="1">
      <formula>IFERROR(IF(VLOOKUP($S2,OFFSET($AG$2,,,COUNTIF($AG$2:$AG$50,"?*")),1,FALSE)&lt;&gt;0,1,0),0)&gt;0</formula>
    </cfRule>
  </conditionalFormatting>
  <conditionalFormatting sqref="S2:S42">
    <cfRule type="expression" dxfId="531" priority="10">
      <formula>IFERROR(IF(VLOOKUP($S2,OFFSET($AG$2,,,COUNTIF($AG$2:$AG$50,"?*")),1,FALSE)&lt;&gt;0,1,0),0)=0</formula>
    </cfRule>
  </conditionalFormatting>
  <conditionalFormatting sqref="S45:S50">
    <cfRule type="expression" dxfId="530" priority="8">
      <formula>IFERROR(IF(VLOOKUP($S45,OFFSET($AG$2,,,COUNTIF($AG$2:$AG$50,"?*")),1,FALSE)&lt;&gt;0,1,0),0)&gt;0</formula>
    </cfRule>
  </conditionalFormatting>
  <conditionalFormatting sqref="S45:S50">
    <cfRule type="expression" dxfId="529" priority="7">
      <formula>IFERROR(IF(VLOOKUP($S45,OFFSET($AG$2,,,COUNTIF($AG$2:$AG$50,"?*")),1,FALSE)&lt;&gt;0,1,0),0)=0</formula>
    </cfRule>
  </conditionalFormatting>
  <conditionalFormatting sqref="AG2:AG50">
    <cfRule type="expression" dxfId="528" priority="4" stopIfTrue="1">
      <formula>OR($AH2="",$AI2="",$AJ2="",$AK2="",$AL2="",$AM2="",$AN2="",$AQ2="",$AR2="",$AS2="",$AT2="")</formula>
    </cfRule>
    <cfRule type="expression" dxfId="527" priority="5" stopIfTrue="1">
      <formula>IFERROR(IF(VLOOKUP($AG2,OFFSET($S$2,,,COUNTIF($S$2:$S$42,"?*")),1,FALSE)&lt;&gt;0,1,0),0)=0</formula>
    </cfRule>
    <cfRule type="expression" dxfId="526" priority="6">
      <formula>IFERROR(IF(VLOOKUP($AG2,OFFSET($S$2,,,COUNTIF($S$2:$S$42,"?*")),1,FALSE)&lt;&gt;0,1,0),0)&gt;0</formula>
    </cfRule>
  </conditionalFormatting>
  <conditionalFormatting sqref="AG2:AK50 AM2:BC50">
    <cfRule type="expression" dxfId="525" priority="3">
      <formula>AND($AG2&lt;&gt;"",MOD(ROW($AG2),2)=0)</formula>
    </cfRule>
  </conditionalFormatting>
  <conditionalFormatting sqref="BN2:BR11">
    <cfRule type="expression" dxfId="524" priority="2">
      <formula>AND($BN2&lt;&gt;"",MOD(ROW($BN2),2)=0)</formula>
    </cfRule>
  </conditionalFormatting>
  <conditionalFormatting sqref="AL2:AL50">
    <cfRule type="expression" dxfId="52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701</v>
      </c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465" t="s">
        <v>1</v>
      </c>
      <c r="I1" s="465"/>
      <c r="J1" s="465"/>
      <c r="K1" s="465"/>
      <c r="M1" s="431" t="s">
        <v>488</v>
      </c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1994</v>
      </c>
      <c r="C2" s="425"/>
      <c r="D2" s="117">
        <f ca="1">IFERROR(VLOOKUP(A1,OFFSET($AG$2,,,COUNTIF($AG$2:$AG$50,"?*"),23),15,FALSE),"")</f>
        <v>26</v>
      </c>
      <c r="E2" s="426" t="str">
        <f ca="1">IFERROR(VLOOKUP(A1,OFFSET($AG$2,,,COUNTIF($AG$2:$AG$50,"?*"),23),16,FALSE),"")</f>
        <v>186/70</v>
      </c>
      <c r="F2" s="427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1998</v>
      </c>
      <c r="O2" s="425"/>
      <c r="P2" s="117">
        <f ca="1">IFERROR(VLOOKUP(M1,OFFSET($AG$2,,,COUNTIF($AG$2:$AG$50,"?*"),23),15,FALSE),"")</f>
        <v>23</v>
      </c>
      <c r="Q2" s="426" t="str">
        <f ca="1">IFERROR(VLOOKUP(M1,OFFSET($AG$2,,,COUNTIF($AG$2:$AG$50,"?*"),23),16,FALSE),"")</f>
        <v>187/75</v>
      </c>
      <c r="R2" s="427"/>
      <c r="S2" s="110" t="s">
        <v>697</v>
      </c>
      <c r="U2" s="102">
        <v>13</v>
      </c>
      <c r="V2" s="102">
        <v>5</v>
      </c>
      <c r="W2" s="102">
        <v>1</v>
      </c>
      <c r="X2" s="102">
        <v>0</v>
      </c>
      <c r="Y2" s="102">
        <v>9</v>
      </c>
      <c r="Z2" s="102">
        <v>14</v>
      </c>
      <c r="AA2" s="102">
        <v>8</v>
      </c>
      <c r="AB2" s="102">
        <v>-6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702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1 (1+0),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1 (1+0)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1321</v>
      </c>
      <c r="BO2" s="122">
        <v>31768</v>
      </c>
      <c r="BP2" s="131" t="s">
        <v>236</v>
      </c>
      <c r="BQ2" s="132" t="s">
        <v>1323</v>
      </c>
      <c r="BR2" s="127">
        <f ca="1">IF(BN2&lt;&gt;"",IF(BO2&lt;&gt;"",INT((TODAY()-BO2)/365),"?"),"")</f>
        <v>34</v>
      </c>
      <c r="BS2" s="419" t="s">
        <v>36</v>
      </c>
      <c r="BT2" s="104" t="s">
        <v>714</v>
      </c>
      <c r="BU2" s="103">
        <v>14</v>
      </c>
      <c r="BV2" s="104" t="str">
        <f>IFERROR(RIGHT(BT2,LEN(BT2)-SEARCH(" ",BT2)),"")</f>
        <v>Lukáš Jalový</v>
      </c>
      <c r="BW2" s="102">
        <f>IF(BT2&lt;&gt;0,_xlfn.NUMBERVALUE(BU2,","),"")</f>
        <v>14</v>
      </c>
      <c r="BX2" s="418" t="s">
        <v>192</v>
      </c>
      <c r="BY2" s="103" t="s">
        <v>1021</v>
      </c>
      <c r="BZ2" s="103" t="s">
        <v>814</v>
      </c>
      <c r="CA2" s="115" t="s">
        <v>1152</v>
      </c>
    </row>
    <row r="3" spans="1:79" ht="15" customHeight="1" thickTop="1" thickBot="1" x14ac:dyDescent="0.25">
      <c r="A3" s="460" t="str">
        <f ca="1">IFERROR(VLOOKUP(A1,OFFSET($AG$2,,,COUNTIF($AG$2:$AG$50,"?*"),23),18,FALSE),"")</f>
        <v>13 OZ, 12 (6+6), -3 ±</v>
      </c>
      <c r="B3" s="461"/>
      <c r="C3" s="461"/>
      <c r="D3" s="462" t="str">
        <f ca="1">IFERROR(VLOOKUP(A1,OFFSET($AG$2,,,COUNTIF($AG$2:$AG$50,"?*"),23),19,FALSE),"")</f>
        <v>148 OZ, 40 (34+6)</v>
      </c>
      <c r="E3" s="462"/>
      <c r="F3" s="463"/>
      <c r="G3" s="431" t="s">
        <v>699</v>
      </c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460" t="str">
        <f ca="1">IFERROR(VLOOKUP(M1,OFFSET($AG$2,,,COUNTIF($AG$2:$AG$50,"?*"),23),18,FALSE),"")</f>
        <v>13 OZ, 7 (4+3), -15 ±</v>
      </c>
      <c r="N3" s="461"/>
      <c r="O3" s="461"/>
      <c r="P3" s="462" t="str">
        <f ca="1">IFERROR(VLOOKUP(M1,OFFSET($AG$2,,,COUNTIF($AG$2:$AG$50,"?*"),23),19,FALSE),"")</f>
        <v>61 OZ, 28 (17+11)</v>
      </c>
      <c r="Q3" s="462"/>
      <c r="R3" s="463"/>
      <c r="S3" s="110" t="s">
        <v>701</v>
      </c>
      <c r="T3" s="102" t="s">
        <v>58</v>
      </c>
      <c r="U3" s="102">
        <v>13</v>
      </c>
      <c r="V3" s="102">
        <v>6</v>
      </c>
      <c r="W3" s="102">
        <v>1</v>
      </c>
      <c r="X3" s="102">
        <v>0</v>
      </c>
      <c r="Y3" s="102">
        <v>6</v>
      </c>
      <c r="Z3" s="102">
        <v>12</v>
      </c>
      <c r="AA3" s="102">
        <v>4</v>
      </c>
      <c r="AB3" s="102">
        <v>-3</v>
      </c>
      <c r="AC3" s="102" t="str">
        <f t="shared" ca="1" si="0"/>
        <v>ANO</v>
      </c>
      <c r="AG3" s="121" t="s">
        <v>701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27</v>
      </c>
      <c r="AQ3" s="123">
        <v>186</v>
      </c>
      <c r="AR3" s="123">
        <v>70</v>
      </c>
      <c r="AS3" s="126" t="s">
        <v>249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13 OZ, 12 (6+6), -3 ±</v>
      </c>
      <c r="AY3" s="129" t="str">
        <f t="shared" ca="1" si="2"/>
        <v>148 OZ, 40 (34+6)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1322</v>
      </c>
      <c r="BO3" s="122">
        <v>34154</v>
      </c>
      <c r="BP3" s="131" t="s">
        <v>237</v>
      </c>
      <c r="BQ3" s="132" t="s">
        <v>1323</v>
      </c>
      <c r="BR3" s="127">
        <f t="shared" ref="BR3:BR11" ca="1" si="12">IF(BN3&lt;&gt;"",IF(BO3&lt;&gt;"",INT((TODAY()-BO3)/365),"?"),"")</f>
        <v>28</v>
      </c>
      <c r="BS3" s="419"/>
      <c r="BT3" s="104" t="s">
        <v>845</v>
      </c>
      <c r="BU3" s="103">
        <v>12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12</v>
      </c>
      <c r="BX3" s="418"/>
      <c r="BY3" s="103" t="s">
        <v>1302</v>
      </c>
      <c r="BZ3" s="103" t="s">
        <v>815</v>
      </c>
      <c r="CA3" s="115" t="s">
        <v>775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>Florbal Ústí</v>
      </c>
      <c r="B4" s="449"/>
      <c r="C4" s="450"/>
      <c r="D4" s="451">
        <f ca="1">IFERROR(IF(VLOOKUP(A1,OFFSET($AG$2,,,COUNTIF($AG$2:$AG$50,"?*"),23),14,FALSE)&lt;&gt;0,VLOOKUP(A1,OFFSET($AG$2,,,COUNTIF($AG$2:$AG$50,"?*"),23),14,FALSE),"?"),"")</f>
        <v>2002</v>
      </c>
      <c r="E4" s="452"/>
      <c r="F4" s="7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1999</v>
      </c>
      <c r="I4" s="425"/>
      <c r="J4" s="117">
        <f ca="1">IFERROR(VLOOKUP(G3,OFFSET($AG$2,,,COUNTIF($AG$2:$AG$50,"?*"),23),15,FALSE),"")</f>
        <v>22</v>
      </c>
      <c r="K4" s="426" t="str">
        <f ca="1">IFERROR(VLOOKUP(G3,OFFSET($AG$2,,,COUNTIF($AG$2:$AG$50,"?*"),23),16,FALSE),"")</f>
        <v>179/67</v>
      </c>
      <c r="L4" s="427"/>
      <c r="M4" s="448" t="str">
        <f ca="1">IFERROR(IF(VLOOKUP(M1,OFFSET($AG$2,,,COUNTIF($AG$2:$AG$50,"?*"),23),13,FALSE)&lt;&gt;0,VLOOKUP(M1,OFFSET($AG$2,,,COUNTIF($AG$2:$AG$50,"?*"),23),13,FALSE),"?"),"")</f>
        <v>FBŠ Hattrick</v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>?</v>
      </c>
      <c r="Q4" s="452"/>
      <c r="R4" s="7">
        <f ca="1">IFERROR(IF(VLOOKUP(M1,OFFSET($AG$2,,,COUNTIF($AG$2:$AG$50,"?*"),23),7,FALSE)&lt;&gt;0,VLOOKUP(M1,OFFSET($AG$2,,,COUNTIF($AG$2:$AG$50,"?*"),23),7,FALSE),"?"),"")</f>
        <v>6</v>
      </c>
      <c r="S4" s="110" t="s">
        <v>710</v>
      </c>
      <c r="U4" s="102">
        <v>13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707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137</v>
      </c>
      <c r="AQ4" s="123">
        <v>194</v>
      </c>
      <c r="AR4" s="123">
        <v>92</v>
      </c>
      <c r="AS4" s="126" t="s">
        <v>1314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13 OZ, 1 (1+0), -10 ±</v>
      </c>
      <c r="AY4" s="129" t="str">
        <f t="shared" ca="1" si="2"/>
        <v>68 OZ, 7 (4+3)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1324</v>
      </c>
      <c r="BO4" s="122">
        <v>35361</v>
      </c>
      <c r="BP4" s="131" t="s">
        <v>239</v>
      </c>
      <c r="BQ4" s="132" t="s">
        <v>1323</v>
      </c>
      <c r="BR4" s="127">
        <f t="shared" ca="1" si="12"/>
        <v>25</v>
      </c>
      <c r="BS4" s="419"/>
      <c r="BT4" s="104" t="s">
        <v>797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18"/>
      <c r="BY4" s="103" t="s">
        <v>841</v>
      </c>
      <c r="BZ4" s="103" t="s">
        <v>816</v>
      </c>
      <c r="CA4" s="115" t="s">
        <v>1148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>13 OZ, 7 (3+4), -12 ±</v>
      </c>
      <c r="H5" s="461"/>
      <c r="I5" s="461"/>
      <c r="J5" s="462" t="str">
        <f ca="1">IFERROR(VLOOKUP(G3,OFFSET($AG$2,,,COUNTIF($AG$2:$AG$50,"?*"),23),19,FALSE),"")</f>
        <v>60 OZ, 24 (16+8)</v>
      </c>
      <c r="K5" s="462"/>
      <c r="L5" s="463"/>
      <c r="S5" s="110" t="s">
        <v>696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696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150</v>
      </c>
      <c r="AP5" s="125" t="s">
        <v>27</v>
      </c>
      <c r="AQ5" s="123">
        <v>185</v>
      </c>
      <c r="AR5" s="123">
        <v>88</v>
      </c>
      <c r="AS5" s="126" t="s">
        <v>1315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1325</v>
      </c>
      <c r="BO5" s="122">
        <v>25435</v>
      </c>
      <c r="BP5" s="131" t="s">
        <v>1326</v>
      </c>
      <c r="BQ5" s="132" t="s">
        <v>1323</v>
      </c>
      <c r="BR5" s="127">
        <f t="shared" ca="1" si="12"/>
        <v>52</v>
      </c>
      <c r="BS5" s="419"/>
      <c r="BT5" s="104" t="s">
        <v>846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18"/>
      <c r="BY5" s="103" t="s">
        <v>822</v>
      </c>
      <c r="BZ5" s="103" t="s">
        <v>826</v>
      </c>
      <c r="CA5" s="115" t="s">
        <v>1020</v>
      </c>
    </row>
    <row r="6" spans="1:79" ht="15" customHeight="1" thickTop="1" thickBot="1" x14ac:dyDescent="0.25">
      <c r="A6" s="431" t="s">
        <v>697</v>
      </c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448" t="str">
        <f ca="1">IFERROR(IF(VLOOKUP(G3,OFFSET($AG$2,,,COUNTIF($AG$2:$AG$50,"?*"),23),13,FALSE)&lt;&gt;0,VLOOKUP(G3,OFFSET($AG$2,,,COUNTIF($AG$2:$AG$50,"?*"),23),13,FALSE),"?"),"")</f>
        <v>Snipers Třebíč</v>
      </c>
      <c r="H6" s="449"/>
      <c r="I6" s="450"/>
      <c r="J6" s="451">
        <f ca="1">IFERROR(IF(VLOOKUP(G3,OFFSET($AG$2,,,COUNTIF($AG$2:$AG$50,"?*"),23),14,FALSE)&lt;&gt;0,VLOOKUP(G3,OFFSET($AG$2,,,COUNTIF($AG$2:$AG$50,"?*"),23),14,FALSE),"?"),"")</f>
        <v>2007</v>
      </c>
      <c r="K6" s="452"/>
      <c r="L6" s="7">
        <f ca="1">IFERROR(IF(VLOOKUP(G3,OFFSET($AG$2,,,COUNTIF($AG$2:$AG$50,"?*"),23),7,FALSE)&lt;&gt;0,VLOOKUP(G3,OFFSET($AG$2,,,COUNTIF($AG$2:$AG$50,"?*"),23),7,FALSE),"?"),"")</f>
        <v>3</v>
      </c>
      <c r="M6" s="431" t="s">
        <v>712</v>
      </c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110" t="s">
        <v>488</v>
      </c>
      <c r="U6" s="102">
        <v>13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10</v>
      </c>
      <c r="AB6" s="102">
        <v>-15</v>
      </c>
      <c r="AC6" s="102" t="str">
        <f t="shared" ca="1" si="0"/>
        <v>ANO</v>
      </c>
      <c r="AG6" s="121" t="s">
        <v>1145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3 OZ, 1 (0+1), 0 ±</v>
      </c>
      <c r="AY6" s="129" t="str">
        <f t="shared" ca="1" si="2"/>
        <v>3 OZ, 1 (0+1)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1327</v>
      </c>
      <c r="BO6" s="122">
        <v>33942</v>
      </c>
      <c r="BP6" s="131" t="s">
        <v>1328</v>
      </c>
      <c r="BQ6" s="132"/>
      <c r="BR6" s="127">
        <f t="shared" ca="1" si="12"/>
        <v>28</v>
      </c>
      <c r="BS6" s="419"/>
      <c r="BT6" s="104" t="s">
        <v>1303</v>
      </c>
      <c r="BU6" s="103">
        <v>7</v>
      </c>
      <c r="BV6" s="104" t="str">
        <f t="shared" si="13"/>
        <v>Matěj Hronek</v>
      </c>
      <c r="BW6" s="102">
        <f t="shared" si="14"/>
        <v>7</v>
      </c>
      <c r="BX6" s="418"/>
      <c r="BY6" s="103" t="s">
        <v>833</v>
      </c>
      <c r="BZ6" s="103" t="s">
        <v>827</v>
      </c>
      <c r="CA6" s="115" t="s">
        <v>1037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4">
        <f ca="1">IFERROR(IF(VLOOKUP(A6,OFFSET($AG$2,,,COUNTIF($AG$2:$AG$50,"?*"),23),2,FALSE)&lt;&gt;0,YEAR(VLOOKUP(A6,OFFSET($AG$2,,,COUNTIF($AG$2:$AG$50,"?*"),23),2,FALSE)),""),"")</f>
        <v>1995</v>
      </c>
      <c r="C7" s="425"/>
      <c r="D7" s="117">
        <f ca="1">IFERROR(VLOOKUP(A6,OFFSET($AG$2,,,COUNTIF($AG$2:$AG$50,"?*"),23),15,FALSE),"")</f>
        <v>26</v>
      </c>
      <c r="E7" s="426" t="str">
        <f ca="1">IFERROR(VLOOKUP(A6,OFFSET($AG$2,,,COUNTIF($AG$2:$AG$50,"?*"),23),16,FALSE),"")</f>
        <v>178/73</v>
      </c>
      <c r="F7" s="427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1994</v>
      </c>
      <c r="O7" s="425"/>
      <c r="P7" s="117">
        <f ca="1">IFERROR(VLOOKUP(M6,OFFSET($AG$2,,,COUNTIF($AG$2:$AG$50,"?*"),23),15,FALSE),"")</f>
        <v>27</v>
      </c>
      <c r="Q7" s="426" t="str">
        <f ca="1">IFERROR(VLOOKUP(M6,OFFSET($AG$2,,,COUNTIF($AG$2:$AG$50,"?*"),23),16,FALSE),"")</f>
        <v>188/88</v>
      </c>
      <c r="R7" s="427"/>
      <c r="S7" s="110" t="s">
        <v>699</v>
      </c>
      <c r="U7" s="102">
        <v>13</v>
      </c>
      <c r="V7" s="102">
        <v>3</v>
      </c>
      <c r="W7" s="102">
        <v>0</v>
      </c>
      <c r="X7" s="102">
        <v>0</v>
      </c>
      <c r="Y7" s="102">
        <v>4</v>
      </c>
      <c r="Z7" s="102">
        <v>7</v>
      </c>
      <c r="AA7" s="102">
        <v>0</v>
      </c>
      <c r="AB7" s="102">
        <v>-12</v>
      </c>
      <c r="AC7" s="102" t="str">
        <f t="shared" ca="1" si="0"/>
        <v>ANO</v>
      </c>
      <c r="AG7" s="121" t="s">
        <v>488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137</v>
      </c>
      <c r="AQ7" s="123">
        <v>187</v>
      </c>
      <c r="AR7" s="123">
        <v>75</v>
      </c>
      <c r="AS7" s="126" t="s">
        <v>1316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13 OZ, 7 (4+3), -15 ±</v>
      </c>
      <c r="AY7" s="129" t="str">
        <f t="shared" ca="1" si="2"/>
        <v>61 OZ, 28 (17+11)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1139</v>
      </c>
      <c r="BU7" s="103" t="s">
        <v>1371</v>
      </c>
      <c r="BV7" s="104" t="str">
        <f t="shared" si="13"/>
        <v>Zdeněk Raška</v>
      </c>
      <c r="BW7" s="112">
        <f t="shared" si="14"/>
        <v>6.41</v>
      </c>
      <c r="BX7" s="418" t="s">
        <v>193</v>
      </c>
      <c r="BY7" s="103" t="s">
        <v>1100</v>
      </c>
      <c r="BZ7" s="103" t="s">
        <v>818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>13 OZ, 14 (5+9), -6 ±</v>
      </c>
      <c r="B8" s="461"/>
      <c r="C8" s="461"/>
      <c r="D8" s="462" t="str">
        <f ca="1">IFERROR(VLOOKUP(A6,OFFSET($AG$2,,,COUNTIF($AG$2:$AG$50,"?*"),23),19,FALSE),"")</f>
        <v>110 OZ, 60 (21+39)</v>
      </c>
      <c r="E8" s="462"/>
      <c r="F8" s="463"/>
      <c r="H8" s="464" t="s">
        <v>97</v>
      </c>
      <c r="I8" s="464"/>
      <c r="J8" s="464"/>
      <c r="K8" s="464"/>
      <c r="M8" s="460" t="str">
        <f ca="1">IFERROR(VLOOKUP(M6,OFFSET($AG$2,,,COUNTIF($AG$2:$AG$50,"?*"),23),18,FALSE),"")</f>
        <v>12 OZ, 6 (2+4), -11 ±</v>
      </c>
      <c r="N8" s="461"/>
      <c r="O8" s="461"/>
      <c r="P8" s="462" t="str">
        <f ca="1">IFERROR(VLOOKUP(M6,OFFSET($AG$2,,,COUNTIF($AG$2:$AG$50,"?*"),23),19,FALSE),"")</f>
        <v>155 OZ, 73 (26+47)</v>
      </c>
      <c r="Q8" s="462"/>
      <c r="R8" s="463"/>
      <c r="S8" s="110" t="s">
        <v>713</v>
      </c>
      <c r="U8" s="102">
        <v>13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4</v>
      </c>
      <c r="AB8" s="102">
        <v>-6</v>
      </c>
      <c r="AC8" s="102" t="str">
        <f t="shared" ca="1" si="0"/>
        <v>ANO</v>
      </c>
      <c r="AG8" s="121" t="s">
        <v>713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137</v>
      </c>
      <c r="AQ8" s="123">
        <v>180</v>
      </c>
      <c r="AR8" s="123">
        <v>70</v>
      </c>
      <c r="AS8" s="126" t="s">
        <v>1316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13 OZ, 6 (3+3), -6 ±</v>
      </c>
      <c r="AY8" s="129" t="str">
        <f t="shared" ca="1" si="2"/>
        <v>38 OZ, 13 (8+5)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1140</v>
      </c>
      <c r="BU8" s="103" t="s">
        <v>1029</v>
      </c>
      <c r="BV8" s="104" t="str">
        <f t="shared" si="13"/>
        <v>Filip Létal</v>
      </c>
      <c r="BW8" s="112">
        <f t="shared" si="14"/>
        <v>7.42</v>
      </c>
      <c r="BX8" s="418"/>
      <c r="BY8" s="103" t="s">
        <v>1101</v>
      </c>
      <c r="BZ8" s="103" t="s">
        <v>838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>Atlas Blansko</v>
      </c>
      <c r="B9" s="449"/>
      <c r="C9" s="450"/>
      <c r="D9" s="451">
        <f ca="1">IFERROR(IF(VLOOKUP(A6,OFFSET($AG$2,,,COUNTIF($AG$2:$AG$50,"?*"),23),14,FALSE)&lt;&gt;0,VLOOKUP(A6,OFFSET($AG$2,,,COUNTIF($AG$2:$AG$50,"?*"),23),14,FALSE),"?"),"")</f>
        <v>2007</v>
      </c>
      <c r="E9" s="452"/>
      <c r="F9" s="7">
        <f ca="1">IFERROR(IF(VLOOKUP(A6,OFFSET($AG$2,,,COUNTIF($AG$2:$AG$50,"?*"),23),7,FALSE)&lt;&gt;0,VLOOKUP(A6,OFFSET($AG$2,,,COUNTIF($AG$2:$AG$50,"?*"),23),7,FALSE),"?"),"")</f>
        <v>8</v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>FbŠ Bohemians</v>
      </c>
      <c r="N9" s="449"/>
      <c r="O9" s="450"/>
      <c r="P9" s="451">
        <f ca="1">IFERROR(IF(VLOOKUP(M6,OFFSET($AG$2,,,COUNTIF($AG$2:$AG$50,"?*"),23),14,FALSE)&lt;&gt;0,VLOOKUP(M6,OFFSET($AG$2,,,COUNTIF($AG$2:$AG$50,"?*"),23),14,FALSE),"?"),"")</f>
        <v>2002</v>
      </c>
      <c r="Q9" s="452"/>
      <c r="R9" s="7">
        <f ca="1">IFERROR(IF(VLOOKUP(M6,OFFSET($AG$2,,,COUNTIF($AG$2:$AG$50,"?*"),23),7,FALSE)&lt;&gt;0,VLOOKUP(M6,OFFSET($AG$2,,,COUNTIF($AG$2:$AG$50,"?*"),23),7,FALSE),"?"),"")</f>
        <v>11</v>
      </c>
      <c r="S9" s="110" t="s">
        <v>712</v>
      </c>
      <c r="T9" s="102" t="s">
        <v>58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2</v>
      </c>
      <c r="AB9" s="102">
        <v>-11</v>
      </c>
      <c r="AC9" s="102" t="str">
        <f t="shared" ca="1" si="0"/>
        <v>ANO</v>
      </c>
      <c r="AG9" s="121" t="s">
        <v>697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137</v>
      </c>
      <c r="AQ9" s="123">
        <v>178</v>
      </c>
      <c r="AR9" s="123">
        <v>73</v>
      </c>
      <c r="AS9" s="126" t="s">
        <v>1317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13 OZ, 14 (5+9), -6 ±</v>
      </c>
      <c r="AY9" s="129" t="str">
        <f t="shared" ca="1" si="2"/>
        <v>110 OZ, 60 (21+39)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1141</v>
      </c>
      <c r="BU9" s="103" t="s">
        <v>1030</v>
      </c>
      <c r="BV9" s="104" t="str">
        <f t="shared" si="13"/>
        <v>Ondřej Kolajta</v>
      </c>
      <c r="BW9" s="112">
        <f t="shared" si="14"/>
        <v>9.09</v>
      </c>
      <c r="BX9" s="418"/>
      <c r="BY9" s="103" t="s">
        <v>1150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700</v>
      </c>
      <c r="U10" s="102">
        <v>12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7</v>
      </c>
      <c r="AB10" s="102">
        <v>-11</v>
      </c>
      <c r="AC10" s="102" t="str">
        <f t="shared" ca="1" si="0"/>
        <v>ANO</v>
      </c>
      <c r="AG10" s="121" t="s">
        <v>706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137</v>
      </c>
      <c r="AQ10" s="123">
        <v>181</v>
      </c>
      <c r="AR10" s="123">
        <v>77</v>
      </c>
      <c r="AS10" s="126" t="s">
        <v>1318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9 OZ, 4 (0+4), -6 ±</v>
      </c>
      <c r="AY10" s="129" t="str">
        <f t="shared" ca="1" si="2"/>
        <v>315 OZ, 253 (114+139)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1344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708</v>
      </c>
      <c r="U11" s="102">
        <v>11</v>
      </c>
      <c r="V11" s="102">
        <v>1</v>
      </c>
      <c r="W11" s="102">
        <v>0</v>
      </c>
      <c r="X11" s="102">
        <v>0</v>
      </c>
      <c r="Y11" s="102">
        <v>4</v>
      </c>
      <c r="Z11" s="102">
        <v>5</v>
      </c>
      <c r="AA11" s="102">
        <v>2</v>
      </c>
      <c r="AB11" s="102">
        <v>-13</v>
      </c>
      <c r="AC11" s="102" t="str">
        <f t="shared" ca="1" si="0"/>
        <v>ANO</v>
      </c>
      <c r="AG11" s="121" t="s">
        <v>709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507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3 P</v>
      </c>
      <c r="AY11" s="129" t="str">
        <f t="shared" ca="1" si="2"/>
        <v>24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839</v>
      </c>
      <c r="CA11" s="115" t="s">
        <v>188</v>
      </c>
    </row>
    <row r="12" spans="1:79" ht="15" customHeight="1" thickTop="1" thickBot="1" x14ac:dyDescent="0.25">
      <c r="A12" s="431" t="s">
        <v>707</v>
      </c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65" t="s">
        <v>7</v>
      </c>
      <c r="I12" s="465"/>
      <c r="J12" s="465"/>
      <c r="K12" s="465"/>
      <c r="M12" s="431" t="s">
        <v>705</v>
      </c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110" t="s">
        <v>705</v>
      </c>
      <c r="T12" s="102" t="s">
        <v>107</v>
      </c>
      <c r="U12" s="102">
        <v>13</v>
      </c>
      <c r="V12" s="102">
        <v>4</v>
      </c>
      <c r="W12" s="102">
        <v>0</v>
      </c>
      <c r="X12" s="102">
        <v>0</v>
      </c>
      <c r="Y12" s="102">
        <v>0</v>
      </c>
      <c r="Z12" s="102">
        <v>4</v>
      </c>
      <c r="AA12" s="102">
        <v>6</v>
      </c>
      <c r="AB12" s="102">
        <v>-17</v>
      </c>
      <c r="AC12" s="102" t="str">
        <f t="shared" ca="1" si="0"/>
        <v>ANO</v>
      </c>
      <c r="AG12" s="121" t="s">
        <v>711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137</v>
      </c>
      <c r="AQ12" s="123">
        <v>170</v>
      </c>
      <c r="AR12" s="123">
        <v>72</v>
      </c>
      <c r="AS12" s="126" t="s">
        <v>514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13 OZ, 4 (3+1), -18 ±</v>
      </c>
      <c r="AY12" s="129" t="str">
        <f t="shared" ca="1" si="2"/>
        <v>232 OZ, 105 (57+48)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783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1375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4">
        <f ca="1">IFERROR(IF(VLOOKUP(A12,OFFSET($AG$2,,,COUNTIF($AG$2:$AG$50,"?*"),23),2,FALSE)&lt;&gt;0,YEAR(VLOOKUP(A12,OFFSET($AG$2,,,COUNTIF($AG$2:$AG$50,"?*"),23),2,FALSE)),""),"")</f>
        <v>1998</v>
      </c>
      <c r="C13" s="425"/>
      <c r="D13" s="117">
        <f ca="1">IFERROR(VLOOKUP(A12,OFFSET($AG$2,,,COUNTIF($AG$2:$AG$50,"?*"),23),15,FALSE),"")</f>
        <v>23</v>
      </c>
      <c r="E13" s="426" t="str">
        <f ca="1">IFERROR(VLOOKUP(A12,OFFSET($AG$2,,,COUNTIF($AG$2:$AG$50,"?*"),23),16,FALSE),"")</f>
        <v>194/92</v>
      </c>
      <c r="F13" s="427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1998</v>
      </c>
      <c r="O13" s="425"/>
      <c r="P13" s="117">
        <f ca="1">IFERROR(VLOOKUP(M12,OFFSET($AG$2,,,COUNTIF($AG$2:$AG$50,"?*"),23),15,FALSE),"")</f>
        <v>23</v>
      </c>
      <c r="Q13" s="426" t="str">
        <f ca="1">IFERROR(VLOOKUP(M12,OFFSET($AG$2,,,COUNTIF($AG$2:$AG$50,"?*"),23),16,FALSE),"")</f>
        <v>182/85</v>
      </c>
      <c r="R13" s="427"/>
      <c r="S13" s="110" t="s">
        <v>711</v>
      </c>
      <c r="T13" s="102" t="s">
        <v>58</v>
      </c>
      <c r="U13" s="102">
        <v>13</v>
      </c>
      <c r="V13" s="102">
        <v>3</v>
      </c>
      <c r="W13" s="102">
        <v>0</v>
      </c>
      <c r="X13" s="102">
        <v>0</v>
      </c>
      <c r="Y13" s="102">
        <v>1</v>
      </c>
      <c r="Z13" s="102">
        <v>4</v>
      </c>
      <c r="AA13" s="102">
        <v>4</v>
      </c>
      <c r="AB13" s="102">
        <v>-18</v>
      </c>
      <c r="AC13" s="102" t="str">
        <f t="shared" ca="1" si="0"/>
        <v>ANO</v>
      </c>
      <c r="AG13" s="121" t="s">
        <v>703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1304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60" t="str">
        <f ca="1">IFERROR(VLOOKUP(A12,OFFSET($AG$2,,,COUNTIF($AG$2:$AG$50,"?*"),23),18,FALSE),"")</f>
        <v>13 OZ, 1 (1+0), -10 ±</v>
      </c>
      <c r="B14" s="461"/>
      <c r="C14" s="461"/>
      <c r="D14" s="462" t="str">
        <f ca="1">IFERROR(VLOOKUP(A12,OFFSET($AG$2,,,COUNTIF($AG$2:$AG$50,"?*"),23),19,FALSE),"")</f>
        <v>68 OZ, 7 (4+3)</v>
      </c>
      <c r="E14" s="462"/>
      <c r="F14" s="463"/>
      <c r="G14" s="431" t="s">
        <v>708</v>
      </c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460" t="str">
        <f ca="1">IFERROR(VLOOKUP(M12,OFFSET($AG$2,,,COUNTIF($AG$2:$AG$50,"?*"),23),18,FALSE),"")</f>
        <v>13 OZ, 4 (4+0), -17 ±</v>
      </c>
      <c r="N14" s="461"/>
      <c r="O14" s="461"/>
      <c r="P14" s="462" t="str">
        <f ca="1">IFERROR(VLOOKUP(M12,OFFSET($AG$2,,,COUNTIF($AG$2:$AG$50,"?*"),23),19,FALSE),"")</f>
        <v>148 OZ, 32 (32+0)</v>
      </c>
      <c r="Q14" s="462"/>
      <c r="R14" s="463"/>
      <c r="S14" s="110" t="s">
        <v>706</v>
      </c>
      <c r="T14" s="102" t="s">
        <v>107</v>
      </c>
      <c r="U14" s="102">
        <v>9</v>
      </c>
      <c r="V14" s="102">
        <v>0</v>
      </c>
      <c r="W14" s="102">
        <v>0</v>
      </c>
      <c r="X14" s="102">
        <v>0</v>
      </c>
      <c r="Y14" s="102">
        <v>4</v>
      </c>
      <c r="Z14" s="102">
        <v>4</v>
      </c>
      <c r="AA14" s="102">
        <v>2</v>
      </c>
      <c r="AB14" s="102">
        <v>-6</v>
      </c>
      <c r="AC14" s="102" t="str">
        <f t="shared" ca="1" si="0"/>
        <v>ANO</v>
      </c>
      <c r="AG14" s="121" t="s">
        <v>708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137</v>
      </c>
      <c r="AQ14" s="123">
        <v>175</v>
      </c>
      <c r="AR14" s="123">
        <v>75</v>
      </c>
      <c r="AS14" s="126" t="s">
        <v>1316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11 OZ, 5 (1+4), -13 ±</v>
      </c>
      <c r="AY14" s="129" t="str">
        <f t="shared" ca="1" si="2"/>
        <v>41 OZ, 11 (3+8)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1305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>Znojmo Laufen</v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>?</v>
      </c>
      <c r="E15" s="452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2000</v>
      </c>
      <c r="I15" s="425"/>
      <c r="J15" s="117">
        <f ca="1">IFERROR(VLOOKUP(G14,OFFSET($AG$2,,,COUNTIF($AG$2:$AG$50,"?*"),23),15,FALSE),"")</f>
        <v>21</v>
      </c>
      <c r="K15" s="426" t="str">
        <f ca="1">IFERROR(VLOOKUP(G14,OFFSET($AG$2,,,COUNTIF($AG$2:$AG$50,"?*"),23),16,FALSE),"")</f>
        <v>175/75</v>
      </c>
      <c r="L15" s="427"/>
      <c r="M15" s="448" t="str">
        <f ca="1">IFERROR(IF(VLOOKUP(M12,OFFSET($AG$2,,,COUNTIF($AG$2:$AG$50,"?*"),23),13,FALSE)&lt;&gt;0,VLOOKUP(M12,OFFSET($AG$2,,,COUNTIF($AG$2:$AG$50,"?*"),23),13,FALSE),"?"),"")</f>
        <v>SK JeMoBu</v>
      </c>
      <c r="N15" s="449"/>
      <c r="O15" s="450"/>
      <c r="P15" s="451">
        <f ca="1">IFERROR(IF(VLOOKUP(M12,OFFSET($AG$2,,,COUNTIF($AG$2:$AG$50,"?*"),23),14,FALSE)&lt;&gt;0,VLOOKUP(M12,OFFSET($AG$2,,,COUNTIF($AG$2:$AG$50,"?*"),23),14,FALSE),"?"),"")</f>
        <v>2007</v>
      </c>
      <c r="Q15" s="452"/>
      <c r="R15" s="7">
        <f ca="1">IFERROR(IF(VLOOKUP(M12,OFFSET($AG$2,,,COUNTIF($AG$2:$AG$50,"?*"),23),7,FALSE)&lt;&gt;0,VLOOKUP(M12,OFFSET($AG$2,,,COUNTIF($AG$2:$AG$50,"?*"),23),7,FALSE),"?"),"")</f>
        <v>7</v>
      </c>
      <c r="S15" s="110" t="s">
        <v>702</v>
      </c>
      <c r="T15" s="102" t="s">
        <v>107</v>
      </c>
      <c r="U15" s="102">
        <v>9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-4</v>
      </c>
      <c r="AC15" s="102" t="str">
        <f t="shared" ca="1" si="0"/>
        <v>ANO</v>
      </c>
      <c r="AG15" s="121" t="s">
        <v>782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137</v>
      </c>
      <c r="AQ15" s="123">
        <v>183</v>
      </c>
      <c r="AR15" s="123">
        <v>76</v>
      </c>
      <c r="AS15" s="126" t="s">
        <v>1316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1142</v>
      </c>
      <c r="BU15" s="103">
        <v>5</v>
      </c>
      <c r="BV15" s="104" t="str">
        <f t="shared" si="13"/>
        <v>Lukáš Jalový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>11 OZ, 5 (1+4), -13 ±</v>
      </c>
      <c r="H16" s="461"/>
      <c r="I16" s="461"/>
      <c r="J16" s="462" t="str">
        <f ca="1">IFERROR(VLOOKUP(G14,OFFSET($AG$2,,,COUNTIF($AG$2:$AG$50,"?*"),23),19,FALSE),"")</f>
        <v>41 OZ, 11 (3+8)</v>
      </c>
      <c r="K16" s="462"/>
      <c r="L16" s="463"/>
      <c r="S16" s="110" t="s">
        <v>707</v>
      </c>
      <c r="T16" s="102" t="s">
        <v>107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698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1316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1031</v>
      </c>
      <c r="BU16" s="103">
        <v>4</v>
      </c>
      <c r="BV16" s="104" t="str">
        <f t="shared" si="13"/>
        <v>Jakub Procházka</v>
      </c>
      <c r="BW16" s="102">
        <f t="shared" si="14"/>
        <v>4</v>
      </c>
    </row>
    <row r="17" spans="1:75" ht="15" customHeight="1" thickTop="1" thickBot="1" x14ac:dyDescent="0.25">
      <c r="A17" s="431" t="s">
        <v>700</v>
      </c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>FBŠ Hattrick</v>
      </c>
      <c r="H17" s="449"/>
      <c r="I17" s="450"/>
      <c r="J17" s="451">
        <f ca="1">IFERROR(IF(VLOOKUP(G14,OFFSET($AG$2,,,COUNTIF($AG$2:$AG$50,"?*"),23),14,FALSE)&lt;&gt;0,VLOOKUP(G14,OFFSET($AG$2,,,COUNTIF($AG$2:$AG$50,"?*"),23),14,FALSE),"?"),"")</f>
        <v>2009</v>
      </c>
      <c r="K17" s="452"/>
      <c r="L17" s="7">
        <f ca="1">IFERROR(IF(VLOOKUP(G14,OFFSET($AG$2,,,COUNTIF($AG$2:$AG$50,"?*"),23),7,FALSE)&lt;&gt;0,VLOOKUP(G14,OFFSET($AG$2,,,COUNTIF($AG$2:$AG$50,"?*"),23),7,FALSE),"?"),"")</f>
        <v>3</v>
      </c>
      <c r="M17" s="431" t="s">
        <v>706</v>
      </c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110" t="s">
        <v>1145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0</v>
      </c>
      <c r="AC17" s="102" t="str">
        <f t="shared" ca="1" si="0"/>
        <v>ANO</v>
      </c>
      <c r="AG17" s="121" t="s">
        <v>700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12 OZ, 5 (3+2), -11 ±</v>
      </c>
      <c r="AY17" s="129" t="str">
        <f t="shared" ca="1" si="2"/>
        <v>12 OZ, 5 (3+2)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1139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>?</v>
      </c>
      <c r="E18" s="426" t="str">
        <f ca="1">IFERROR(VLOOKUP(A17,OFFSET($AG$2,,,COUNTIF($AG$2:$AG$50,"?*"),23),16,FALSE),"")</f>
        <v>? / ?</v>
      </c>
      <c r="F18" s="427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1991</v>
      </c>
      <c r="O18" s="425"/>
      <c r="P18" s="117">
        <f ca="1">IFERROR(VLOOKUP(M17,OFFSET($AG$2,,,COUNTIF($AG$2:$AG$50,"?*"),23),15,FALSE),"")</f>
        <v>30</v>
      </c>
      <c r="Q18" s="426" t="str">
        <f ca="1">IFERROR(VLOOKUP(M17,OFFSET($AG$2,,,COUNTIF($AG$2:$AG$50,"?*"),23),16,FALSE),"")</f>
        <v>181/77</v>
      </c>
      <c r="R18" s="427"/>
      <c r="S18" s="110" t="s">
        <v>1144</v>
      </c>
      <c r="T18" s="102" t="s">
        <v>107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1147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27</v>
      </c>
      <c r="AQ18" s="123">
        <v>182</v>
      </c>
      <c r="AR18" s="123">
        <v>73</v>
      </c>
      <c r="AS18" s="126" t="s">
        <v>1316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7 OZ, 0 (0+0), -4 ±</v>
      </c>
      <c r="AY18" s="129" t="str">
        <f t="shared" ca="1" si="2"/>
        <v>7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1140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60" t="str">
        <f ca="1">IFERROR(VLOOKUP(A17,OFFSET($AG$2,,,COUNTIF($AG$2:$AG$50,"?*"),23),18,FALSE),"")</f>
        <v>12 OZ, 5 (3+2), -11 ±</v>
      </c>
      <c r="B19" s="461"/>
      <c r="C19" s="461"/>
      <c r="D19" s="462" t="str">
        <f ca="1">IFERROR(VLOOKUP(A17,OFFSET($AG$2,,,COUNTIF($AG$2:$AG$50,"?*"),23),19,FALSE),"")</f>
        <v>12 OZ, 5 (3+2)</v>
      </c>
      <c r="E19" s="462"/>
      <c r="F19" s="463"/>
      <c r="H19" s="464" t="str">
        <f>H$8</f>
        <v>HAT</v>
      </c>
      <c r="I19" s="464"/>
      <c r="J19" s="464"/>
      <c r="K19" s="464"/>
      <c r="M19" s="460" t="str">
        <f ca="1">IFERROR(VLOOKUP(M17,OFFSET($AG$2,,,COUNTIF($AG$2:$AG$50,"?*"),23),18,FALSE),"")</f>
        <v>9 OZ, 4 (0+4), -6 ±</v>
      </c>
      <c r="N19" s="461"/>
      <c r="O19" s="461"/>
      <c r="P19" s="462" t="str">
        <f ca="1">IFERROR(VLOOKUP(M17,OFFSET($AG$2,,,COUNTIF($AG$2:$AG$50,"?*"),23),19,FALSE),"")</f>
        <v>315 OZ, 253 (114+139)</v>
      </c>
      <c r="Q19" s="462"/>
      <c r="R19" s="463"/>
      <c r="S19" s="110" t="s">
        <v>1146</v>
      </c>
      <c r="T19" s="102" t="s">
        <v>107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705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137</v>
      </c>
      <c r="AQ19" s="123">
        <v>182</v>
      </c>
      <c r="AR19" s="123">
        <v>85</v>
      </c>
      <c r="AS19" s="126" t="s">
        <v>282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13 OZ, 4 (4+0), -17 ±</v>
      </c>
      <c r="AY19" s="129" t="str">
        <f t="shared" ca="1" si="2"/>
        <v>148 OZ, 32 (32+0)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1141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>?</v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>?</v>
      </c>
      <c r="E20" s="452"/>
      <c r="F20" s="7" t="str">
        <f ca="1">IFERROR(IF(VLOOKUP(A17,OFFSET($AG$2,,,COUNTIF($AG$2:$AG$50,"?*"),23),7,FALSE)&lt;&gt;0,VLOOKUP(A17,OFFSET($AG$2,,,COUNTIF($AG$2:$AG$50,"?*"),23),7,FALSE),"?"),"")</f>
        <v>?</v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>Florbal Havířov</v>
      </c>
      <c r="N20" s="449"/>
      <c r="O20" s="450"/>
      <c r="P20" s="451">
        <f ca="1">IFERROR(IF(VLOOKUP(M17,OFFSET($AG$2,,,COUNTIF($AG$2:$AG$50,"?*"),23),14,FALSE)&lt;&gt;0,VLOOKUP(M17,OFFSET($AG$2,,,COUNTIF($AG$2:$AG$50,"?*"),23),14,FALSE),"?"),"")</f>
        <v>1999</v>
      </c>
      <c r="Q20" s="452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703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498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2 V, 6 P</v>
      </c>
      <c r="AY20" s="129" t="str">
        <f t="shared" ca="1" si="2"/>
        <v>8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1147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712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137</v>
      </c>
      <c r="AQ21" s="123">
        <v>188</v>
      </c>
      <c r="AR21" s="123">
        <v>88</v>
      </c>
      <c r="AS21" s="126" t="s">
        <v>68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12 OZ, 6 (2+4), -11 ±</v>
      </c>
      <c r="AY21" s="129" t="str">
        <f t="shared" ca="1" si="2"/>
        <v>155 OZ, 73 (26+47)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782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710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27</v>
      </c>
      <c r="AQ22" s="123">
        <v>182</v>
      </c>
      <c r="AR22" s="123">
        <v>75</v>
      </c>
      <c r="AS22" s="126" t="s">
        <v>1319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13 OZ, 9 (8+1), -11 ±</v>
      </c>
      <c r="AY22" s="129" t="str">
        <f t="shared" ca="1" si="2"/>
        <v>36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714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31" t="s">
        <v>702</v>
      </c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 t="s">
        <v>713</v>
      </c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110" t="s">
        <v>698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704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137</v>
      </c>
      <c r="AQ23" s="123">
        <v>170</v>
      </c>
      <c r="AR23" s="123">
        <v>65</v>
      </c>
      <c r="AS23" s="126" t="s">
        <v>1316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11 OZ, 0 (0+0), -14 ±</v>
      </c>
      <c r="AY23" s="129" t="str">
        <f t="shared" ca="1" si="2"/>
        <v>11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845</v>
      </c>
      <c r="BU23" s="103">
        <v>6</v>
      </c>
      <c r="BV23" s="104" t="str">
        <f t="shared" si="13"/>
        <v>Tomáš Brom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>?</v>
      </c>
      <c r="E24" s="426" t="str">
        <f ca="1">IFERROR(VLOOKUP(A23,OFFSET($AG$2,,,COUNTIF($AG$2:$AG$50,"?*"),23),16,FALSE),"")</f>
        <v>? / ?</v>
      </c>
      <c r="F24" s="427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2003</v>
      </c>
      <c r="O24" s="425"/>
      <c r="P24" s="117">
        <f ca="1">IFERROR(VLOOKUP(M23,OFFSET($AG$2,,,COUNTIF($AG$2:$AG$50,"?*"),23),15,FALSE),"")</f>
        <v>18</v>
      </c>
      <c r="Q24" s="426" t="str">
        <f ca="1">IFERROR(VLOOKUP(M23,OFFSET($AG$2,,,COUNTIF($AG$2:$AG$50,"?*"),23),16,FALSE),"")</f>
        <v>180/70</v>
      </c>
      <c r="R24" s="427"/>
      <c r="S24" s="110" t="s">
        <v>498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1144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1372</v>
      </c>
      <c r="BU24" s="103">
        <v>4</v>
      </c>
      <c r="BV24" s="104" t="str">
        <f t="shared" si="13"/>
        <v>David Sládeček</v>
      </c>
      <c r="BW24" s="102">
        <f t="shared" si="14"/>
        <v>4</v>
      </c>
    </row>
    <row r="25" spans="1:75" ht="15" customHeight="1" thickTop="1" thickBot="1" x14ac:dyDescent="0.25">
      <c r="A25" s="460" t="str">
        <f ca="1">IFERROR(VLOOKUP(A23,OFFSET($AG$2,,,COUNTIF($AG$2:$AG$50,"?*"),23),18,FALSE),"")</f>
        <v>9 OZ, 1 (1+0), -4 ±</v>
      </c>
      <c r="B25" s="461"/>
      <c r="C25" s="461"/>
      <c r="D25" s="462" t="str">
        <f ca="1">IFERROR(VLOOKUP(A23,OFFSET($AG$2,,,COUNTIF($AG$2:$AG$50,"?*"),23),19,FALSE),"")</f>
        <v>9 OZ, 1 (1+0)</v>
      </c>
      <c r="E25" s="462"/>
      <c r="F25" s="463"/>
      <c r="G25" s="431" t="s">
        <v>711</v>
      </c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60" t="str">
        <f ca="1">IFERROR(VLOOKUP(M23,OFFSET($AG$2,,,COUNTIF($AG$2:$AG$50,"?*"),23),18,FALSE),"")</f>
        <v>13 OZ, 6 (3+3), -6 ±</v>
      </c>
      <c r="N25" s="461"/>
      <c r="O25" s="461"/>
      <c r="P25" s="462" t="str">
        <f ca="1">IFERROR(VLOOKUP(M23,OFFSET($AG$2,,,COUNTIF($AG$2:$AG$50,"?*"),23),19,FALSE),"")</f>
        <v>38 OZ, 13 (8+5)</v>
      </c>
      <c r="Q25" s="462"/>
      <c r="R25" s="463"/>
      <c r="S25" s="110" t="s">
        <v>704</v>
      </c>
      <c r="U25" s="102">
        <v>11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-14</v>
      </c>
      <c r="AC25" s="102" t="str">
        <f t="shared" ca="1" si="0"/>
        <v>ANO</v>
      </c>
      <c r="AG25" s="121" t="s">
        <v>699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137</v>
      </c>
      <c r="AQ25" s="123">
        <v>179</v>
      </c>
      <c r="AR25" s="123">
        <v>67</v>
      </c>
      <c r="AS25" s="126" t="s">
        <v>1320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13 OZ, 7 (3+4), -12 ±</v>
      </c>
      <c r="AY25" s="129" t="str">
        <f t="shared" ca="1" si="16"/>
        <v>60 OZ, 24 (16+8)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1373</v>
      </c>
      <c r="BU25" s="103">
        <v>4</v>
      </c>
      <c r="BV25" s="104" t="str">
        <f t="shared" si="13"/>
        <v>Jiří Juhaňák</v>
      </c>
      <c r="BW25" s="102">
        <f t="shared" si="14"/>
        <v>4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>?</v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>?</v>
      </c>
      <c r="E26" s="452"/>
      <c r="F26" s="7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1992</v>
      </c>
      <c r="I26" s="425"/>
      <c r="J26" s="117">
        <f ca="1">IFERROR(VLOOKUP(G25,OFFSET($AG$2,,,COUNTIF($AG$2:$AG$50,"?*"),23),15,FALSE),"")</f>
        <v>29</v>
      </c>
      <c r="K26" s="426" t="str">
        <f ca="1">IFERROR(VLOOKUP(G25,OFFSET($AG$2,,,COUNTIF($AG$2:$AG$50,"?*"),23),16,FALSE),"")</f>
        <v>170/72</v>
      </c>
      <c r="L26" s="427"/>
      <c r="M26" s="448" t="str">
        <f ca="1">IFERROR(IF(VLOOKUP(M23,OFFSET($AG$2,,,COUNTIF($AG$2:$AG$50,"?*"),23),13,FALSE)&lt;&gt;0,VLOOKUP(M23,OFFSET($AG$2,,,COUNTIF($AG$2:$AG$50,"?*"),23),13,FALSE),"?"),"")</f>
        <v>FBŠ Hattrick</v>
      </c>
      <c r="N26" s="449"/>
      <c r="O26" s="450"/>
      <c r="P26" s="451">
        <f ca="1">IFERROR(IF(VLOOKUP(M23,OFFSET($AG$2,,,COUNTIF($AG$2:$AG$50,"?*"),23),14,FALSE)&lt;&gt;0,VLOOKUP(M23,OFFSET($AG$2,,,COUNTIF($AG$2:$AG$50,"?*"),23),14,FALSE),"?"),"")</f>
        <v>2008</v>
      </c>
      <c r="Q26" s="452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709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1146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137</v>
      </c>
      <c r="AQ26" s="123">
        <v>180</v>
      </c>
      <c r="AR26" s="123">
        <v>80</v>
      </c>
      <c r="AS26" s="126" t="s">
        <v>1316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3 OZ, 0 (0+0), -1 ±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1374</v>
      </c>
      <c r="BU26" s="103">
        <v>4</v>
      </c>
      <c r="BV26" s="104" t="str">
        <f t="shared" si="13"/>
        <v>Jonáš Kůra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>13 OZ, 4 (3+1), -18 ±</v>
      </c>
      <c r="H27" s="461"/>
      <c r="I27" s="461"/>
      <c r="J27" s="462" t="str">
        <f ca="1">IFERROR(VLOOKUP(G25,OFFSET($AG$2,,,COUNTIF($AG$2:$AG$50,"?*"),23),19,FALSE),"")</f>
        <v>232 OZ, 105 (57+48)</v>
      </c>
      <c r="K27" s="462"/>
      <c r="L27" s="463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9" t="s">
        <v>39</v>
      </c>
      <c r="BT27" s="104" t="s">
        <v>1143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31" t="s">
        <v>1145</v>
      </c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>TJ Sokol Zlín</v>
      </c>
      <c r="H28" s="449"/>
      <c r="I28" s="450"/>
      <c r="J28" s="451">
        <f ca="1">IFERROR(IF(VLOOKUP(G25,OFFSET($AG$2,,,COUNTIF($AG$2:$AG$50,"?*"),23),14,FALSE)&lt;&gt;0,VLOOKUP(G25,OFFSET($AG$2,,,COUNTIF($AG$2:$AG$50,"?*"),23),14,FALSE),"?"),"")</f>
        <v>2004</v>
      </c>
      <c r="K28" s="452"/>
      <c r="L28" s="7">
        <f ca="1">IFERROR(IF(VLOOKUP(G25,OFFSET($AG$2,,,COUNTIF($AG$2:$AG$50,"?*"),23),7,FALSE)&lt;&gt;0,VLOOKUP(G25,OFFSET($AG$2,,,COUNTIF($AG$2:$AG$50,"?*"),23),7,FALSE),"?"),"")</f>
        <v>12</v>
      </c>
      <c r="M28" s="431" t="s">
        <v>704</v>
      </c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9"/>
      <c r="BT28" s="104" t="s">
        <v>1306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>?</v>
      </c>
      <c r="E29" s="426" t="str">
        <f ca="1">IFERROR(VLOOKUP(A28,OFFSET($AG$2,,,COUNTIF($AG$2:$AG$50,"?*"),23),16,FALSE),"")</f>
        <v>? / ?</v>
      </c>
      <c r="F29" s="427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2004</v>
      </c>
      <c r="O29" s="425"/>
      <c r="P29" s="117">
        <f ca="1">IFERROR(VLOOKUP(M28,OFFSET($AG$2,,,COUNTIF($AG$2:$AG$50,"?*"),23),15,FALSE),"")</f>
        <v>17</v>
      </c>
      <c r="Q29" s="426" t="str">
        <f ca="1">IFERROR(VLOOKUP(M28,OFFSET($AG$2,,,COUNTIF($AG$2:$AG$50,"?*"),23),16,FALSE),"")</f>
        <v>170/65</v>
      </c>
      <c r="R29" s="42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9"/>
      <c r="BT29" s="104" t="s">
        <v>797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60" t="str">
        <f ca="1">IFERROR(VLOOKUP(A28,OFFSET($AG$2,,,COUNTIF($AG$2:$AG$50,"?*"),23),18,FALSE),"")</f>
        <v>3 OZ, 1 (0+1), 0 ±</v>
      </c>
      <c r="B30" s="461"/>
      <c r="C30" s="461"/>
      <c r="D30" s="462" t="str">
        <f ca="1">IFERROR(VLOOKUP(A28,OFFSET($AG$2,,,COUNTIF($AG$2:$AG$50,"?*"),23),19,FALSE),"")</f>
        <v>3 OZ, 1 (0+1)</v>
      </c>
      <c r="E30" s="462"/>
      <c r="F30" s="463"/>
      <c r="H30" s="464" t="str">
        <f>H$8</f>
        <v>HAT</v>
      </c>
      <c r="I30" s="464"/>
      <c r="J30" s="464"/>
      <c r="K30" s="464"/>
      <c r="M30" s="460" t="str">
        <f ca="1">IFERROR(VLOOKUP(M28,OFFSET($AG$2,,,COUNTIF($AG$2:$AG$50,"?*"),23),18,FALSE),"")</f>
        <v>11 OZ, 0 (0+0), -14 ±</v>
      </c>
      <c r="N30" s="461"/>
      <c r="O30" s="461"/>
      <c r="P30" s="462" t="str">
        <f ca="1">IFERROR(VLOOKUP(M28,OFFSET($AG$2,,,COUNTIF($AG$2:$AG$50,"?*"),23),19,FALSE),"")</f>
        <v>11 OZ, 0 (0+0)</v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9"/>
      <c r="BT30" s="104" t="s">
        <v>1307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>?</v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>?</v>
      </c>
      <c r="E31" s="452"/>
      <c r="F31" s="7" t="str">
        <f ca="1">IFERROR(IF(VLOOKUP(A28,OFFSET($AG$2,,,COUNTIF($AG$2:$AG$50,"?*"),23),7,FALSE)&lt;&gt;0,VLOOKUP(A28,OFFSET($AG$2,,,COUNTIF($AG$2:$AG$50,"?*"),23),7,FALSE),"?"),"")</f>
        <v>?</v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>FBŠ Hattrick</v>
      </c>
      <c r="N31" s="449"/>
      <c r="O31" s="450"/>
      <c r="P31" s="451">
        <f ca="1">IFERROR(IF(VLOOKUP(M28,OFFSET($AG$2,,,COUNTIF($AG$2:$AG$50,"?*"),23),14,FALSE)&lt;&gt;0,VLOOKUP(M28,OFFSET($AG$2,,,COUNTIF($AG$2:$AG$50,"?*"),23),14,FALSE),"?"),"")</f>
        <v>2011</v>
      </c>
      <c r="Q31" s="452"/>
      <c r="R31" s="7">
        <f ca="1">IFERROR(IF(VLOOKUP(M28,OFFSET($AG$2,,,COUNTIF($AG$2:$AG$50,"?*"),23),7,FALSE)&lt;&gt;0,VLOOKUP(M28,OFFSET($AG$2,,,COUNTIF($AG$2:$AG$50,"?*"),23),7,FALSE),"?"),"")</f>
        <v>1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9"/>
      <c r="BT31" s="104" t="s">
        <v>1031</v>
      </c>
      <c r="BU31" s="103">
        <v>6</v>
      </c>
      <c r="BV31" s="104" t="str">
        <f t="shared" si="13"/>
        <v>Jakub Procházka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 t="s">
        <v>498</v>
      </c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 t="s">
        <v>710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>?</v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>?</v>
      </c>
      <c r="E35" s="426" t="str">
        <f ca="1">IFERROR(VLOOKUP(A34,OFFSET($AG$2,,,COUNTIF($AG$2:$AG$50,"?*"),23),16,FALSE),"")</f>
        <v>? / ?</v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>P</v>
      </c>
      <c r="K35" s="425">
        <f ca="1">IFERROR(IF(VLOOKUP(J34,OFFSET($AG$2,,,COUNTIF($AG$2:$AG$50,"?*"),23),2,FALSE)&lt;&gt;0,YEAR(VLOOKUP(J34,OFFSET($AG$2,,,COUNTIF($AG$2:$AG$50,"?*"),23),2,FALSE)),""),"")</f>
        <v>1994</v>
      </c>
      <c r="L35" s="433"/>
      <c r="M35" s="118">
        <f ca="1">IFERROR(VLOOKUP(J34,OFFSET($AG$2,,,COUNTIF($AG$2:$AG$50,"?*"),23),15,FALSE),"")</f>
        <v>27</v>
      </c>
      <c r="N35" s="433" t="str">
        <f ca="1">IFERROR(VLOOKUP(J34,OFFSET($AG$2,,,COUNTIF($AG$2:$AG$50,"?*"),23),16,FALSE),"")</f>
        <v>182/75</v>
      </c>
      <c r="O35" s="433"/>
      <c r="P35" s="433" t="str">
        <f ca="1">IFERROR(VLOOKUP(J34,OFFSET($AG$2,,,COUNTIF($AG$2:$AG$50,"?*"),23),18,FALSE),"")</f>
        <v>13 OZ, 9 (8+1), -11 ±</v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8</v>
      </c>
      <c r="B36" s="428" t="str">
        <f ca="1">IFERROR(VLOOKUP(A34,OFFSET($AG$2,,,COUNTIF($AG$2:$AG$50,"?*"),23),18,FALSE),"")</f>
        <v>2 V, 6 P</v>
      </c>
      <c r="C36" s="428"/>
      <c r="D36" s="429">
        <f ca="1">IFERROR(VLOOKUP(A34,OFFSET($S$45,,,COUNTIF($S$45:$S$50,"?*"),14),5,FALSE),"")</f>
        <v>51</v>
      </c>
      <c r="E36" s="430"/>
      <c r="F36" s="17">
        <f ca="1">IFERROR(VLOOKUP(A34,OFFSET($S$45,,,COUNTIF($S$45:$S$50,"?*"),14),14,FALSE),"")</f>
        <v>73.15789473684211</v>
      </c>
      <c r="H36" s="459"/>
      <c r="J36" s="18">
        <f ca="1">IFERROR(IF(VLOOKUP(J34,OFFSET($AG$2,,,COUNTIF($AG$2:$AG$50,"?*"),23),7,FALSE)&lt;&gt;0,VLOOKUP(J34,OFFSET($AG$2,,,COUNTIF($AG$2:$AG$50,"?*"),23),7,FALSE),"?"),"")</f>
        <v>2</v>
      </c>
      <c r="K36" s="435" t="str">
        <f ca="1">IFERROR(VLOOKUP(J34,OFFSET($AG$2,,,COUNTIF($AG$2:$AG$50,"?*"),23),19,FALSE),"")</f>
        <v>36 OZ, 20 (16+4)</v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>ŠK Lido</v>
      </c>
      <c r="O36" s="436"/>
      <c r="P36" s="436"/>
      <c r="Q36" s="435">
        <f ca="1">IFERROR(IF(VLOOKUP(J34,OFFSET($AG$2,,,COUNTIF($AG$2:$AG$50,"?*"),23),14,FALSE)&lt;&gt;0,VLOOKUP(J34,OFFSET($AG$2,,,COUNTIF($AG$2:$AG$50,"?*"),23),14,FALSE),"?"),"")</f>
        <v>2014</v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477.4</v>
      </c>
      <c r="B37" s="454"/>
      <c r="C37" s="455">
        <f ca="1">IFERROR(VLOOKUP(A34,OFFSET($S$45,,,COUNTIF($S$45:$S$50,"?*"),14),13,FALSE),"")</f>
        <v>6.4097193129451195</v>
      </c>
      <c r="D37" s="456"/>
      <c r="E37" s="457" t="str">
        <f ca="1">IFERROR(VLOOKUP(A34,OFFSET($AG$2,,,COUNTIF($AG$2:$AG$50,"?*"),23),19,FALSE),"")</f>
        <v>8 OZ, 0 A</v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>?</v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>?</v>
      </c>
      <c r="E38" s="452"/>
      <c r="F38" s="19">
        <f ca="1">IFERROR(VLOOKUP(A34,OFFSET($S$45,,,COUNTIF($S$45:$S$50,"?*"),14),6,FALSE),"")</f>
        <v>0</v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 t="s">
        <v>709</v>
      </c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4</v>
      </c>
      <c r="B41" s="424">
        <f ca="1">IFERROR(IF(VLOOKUP(A40,OFFSET($AG$2,,,COUNTIF($AG$2:$AG$50,"?*"),23),2,FALSE)&lt;&gt;0,YEAR(VLOOKUP(A40,OFFSET($AG$2,,,COUNTIF($AG$2:$AG$50,"?*"),23),2,FALSE)),""),"")</f>
        <v>2000</v>
      </c>
      <c r="C41" s="425"/>
      <c r="D41" s="117">
        <f ca="1">IFERROR(VLOOKUP(A40,OFFSET($AG$2,,,COUNTIF($AG$2:$AG$50,"?*"),23),15,FALSE),"")</f>
        <v>21</v>
      </c>
      <c r="E41" s="426" t="str">
        <f ca="1">IFERROR(VLOOKUP(A40,OFFSET($AG$2,,,COUNTIF($AG$2:$AG$50,"?*"),23),16,FALSE),"")</f>
        <v>180/81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428" t="str">
        <f ca="1">IFERROR(VLOOKUP(A40,OFFSET($AG$2,,,COUNTIF($AG$2:$AG$50,"?*"),23),18,FALSE),"")</f>
        <v>0 V, 3 P</v>
      </c>
      <c r="C42" s="428"/>
      <c r="D42" s="429">
        <f ca="1">IFERROR(VLOOKUP(A40,OFFSET($S$45,,,COUNTIF($S$45:$S$50,"?*"),14),5,FALSE),"")</f>
        <v>26</v>
      </c>
      <c r="E42" s="430"/>
      <c r="F42" s="17">
        <f ca="1">IFERROR(VLOOKUP(A40,OFFSET($S$45,,,COUNTIF($S$45:$S$50,"?*"),14),14,FALSE),"")</f>
        <v>62.857142857142854</v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>
        <f ca="1">IFERROR(VLOOKUP(A40,OFFSET($S$45,,,COUNTIF($S$45:$S$50,"?*"),14),3,FALSE),"")</f>
        <v>171.53</v>
      </c>
      <c r="B43" s="454"/>
      <c r="C43" s="455">
        <f ca="1">IFERROR(VLOOKUP(A40,OFFSET($S$45,,,COUNTIF($S$45:$S$50,"?*"),14),13,FALSE),"")</f>
        <v>9.0946190170815591</v>
      </c>
      <c r="D43" s="456"/>
      <c r="E43" s="457" t="str">
        <f ca="1">IFERROR(VLOOKUP(A40,OFFSET($AG$2,,,COUNTIF($AG$2:$AG$50,"?*"),23),19,FALSE),"")</f>
        <v>24 OZ, 0 A</v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>FBC Lipník</v>
      </c>
      <c r="B44" s="449"/>
      <c r="C44" s="450"/>
      <c r="D44" s="451">
        <f ca="1">IFERROR(IF(VLOOKUP(A40,OFFSET($AG$2,,,COUNTIF($AG$2:$AG$50,"?*"),23),14,FALSE)&lt;&gt;0,VLOOKUP(A40,OFFSET($AG$2,,,COUNTIF($AG$2:$AG$50,"?*"),23),14,FALSE),"?"),"")</f>
        <v>2011</v>
      </c>
      <c r="E44" s="452"/>
      <c r="F44" s="19">
        <f ca="1">IFERROR(VLOOKUP(A40,OFFSET($S$45,,,COUNTIF($S$45:$S$50,"?*"),14),6,FALSE),"")</f>
        <v>0</v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498</v>
      </c>
      <c r="T45" s="102">
        <v>8</v>
      </c>
      <c r="U45" s="112">
        <v>477.4</v>
      </c>
      <c r="V45" s="102">
        <v>2</v>
      </c>
      <c r="W45" s="102">
        <v>51</v>
      </c>
      <c r="X45" s="102">
        <v>0</v>
      </c>
      <c r="Y45" s="102">
        <v>190</v>
      </c>
      <c r="Z45" s="102">
        <v>0</v>
      </c>
      <c r="AA45" s="102">
        <v>6</v>
      </c>
      <c r="AB45" s="102">
        <v>139</v>
      </c>
      <c r="AC45" s="102">
        <v>0</v>
      </c>
      <c r="AD45" s="102">
        <v>0</v>
      </c>
      <c r="AE45" s="112">
        <f>IF(S45&lt;&gt;"",IF(T45&gt;0,W45/(U45/60),0),"")</f>
        <v>6.4097193129451195</v>
      </c>
      <c r="AF45" s="112">
        <f>IF(S45&lt;&gt;"",IF(Y45&gt;0,(AB45/Y45)*100,"-"),"")</f>
        <v>73.15789473684211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698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 t="s">
        <v>1321</v>
      </c>
      <c r="B47" s="421"/>
      <c r="C47" s="421"/>
      <c r="D47" s="421"/>
      <c r="E47" s="422" t="str">
        <f ca="1">IFERROR(VLOOKUP(A47,OFFSET($BN$2,,,COUNTIF($BN$2:$BN$11,"?*"),5),3,FALSE),"")</f>
        <v>hlavní trenér</v>
      </c>
      <c r="F47" s="422"/>
      <c r="G47" s="422"/>
      <c r="H47" s="422"/>
      <c r="I47" s="423"/>
      <c r="J47" s="420" t="s">
        <v>1322</v>
      </c>
      <c r="K47" s="421"/>
      <c r="L47" s="421"/>
      <c r="M47" s="421"/>
      <c r="N47" s="422" t="str">
        <f ca="1">IFERROR(VLOOKUP(J47,OFFSET($BN$2,,,COUNTIF($BN$2:$BN$11,"?*"),5),3,FALSE),"")</f>
        <v>asistent trenéra</v>
      </c>
      <c r="O47" s="422"/>
      <c r="P47" s="422"/>
      <c r="Q47" s="422"/>
      <c r="R47" s="423"/>
      <c r="S47" s="111" t="s">
        <v>709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3"/>
        <v>9.0946190170815591</v>
      </c>
      <c r="AF47" s="112">
        <f t="shared" si="24"/>
        <v>62.857142857142854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>
        <f ca="1">IFERROR(VLOOKUP(A47,OFFSET($BN$2,,,COUNTIF($BN$2:$BN$11,"?*"),5),5,FALSE),"")</f>
        <v>34</v>
      </c>
      <c r="B48" s="440" t="str">
        <f ca="1">IFERROR(IF(VLOOKUP(A47,OFFSET($BN$2,,,COUNTIF($BN$2:$BN$11,"?*"),5),4,FALSE)&lt;&gt;0,VLOOKUP(A47,OFFSET($BN$2,,,COUNTIF($BN$2:$BN$11,"?*"),5),4,FALSE),"-"),"")</f>
        <v>postup do Superligy</v>
      </c>
      <c r="C48" s="440"/>
      <c r="D48" s="440"/>
      <c r="E48" s="440"/>
      <c r="F48" s="440"/>
      <c r="G48" s="440"/>
      <c r="H48" s="440"/>
      <c r="I48" s="441"/>
      <c r="J48" s="119">
        <f ca="1">IFERROR(VLOOKUP(J47,OFFSET($BN$2,,,COUNTIF($BN$2:$BN$11,"?*"),5),5,FALSE),"")</f>
        <v>28</v>
      </c>
      <c r="K48" s="444" t="str">
        <f ca="1">IFERROR(IF(VLOOKUP(J47,OFFSET($BN$2,,,COUNTIF($BN$2:$BN$11,"?*"),5),4,FALSE)&lt;&gt;0,VLOOKUP(J47,OFFSET($BN$2,,,COUNTIF($BN$2:$BN$11,"?*"),5),4,FALSE),"-"),"")</f>
        <v>postup do Superligy</v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 t="s">
        <v>1327</v>
      </c>
      <c r="K49" s="447"/>
      <c r="L49" s="447"/>
      <c r="M49" s="447"/>
      <c r="N49" s="422" t="str">
        <f ca="1">IFERROR(VLOOKUP(J49,OFFSET($BN$2,,,COUNTIF($BN$2:$BN$11,"?*"),5),3,FALSE),"")</f>
        <v>vedoucí</v>
      </c>
      <c r="O49" s="422"/>
      <c r="P49" s="422"/>
      <c r="Q49" s="422"/>
      <c r="R49" s="42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>
        <f ca="1">IFERROR(VLOOKUP(J49,OFFSET($BN$2,,,COUNTIF($BN$2:$BN$11,"?*"),5),5,FALSE),"")</f>
        <v>28</v>
      </c>
      <c r="K50" s="444" t="str">
        <f ca="1">IFERROR(IF(VLOOKUP(J49,OFFSET($BN$2,,,COUNTIF($BN$2:$BN$11,"?*"),5),4,FALSE)&lt;&gt;0,VLOOKUP(J49,OFFSET($BN$2,,,COUNTIF($BN$2:$BN$11,"?*"),5),4,FALSE),"-"),"")</f>
        <v>-</v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22" priority="11" stopIfTrue="1" operator="equal">
      <formula>"OTR"</formula>
    </cfRule>
    <cfRule type="cellIs" dxfId="521" priority="12" stopIfTrue="1" operator="equal">
      <formula>"PAR"</formula>
    </cfRule>
    <cfRule type="cellIs" dxfId="520" priority="13" stopIfTrue="1" operator="equal">
      <formula>"CLP"</formula>
    </cfRule>
    <cfRule type="cellIs" dxfId="519" priority="14" stopIfTrue="1" operator="equal">
      <formula>"HAT"</formula>
    </cfRule>
    <cfRule type="cellIs" dxfId="518" priority="15" stopIfTrue="1" operator="equal">
      <formula>"LIB"</formula>
    </cfRule>
    <cfRule type="cellIs" dxfId="517" priority="16" stopIfTrue="1" operator="equal">
      <formula>"BA"</formula>
    </cfRule>
    <cfRule type="cellIs" dxfId="516" priority="17" stopIfTrue="1" operator="equal">
      <formula>"SPA"</formula>
    </cfRule>
    <cfRule type="cellIs" dxfId="515" priority="18" stopIfTrue="1" operator="equal">
      <formula>"OST"</formula>
    </cfRule>
    <cfRule type="cellIs" dxfId="514" priority="19" stopIfTrue="1" operator="equal">
      <formula>"BOH"</formula>
    </cfRule>
    <cfRule type="cellIs" dxfId="513" priority="20" stopIfTrue="1" operator="equal">
      <formula>"TAT"</formula>
    </cfRule>
    <cfRule type="cellIs" dxfId="512" priority="21" stopIfTrue="1" operator="equal">
      <formula>"MB"</formula>
    </cfRule>
    <cfRule type="cellIs" dxfId="511" priority="22" stopIfTrue="1" operator="equal">
      <formula>"VIT"</formula>
    </cfRule>
    <cfRule type="cellIs" dxfId="510" priority="23" stopIfTrue="1" operator="equal">
      <formula>"CHO"</formula>
    </cfRule>
    <cfRule type="cellIs" dxfId="509" priority="24" stopIfTrue="1" operator="equal">
      <formula>"SKV"</formula>
    </cfRule>
  </conditionalFormatting>
  <conditionalFormatting sqref="H19:K20">
    <cfRule type="cellIs" dxfId="508" priority="39" stopIfTrue="1" operator="equal">
      <formula>"OTR"</formula>
    </cfRule>
    <cfRule type="cellIs" dxfId="507" priority="40" stopIfTrue="1" operator="equal">
      <formula>"PAR"</formula>
    </cfRule>
    <cfRule type="cellIs" dxfId="506" priority="41" stopIfTrue="1" operator="equal">
      <formula>"CLP"</formula>
    </cfRule>
    <cfRule type="cellIs" dxfId="505" priority="42" stopIfTrue="1" operator="equal">
      <formula>"HAT"</formula>
    </cfRule>
    <cfRule type="cellIs" dxfId="504" priority="43" stopIfTrue="1" operator="equal">
      <formula>"LIB"</formula>
    </cfRule>
    <cfRule type="cellIs" dxfId="503" priority="44" stopIfTrue="1" operator="equal">
      <formula>"BA"</formula>
    </cfRule>
    <cfRule type="cellIs" dxfId="502" priority="45" stopIfTrue="1" operator="equal">
      <formula>"SPA"</formula>
    </cfRule>
    <cfRule type="cellIs" dxfId="501" priority="46" stopIfTrue="1" operator="equal">
      <formula>"OST"</formula>
    </cfRule>
    <cfRule type="cellIs" dxfId="500" priority="47" stopIfTrue="1" operator="equal">
      <formula>"BOH"</formula>
    </cfRule>
    <cfRule type="cellIs" dxfId="499" priority="48" stopIfTrue="1" operator="equal">
      <formula>"TAT"</formula>
    </cfRule>
    <cfRule type="cellIs" dxfId="498" priority="49" stopIfTrue="1" operator="equal">
      <formula>"MB"</formula>
    </cfRule>
    <cfRule type="cellIs" dxfId="497" priority="50" stopIfTrue="1" operator="equal">
      <formula>"VIT"</formula>
    </cfRule>
    <cfRule type="cellIs" dxfId="496" priority="51" stopIfTrue="1" operator="equal">
      <formula>"CHO"</formula>
    </cfRule>
    <cfRule type="cellIs" dxfId="495" priority="52" stopIfTrue="1" operator="equal">
      <formula>"SKV"</formula>
    </cfRule>
  </conditionalFormatting>
  <conditionalFormatting sqref="H8:K9">
    <cfRule type="cellIs" dxfId="494" priority="25" stopIfTrue="1" operator="equal">
      <formula>"OTR"</formula>
    </cfRule>
    <cfRule type="cellIs" dxfId="493" priority="26" stopIfTrue="1" operator="equal">
      <formula>"PAR"</formula>
    </cfRule>
    <cfRule type="cellIs" dxfId="492" priority="27" stopIfTrue="1" operator="equal">
      <formula>"CLP"</formula>
    </cfRule>
    <cfRule type="cellIs" dxfId="491" priority="28" stopIfTrue="1" operator="equal">
      <formula>"HAT"</formula>
    </cfRule>
    <cfRule type="cellIs" dxfId="490" priority="29" stopIfTrue="1" operator="equal">
      <formula>"LIB"</formula>
    </cfRule>
    <cfRule type="cellIs" dxfId="489" priority="30" stopIfTrue="1" operator="equal">
      <formula>"BA"</formula>
    </cfRule>
    <cfRule type="cellIs" dxfId="488" priority="31" stopIfTrue="1" operator="equal">
      <formula>"SPA"</formula>
    </cfRule>
    <cfRule type="cellIs" dxfId="487" priority="32" stopIfTrue="1" operator="equal">
      <formula>"OST"</formula>
    </cfRule>
    <cfRule type="cellIs" dxfId="486" priority="33" stopIfTrue="1" operator="equal">
      <formula>"BOH"</formula>
    </cfRule>
    <cfRule type="cellIs" dxfId="485" priority="34" stopIfTrue="1" operator="equal">
      <formula>"TAT"</formula>
    </cfRule>
    <cfRule type="cellIs" dxfId="484" priority="35" stopIfTrue="1" operator="equal">
      <formula>"MB"</formula>
    </cfRule>
    <cfRule type="cellIs" dxfId="483" priority="36" stopIfTrue="1" operator="equal">
      <formula>"VIT"</formula>
    </cfRule>
    <cfRule type="cellIs" dxfId="482" priority="37" stopIfTrue="1" operator="equal">
      <formula>"CHO"</formula>
    </cfRule>
    <cfRule type="cellIs" dxfId="481" priority="38" stopIfTrue="1" operator="equal">
      <formula>"SKV"</formula>
    </cfRule>
  </conditionalFormatting>
  <conditionalFormatting sqref="S2:S42">
    <cfRule type="expression" dxfId="480" priority="9" stopIfTrue="1">
      <formula>IFERROR(IF(VLOOKUP($S2,OFFSET($AG$2,,,COUNTIF($AG$2:$AG$50,"?*")),1,FALSE)&lt;&gt;0,1,0),0)&gt;0</formula>
    </cfRule>
  </conditionalFormatting>
  <conditionalFormatting sqref="S2:S42">
    <cfRule type="expression" dxfId="479" priority="10">
      <formula>IFERROR(IF(VLOOKUP($S2,OFFSET($AG$2,,,COUNTIF($AG$2:$AG$50,"?*")),1,FALSE)&lt;&gt;0,1,0),0)=0</formula>
    </cfRule>
  </conditionalFormatting>
  <conditionalFormatting sqref="S45:S50">
    <cfRule type="expression" dxfId="478" priority="8">
      <formula>IFERROR(IF(VLOOKUP($S45,OFFSET($AG$2,,,COUNTIF($AG$2:$AG$50,"?*")),1,FALSE)&lt;&gt;0,1,0),0)&gt;0</formula>
    </cfRule>
  </conditionalFormatting>
  <conditionalFormatting sqref="S45:S50">
    <cfRule type="expression" dxfId="477" priority="7">
      <formula>IFERROR(IF(VLOOKUP($S45,OFFSET($AG$2,,,COUNTIF($AG$2:$AG$50,"?*")),1,FALSE)&lt;&gt;0,1,0),0)=0</formula>
    </cfRule>
  </conditionalFormatting>
  <conditionalFormatting sqref="AG2:AG50">
    <cfRule type="expression" dxfId="476" priority="4" stopIfTrue="1">
      <formula>OR($AH2="",$AI2="",$AJ2="",$AK2="",$AL2="",$AM2="",$AN2="",$AQ2="",$AR2="",$AS2="",$AT2="")</formula>
    </cfRule>
    <cfRule type="expression" dxfId="475" priority="5" stopIfTrue="1">
      <formula>IFERROR(IF(VLOOKUP($AG2,OFFSET($S$2,,,COUNTIF($S$2:$S$42,"?*")),1,FALSE)&lt;&gt;0,1,0),0)=0</formula>
    </cfRule>
    <cfRule type="expression" dxfId="474" priority="6">
      <formula>IFERROR(IF(VLOOKUP($AG2,OFFSET($S$2,,,COUNTIF($S$2:$S$42,"?*")),1,FALSE)&lt;&gt;0,1,0),0)&gt;0</formula>
    </cfRule>
  </conditionalFormatting>
  <conditionalFormatting sqref="AG2:AK50 AM2:BC50">
    <cfRule type="expression" dxfId="473" priority="3">
      <formula>AND($AG2&lt;&gt;"",MOD(ROW($AG2),2)=0)</formula>
    </cfRule>
  </conditionalFormatting>
  <conditionalFormatting sqref="BN2:BR11">
    <cfRule type="expression" dxfId="472" priority="2">
      <formula>AND($BN2&lt;&gt;"",MOD(ROW($BN2),2)=0)</formula>
    </cfRule>
  </conditionalFormatting>
  <conditionalFormatting sqref="AL2:AL50">
    <cfRule type="expression" dxfId="47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X4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252</v>
      </c>
      <c r="T2" s="102" t="s">
        <v>107</v>
      </c>
      <c r="U2" s="102">
        <v>13</v>
      </c>
      <c r="V2" s="102">
        <v>15</v>
      </c>
      <c r="W2" s="102">
        <v>0</v>
      </c>
      <c r="X2" s="102">
        <v>2</v>
      </c>
      <c r="Y2" s="102">
        <v>15</v>
      </c>
      <c r="Z2" s="102">
        <v>30</v>
      </c>
      <c r="AA2" s="102">
        <v>2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261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282</v>
      </c>
      <c r="AT2" s="123">
        <v>2002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13 (7+6), +9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221 OZ, 190 (100+90)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298</v>
      </c>
      <c r="BO2" s="122">
        <v>31582</v>
      </c>
      <c r="BP2" s="131" t="s">
        <v>236</v>
      </c>
      <c r="BQ2" s="132" t="s">
        <v>299</v>
      </c>
      <c r="BR2" s="127">
        <f ca="1">IF(BN2&lt;&gt;"",IF(BO2&lt;&gt;"",INT((TODAY()-BO2)/365),"?"),"")</f>
        <v>35</v>
      </c>
      <c r="BS2" s="419" t="s">
        <v>36</v>
      </c>
      <c r="BT2" s="104" t="s">
        <v>761</v>
      </c>
      <c r="BU2" s="103">
        <v>30</v>
      </c>
      <c r="BV2" s="104" t="str">
        <f>IFERROR(RIGHT(BT2,LEN(BT2)-SEARCH(" ",BT2)),"")</f>
        <v>Marek Vávra</v>
      </c>
      <c r="BW2" s="102">
        <f>IF(BT2&lt;&gt;0,_xlfn.NUMBERVALUE(BU2,","),"")</f>
        <v>30</v>
      </c>
      <c r="BX2" s="418" t="s">
        <v>192</v>
      </c>
      <c r="BY2" s="103" t="s">
        <v>1021</v>
      </c>
      <c r="BZ2" s="103" t="s">
        <v>821</v>
      </c>
      <c r="CA2" s="115" t="s">
        <v>760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255</v>
      </c>
      <c r="T3" s="102" t="s">
        <v>107</v>
      </c>
      <c r="U3" s="102">
        <v>13</v>
      </c>
      <c r="V3" s="102">
        <v>15</v>
      </c>
      <c r="W3" s="102">
        <v>3</v>
      </c>
      <c r="X3" s="102">
        <v>0</v>
      </c>
      <c r="Y3" s="102">
        <v>15</v>
      </c>
      <c r="Z3" s="102">
        <v>30</v>
      </c>
      <c r="AA3" s="102">
        <v>2</v>
      </c>
      <c r="AB3" s="102">
        <v>16</v>
      </c>
      <c r="AC3" s="102" t="str">
        <f t="shared" ca="1" si="0"/>
        <v>ANO</v>
      </c>
      <c r="AG3" s="121" t="s">
        <v>269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4 OZ, 1 (0+1), +1 ±</v>
      </c>
      <c r="AY3" s="129" t="str">
        <f t="shared" ca="1" si="2"/>
        <v>63 OZ, 10 (1+9)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300</v>
      </c>
      <c r="BO3" s="122">
        <v>26801</v>
      </c>
      <c r="BP3" s="131" t="s">
        <v>237</v>
      </c>
      <c r="BQ3" s="132" t="s">
        <v>301</v>
      </c>
      <c r="BR3" s="127">
        <f t="shared" ref="BR3:BR11" ca="1" si="12">IF(BN3&lt;&gt;"",IF(BO3&lt;&gt;"",INT((TODAY()-BO3)/365),"?"),"")</f>
        <v>48</v>
      </c>
      <c r="BS3" s="419"/>
      <c r="BT3" s="104" t="s">
        <v>852</v>
      </c>
      <c r="BU3" s="103">
        <v>30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30</v>
      </c>
      <c r="BX3" s="418"/>
      <c r="BY3" s="103" t="s">
        <v>1343</v>
      </c>
      <c r="BZ3" s="103" t="s">
        <v>819</v>
      </c>
      <c r="CA3" s="115" t="s">
        <v>1207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258</v>
      </c>
      <c r="T4" s="102" t="s">
        <v>107</v>
      </c>
      <c r="U4" s="102">
        <v>12</v>
      </c>
      <c r="V4" s="102">
        <v>9</v>
      </c>
      <c r="W4" s="102">
        <v>5</v>
      </c>
      <c r="X4" s="102">
        <v>0</v>
      </c>
      <c r="Y4" s="102">
        <v>11</v>
      </c>
      <c r="Z4" s="102">
        <v>20</v>
      </c>
      <c r="AA4" s="102">
        <v>2</v>
      </c>
      <c r="AB4" s="102">
        <v>9</v>
      </c>
      <c r="AC4" s="102" t="str">
        <f t="shared" ca="1" si="0"/>
        <v>ANO</v>
      </c>
      <c r="AG4" s="121" t="s">
        <v>270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10 OZ, 3 (2+1), +1 ±</v>
      </c>
      <c r="AY4" s="129" t="str">
        <f t="shared" ca="1" si="2"/>
        <v>19 OZ, 3 (2+1)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280</v>
      </c>
      <c r="BO4" s="122">
        <v>28909</v>
      </c>
      <c r="BP4" s="131" t="s">
        <v>237</v>
      </c>
      <c r="BQ4" s="132" t="s">
        <v>302</v>
      </c>
      <c r="BR4" s="127">
        <f t="shared" ca="1" si="12"/>
        <v>42</v>
      </c>
      <c r="BS4" s="419"/>
      <c r="BT4" s="104" t="s">
        <v>1154</v>
      </c>
      <c r="BU4" s="103">
        <v>20</v>
      </c>
      <c r="BV4" s="104" t="str">
        <f t="shared" si="13"/>
        <v>Tom Ondrušek</v>
      </c>
      <c r="BW4" s="102">
        <f t="shared" si="14"/>
        <v>20</v>
      </c>
      <c r="BX4" s="418"/>
      <c r="BY4" s="103" t="s">
        <v>841</v>
      </c>
      <c r="BZ4" s="103" t="s">
        <v>844</v>
      </c>
      <c r="CA4" s="115" t="s">
        <v>1151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251</v>
      </c>
      <c r="T5" s="102" t="s">
        <v>107</v>
      </c>
      <c r="U5" s="102">
        <v>13</v>
      </c>
      <c r="V5" s="102">
        <v>12</v>
      </c>
      <c r="W5" s="102">
        <v>1</v>
      </c>
      <c r="X5" s="102">
        <v>0</v>
      </c>
      <c r="Y5" s="102">
        <v>5</v>
      </c>
      <c r="Z5" s="102">
        <v>17</v>
      </c>
      <c r="AA5" s="102">
        <v>8</v>
      </c>
      <c r="AB5" s="102">
        <v>3</v>
      </c>
      <c r="AC5" s="102" t="str">
        <f t="shared" ca="1" si="0"/>
        <v>NE</v>
      </c>
      <c r="AG5" s="121" t="s">
        <v>259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283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13 OZ, 14 (10+4), +14 ±</v>
      </c>
      <c r="AY5" s="129" t="str">
        <f t="shared" ca="1" si="2"/>
        <v>59 OZ, 39 (27+12)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303</v>
      </c>
      <c r="BO5" s="122">
        <v>31168</v>
      </c>
      <c r="BP5" s="131" t="s">
        <v>304</v>
      </c>
      <c r="BQ5" s="132" t="s">
        <v>305</v>
      </c>
      <c r="BR5" s="127">
        <f t="shared" ca="1" si="12"/>
        <v>36</v>
      </c>
      <c r="BS5" s="419"/>
      <c r="BT5" s="104" t="s">
        <v>1035</v>
      </c>
      <c r="BU5" s="103">
        <v>17</v>
      </c>
      <c r="BV5" s="104" t="str">
        <f t="shared" si="13"/>
        <v>Mikuláš Komárek</v>
      </c>
      <c r="BW5" s="102">
        <f t="shared" si="14"/>
        <v>17</v>
      </c>
      <c r="BX5" s="418"/>
      <c r="BY5" s="103" t="s">
        <v>822</v>
      </c>
      <c r="BZ5" s="103" t="s">
        <v>812</v>
      </c>
      <c r="CA5" s="115" t="s">
        <v>1152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259</v>
      </c>
      <c r="T6" s="102" t="s">
        <v>107</v>
      </c>
      <c r="U6" s="102">
        <v>13</v>
      </c>
      <c r="V6" s="102">
        <v>10</v>
      </c>
      <c r="W6" s="102">
        <v>0</v>
      </c>
      <c r="X6" s="102">
        <v>1</v>
      </c>
      <c r="Y6" s="102">
        <v>4</v>
      </c>
      <c r="Z6" s="102">
        <v>14</v>
      </c>
      <c r="AA6" s="102">
        <v>4</v>
      </c>
      <c r="AB6" s="102">
        <v>14</v>
      </c>
      <c r="AC6" s="102" t="str">
        <f t="shared" ca="1" si="0"/>
        <v>ANO</v>
      </c>
      <c r="AG6" s="121" t="s">
        <v>271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284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7 V, 3 P</v>
      </c>
      <c r="AY6" s="129" t="str">
        <f t="shared" ca="1" si="2"/>
        <v>21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306</v>
      </c>
      <c r="BO6" s="122">
        <v>32514</v>
      </c>
      <c r="BP6" s="131" t="s">
        <v>307</v>
      </c>
      <c r="BQ6" s="132" t="s">
        <v>308</v>
      </c>
      <c r="BR6" s="127">
        <f t="shared" ca="1" si="12"/>
        <v>32</v>
      </c>
      <c r="BS6" s="419"/>
      <c r="BT6" s="104" t="s">
        <v>1155</v>
      </c>
      <c r="BU6" s="103">
        <v>14</v>
      </c>
      <c r="BV6" s="104" t="str">
        <f t="shared" si="13"/>
        <v>Daniel Eremiáš</v>
      </c>
      <c r="BW6" s="102">
        <f t="shared" si="14"/>
        <v>14</v>
      </c>
      <c r="BX6" s="418"/>
      <c r="BY6" s="103" t="s">
        <v>820</v>
      </c>
      <c r="BZ6" s="103" t="s">
        <v>851</v>
      </c>
      <c r="CA6" s="115" t="s">
        <v>1153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261</v>
      </c>
      <c r="T7" s="102" t="s">
        <v>58</v>
      </c>
      <c r="U7" s="102">
        <v>13</v>
      </c>
      <c r="V7" s="102">
        <v>7</v>
      </c>
      <c r="W7" s="102">
        <v>2</v>
      </c>
      <c r="X7" s="102">
        <v>0</v>
      </c>
      <c r="Y7" s="102">
        <v>6</v>
      </c>
      <c r="Z7" s="102">
        <v>13</v>
      </c>
      <c r="AA7" s="102">
        <v>8</v>
      </c>
      <c r="AB7" s="102">
        <v>9</v>
      </c>
      <c r="AC7" s="102" t="str">
        <f t="shared" ca="1" si="0"/>
        <v>ANO</v>
      </c>
      <c r="AG7" s="121" t="s">
        <v>272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285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12 OZ, 1 (0+1), -5 ±</v>
      </c>
      <c r="AY7" s="129" t="str">
        <f t="shared" ca="1" si="2"/>
        <v>35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1034</v>
      </c>
      <c r="BU7" s="103" t="s">
        <v>1377</v>
      </c>
      <c r="BV7" s="104" t="str">
        <f t="shared" si="13"/>
        <v>Karel Hodík</v>
      </c>
      <c r="BW7" s="112">
        <f t="shared" si="14"/>
        <v>5</v>
      </c>
      <c r="BX7" s="418" t="s">
        <v>193</v>
      </c>
      <c r="BY7" s="103" t="s">
        <v>1100</v>
      </c>
      <c r="BZ7" s="103" t="s">
        <v>828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24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257</v>
      </c>
      <c r="T8" s="102" t="s">
        <v>107</v>
      </c>
      <c r="U8" s="102">
        <v>13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3</v>
      </c>
      <c r="AC8" s="102" t="str">
        <f t="shared" ca="1" si="0"/>
        <v>NE</v>
      </c>
      <c r="AG8" s="121" t="s">
        <v>273</v>
      </c>
      <c r="AH8" s="122"/>
      <c r="AI8" s="123"/>
      <c r="AJ8" s="123"/>
      <c r="AK8" s="123"/>
      <c r="AL8" s="124">
        <f>IF(AG8&lt;&gt;"",AJ8+AK8,"")</f>
        <v>0</v>
      </c>
      <c r="AM8" s="123" t="s">
        <v>281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1378</v>
      </c>
      <c r="BU8" s="103" t="s">
        <v>1379</v>
      </c>
      <c r="BV8" s="104" t="str">
        <f t="shared" si="13"/>
        <v>Karel Pergler</v>
      </c>
      <c r="BW8" s="112">
        <f t="shared" si="14"/>
        <v>3.33</v>
      </c>
      <c r="BX8" s="418"/>
      <c r="BY8" s="103" t="s">
        <v>1112</v>
      </c>
      <c r="BZ8" s="103" t="s">
        <v>827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256</v>
      </c>
      <c r="T9" s="102" t="s">
        <v>107</v>
      </c>
      <c r="U9" s="102">
        <v>13</v>
      </c>
      <c r="V9" s="102">
        <v>7</v>
      </c>
      <c r="W9" s="102">
        <v>0</v>
      </c>
      <c r="X9" s="102">
        <v>0</v>
      </c>
      <c r="Y9" s="102">
        <v>2</v>
      </c>
      <c r="Z9" s="102">
        <v>9</v>
      </c>
      <c r="AA9" s="102">
        <v>2</v>
      </c>
      <c r="AB9" s="102">
        <v>-3</v>
      </c>
      <c r="AC9" s="102" t="str">
        <f t="shared" ca="1" si="0"/>
        <v>ANO</v>
      </c>
      <c r="AG9" s="121" t="s">
        <v>274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286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1380</v>
      </c>
      <c r="BU9" s="103" t="s">
        <v>853</v>
      </c>
      <c r="BV9" s="104" t="str">
        <f t="shared" si="13"/>
        <v>Vojtěch Šimůnek</v>
      </c>
      <c r="BW9" s="112">
        <f t="shared" si="14"/>
        <v>5.64</v>
      </c>
      <c r="BX9" s="418"/>
      <c r="BY9" s="103" t="s">
        <v>1150</v>
      </c>
      <c r="BZ9" s="103" t="s">
        <v>826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268</v>
      </c>
      <c r="T10" s="102" t="s">
        <v>107</v>
      </c>
      <c r="U10" s="102">
        <v>13</v>
      </c>
      <c r="V10" s="102">
        <v>6</v>
      </c>
      <c r="W10" s="102">
        <v>0</v>
      </c>
      <c r="X10" s="102">
        <v>0</v>
      </c>
      <c r="Y10" s="102">
        <v>3</v>
      </c>
      <c r="Z10" s="102">
        <v>9</v>
      </c>
      <c r="AA10" s="102">
        <v>0</v>
      </c>
      <c r="AB10" s="102">
        <v>9</v>
      </c>
      <c r="AC10" s="102" t="str">
        <f t="shared" ca="1" si="0"/>
        <v>ANO</v>
      </c>
      <c r="AG10" s="121" t="s">
        <v>275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1344</v>
      </c>
      <c r="BZ10" s="103" t="s">
        <v>816</v>
      </c>
      <c r="CA10" s="115" t="s">
        <v>188</v>
      </c>
    </row>
    <row r="11" spans="1:79" ht="15" customHeight="1" thickTop="1" thickBot="1" x14ac:dyDescent="0.25">
      <c r="R11" s="13"/>
      <c r="S11" s="110" t="s">
        <v>265</v>
      </c>
      <c r="T11" s="102" t="s">
        <v>58</v>
      </c>
      <c r="U11" s="102">
        <v>13</v>
      </c>
      <c r="V11" s="102">
        <v>1</v>
      </c>
      <c r="W11" s="102">
        <v>0</v>
      </c>
      <c r="X11" s="102">
        <v>0</v>
      </c>
      <c r="Y11" s="102">
        <v>5</v>
      </c>
      <c r="Z11" s="102">
        <v>6</v>
      </c>
      <c r="AA11" s="102">
        <v>4</v>
      </c>
      <c r="AB11" s="102">
        <v>12</v>
      </c>
      <c r="AC11" s="102" t="str">
        <f t="shared" ca="1" si="0"/>
        <v>ANO</v>
      </c>
      <c r="AG11" s="121" t="s">
        <v>276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287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815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260</v>
      </c>
      <c r="T12" s="102" t="s">
        <v>58</v>
      </c>
      <c r="U12" s="102">
        <v>12</v>
      </c>
      <c r="V12" s="102">
        <v>1</v>
      </c>
      <c r="W12" s="102">
        <v>0</v>
      </c>
      <c r="X12" s="102">
        <v>0</v>
      </c>
      <c r="Y12" s="102">
        <v>4</v>
      </c>
      <c r="Z12" s="102">
        <v>5</v>
      </c>
      <c r="AA12" s="102">
        <v>6</v>
      </c>
      <c r="AB12" s="102">
        <v>10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288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761</v>
      </c>
      <c r="BU12" s="103">
        <v>15</v>
      </c>
      <c r="BV12" s="104" t="str">
        <f t="shared" si="13"/>
        <v>Marek Vávra</v>
      </c>
      <c r="BW12" s="102">
        <f t="shared" si="14"/>
        <v>15</v>
      </c>
      <c r="BX12" s="120" t="s">
        <v>191</v>
      </c>
      <c r="BY12" s="100" t="s">
        <v>1376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270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1</v>
      </c>
      <c r="AC13" s="102" t="str">
        <f t="shared" ca="1" si="0"/>
        <v>ANO</v>
      </c>
      <c r="AG13" s="121" t="s">
        <v>255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289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13 OZ, 30 (15+15), +16 ±</v>
      </c>
      <c r="AY13" s="129" t="str">
        <f t="shared" ca="1" si="2"/>
        <v>53 OZ, 95 (55+40)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852</v>
      </c>
      <c r="BU13" s="103">
        <v>15</v>
      </c>
      <c r="BV13" s="104" t="str">
        <f t="shared" si="13"/>
        <v>Petr Majer</v>
      </c>
      <c r="BW13" s="102">
        <f t="shared" si="14"/>
        <v>15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254</v>
      </c>
      <c r="T14" s="102" t="s">
        <v>107</v>
      </c>
      <c r="U14" s="102">
        <v>12</v>
      </c>
      <c r="V14" s="102">
        <v>2</v>
      </c>
      <c r="W14" s="102">
        <v>0</v>
      </c>
      <c r="X14" s="102">
        <v>0</v>
      </c>
      <c r="Y14" s="102">
        <v>1</v>
      </c>
      <c r="Z14" s="102">
        <v>3</v>
      </c>
      <c r="AA14" s="102">
        <v>0</v>
      </c>
      <c r="AB14" s="102">
        <v>-2</v>
      </c>
      <c r="AC14" s="102" t="str">
        <f t="shared" ca="1" si="0"/>
        <v>ANO</v>
      </c>
      <c r="AG14" s="121" t="s">
        <v>268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290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13 OZ, 9 (6+3), +9 ±</v>
      </c>
      <c r="AY14" s="129" t="str">
        <f t="shared" ca="1" si="2"/>
        <v>107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762</v>
      </c>
      <c r="BU14" s="103">
        <v>12</v>
      </c>
      <c r="BV14" s="104" t="str">
        <f t="shared" si="13"/>
        <v>Mikuláš Komárek</v>
      </c>
      <c r="BW14" s="102">
        <f t="shared" si="14"/>
        <v>12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267</v>
      </c>
      <c r="T15" s="102" t="s">
        <v>107</v>
      </c>
      <c r="U15" s="102">
        <v>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5</v>
      </c>
      <c r="AC15" s="102" t="str">
        <f t="shared" ca="1" si="0"/>
        <v>NE</v>
      </c>
      <c r="AG15" s="121" t="s">
        <v>277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291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1156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253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1</v>
      </c>
      <c r="AC16" s="102" t="str">
        <f t="shared" ca="1" si="0"/>
        <v>ANO</v>
      </c>
      <c r="AG16" s="121" t="s">
        <v>258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292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12 OZ, 20 (9+11), +9 ±</v>
      </c>
      <c r="AY16" s="129" t="str">
        <f t="shared" ca="1" si="2"/>
        <v>252 OZ, 543 (331+212)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1157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763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281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1034</v>
      </c>
      <c r="BU17" s="103">
        <v>7</v>
      </c>
      <c r="BV17" s="104" t="str">
        <f t="shared" si="13"/>
        <v>Karel Hodík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269</v>
      </c>
      <c r="T18" s="102" t="s">
        <v>58</v>
      </c>
      <c r="U18" s="102">
        <v>4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1</v>
      </c>
      <c r="AC18" s="102" t="str">
        <f t="shared" ca="1" si="0"/>
        <v>ANO</v>
      </c>
      <c r="AG18" s="121" t="s">
        <v>262</v>
      </c>
      <c r="AH18" s="122"/>
      <c r="AI18" s="123"/>
      <c r="AJ18" s="123"/>
      <c r="AK18" s="123"/>
      <c r="AL18" s="124">
        <f>IF(AG18&lt;&gt;"",AJ18+AK18,"")</f>
        <v>0</v>
      </c>
      <c r="AM18" s="123" t="s">
        <v>281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1378</v>
      </c>
      <c r="BU18" s="103">
        <v>1</v>
      </c>
      <c r="BV18" s="104" t="str">
        <f t="shared" si="13"/>
        <v>Karel Pergler</v>
      </c>
      <c r="BW18" s="102">
        <f t="shared" si="14"/>
        <v>1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CHO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264</v>
      </c>
      <c r="T19" s="102" t="s">
        <v>107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-1</v>
      </c>
      <c r="AC19" s="102" t="str">
        <f t="shared" ca="1" si="0"/>
        <v>ANO</v>
      </c>
      <c r="AG19" s="121" t="s">
        <v>264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293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1380</v>
      </c>
      <c r="BU19" s="103">
        <v>1</v>
      </c>
      <c r="BV19" s="104" t="str">
        <f t="shared" si="13"/>
        <v>Vojtěch Šimůnek</v>
      </c>
      <c r="BW19" s="102">
        <f t="shared" si="14"/>
        <v>1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856</v>
      </c>
      <c r="T20" s="102" t="s">
        <v>107</v>
      </c>
      <c r="U20" s="102">
        <v>9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6</v>
      </c>
      <c r="AB20" s="102">
        <v>-2</v>
      </c>
      <c r="AC20" s="102" t="str">
        <f t="shared" ca="1" si="0"/>
        <v>NE</v>
      </c>
      <c r="AG20" s="121" t="s">
        <v>260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294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12 OZ, 5 (1+4), +10 ±</v>
      </c>
      <c r="AY20" s="129" t="str">
        <f t="shared" ca="1" si="2"/>
        <v>233 OZ, 156 (45+111)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272</v>
      </c>
      <c r="U21" s="102">
        <v>12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2</v>
      </c>
      <c r="AB21" s="102">
        <v>-5</v>
      </c>
      <c r="AC21" s="102" t="str">
        <f t="shared" ca="1" si="0"/>
        <v>ANO</v>
      </c>
      <c r="AG21" s="121" t="s">
        <v>278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294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855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254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295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12 OZ, 3 (2+1), -2 ±</v>
      </c>
      <c r="AY22" s="129" t="str">
        <f t="shared" ca="1" si="2"/>
        <v>106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761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1032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265</v>
      </c>
      <c r="AH23" s="122"/>
      <c r="AI23" s="123"/>
      <c r="AJ23" s="123"/>
      <c r="AK23" s="123"/>
      <c r="AL23" s="124">
        <f>IF(AG23&lt;&gt;"",AJ23+AK23,"")</f>
        <v>0</v>
      </c>
      <c r="AM23" s="123" t="s">
        <v>281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13 OZ, 6 (1+5), +12 ±</v>
      </c>
      <c r="AY23" s="129" t="str">
        <f t="shared" ca="1" si="2"/>
        <v>13 OZ, 6 (1+5)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852</v>
      </c>
      <c r="BU23" s="103">
        <v>15</v>
      </c>
      <c r="BV23" s="104" t="str">
        <f t="shared" si="13"/>
        <v>Petr Majer</v>
      </c>
      <c r="BW23" s="102">
        <f t="shared" si="14"/>
        <v>15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0" t="s">
        <v>273</v>
      </c>
      <c r="T24" s="102" t="s">
        <v>107</v>
      </c>
      <c r="U24" s="102">
        <v>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279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295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102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1154</v>
      </c>
      <c r="BU24" s="103">
        <v>11</v>
      </c>
      <c r="BV24" s="104" t="str">
        <f t="shared" si="13"/>
        <v>Tom Ondrušek</v>
      </c>
      <c r="BW24" s="102">
        <f t="shared" si="14"/>
        <v>11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0" t="s">
        <v>266</v>
      </c>
      <c r="T25" s="102" t="s">
        <v>58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266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296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854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263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263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297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1158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0" t="s">
        <v>262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280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281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1381</v>
      </c>
      <c r="BU27" s="103">
        <v>8</v>
      </c>
      <c r="BV27" s="104" t="str">
        <f t="shared" si="13"/>
        <v>Jiří Bauer</v>
      </c>
      <c r="BW27" s="102">
        <f t="shared" si="14"/>
        <v>8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279</v>
      </c>
      <c r="T28" s="102" t="s">
        <v>58</v>
      </c>
      <c r="U28" s="102">
        <v>10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8</v>
      </c>
      <c r="AB28" s="102">
        <v>-8</v>
      </c>
      <c r="AC28" s="102" t="str">
        <f t="shared" ca="1" si="0"/>
        <v>ANO</v>
      </c>
      <c r="AG28" s="121" t="s">
        <v>252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13 OZ, 30 (15+15), +7 ±</v>
      </c>
      <c r="AY28" s="129" t="str">
        <f t="shared" ca="1" si="16"/>
        <v>243 OZ, 488 (281+207)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1382</v>
      </c>
      <c r="BU28" s="103">
        <v>8</v>
      </c>
      <c r="BV28" s="104" t="str">
        <f t="shared" si="13"/>
        <v>Michal Strnad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0" t="s">
        <v>271</v>
      </c>
      <c r="T29" s="102" t="s">
        <v>105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253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9"/>
      <c r="BT29" s="104" t="s">
        <v>762</v>
      </c>
      <c r="BU29" s="103">
        <v>8</v>
      </c>
      <c r="BV29" s="104" t="str">
        <f t="shared" si="13"/>
        <v>Mikuláš Komárek</v>
      </c>
      <c r="BW29" s="102">
        <f t="shared" si="14"/>
        <v>8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CHO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 t="s">
        <v>256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289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13 OZ, 9 (7+2), -3 ±</v>
      </c>
      <c r="AY30" s="129" t="str">
        <f t="shared" ca="1" si="16"/>
        <v>119 OZ, 68 (41+27)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9"/>
      <c r="BT30" s="104" t="s">
        <v>1383</v>
      </c>
      <c r="BU30" s="103">
        <v>6</v>
      </c>
      <c r="BV30" s="104" t="str">
        <f t="shared" si="13"/>
        <v>Matěj Netrefa</v>
      </c>
      <c r="BW30" s="102">
        <f t="shared" si="14"/>
        <v>6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9"/>
      <c r="BT31" s="104" t="s">
        <v>1384</v>
      </c>
      <c r="BU31" s="103">
        <v>6</v>
      </c>
      <c r="BV31" s="104" t="str">
        <f t="shared" si="13"/>
        <v>Michal Podhráský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271</v>
      </c>
      <c r="T45" s="102">
        <v>10</v>
      </c>
      <c r="U45" s="112">
        <v>552.17999999999995</v>
      </c>
      <c r="V45" s="102">
        <v>7</v>
      </c>
      <c r="W45" s="102">
        <v>46</v>
      </c>
      <c r="X45" s="102">
        <v>0</v>
      </c>
      <c r="Y45" s="102">
        <v>181</v>
      </c>
      <c r="Z45" s="102">
        <v>0</v>
      </c>
      <c r="AA45" s="102">
        <v>3</v>
      </c>
      <c r="AB45" s="102">
        <v>135</v>
      </c>
      <c r="AC45" s="102">
        <v>0</v>
      </c>
      <c r="AD45" s="102">
        <v>0</v>
      </c>
      <c r="AE45" s="112">
        <f>IF(S45&lt;&gt;"",IF(T45&gt;0,W45/(U45/60),0),"")</f>
        <v>4.9983700967075952</v>
      </c>
      <c r="AF45" s="112">
        <f>IF(S45&lt;&gt;"",IF(Y45&gt;0,(AB45/Y45)*100,"-"),"")</f>
        <v>74.585635359116026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263</v>
      </c>
      <c r="T46" s="102">
        <v>4</v>
      </c>
      <c r="U46" s="112">
        <v>212.82</v>
      </c>
      <c r="V46" s="102">
        <v>1</v>
      </c>
      <c r="W46" s="102">
        <v>20</v>
      </c>
      <c r="X46" s="102">
        <v>0</v>
      </c>
      <c r="Y46" s="102">
        <v>88</v>
      </c>
      <c r="Z46" s="102">
        <v>0</v>
      </c>
      <c r="AA46" s="102">
        <v>3</v>
      </c>
      <c r="AB46" s="102">
        <v>68</v>
      </c>
      <c r="AC46" s="102">
        <v>0</v>
      </c>
      <c r="AD46" s="102">
        <v>0</v>
      </c>
      <c r="AE46" s="112">
        <f t="shared" ref="AE46:AE50" si="23">IF(S46&lt;&gt;"",IF(T46&gt;0,W46/(U46/60),0),"")</f>
        <v>5.6385678037778408</v>
      </c>
      <c r="AF46" s="112">
        <f t="shared" ref="AF46:AF50" si="24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262</v>
      </c>
      <c r="T47" s="102">
        <v>1</v>
      </c>
      <c r="U47" s="112">
        <v>18.02</v>
      </c>
      <c r="V47" s="102">
        <v>1</v>
      </c>
      <c r="W47" s="102">
        <v>1</v>
      </c>
      <c r="X47" s="102">
        <v>0</v>
      </c>
      <c r="Y47" s="102">
        <v>4</v>
      </c>
      <c r="Z47" s="102">
        <v>0</v>
      </c>
      <c r="AA47" s="102">
        <v>0</v>
      </c>
      <c r="AB47" s="102">
        <v>3</v>
      </c>
      <c r="AC47" s="102">
        <v>0</v>
      </c>
      <c r="AD47" s="102">
        <v>0</v>
      </c>
      <c r="AE47" s="112">
        <f t="shared" si="23"/>
        <v>3.3296337402885681</v>
      </c>
      <c r="AF47" s="112">
        <f t="shared" si="24"/>
        <v>75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70" priority="12" stopIfTrue="1" operator="equal">
      <formula>"OTR"</formula>
    </cfRule>
    <cfRule type="cellIs" dxfId="469" priority="13" stopIfTrue="1" operator="equal">
      <formula>"PAR"</formula>
    </cfRule>
    <cfRule type="cellIs" dxfId="468" priority="14" stopIfTrue="1" operator="equal">
      <formula>"CLP"</formula>
    </cfRule>
    <cfRule type="cellIs" dxfId="467" priority="15" stopIfTrue="1" operator="equal">
      <formula>"HAT"</formula>
    </cfRule>
    <cfRule type="cellIs" dxfId="466" priority="16" stopIfTrue="1" operator="equal">
      <formula>"LIB"</formula>
    </cfRule>
    <cfRule type="cellIs" dxfId="465" priority="17" stopIfTrue="1" operator="equal">
      <formula>"BA"</formula>
    </cfRule>
    <cfRule type="cellIs" dxfId="464" priority="18" stopIfTrue="1" operator="equal">
      <formula>"SPA"</formula>
    </cfRule>
    <cfRule type="cellIs" dxfId="463" priority="19" stopIfTrue="1" operator="equal">
      <formula>"OST"</formula>
    </cfRule>
    <cfRule type="cellIs" dxfId="462" priority="20" stopIfTrue="1" operator="equal">
      <formula>"BOH"</formula>
    </cfRule>
    <cfRule type="cellIs" dxfId="461" priority="21" stopIfTrue="1" operator="equal">
      <formula>"TAT"</formula>
    </cfRule>
    <cfRule type="cellIs" dxfId="460" priority="22" stopIfTrue="1" operator="equal">
      <formula>"MB"</formula>
    </cfRule>
    <cfRule type="cellIs" dxfId="459" priority="23" stopIfTrue="1" operator="equal">
      <formula>"VIT"</formula>
    </cfRule>
    <cfRule type="cellIs" dxfId="458" priority="24" stopIfTrue="1" operator="equal">
      <formula>"CHO"</formula>
    </cfRule>
    <cfRule type="cellIs" dxfId="457" priority="25" stopIfTrue="1" operator="equal">
      <formula>"SKV"</formula>
    </cfRule>
  </conditionalFormatting>
  <conditionalFormatting sqref="H19:K20">
    <cfRule type="cellIs" dxfId="456" priority="40" stopIfTrue="1" operator="equal">
      <formula>"OTR"</formula>
    </cfRule>
    <cfRule type="cellIs" dxfId="455" priority="41" stopIfTrue="1" operator="equal">
      <formula>"PAR"</formula>
    </cfRule>
    <cfRule type="cellIs" dxfId="454" priority="42" stopIfTrue="1" operator="equal">
      <formula>"CLP"</formula>
    </cfRule>
    <cfRule type="cellIs" dxfId="453" priority="43" stopIfTrue="1" operator="equal">
      <formula>"HAT"</formula>
    </cfRule>
    <cfRule type="cellIs" dxfId="452" priority="44" stopIfTrue="1" operator="equal">
      <formula>"LIB"</formula>
    </cfRule>
    <cfRule type="cellIs" dxfId="451" priority="45" stopIfTrue="1" operator="equal">
      <formula>"BA"</formula>
    </cfRule>
    <cfRule type="cellIs" dxfId="450" priority="46" stopIfTrue="1" operator="equal">
      <formula>"SPA"</formula>
    </cfRule>
    <cfRule type="cellIs" dxfId="449" priority="47" stopIfTrue="1" operator="equal">
      <formula>"OST"</formula>
    </cfRule>
    <cfRule type="cellIs" dxfId="448" priority="48" stopIfTrue="1" operator="equal">
      <formula>"BOH"</formula>
    </cfRule>
    <cfRule type="cellIs" dxfId="447" priority="49" stopIfTrue="1" operator="equal">
      <formula>"TAT"</formula>
    </cfRule>
    <cfRule type="cellIs" dxfId="446" priority="50" stopIfTrue="1" operator="equal">
      <formula>"MB"</formula>
    </cfRule>
    <cfRule type="cellIs" dxfId="445" priority="51" stopIfTrue="1" operator="equal">
      <formula>"VIT"</formula>
    </cfRule>
    <cfRule type="cellIs" dxfId="444" priority="52" stopIfTrue="1" operator="equal">
      <formula>"CHO"</formula>
    </cfRule>
    <cfRule type="cellIs" dxfId="443" priority="53" stopIfTrue="1" operator="equal">
      <formula>"SKV"</formula>
    </cfRule>
  </conditionalFormatting>
  <conditionalFormatting sqref="H8:K9">
    <cfRule type="cellIs" dxfId="442" priority="26" stopIfTrue="1" operator="equal">
      <formula>"OTR"</formula>
    </cfRule>
    <cfRule type="cellIs" dxfId="441" priority="27" stopIfTrue="1" operator="equal">
      <formula>"PAR"</formula>
    </cfRule>
    <cfRule type="cellIs" dxfId="440" priority="28" stopIfTrue="1" operator="equal">
      <formula>"CLP"</formula>
    </cfRule>
    <cfRule type="cellIs" dxfId="439" priority="29" stopIfTrue="1" operator="equal">
      <formula>"HAT"</formula>
    </cfRule>
    <cfRule type="cellIs" dxfId="438" priority="30" stopIfTrue="1" operator="equal">
      <formula>"LIB"</formula>
    </cfRule>
    <cfRule type="cellIs" dxfId="437" priority="31" stopIfTrue="1" operator="equal">
      <formula>"BA"</formula>
    </cfRule>
    <cfRule type="cellIs" dxfId="436" priority="32" stopIfTrue="1" operator="equal">
      <formula>"SPA"</formula>
    </cfRule>
    <cfRule type="cellIs" dxfId="435" priority="33" stopIfTrue="1" operator="equal">
      <formula>"OST"</formula>
    </cfRule>
    <cfRule type="cellIs" dxfId="434" priority="34" stopIfTrue="1" operator="equal">
      <formula>"BOH"</formula>
    </cfRule>
    <cfRule type="cellIs" dxfId="433" priority="35" stopIfTrue="1" operator="equal">
      <formula>"TAT"</formula>
    </cfRule>
    <cfRule type="cellIs" dxfId="432" priority="36" stopIfTrue="1" operator="equal">
      <formula>"MB"</formula>
    </cfRule>
    <cfRule type="cellIs" dxfId="431" priority="37" stopIfTrue="1" operator="equal">
      <formula>"VIT"</formula>
    </cfRule>
    <cfRule type="cellIs" dxfId="430" priority="38" stopIfTrue="1" operator="equal">
      <formula>"CHO"</formula>
    </cfRule>
    <cfRule type="cellIs" dxfId="429" priority="39" stopIfTrue="1" operator="equal">
      <formula>"SKV"</formula>
    </cfRule>
  </conditionalFormatting>
  <conditionalFormatting sqref="S2:S42">
    <cfRule type="expression" dxfId="428" priority="10" stopIfTrue="1">
      <formula>IFERROR(IF(VLOOKUP($S2,OFFSET($AG$2,,,COUNTIF($AG$2:$AG$50,"?*")),1,FALSE)&lt;&gt;0,1,0),0)&gt;0</formula>
    </cfRule>
  </conditionalFormatting>
  <conditionalFormatting sqref="S2:S42">
    <cfRule type="expression" dxfId="427" priority="11">
      <formula>IFERROR(IF(VLOOKUP($S2,OFFSET($AG$2,,,COUNTIF($AG$2:$AG$50,"?*")),1,FALSE)&lt;&gt;0,1,0),0)=0</formula>
    </cfRule>
  </conditionalFormatting>
  <conditionalFormatting sqref="S45:S50">
    <cfRule type="expression" dxfId="426" priority="9">
      <formula>IFERROR(IF(VLOOKUP($S45,OFFSET($AG$2,,,COUNTIF($AG$2:$AG$50,"?*")),1,FALSE)&lt;&gt;0,1,0),0)&gt;0</formula>
    </cfRule>
  </conditionalFormatting>
  <conditionalFormatting sqref="S45:S50">
    <cfRule type="expression" dxfId="425" priority="8">
      <formula>IFERROR(IF(VLOOKUP($S45,OFFSET($AG$2,,,COUNTIF($AG$2:$AG$50,"?*")),1,FALSE)&lt;&gt;0,1,0),0)=0</formula>
    </cfRule>
  </conditionalFormatting>
  <conditionalFormatting sqref="AG2:AG50">
    <cfRule type="expression" dxfId="424" priority="5" stopIfTrue="1">
      <formula>OR($AH2="",$AI2="",$AJ2="",$AK2="",$AL2="",$AM2="",$AN2="",$AQ2="",$AR2="",$AS2="",$AT2="")</formula>
    </cfRule>
    <cfRule type="expression" dxfId="423" priority="6" stopIfTrue="1">
      <formula>IFERROR(IF(VLOOKUP($AG2,OFFSET($S$2,,,COUNTIF($S$2:$S$42,"?*")),1,FALSE)&lt;&gt;0,1,0),0)=0</formula>
    </cfRule>
    <cfRule type="expression" dxfId="422" priority="7">
      <formula>IFERROR(IF(VLOOKUP($AG2,OFFSET($S$2,,,COUNTIF($S$2:$S$42,"?*")),1,FALSE)&lt;&gt;0,1,0),0)&gt;0</formula>
    </cfRule>
  </conditionalFormatting>
  <conditionalFormatting sqref="AG2:AK50 AM2:BC50">
    <cfRule type="expression" dxfId="421" priority="4">
      <formula>AND($AG2&lt;&gt;"",MOD(ROW($AG2),2)=0)</formula>
    </cfRule>
  </conditionalFormatting>
  <conditionalFormatting sqref="BN2:BR11">
    <cfRule type="expression" dxfId="420" priority="3">
      <formula>AND($BN2&lt;&gt;"",MOD(ROW($BN2),2)=0)</formula>
    </cfRule>
  </conditionalFormatting>
  <conditionalFormatting sqref="AL2:AL50">
    <cfRule type="expression" dxfId="41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V1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195</v>
      </c>
      <c r="B1" s="432"/>
      <c r="C1" s="432"/>
      <c r="D1" s="432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65" t="s">
        <v>1</v>
      </c>
      <c r="I1" s="465"/>
      <c r="J1" s="465"/>
      <c r="K1" s="465"/>
      <c r="M1" s="431" t="s">
        <v>201</v>
      </c>
      <c r="N1" s="432"/>
      <c r="O1" s="432"/>
      <c r="P1" s="432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24">
        <f ca="1">IFERROR(IF(VLOOKUP(A1,OFFSET($AG$2,,,COUNTIF($AG$2:$AG$49,"?*"),23),2,FALSE)&lt;&gt;0,YEAR(VLOOKUP(A1,OFFSET($AG$2,,,COUNTIF($AG$2:$AG$49,"?*"),23),2,FALSE)),""),"")</f>
        <v>1998</v>
      </c>
      <c r="C2" s="425"/>
      <c r="D2" s="94">
        <f ca="1">IFERROR(VLOOKUP(A1,OFFSET($AG$2,,,COUNTIF($AG$2:$AG$49,"?*"),23),15,FALSE),"")</f>
        <v>23</v>
      </c>
      <c r="E2" s="426" t="str">
        <f ca="1">IFERROR(VLOOKUP(A1,OFFSET($AG$2,,,COUNTIF($AG$2:$AG$49,"?*"),23),16,FALSE),"")</f>
        <v>177/74</v>
      </c>
      <c r="F2" s="427"/>
      <c r="M2" s="4" t="str">
        <f ca="1">IFERROR(IF(VLOOKUP(M1,OFFSET($AG$2,,,COUNTIF($AG$2:$AG$49,"?*"),23),10,FALSE)&lt;&gt;0,VLOOKUP(M1,OFFSET($AG$2,,,COUNTIF($AG$2:$AG$49,"?*"),23),10,FALSE),""),"")</f>
        <v>L</v>
      </c>
      <c r="N2" s="424">
        <f ca="1">IFERROR(IF(VLOOKUP(M1,OFFSET($AG$2,,,COUNTIF($AG$2:$AG$49,"?*"),23),2,FALSE)&lt;&gt;0,YEAR(VLOOKUP(M1,OFFSET($AG$2,,,COUNTIF($AG$2:$AG$49,"?*"),23),2,FALSE)),""),"")</f>
        <v>2003</v>
      </c>
      <c r="O2" s="425"/>
      <c r="P2" s="94">
        <f ca="1">IFERROR(VLOOKUP(M1,OFFSET($AG$2,,,COUNTIF($AG$2:$AG$49,"?*"),23),15,FALSE),"")</f>
        <v>18</v>
      </c>
      <c r="Q2" s="426" t="str">
        <f ca="1">IFERROR(VLOOKUP(M1,OFFSET($AG$2,,,COUNTIF($AG$2:$AG$49,"?*"),23),16,FALSE),"")</f>
        <v>187/83</v>
      </c>
      <c r="R2" s="427"/>
      <c r="S2" s="110" t="s">
        <v>201</v>
      </c>
      <c r="U2" s="102">
        <v>13</v>
      </c>
      <c r="V2" s="102">
        <v>12</v>
      </c>
      <c r="W2" s="102">
        <v>0</v>
      </c>
      <c r="X2" s="102">
        <v>0</v>
      </c>
      <c r="Y2" s="102">
        <v>11</v>
      </c>
      <c r="Z2" s="102">
        <v>23</v>
      </c>
      <c r="AA2" s="102">
        <v>8</v>
      </c>
      <c r="AB2" s="102">
        <v>2</v>
      </c>
      <c r="AC2" s="102" t="str">
        <f t="shared" ref="AC2:AC42" ca="1" si="0">IF(S2&lt;&gt;"",IFERROR(IF(VLOOKUP(S2,OFFSET($AG$2,,,COUNTIF($AG$2:$AG$49,"?*")),1,FALSE)&lt;&gt;0,"ANO","NE"),"NE"),"")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(2+2), -9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129 OZ, 39 (28+11)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t="shared" ref="BE2:BE34" ca="1" si="3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19" t="s">
        <v>36</v>
      </c>
      <c r="BT2" s="104" t="s">
        <v>1159</v>
      </c>
      <c r="BU2" s="103">
        <v>23</v>
      </c>
      <c r="BV2" s="104" t="str">
        <f>IFERROR(RIGHT(BT2,LEN(BT2)-SEARCH(" ",BT2)),"")</f>
        <v>Šimon Stránský</v>
      </c>
      <c r="BW2" s="102">
        <f>IF(BT2&lt;&gt;0,_xlfn.NUMBERVALUE(BU2,","),"")</f>
        <v>23</v>
      </c>
      <c r="BX2" s="418" t="s">
        <v>192</v>
      </c>
      <c r="BY2" s="103" t="s">
        <v>1021</v>
      </c>
      <c r="BZ2" s="103" t="s">
        <v>830</v>
      </c>
      <c r="CA2" s="115" t="s">
        <v>1110</v>
      </c>
    </row>
    <row r="3" spans="1:79" ht="15" customHeight="1" thickTop="1" thickBot="1" x14ac:dyDescent="0.25">
      <c r="A3" s="460" t="str">
        <f ca="1">IFERROR(VLOOKUP(A1,OFFSET($AG$2,,,COUNTIF($AG$2:$AG$49,"?*"),23),18,FALSE),"")</f>
        <v>13 OZ, 2 (2+0), -2 ±</v>
      </c>
      <c r="B3" s="461"/>
      <c r="C3" s="461"/>
      <c r="D3" s="462" t="str">
        <f ca="1">IFERROR(VLOOKUP(A1,OFFSET($AG$2,,,COUNTIF($AG$2:$AG$49,"?*"),23),19,FALSE),"")</f>
        <v>107 OZ, 31 (22+9)</v>
      </c>
      <c r="E3" s="462"/>
      <c r="F3" s="463"/>
      <c r="G3" s="431" t="s">
        <v>194</v>
      </c>
      <c r="H3" s="432"/>
      <c r="I3" s="432"/>
      <c r="J3" s="432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60" t="str">
        <f ca="1">IFERROR(VLOOKUP(M1,OFFSET($AG$2,,,COUNTIF($AG$2:$AG$49,"?*"),23),18,FALSE),"")</f>
        <v>13 OZ, 23 (12+11), +2 ±</v>
      </c>
      <c r="N3" s="461"/>
      <c r="O3" s="461"/>
      <c r="P3" s="462" t="str">
        <f ca="1">IFERROR(VLOOKUP(M1,OFFSET($AG$2,,,COUNTIF($AG$2:$AG$49,"?*"),23),19,FALSE),"")</f>
        <v>31 OZ, 37 (21+16)</v>
      </c>
      <c r="Q3" s="462"/>
      <c r="R3" s="463"/>
      <c r="S3" s="110" t="s">
        <v>196</v>
      </c>
      <c r="T3" s="102" t="s">
        <v>107</v>
      </c>
      <c r="U3" s="102">
        <v>13</v>
      </c>
      <c r="V3" s="102">
        <v>13</v>
      </c>
      <c r="W3" s="102">
        <v>0</v>
      </c>
      <c r="X3" s="102">
        <v>0</v>
      </c>
      <c r="Y3" s="102">
        <v>9</v>
      </c>
      <c r="Z3" s="102">
        <v>22</v>
      </c>
      <c r="AA3" s="102">
        <v>2</v>
      </c>
      <c r="AB3" s="102">
        <v>4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5 OZ, 0 (0+0), -2 ±</v>
      </c>
      <c r="AY3" s="129" t="str">
        <f t="shared" ca="1" si="2"/>
        <v>126 OZ, 16 (4+12)</v>
      </c>
      <c r="AZ3" s="130"/>
      <c r="BA3" s="130"/>
      <c r="BB3" s="130"/>
      <c r="BC3" s="130"/>
      <c r="BD3" s="89" t="str">
        <f t="shared" ref="BD3:BD49" si="7">IF(AG3&lt;&gt;"",RIGHT(AG3,LEN(AG3)-SEARCH(" ",AG3)),"")</f>
        <v>Bitman</v>
      </c>
      <c r="BE3" s="91">
        <f t="shared" ca="1" si="3"/>
        <v>1</v>
      </c>
      <c r="BF3" s="90" t="str">
        <f t="shared" ref="BF3:BF49" si="8">IF(AG3&lt;&gt;"",LEFT(AG3,1),"")</f>
        <v>J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3">IF(BN3&lt;&gt;"",IF(BO3&lt;&gt;"",INT((TODAY()-BO3)/365),"?"),"")</f>
        <v>26</v>
      </c>
      <c r="BS3" s="419"/>
      <c r="BT3" s="104" t="s">
        <v>1388</v>
      </c>
      <c r="BU3" s="103">
        <v>22</v>
      </c>
      <c r="BV3" s="104" t="str">
        <f t="shared" ref="BV3:BV31" si="14">IFERROR(RIGHT(BT3,LEN(BT3)-SEARCH(" ",BT3)),"")</f>
        <v>Radek Valeš</v>
      </c>
      <c r="BW3" s="102">
        <f t="shared" ref="BW3:BW31" si="15">IF(BT3&lt;&gt;0,_xlfn.NUMBERVALUE(BU3,","),"")</f>
        <v>22</v>
      </c>
      <c r="BX3" s="418"/>
      <c r="BY3" s="103" t="s">
        <v>1343</v>
      </c>
      <c r="BZ3" s="103" t="s">
        <v>831</v>
      </c>
      <c r="CA3" s="115" t="s">
        <v>1050</v>
      </c>
    </row>
    <row r="4" spans="1:79" ht="15" customHeight="1" thickBot="1" x14ac:dyDescent="0.25">
      <c r="A4" s="448" t="str">
        <f ca="1">IFERROR(IF(VLOOKUP(A1,OFFSET($AG$2,,,COUNTIF($AG$2:$AG$49,"?*"),23),13,FALSE)&lt;&gt;0,VLOOKUP(A1,OFFSET($AG$2,,,COUNTIF($AG$2:$AG$49,"?*"),23),13,FALSE),"?"),"")</f>
        <v>FBC Liberec</v>
      </c>
      <c r="B4" s="449"/>
      <c r="C4" s="450"/>
      <c r="D4" s="451">
        <f ca="1">IFERROR(IF(VLOOKUP(A1,OFFSET($AG$2,,,COUNTIF($AG$2:$AG$49,"?*"),23),14,FALSE)&lt;&gt;0,VLOOKUP(A1,OFFSET($AG$2,,,COUNTIF($AG$2:$AG$49,"?*"),23),14,FALSE),"?"),"")</f>
        <v>2011</v>
      </c>
      <c r="E4" s="452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24">
        <f ca="1">IFERROR(IF(VLOOKUP(G3,OFFSET($AG$2,,,COUNTIF($AG$2:$AG$49,"?*"),23),2,FALSE)&lt;&gt;0,YEAR(VLOOKUP(G3,OFFSET($AG$2,,,COUNTIF($AG$2:$AG$49,"?*"),23),2,FALSE)),""),"")</f>
        <v>1998</v>
      </c>
      <c r="I4" s="425"/>
      <c r="J4" s="94">
        <f ca="1">IFERROR(VLOOKUP(G3,OFFSET($AG$2,,,COUNTIF($AG$2:$AG$49,"?*"),23),15,FALSE),"")</f>
        <v>23</v>
      </c>
      <c r="K4" s="426" t="str">
        <f ca="1">IFERROR(VLOOKUP(G3,OFFSET($AG$2,,,COUNTIF($AG$2:$AG$49,"?*"),23),16,FALSE),"")</f>
        <v>185/74</v>
      </c>
      <c r="L4" s="427"/>
      <c r="M4" s="448" t="str">
        <f ca="1">IFERROR(IF(VLOOKUP(M1,OFFSET($AG$2,,,COUNTIF($AG$2:$AG$49,"?*"),23),13,FALSE)&lt;&gt;0,VLOOKUP(M1,OFFSET($AG$2,,,COUNTIF($AG$2:$AG$49,"?*"),23),13,FALSE),"?"),"")</f>
        <v>FBC Lomnice</v>
      </c>
      <c r="N4" s="449"/>
      <c r="O4" s="450"/>
      <c r="P4" s="451">
        <f ca="1">IFERROR(IF(VLOOKUP(M1,OFFSET($AG$2,,,COUNTIF($AG$2:$AG$49,"?*"),23),14,FALSE)&lt;&gt;0,VLOOKUP(M1,OFFSET($AG$2,,,COUNTIF($AG$2:$AG$49,"?*"),23),14,FALSE),"?"),"")</f>
        <v>2010</v>
      </c>
      <c r="Q4" s="452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198</v>
      </c>
      <c r="T4" s="102" t="s">
        <v>107</v>
      </c>
      <c r="U4" s="102">
        <v>12</v>
      </c>
      <c r="V4" s="102">
        <v>8</v>
      </c>
      <c r="W4" s="102">
        <v>2</v>
      </c>
      <c r="X4" s="102">
        <v>0</v>
      </c>
      <c r="Y4" s="102">
        <v>14</v>
      </c>
      <c r="Z4" s="102">
        <v>22</v>
      </c>
      <c r="AA4" s="102">
        <v>0</v>
      </c>
      <c r="AB4" s="102">
        <v>6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7"/>
        <v>Blažek</v>
      </c>
      <c r="BE4" s="84">
        <f t="shared" ca="1" si="3"/>
        <v>1</v>
      </c>
      <c r="BF4" s="62" t="str">
        <f t="shared" si="8"/>
        <v>V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3"/>
        <v>42</v>
      </c>
      <c r="BS4" s="419"/>
      <c r="BT4" s="104" t="s">
        <v>1389</v>
      </c>
      <c r="BU4" s="103">
        <v>22</v>
      </c>
      <c r="BV4" s="104" t="str">
        <f t="shared" si="14"/>
        <v>Prokop Ferdan</v>
      </c>
      <c r="BW4" s="102">
        <f t="shared" si="15"/>
        <v>22</v>
      </c>
      <c r="BX4" s="418"/>
      <c r="BY4" s="103" t="s">
        <v>841</v>
      </c>
      <c r="BZ4" s="103" t="s">
        <v>838</v>
      </c>
      <c r="CA4" s="115" t="s">
        <v>778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IFERROR(VLOOKUP(G3,OFFSET($AG$2,,,COUNTIF($AG$2:$AG$49,"?*"),23),18,FALSE),"")</f>
        <v>7 OZ, 8 (3+5), +1 ±</v>
      </c>
      <c r="H5" s="461"/>
      <c r="I5" s="461"/>
      <c r="J5" s="462" t="str">
        <f ca="1">IFERROR(VLOOKUP(G3,OFFSET($AG$2,,,COUNTIF($AG$2:$AG$49,"?*"),23),19,FALSE),"")</f>
        <v>107 OZ, 93 (53+40)</v>
      </c>
      <c r="K5" s="462"/>
      <c r="L5" s="463"/>
      <c r="S5" s="110" t="s">
        <v>208</v>
      </c>
      <c r="T5" s="102" t="s">
        <v>107</v>
      </c>
      <c r="U5" s="102">
        <v>12</v>
      </c>
      <c r="V5" s="102">
        <v>13</v>
      </c>
      <c r="W5" s="102">
        <v>2</v>
      </c>
      <c r="X5" s="102">
        <v>1</v>
      </c>
      <c r="Y5" s="102">
        <v>7</v>
      </c>
      <c r="Z5" s="102">
        <v>20</v>
      </c>
      <c r="AA5" s="102">
        <v>0</v>
      </c>
      <c r="AB5" s="102">
        <v>-2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13 OZ, 1 (1+0), -1 ±</v>
      </c>
      <c r="AY5" s="129" t="str">
        <f t="shared" ca="1" si="2"/>
        <v>207 OZ, 117 (51+66)</v>
      </c>
      <c r="AZ5" s="130"/>
      <c r="BA5" s="130"/>
      <c r="BB5" s="130"/>
      <c r="BC5" s="130"/>
      <c r="BD5" s="89" t="str">
        <f t="shared" si="7"/>
        <v>Dlesk</v>
      </c>
      <c r="BE5" s="91">
        <f t="shared" ca="1" si="3"/>
        <v>1</v>
      </c>
      <c r="BF5" s="90" t="str">
        <f t="shared" si="8"/>
        <v>T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3"/>
        <v>38</v>
      </c>
      <c r="BS5" s="419"/>
      <c r="BT5" s="104" t="s">
        <v>1161</v>
      </c>
      <c r="BU5" s="103">
        <v>20</v>
      </c>
      <c r="BV5" s="104" t="str">
        <f t="shared" si="14"/>
        <v>Filip Smutný</v>
      </c>
      <c r="BW5" s="102">
        <f t="shared" si="15"/>
        <v>20</v>
      </c>
      <c r="BX5" s="418"/>
      <c r="BY5" s="103" t="s">
        <v>1038</v>
      </c>
      <c r="BZ5" s="103" t="s">
        <v>818</v>
      </c>
      <c r="CA5" s="115" t="s">
        <v>778</v>
      </c>
    </row>
    <row r="6" spans="1:79" ht="15" customHeight="1" thickTop="1" thickBot="1" x14ac:dyDescent="0.25">
      <c r="A6" s="431" t="s">
        <v>210</v>
      </c>
      <c r="B6" s="432"/>
      <c r="C6" s="432"/>
      <c r="D6" s="432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48" t="str">
        <f ca="1">IFERROR(IF(VLOOKUP(G3,OFFSET($AG$2,,,COUNTIF($AG$2:$AG$49,"?*"),23),13,FALSE)&lt;&gt;0,VLOOKUP(G3,OFFSET($AG$2,,,COUNTIF($AG$2:$AG$49,"?*"),23),13,FALSE),"?"),"")</f>
        <v>TJ Sokol Jaroměř</v>
      </c>
      <c r="H6" s="449"/>
      <c r="I6" s="450"/>
      <c r="J6" s="451">
        <f ca="1">IFERROR(IF(VLOOKUP(G3,OFFSET($AG$2,,,COUNTIF($AG$2:$AG$49,"?*"),23),14,FALSE)&lt;&gt;0,VLOOKUP(G3,OFFSET($AG$2,,,COUNTIF($AG$2:$AG$49,"?*"),23),14,FALSE),"?"),"")</f>
        <v>2007</v>
      </c>
      <c r="K6" s="452"/>
      <c r="L6" s="7">
        <f ca="1">IFERROR(IF(VLOOKUP(G3,OFFSET($AG$2,,,COUNTIF($AG$2:$AG$49,"?*"),23),7,FALSE)&lt;&gt;0,VLOOKUP(G3,OFFSET($AG$2,,,COUNTIF($AG$2:$AG$49,"?*"),23),7,FALSE),"?"),"")</f>
        <v>5</v>
      </c>
      <c r="M6" s="431" t="s">
        <v>204</v>
      </c>
      <c r="N6" s="432"/>
      <c r="O6" s="432"/>
      <c r="P6" s="432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206</v>
      </c>
      <c r="U6" s="102">
        <v>13</v>
      </c>
      <c r="V6" s="102">
        <v>9</v>
      </c>
      <c r="W6" s="102">
        <v>0</v>
      </c>
      <c r="X6" s="102">
        <v>0</v>
      </c>
      <c r="Y6" s="102">
        <v>8</v>
      </c>
      <c r="Z6" s="102">
        <v>17</v>
      </c>
      <c r="AA6" s="102">
        <v>6</v>
      </c>
      <c r="AB6" s="102">
        <v>7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12 OZ, 22 (8+14), +6 ±</v>
      </c>
      <c r="AY6" s="129" t="str">
        <f t="shared" ca="1" si="2"/>
        <v>197 OZ, 246 (134+112)</v>
      </c>
      <c r="AZ6" s="130"/>
      <c r="BA6" s="130"/>
      <c r="BB6" s="130"/>
      <c r="BC6" s="130"/>
      <c r="BD6" s="3" t="str">
        <f t="shared" si="7"/>
        <v>Ferdan</v>
      </c>
      <c r="BE6" s="84">
        <f t="shared" ca="1" si="3"/>
        <v>1</v>
      </c>
      <c r="BF6" s="62" t="str">
        <f t="shared" si="8"/>
        <v>P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3"/>
        <v>23</v>
      </c>
      <c r="BS6" s="419"/>
      <c r="BT6" s="104" t="s">
        <v>1036</v>
      </c>
      <c r="BU6" s="103">
        <v>17</v>
      </c>
      <c r="BV6" s="104" t="str">
        <f t="shared" si="14"/>
        <v>Vojtěch Wiener</v>
      </c>
      <c r="BW6" s="102">
        <f t="shared" si="15"/>
        <v>17</v>
      </c>
      <c r="BX6" s="418"/>
      <c r="BY6" s="103" t="s">
        <v>833</v>
      </c>
      <c r="BZ6" s="103" t="s">
        <v>857</v>
      </c>
      <c r="CA6" s="115" t="s">
        <v>1052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24">
        <f ca="1">IFERROR(IF(VLOOKUP(A6,OFFSET($AG$2,,,COUNTIF($AG$2:$AG$49,"?*"),23),2,FALSE)&lt;&gt;0,YEAR(VLOOKUP(A6,OFFSET($AG$2,,,COUNTIF($AG$2:$AG$49,"?*"),23),2,FALSE)),""),"")</f>
        <v>2002</v>
      </c>
      <c r="C7" s="425"/>
      <c r="D7" s="94">
        <f ca="1">IFERROR(VLOOKUP(A6,OFFSET($AG$2,,,COUNTIF($AG$2:$AG$49,"?*"),23),15,FALSE),"")</f>
        <v>19</v>
      </c>
      <c r="E7" s="426" t="str">
        <f ca="1">IFERROR(VLOOKUP(A6,OFFSET($AG$2,,,COUNTIF($AG$2:$AG$49,"?*"),23),16,FALSE),"")</f>
        <v>164/68</v>
      </c>
      <c r="F7" s="427"/>
      <c r="M7" s="4" t="str">
        <f ca="1">IFERROR(IF(VLOOKUP(M6,OFFSET($AG$2,,,COUNTIF($AG$2:$AG$49,"?*"),23),10,FALSE)&lt;&gt;0,VLOOKUP(M6,OFFSET($AG$2,,,COUNTIF($AG$2:$AG$49,"?*"),23),10,FALSE),""),"")</f>
        <v>L</v>
      </c>
      <c r="N7" s="424">
        <f ca="1">IFERROR(IF(VLOOKUP(M6,OFFSET($AG$2,,,COUNTIF($AG$2:$AG$49,"?*"),23),2,FALSE)&lt;&gt;0,YEAR(VLOOKUP(M6,OFFSET($AG$2,,,COUNTIF($AG$2:$AG$49,"?*"),23),2,FALSE)),""),"")</f>
        <v>1986</v>
      </c>
      <c r="O7" s="425"/>
      <c r="P7" s="94">
        <f ca="1">IFERROR(VLOOKUP(M6,OFFSET($AG$2,,,COUNTIF($AG$2:$AG$49,"?*"),23),15,FALSE),"")</f>
        <v>35</v>
      </c>
      <c r="Q7" s="426" t="str">
        <f ca="1">IFERROR(VLOOKUP(M6,OFFSET($AG$2,,,COUNTIF($AG$2:$AG$49,"?*"),23),16,FALSE),"")</f>
        <v>185/69</v>
      </c>
      <c r="R7" s="427"/>
      <c r="S7" s="110" t="s">
        <v>211</v>
      </c>
      <c r="T7" s="102" t="s">
        <v>107</v>
      </c>
      <c r="U7" s="102">
        <v>13</v>
      </c>
      <c r="V7" s="102">
        <v>6</v>
      </c>
      <c r="W7" s="102">
        <v>1</v>
      </c>
      <c r="X7" s="102">
        <v>0</v>
      </c>
      <c r="Y7" s="102">
        <v>2</v>
      </c>
      <c r="Z7" s="102">
        <v>8</v>
      </c>
      <c r="AA7" s="102">
        <v>6</v>
      </c>
      <c r="AB7" s="102">
        <v>-12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7 V, 4 P</v>
      </c>
      <c r="AY7" s="129" t="str">
        <f t="shared" ca="1" si="2"/>
        <v>11 OZ, 1 A</v>
      </c>
      <c r="AZ7" s="130"/>
      <c r="BA7" s="130"/>
      <c r="BB7" s="130"/>
      <c r="BC7" s="130"/>
      <c r="BD7" s="89" t="str">
        <f t="shared" si="7"/>
        <v>Chlad</v>
      </c>
      <c r="BE7" s="91">
        <f t="shared" ca="1" si="3"/>
        <v>1</v>
      </c>
      <c r="BF7" s="90" t="str">
        <f t="shared" si="8"/>
        <v>P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9" t="s">
        <v>40</v>
      </c>
      <c r="BT7" s="104" t="s">
        <v>241</v>
      </c>
      <c r="BU7" s="103" t="s">
        <v>1126</v>
      </c>
      <c r="BV7" s="104" t="str">
        <f t="shared" si="14"/>
        <v>Petr Chlad</v>
      </c>
      <c r="BW7" s="112">
        <f t="shared" si="15"/>
        <v>5.62</v>
      </c>
      <c r="BX7" s="418" t="s">
        <v>193</v>
      </c>
      <c r="BY7" s="103" t="s">
        <v>1386</v>
      </c>
      <c r="BZ7" s="103" t="s">
        <v>849</v>
      </c>
      <c r="CA7" s="115" t="s">
        <v>188</v>
      </c>
    </row>
    <row r="8" spans="1:79" ht="15" customHeight="1" x14ac:dyDescent="0.2">
      <c r="A8" s="460" t="str">
        <f ca="1">IFERROR(VLOOKUP(A6,OFFSET($AG$2,,,COUNTIF($AG$2:$AG$49,"?*"),23),18,FALSE),"")</f>
        <v>12 OZ, 0 (0+0), -3 ±</v>
      </c>
      <c r="B8" s="461"/>
      <c r="C8" s="461"/>
      <c r="D8" s="462" t="str">
        <f ca="1">IFERROR(VLOOKUP(A6,OFFSET($AG$2,,,COUNTIF($AG$2:$AG$49,"?*"),23),19,FALSE),"")</f>
        <v>26 OZ, 1 (1+0)</v>
      </c>
      <c r="E8" s="462"/>
      <c r="F8" s="463"/>
      <c r="H8" s="464" t="s">
        <v>99</v>
      </c>
      <c r="I8" s="464"/>
      <c r="J8" s="464"/>
      <c r="K8" s="464"/>
      <c r="M8" s="460" t="str">
        <f ca="1">IFERROR(VLOOKUP(M6,OFFSET($AG$2,,,COUNTIF($AG$2:$AG$49,"?*"),23),18,FALSE),"")</f>
        <v>10 OZ, 3 (0+3), +3 ±</v>
      </c>
      <c r="N8" s="461"/>
      <c r="O8" s="461"/>
      <c r="P8" s="462" t="str">
        <f ca="1">IFERROR(VLOOKUP(M6,OFFSET($AG$2,,,COUNTIF($AG$2:$AG$49,"?*"),23),19,FALSE),"")</f>
        <v>312 OZ, 234 (95+139)</v>
      </c>
      <c r="Q8" s="462"/>
      <c r="R8" s="463"/>
      <c r="S8" s="110" t="s">
        <v>194</v>
      </c>
      <c r="U8" s="102">
        <v>7</v>
      </c>
      <c r="V8" s="102">
        <v>3</v>
      </c>
      <c r="W8" s="102">
        <v>1</v>
      </c>
      <c r="X8" s="102">
        <v>0</v>
      </c>
      <c r="Y8" s="102">
        <v>5</v>
      </c>
      <c r="Z8" s="102">
        <v>8</v>
      </c>
      <c r="AA8" s="102">
        <v>0</v>
      </c>
      <c r="AB8" s="102">
        <v>1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13 OZ, 2 (1+1), +4 ±</v>
      </c>
      <c r="AY8" s="129" t="str">
        <f t="shared" ca="1" si="2"/>
        <v>35 OZ, 6 (3+3)</v>
      </c>
      <c r="AZ8" s="130"/>
      <c r="BA8" s="130"/>
      <c r="BB8" s="130"/>
      <c r="BC8" s="130"/>
      <c r="BD8" s="3" t="str">
        <f t="shared" si="7"/>
        <v>Janeček</v>
      </c>
      <c r="BE8" s="84">
        <f t="shared" ca="1" si="3"/>
        <v>1</v>
      </c>
      <c r="BF8" s="62" t="str">
        <f t="shared" si="8"/>
        <v>V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19"/>
      <c r="BT8" s="104" t="s">
        <v>1390</v>
      </c>
      <c r="BU8" s="103" t="s">
        <v>183</v>
      </c>
      <c r="BV8" s="104" t="str">
        <f t="shared" si="14"/>
        <v>Jan Král</v>
      </c>
      <c r="BW8" s="112">
        <f t="shared" si="15"/>
        <v>0</v>
      </c>
      <c r="BX8" s="418"/>
      <c r="BY8" s="103" t="s">
        <v>1101</v>
      </c>
      <c r="BZ8" s="103" t="s">
        <v>848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IFERROR(IF(VLOOKUP(A6,OFFSET($AG$2,,,COUNTIF($AG$2:$AG$49,"?*"),23),13,FALSE)&lt;&gt;0,VLOOKUP(A6,OFFSET($AG$2,,,COUNTIF($AG$2:$AG$49,"?*"),23),13,FALSE),"?"),"")</f>
        <v>Florbal Mladá Boleslav</v>
      </c>
      <c r="B9" s="449"/>
      <c r="C9" s="450"/>
      <c r="D9" s="451">
        <f ca="1">IFERROR(IF(VLOOKUP(A6,OFFSET($AG$2,,,COUNTIF($AG$2:$AG$49,"?*"),23),14,FALSE)&lt;&gt;0,VLOOKUP(A6,OFFSET($AG$2,,,COUNTIF($AG$2:$AG$49,"?*"),23),14,FALSE),"?"),"")</f>
        <v>2005</v>
      </c>
      <c r="E9" s="452"/>
      <c r="F9" s="7">
        <f ca="1">IFERROR(IF(VLOOKUP(A6,OFFSET($AG$2,,,COUNTIF($AG$2:$AG$49,"?*"),23),7,FALSE)&lt;&gt;0,VLOOKUP(A6,OFFSET($AG$2,,,COUNTIF($AG$2:$AG$49,"?*"),23),7,FALSE),"?"),"")</f>
        <v>4</v>
      </c>
      <c r="H9" s="464"/>
      <c r="I9" s="464"/>
      <c r="J9" s="464"/>
      <c r="K9" s="464"/>
      <c r="M9" s="448" t="str">
        <f ca="1">IFERROR(IF(VLOOKUP(M6,OFFSET($AG$2,,,COUNTIF($AG$2:$AG$49,"?*"),23),13,FALSE)&lt;&gt;0,VLOOKUP(M6,OFFSET($AG$2,,,COUNTIF($AG$2:$AG$49,"?*"),23),13,FALSE),"?"),"")</f>
        <v>FBC Mustang</v>
      </c>
      <c r="N9" s="449"/>
      <c r="O9" s="450"/>
      <c r="P9" s="451">
        <f ca="1">IFERROR(IF(VLOOKUP(M6,OFFSET($AG$2,,,COUNTIF($AG$2:$AG$49,"?*"),23),14,FALSE)&lt;&gt;0,VLOOKUP(M6,OFFSET($AG$2,,,COUNTIF($AG$2:$AG$49,"?*"),23),14,FALSE),"?"),"")</f>
        <v>1996</v>
      </c>
      <c r="Q9" s="452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202</v>
      </c>
      <c r="T9" s="102" t="s">
        <v>107</v>
      </c>
      <c r="U9" s="102">
        <v>11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4</v>
      </c>
      <c r="AB9" s="102">
        <v>-9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7"/>
        <v>Kárník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19"/>
      <c r="BT9" s="104" t="s">
        <v>1391</v>
      </c>
      <c r="BU9" s="103" t="s">
        <v>853</v>
      </c>
      <c r="BV9" s="104" t="str">
        <f t="shared" si="14"/>
        <v>Jakub Levínský</v>
      </c>
      <c r="BW9" s="112">
        <f t="shared" si="15"/>
        <v>5.64</v>
      </c>
      <c r="BX9" s="418"/>
      <c r="BY9" s="103" t="s">
        <v>1308</v>
      </c>
      <c r="BZ9" s="103" t="s">
        <v>847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197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0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12 OZ, 3 (3+0), -1 ±</v>
      </c>
      <c r="AY10" s="129" t="str">
        <f t="shared" ca="1" si="2"/>
        <v>254 OZ, 121 (66+55)</v>
      </c>
      <c r="AZ10" s="130"/>
      <c r="BA10" s="130"/>
      <c r="BB10" s="130"/>
      <c r="BC10" s="130"/>
      <c r="BD10" s="3" t="str">
        <f t="shared" si="7"/>
        <v>Klucho</v>
      </c>
      <c r="BE10" s="84">
        <f t="shared" ca="1" si="3"/>
        <v>1</v>
      </c>
      <c r="BF10" s="62" t="str">
        <f t="shared" si="8"/>
        <v>M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19"/>
      <c r="BT10" s="104" t="s">
        <v>1392</v>
      </c>
      <c r="BU10" s="103" t="s">
        <v>1393</v>
      </c>
      <c r="BV10" s="104" t="str">
        <f t="shared" si="14"/>
        <v>Daniel Mück</v>
      </c>
      <c r="BW10" s="112">
        <f t="shared" si="15"/>
        <v>6.01</v>
      </c>
      <c r="BX10" s="418"/>
      <c r="BY10" s="103" t="s">
        <v>1344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204</v>
      </c>
      <c r="T11" s="102" t="s">
        <v>58</v>
      </c>
      <c r="U11" s="102">
        <v>10</v>
      </c>
      <c r="V11" s="102">
        <v>0</v>
      </c>
      <c r="W11" s="102">
        <v>0</v>
      </c>
      <c r="X11" s="102">
        <v>0</v>
      </c>
      <c r="Y11" s="102">
        <v>3</v>
      </c>
      <c r="Z11" s="102">
        <v>3</v>
      </c>
      <c r="AA11" s="102">
        <v>2</v>
      </c>
      <c r="AB11" s="102">
        <v>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10 OZ, 3 (0+3), +3 ±</v>
      </c>
      <c r="AY11" s="129" t="str">
        <f t="shared" ca="1" si="2"/>
        <v>312 OZ, 234 (95+139)</v>
      </c>
      <c r="AZ11" s="130"/>
      <c r="BA11" s="130"/>
      <c r="BB11" s="130"/>
      <c r="BC11" s="130"/>
      <c r="BD11" s="89" t="str">
        <f t="shared" si="7"/>
        <v>Kološ</v>
      </c>
      <c r="BE11" s="91">
        <f t="shared" ca="1" si="3"/>
        <v>1</v>
      </c>
      <c r="BF11" s="90" t="str">
        <f t="shared" si="8"/>
        <v>P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19"/>
      <c r="BV11" s="104" t="str">
        <f t="shared" si="14"/>
        <v/>
      </c>
      <c r="BW11" s="112" t="str">
        <f t="shared" si="15"/>
        <v/>
      </c>
      <c r="BX11" s="418"/>
      <c r="BY11" s="103" t="s">
        <v>1361</v>
      </c>
      <c r="BZ11" s="103" t="s">
        <v>817</v>
      </c>
      <c r="CA11" s="115" t="s">
        <v>188</v>
      </c>
    </row>
    <row r="12" spans="1:79" ht="15" customHeight="1" thickTop="1" thickBot="1" x14ac:dyDescent="0.25">
      <c r="A12" s="431" t="s">
        <v>198</v>
      </c>
      <c r="B12" s="432"/>
      <c r="C12" s="432"/>
      <c r="D12" s="432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65" t="s">
        <v>7</v>
      </c>
      <c r="I12" s="465"/>
      <c r="J12" s="465"/>
      <c r="K12" s="465"/>
      <c r="M12" s="431" t="s">
        <v>206</v>
      </c>
      <c r="N12" s="432"/>
      <c r="O12" s="432"/>
      <c r="P12" s="432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200</v>
      </c>
      <c r="T12" s="102" t="s">
        <v>107</v>
      </c>
      <c r="U12" s="102">
        <v>13</v>
      </c>
      <c r="V12" s="102">
        <v>0</v>
      </c>
      <c r="W12" s="102">
        <v>0</v>
      </c>
      <c r="X12" s="102">
        <v>0</v>
      </c>
      <c r="Y12" s="102">
        <v>3</v>
      </c>
      <c r="Z12" s="102">
        <v>3</v>
      </c>
      <c r="AA12" s="102">
        <v>2</v>
      </c>
      <c r="AB12" s="102">
        <v>-5</v>
      </c>
      <c r="AC12" s="102" t="str">
        <f t="shared" ca="1" si="0"/>
        <v>ANO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7"/>
        <v>Kopecký</v>
      </c>
      <c r="BE12" s="84">
        <f t="shared" ca="1" si="3"/>
        <v>1</v>
      </c>
      <c r="BF12" s="62" t="str">
        <f t="shared" si="8"/>
        <v>J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19" t="s">
        <v>37</v>
      </c>
      <c r="BT12" s="104" t="s">
        <v>1394</v>
      </c>
      <c r="BU12" s="103">
        <v>13</v>
      </c>
      <c r="BV12" s="104" t="str">
        <f t="shared" si="14"/>
        <v>Filip Smutný</v>
      </c>
      <c r="BW12" s="102">
        <f t="shared" si="15"/>
        <v>13</v>
      </c>
      <c r="BX12" s="116" t="s">
        <v>191</v>
      </c>
      <c r="BY12" s="100" t="s">
        <v>1387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24">
        <f ca="1">IFERROR(IF(VLOOKUP(A12,OFFSET($AG$2,,,COUNTIF($AG$2:$AG$49,"?*"),23),2,FALSE)&lt;&gt;0,YEAR(VLOOKUP(A12,OFFSET($AG$2,,,COUNTIF($AG$2:$AG$49,"?*"),23),2,FALSE)),""),"")</f>
        <v>1992</v>
      </c>
      <c r="C13" s="425"/>
      <c r="D13" s="94">
        <f ca="1">IFERROR(VLOOKUP(A12,OFFSET($AG$2,,,COUNTIF($AG$2:$AG$49,"?*"),23),15,FALSE),"")</f>
        <v>29</v>
      </c>
      <c r="E13" s="426" t="str">
        <f ca="1">IFERROR(VLOOKUP(A12,OFFSET($AG$2,,,COUNTIF($AG$2:$AG$49,"?*"),23),16,FALSE),"")</f>
        <v>176/74</v>
      </c>
      <c r="F13" s="427"/>
      <c r="M13" s="4" t="str">
        <f ca="1">IFERROR(IF(VLOOKUP(M12,OFFSET($AG$2,,,COUNTIF($AG$2:$AG$49,"?*"),23),10,FALSE)&lt;&gt;0,VLOOKUP(M12,OFFSET($AG$2,,,COUNTIF($AG$2:$AG$49,"?*"),23),10,FALSE),""),"")</f>
        <v>L</v>
      </c>
      <c r="N13" s="424">
        <f ca="1">IFERROR(IF(VLOOKUP(M12,OFFSET($AG$2,,,COUNTIF($AG$2:$AG$49,"?*"),23),2,FALSE)&lt;&gt;0,YEAR(VLOOKUP(M12,OFFSET($AG$2,,,COUNTIF($AG$2:$AG$49,"?*"),23),2,FALSE)),""),"")</f>
        <v>2003</v>
      </c>
      <c r="O13" s="425"/>
      <c r="P13" s="94">
        <f ca="1">IFERROR(VLOOKUP(M12,OFFSET($AG$2,,,COUNTIF($AG$2:$AG$49,"?*"),23),15,FALSE),"")</f>
        <v>18</v>
      </c>
      <c r="Q13" s="426" t="str">
        <f ca="1">IFERROR(VLOOKUP(M12,OFFSET($AG$2,,,COUNTIF($AG$2:$AG$49,"?*"),23),16,FALSE),"")</f>
        <v>178/70</v>
      </c>
      <c r="R13" s="427"/>
      <c r="S13" s="110" t="s">
        <v>195</v>
      </c>
      <c r="T13" s="102" t="s">
        <v>107</v>
      </c>
      <c r="U13" s="102">
        <v>13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7"/>
        <v>Král</v>
      </c>
      <c r="BE13" s="91">
        <f t="shared" ca="1" si="3"/>
        <v>1</v>
      </c>
      <c r="BF13" s="90" t="str">
        <f t="shared" si="8"/>
        <v>J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19"/>
      <c r="BT13" s="104" t="s">
        <v>1388</v>
      </c>
      <c r="BU13" s="103">
        <v>13</v>
      </c>
      <c r="BV13" s="104" t="str">
        <f t="shared" si="14"/>
        <v>Radek Valeš</v>
      </c>
      <c r="BW13" s="102">
        <f t="shared" si="15"/>
        <v>13</v>
      </c>
    </row>
    <row r="14" spans="1:79" ht="15" customHeight="1" thickTop="1" thickBot="1" x14ac:dyDescent="0.25">
      <c r="A14" s="460" t="str">
        <f ca="1">IFERROR(VLOOKUP(A12,OFFSET($AG$2,,,COUNTIF($AG$2:$AG$49,"?*"),23),18,FALSE),"")</f>
        <v>12 OZ, 22 (8+14), +6 ±</v>
      </c>
      <c r="B14" s="461"/>
      <c r="C14" s="461"/>
      <c r="D14" s="462" t="str">
        <f ca="1">IFERROR(VLOOKUP(A12,OFFSET($AG$2,,,COUNTIF($AG$2:$AG$49,"?*"),23),19,FALSE),"")</f>
        <v>197 OZ, 246 (134+112)</v>
      </c>
      <c r="E14" s="462"/>
      <c r="F14" s="463"/>
      <c r="G14" s="431" t="s">
        <v>196</v>
      </c>
      <c r="H14" s="432"/>
      <c r="I14" s="432"/>
      <c r="J14" s="432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60" t="str">
        <f ca="1">IFERROR(VLOOKUP(M12,OFFSET($AG$2,,,COUNTIF($AG$2:$AG$49,"?*"),23),18,FALSE),"")</f>
        <v>13 OZ, 17 (9+8), +7 ±</v>
      </c>
      <c r="N14" s="461"/>
      <c r="O14" s="461"/>
      <c r="P14" s="462" t="str">
        <f ca="1">IFERROR(VLOOKUP(M12,OFFSET($AG$2,,,COUNTIF($AG$2:$AG$49,"?*"),23),19,FALSE),"")</f>
        <v>35 OZ, 43 (18+25)</v>
      </c>
      <c r="Q14" s="462"/>
      <c r="R14" s="463"/>
      <c r="S14" s="110" t="s">
        <v>1165</v>
      </c>
      <c r="U14" s="102">
        <v>5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3</v>
      </c>
      <c r="AC14" s="102" t="str">
        <f t="shared" ca="1" si="0"/>
        <v>NE</v>
      </c>
      <c r="AG14" s="121" t="s">
        <v>764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217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7"/>
        <v>Levínský</v>
      </c>
      <c r="BE14" s="84">
        <f t="shared" ca="1" si="3"/>
        <v>1</v>
      </c>
      <c r="BF14" s="62" t="str">
        <f t="shared" si="8"/>
        <v>J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19"/>
      <c r="BT14" s="104" t="s">
        <v>1395</v>
      </c>
      <c r="BU14" s="103">
        <v>12</v>
      </c>
      <c r="BV14" s="104" t="str">
        <f t="shared" si="14"/>
        <v>Šimon Stránský</v>
      </c>
      <c r="BW14" s="102">
        <f t="shared" si="15"/>
        <v>12</v>
      </c>
    </row>
    <row r="15" spans="1:79" ht="15" customHeight="1" thickBot="1" x14ac:dyDescent="0.25">
      <c r="A15" s="448" t="str">
        <f ca="1">IFERROR(IF(VLOOKUP(A12,OFFSET($AG$2,,,COUNTIF($AG$2:$AG$49,"?*"),23),13,FALSE)&lt;&gt;0,VLOOKUP(A12,OFFSET($AG$2,,,COUNTIF($AG$2:$AG$49,"?*"),23),13,FALSE),"?"),"")</f>
        <v>TJ Centropen Dačice</v>
      </c>
      <c r="B15" s="449"/>
      <c r="C15" s="450"/>
      <c r="D15" s="451">
        <f ca="1">IFERROR(IF(VLOOKUP(A12,OFFSET($AG$2,,,COUNTIF($AG$2:$AG$49,"?*"),23),14,FALSE)&lt;&gt;0,VLOOKUP(A12,OFFSET($AG$2,,,COUNTIF($AG$2:$AG$49,"?*"),23),14,FALSE),"?"),"")</f>
        <v>2006</v>
      </c>
      <c r="E15" s="452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24">
        <f ca="1">IFERROR(IF(VLOOKUP(G14,OFFSET($AG$2,,,COUNTIF($AG$2:$AG$49,"?*"),23),2,FALSE)&lt;&gt;0,YEAR(VLOOKUP(G14,OFFSET($AG$2,,,COUNTIF($AG$2:$AG$49,"?*"),23),2,FALSE)),""),"")</f>
        <v>1994</v>
      </c>
      <c r="I15" s="425"/>
      <c r="J15" s="94">
        <f ca="1">IFERROR(VLOOKUP(G14,OFFSET($AG$2,,,COUNTIF($AG$2:$AG$49,"?*"),23),15,FALSE),"")</f>
        <v>27</v>
      </c>
      <c r="K15" s="426" t="str">
        <f ca="1">IFERROR(VLOOKUP(G14,OFFSET($AG$2,,,COUNTIF($AG$2:$AG$49,"?*"),23),16,FALSE),"")</f>
        <v>187/76</v>
      </c>
      <c r="L15" s="427"/>
      <c r="M15" s="448" t="str">
        <f ca="1">IFERROR(IF(VLOOKUP(M12,OFFSET($AG$2,,,COUNTIF($AG$2:$AG$49,"?*"),23),13,FALSE)&lt;&gt;0,VLOOKUP(M12,OFFSET($AG$2,,,COUNTIF($AG$2:$AG$49,"?*"),23),13,FALSE),"?"),"")</f>
        <v>FBC Liberec</v>
      </c>
      <c r="N15" s="449"/>
      <c r="O15" s="450"/>
      <c r="P15" s="451">
        <f ca="1">IFERROR(IF(VLOOKUP(M12,OFFSET($AG$2,,,COUNTIF($AG$2:$AG$49,"?*"),23),14,FALSE)&lt;&gt;0,VLOOKUP(M12,OFFSET($AG$2,,,COUNTIF($AG$2:$AG$49,"?*"),23),14,FALSE),"?"),"")</f>
        <v>2010</v>
      </c>
      <c r="Q15" s="452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203</v>
      </c>
      <c r="T15" s="102" t="s">
        <v>58</v>
      </c>
      <c r="U15" s="102">
        <v>13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4</v>
      </c>
      <c r="AB15" s="102">
        <v>4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7"/>
        <v>Martínek</v>
      </c>
      <c r="BE15" s="91">
        <f t="shared" ca="1" si="3"/>
        <v>1</v>
      </c>
      <c r="BF15" s="90" t="str">
        <f t="shared" si="8"/>
        <v>D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19"/>
      <c r="BT15" s="104" t="s">
        <v>1396</v>
      </c>
      <c r="BU15" s="103">
        <v>9</v>
      </c>
      <c r="BV15" s="104" t="str">
        <f t="shared" si="14"/>
        <v>Vojtěch Wiener</v>
      </c>
      <c r="BW15" s="102">
        <f t="shared" si="15"/>
        <v>9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IFERROR(VLOOKUP(G14,OFFSET($AG$2,,,COUNTIF($AG$2:$AG$49,"?*"),23),18,FALSE),"")</f>
        <v>13 OZ, 22 (13+9), +4 ±</v>
      </c>
      <c r="H16" s="461"/>
      <c r="I16" s="461"/>
      <c r="J16" s="462" t="str">
        <f ca="1">IFERROR(VLOOKUP(G14,OFFSET($AG$2,,,COUNTIF($AG$2:$AG$49,"?*"),23),19,FALSE),"")</f>
        <v>202 OZ, 327 (179+148)</v>
      </c>
      <c r="K16" s="462"/>
      <c r="L16" s="463"/>
      <c r="S16" s="110" t="s">
        <v>209</v>
      </c>
      <c r="T16" s="102" t="s">
        <v>107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1 V, 1 P</v>
      </c>
      <c r="AY16" s="129" t="str">
        <f t="shared" ca="1" si="2"/>
        <v>50 OZ, 0 A</v>
      </c>
      <c r="AZ16" s="130"/>
      <c r="BA16" s="130"/>
      <c r="BB16" s="130"/>
      <c r="BC16" s="130"/>
      <c r="BD16" s="3" t="str">
        <f t="shared" si="7"/>
        <v>Mück</v>
      </c>
      <c r="BE16" s="84">
        <f t="shared" ca="1" si="3"/>
        <v>1</v>
      </c>
      <c r="BF16" s="62" t="str">
        <f t="shared" si="8"/>
        <v>D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19"/>
      <c r="BT16" s="104" t="s">
        <v>1397</v>
      </c>
      <c r="BU16" s="103">
        <v>8</v>
      </c>
      <c r="BV16" s="104" t="str">
        <f t="shared" si="14"/>
        <v>Prokop Ferdan</v>
      </c>
      <c r="BW16" s="102">
        <f t="shared" si="15"/>
        <v>8</v>
      </c>
    </row>
    <row r="17" spans="1:75" ht="15" customHeight="1" thickTop="1" thickBot="1" x14ac:dyDescent="0.25">
      <c r="A17" s="431" t="s">
        <v>209</v>
      </c>
      <c r="B17" s="432"/>
      <c r="C17" s="432"/>
      <c r="D17" s="432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48" t="str">
        <f ca="1">IFERROR(IF(VLOOKUP(G14,OFFSET($AG$2,,,COUNTIF($AG$2:$AG$49,"?*"),23),13,FALSE)&lt;&gt;0,VLOOKUP(G14,OFFSET($AG$2,,,COUNTIF($AG$2:$AG$49,"?*"),23),13,FALSE),"?"),"")</f>
        <v>FBC Liberec</v>
      </c>
      <c r="H17" s="449"/>
      <c r="I17" s="450"/>
      <c r="J17" s="451">
        <f ca="1">IFERROR(IF(VLOOKUP(G14,OFFSET($AG$2,,,COUNTIF($AG$2:$AG$49,"?*"),23),14,FALSE)&lt;&gt;0,VLOOKUP(G14,OFFSET($AG$2,,,COUNTIF($AG$2:$AG$49,"?*"),23),14,FALSE),"?"),"")</f>
        <v>2002</v>
      </c>
      <c r="K17" s="452"/>
      <c r="L17" s="7">
        <f ca="1">IFERROR(IF(VLOOKUP(G14,OFFSET($AG$2,,,COUNTIF($AG$2:$AG$49,"?*"),23),7,FALSE)&lt;&gt;0,VLOOKUP(G14,OFFSET($AG$2,,,COUNTIF($AG$2:$AG$49,"?*"),23),7,FALSE),"?"),"")</f>
        <v>10</v>
      </c>
      <c r="M17" s="431" t="s">
        <v>203</v>
      </c>
      <c r="N17" s="432"/>
      <c r="O17" s="432"/>
      <c r="P17" s="432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199</v>
      </c>
      <c r="U17" s="102">
        <v>7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-8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12 OZ, 0 (0+0), -3 ±</v>
      </c>
      <c r="AY17" s="129" t="str">
        <f t="shared" ca="1" si="2"/>
        <v>26 OZ, 1 (1+0)</v>
      </c>
      <c r="AZ17" s="130"/>
      <c r="BA17" s="130"/>
      <c r="BB17" s="130"/>
      <c r="BC17" s="130"/>
      <c r="BD17" s="89" t="str">
        <f t="shared" si="7"/>
        <v>Pařízek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19" t="s">
        <v>41</v>
      </c>
      <c r="BT17" s="104" t="s">
        <v>241</v>
      </c>
      <c r="BU17" s="103">
        <v>7</v>
      </c>
      <c r="BV17" s="104" t="str">
        <f t="shared" si="14"/>
        <v>Petr Chlad</v>
      </c>
      <c r="BW17" s="102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24">
        <f ca="1">IFERROR(IF(VLOOKUP(A17,OFFSET($AG$2,,,COUNTIF($AG$2:$AG$49,"?*"),23),2,FALSE)&lt;&gt;0,YEAR(VLOOKUP(A17,OFFSET($AG$2,,,COUNTIF($AG$2:$AG$49,"?*"),23),2,FALSE)),""),"")</f>
        <v>1994</v>
      </c>
      <c r="C18" s="425"/>
      <c r="D18" s="149">
        <f ca="1">IFERROR(VLOOKUP(A17,OFFSET($AG$2,,,COUNTIF($AG$2:$AG$49,"?*"),23),15,FALSE),"")</f>
        <v>27</v>
      </c>
      <c r="E18" s="426" t="str">
        <f ca="1">IFERROR(VLOOKUP(A17,OFFSET($AG$2,,,COUNTIF($AG$2:$AG$49,"?*"),23),16,FALSE),"")</f>
        <v>180/82</v>
      </c>
      <c r="F18" s="427"/>
      <c r="M18" s="4" t="str">
        <f ca="1">IFERROR(IF(VLOOKUP(M17,OFFSET($AG$2,,,COUNTIF($AG$2:$AG$49,"?*"),23),10,FALSE)&lt;&gt;0,VLOOKUP(M17,OFFSET($AG$2,,,COUNTIF($AG$2:$AG$49,"?*"),23),10,FALSE),""),"")</f>
        <v>L</v>
      </c>
      <c r="N18" s="424">
        <f ca="1">IFERROR(IF(VLOOKUP(M17,OFFSET($AG$2,,,COUNTIF($AG$2:$AG$49,"?*"),23),2,FALSE)&lt;&gt;0,YEAR(VLOOKUP(M17,OFFSET($AG$2,,,COUNTIF($AG$2:$AG$49,"?*"),23),2,FALSE)),""),"")</f>
        <v>2003</v>
      </c>
      <c r="O18" s="425"/>
      <c r="P18" s="94">
        <f ca="1">IFERROR(VLOOKUP(M17,OFFSET($AG$2,,,COUNTIF($AG$2:$AG$49,"?*"),23),15,FALSE),"")</f>
        <v>18</v>
      </c>
      <c r="Q18" s="426" t="str">
        <f ca="1">IFERROR(VLOOKUP(M17,OFFSET($AG$2,,,COUNTIF($AG$2:$AG$49,"?*"),23),16,FALSE),"")</f>
        <v>178/74</v>
      </c>
      <c r="R18" s="427"/>
      <c r="S18" s="110" t="s">
        <v>212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13 OZ, 3 (0+3), -5 ±</v>
      </c>
      <c r="AY18" s="129" t="str">
        <f t="shared" ca="1" si="2"/>
        <v>88 OZ, 47 (23+24)</v>
      </c>
      <c r="AZ18" s="130"/>
      <c r="BA18" s="130"/>
      <c r="BB18" s="130"/>
      <c r="BC18" s="130"/>
      <c r="BD18" s="3" t="str">
        <f t="shared" si="7"/>
        <v>Rozkovec</v>
      </c>
      <c r="BE18" s="84">
        <f t="shared" ca="1" si="3"/>
        <v>1</v>
      </c>
      <c r="BF18" s="62" t="str">
        <f t="shared" si="8"/>
        <v>P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19"/>
      <c r="BT18" s="104" t="s">
        <v>1162</v>
      </c>
      <c r="BU18" s="103">
        <v>1</v>
      </c>
      <c r="BV18" s="104" t="str">
        <f t="shared" si="14"/>
        <v>Daniel Mück</v>
      </c>
      <c r="BW18" s="102">
        <f t="shared" si="15"/>
        <v>1</v>
      </c>
    </row>
    <row r="19" spans="1:75" ht="15" customHeight="1" x14ac:dyDescent="0.2">
      <c r="A19" s="460" t="str">
        <f ca="1">IFERROR(VLOOKUP(A17,OFFSET($AG$2,,,COUNTIF($AG$2:$AG$49,"?*"),23),18,FALSE),"")</f>
        <v>13 OZ, 1 (1+0), -1 ±</v>
      </c>
      <c r="B19" s="461"/>
      <c r="C19" s="461"/>
      <c r="D19" s="462" t="str">
        <f ca="1">IFERROR(VLOOKUP(A17,OFFSET($AG$2,,,COUNTIF($AG$2:$AG$49,"?*"),23),19,FALSE),"")</f>
        <v>207 OZ, 117 (51+66)</v>
      </c>
      <c r="E19" s="462"/>
      <c r="F19" s="463"/>
      <c r="H19" s="464" t="str">
        <f>H$8</f>
        <v>LIB</v>
      </c>
      <c r="I19" s="464"/>
      <c r="J19" s="464"/>
      <c r="K19" s="464"/>
      <c r="M19" s="460" t="str">
        <f ca="1">IFERROR(VLOOKUP(M17,OFFSET($AG$2,,,COUNTIF($AG$2:$AG$49,"?*"),23),18,FALSE),"")</f>
        <v>13 OZ, 2 (1+1), +4 ±</v>
      </c>
      <c r="N19" s="461"/>
      <c r="O19" s="461"/>
      <c r="P19" s="462" t="str">
        <f ca="1">IFERROR(VLOOKUP(M17,OFFSET($AG$2,,,COUNTIF($AG$2:$AG$49,"?*"),23),19,FALSE),"")</f>
        <v>35 OZ, 6 (3+3)</v>
      </c>
      <c r="Q19" s="462"/>
      <c r="R19" s="463"/>
      <c r="S19" s="110" t="s">
        <v>1385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7"/>
        <v>Salát</v>
      </c>
      <c r="BE19" s="91">
        <f t="shared" ca="1" si="3"/>
        <v>1</v>
      </c>
      <c r="BF19" s="90" t="str">
        <f t="shared" si="8"/>
        <v>P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19"/>
      <c r="BT19" s="104" t="s">
        <v>1391</v>
      </c>
      <c r="BU19" s="103">
        <v>1</v>
      </c>
      <c r="BV19" s="104" t="str">
        <f t="shared" si="14"/>
        <v>Jakub Levínský</v>
      </c>
      <c r="BW19" s="102">
        <f t="shared" si="15"/>
        <v>1</v>
      </c>
    </row>
    <row r="20" spans="1:75" ht="15" customHeight="1" thickBot="1" x14ac:dyDescent="0.25">
      <c r="A20" s="448" t="str">
        <f ca="1">IFERROR(IF(VLOOKUP(A17,OFFSET($AG$2,,,COUNTIF($AG$2:$AG$49,"?*"),23),13,FALSE)&lt;&gt;0,VLOOKUP(A17,OFFSET($AG$2,,,COUNTIF($AG$2:$AG$49,"?*"),23),13,FALSE),"?"),"")</f>
        <v>Sokol Pardubice</v>
      </c>
      <c r="B20" s="449"/>
      <c r="C20" s="450"/>
      <c r="D20" s="451">
        <f ca="1">IFERROR(IF(VLOOKUP(A17,OFFSET($AG$2,,,COUNTIF($AG$2:$AG$49,"?*"),23),14,FALSE)&lt;&gt;0,VLOOKUP(A17,OFFSET($AG$2,,,COUNTIF($AG$2:$AG$49,"?*"),23),14,FALSE),"?"),"")</f>
        <v>2009</v>
      </c>
      <c r="E20" s="452"/>
      <c r="F20" s="7">
        <f ca="1">IFERROR(IF(VLOOKUP(A17,OFFSET($AG$2,,,COUNTIF($AG$2:$AG$49,"?*"),23),7,FALSE)&lt;&gt;0,VLOOKUP(A17,OFFSET($AG$2,,,COUNTIF($AG$2:$AG$49,"?*"),23),7,FALSE),"?"),"")</f>
        <v>11</v>
      </c>
      <c r="H20" s="464"/>
      <c r="I20" s="464"/>
      <c r="J20" s="464"/>
      <c r="K20" s="464"/>
      <c r="M20" s="448" t="str">
        <f ca="1">IFERROR(IF(VLOOKUP(M17,OFFSET($AG$2,,,COUNTIF($AG$2:$AG$49,"?*"),23),13,FALSE)&lt;&gt;0,VLOOKUP(M17,OFFSET($AG$2,,,COUNTIF($AG$2:$AG$49,"?*"),23),13,FALSE),"?"),"")</f>
        <v>FBC Liberec</v>
      </c>
      <c r="N20" s="449"/>
      <c r="O20" s="450"/>
      <c r="P20" s="451">
        <f ca="1">IFERROR(IF(VLOOKUP(M17,OFFSET($AG$2,,,COUNTIF($AG$2:$AG$49,"?*"),23),14,FALSE)&lt;&gt;0,VLOOKUP(M17,OFFSET($AG$2,,,COUNTIF($AG$2:$AG$49,"?*"),23),14,FALSE),"?"),"")</f>
        <v>2010</v>
      </c>
      <c r="Q20" s="452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207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751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12 OZ, 20 (13+7), -2 ±</v>
      </c>
      <c r="AY20" s="129" t="str">
        <f t="shared" ca="1" si="2"/>
        <v>12 OZ, 20 (13+7)</v>
      </c>
      <c r="AZ20" s="130"/>
      <c r="BA20" s="130"/>
      <c r="BB20" s="130"/>
      <c r="BC20" s="130"/>
      <c r="BD20" s="3" t="str">
        <f t="shared" si="7"/>
        <v>Smutný</v>
      </c>
      <c r="BE20" s="84">
        <f t="shared" ca="1" si="3"/>
        <v>1</v>
      </c>
      <c r="BF20" s="62" t="str">
        <f t="shared" si="8"/>
        <v>F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19"/>
      <c r="BT20" s="104" t="s">
        <v>1163</v>
      </c>
      <c r="BU20" s="103">
        <v>0</v>
      </c>
      <c r="BV20" s="104" t="str">
        <f t="shared" si="14"/>
        <v>Jan Král</v>
      </c>
      <c r="BW20" s="102">
        <f t="shared" si="15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205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13 OZ, 23 (12+11), +2 ±</v>
      </c>
      <c r="AY21" s="129" t="str">
        <f t="shared" ca="1" si="2"/>
        <v>31 OZ, 37 (21+16)</v>
      </c>
      <c r="AZ21" s="130"/>
      <c r="BA21" s="130"/>
      <c r="BB21" s="130"/>
      <c r="BC21" s="130"/>
      <c r="BD21" s="89" t="str">
        <f t="shared" si="7"/>
        <v>Stránský</v>
      </c>
      <c r="BE21" s="91">
        <f t="shared" ca="1" si="3"/>
        <v>1</v>
      </c>
      <c r="BF21" s="90" t="str">
        <f t="shared" si="8"/>
        <v>Š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19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1166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NE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13 OZ, 8 (6+2), -12 ±</v>
      </c>
      <c r="AY22" s="129" t="str">
        <f t="shared" ca="1" si="2"/>
        <v>54 OZ, 33 (21+12)</v>
      </c>
      <c r="AZ22" s="130"/>
      <c r="BA22" s="130"/>
      <c r="BB22" s="130"/>
      <c r="BC22" s="130"/>
      <c r="BD22" s="3" t="str">
        <f t="shared" si="7"/>
        <v>Světlík</v>
      </c>
      <c r="BE22" s="84">
        <f t="shared" ca="1" si="3"/>
        <v>1</v>
      </c>
      <c r="BF22" s="62" t="str">
        <f t="shared" si="8"/>
        <v>J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19" t="s">
        <v>38</v>
      </c>
      <c r="BT22" s="104" t="s">
        <v>947</v>
      </c>
      <c r="BU22" s="103">
        <v>14</v>
      </c>
      <c r="BV22" s="104" t="str">
        <f t="shared" si="14"/>
        <v>Prokop Ferdan</v>
      </c>
      <c r="BW22" s="102">
        <f t="shared" si="15"/>
        <v>14</v>
      </c>
    </row>
    <row r="23" spans="1:75" ht="15" customHeight="1" thickTop="1" thickBot="1" x14ac:dyDescent="0.25">
      <c r="A23" s="431" t="s">
        <v>200</v>
      </c>
      <c r="B23" s="432"/>
      <c r="C23" s="432"/>
      <c r="D23" s="432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65" t="s">
        <v>13</v>
      </c>
      <c r="I23" s="465"/>
      <c r="J23" s="465"/>
      <c r="K23" s="465"/>
      <c r="M23" s="431" t="s">
        <v>211</v>
      </c>
      <c r="N23" s="432"/>
      <c r="O23" s="432"/>
      <c r="P23" s="432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224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13 OZ, 2 (2+0), -2 ±</v>
      </c>
      <c r="AY23" s="129" t="str">
        <f t="shared" ca="1" si="2"/>
        <v>107 OZ, 31 (22+9)</v>
      </c>
      <c r="AZ23" s="130"/>
      <c r="BA23" s="130"/>
      <c r="BB23" s="130"/>
      <c r="BC23" s="130"/>
      <c r="BD23" s="89" t="str">
        <f t="shared" si="7"/>
        <v>Šoltys</v>
      </c>
      <c r="BE23" s="91">
        <f t="shared" ca="1" si="3"/>
        <v>1</v>
      </c>
      <c r="BF23" s="90" t="str">
        <f t="shared" si="8"/>
        <v>J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19"/>
      <c r="BT23" s="104" t="s">
        <v>946</v>
      </c>
      <c r="BU23" s="103">
        <v>11</v>
      </c>
      <c r="BV23" s="104" t="str">
        <f t="shared" si="14"/>
        <v>Šimon Stránský</v>
      </c>
      <c r="BW23" s="102">
        <f t="shared" si="15"/>
        <v>11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24">
        <f ca="1">IFERROR(IF(VLOOKUP(A23,OFFSET($AG$2,,,COUNTIF($AG$2:$AG$49,"?*"),23),2,FALSE)&lt;&gt;0,YEAR(VLOOKUP(A23,OFFSET($AG$2,,,COUNTIF($AG$2:$AG$49,"?*"),23),2,FALSE)),""),"")</f>
        <v>1999</v>
      </c>
      <c r="C24" s="425"/>
      <c r="D24" s="94">
        <f ca="1">IFERROR(VLOOKUP(A23,OFFSET($AG$2,,,COUNTIF($AG$2:$AG$49,"?*"),23),15,FALSE),"")</f>
        <v>22</v>
      </c>
      <c r="E24" s="426" t="str">
        <f ca="1">IFERROR(VLOOKUP(A23,OFFSET($AG$2,,,COUNTIF($AG$2:$AG$49,"?*"),23),16,FALSE),"")</f>
        <v>164/60</v>
      </c>
      <c r="F24" s="427"/>
      <c r="M24" s="4" t="str">
        <f ca="1">IFERROR(IF(VLOOKUP(M23,OFFSET($AG$2,,,COUNTIF($AG$2:$AG$49,"?*"),23),10,FALSE)&lt;&gt;0,VLOOKUP(M23,OFFSET($AG$2,,,COUNTIF($AG$2:$AG$49,"?*"),23),10,FALSE),""),"")</f>
        <v>L</v>
      </c>
      <c r="N24" s="424">
        <f ca="1">IFERROR(IF(VLOOKUP(M23,OFFSET($AG$2,,,COUNTIF($AG$2:$AG$49,"?*"),23),2,FALSE)&lt;&gt;0,YEAR(VLOOKUP(M23,OFFSET($AG$2,,,COUNTIF($AG$2:$AG$49,"?*"),23),2,FALSE)),""),"")</f>
        <v>1998</v>
      </c>
      <c r="O24" s="425"/>
      <c r="P24" s="94">
        <f ca="1">IFERROR(VLOOKUP(M23,OFFSET($AG$2,,,COUNTIF($AG$2:$AG$49,"?*"),23),15,FALSE),"")</f>
        <v>23</v>
      </c>
      <c r="Q24" s="426" t="str">
        <f ca="1">IFERROR(VLOOKUP(M23,OFFSET($AG$2,,,COUNTIF($AG$2:$AG$49,"?*"),23),16,FALSE),"")</f>
        <v>187/82</v>
      </c>
      <c r="R24" s="427"/>
      <c r="S24" s="110" t="s">
        <v>215</v>
      </c>
      <c r="T24" s="102" t="s">
        <v>58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7"/>
        <v>Václavík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19"/>
      <c r="BT24" s="104" t="s">
        <v>1160</v>
      </c>
      <c r="BU24" s="103">
        <v>9</v>
      </c>
      <c r="BV24" s="104" t="str">
        <f t="shared" si="14"/>
        <v>Radek Valeš</v>
      </c>
      <c r="BW24" s="102">
        <f t="shared" si="15"/>
        <v>9</v>
      </c>
    </row>
    <row r="25" spans="1:75" ht="15" customHeight="1" thickTop="1" thickBot="1" x14ac:dyDescent="0.25">
      <c r="A25" s="460" t="str">
        <f ca="1">IFERROR(VLOOKUP(A23,OFFSET($AG$2,,,COUNTIF($AG$2:$AG$49,"?*"),23),18,FALSE),"")</f>
        <v>13 OZ, 3 (0+3), -5 ±</v>
      </c>
      <c r="B25" s="461"/>
      <c r="C25" s="461"/>
      <c r="D25" s="462" t="str">
        <f ca="1">IFERROR(VLOOKUP(A23,OFFSET($AG$2,,,COUNTIF($AG$2:$AG$49,"?*"),23),19,FALSE),"")</f>
        <v>88 OZ, 47 (23+24)</v>
      </c>
      <c r="E25" s="462"/>
      <c r="F25" s="463"/>
      <c r="G25" s="431" t="s">
        <v>202</v>
      </c>
      <c r="H25" s="432"/>
      <c r="I25" s="432"/>
      <c r="J25" s="432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60" t="str">
        <f ca="1">IFERROR(VLOOKUP(M23,OFFSET($AG$2,,,COUNTIF($AG$2:$AG$49,"?*"),23),18,FALSE),"")</f>
        <v>13 OZ, 8 (6+2), -12 ±</v>
      </c>
      <c r="N25" s="461"/>
      <c r="O25" s="461"/>
      <c r="P25" s="462" t="str">
        <f ca="1">IFERROR(VLOOKUP(M23,OFFSET($AG$2,,,COUNTIF($AG$2:$AG$49,"?*"),23),19,FALSE),"")</f>
        <v>54 OZ, 33 (21+12)</v>
      </c>
      <c r="Q25" s="462"/>
      <c r="R25" s="463"/>
      <c r="S25" s="110" t="s">
        <v>764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6"/>
        <v>13 OZ, 22 (13+9), +4 ±</v>
      </c>
      <c r="AY25" s="129" t="str">
        <f t="shared" ca="1" si="17"/>
        <v>202 OZ, 327 (179+148)</v>
      </c>
      <c r="AZ25" s="130"/>
      <c r="BA25" s="130"/>
      <c r="BB25" s="130"/>
      <c r="BC25" s="130"/>
      <c r="BD25" s="89" t="str">
        <f t="shared" si="7"/>
        <v>Valeš</v>
      </c>
      <c r="BE25" s="91">
        <f t="shared" ca="1" si="3"/>
        <v>1</v>
      </c>
      <c r="BF25" s="90" t="str">
        <f t="shared" si="8"/>
        <v>R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19"/>
      <c r="BT25" s="104" t="s">
        <v>1396</v>
      </c>
      <c r="BU25" s="103">
        <v>8</v>
      </c>
      <c r="BV25" s="104" t="str">
        <f t="shared" si="14"/>
        <v>Vojtěch Wiener</v>
      </c>
      <c r="BW25" s="102">
        <f t="shared" si="15"/>
        <v>8</v>
      </c>
    </row>
    <row r="26" spans="1:75" ht="15" customHeight="1" thickBot="1" x14ac:dyDescent="0.25">
      <c r="A26" s="448" t="str">
        <f ca="1">IFERROR(IF(VLOOKUP(A23,OFFSET($AG$2,,,COUNTIF($AG$2:$AG$49,"?*"),23),13,FALSE)&lt;&gt;0,VLOOKUP(A23,OFFSET($AG$2,,,COUNTIF($AG$2:$AG$49,"?*"),23),13,FALSE),"?"),"")</f>
        <v>Florbal Mladá Boleslav</v>
      </c>
      <c r="B26" s="449"/>
      <c r="C26" s="450"/>
      <c r="D26" s="451">
        <f ca="1">IFERROR(IF(VLOOKUP(A23,OFFSET($AG$2,,,COUNTIF($AG$2:$AG$49,"?*"),23),14,FALSE)&lt;&gt;0,VLOOKUP(A23,OFFSET($AG$2,,,COUNTIF($AG$2:$AG$49,"?*"),23),14,FALSE),"?"),"")</f>
        <v>2008</v>
      </c>
      <c r="E26" s="452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24">
        <f ca="1">IFERROR(IF(VLOOKUP(G25,OFFSET($AG$2,,,COUNTIF($AG$2:$AG$49,"?*"),23),2,FALSE)&lt;&gt;0,YEAR(VLOOKUP(G25,OFFSET($AG$2,,,COUNTIF($AG$2:$AG$49,"?*"),23),2,FALSE)),""),"")</f>
        <v>1994</v>
      </c>
      <c r="I26" s="425"/>
      <c r="J26" s="94">
        <f ca="1">IFERROR(VLOOKUP(G25,OFFSET($AG$2,,,COUNTIF($AG$2:$AG$49,"?*"),23),15,FALSE),"")</f>
        <v>27</v>
      </c>
      <c r="K26" s="426" t="str">
        <f ca="1">IFERROR(VLOOKUP(G25,OFFSET($AG$2,,,COUNTIF($AG$2:$AG$49,"?*"),23),16,FALSE),"")</f>
        <v>185/86</v>
      </c>
      <c r="L26" s="427"/>
      <c r="M26" s="448" t="str">
        <f ca="1">IFERROR(IF(VLOOKUP(M23,OFFSET($AG$2,,,COUNTIF($AG$2:$AG$49,"?*"),23),13,FALSE)&lt;&gt;0,VLOOKUP(M23,OFFSET($AG$2,,,COUNTIF($AG$2:$AG$49,"?*"),23),13,FALSE),"?"),"")</f>
        <v>DTJ Trutnov</v>
      </c>
      <c r="N26" s="449"/>
      <c r="O26" s="450"/>
      <c r="P26" s="451">
        <f ca="1">IFERROR(IF(VLOOKUP(M23,OFFSET($AG$2,,,COUNTIF($AG$2:$AG$49,"?*"),23),14,FALSE)&lt;&gt;0,VLOOKUP(M23,OFFSET($AG$2,,,COUNTIF($AG$2:$AG$49,"?*"),23),14,FALSE),"?"),"")</f>
        <v>2014</v>
      </c>
      <c r="Q26" s="452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213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6"/>
        <v>13 OZ, 17 (9+8), +7 ±</v>
      </c>
      <c r="AY26" s="129" t="str">
        <f t="shared" ca="1" si="17"/>
        <v>35 OZ, 43 (18+25)</v>
      </c>
      <c r="AZ26" s="130"/>
      <c r="BA26" s="130"/>
      <c r="BB26" s="130"/>
      <c r="BC26" s="130"/>
      <c r="BD26" s="3" t="str">
        <f t="shared" si="7"/>
        <v>Wiener</v>
      </c>
      <c r="BE26" s="84">
        <f t="shared" ca="1" si="3"/>
        <v>1</v>
      </c>
      <c r="BF26" s="62" t="str">
        <f t="shared" si="8"/>
        <v>V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19"/>
      <c r="BT26" s="104" t="s">
        <v>1398</v>
      </c>
      <c r="BU26" s="103">
        <v>7</v>
      </c>
      <c r="BV26" s="104" t="str">
        <f t="shared" si="14"/>
        <v>Filip Smutný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IFERROR(VLOOKUP(G25,OFFSET($AG$2,,,COUNTIF($AG$2:$AG$49,"?*"),23),18,FALSE),"")</f>
        <v>11 OZ, 4 (2+2), -9 ±</v>
      </c>
      <c r="H27" s="461"/>
      <c r="I27" s="461"/>
      <c r="J27" s="462" t="str">
        <f ca="1">IFERROR(VLOOKUP(G25,OFFSET($AG$2,,,COUNTIF($AG$2:$AG$49,"?*"),23),19,FALSE),"")</f>
        <v>129 OZ, 39 (28+11)</v>
      </c>
      <c r="K27" s="462"/>
      <c r="L27" s="463"/>
      <c r="S27" s="110" t="s">
        <v>210</v>
      </c>
      <c r="U27" s="102">
        <v>12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-3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49" ca="1" si="18">IF(AG27&lt;&gt;"",IF(AH27&lt;&gt;"",INT((TODAY()-AH27)/365),"?"),"")</f>
        <v/>
      </c>
      <c r="AV27" s="127" t="str">
        <f t="shared" ref="AV27:AV49" si="19">IF(AG27&lt;&gt;"",CONCATENATE(IF(AQ27&lt;&gt;"",AQ27,"? "),"/",IF(AR27&lt;&gt;"",AR27," ?")),"")</f>
        <v/>
      </c>
      <c r="AW27" s="128" t="str">
        <f t="shared" ref="AW27:AW49" si="20">IF(AG27&lt;&gt;"",IF(BE27=1,BD27,IF(BH27=1,BG27,IF(BJ27=1,BI27,IF(BL27=1,BK27,BM27)))),"")</f>
        <v/>
      </c>
      <c r="AX27" s="129" t="str">
        <f t="shared" ca="1" si="16"/>
        <v/>
      </c>
      <c r="AY27" s="129" t="str">
        <f t="shared" ca="1" si="17"/>
        <v/>
      </c>
      <c r="AZ27" s="130"/>
      <c r="BA27" s="130"/>
      <c r="BB27" s="130"/>
      <c r="BC27" s="130"/>
      <c r="BD27" s="89" t="str">
        <f t="shared" si="7"/>
        <v/>
      </c>
      <c r="BE27" s="91" t="str">
        <f t="shared" ca="1" si="3"/>
        <v/>
      </c>
      <c r="BF27" s="90" t="str">
        <f t="shared" si="8"/>
        <v/>
      </c>
      <c r="BG27" s="89" t="str">
        <f t="shared" ca="1" si="9"/>
        <v/>
      </c>
      <c r="BH27" s="90" t="str">
        <f t="shared" ca="1" si="4"/>
        <v/>
      </c>
      <c r="BI27" s="89" t="str">
        <f t="shared" ca="1" si="10"/>
        <v/>
      </c>
      <c r="BJ27" s="90" t="str">
        <f t="shared" ca="1" si="5"/>
        <v/>
      </c>
      <c r="BK27" s="89" t="str">
        <f t="shared" ca="1" si="11"/>
        <v/>
      </c>
      <c r="BL27" s="90" t="str">
        <f t="shared" ca="1" si="6"/>
        <v/>
      </c>
      <c r="BM27" s="89" t="str">
        <f t="shared" ca="1" si="12"/>
        <v/>
      </c>
      <c r="BS27" s="419" t="s">
        <v>39</v>
      </c>
      <c r="BT27" s="104" t="s">
        <v>1159</v>
      </c>
      <c r="BU27" s="103">
        <v>8</v>
      </c>
      <c r="BV27" s="104" t="str">
        <f t="shared" si="14"/>
        <v>Šimon Stránský</v>
      </c>
      <c r="BW27" s="102">
        <f t="shared" si="15"/>
        <v>8</v>
      </c>
    </row>
    <row r="28" spans="1:75" ht="15" customHeight="1" thickTop="1" thickBot="1" x14ac:dyDescent="0.25">
      <c r="A28" s="431" t="s">
        <v>199</v>
      </c>
      <c r="B28" s="432"/>
      <c r="C28" s="432"/>
      <c r="D28" s="432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48" t="str">
        <f ca="1">IFERROR(IF(VLOOKUP(G25,OFFSET($AG$2,,,COUNTIF($AG$2:$AG$49,"?*"),23),13,FALSE)&lt;&gt;0,VLOOKUP(G25,OFFSET($AG$2,,,COUNTIF($AG$2:$AG$49,"?*"),23),13,FALSE),"?"),"")</f>
        <v>Sokol Dvůr Králové</v>
      </c>
      <c r="H28" s="449"/>
      <c r="I28" s="450"/>
      <c r="J28" s="451">
        <f ca="1">IFERROR(IF(VLOOKUP(G25,OFFSET($AG$2,,,COUNTIF($AG$2:$AG$49,"?*"),23),14,FALSE)&lt;&gt;0,VLOOKUP(G25,OFFSET($AG$2,,,COUNTIF($AG$2:$AG$49,"?*"),23),14,FALSE),"?"),"")</f>
        <v>2001</v>
      </c>
      <c r="K28" s="452"/>
      <c r="L28" s="7">
        <f ca="1">IFERROR(IF(VLOOKUP(G25,OFFSET($AG$2,,,COUNTIF($AG$2:$AG$49,"?*"),23),7,FALSE)&lt;&gt;0,VLOOKUP(G25,OFFSET($AG$2,,,COUNTIF($AG$2:$AG$49,"?*"),23),7,FALSE),"?"),"")</f>
        <v>11</v>
      </c>
      <c r="M28" s="431" t="s">
        <v>197</v>
      </c>
      <c r="N28" s="432"/>
      <c r="O28" s="432"/>
      <c r="P28" s="432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49" si="21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7"/>
        <v/>
      </c>
      <c r="AZ28" s="130"/>
      <c r="BA28" s="130"/>
      <c r="BB28" s="130"/>
      <c r="BC28" s="130"/>
      <c r="BD28" s="3" t="str">
        <f t="shared" si="7"/>
        <v/>
      </c>
      <c r="BE28" s="84" t="str">
        <f t="shared" ca="1" si="3"/>
        <v/>
      </c>
      <c r="BF28" s="62" t="str">
        <f t="shared" si="8"/>
        <v/>
      </c>
      <c r="BG28" s="3" t="str">
        <f t="shared" ca="1" si="9"/>
        <v/>
      </c>
      <c r="BH28" s="62" t="str">
        <f t="shared" ca="1" si="4"/>
        <v/>
      </c>
      <c r="BI28" s="3" t="str">
        <f t="shared" ca="1" si="10"/>
        <v/>
      </c>
      <c r="BJ28" s="62" t="str">
        <f t="shared" ca="1" si="5"/>
        <v/>
      </c>
      <c r="BK28" s="3" t="str">
        <f t="shared" ca="1" si="11"/>
        <v/>
      </c>
      <c r="BL28" s="62" t="str">
        <f t="shared" ca="1" si="6"/>
        <v/>
      </c>
      <c r="BM28" s="3" t="str">
        <f t="shared" ca="1" si="12"/>
        <v/>
      </c>
      <c r="BS28" s="419"/>
      <c r="BT28" s="104" t="s">
        <v>1164</v>
      </c>
      <c r="BU28" s="103">
        <v>6</v>
      </c>
      <c r="BV28" s="104" t="str">
        <f t="shared" si="14"/>
        <v>Jan Světlík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24">
        <f ca="1">IFERROR(IF(VLOOKUP(A28,OFFSET($AG$2,,,COUNTIF($AG$2:$AG$49,"?*"),23),2,FALSE)&lt;&gt;0,YEAR(VLOOKUP(A28,OFFSET($AG$2,,,COUNTIF($AG$2:$AG$49,"?*"),23),2,FALSE)),""),"")</f>
        <v>2000</v>
      </c>
      <c r="C29" s="425"/>
      <c r="D29" s="94">
        <f ca="1">IFERROR(VLOOKUP(A28,OFFSET($AG$2,,,COUNTIF($AG$2:$AG$49,"?*"),23),15,FALSE),"")</f>
        <v>21</v>
      </c>
      <c r="E29" s="426" t="str">
        <f ca="1">IFERROR(VLOOKUP(A28,OFFSET($AG$2,,,COUNTIF($AG$2:$AG$49,"?*"),23),16,FALSE),"")</f>
        <v>180/72</v>
      </c>
      <c r="F29" s="427"/>
      <c r="M29" s="4" t="str">
        <f ca="1">IFERROR(IF(VLOOKUP(M28,OFFSET($AG$2,,,COUNTIF($AG$2:$AG$49,"?*"),23),10,FALSE)&lt;&gt;0,VLOOKUP(M28,OFFSET($AG$2,,,COUNTIF($AG$2:$AG$49,"?*"),23),10,FALSE),""),"")</f>
        <v>L</v>
      </c>
      <c r="N29" s="424">
        <f ca="1">IFERROR(IF(VLOOKUP(M28,OFFSET($AG$2,,,COUNTIF($AG$2:$AG$49,"?*"),23),2,FALSE)&lt;&gt;0,YEAR(VLOOKUP(M28,OFFSET($AG$2,,,COUNTIF($AG$2:$AG$49,"?*"),23),2,FALSE)),""),"")</f>
        <v>1989</v>
      </c>
      <c r="O29" s="425"/>
      <c r="P29" s="94">
        <f ca="1">IFERROR(VLOOKUP(M28,OFFSET($AG$2,,,COUNTIF($AG$2:$AG$49,"?*"),23),15,FALSE),"")</f>
        <v>32</v>
      </c>
      <c r="Q29" s="426" t="str">
        <f ca="1">IFERROR(VLOOKUP(M28,OFFSET($AG$2,,,COUNTIF($AG$2:$AG$49,"?*"),23),16,FALSE),"")</f>
        <v>194/98</v>
      </c>
      <c r="R29" s="42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1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7"/>
        <v/>
      </c>
      <c r="AZ29" s="130"/>
      <c r="BA29" s="130"/>
      <c r="BB29" s="130"/>
      <c r="BC29" s="130"/>
      <c r="BD29" s="89" t="str">
        <f t="shared" si="7"/>
        <v/>
      </c>
      <c r="BE29" s="91" t="str">
        <f t="shared" ca="1" si="3"/>
        <v/>
      </c>
      <c r="BF29" s="90" t="str">
        <f t="shared" si="8"/>
        <v/>
      </c>
      <c r="BG29" s="89" t="str">
        <f t="shared" ca="1" si="9"/>
        <v/>
      </c>
      <c r="BH29" s="90" t="str">
        <f t="shared" ca="1" si="4"/>
        <v/>
      </c>
      <c r="BI29" s="89" t="str">
        <f t="shared" ca="1" si="10"/>
        <v/>
      </c>
      <c r="BJ29" s="90" t="str">
        <f t="shared" ca="1" si="5"/>
        <v/>
      </c>
      <c r="BK29" s="89" t="str">
        <f t="shared" ca="1" si="11"/>
        <v/>
      </c>
      <c r="BL29" s="90" t="str">
        <f t="shared" ca="1" si="6"/>
        <v/>
      </c>
      <c r="BM29" s="89" t="str">
        <f t="shared" ca="1" si="12"/>
        <v/>
      </c>
      <c r="BS29" s="419"/>
      <c r="BT29" s="104" t="s">
        <v>1399</v>
      </c>
      <c r="BU29" s="103">
        <v>6</v>
      </c>
      <c r="BV29" s="104" t="str">
        <f t="shared" si="14"/>
        <v>Vojtěch Wiener</v>
      </c>
      <c r="BW29" s="102">
        <f t="shared" si="15"/>
        <v>6</v>
      </c>
    </row>
    <row r="30" spans="1:75" ht="15" customHeight="1" x14ac:dyDescent="0.2">
      <c r="A30" s="460" t="str">
        <f ca="1">IFERROR(VLOOKUP(A28,OFFSET($AG$2,,,COUNTIF($AG$2:$AG$49,"?*"),23),18,FALSE),"")</f>
        <v>7 OZ, 1 (0+1), -8 ±</v>
      </c>
      <c r="B30" s="461"/>
      <c r="C30" s="461"/>
      <c r="D30" s="462" t="str">
        <f ca="1">IFERROR(VLOOKUP(A28,OFFSET($AG$2,,,COUNTIF($AG$2:$AG$49,"?*"),23),19,FALSE),"")</f>
        <v>57 OZ, 14 (5+9)</v>
      </c>
      <c r="E30" s="462"/>
      <c r="F30" s="463"/>
      <c r="H30" s="464" t="str">
        <f>H$8</f>
        <v>LIB</v>
      </c>
      <c r="I30" s="464"/>
      <c r="J30" s="464"/>
      <c r="K30" s="464"/>
      <c r="M30" s="460" t="str">
        <f ca="1">IFERROR(VLOOKUP(M28,OFFSET($AG$2,,,COUNTIF($AG$2:$AG$49,"?*"),23),18,FALSE),"")</f>
        <v>12 OZ, 3 (3+0), -1 ±</v>
      </c>
      <c r="N30" s="461"/>
      <c r="O30" s="461"/>
      <c r="P30" s="462" t="str">
        <f ca="1">IFERROR(VLOOKUP(M28,OFFSET($AG$2,,,COUNTIF($AG$2:$AG$49,"?*"),23),19,FALSE),"")</f>
        <v>254 OZ, 121 (66+55)</v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1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2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19"/>
      <c r="BT30" s="104" t="s">
        <v>1400</v>
      </c>
      <c r="BU30" s="103">
        <v>4</v>
      </c>
      <c r="BV30" s="104" t="str">
        <f t="shared" si="14"/>
        <v>Jan Baudisch</v>
      </c>
      <c r="BW30" s="102">
        <f t="shared" si="15"/>
        <v>4</v>
      </c>
    </row>
    <row r="31" spans="1:75" ht="15" customHeight="1" thickBot="1" x14ac:dyDescent="0.25">
      <c r="A31" s="448" t="str">
        <f ca="1">IFERROR(IF(VLOOKUP(A28,OFFSET($AG$2,,,COUNTIF($AG$2:$AG$49,"?*"),23),13,FALSE)&lt;&gt;0,VLOOKUP(A28,OFFSET($AG$2,,,COUNTIF($AG$2:$AG$49,"?*"),23),13,FALSE),"?"),"")</f>
        <v>FA Mladá Boleslav</v>
      </c>
      <c r="B31" s="449"/>
      <c r="C31" s="450"/>
      <c r="D31" s="451">
        <f ca="1">IFERROR(IF(VLOOKUP(A28,OFFSET($AG$2,,,COUNTIF($AG$2:$AG$49,"?*"),23),14,FALSE)&lt;&gt;0,VLOOKUP(A28,OFFSET($AG$2,,,COUNTIF($AG$2:$AG$49,"?*"),23),14,FALSE),"?"),"")</f>
        <v>2006</v>
      </c>
      <c r="E31" s="452"/>
      <c r="F31" s="7">
        <f ca="1">IFERROR(IF(VLOOKUP(A28,OFFSET($AG$2,,,COUNTIF($AG$2:$AG$49,"?*"),23),7,FALSE)&lt;&gt;0,VLOOKUP(A28,OFFSET($AG$2,,,COUNTIF($AG$2:$AG$49,"?*"),23),7,FALSE),"?"),"")</f>
        <v>3</v>
      </c>
      <c r="H31" s="464"/>
      <c r="I31" s="464"/>
      <c r="J31" s="464"/>
      <c r="K31" s="464"/>
      <c r="M31" s="448" t="str">
        <f ca="1">IFERROR(IF(VLOOKUP(M28,OFFSET($AG$2,,,COUNTIF($AG$2:$AG$49,"?*"),23),13,FALSE)&lt;&gt;0,VLOOKUP(M28,OFFSET($AG$2,,,COUNTIF($AG$2:$AG$49,"?*"),23),13,FALSE),"?"),"")</f>
        <v>FBC Liberec</v>
      </c>
      <c r="N31" s="449"/>
      <c r="O31" s="450"/>
      <c r="P31" s="451">
        <f ca="1">IFERROR(IF(VLOOKUP(M28,OFFSET($AG$2,,,COUNTIF($AG$2:$AG$49,"?*"),23),14,FALSE)&lt;&gt;0,VLOOKUP(M28,OFFSET($AG$2,,,COUNTIF($AG$2:$AG$49,"?*"),23),14,FALSE),"?"),"")</f>
        <v>1999</v>
      </c>
      <c r="Q31" s="452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1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2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19"/>
      <c r="BT31" s="104" t="s">
        <v>1401</v>
      </c>
      <c r="BU31" s="103">
        <v>4</v>
      </c>
      <c r="BV31" s="104" t="str">
        <f t="shared" si="14"/>
        <v>Vojtěch Janeček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1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2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1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2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31" t="s">
        <v>212</v>
      </c>
      <c r="B34" s="432"/>
      <c r="C34" s="432"/>
      <c r="D34" s="432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59" t="s">
        <v>16</v>
      </c>
      <c r="J34" s="431" t="s">
        <v>208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1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2"/>
        <v/>
      </c>
      <c r="AY34" s="129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ca="1" si="3"/>
        <v/>
      </c>
      <c r="BF34" s="62" t="str">
        <f t="shared" si="8"/>
        <v/>
      </c>
      <c r="BG34" s="3" t="str">
        <f t="shared" ca="1" si="9"/>
        <v/>
      </c>
      <c r="BH34" s="62" t="str">
        <f t="shared" ca="1" si="4"/>
        <v/>
      </c>
      <c r="BI34" s="3" t="str">
        <f t="shared" ca="1" si="10"/>
        <v/>
      </c>
      <c r="BJ34" s="62" t="str">
        <f t="shared" ca="1" si="5"/>
        <v/>
      </c>
      <c r="BK34" s="3" t="str">
        <f t="shared" ca="1" si="11"/>
        <v/>
      </c>
      <c r="BL34" s="62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24">
        <f ca="1">IFERROR(IF(VLOOKUP(A34,OFFSET($AG$2,,,COUNTIF($AG$2:$AG$49,"?*"),23),2,FALSE)&lt;&gt;0,YEAR(VLOOKUP(A34,OFFSET($AG$2,,,COUNTIF($AG$2:$AG$49,"?*"),23),2,FALSE)),""),"")</f>
        <v>2001</v>
      </c>
      <c r="C35" s="425"/>
      <c r="D35" s="94">
        <f ca="1">IFERROR(VLOOKUP(A34,OFFSET($AG$2,,,COUNTIF($AG$2:$AG$49,"?*"),23),15,FALSE),"")</f>
        <v>20</v>
      </c>
      <c r="E35" s="426" t="str">
        <f ca="1">IFERROR(VLOOKUP(A34,OFFSET($AG$2,,,COUNTIF($AG$2:$AG$49,"?*"),23),16,FALSE),"")</f>
        <v>195/93</v>
      </c>
      <c r="F35" s="427"/>
      <c r="H35" s="459"/>
      <c r="J35" s="4" t="str">
        <f ca="1">IFERROR(IF(VLOOKUP(J34,OFFSET($AG$2,,,COUNTIF($AG$2:$AG$49,"?*"),23),10,FALSE)&lt;&gt;0,VLOOKUP(J34,OFFSET($AG$2,,,COUNTIF($AG$2:$AG$49,"?*"),23),10,FALSE),""),"")</f>
        <v>P</v>
      </c>
      <c r="K35" s="425">
        <f ca="1">IFERROR(IF(VLOOKUP(J34,OFFSET($AG$2,,,COUNTIF($AG$2:$AG$49,"?*"),23),2,FALSE)&lt;&gt;0,YEAR(VLOOKUP(J34,OFFSET($AG$2,,,COUNTIF($AG$2:$AG$49,"?*"),23),2,FALSE)),""),"")</f>
        <v>2004</v>
      </c>
      <c r="L35" s="433"/>
      <c r="M35" s="93">
        <f ca="1">IFERROR(VLOOKUP(J34,OFFSET($AG$2,,,COUNTIF($AG$2:$AG$49,"?*"),23),15,FALSE),"")</f>
        <v>17</v>
      </c>
      <c r="N35" s="433" t="str">
        <f ca="1">IFERROR(VLOOKUP(J34,OFFSET($AG$2,,,COUNTIF($AG$2:$AG$49,"?*"),23),16,FALSE),"")</f>
        <v>183/79</v>
      </c>
      <c r="O35" s="433"/>
      <c r="P35" s="433" t="str">
        <f ca="1">IFERROR(VLOOKUP(J34,OFFSET($AG$2,,,COUNTIF($AG$2:$AG$49,"?*"),23),18,FALSE),"")</f>
        <v>12 OZ, 20 (13+7), -2 ±</v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11</v>
      </c>
      <c r="B36" s="428" t="str">
        <f ca="1">IFERROR(VLOOKUP(A34,OFFSET($AG$2,,,COUNTIF($AG$2:$AG$49,"?*"),23),18,FALSE),"")</f>
        <v>7 V, 4 P</v>
      </c>
      <c r="C36" s="428"/>
      <c r="D36" s="429">
        <f ca="1">IFERROR(VLOOKUP(A34,OFFSET($S$45,,,COUNTIF($S$45:$S$50,"?*"),14),5,FALSE),"")</f>
        <v>59</v>
      </c>
      <c r="E36" s="430"/>
      <c r="F36" s="17">
        <f ca="1">IFERROR(VLOOKUP(A34,OFFSET($S$45,,,COUNTIF($S$45:$S$50,"?*"),14),14,FALSE),"")</f>
        <v>76.113360323886639</v>
      </c>
      <c r="H36" s="459"/>
      <c r="J36" s="18">
        <f ca="1">IFERROR(IF(VLOOKUP(J34,OFFSET($AG$2,,,COUNTIF($AG$2:$AG$49,"?*"),23),7,FALSE)&lt;&gt;0,VLOOKUP(J34,OFFSET($AG$2,,,COUNTIF($AG$2:$AG$49,"?*"),23),7,FALSE),"?"),"")</f>
        <v>1</v>
      </c>
      <c r="K36" s="435" t="str">
        <f ca="1">IFERROR(VLOOKUP(J34,OFFSET($AG$2,,,COUNTIF($AG$2:$AG$49,"?*"),23),19,FALSE),"")</f>
        <v>12 OZ, 20 (13+7)</v>
      </c>
      <c r="L36" s="435"/>
      <c r="M36" s="435"/>
      <c r="N36" s="436" t="str">
        <f ca="1">IFERROR(IF(VLOOKUP(J34,OFFSET($AG$2,,,COUNTIF($AG$2:$AG$49,"?*"),23),13,FALSE)&lt;&gt;0,VLOOKUP(J34,OFFSET($AG$2,,,COUNTIF($AG$2:$AG$49,"?*"),23),13,FALSE),"?"),"")</f>
        <v>FBC Panthers Liberec</v>
      </c>
      <c r="O36" s="436"/>
      <c r="P36" s="436"/>
      <c r="Q36" s="435">
        <f ca="1">IFERROR(IF(VLOOKUP(J34,OFFSET($AG$2,,,COUNTIF($AG$2:$AG$49,"?*"),23),14,FALSE)&lt;&gt;0,VLOOKUP(J34,OFFSET($AG$2,,,COUNTIF($AG$2:$AG$49,"?*"),23),14,FALSE),"?"),"")</f>
        <v>2010</v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1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ref="BE36:BE49" ca="1" si="24">IF(AG36&lt;&gt;"",COUNTIF(OFFSET($BD$2,,,COUNTIF($AG$2:$AG$49,"?*")),BD36),"")</f>
        <v/>
      </c>
      <c r="BF36" s="62" t="str">
        <f t="shared" si="8"/>
        <v/>
      </c>
      <c r="BG36" s="3" t="str">
        <f t="shared" ca="1" si="9"/>
        <v/>
      </c>
      <c r="BH36" s="62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62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62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629.4</v>
      </c>
      <c r="B37" s="454"/>
      <c r="C37" s="455">
        <f ca="1">IFERROR(VLOOKUP(A34,OFFSET($S$45,,,COUNTIF($S$45:$S$50,"?*"),14),13,FALSE),"")</f>
        <v>5.6244041944709249</v>
      </c>
      <c r="D37" s="456"/>
      <c r="E37" s="457" t="str">
        <f ca="1">IFERROR(VLOOKUP(A34,OFFSET($AG$2,,,COUNTIF($AG$2:$AG$49,"?*"),23),19,FALSE),"")</f>
        <v>11 OZ, 1 A</v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1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4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25"/>
        <v/>
      </c>
      <c r="BI37" s="89" t="str">
        <f t="shared" ca="1" si="10"/>
        <v/>
      </c>
      <c r="BJ37" s="90" t="str">
        <f t="shared" ca="1" si="26"/>
        <v/>
      </c>
      <c r="BK37" s="89" t="str">
        <f t="shared" ca="1" si="11"/>
        <v/>
      </c>
      <c r="BL37" s="90" t="str">
        <f t="shared" ca="1" si="27"/>
        <v/>
      </c>
      <c r="BM37" s="89" t="str">
        <f t="shared" ca="1" si="12"/>
        <v/>
      </c>
    </row>
    <row r="38" spans="1:65" ht="15" customHeight="1" thickTop="1" thickBot="1" x14ac:dyDescent="0.25">
      <c r="A38" s="448" t="str">
        <f ca="1">IFERROR(IF(VLOOKUP(A34,OFFSET($AG$2,,,COUNTIF($AG$2:$AG$49,"?*"),23),13,FALSE)&lt;&gt;0,VLOOKUP(A34,OFFSET($AG$2,,,COUNTIF($AG$2:$AG$49,"?*"),23),13,FALSE),"?"),"")</f>
        <v>FBC Liberec</v>
      </c>
      <c r="B38" s="449"/>
      <c r="C38" s="450"/>
      <c r="D38" s="451">
        <f ca="1">IFERROR(IF(VLOOKUP(A34,OFFSET($AG$2,,,COUNTIF($AG$2:$AG$49,"?*"),23),14,FALSE)&lt;&gt;0,VLOOKUP(A34,OFFSET($AG$2,,,COUNTIF($AG$2:$AG$49,"?*"),23),14,FALSE),"?"),"")</f>
        <v>2014</v>
      </c>
      <c r="E38" s="452"/>
      <c r="F38" s="19">
        <f ca="1">IFERROR(VLOOKUP(A34,OFFSET($S$45,,,COUNTIF($S$45:$S$50,"?*"),14),6,FALSE),"")</f>
        <v>0</v>
      </c>
      <c r="H38" s="459"/>
      <c r="J38" s="431" t="s">
        <v>213</v>
      </c>
      <c r="K38" s="432"/>
      <c r="L38" s="432"/>
      <c r="M38" s="432"/>
      <c r="N38" s="432"/>
      <c r="O38" s="432"/>
      <c r="P38" s="432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1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4"/>
        <v/>
      </c>
      <c r="BF38" s="62" t="str">
        <f t="shared" si="8"/>
        <v/>
      </c>
      <c r="BG38" s="3" t="str">
        <f t="shared" ca="1" si="9"/>
        <v/>
      </c>
      <c r="BH38" s="62" t="str">
        <f t="shared" ca="1" si="25"/>
        <v/>
      </c>
      <c r="BI38" s="3" t="str">
        <f t="shared" ca="1" si="10"/>
        <v/>
      </c>
      <c r="BJ38" s="62" t="str">
        <f t="shared" ca="1" si="26"/>
        <v/>
      </c>
      <c r="BK38" s="3" t="str">
        <f t="shared" ca="1" si="11"/>
        <v/>
      </c>
      <c r="BL38" s="62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459"/>
      <c r="J39" s="4" t="str">
        <f ca="1">IFERROR(IF(VLOOKUP(J38,OFFSET($AG$2,,,COUNTIF($AG$2:$AG$49,"?*"),23),10,FALSE)&lt;&gt;0,VLOOKUP(J38,OFFSET($AG$2,,,COUNTIF($AG$2:$AG$49,"?*"),23),10,FALSE),""),"")</f>
        <v>P</v>
      </c>
      <c r="K39" s="425">
        <f ca="1">IFERROR(IF(VLOOKUP(J38,OFFSET($AG$2,,,COUNTIF($AG$2:$AG$49,"?*"),23),2,FALSE)&lt;&gt;0,YEAR(VLOOKUP(J38,OFFSET($AG$2,,,COUNTIF($AG$2:$AG$49,"?*"),23),2,FALSE)),""),"")</f>
        <v>2001</v>
      </c>
      <c r="L39" s="433"/>
      <c r="M39" s="150">
        <f ca="1">IFERROR(VLOOKUP(J38,OFFSET($AG$2,,,COUNTIF($AG$2:$AG$49,"?*"),23),15,FALSE),"")</f>
        <v>20</v>
      </c>
      <c r="N39" s="433" t="str">
        <f ca="1">IFERROR(VLOOKUP(J38,OFFSET($AG$2,,,COUNTIF($AG$2:$AG$49,"?*"),23),16,FALSE),"")</f>
        <v>170/67</v>
      </c>
      <c r="O39" s="433"/>
      <c r="P39" s="433" t="str">
        <f ca="1">IFERROR(VLOOKUP(J38,OFFSET($AG$2,,,COUNTIF($AG$2:$AG$49,"?*"),23),18,FALSE),"")</f>
        <v>7 OZ, 0 (0+0), 0 ±</v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4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25"/>
        <v/>
      </c>
      <c r="BI39" s="89" t="str">
        <f t="shared" ca="1" si="10"/>
        <v/>
      </c>
      <c r="BJ39" s="90" t="str">
        <f t="shared" ca="1" si="26"/>
        <v/>
      </c>
      <c r="BK39" s="89" t="str">
        <f t="shared" ca="1" si="11"/>
        <v/>
      </c>
      <c r="BL39" s="90" t="str">
        <f t="shared" ca="1" si="27"/>
        <v/>
      </c>
      <c r="BM39" s="89" t="str">
        <f t="shared" ca="1" si="12"/>
        <v/>
      </c>
    </row>
    <row r="40" spans="1:65" ht="15" customHeight="1" thickTop="1" thickBot="1" x14ac:dyDescent="0.25">
      <c r="A40" s="431" t="s">
        <v>764</v>
      </c>
      <c r="B40" s="432"/>
      <c r="C40" s="432"/>
      <c r="D40" s="432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59"/>
      <c r="J40" s="18">
        <f ca="1">IFERROR(IF(VLOOKUP(J38,OFFSET($AG$2,,,COUNTIF($AG$2:$AG$49,"?*"),23),7,FALSE)&lt;&gt;0,VLOOKUP(J38,OFFSET($AG$2,,,COUNTIF($AG$2:$AG$49,"?*"),23),7,FALSE),"?"),"")</f>
        <v>4</v>
      </c>
      <c r="K40" s="435" t="str">
        <f ca="1">IFERROR(VLOOKUP(J38,OFFSET($AG$2,,,COUNTIF($AG$2:$AG$49,"?*"),23),19,FALSE),"")</f>
        <v>21 OZ, 0 (0+0)</v>
      </c>
      <c r="L40" s="435"/>
      <c r="M40" s="435"/>
      <c r="N40" s="436" t="str">
        <f ca="1">IFERROR(IF(VLOOKUP(J38,OFFSET($AG$2,,,COUNTIF($AG$2:$AG$49,"?*"),23),13,FALSE)&lt;&gt;0,VLOOKUP(J38,OFFSET($AG$2,,,COUNTIF($AG$2:$AG$49,"?*"),23),13,FALSE),"?"),"")</f>
        <v>Sokol Benátky nad Jizerou</v>
      </c>
      <c r="O40" s="436"/>
      <c r="P40" s="436"/>
      <c r="Q40" s="435">
        <f ca="1">IFERROR(IF(VLOOKUP(J38,OFFSET($AG$2,,,COUNTIF($AG$2:$AG$49,"?*"),23),14,FALSE)&lt;&gt;0,VLOOKUP(J38,OFFSET($AG$2,,,COUNTIF($AG$2:$AG$49,"?*"),23),14,FALSE),"?"),"")</f>
        <v>2006</v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4"/>
        <v/>
      </c>
      <c r="BF40" s="62" t="str">
        <f t="shared" si="8"/>
        <v/>
      </c>
      <c r="BG40" s="3" t="str">
        <f t="shared" ca="1" si="9"/>
        <v/>
      </c>
      <c r="BH40" s="62" t="str">
        <f t="shared" ca="1" si="25"/>
        <v/>
      </c>
      <c r="BI40" s="3" t="str">
        <f t="shared" ca="1" si="10"/>
        <v/>
      </c>
      <c r="BJ40" s="62" t="str">
        <f t="shared" ca="1" si="26"/>
        <v/>
      </c>
      <c r="BK40" s="3" t="str">
        <f t="shared" ca="1" si="11"/>
        <v/>
      </c>
      <c r="BL40" s="62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24">
        <f ca="1">IFERROR(IF(VLOOKUP(A40,OFFSET($AG$2,,,COUNTIF($AG$2:$AG$49,"?*"),23),2,FALSE)&lt;&gt;0,YEAR(VLOOKUP(A40,OFFSET($AG$2,,,COUNTIF($AG$2:$AG$49,"?*"),23),2,FALSE)),""),"")</f>
        <v>1993</v>
      </c>
      <c r="C41" s="425"/>
      <c r="D41" s="94">
        <f ca="1">IFERROR(VLOOKUP(A40,OFFSET($AG$2,,,COUNTIF($AG$2:$AG$49,"?*"),23),15,FALSE),"")</f>
        <v>28</v>
      </c>
      <c r="E41" s="426" t="str">
        <f ca="1">IFERROR(VLOOKUP(A40,OFFSET($AG$2,,,COUNTIF($AG$2:$AG$49,"?*"),23),16,FALSE),"")</f>
        <v>187/81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4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25"/>
        <v/>
      </c>
      <c r="BI41" s="89" t="str">
        <f t="shared" ca="1" si="10"/>
        <v/>
      </c>
      <c r="BJ41" s="90" t="str">
        <f t="shared" ca="1" si="26"/>
        <v/>
      </c>
      <c r="BK41" s="89" t="str">
        <f t="shared" ca="1" si="11"/>
        <v/>
      </c>
      <c r="BL41" s="90" t="str">
        <f t="shared" ca="1" si="27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28" t="str">
        <f ca="1">IFERROR(VLOOKUP(A40,OFFSET($AG$2,,,COUNTIF($AG$2:$AG$49,"?*"),23),18,FALSE),"")</f>
        <v>1 V, 1 P</v>
      </c>
      <c r="C42" s="428"/>
      <c r="D42" s="429">
        <f ca="1">IFERROR(VLOOKUP(A40,OFFSET($S$45,,,COUNTIF($S$45:$S$50,"?*"),14),5,FALSE),"")</f>
        <v>7</v>
      </c>
      <c r="E42" s="430"/>
      <c r="F42" s="17">
        <f ca="1">IFERROR(VLOOKUP(A40,OFFSET($S$45,,,COUNTIF($S$45:$S$50,"?*"),14),14,FALSE),"")</f>
        <v>77.41935483870968</v>
      </c>
      <c r="H42" s="459"/>
      <c r="J42" s="431"/>
      <c r="K42" s="432"/>
      <c r="L42" s="432"/>
      <c r="M42" s="432"/>
      <c r="N42" s="432"/>
      <c r="O42" s="432"/>
      <c r="P42" s="432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4"/>
        <v/>
      </c>
      <c r="BF42" s="62" t="str">
        <f t="shared" si="8"/>
        <v/>
      </c>
      <c r="BG42" s="3" t="str">
        <f t="shared" ca="1" si="9"/>
        <v/>
      </c>
      <c r="BH42" s="62" t="str">
        <f t="shared" ca="1" si="25"/>
        <v/>
      </c>
      <c r="BI42" s="3" t="str">
        <f t="shared" ca="1" si="10"/>
        <v/>
      </c>
      <c r="BJ42" s="62" t="str">
        <f t="shared" ca="1" si="26"/>
        <v/>
      </c>
      <c r="BK42" s="3" t="str">
        <f t="shared" ca="1" si="11"/>
        <v/>
      </c>
      <c r="BL42" s="62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453">
        <f ca="1">IFERROR(VLOOKUP(A40,OFFSET($S$45,,,COUNTIF($S$45:$S$50,"?*"),14),3,FALSE),"")</f>
        <v>74.48</v>
      </c>
      <c r="B43" s="454"/>
      <c r="C43" s="455">
        <f ca="1">IFERROR(VLOOKUP(A40,OFFSET($S$45,,,COUNTIF($S$45:$S$50,"?*"),14),13,FALSE),"")</f>
        <v>5.6390977443609023</v>
      </c>
      <c r="D43" s="456"/>
      <c r="E43" s="457" t="str">
        <f ca="1">IFERROR(VLOOKUP(A40,OFFSET($AG$2,,,COUNTIF($AG$2:$AG$49,"?*"),23),19,FALSE),"")</f>
        <v>2 OZ, 0 A</v>
      </c>
      <c r="F43" s="458"/>
      <c r="H43" s="459"/>
      <c r="J43" s="4" t="str">
        <f ca="1">IFERROR(IF(VLOOKUP(J42,OFFSET($AG$2,,,COUNTIF($AG$2:$AG$49,"?*"),23),10,FALSE)&lt;&gt;0,VLOOKUP(J42,OFFSET($AG$2,,,COUNTIF($AG$2:$AG$49,"?*"),23),10,FALSE),""),"")</f>
        <v/>
      </c>
      <c r="K43" s="425" t="str">
        <f ca="1">IFERROR(IF(VLOOKUP(J42,OFFSET($AG$2,,,COUNTIF($AG$2:$AG$49,"?*"),23),2,FALSE)&lt;&gt;0,YEAR(VLOOKUP(J42,OFFSET($AG$2,,,COUNTIF($AG$2:$AG$49,"?*"),23),2,FALSE)),""),"")</f>
        <v/>
      </c>
      <c r="L43" s="433"/>
      <c r="M43" s="150" t="str">
        <f ca="1">IFERROR(VLOOKUP(J42,OFFSET($AG$2,,,COUNTIF($AG$2:$AG$49,"?*"),23),15,FALSE),"")</f>
        <v/>
      </c>
      <c r="N43" s="433" t="str">
        <f ca="1">IFERROR(VLOOKUP(J42,OFFSET($AG$2,,,COUNTIF($AG$2:$AG$49,"?*"),23),16,FALSE),"")</f>
        <v/>
      </c>
      <c r="O43" s="433"/>
      <c r="P43" s="433" t="str">
        <f ca="1">IFERROR(VLOOKUP(J42,OFFSET($AG$2,,,COUNTIF($AG$2:$AG$49,"?*"),23),18,FALSE),"")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4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25"/>
        <v/>
      </c>
      <c r="BI43" s="89" t="str">
        <f t="shared" ca="1" si="10"/>
        <v/>
      </c>
      <c r="BJ43" s="90" t="str">
        <f t="shared" ca="1" si="26"/>
        <v/>
      </c>
      <c r="BK43" s="89" t="str">
        <f t="shared" ca="1" si="11"/>
        <v/>
      </c>
      <c r="BL43" s="90" t="str">
        <f t="shared" ca="1" si="27"/>
        <v/>
      </c>
      <c r="BM43" s="89" t="str">
        <f t="shared" ca="1" si="12"/>
        <v/>
      </c>
    </row>
    <row r="44" spans="1:65" ht="15" customHeight="1" thickBot="1" x14ac:dyDescent="0.25">
      <c r="A44" s="448" t="str">
        <f ca="1">IFERROR(IF(VLOOKUP(A40,OFFSET($AG$2,,,COUNTIF($AG$2:$AG$49,"?*"),23),13,FALSE)&lt;&gt;0,VLOOKUP(A40,OFFSET($AG$2,,,COUNTIF($AG$2:$AG$49,"?*"),23),13,FALSE),"?"),"")</f>
        <v>Sokol Pardubice</v>
      </c>
      <c r="B44" s="449"/>
      <c r="C44" s="450"/>
      <c r="D44" s="451">
        <f ca="1">IFERROR(IF(VLOOKUP(A40,OFFSET($AG$2,,,COUNTIF($AG$2:$AG$49,"?*"),23),14,FALSE)&lt;&gt;0,VLOOKUP(A40,OFFSET($AG$2,,,COUNTIF($AG$2:$AG$49,"?*"),23),14,FALSE),"?"),"")</f>
        <v>2006</v>
      </c>
      <c r="E44" s="452"/>
      <c r="F44" s="19">
        <f ca="1">IFERROR(VLOOKUP(A40,OFFSET($S$45,,,COUNTIF($S$45:$S$50,"?*"),14),6,FALSE),"")</f>
        <v>0</v>
      </c>
      <c r="H44" s="459"/>
      <c r="J44" s="18" t="str">
        <f ca="1">IFERROR(IF(VLOOKUP(J42,OFFSET($AG$2,,,COUNTIF($AG$2:$AG$49,"?*"),23),7,FALSE)&lt;&gt;0,VLOOKUP(J42,OFFSET($AG$2,,,COUNTIF($AG$2:$AG$49,"?*"),23),7,FALSE),"?"),"")</f>
        <v/>
      </c>
      <c r="K44" s="435" t="str">
        <f ca="1">IFERROR(VLOOKUP(J42,OFFSET($AG$2,,,COUNTIF($AG$2:$AG$49,"?*"),23),19,FALSE),"")</f>
        <v/>
      </c>
      <c r="L44" s="435"/>
      <c r="M44" s="435"/>
      <c r="N44" s="436" t="str">
        <f ca="1">IFERROR(IF(VLOOKUP(J42,OFFSET($AG$2,,,COUNTIF($AG$2:$AG$49,"?*"),23),13,FALSE)&lt;&gt;0,VLOOKUP(J42,OFFSET($AG$2,,,COUNTIF($AG$2:$AG$49,"?*"),23),13,FALSE),"?"),"")</f>
        <v/>
      </c>
      <c r="O44" s="436"/>
      <c r="P44" s="436"/>
      <c r="Q44" s="435" t="str">
        <f ca="1">IFERROR(IF(VLOOKUP(J42,OFFSET($AG$2,,,COUNTIF($AG$2:$AG$49,"?*"),23),14,FALSE)&lt;&gt;0,VLOOKUP(J42,OFFSET($AG$2,,,COUNTIF($AG$2:$AG$49,"?*"),23),14,FALSE),"?"),"")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4"/>
        <v/>
      </c>
      <c r="BF44" s="62" t="str">
        <f t="shared" si="8"/>
        <v/>
      </c>
      <c r="BG44" s="3" t="str">
        <f t="shared" ca="1" si="9"/>
        <v/>
      </c>
      <c r="BH44" s="62" t="str">
        <f t="shared" ca="1" si="25"/>
        <v/>
      </c>
      <c r="BI44" s="3" t="str">
        <f t="shared" ca="1" si="10"/>
        <v/>
      </c>
      <c r="BJ44" s="62" t="str">
        <f t="shared" ca="1" si="26"/>
        <v/>
      </c>
      <c r="BK44" s="3" t="str">
        <f t="shared" ca="1" si="11"/>
        <v/>
      </c>
      <c r="BL44" s="62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11</v>
      </c>
      <c r="U45" s="112">
        <v>629.4</v>
      </c>
      <c r="V45" s="102">
        <v>7</v>
      </c>
      <c r="W45" s="102">
        <v>59</v>
      </c>
      <c r="X45" s="102">
        <v>0</v>
      </c>
      <c r="Y45" s="102">
        <v>247</v>
      </c>
      <c r="Z45" s="102">
        <v>0</v>
      </c>
      <c r="AA45" s="102">
        <v>4</v>
      </c>
      <c r="AB45" s="102">
        <v>188</v>
      </c>
      <c r="AC45" s="102">
        <v>1</v>
      </c>
      <c r="AD45" s="102">
        <v>0</v>
      </c>
      <c r="AE45" s="112">
        <f>IF(S45&lt;&gt;"",IF(T45&gt;0,W45/(U45/60),0),"")</f>
        <v>5.6244041944709249</v>
      </c>
      <c r="AF45" s="112">
        <f>IF(S45&lt;&gt;"",IF(Y45&gt;0,(AB45/Y45)*100,"-"),"")</f>
        <v>76.113360323886639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4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25"/>
        <v/>
      </c>
      <c r="BI45" s="89" t="str">
        <f t="shared" ca="1" si="10"/>
        <v/>
      </c>
      <c r="BJ45" s="90" t="str">
        <f t="shared" ca="1" si="26"/>
        <v/>
      </c>
      <c r="BK45" s="89" t="str">
        <f t="shared" ca="1" si="11"/>
        <v/>
      </c>
      <c r="BL45" s="90" t="str">
        <f t="shared" ca="1" si="27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764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8">IF(S46&lt;&gt;"",IF(T46&gt;0,W46/(U46/60),0),"")</f>
        <v>5.6390977443609023</v>
      </c>
      <c r="AF46" s="112">
        <f t="shared" ref="AF46:AF50" si="29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4"/>
        <v/>
      </c>
      <c r="BF46" s="62" t="str">
        <f t="shared" si="8"/>
        <v/>
      </c>
      <c r="BG46" s="3" t="str">
        <f t="shared" ca="1" si="9"/>
        <v/>
      </c>
      <c r="BH46" s="62" t="str">
        <f t="shared" ca="1" si="25"/>
        <v/>
      </c>
      <c r="BI46" s="3" t="str">
        <f t="shared" ca="1" si="10"/>
        <v/>
      </c>
      <c r="BJ46" s="62" t="str">
        <f t="shared" ca="1" si="26"/>
        <v/>
      </c>
      <c r="BK46" s="3" t="str">
        <f t="shared" ca="1" si="11"/>
        <v/>
      </c>
      <c r="BL46" s="62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420" t="s">
        <v>231</v>
      </c>
      <c r="B47" s="421"/>
      <c r="C47" s="421"/>
      <c r="D47" s="421"/>
      <c r="E47" s="422" t="str">
        <f ca="1">IFERROR(VLOOKUP(A47,OFFSET($BN$2,,,COUNTIF($BN$2:$BN$11,"?*"),5),3,FALSE),"")</f>
        <v>hlavní trenér</v>
      </c>
      <c r="F47" s="422"/>
      <c r="G47" s="422"/>
      <c r="H47" s="422"/>
      <c r="I47" s="423"/>
      <c r="J47" s="420" t="s">
        <v>232</v>
      </c>
      <c r="K47" s="421"/>
      <c r="L47" s="421"/>
      <c r="M47" s="421"/>
      <c r="N47" s="422" t="str">
        <f ca="1">IFERROR(VLOOKUP(J47,OFFSET($BN$2,,,COUNTIF($BN$2:$BN$11,"?*"),5),3,FALSE),"")</f>
        <v>asistent trenéra</v>
      </c>
      <c r="O47" s="422"/>
      <c r="P47" s="422"/>
      <c r="Q47" s="422"/>
      <c r="R47" s="423"/>
      <c r="S47" s="111" t="s">
        <v>224</v>
      </c>
      <c r="T47" s="102">
        <v>2</v>
      </c>
      <c r="U47" s="112">
        <v>79.900000000000006</v>
      </c>
      <c r="V47" s="102">
        <v>1</v>
      </c>
      <c r="W47" s="102">
        <v>8</v>
      </c>
      <c r="X47" s="102">
        <v>0</v>
      </c>
      <c r="Y47" s="102">
        <v>31</v>
      </c>
      <c r="Z47" s="102">
        <v>0</v>
      </c>
      <c r="AA47" s="102">
        <v>1</v>
      </c>
      <c r="AB47" s="102">
        <v>23</v>
      </c>
      <c r="AC47" s="102">
        <v>0</v>
      </c>
      <c r="AD47" s="102">
        <v>0</v>
      </c>
      <c r="AE47" s="112">
        <f t="shared" si="28"/>
        <v>6.0075093867334166</v>
      </c>
      <c r="AF47" s="112">
        <f t="shared" si="29"/>
        <v>74.193548387096769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4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25"/>
        <v/>
      </c>
      <c r="BI47" s="89" t="str">
        <f t="shared" ca="1" si="10"/>
        <v/>
      </c>
      <c r="BJ47" s="90" t="str">
        <f t="shared" ca="1" si="26"/>
        <v/>
      </c>
      <c r="BK47" s="89" t="str">
        <f t="shared" ca="1" si="11"/>
        <v/>
      </c>
      <c r="BL47" s="90" t="str">
        <f t="shared" ca="1" si="27"/>
        <v/>
      </c>
      <c r="BM47" s="89" t="str">
        <f t="shared" ca="1" si="12"/>
        <v/>
      </c>
    </row>
    <row r="48" spans="1:65" ht="15" customHeight="1" thickBot="1" x14ac:dyDescent="0.25">
      <c r="A48" s="438">
        <f ca="1">IFERROR(VLOOKUP(A47,OFFSET($BN$2,,,COUNTIF($BN$2:$BN$11,"?*"),5),5,FALSE),"")</f>
        <v>53</v>
      </c>
      <c r="B48" s="440" t="str">
        <f ca="1">IFERROR(IF(VLOOKUP(A47,OFFSET($BN$2,,,COUNTIF($BN$2:$BN$11,"?*"),5),4,FALSE)&lt;&gt;0,VLOOKUP(A47,OFFSET($BN$2,,,COUNTIF($BN$2:$BN$11,"?*"),5),4,FALSE),"-"),"")</f>
        <v>stříbro a bronz z MS</v>
      </c>
      <c r="C48" s="440"/>
      <c r="D48" s="440"/>
      <c r="E48" s="440"/>
      <c r="F48" s="440"/>
      <c r="G48" s="440"/>
      <c r="H48" s="440"/>
      <c r="I48" s="441"/>
      <c r="J48" s="92">
        <f ca="1">IFERROR(VLOOKUP(J47,OFFSET($BN$2,,,COUNTIF($BN$2:$BN$11,"?*"),5),5,FALSE),"")</f>
        <v>26</v>
      </c>
      <c r="K48" s="444" t="str">
        <f ca="1">IFERROR(IF(VLOOKUP(J47,OFFSET($BN$2,,,COUNTIF($BN$2:$BN$11,"?*"),5),4,FALSE)&lt;&gt;0,VLOOKUP(J47,OFFSET($BN$2,,,COUNTIF($BN$2:$BN$11,"?*"),5),4,FALSE),"-"),"")</f>
        <v>-</v>
      </c>
      <c r="L48" s="444"/>
      <c r="M48" s="444"/>
      <c r="N48" s="444"/>
      <c r="O48" s="444"/>
      <c r="P48" s="444"/>
      <c r="Q48" s="444"/>
      <c r="R48" s="445"/>
      <c r="S48" s="111" t="s">
        <v>207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8"/>
        <v>0</v>
      </c>
      <c r="AF48" s="112" t="str">
        <f t="shared" si="29"/>
        <v>-</v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4"/>
        <v/>
      </c>
      <c r="BF48" s="62" t="str">
        <f t="shared" si="8"/>
        <v/>
      </c>
      <c r="BG48" s="3" t="str">
        <f t="shared" ca="1" si="9"/>
        <v/>
      </c>
      <c r="BH48" s="62" t="str">
        <f t="shared" ca="1" si="25"/>
        <v/>
      </c>
      <c r="BI48" s="3" t="str">
        <f t="shared" ca="1" si="10"/>
        <v/>
      </c>
      <c r="BJ48" s="62" t="str">
        <f t="shared" ca="1" si="26"/>
        <v/>
      </c>
      <c r="BK48" s="3" t="str">
        <f t="shared" ca="1" si="11"/>
        <v/>
      </c>
      <c r="BL48" s="62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 t="s">
        <v>233</v>
      </c>
      <c r="K49" s="447"/>
      <c r="L49" s="447"/>
      <c r="M49" s="447"/>
      <c r="N49" s="422" t="str">
        <f ca="1">IFERROR(VLOOKUP(J49,OFFSET($BN$2,,,COUNTIF($BN$2:$BN$11,"?*"),5),3,FALSE),"")</f>
        <v>kondiční trenér</v>
      </c>
      <c r="O49" s="422"/>
      <c r="P49" s="422"/>
      <c r="Q49" s="422"/>
      <c r="R49" s="423"/>
      <c r="S49" s="111"/>
      <c r="U49" s="112"/>
      <c r="AE49" s="112" t="str">
        <f t="shared" si="28"/>
        <v/>
      </c>
      <c r="AF49" s="112" t="str">
        <f t="shared" si="29"/>
        <v/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4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25"/>
        <v/>
      </c>
      <c r="BI49" s="89" t="str">
        <f t="shared" ca="1" si="10"/>
        <v/>
      </c>
      <c r="BJ49" s="90" t="str">
        <f t="shared" ca="1" si="26"/>
        <v/>
      </c>
      <c r="BK49" s="89" t="str">
        <f t="shared" ca="1" si="11"/>
        <v/>
      </c>
      <c r="BL49" s="90" t="str">
        <f t="shared" ca="1" si="27"/>
        <v/>
      </c>
      <c r="BM49" s="89" t="str">
        <f t="shared" ca="1" si="12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92">
        <f ca="1">IFERROR(VLOOKUP(J49,OFFSET($BN$2,,,COUNTIF($BN$2:$BN$11,"?*"),5),5,FALSE),"")</f>
        <v>42</v>
      </c>
      <c r="K50" s="444" t="str">
        <f ca="1">IFERROR(IF(VLOOKUP(J49,OFFSET($BN$2,,,COUNTIF($BN$2:$BN$11,"?*"),5),4,FALSE)&lt;&gt;0,VLOOKUP(J49,OFFSET($BN$2,,,COUNTIF($BN$2:$BN$11,"?*"),5),4,FALSE),"-"),"")</f>
        <v>-</v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8"/>
        <v/>
      </c>
      <c r="AF50" s="112" t="str">
        <f t="shared" si="29"/>
        <v/>
      </c>
      <c r="AG50" s="244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8" priority="15" stopIfTrue="1" operator="equal">
      <formula>"OTR"</formula>
    </cfRule>
    <cfRule type="cellIs" dxfId="417" priority="16" stopIfTrue="1" operator="equal">
      <formula>"PAR"</formula>
    </cfRule>
    <cfRule type="cellIs" dxfId="416" priority="17" stopIfTrue="1" operator="equal">
      <formula>"CLP"</formula>
    </cfRule>
    <cfRule type="cellIs" dxfId="415" priority="18" stopIfTrue="1" operator="equal">
      <formula>"HAT"</formula>
    </cfRule>
    <cfRule type="cellIs" dxfId="414" priority="19" stopIfTrue="1" operator="equal">
      <formula>"LIB"</formula>
    </cfRule>
    <cfRule type="cellIs" dxfId="413" priority="20" stopIfTrue="1" operator="equal">
      <formula>"BA"</formula>
    </cfRule>
    <cfRule type="cellIs" dxfId="412" priority="21" stopIfTrue="1" operator="equal">
      <formula>"SPA"</formula>
    </cfRule>
    <cfRule type="cellIs" dxfId="411" priority="22" stopIfTrue="1" operator="equal">
      <formula>"OST"</formula>
    </cfRule>
    <cfRule type="cellIs" dxfId="410" priority="23" stopIfTrue="1" operator="equal">
      <formula>"BOH"</formula>
    </cfRule>
    <cfRule type="cellIs" dxfId="409" priority="24" stopIfTrue="1" operator="equal">
      <formula>"TAT"</formula>
    </cfRule>
    <cfRule type="cellIs" dxfId="408" priority="25" stopIfTrue="1" operator="equal">
      <formula>"MB"</formula>
    </cfRule>
    <cfRule type="cellIs" dxfId="407" priority="26" stopIfTrue="1" operator="equal">
      <formula>"VIT"</formula>
    </cfRule>
    <cfRule type="cellIs" dxfId="406" priority="27" stopIfTrue="1" operator="equal">
      <formula>"CHO"</formula>
    </cfRule>
    <cfRule type="cellIs" dxfId="405" priority="28" stopIfTrue="1" operator="equal">
      <formula>"SKV"</formula>
    </cfRule>
  </conditionalFormatting>
  <conditionalFormatting sqref="H19:K20">
    <cfRule type="cellIs" dxfId="404" priority="43" stopIfTrue="1" operator="equal">
      <formula>"OTR"</formula>
    </cfRule>
    <cfRule type="cellIs" dxfId="403" priority="44" stopIfTrue="1" operator="equal">
      <formula>"PAR"</formula>
    </cfRule>
    <cfRule type="cellIs" dxfId="402" priority="45" stopIfTrue="1" operator="equal">
      <formula>"CLP"</formula>
    </cfRule>
    <cfRule type="cellIs" dxfId="401" priority="46" stopIfTrue="1" operator="equal">
      <formula>"HAT"</formula>
    </cfRule>
    <cfRule type="cellIs" dxfId="400" priority="47" stopIfTrue="1" operator="equal">
      <formula>"LIB"</formula>
    </cfRule>
    <cfRule type="cellIs" dxfId="399" priority="48" stopIfTrue="1" operator="equal">
      <formula>"BA"</formula>
    </cfRule>
    <cfRule type="cellIs" dxfId="398" priority="49" stopIfTrue="1" operator="equal">
      <formula>"SPA"</formula>
    </cfRule>
    <cfRule type="cellIs" dxfId="397" priority="50" stopIfTrue="1" operator="equal">
      <formula>"OST"</formula>
    </cfRule>
    <cfRule type="cellIs" dxfId="396" priority="51" stopIfTrue="1" operator="equal">
      <formula>"BOH"</formula>
    </cfRule>
    <cfRule type="cellIs" dxfId="395" priority="52" stopIfTrue="1" operator="equal">
      <formula>"TAT"</formula>
    </cfRule>
    <cfRule type="cellIs" dxfId="394" priority="53" stopIfTrue="1" operator="equal">
      <formula>"MB"</formula>
    </cfRule>
    <cfRule type="cellIs" dxfId="393" priority="54" stopIfTrue="1" operator="equal">
      <formula>"VIT"</formula>
    </cfRule>
    <cfRule type="cellIs" dxfId="392" priority="55" stopIfTrue="1" operator="equal">
      <formula>"CHO"</formula>
    </cfRule>
    <cfRule type="cellIs" dxfId="391" priority="56" stopIfTrue="1" operator="equal">
      <formula>"SKV"</formula>
    </cfRule>
  </conditionalFormatting>
  <conditionalFormatting sqref="H8:K9">
    <cfRule type="cellIs" dxfId="390" priority="29" stopIfTrue="1" operator="equal">
      <formula>"OTR"</formula>
    </cfRule>
    <cfRule type="cellIs" dxfId="389" priority="30" stopIfTrue="1" operator="equal">
      <formula>"PAR"</formula>
    </cfRule>
    <cfRule type="cellIs" dxfId="388" priority="31" stopIfTrue="1" operator="equal">
      <formula>"CLP"</formula>
    </cfRule>
    <cfRule type="cellIs" dxfId="387" priority="32" stopIfTrue="1" operator="equal">
      <formula>"HAT"</formula>
    </cfRule>
    <cfRule type="cellIs" dxfId="386" priority="33" stopIfTrue="1" operator="equal">
      <formula>"LIB"</formula>
    </cfRule>
    <cfRule type="cellIs" dxfId="385" priority="34" stopIfTrue="1" operator="equal">
      <formula>"BA"</formula>
    </cfRule>
    <cfRule type="cellIs" dxfId="384" priority="35" stopIfTrue="1" operator="equal">
      <formula>"SPA"</formula>
    </cfRule>
    <cfRule type="cellIs" dxfId="383" priority="36" stopIfTrue="1" operator="equal">
      <formula>"OST"</formula>
    </cfRule>
    <cfRule type="cellIs" dxfId="382" priority="37" stopIfTrue="1" operator="equal">
      <formula>"BOH"</formula>
    </cfRule>
    <cfRule type="cellIs" dxfId="381" priority="38" stopIfTrue="1" operator="equal">
      <formula>"TAT"</formula>
    </cfRule>
    <cfRule type="cellIs" dxfId="380" priority="39" stopIfTrue="1" operator="equal">
      <formula>"MB"</formula>
    </cfRule>
    <cfRule type="cellIs" dxfId="379" priority="40" stopIfTrue="1" operator="equal">
      <formula>"VIT"</formula>
    </cfRule>
    <cfRule type="cellIs" dxfId="378" priority="41" stopIfTrue="1" operator="equal">
      <formula>"CHO"</formula>
    </cfRule>
    <cfRule type="cellIs" dxfId="377" priority="42" stopIfTrue="1" operator="equal">
      <formula>"SKV"</formula>
    </cfRule>
  </conditionalFormatting>
  <conditionalFormatting sqref="AG2:AG34 AG36:AG49">
    <cfRule type="expression" dxfId="376" priority="5" stopIfTrue="1">
      <formula>OR($AH2="",$AI2="",$AJ2="",$AK2="",$AL2="",$AM2="",$AN2="",$AQ2="",$AR2="",$AS2="",$AT2="")</formula>
    </cfRule>
    <cfRule type="expression" dxfId="375" priority="6" stopIfTrue="1">
      <formula>IFERROR(IF(VLOOKUP($AG2,OFFSET($S$2,,,COUNTIF($S$2:$S$42,"?*")),1,FALSE)&lt;&gt;0,1,0),0)=0</formula>
    </cfRule>
    <cfRule type="expression" dxfId="374" priority="7">
      <formula>IFERROR(IF(VLOOKUP($AG2,OFFSET($S$2,,,COUNTIF($S$2:$S$42,"?*")),1,FALSE)&lt;&gt;0,1,0),0)&gt;0</formula>
    </cfRule>
  </conditionalFormatting>
  <conditionalFormatting sqref="AG35 AG2:BC34 AG36:BC49">
    <cfRule type="expression" dxfId="373" priority="4">
      <formula>AND($AG2&lt;&gt;"",MOD(ROW($AG2),2)=0)</formula>
    </cfRule>
  </conditionalFormatting>
  <conditionalFormatting sqref="BN2:BR11">
    <cfRule type="expression" dxfId="372" priority="3">
      <formula>AND($BN2&lt;&gt;"",MOD(ROW($BN2),2)=0)</formula>
    </cfRule>
  </conditionalFormatting>
  <conditionalFormatting sqref="S2:S42">
    <cfRule type="expression" dxfId="371" priority="112" stopIfTrue="1">
      <formula>IFERROR(IF(VLOOKUP($S2,OFFSET($AG$2,,,COUNTIF($AG$2:$AG$49,"?*")),1,FALSE)&lt;&gt;0,1,0),0)&gt;0</formula>
    </cfRule>
  </conditionalFormatting>
  <conditionalFormatting sqref="S45:S50 S2:S42">
    <cfRule type="expression" dxfId="370" priority="113">
      <formula>IFERROR(IF(VLOOKUP($S2,OFFSET($AG$2,,,COUNTIF($AG$2:$AG$49,"?*")),1,FALSE)&lt;&gt;0,1,0),0)=0</formula>
    </cfRule>
  </conditionalFormatting>
  <conditionalFormatting sqref="S45:S50">
    <cfRule type="expression" dxfId="369" priority="114">
      <formula>IFERROR(IF(VLOOKUP($S45,OFFSET($AG$2,,,COUNTIF($AG$2:$AG$49,"?*")),1,FALSE)&lt;&gt;0,1,0),0)&gt;0</formula>
    </cfRule>
  </conditionalFormatting>
  <conditionalFormatting sqref="AG35:AG36">
    <cfRule type="expression" dxfId="368" priority="119" stopIfTrue="1">
      <formula>OR($AH50="",$AI50="",$AJ50="",$AK50="",$AL50="",$AM50="",$AN50="",$AQ50="",$AR50="",$AS50="",$AT50="")</formula>
    </cfRule>
    <cfRule type="expression" dxfId="367" priority="120" stopIfTrue="1">
      <formula>IFERROR(IF(VLOOKUP($AG35,OFFSET($S$2,,,COUNTIF($S$2:$S$42,"?*")),1,FALSE)&lt;&gt;0,1,0),0)=0</formula>
    </cfRule>
    <cfRule type="expression" dxfId="366" priority="121">
      <formula>IFERROR(IF(VLOOKUP($AG35,OFFSET($S$2,,,COUNTIF($S$2:$S$42,"?*")),1,FALSE)&lt;&gt;0,1,0),0)&gt;0</formula>
    </cfRule>
  </conditionalFormatting>
  <conditionalFormatting sqref="AH50:BC50">
    <cfRule type="expression" dxfId="365" priority="123">
      <formula>AND($AG35&lt;&gt;"",MOD(ROW($AG35),2)=0)</formula>
    </cfRule>
  </conditionalFormatting>
  <conditionalFormatting sqref="AH35:BC35">
    <cfRule type="expression" dxfId="364" priority="124">
      <formula>AND(#REF!&lt;&gt;"",MOD(ROW(#REF!),2)=0)</formula>
    </cfRule>
  </conditionalFormatting>
  <dataValidations disablePrompts="1"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X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 t="s">
        <v>372</v>
      </c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65" t="s">
        <v>1</v>
      </c>
      <c r="I1" s="465"/>
      <c r="J1" s="465"/>
      <c r="K1" s="465"/>
      <c r="M1" s="431" t="s">
        <v>374</v>
      </c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4">
        <f ca="1">IFERROR(IF(VLOOKUP(A1,OFFSET($AG$2,,,COUNTIF($AG$2:$AG$50,"?*"),23),2,FALSE)&lt;&gt;0,YEAR(VLOOKUP(A1,OFFSET($AG$2,,,COUNTIF($AG$2:$AG$50,"?*"),23),2,FALSE)),""),"")</f>
        <v>1994</v>
      </c>
      <c r="C2" s="425"/>
      <c r="D2" s="117">
        <f ca="1">IFERROR(VLOOKUP(A1,OFFSET($AG$2,,,COUNTIF($AG$2:$AG$50,"?*"),23),15,FALSE),"")</f>
        <v>27</v>
      </c>
      <c r="E2" s="426" t="str">
        <f ca="1">IFERROR(VLOOKUP(A1,OFFSET($AG$2,,,COUNTIF($AG$2:$AG$50,"?*"),23),16,FALSE),"")</f>
        <v>177/82</v>
      </c>
      <c r="F2" s="427"/>
      <c r="M2" s="4" t="str">
        <f ca="1">IFERROR(IF(VLOOKUP(M1,OFFSET($AG$2,,,COUNTIF($AG$2:$AG$50,"?*"),23),10,FALSE)&lt;&gt;0,VLOOKUP(M1,OFFSET($AG$2,,,COUNTIF($AG$2:$AG$50,"?*"),23),10,FALSE),""),"")</f>
        <v>L</v>
      </c>
      <c r="N2" s="424">
        <f ca="1">IFERROR(IF(VLOOKUP(M1,OFFSET($AG$2,,,COUNTIF($AG$2:$AG$50,"?*"),23),2,FALSE)&lt;&gt;0,YEAR(VLOOKUP(M1,OFFSET($AG$2,,,COUNTIF($AG$2:$AG$50,"?*"),23),2,FALSE)),""),"")</f>
        <v>1998</v>
      </c>
      <c r="O2" s="425"/>
      <c r="P2" s="117">
        <f ca="1">IFERROR(VLOOKUP(M1,OFFSET($AG$2,,,COUNTIF($AG$2:$AG$50,"?*"),23),15,FALSE),"")</f>
        <v>23</v>
      </c>
      <c r="Q2" s="426" t="str">
        <f ca="1">IFERROR(VLOOKUP(M1,OFFSET($AG$2,,,COUNTIF($AG$2:$AG$50,"?*"),23),16,FALSE),"")</f>
        <v>181/62</v>
      </c>
      <c r="R2" s="427"/>
      <c r="S2" s="110" t="s">
        <v>366</v>
      </c>
      <c r="T2" s="102" t="s">
        <v>107</v>
      </c>
      <c r="U2" s="102">
        <v>13</v>
      </c>
      <c r="V2" s="102">
        <v>11</v>
      </c>
      <c r="W2" s="102">
        <v>0</v>
      </c>
      <c r="X2" s="102">
        <v>0</v>
      </c>
      <c r="Y2" s="102">
        <v>13</v>
      </c>
      <c r="Z2" s="102">
        <v>24</v>
      </c>
      <c r="AA2" s="102">
        <v>2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379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391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172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403</v>
      </c>
      <c r="BO2" s="122">
        <v>30091</v>
      </c>
      <c r="BP2" s="131" t="s">
        <v>236</v>
      </c>
      <c r="BQ2" s="132" t="s">
        <v>404</v>
      </c>
      <c r="BR2" s="127">
        <f ca="1">IF(BN2&lt;&gt;"",IF(BO2&lt;&gt;"",INT((TODAY()-BO2)/365),"?"),"")</f>
        <v>39</v>
      </c>
      <c r="BS2" s="419" t="s">
        <v>36</v>
      </c>
      <c r="BT2" s="104" t="s">
        <v>859</v>
      </c>
      <c r="BU2" s="103">
        <v>24</v>
      </c>
      <c r="BV2" s="104" t="str">
        <f>IFERROR(RIGHT(BT2,LEN(BT2)-SEARCH(" ",BT2)),"")</f>
        <v>Jiří Curney</v>
      </c>
      <c r="BW2" s="102">
        <f>IF(BT2&lt;&gt;0,_xlfn.NUMBERVALUE(BU2,","),"")</f>
        <v>24</v>
      </c>
      <c r="BX2" s="418" t="s">
        <v>192</v>
      </c>
      <c r="BY2" s="103" t="s">
        <v>1028</v>
      </c>
      <c r="BZ2" s="103" t="s">
        <v>816</v>
      </c>
      <c r="CA2" s="115" t="s">
        <v>1402</v>
      </c>
    </row>
    <row r="3" spans="1:79" ht="15" customHeight="1" thickTop="1" thickBot="1" x14ac:dyDescent="0.25">
      <c r="A3" s="460" t="str">
        <f ca="1">IFERROR(VLOOKUP(A1,OFFSET($AG$2,,,COUNTIF($AG$2:$AG$50,"?*"),23),18,FALSE),"")</f>
        <v>13 OZ, 11 (8+3), +14 ±</v>
      </c>
      <c r="B3" s="461"/>
      <c r="C3" s="461"/>
      <c r="D3" s="462" t="str">
        <f ca="1">IFERROR(VLOOKUP(A1,OFFSET($AG$2,,,COUNTIF($AG$2:$AG$50,"?*"),23),19,FALSE),"")</f>
        <v>223 OZ, 195 (119+76)</v>
      </c>
      <c r="E3" s="462"/>
      <c r="F3" s="463"/>
      <c r="G3" s="431" t="s">
        <v>366</v>
      </c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60" t="str">
        <f ca="1">IFERROR(VLOOKUP(M1,OFFSET($AG$2,,,COUNTIF($AG$2:$AG$50,"?*"),23),18,FALSE),"")</f>
        <v>13 OZ, 15 (13+2), +8 ±</v>
      </c>
      <c r="N3" s="461"/>
      <c r="O3" s="461"/>
      <c r="P3" s="462" t="str">
        <f ca="1">IFERROR(VLOOKUP(M1,OFFSET($AG$2,,,COUNTIF($AG$2:$AG$50,"?*"),23),19,FALSE),"")</f>
        <v>151 OZ, 129 (97+32)</v>
      </c>
      <c r="Q3" s="462"/>
      <c r="R3" s="463"/>
      <c r="S3" s="110" t="s">
        <v>374</v>
      </c>
      <c r="U3" s="102">
        <v>13</v>
      </c>
      <c r="V3" s="102">
        <v>13</v>
      </c>
      <c r="W3" s="102">
        <v>0</v>
      </c>
      <c r="X3" s="102">
        <v>0</v>
      </c>
      <c r="Y3" s="102">
        <v>2</v>
      </c>
      <c r="Z3" s="102">
        <v>15</v>
      </c>
      <c r="AA3" s="102">
        <v>0</v>
      </c>
      <c r="AB3" s="102">
        <v>8</v>
      </c>
      <c r="AC3" s="102" t="str">
        <f t="shared" ca="1" si="0"/>
        <v>ANO</v>
      </c>
      <c r="AG3" s="121" t="s">
        <v>371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249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13 OZ, 13 (5+8), +24 ±</v>
      </c>
      <c r="AY3" s="129" t="str">
        <f t="shared" ca="1" si="2"/>
        <v>34 OZ, 35 (21+14)</v>
      </c>
      <c r="AZ3" s="130"/>
      <c r="BA3" s="130"/>
      <c r="BB3" s="130"/>
      <c r="BC3" s="130"/>
      <c r="BD3" s="89" t="str">
        <f t="shared" ref="BD3:BD49" si="7">IF(AG3&lt;&gt;"",RIGHT(AG3,LEN(AG3)-SEARCH(" ",AG3)),"")</f>
        <v>Beneš</v>
      </c>
      <c r="BE3" s="91">
        <f t="shared" ca="1" si="3"/>
        <v>1</v>
      </c>
      <c r="BF3" s="90" t="str">
        <f t="shared" ref="BF3:BF49" si="8">IF(AG3&lt;&gt;"",LEFT(AG3,1),"")</f>
        <v>D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405</v>
      </c>
      <c r="BO3" s="122">
        <v>33197</v>
      </c>
      <c r="BP3" s="131" t="s">
        <v>176</v>
      </c>
      <c r="BQ3" s="132" t="s">
        <v>406</v>
      </c>
      <c r="BR3" s="127">
        <f t="shared" ref="BR3:BR11" ca="1" si="13">IF(BN3&lt;&gt;"",IF(BO3&lt;&gt;"",INT((TODAY()-BO3)/365),"?"),"")</f>
        <v>31</v>
      </c>
      <c r="BS3" s="419"/>
      <c r="BT3" s="104" t="s">
        <v>1172</v>
      </c>
      <c r="BU3" s="103">
        <v>15</v>
      </c>
      <c r="BV3" s="104" t="str">
        <f t="shared" ref="BV3:BV31" si="14">IFERROR(RIGHT(BT3,LEN(BT3)-SEARCH(" ",BT3)),"")</f>
        <v>Jakub Bína</v>
      </c>
      <c r="BW3" s="102">
        <f t="shared" ref="BW3:BW31" si="15">IF(BT3&lt;&gt;0,_xlfn.NUMBERVALUE(BU3,","),"")</f>
        <v>15</v>
      </c>
      <c r="BX3" s="418"/>
      <c r="BY3" s="103" t="s">
        <v>1343</v>
      </c>
      <c r="BZ3" s="103" t="s">
        <v>826</v>
      </c>
      <c r="CA3" s="115" t="s">
        <v>1061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>Vosy Praha</v>
      </c>
      <c r="B4" s="449"/>
      <c r="C4" s="450"/>
      <c r="D4" s="451">
        <f ca="1">IFERROR(IF(VLOOKUP(A1,OFFSET($AG$2,,,COUNTIF($AG$2:$AG$50,"?*"),23),14,FALSE)&lt;&gt;0,VLOOKUP(A1,OFFSET($AG$2,,,COUNTIF($AG$2:$AG$50,"?*"),23),14,FALSE),"?"),"")</f>
        <v>2005</v>
      </c>
      <c r="E4" s="452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4">
        <f ca="1">IFERROR(IF(VLOOKUP(G3,OFFSET($AG$2,,,COUNTIF($AG$2:$AG$50,"?*"),23),2,FALSE)&lt;&gt;0,YEAR(VLOOKUP(G3,OFFSET($AG$2,,,COUNTIF($AG$2:$AG$50,"?*"),23),2,FALSE)),""),"")</f>
        <v>1989</v>
      </c>
      <c r="I4" s="425"/>
      <c r="J4" s="117">
        <f ca="1">IFERROR(VLOOKUP(G3,OFFSET($AG$2,,,COUNTIF($AG$2:$AG$50,"?*"),23),15,FALSE),"")</f>
        <v>32</v>
      </c>
      <c r="K4" s="426" t="str">
        <f ca="1">IFERROR(VLOOKUP(G3,OFFSET($AG$2,,,COUNTIF($AG$2:$AG$50,"?*"),23),16,FALSE),"")</f>
        <v>180/77</v>
      </c>
      <c r="L4" s="427"/>
      <c r="M4" s="448" t="str">
        <f ca="1">IFERROR(IF(VLOOKUP(M1,OFFSET($AG$2,,,COUNTIF($AG$2:$AG$50,"?*"),23),13,FALSE)&lt;&gt;0,VLOOKUP(M1,OFFSET($AG$2,,,COUNTIF($AG$2:$AG$50,"?*"),23),13,FALSE),"?"),"")</f>
        <v>ED Havlíčkův Brod</v>
      </c>
      <c r="N4" s="449"/>
      <c r="O4" s="450"/>
      <c r="P4" s="451">
        <f ca="1">IFERROR(IF(VLOOKUP(M1,OFFSET($AG$2,,,COUNTIF($AG$2:$AG$50,"?*"),23),14,FALSE)&lt;&gt;0,VLOOKUP(M1,OFFSET($AG$2,,,COUNTIF($AG$2:$AG$50,"?*"),23),14,FALSE),"?"),"")</f>
        <v>2006</v>
      </c>
      <c r="Q4" s="452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367</v>
      </c>
      <c r="U4" s="102">
        <v>13</v>
      </c>
      <c r="V4" s="102">
        <v>12</v>
      </c>
      <c r="W4" s="102">
        <v>2</v>
      </c>
      <c r="X4" s="102">
        <v>0</v>
      </c>
      <c r="Y4" s="102">
        <v>3</v>
      </c>
      <c r="Z4" s="102">
        <v>15</v>
      </c>
      <c r="AA4" s="102">
        <v>0</v>
      </c>
      <c r="AB4" s="102">
        <v>14</v>
      </c>
      <c r="AC4" s="102" t="str">
        <f t="shared" ca="1" si="0"/>
        <v>ANO</v>
      </c>
      <c r="AG4" s="121" t="s">
        <v>374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392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13 OZ, 15 (13+2), +8 ±</v>
      </c>
      <c r="AY4" s="129" t="str">
        <f t="shared" ca="1" si="2"/>
        <v>151 OZ, 129 (97+32)</v>
      </c>
      <c r="AZ4" s="130"/>
      <c r="BA4" s="130"/>
      <c r="BB4" s="130"/>
      <c r="BC4" s="130"/>
      <c r="BD4" s="3" t="str">
        <f t="shared" si="7"/>
        <v>Bína</v>
      </c>
      <c r="BE4" s="84">
        <f t="shared" ca="1" si="3"/>
        <v>1</v>
      </c>
      <c r="BF4" s="62" t="str">
        <f t="shared" si="8"/>
        <v>J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407</v>
      </c>
      <c r="BO4" s="122">
        <v>30597</v>
      </c>
      <c r="BP4" s="131" t="s">
        <v>237</v>
      </c>
      <c r="BQ4" s="132" t="s">
        <v>408</v>
      </c>
      <c r="BR4" s="127">
        <f t="shared" ca="1" si="13"/>
        <v>38</v>
      </c>
      <c r="BS4" s="419"/>
      <c r="BT4" s="104" t="s">
        <v>1404</v>
      </c>
      <c r="BU4" s="103">
        <v>15</v>
      </c>
      <c r="BV4" s="104" t="str">
        <f t="shared" si="14"/>
        <v>Matěj Pěnička</v>
      </c>
      <c r="BW4" s="102">
        <f t="shared" si="15"/>
        <v>15</v>
      </c>
      <c r="BX4" s="418"/>
      <c r="BY4" s="103" t="s">
        <v>841</v>
      </c>
      <c r="BZ4" s="103" t="s">
        <v>827</v>
      </c>
      <c r="CA4" s="115" t="s">
        <v>799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>13 OZ, 24 (11+13), +17 ±</v>
      </c>
      <c r="H5" s="461"/>
      <c r="I5" s="461"/>
      <c r="J5" s="462" t="str">
        <f ca="1">IFERROR(VLOOKUP(G3,OFFSET($AG$2,,,COUNTIF($AG$2:$AG$50,"?*"),23),19,FALSE),"")</f>
        <v>348 OZ, 759 (414+345)</v>
      </c>
      <c r="K5" s="462"/>
      <c r="L5" s="463"/>
      <c r="S5" s="110" t="s">
        <v>368</v>
      </c>
      <c r="U5" s="102">
        <v>13</v>
      </c>
      <c r="V5" s="102">
        <v>8</v>
      </c>
      <c r="W5" s="102">
        <v>0</v>
      </c>
      <c r="X5" s="102">
        <v>0</v>
      </c>
      <c r="Y5" s="102">
        <v>6</v>
      </c>
      <c r="Z5" s="102">
        <v>14</v>
      </c>
      <c r="AA5" s="102">
        <v>10</v>
      </c>
      <c r="AB5" s="102">
        <v>19</v>
      </c>
      <c r="AC5" s="102" t="str">
        <f t="shared" ca="1" si="0"/>
        <v>ANO</v>
      </c>
      <c r="AG5" s="121" t="s">
        <v>366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393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13 OZ, 24 (11+13), +17 ±</v>
      </c>
      <c r="AY5" s="129" t="str">
        <f t="shared" ca="1" si="2"/>
        <v>348 OZ, 759 (414+345)</v>
      </c>
      <c r="AZ5" s="130"/>
      <c r="BA5" s="130"/>
      <c r="BB5" s="130"/>
      <c r="BC5" s="130"/>
      <c r="BD5" s="89" t="str">
        <f t="shared" si="7"/>
        <v>Curney</v>
      </c>
      <c r="BE5" s="91">
        <f t="shared" ca="1" si="3"/>
        <v>1</v>
      </c>
      <c r="BF5" s="90" t="str">
        <f t="shared" si="8"/>
        <v>J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409</v>
      </c>
      <c r="BO5" s="122">
        <v>34618</v>
      </c>
      <c r="BP5" s="131" t="s">
        <v>410</v>
      </c>
      <c r="BQ5" s="132" t="s">
        <v>411</v>
      </c>
      <c r="BR5" s="127">
        <f t="shared" ca="1" si="13"/>
        <v>27</v>
      </c>
      <c r="BS5" s="419"/>
      <c r="BT5" s="104" t="s">
        <v>801</v>
      </c>
      <c r="BU5" s="103">
        <v>14</v>
      </c>
      <c r="BV5" s="104" t="str">
        <f t="shared" si="14"/>
        <v>Martin Tokoš</v>
      </c>
      <c r="BW5" s="102">
        <f t="shared" si="15"/>
        <v>14</v>
      </c>
      <c r="BX5" s="418"/>
      <c r="BY5" s="103" t="s">
        <v>822</v>
      </c>
      <c r="BZ5" s="103" t="s">
        <v>817</v>
      </c>
      <c r="CA5" s="115" t="s">
        <v>1033</v>
      </c>
    </row>
    <row r="6" spans="1:79" ht="15" customHeight="1" thickTop="1" thickBot="1" x14ac:dyDescent="0.25">
      <c r="A6" s="431" t="s">
        <v>370</v>
      </c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48" t="str">
        <f ca="1">IFERROR(IF(VLOOKUP(G3,OFFSET($AG$2,,,COUNTIF($AG$2:$AG$50,"?*"),23),13,FALSE)&lt;&gt;0,VLOOKUP(G3,OFFSET($AG$2,,,COUNTIF($AG$2:$AG$50,"?*"),23),13,FALSE),"?"),"")</f>
        <v>SK FBC Třinec</v>
      </c>
      <c r="H6" s="449"/>
      <c r="I6" s="450"/>
      <c r="J6" s="451">
        <f ca="1">IFERROR(IF(VLOOKUP(G3,OFFSET($AG$2,,,COUNTIF($AG$2:$AG$50,"?*"),23),14,FALSE)&lt;&gt;0,VLOOKUP(G3,OFFSET($AG$2,,,COUNTIF($AG$2:$AG$50,"?*"),23),14,FALSE),"?"),"")</f>
        <v>2004</v>
      </c>
      <c r="K6" s="452"/>
      <c r="L6" s="7">
        <f ca="1">IFERROR(IF(VLOOKUP(G3,OFFSET($AG$2,,,COUNTIF($AG$2:$AG$50,"?*"),23),7,FALSE)&lt;&gt;0,VLOOKUP(G3,OFFSET($AG$2,,,COUNTIF($AG$2:$AG$50,"?*"),23),7,FALSE),"?"),"")</f>
        <v>16</v>
      </c>
      <c r="M6" s="431" t="s">
        <v>386</v>
      </c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378</v>
      </c>
      <c r="U6" s="102">
        <v>11</v>
      </c>
      <c r="V6" s="102">
        <v>7</v>
      </c>
      <c r="W6" s="102">
        <v>0</v>
      </c>
      <c r="X6" s="102">
        <v>0</v>
      </c>
      <c r="Y6" s="102">
        <v>6</v>
      </c>
      <c r="Z6" s="102">
        <v>13</v>
      </c>
      <c r="AA6" s="102">
        <v>4</v>
      </c>
      <c r="AB6" s="102">
        <v>14</v>
      </c>
      <c r="AC6" s="102" t="str">
        <f t="shared" ca="1" si="0"/>
        <v>ANO</v>
      </c>
      <c r="AG6" s="121" t="s">
        <v>800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397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8 OZ, 0 (0+0), +2 ±</v>
      </c>
      <c r="AY6" s="129" t="str">
        <f t="shared" ca="1" si="2"/>
        <v>8 OZ, 0 (0+0)</v>
      </c>
      <c r="AZ6" s="130"/>
      <c r="BA6" s="130"/>
      <c r="BB6" s="130"/>
      <c r="BC6" s="130"/>
      <c r="BD6" s="3" t="str">
        <f t="shared" si="7"/>
        <v>Fišera</v>
      </c>
      <c r="BE6" s="84">
        <f t="shared" ca="1" si="3"/>
        <v>1</v>
      </c>
      <c r="BF6" s="62" t="str">
        <f t="shared" si="8"/>
        <v>M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412</v>
      </c>
      <c r="BO6" s="122">
        <v>33694</v>
      </c>
      <c r="BP6" s="131" t="s">
        <v>413</v>
      </c>
      <c r="BQ6" s="132"/>
      <c r="BR6" s="127">
        <f t="shared" ca="1" si="13"/>
        <v>29</v>
      </c>
      <c r="BS6" s="419"/>
      <c r="BT6" s="104" t="s">
        <v>1168</v>
      </c>
      <c r="BU6" s="103">
        <v>13</v>
      </c>
      <c r="BV6" s="104" t="str">
        <f t="shared" si="14"/>
        <v>Daniel Šebek</v>
      </c>
      <c r="BW6" s="102">
        <f t="shared" si="15"/>
        <v>13</v>
      </c>
      <c r="BX6" s="418"/>
      <c r="BY6" s="103" t="s">
        <v>820</v>
      </c>
      <c r="BZ6" s="103" t="s">
        <v>839</v>
      </c>
      <c r="CA6" s="115" t="s">
        <v>799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4">
        <f ca="1">IFERROR(IF(VLOOKUP(A6,OFFSET($AG$2,,,COUNTIF($AG$2:$AG$50,"?*"),23),2,FALSE)&lt;&gt;0,YEAR(VLOOKUP(A6,OFFSET($AG$2,,,COUNTIF($AG$2:$AG$50,"?*"),23),2,FALSE)),""),"")</f>
        <v>1994</v>
      </c>
      <c r="C7" s="425"/>
      <c r="D7" s="117">
        <f ca="1">IFERROR(VLOOKUP(A6,OFFSET($AG$2,,,COUNTIF($AG$2:$AG$50,"?*"),23),15,FALSE),"")</f>
        <v>27</v>
      </c>
      <c r="E7" s="426" t="str">
        <f ca="1">IFERROR(VLOOKUP(A6,OFFSET($AG$2,,,COUNTIF($AG$2:$AG$50,"?*"),23),16,FALSE),"")</f>
        <v>185/84</v>
      </c>
      <c r="F7" s="427"/>
      <c r="M7" s="4" t="str">
        <f ca="1">IFERROR(IF(VLOOKUP(M6,OFFSET($AG$2,,,COUNTIF($AG$2:$AG$50,"?*"),23),10,FALSE)&lt;&gt;0,VLOOKUP(M6,OFFSET($AG$2,,,COUNTIF($AG$2:$AG$50,"?*"),23),10,FALSE),""),"")</f>
        <v>L</v>
      </c>
      <c r="N7" s="424">
        <f ca="1">IFERROR(IF(VLOOKUP(M6,OFFSET($AG$2,,,COUNTIF($AG$2:$AG$50,"?*"),23),2,FALSE)&lt;&gt;0,YEAR(VLOOKUP(M6,OFFSET($AG$2,,,COUNTIF($AG$2:$AG$50,"?*"),23),2,FALSE)),""),"")</f>
        <v>2002</v>
      </c>
      <c r="O7" s="425"/>
      <c r="P7" s="117">
        <f ca="1">IFERROR(VLOOKUP(M6,OFFSET($AG$2,,,COUNTIF($AG$2:$AG$50,"?*"),23),15,FALSE),"")</f>
        <v>19</v>
      </c>
      <c r="Q7" s="426" t="str">
        <f ca="1">IFERROR(VLOOKUP(M6,OFFSET($AG$2,,,COUNTIF($AG$2:$AG$50,"?*"),23),16,FALSE),"")</f>
        <v>187/80</v>
      </c>
      <c r="R7" s="427"/>
      <c r="S7" s="110" t="s">
        <v>371</v>
      </c>
      <c r="U7" s="102">
        <v>13</v>
      </c>
      <c r="V7" s="102">
        <v>5</v>
      </c>
      <c r="W7" s="102">
        <v>0</v>
      </c>
      <c r="X7" s="102">
        <v>0</v>
      </c>
      <c r="Y7" s="102">
        <v>8</v>
      </c>
      <c r="Z7" s="102">
        <v>13</v>
      </c>
      <c r="AA7" s="102">
        <v>0</v>
      </c>
      <c r="AB7" s="102">
        <v>24</v>
      </c>
      <c r="AC7" s="102" t="str">
        <f t="shared" ca="1" si="0"/>
        <v>ANO</v>
      </c>
      <c r="AG7" s="121" t="s">
        <v>383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249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13 OZ, 5 (3+2), +12 ±</v>
      </c>
      <c r="AY7" s="129" t="str">
        <f t="shared" ca="1" si="2"/>
        <v>13 OZ, 5 (3+2)</v>
      </c>
      <c r="AZ7" s="130"/>
      <c r="BA7" s="130"/>
      <c r="BB7" s="130"/>
      <c r="BC7" s="130"/>
      <c r="BD7" s="89" t="str">
        <f t="shared" si="7"/>
        <v>Fořt</v>
      </c>
      <c r="BE7" s="91">
        <f t="shared" ca="1" si="3"/>
        <v>1</v>
      </c>
      <c r="BF7" s="90" t="str">
        <f t="shared" si="8"/>
        <v>M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9" t="s">
        <v>40</v>
      </c>
      <c r="BT7" s="104" t="s">
        <v>414</v>
      </c>
      <c r="BU7" s="103" t="s">
        <v>1405</v>
      </c>
      <c r="BV7" s="104" t="str">
        <f t="shared" si="14"/>
        <v>Lukáš Bauer</v>
      </c>
      <c r="BW7" s="112">
        <f t="shared" si="15"/>
        <v>2.91</v>
      </c>
      <c r="BX7" s="418" t="s">
        <v>193</v>
      </c>
      <c r="BY7" s="103" t="s">
        <v>1100</v>
      </c>
      <c r="BZ7" s="103" t="s">
        <v>840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>13 OZ, 6 (0+6), +13 ±</v>
      </c>
      <c r="B8" s="461"/>
      <c r="C8" s="461"/>
      <c r="D8" s="462" t="str">
        <f ca="1">IFERROR(VLOOKUP(A6,OFFSET($AG$2,,,COUNTIF($AG$2:$AG$50,"?*"),23),19,FALSE),"")</f>
        <v>220 OZ, 141 (78+63)</v>
      </c>
      <c r="E8" s="462"/>
      <c r="F8" s="463"/>
      <c r="H8" s="464" t="s">
        <v>23</v>
      </c>
      <c r="I8" s="464"/>
      <c r="J8" s="464"/>
      <c r="K8" s="464"/>
      <c r="M8" s="460" t="str">
        <f ca="1">IFERROR(VLOOKUP(M6,OFFSET($AG$2,,,COUNTIF($AG$2:$AG$50,"?*"),23),18,FALSE),"")</f>
        <v>10 OZ, 7 (2+5), +16 ±</v>
      </c>
      <c r="N8" s="461"/>
      <c r="O8" s="461"/>
      <c r="P8" s="462" t="str">
        <f ca="1">IFERROR(VLOOKUP(M6,OFFSET($AG$2,,,COUNTIF($AG$2:$AG$50,"?*"),23),19,FALSE),"")</f>
        <v>23 OZ, 18 (9+9)</v>
      </c>
      <c r="Q8" s="462"/>
      <c r="R8" s="463"/>
      <c r="S8" s="110" t="s">
        <v>372</v>
      </c>
      <c r="T8" s="102" t="s">
        <v>107</v>
      </c>
      <c r="U8" s="102">
        <v>13</v>
      </c>
      <c r="V8" s="102">
        <v>8</v>
      </c>
      <c r="W8" s="102">
        <v>0</v>
      </c>
      <c r="X8" s="102">
        <v>0</v>
      </c>
      <c r="Y8" s="102">
        <v>3</v>
      </c>
      <c r="Z8" s="102">
        <v>11</v>
      </c>
      <c r="AA8" s="102">
        <v>0</v>
      </c>
      <c r="AB8" s="102">
        <v>14</v>
      </c>
      <c r="AC8" s="102" t="str">
        <f t="shared" ca="1" si="0"/>
        <v>ANO</v>
      </c>
      <c r="AG8" s="121" t="s">
        <v>385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394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7"/>
        <v>Goll</v>
      </c>
      <c r="BE8" s="84">
        <f t="shared" ca="1" si="3"/>
        <v>1</v>
      </c>
      <c r="BF8" s="62" t="str">
        <f t="shared" si="8"/>
        <v>D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19"/>
      <c r="BT8" s="104" t="s">
        <v>1169</v>
      </c>
      <c r="BU8" s="103" t="s">
        <v>183</v>
      </c>
      <c r="BV8" s="104" t="str">
        <f t="shared" si="14"/>
        <v>Dominik Hanuš</v>
      </c>
      <c r="BW8" s="112">
        <f t="shared" si="15"/>
        <v>0</v>
      </c>
      <c r="BX8" s="418"/>
      <c r="BY8" s="103" t="s">
        <v>1111</v>
      </c>
      <c r="BZ8" s="103" t="s">
        <v>857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>TJ SKV</v>
      </c>
      <c r="B9" s="449"/>
      <c r="C9" s="450"/>
      <c r="D9" s="451">
        <f ca="1">IFERROR(IF(VLOOKUP(A6,OFFSET($AG$2,,,COUNTIF($AG$2:$AG$50,"?*"),23),14,FALSE)&lt;&gt;0,VLOOKUP(A6,OFFSET($AG$2,,,COUNTIF($AG$2:$AG$50,"?*"),23),14,FALSE),"?"),"")</f>
        <v>2005</v>
      </c>
      <c r="E9" s="452"/>
      <c r="F9" s="7">
        <f ca="1">IFERROR(IF(VLOOKUP(A6,OFFSET($AG$2,,,COUNTIF($AG$2:$AG$50,"?*"),23),7,FALSE)&lt;&gt;0,VLOOKUP(A6,OFFSET($AG$2,,,COUNTIF($AG$2:$AG$50,"?*"),23),7,FALSE),"?"),"")</f>
        <v>11</v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>FBŠ Hattrick Brno</v>
      </c>
      <c r="N9" s="449"/>
      <c r="O9" s="450"/>
      <c r="P9" s="451">
        <f ca="1">IFERROR(IF(VLOOKUP(M6,OFFSET($AG$2,,,COUNTIF($AG$2:$AG$50,"?*"),23),14,FALSE)&lt;&gt;0,VLOOKUP(M6,OFFSET($AG$2,,,COUNTIF($AG$2:$AG$50,"?*"),23),14,FALSE),"?"),"")</f>
        <v>2011</v>
      </c>
      <c r="Q9" s="452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377</v>
      </c>
      <c r="T9" s="102" t="s">
        <v>58</v>
      </c>
      <c r="U9" s="102">
        <v>12</v>
      </c>
      <c r="V9" s="102">
        <v>5</v>
      </c>
      <c r="W9" s="102">
        <v>0</v>
      </c>
      <c r="X9" s="102">
        <v>0</v>
      </c>
      <c r="Y9" s="102">
        <v>5</v>
      </c>
      <c r="Z9" s="102">
        <v>10</v>
      </c>
      <c r="AA9" s="102">
        <v>4</v>
      </c>
      <c r="AB9" s="102">
        <v>12</v>
      </c>
      <c r="AC9" s="102" t="str">
        <f t="shared" ca="1" si="0"/>
        <v>ANO</v>
      </c>
      <c r="AG9" s="121" t="s">
        <v>370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391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13 OZ, 6 (0+6), +13 ±</v>
      </c>
      <c r="AY9" s="129" t="str">
        <f t="shared" ca="1" si="2"/>
        <v>220 OZ, 141 (78+63)</v>
      </c>
      <c r="AZ9" s="130"/>
      <c r="BA9" s="130"/>
      <c r="BB9" s="130"/>
      <c r="BC9" s="130"/>
      <c r="BD9" s="89" t="str">
        <f t="shared" si="7"/>
        <v>Gruber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19"/>
      <c r="BT9" s="104" t="s">
        <v>1170</v>
      </c>
      <c r="BU9" s="103" t="s">
        <v>1171</v>
      </c>
      <c r="BV9" s="104" t="str">
        <f t="shared" si="14"/>
        <v>Ondřej Tomšík</v>
      </c>
      <c r="BW9" s="112">
        <f t="shared" si="15"/>
        <v>1</v>
      </c>
      <c r="BX9" s="418"/>
      <c r="BY9" s="103" t="s">
        <v>1150</v>
      </c>
      <c r="BZ9" s="103" t="s">
        <v>818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375</v>
      </c>
      <c r="T10" s="102" t="s">
        <v>107</v>
      </c>
      <c r="U10" s="102">
        <v>11</v>
      </c>
      <c r="V10" s="102">
        <v>4</v>
      </c>
      <c r="W10" s="102">
        <v>0</v>
      </c>
      <c r="X10" s="102">
        <v>0</v>
      </c>
      <c r="Y10" s="102">
        <v>6</v>
      </c>
      <c r="Z10" s="102">
        <v>10</v>
      </c>
      <c r="AA10" s="102">
        <v>0</v>
      </c>
      <c r="AB10" s="102">
        <v>13</v>
      </c>
      <c r="AC10" s="102" t="str">
        <f t="shared" ca="1" si="0"/>
        <v>ANO</v>
      </c>
      <c r="AG10" s="121" t="s">
        <v>1167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1234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7"/>
        <v>Hanuš</v>
      </c>
      <c r="BE10" s="84">
        <f t="shared" ca="1" si="3"/>
        <v>1</v>
      </c>
      <c r="BF10" s="62" t="str">
        <f t="shared" si="8"/>
        <v>D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19"/>
      <c r="BV10" s="104" t="str">
        <f t="shared" si="14"/>
        <v/>
      </c>
      <c r="BW10" s="112" t="str">
        <f t="shared" si="15"/>
        <v/>
      </c>
      <c r="BX10" s="418"/>
      <c r="BY10" s="103" t="s">
        <v>1344</v>
      </c>
      <c r="BZ10" s="103" t="s">
        <v>838</v>
      </c>
      <c r="CA10" s="115" t="s">
        <v>188</v>
      </c>
    </row>
    <row r="11" spans="1:79" ht="15" customHeight="1" thickTop="1" thickBot="1" x14ac:dyDescent="0.25">
      <c r="R11" s="13"/>
      <c r="S11" s="110" t="s">
        <v>376</v>
      </c>
      <c r="T11" s="102" t="s">
        <v>58</v>
      </c>
      <c r="U11" s="102">
        <v>13</v>
      </c>
      <c r="V11" s="102">
        <v>3</v>
      </c>
      <c r="W11" s="102">
        <v>1</v>
      </c>
      <c r="X11" s="102">
        <v>0</v>
      </c>
      <c r="Y11" s="102">
        <v>7</v>
      </c>
      <c r="Z11" s="102">
        <v>10</v>
      </c>
      <c r="AA11" s="102">
        <v>10</v>
      </c>
      <c r="AB11" s="102">
        <v>15</v>
      </c>
      <c r="AC11" s="102" t="str">
        <f t="shared" ca="1" si="0"/>
        <v>ANO</v>
      </c>
      <c r="AG11" s="121" t="s">
        <v>386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395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10 OZ, 7 (2+5), +16 ±</v>
      </c>
      <c r="AY11" s="129" t="str">
        <f t="shared" ca="1" si="2"/>
        <v>23 OZ, 18 (9+9)</v>
      </c>
      <c r="AZ11" s="130"/>
      <c r="BA11" s="130"/>
      <c r="BB11" s="130"/>
      <c r="BC11" s="130"/>
      <c r="BD11" s="89" t="str">
        <f t="shared" si="7"/>
        <v>Hemerka</v>
      </c>
      <c r="BE11" s="91">
        <f t="shared" ca="1" si="3"/>
        <v>1</v>
      </c>
      <c r="BF11" s="90" t="str">
        <f t="shared" si="8"/>
        <v>A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19"/>
      <c r="BV11" s="104" t="str">
        <f t="shared" si="14"/>
        <v/>
      </c>
      <c r="BW11" s="112" t="str">
        <f t="shared" si="15"/>
        <v/>
      </c>
      <c r="BX11" s="418"/>
      <c r="BY11" s="103" t="s">
        <v>1361</v>
      </c>
      <c r="BZ11" s="103" t="s">
        <v>831</v>
      </c>
      <c r="CA11" s="115" t="s">
        <v>188</v>
      </c>
    </row>
    <row r="12" spans="1:79" ht="15" customHeight="1" thickTop="1" thickBot="1" x14ac:dyDescent="0.25">
      <c r="A12" s="431" t="s">
        <v>378</v>
      </c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65" t="s">
        <v>7</v>
      </c>
      <c r="I12" s="465"/>
      <c r="J12" s="465"/>
      <c r="K12" s="465"/>
      <c r="M12" s="431" t="s">
        <v>368</v>
      </c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386</v>
      </c>
      <c r="U12" s="102">
        <v>10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6</v>
      </c>
      <c r="AB12" s="102">
        <v>16</v>
      </c>
      <c r="AC12" s="102" t="str">
        <f t="shared" ca="1" si="0"/>
        <v>ANO</v>
      </c>
      <c r="AG12" s="121" t="s">
        <v>372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396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13 OZ, 11 (8+3), +14 ±</v>
      </c>
      <c r="AY12" s="129" t="str">
        <f t="shared" ca="1" si="2"/>
        <v>223 OZ, 195 (119+76)</v>
      </c>
      <c r="AZ12" s="130"/>
      <c r="BA12" s="130"/>
      <c r="BB12" s="130"/>
      <c r="BC12" s="130"/>
      <c r="BD12" s="3" t="str">
        <f t="shared" si="7"/>
        <v>Chroust</v>
      </c>
      <c r="BE12" s="84">
        <f t="shared" ca="1" si="3"/>
        <v>1</v>
      </c>
      <c r="BF12" s="62" t="str">
        <f t="shared" si="8"/>
        <v>T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19" t="s">
        <v>37</v>
      </c>
      <c r="BT12" s="104" t="s">
        <v>1406</v>
      </c>
      <c r="BU12" s="103">
        <v>13</v>
      </c>
      <c r="BV12" s="104" t="str">
        <f t="shared" si="14"/>
        <v>Jakub Bína</v>
      </c>
      <c r="BW12" s="102">
        <f t="shared" si="15"/>
        <v>13</v>
      </c>
      <c r="BX12" s="120" t="s">
        <v>191</v>
      </c>
      <c r="BY12" s="100" t="s">
        <v>1403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4">
        <f ca="1">IFERROR(IF(VLOOKUP(A12,OFFSET($AG$2,,,COUNTIF($AG$2:$AG$50,"?*"),23),2,FALSE)&lt;&gt;0,YEAR(VLOOKUP(A12,OFFSET($AG$2,,,COUNTIF($AG$2:$AG$50,"?*"),23),2,FALSE)),""),"")</f>
        <v>1989</v>
      </c>
      <c r="C13" s="425"/>
      <c r="D13" s="117">
        <f ca="1">IFERROR(VLOOKUP(A12,OFFSET($AG$2,,,COUNTIF($AG$2:$AG$50,"?*"),23),15,FALSE),"")</f>
        <v>32</v>
      </c>
      <c r="E13" s="426" t="str">
        <f ca="1">IFERROR(VLOOKUP(A12,OFFSET($AG$2,,,COUNTIF($AG$2:$AG$50,"?*"),23),16,FALSE),"")</f>
        <v>185/86</v>
      </c>
      <c r="F13" s="427"/>
      <c r="M13" s="4" t="str">
        <f ca="1">IFERROR(IF(VLOOKUP(M12,OFFSET($AG$2,,,COUNTIF($AG$2:$AG$50,"?*"),23),10,FALSE)&lt;&gt;0,VLOOKUP(M12,OFFSET($AG$2,,,COUNTIF($AG$2:$AG$50,"?*"),23),10,FALSE),""),"")</f>
        <v>L</v>
      </c>
      <c r="N13" s="424">
        <f ca="1">IFERROR(IF(VLOOKUP(M12,OFFSET($AG$2,,,COUNTIF($AG$2:$AG$50,"?*"),23),2,FALSE)&lt;&gt;0,YEAR(VLOOKUP(M12,OFFSET($AG$2,,,COUNTIF($AG$2:$AG$50,"?*"),23),2,FALSE)),""),"")</f>
        <v>1990</v>
      </c>
      <c r="O13" s="425"/>
      <c r="P13" s="117">
        <f ca="1">IFERROR(VLOOKUP(M12,OFFSET($AG$2,,,COUNTIF($AG$2:$AG$50,"?*"),23),15,FALSE),"")</f>
        <v>31</v>
      </c>
      <c r="Q13" s="426" t="str">
        <f ca="1">IFERROR(VLOOKUP(M12,OFFSET($AG$2,,,COUNTIF($AG$2:$AG$50,"?*"),23),16,FALSE),"")</f>
        <v>183/76</v>
      </c>
      <c r="R13" s="427"/>
      <c r="S13" s="110" t="s">
        <v>369</v>
      </c>
      <c r="T13" s="102" t="s">
        <v>107</v>
      </c>
      <c r="U13" s="102">
        <v>8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377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12 OZ, 10 (5+5), +12 ±</v>
      </c>
      <c r="AY13" s="129" t="str">
        <f t="shared" ca="1" si="2"/>
        <v>103 OZ, 73 (41+32)</v>
      </c>
      <c r="AZ13" s="130"/>
      <c r="BA13" s="130"/>
      <c r="BB13" s="130"/>
      <c r="BC13" s="130"/>
      <c r="BD13" s="89" t="str">
        <f t="shared" si="7"/>
        <v>Koláčný</v>
      </c>
      <c r="BE13" s="91">
        <f t="shared" ca="1" si="3"/>
        <v>1</v>
      </c>
      <c r="BF13" s="90" t="str">
        <f t="shared" si="8"/>
        <v>P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19"/>
      <c r="BT13" s="104" t="s">
        <v>860</v>
      </c>
      <c r="BU13" s="103">
        <v>12</v>
      </c>
      <c r="BV13" s="104" t="str">
        <f t="shared" si="14"/>
        <v>Matěj Pěnička</v>
      </c>
      <c r="BW13" s="102">
        <f t="shared" si="15"/>
        <v>12</v>
      </c>
    </row>
    <row r="14" spans="1:79" ht="15" customHeight="1" thickTop="1" thickBot="1" x14ac:dyDescent="0.25">
      <c r="A14" s="460" t="str">
        <f ca="1">IFERROR(VLOOKUP(A12,OFFSET($AG$2,,,COUNTIF($AG$2:$AG$50,"?*"),23),18,FALSE),"")</f>
        <v>11 OZ, 13 (7+6), +14 ±</v>
      </c>
      <c r="B14" s="461"/>
      <c r="C14" s="461"/>
      <c r="D14" s="462" t="str">
        <f ca="1">IFERROR(VLOOKUP(A12,OFFSET($AG$2,,,COUNTIF($AG$2:$AG$50,"?*"),23),19,FALSE),"")</f>
        <v>152 OZ, 201 (108+93)</v>
      </c>
      <c r="E14" s="462"/>
      <c r="F14" s="463"/>
      <c r="G14" s="431" t="s">
        <v>371</v>
      </c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60" t="str">
        <f ca="1">IFERROR(VLOOKUP(M12,OFFSET($AG$2,,,COUNTIF($AG$2:$AG$50,"?*"),23),18,FALSE),"")</f>
        <v>13 OZ, 14 (8+6), +19 ±</v>
      </c>
      <c r="N14" s="461"/>
      <c r="O14" s="461"/>
      <c r="P14" s="462" t="str">
        <f ca="1">IFERROR(VLOOKUP(M12,OFFSET($AG$2,,,COUNTIF($AG$2:$AG$50,"?*"),23),19,FALSE),"")</f>
        <v>246 OZ, 309 (191+118)</v>
      </c>
      <c r="Q14" s="462"/>
      <c r="R14" s="463"/>
      <c r="S14" s="110" t="s">
        <v>370</v>
      </c>
      <c r="T14" s="102" t="s">
        <v>58</v>
      </c>
      <c r="U14" s="102">
        <v>13</v>
      </c>
      <c r="V14" s="102">
        <v>0</v>
      </c>
      <c r="W14" s="102">
        <v>0</v>
      </c>
      <c r="X14" s="102">
        <v>0</v>
      </c>
      <c r="Y14" s="102">
        <v>6</v>
      </c>
      <c r="Z14" s="102">
        <v>6</v>
      </c>
      <c r="AA14" s="102">
        <v>0</v>
      </c>
      <c r="AB14" s="102">
        <v>13</v>
      </c>
      <c r="AC14" s="102" t="str">
        <f t="shared" ca="1" si="0"/>
        <v>ANO</v>
      </c>
      <c r="AG14" s="121" t="s">
        <v>382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397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13 OZ, 5 (4+1), +4 ±</v>
      </c>
      <c r="AY14" s="129" t="str">
        <f t="shared" ca="1" si="2"/>
        <v>43 OZ, 19 (12+7)</v>
      </c>
      <c r="AZ14" s="130"/>
      <c r="BA14" s="130"/>
      <c r="BB14" s="130"/>
      <c r="BC14" s="130"/>
      <c r="BD14" s="3" t="str">
        <f t="shared" si="7"/>
        <v>Korych</v>
      </c>
      <c r="BE14" s="84">
        <f t="shared" ca="1" si="3"/>
        <v>1</v>
      </c>
      <c r="BF14" s="62" t="str">
        <f t="shared" si="8"/>
        <v>M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19"/>
      <c r="BT14" s="104" t="s">
        <v>1040</v>
      </c>
      <c r="BU14" s="103">
        <v>11</v>
      </c>
      <c r="BV14" s="104" t="str">
        <f t="shared" si="14"/>
        <v>Jiří Curney</v>
      </c>
      <c r="BW14" s="102">
        <f t="shared" si="15"/>
        <v>11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>Faraos Praha</v>
      </c>
      <c r="B15" s="449"/>
      <c r="C15" s="450"/>
      <c r="D15" s="451">
        <f ca="1">IFERROR(IF(VLOOKUP(A12,OFFSET($AG$2,,,COUNTIF($AG$2:$AG$50,"?*"),23),14,FALSE)&lt;&gt;0,VLOOKUP(A12,OFFSET($AG$2,,,COUNTIF($AG$2:$AG$50,"?*"),23),14,FALSE),"?"),"")</f>
        <v>1999</v>
      </c>
      <c r="E15" s="452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4">
        <f ca="1">IFERROR(IF(VLOOKUP(G14,OFFSET($AG$2,,,COUNTIF($AG$2:$AG$50,"?*"),23),2,FALSE)&lt;&gt;0,YEAR(VLOOKUP(G14,OFFSET($AG$2,,,COUNTIF($AG$2:$AG$50,"?*"),23),2,FALSE)),""),"")</f>
        <v>2001</v>
      </c>
      <c r="I15" s="425"/>
      <c r="J15" s="117">
        <f ca="1">IFERROR(VLOOKUP(G14,OFFSET($AG$2,,,COUNTIF($AG$2:$AG$50,"?*"),23),15,FALSE),"")</f>
        <v>20</v>
      </c>
      <c r="K15" s="426" t="str">
        <f ca="1">IFERROR(VLOOKUP(G14,OFFSET($AG$2,,,COUNTIF($AG$2:$AG$50,"?*"),23),16,FALSE),"")</f>
        <v>185/75</v>
      </c>
      <c r="L15" s="427"/>
      <c r="M15" s="448" t="str">
        <f ca="1">IFERROR(IF(VLOOKUP(M12,OFFSET($AG$2,,,COUNTIF($AG$2:$AG$50,"?*"),23),13,FALSE)&lt;&gt;0,VLOOKUP(M12,OFFSET($AG$2,,,COUNTIF($AG$2:$AG$50,"?*"),23),13,FALSE),"?"),"")</f>
        <v>FBC Sok. Poruba Škorpioni</v>
      </c>
      <c r="N15" s="449"/>
      <c r="O15" s="450"/>
      <c r="P15" s="451">
        <f ca="1">IFERROR(IF(VLOOKUP(M12,OFFSET($AG$2,,,COUNTIF($AG$2:$AG$50,"?*"),23),14,FALSE)&lt;&gt;0,VLOOKUP(M12,OFFSET($AG$2,,,COUNTIF($AG$2:$AG$50,"?*"),23),14,FALSE),"?"),"")</f>
        <v>1998</v>
      </c>
      <c r="Q15" s="452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382</v>
      </c>
      <c r="T15" s="102" t="s">
        <v>107</v>
      </c>
      <c r="U15" s="102">
        <v>13</v>
      </c>
      <c r="V15" s="102">
        <v>4</v>
      </c>
      <c r="W15" s="102">
        <v>0</v>
      </c>
      <c r="X15" s="102">
        <v>0</v>
      </c>
      <c r="Y15" s="102">
        <v>1</v>
      </c>
      <c r="Z15" s="102">
        <v>5</v>
      </c>
      <c r="AA15" s="102">
        <v>0</v>
      </c>
      <c r="AB15" s="102">
        <v>4</v>
      </c>
      <c r="AC15" s="102" t="str">
        <f t="shared" ca="1" si="0"/>
        <v>ANO</v>
      </c>
      <c r="AG15" s="121" t="s">
        <v>387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7"/>
        <v>Kučera</v>
      </c>
      <c r="BE15" s="91">
        <f t="shared" ca="1" si="3"/>
        <v>1</v>
      </c>
      <c r="BF15" s="90" t="str">
        <f t="shared" si="8"/>
        <v>F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19"/>
      <c r="BT15" s="104" t="s">
        <v>801</v>
      </c>
      <c r="BU15" s="103">
        <v>8</v>
      </c>
      <c r="BV15" s="104" t="str">
        <f t="shared" si="14"/>
        <v>Martin Tokoš</v>
      </c>
      <c r="BW15" s="102">
        <f t="shared" si="15"/>
        <v>8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>13 OZ, 13 (5+8), +24 ±</v>
      </c>
      <c r="H16" s="461"/>
      <c r="I16" s="461"/>
      <c r="J16" s="462" t="str">
        <f ca="1">IFERROR(VLOOKUP(G14,OFFSET($AG$2,,,COUNTIF($AG$2:$AG$50,"?*"),23),19,FALSE),"")</f>
        <v>34 OZ, 35 (21+14)</v>
      </c>
      <c r="K16" s="462"/>
      <c r="L16" s="463"/>
      <c r="S16" s="110" t="s">
        <v>383</v>
      </c>
      <c r="U16" s="102">
        <v>13</v>
      </c>
      <c r="V16" s="102">
        <v>3</v>
      </c>
      <c r="W16" s="102">
        <v>0</v>
      </c>
      <c r="X16" s="102">
        <v>0</v>
      </c>
      <c r="Y16" s="102">
        <v>2</v>
      </c>
      <c r="Z16" s="102">
        <v>5</v>
      </c>
      <c r="AA16" s="102">
        <v>6</v>
      </c>
      <c r="AB16" s="102">
        <v>12</v>
      </c>
      <c r="AC16" s="102" t="str">
        <f t="shared" ca="1" si="0"/>
        <v>ANO</v>
      </c>
      <c r="AG16" s="121" t="s">
        <v>388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398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7"/>
        <v>Macík</v>
      </c>
      <c r="BE16" s="84">
        <f t="shared" ca="1" si="3"/>
        <v>1</v>
      </c>
      <c r="BF16" s="62" t="str">
        <f t="shared" si="8"/>
        <v>M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19"/>
      <c r="BT16" s="104" t="s">
        <v>1173</v>
      </c>
      <c r="BU16" s="103">
        <v>8</v>
      </c>
      <c r="BV16" s="104" t="str">
        <f t="shared" si="14"/>
        <v>Tadeáš Chroust</v>
      </c>
      <c r="BW16" s="102">
        <f t="shared" si="15"/>
        <v>8</v>
      </c>
    </row>
    <row r="17" spans="1:75" ht="15" customHeight="1" thickTop="1" thickBot="1" x14ac:dyDescent="0.25">
      <c r="A17" s="431" t="s">
        <v>376</v>
      </c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48" t="str">
        <f ca="1">IFERROR(IF(VLOOKUP(G14,OFFSET($AG$2,,,COUNTIF($AG$2:$AG$50,"?*"),23),13,FALSE)&lt;&gt;0,VLOOKUP(G14,OFFSET($AG$2,,,COUNTIF($AG$2:$AG$50,"?*"),23),13,FALSE),"?"),"")</f>
        <v>Florbal Ústí</v>
      </c>
      <c r="H17" s="449"/>
      <c r="I17" s="450"/>
      <c r="J17" s="451">
        <f ca="1">IFERROR(IF(VLOOKUP(G14,OFFSET($AG$2,,,COUNTIF($AG$2:$AG$50,"?*"),23),14,FALSE)&lt;&gt;0,VLOOKUP(G14,OFFSET($AG$2,,,COUNTIF($AG$2:$AG$50,"?*"),23),14,FALSE),"?"),"")</f>
        <v>2010</v>
      </c>
      <c r="K17" s="452"/>
      <c r="L17" s="7">
        <f ca="1">IFERROR(IF(VLOOKUP(G14,OFFSET($AG$2,,,COUNTIF($AG$2:$AG$50,"?*"),23),7,FALSE)&lt;&gt;0,VLOOKUP(G14,OFFSET($AG$2,,,COUNTIF($AG$2:$AG$50,"?*"),23),7,FALSE),"?"),"")</f>
        <v>2</v>
      </c>
      <c r="M17" s="431" t="s">
        <v>381</v>
      </c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380</v>
      </c>
      <c r="U17" s="102">
        <v>13</v>
      </c>
      <c r="V17" s="102">
        <v>1</v>
      </c>
      <c r="W17" s="102">
        <v>0</v>
      </c>
      <c r="X17" s="102">
        <v>0</v>
      </c>
      <c r="Y17" s="102">
        <v>4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369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399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8 OZ, 6 (4+2), +8 ±</v>
      </c>
      <c r="AY17" s="129" t="str">
        <f t="shared" ca="1" si="2"/>
        <v>281 OZ, 462 (279+183)</v>
      </c>
      <c r="AZ17" s="130"/>
      <c r="BA17" s="130"/>
      <c r="BB17" s="130"/>
      <c r="BC17" s="130"/>
      <c r="BD17" s="89" t="str">
        <f t="shared" si="7"/>
        <v>Natov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19" t="s">
        <v>41</v>
      </c>
      <c r="BT17" s="104" t="s">
        <v>414</v>
      </c>
      <c r="BU17" s="103">
        <v>10</v>
      </c>
      <c r="BV17" s="104" t="str">
        <f t="shared" si="14"/>
        <v>Lukáš Bauer</v>
      </c>
      <c r="BW17" s="102">
        <f t="shared" si="15"/>
        <v>10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4">
        <f ca="1">IFERROR(IF(VLOOKUP(A17,OFFSET($AG$2,,,COUNTIF($AG$2:$AG$50,"?*"),23),2,FALSE)&lt;&gt;0,YEAR(VLOOKUP(A17,OFFSET($AG$2,,,COUNTIF($AG$2:$AG$50,"?*"),23),2,FALSE)),""),"")</f>
        <v>1990</v>
      </c>
      <c r="C18" s="425"/>
      <c r="D18" s="149">
        <f ca="1">IFERROR(VLOOKUP(A17,OFFSET($AG$2,,,COUNTIF($AG$2:$AG$50,"?*"),23),15,FALSE),"")</f>
        <v>31</v>
      </c>
      <c r="E18" s="426" t="str">
        <f ca="1">IFERROR(VLOOKUP(A17,OFFSET($AG$2,,,COUNTIF($AG$2:$AG$50,"?*"),23),16,FALSE),"")</f>
        <v>170/69</v>
      </c>
      <c r="F18" s="427"/>
      <c r="M18" s="4" t="str">
        <f ca="1">IFERROR(IF(VLOOKUP(M17,OFFSET($AG$2,,,COUNTIF($AG$2:$AG$50,"?*"),23),10,FALSE)&lt;&gt;0,VLOOKUP(M17,OFFSET($AG$2,,,COUNTIF($AG$2:$AG$50,"?*"),23),10,FALSE),""),"")</f>
        <v>L</v>
      </c>
      <c r="N18" s="424">
        <f ca="1">IFERROR(IF(VLOOKUP(M17,OFFSET($AG$2,,,COUNTIF($AG$2:$AG$50,"?*"),23),2,FALSE)&lt;&gt;0,YEAR(VLOOKUP(M17,OFFSET($AG$2,,,COUNTIF($AG$2:$AG$50,"?*"),23),2,FALSE)),""),"")</f>
        <v>1999</v>
      </c>
      <c r="O18" s="425"/>
      <c r="P18" s="117">
        <f ca="1">IFERROR(VLOOKUP(M17,OFFSET($AG$2,,,COUNTIF($AG$2:$AG$50,"?*"),23),15,FALSE),"")</f>
        <v>22</v>
      </c>
      <c r="Q18" s="426" t="str">
        <f ca="1">IFERROR(VLOOKUP(M17,OFFSET($AG$2,,,COUNTIF($AG$2:$AG$50,"?*"),23),16,FALSE),"")</f>
        <v>186/78</v>
      </c>
      <c r="R18" s="427"/>
      <c r="S18" s="110" t="s">
        <v>381</v>
      </c>
      <c r="U18" s="102">
        <v>13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16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397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7"/>
        <v>Pařízek</v>
      </c>
      <c r="BE18" s="84">
        <f t="shared" ca="1" si="3"/>
        <v>1</v>
      </c>
      <c r="BF18" s="62" t="str">
        <f t="shared" si="8"/>
        <v>J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19"/>
      <c r="BT18" s="104" t="s">
        <v>415</v>
      </c>
      <c r="BU18" s="103">
        <v>1</v>
      </c>
      <c r="BV18" s="104" t="str">
        <f t="shared" si="14"/>
        <v>Ondřej Tomšík</v>
      </c>
      <c r="BW18" s="102">
        <f t="shared" si="15"/>
        <v>1</v>
      </c>
    </row>
    <row r="19" spans="1:75" ht="15" customHeight="1" x14ac:dyDescent="0.2">
      <c r="A19" s="460" t="str">
        <f ca="1">IFERROR(VLOOKUP(A17,OFFSET($AG$2,,,COUNTIF($AG$2:$AG$50,"?*"),23),18,FALSE),"")</f>
        <v>13 OZ, 10 (3+7), +15 ±</v>
      </c>
      <c r="B19" s="461"/>
      <c r="C19" s="461"/>
      <c r="D19" s="462" t="str">
        <f ca="1">IFERROR(VLOOKUP(A17,OFFSET($AG$2,,,COUNTIF($AG$2:$AG$50,"?*"),23),19,FALSE),"")</f>
        <v>196 OZ, 193 (90+103)</v>
      </c>
      <c r="E19" s="462"/>
      <c r="F19" s="463"/>
      <c r="H19" s="464" t="str">
        <f>H$8</f>
        <v>MB</v>
      </c>
      <c r="I19" s="464"/>
      <c r="J19" s="464"/>
      <c r="K19" s="464"/>
      <c r="M19" s="460" t="str">
        <f ca="1">IFERROR(VLOOKUP(M17,OFFSET($AG$2,,,COUNTIF($AG$2:$AG$50,"?*"),23),18,FALSE),"")</f>
        <v>13 OZ, 4 (1+3), +16 ±</v>
      </c>
      <c r="N19" s="461"/>
      <c r="O19" s="461"/>
      <c r="P19" s="462" t="str">
        <f ca="1">IFERROR(VLOOKUP(M17,OFFSET($AG$2,,,COUNTIF($AG$2:$AG$50,"?*"),23),19,FALSE),"")</f>
        <v>135 OZ, 47 (19+28)</v>
      </c>
      <c r="Q19" s="462"/>
      <c r="R19" s="463"/>
      <c r="S19" s="110" t="s">
        <v>373</v>
      </c>
      <c r="T19" s="102" t="s">
        <v>107</v>
      </c>
      <c r="U19" s="102">
        <v>10</v>
      </c>
      <c r="V19" s="102">
        <v>1</v>
      </c>
      <c r="W19" s="102">
        <v>0</v>
      </c>
      <c r="X19" s="102">
        <v>0</v>
      </c>
      <c r="Y19" s="102">
        <v>1</v>
      </c>
      <c r="Z19" s="102">
        <v>2</v>
      </c>
      <c r="AA19" s="102">
        <v>2</v>
      </c>
      <c r="AB19" s="102">
        <v>4</v>
      </c>
      <c r="AC19" s="102" t="str">
        <f t="shared" ca="1" si="0"/>
        <v>ANO</v>
      </c>
      <c r="AG19" s="121" t="s">
        <v>367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396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13 OZ, 15 (12+3), +14 ±</v>
      </c>
      <c r="AY19" s="129" t="str">
        <f t="shared" ca="1" si="2"/>
        <v>46 OZ, 61 (43+18)</v>
      </c>
      <c r="AZ19" s="130"/>
      <c r="BA19" s="130"/>
      <c r="BB19" s="130"/>
      <c r="BC19" s="130"/>
      <c r="BD19" s="89" t="str">
        <f t="shared" si="7"/>
        <v>Pěnička</v>
      </c>
      <c r="BE19" s="91">
        <f t="shared" ca="1" si="3"/>
        <v>1</v>
      </c>
      <c r="BF19" s="90" t="str">
        <f t="shared" si="8"/>
        <v>M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19"/>
      <c r="BT19" s="104" t="s">
        <v>1174</v>
      </c>
      <c r="BU19" s="103">
        <v>0</v>
      </c>
      <c r="BV19" s="104" t="str">
        <f t="shared" si="14"/>
        <v>Dominik Hanuš</v>
      </c>
      <c r="BW19" s="102">
        <f t="shared" si="15"/>
        <v>0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>1. SC Vítkovice</v>
      </c>
      <c r="B20" s="449"/>
      <c r="C20" s="450"/>
      <c r="D20" s="451">
        <f ca="1">IFERROR(IF(VLOOKUP(A17,OFFSET($AG$2,,,COUNTIF($AG$2:$AG$50,"?*"),23),14,FALSE)&lt;&gt;0,VLOOKUP(A17,OFFSET($AG$2,,,COUNTIF($AG$2:$AG$50,"?*"),23),14,FALSE),"?"),"")</f>
        <v>2001</v>
      </c>
      <c r="E20" s="452"/>
      <c r="F20" s="7">
        <f ca="1">IFERROR(IF(VLOOKUP(A17,OFFSET($AG$2,,,COUNTIF($AG$2:$AG$50,"?*"),23),7,FALSE)&lt;&gt;0,VLOOKUP(A17,OFFSET($AG$2,,,COUNTIF($AG$2:$AG$50,"?*"),23),7,FALSE),"?"),"")</f>
        <v>10</v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>Mladá Boleslav</v>
      </c>
      <c r="N20" s="449"/>
      <c r="O20" s="450"/>
      <c r="P20" s="451">
        <f ca="1">IFERROR(IF(VLOOKUP(M17,OFFSET($AG$2,,,COUNTIF($AG$2:$AG$50,"?*"),23),14,FALSE)&lt;&gt;0,VLOOKUP(M17,OFFSET($AG$2,,,COUNTIF($AG$2:$AG$50,"?*"),23),14,FALSE),"?"),"")</f>
        <v>2009</v>
      </c>
      <c r="Q20" s="452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1167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380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13 OZ, 5 (1+4), +12 ±</v>
      </c>
      <c r="AY20" s="129" t="str">
        <f t="shared" ca="1" si="2"/>
        <v>28 OZ, 12 (5+7)</v>
      </c>
      <c r="AZ20" s="130"/>
      <c r="BA20" s="130"/>
      <c r="BB20" s="130"/>
      <c r="BC20" s="130"/>
      <c r="BD20" s="3" t="str">
        <f t="shared" si="7"/>
        <v>Punčochář</v>
      </c>
      <c r="BE20" s="84">
        <f t="shared" ca="1" si="3"/>
        <v>1</v>
      </c>
      <c r="BF20" s="62" t="str">
        <f t="shared" si="8"/>
        <v>L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19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800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376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341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13 OZ, 10 (3+7), +15 ±</v>
      </c>
      <c r="AY21" s="129" t="str">
        <f t="shared" ca="1" si="2"/>
        <v>196 OZ, 193 (90+103)</v>
      </c>
      <c r="AZ21" s="130"/>
      <c r="BA21" s="130"/>
      <c r="BB21" s="130"/>
      <c r="BC21" s="130"/>
      <c r="BD21" s="89" t="str">
        <f t="shared" si="7"/>
        <v>Suchánek</v>
      </c>
      <c r="BE21" s="91">
        <f t="shared" ca="1" si="3"/>
        <v>1</v>
      </c>
      <c r="BF21" s="90" t="str">
        <f t="shared" si="8"/>
        <v>P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19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384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378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294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11 OZ, 13 (7+6), +14 ±</v>
      </c>
      <c r="AY22" s="129" t="str">
        <f t="shared" ca="1" si="2"/>
        <v>152 OZ, 201 (108+93)</v>
      </c>
      <c r="AZ22" s="130"/>
      <c r="BA22" s="130"/>
      <c r="BB22" s="130"/>
      <c r="BC22" s="130"/>
      <c r="BD22" s="3" t="str">
        <f t="shared" si="7"/>
        <v>Šebek</v>
      </c>
      <c r="BE22" s="84">
        <f t="shared" ca="1" si="3"/>
        <v>1</v>
      </c>
      <c r="BF22" s="62" t="str">
        <f t="shared" si="8"/>
        <v>D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19" t="s">
        <v>38</v>
      </c>
      <c r="BT22" s="104" t="s">
        <v>859</v>
      </c>
      <c r="BU22" s="103">
        <v>13</v>
      </c>
      <c r="BV22" s="104" t="str">
        <f t="shared" si="14"/>
        <v>Jiří Curney</v>
      </c>
      <c r="BW22" s="102">
        <f t="shared" si="15"/>
        <v>13</v>
      </c>
    </row>
    <row r="23" spans="1:75" ht="15" customHeight="1" thickTop="1" thickBot="1" x14ac:dyDescent="0.25">
      <c r="A23" s="431" t="s">
        <v>367</v>
      </c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65" t="s">
        <v>13</v>
      </c>
      <c r="I23" s="465"/>
      <c r="J23" s="465"/>
      <c r="K23" s="465"/>
      <c r="M23" s="431" t="s">
        <v>382</v>
      </c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379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368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402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13 OZ, 14 (8+6), +19 ±</v>
      </c>
      <c r="AY23" s="129" t="str">
        <f t="shared" ca="1" si="2"/>
        <v>246 OZ, 309 (191+118)</v>
      </c>
      <c r="AZ23" s="130"/>
      <c r="BA23" s="130"/>
      <c r="BB23" s="130"/>
      <c r="BC23" s="130"/>
      <c r="BD23" s="89" t="str">
        <f t="shared" si="7"/>
        <v>Tokoš</v>
      </c>
      <c r="BE23" s="91">
        <f t="shared" ca="1" si="3"/>
        <v>1</v>
      </c>
      <c r="BF23" s="90" t="str">
        <f t="shared" si="8"/>
        <v>M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19"/>
      <c r="BT23" s="104" t="s">
        <v>1175</v>
      </c>
      <c r="BU23" s="103">
        <v>8</v>
      </c>
      <c r="BV23" s="104" t="str">
        <f t="shared" si="14"/>
        <v>Dominik Beneš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4">
        <f ca="1">IFERROR(IF(VLOOKUP(A23,OFFSET($AG$2,,,COUNTIF($AG$2:$AG$50,"?*"),23),2,FALSE)&lt;&gt;0,YEAR(VLOOKUP(A23,OFFSET($AG$2,,,COUNTIF($AG$2:$AG$50,"?*"),23),2,FALSE)),""),"")</f>
        <v>2002</v>
      </c>
      <c r="C24" s="425"/>
      <c r="D24" s="117">
        <f ca="1">IFERROR(VLOOKUP(A23,OFFSET($AG$2,,,COUNTIF($AG$2:$AG$50,"?*"),23),15,FALSE),"")</f>
        <v>19</v>
      </c>
      <c r="E24" s="426" t="str">
        <f ca="1">IFERROR(VLOOKUP(A23,OFFSET($AG$2,,,COUNTIF($AG$2:$AG$50,"?*"),23),16,FALSE),"")</f>
        <v>168/75</v>
      </c>
      <c r="F24" s="427"/>
      <c r="M24" s="4" t="str">
        <f ca="1">IFERROR(IF(VLOOKUP(M23,OFFSET($AG$2,,,COUNTIF($AG$2:$AG$50,"?*"),23),10,FALSE)&lt;&gt;0,VLOOKUP(M23,OFFSET($AG$2,,,COUNTIF($AG$2:$AG$50,"?*"),23),10,FALSE),""),"")</f>
        <v>L</v>
      </c>
      <c r="N24" s="424">
        <f ca="1">IFERROR(IF(VLOOKUP(M23,OFFSET($AG$2,,,COUNTIF($AG$2:$AG$50,"?*"),23),2,FALSE)&lt;&gt;0,YEAR(VLOOKUP(M23,OFFSET($AG$2,,,COUNTIF($AG$2:$AG$50,"?*"),23),2,FALSE)),""),"")</f>
        <v>2002</v>
      </c>
      <c r="O24" s="425"/>
      <c r="P24" s="117">
        <f ca="1">IFERROR(VLOOKUP(M23,OFFSET($AG$2,,,COUNTIF($AG$2:$AG$50,"?*"),23),15,FALSE),"")</f>
        <v>19</v>
      </c>
      <c r="Q24" s="426" t="str">
        <f ca="1">IFERROR(VLOOKUP(M23,OFFSET($AG$2,,,COUNTIF($AG$2:$AG$50,"?*"),23),16,FALSE),"")</f>
        <v>187/71</v>
      </c>
      <c r="R24" s="427"/>
      <c r="S24" s="111"/>
      <c r="AC24" s="102" t="str">
        <f t="shared" ca="1" si="0"/>
        <v/>
      </c>
      <c r="AG24" s="121" t="s">
        <v>375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402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10 (4+6), +13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229 OZ, 368 (188+180)</v>
      </c>
      <c r="AZ24" s="130"/>
      <c r="BA24" s="130"/>
      <c r="BB24" s="130"/>
      <c r="BC24" s="130"/>
      <c r="BD24" s="3" t="str">
        <f t="shared" si="7"/>
        <v>Tomašík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19"/>
      <c r="BT24" s="104" t="s">
        <v>1176</v>
      </c>
      <c r="BU24" s="103">
        <v>7</v>
      </c>
      <c r="BV24" s="104" t="str">
        <f t="shared" si="14"/>
        <v>Patrik Suchánek</v>
      </c>
      <c r="BW24" s="102">
        <f t="shared" si="15"/>
        <v>7</v>
      </c>
    </row>
    <row r="25" spans="1:75" ht="15" customHeight="1" thickTop="1" thickBot="1" x14ac:dyDescent="0.25">
      <c r="A25" s="460" t="str">
        <f ca="1">IFERROR(VLOOKUP(A23,OFFSET($AG$2,,,COUNTIF($AG$2:$AG$50,"?*"),23),18,FALSE),"")</f>
        <v>13 OZ, 15 (12+3), +14 ±</v>
      </c>
      <c r="B25" s="461"/>
      <c r="C25" s="461"/>
      <c r="D25" s="462" t="str">
        <f ca="1">IFERROR(VLOOKUP(A23,OFFSET($AG$2,,,COUNTIF($AG$2:$AG$50,"?*"),23),19,FALSE),"")</f>
        <v>46 OZ, 61 (43+18)</v>
      </c>
      <c r="E25" s="462"/>
      <c r="F25" s="463"/>
      <c r="G25" s="431" t="s">
        <v>380</v>
      </c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60" t="str">
        <f ca="1">IFERROR(VLOOKUP(M23,OFFSET($AG$2,,,COUNTIF($AG$2:$AG$50,"?*"),23),18,FALSE),"")</f>
        <v>13 OZ, 5 (4+1), +4 ±</v>
      </c>
      <c r="N25" s="461"/>
      <c r="O25" s="461"/>
      <c r="P25" s="462" t="str">
        <f ca="1">IFERROR(VLOOKUP(M23,OFFSET($AG$2,,,COUNTIF($AG$2:$AG$50,"?*"),23),19,FALSE),"")</f>
        <v>43 OZ, 19 (12+7)</v>
      </c>
      <c r="Q25" s="462"/>
      <c r="R25" s="463"/>
      <c r="S25" s="111"/>
      <c r="AC25" s="102" t="str">
        <f t="shared" ca="1" si="0"/>
        <v/>
      </c>
      <c r="AG25" s="121" t="s">
        <v>384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6"/>
        <v>1 V, 0 P</v>
      </c>
      <c r="AY25" s="129" t="str">
        <f t="shared" ca="1" si="17"/>
        <v>2 OZ, 0 A</v>
      </c>
      <c r="AZ25" s="130"/>
      <c r="BA25" s="130"/>
      <c r="BB25" s="130"/>
      <c r="BC25" s="130"/>
      <c r="BD25" s="89" t="str">
        <f t="shared" si="7"/>
        <v>Tomšík</v>
      </c>
      <c r="BE25" s="91">
        <f t="shared" ca="1" si="3"/>
        <v>1</v>
      </c>
      <c r="BF25" s="90" t="str">
        <f t="shared" si="8"/>
        <v>O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19"/>
      <c r="BT25" s="104" t="s">
        <v>1407</v>
      </c>
      <c r="BU25" s="103">
        <v>6</v>
      </c>
      <c r="BV25" s="104" t="str">
        <f t="shared" si="14"/>
        <v>Daniel Šebek</v>
      </c>
      <c r="BW25" s="102">
        <f t="shared" si="15"/>
        <v>6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>Vosy Praha</v>
      </c>
      <c r="B26" s="449"/>
      <c r="C26" s="450"/>
      <c r="D26" s="451">
        <f ca="1">IFERROR(IF(VLOOKUP(A23,OFFSET($AG$2,,,COUNTIF($AG$2:$AG$50,"?*"),23),14,FALSE)&lt;&gt;0,VLOOKUP(A23,OFFSET($AG$2,,,COUNTIF($AG$2:$AG$50,"?*"),23),14,FALSE),"?"),"")</f>
        <v>2011</v>
      </c>
      <c r="E26" s="452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4">
        <f ca="1">IFERROR(IF(VLOOKUP(G25,OFFSET($AG$2,,,COUNTIF($AG$2:$AG$50,"?*"),23),2,FALSE)&lt;&gt;0,YEAR(VLOOKUP(G25,OFFSET($AG$2,,,COUNTIF($AG$2:$AG$50,"?*"),23),2,FALSE)),""),"")</f>
        <v>2002</v>
      </c>
      <c r="I26" s="425"/>
      <c r="J26" s="117">
        <f ca="1">IFERROR(VLOOKUP(G25,OFFSET($AG$2,,,COUNTIF($AG$2:$AG$50,"?*"),23),15,FALSE),"")</f>
        <v>19</v>
      </c>
      <c r="K26" s="426" t="str">
        <f ca="1">IFERROR(VLOOKUP(G25,OFFSET($AG$2,,,COUNTIF($AG$2:$AG$50,"?*"),23),16,FALSE),"")</f>
        <v>187/73</v>
      </c>
      <c r="L26" s="427"/>
      <c r="M26" s="448" t="str">
        <f ca="1">IFERROR(IF(VLOOKUP(M23,OFFSET($AG$2,,,COUNTIF($AG$2:$AG$50,"?*"),23),13,FALSE)&lt;&gt;0,VLOOKUP(M23,OFFSET($AG$2,,,COUNTIF($AG$2:$AG$50,"?*"),23),13,FALSE),"?"),"")</f>
        <v>Mladá Boleslav</v>
      </c>
      <c r="N26" s="449"/>
      <c r="O26" s="450"/>
      <c r="P26" s="451">
        <f ca="1">IFERROR(IF(VLOOKUP(M23,OFFSET($AG$2,,,COUNTIF($AG$2:$AG$50,"?*"),23),14,FALSE)&lt;&gt;0,VLOOKUP(M23,OFFSET($AG$2,,,COUNTIF($AG$2:$AG$50,"?*"),23),14,FALSE),"?"),"")</f>
        <v>2010</v>
      </c>
      <c r="Q26" s="452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390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6"/>
        <v>0 OZ, 0 (0+0)</v>
      </c>
      <c r="AY26" s="129" t="str">
        <f t="shared" ca="1" si="17"/>
        <v>3 OZ, 0 (0+0)</v>
      </c>
      <c r="AZ26" s="130"/>
      <c r="BA26" s="130"/>
      <c r="BB26" s="130"/>
      <c r="BC26" s="130"/>
      <c r="BD26" s="3" t="str">
        <f t="shared" si="7"/>
        <v>Vyhnánek</v>
      </c>
      <c r="BE26" s="84">
        <f t="shared" ca="1" si="3"/>
        <v>1</v>
      </c>
      <c r="BF26" s="62" t="str">
        <f t="shared" si="8"/>
        <v>Z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19"/>
      <c r="BT26" s="104" t="s">
        <v>1408</v>
      </c>
      <c r="BU26" s="103">
        <v>6</v>
      </c>
      <c r="BV26" s="104" t="str">
        <f t="shared" si="14"/>
        <v>Jakub Gruber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>13 OZ, 5 (1+4), +12 ±</v>
      </c>
      <c r="H27" s="461"/>
      <c r="I27" s="461"/>
      <c r="J27" s="462" t="str">
        <f ca="1">IFERROR(VLOOKUP(G25,OFFSET($AG$2,,,COUNTIF($AG$2:$AG$50,"?*"),23),19,FALSE),"")</f>
        <v>28 OZ, 12 (5+7)</v>
      </c>
      <c r="K27" s="462"/>
      <c r="L27" s="463"/>
      <c r="S27" s="111"/>
      <c r="AC27" s="102" t="str">
        <f t="shared" ca="1" si="0"/>
        <v/>
      </c>
      <c r="AG27" s="121" t="s">
        <v>381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397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6"/>
        <v>13 OZ, 4 (1+3), +16 ±</v>
      </c>
      <c r="AY27" s="129" t="str">
        <f t="shared" ca="1" si="17"/>
        <v>135 OZ, 47 (19+28)</v>
      </c>
      <c r="AZ27" s="130"/>
      <c r="BA27" s="130"/>
      <c r="BB27" s="130"/>
      <c r="BC27" s="130"/>
      <c r="BD27" s="89" t="str">
        <f t="shared" si="7"/>
        <v>Zakonov</v>
      </c>
      <c r="BE27" s="91">
        <f t="shared" ca="1" si="3"/>
        <v>1</v>
      </c>
      <c r="BF27" s="90" t="str">
        <f t="shared" si="8"/>
        <v>F</v>
      </c>
      <c r="BG27" s="89" t="str">
        <f t="shared" ca="1" si="9"/>
        <v/>
      </c>
      <c r="BH27" s="90">
        <f t="shared" ca="1" si="4"/>
        <v>0</v>
      </c>
      <c r="BI27" s="89" t="str">
        <f t="shared" ca="1" si="10"/>
        <v/>
      </c>
      <c r="BJ27" s="90">
        <f t="shared" ca="1" si="5"/>
        <v>0</v>
      </c>
      <c r="BK27" s="89" t="str">
        <f t="shared" ca="1" si="11"/>
        <v/>
      </c>
      <c r="BL27" s="90">
        <f t="shared" ca="1" si="6"/>
        <v>0</v>
      </c>
      <c r="BM27" s="89" t="str">
        <f t="shared" ca="1" si="12"/>
        <v/>
      </c>
      <c r="BS27" s="419" t="s">
        <v>39</v>
      </c>
      <c r="BT27" s="104" t="s">
        <v>1177</v>
      </c>
      <c r="BU27" s="103">
        <v>10</v>
      </c>
      <c r="BV27" s="104" t="str">
        <f t="shared" si="14"/>
        <v>Martin Tokoš</v>
      </c>
      <c r="BW27" s="102">
        <f t="shared" si="15"/>
        <v>10</v>
      </c>
    </row>
    <row r="28" spans="1:75" ht="15" customHeight="1" thickTop="1" thickBot="1" x14ac:dyDescent="0.25">
      <c r="A28" s="431" t="s">
        <v>383</v>
      </c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48" t="str">
        <f ca="1">IFERROR(IF(VLOOKUP(G25,OFFSET($AG$2,,,COUNTIF($AG$2:$AG$50,"?*"),23),13,FALSE)&lt;&gt;0,VLOOKUP(G25,OFFSET($AG$2,,,COUNTIF($AG$2:$AG$50,"?*"),23),13,FALSE),"?"),"")</f>
        <v>Bulldogs Brno</v>
      </c>
      <c r="H28" s="449"/>
      <c r="I28" s="450"/>
      <c r="J28" s="451">
        <f ca="1">IFERROR(IF(VLOOKUP(G25,OFFSET($AG$2,,,COUNTIF($AG$2:$AG$50,"?*"),23),14,FALSE)&lt;&gt;0,VLOOKUP(G25,OFFSET($AG$2,,,COUNTIF($AG$2:$AG$50,"?*"),23),14,FALSE),"?"),"")</f>
        <v>2014</v>
      </c>
      <c r="K28" s="452"/>
      <c r="L28" s="7">
        <f ca="1">IFERROR(IF(VLOOKUP(G25,OFFSET($AG$2,,,COUNTIF($AG$2:$AG$50,"?*"),23),7,FALSE)&lt;&gt;0,VLOOKUP(G25,OFFSET($AG$2,,,COUNTIF($AG$2:$AG$50,"?*"),23),7,FALSE),"?"),"")</f>
        <v>2</v>
      </c>
      <c r="M28" s="431" t="s">
        <v>377</v>
      </c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373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397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2 (1+1), +4 ±</v>
      </c>
      <c r="AY28" s="129" t="str">
        <f t="shared" ca="1" si="17"/>
        <v>35 OZ, 13 (7+6)</v>
      </c>
      <c r="AZ28" s="130"/>
      <c r="BA28" s="130"/>
      <c r="BB28" s="130"/>
      <c r="BC28" s="130"/>
      <c r="BD28" s="3" t="str">
        <f t="shared" si="7"/>
        <v>Zoufalý</v>
      </c>
      <c r="BE28" s="84">
        <f t="shared" ca="1" si="3"/>
        <v>1</v>
      </c>
      <c r="BF28" s="62" t="str">
        <f t="shared" si="8"/>
        <v>J</v>
      </c>
      <c r="BG28" s="3" t="str">
        <f t="shared" ca="1" si="9"/>
        <v/>
      </c>
      <c r="BH28" s="62">
        <f t="shared" ca="1" si="4"/>
        <v>0</v>
      </c>
      <c r="BI28" s="3" t="str">
        <f t="shared" ca="1" si="10"/>
        <v/>
      </c>
      <c r="BJ28" s="62">
        <f t="shared" ca="1" si="5"/>
        <v>0</v>
      </c>
      <c r="BK28" s="3" t="str">
        <f t="shared" ca="1" si="11"/>
        <v/>
      </c>
      <c r="BL28" s="62">
        <f t="shared" ca="1" si="6"/>
        <v>0</v>
      </c>
      <c r="BM28" s="3" t="str">
        <f t="shared" ca="1" si="12"/>
        <v/>
      </c>
      <c r="BS28" s="419"/>
      <c r="BT28" s="104" t="s">
        <v>1039</v>
      </c>
      <c r="BU28" s="103">
        <v>10</v>
      </c>
      <c r="BV28" s="104" t="str">
        <f t="shared" si="14"/>
        <v>Patrik Suchánek</v>
      </c>
      <c r="BW28" s="102">
        <f t="shared" si="15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4">
        <f ca="1">IFERROR(IF(VLOOKUP(A28,OFFSET($AG$2,,,COUNTIF($AG$2:$AG$50,"?*"),23),2,FALSE)&lt;&gt;0,YEAR(VLOOKUP(A28,OFFSET($AG$2,,,COUNTIF($AG$2:$AG$50,"?*"),23),2,FALSE)),""),"")</f>
        <v>2001</v>
      </c>
      <c r="C29" s="425"/>
      <c r="D29" s="117">
        <f ca="1">IFERROR(VLOOKUP(A28,OFFSET($AG$2,,,COUNTIF($AG$2:$AG$50,"?*"),23),15,FALSE),"")</f>
        <v>20</v>
      </c>
      <c r="E29" s="426" t="str">
        <f ca="1">IFERROR(VLOOKUP(A28,OFFSET($AG$2,,,COUNTIF($AG$2:$AG$50,"?*"),23),16,FALSE),"")</f>
        <v>181/70</v>
      </c>
      <c r="F29" s="427"/>
      <c r="M29" s="4" t="str">
        <f ca="1">IFERROR(IF(VLOOKUP(M28,OFFSET($AG$2,,,COUNTIF($AG$2:$AG$50,"?*"),23),10,FALSE)&lt;&gt;0,VLOOKUP(M28,OFFSET($AG$2,,,COUNTIF($AG$2:$AG$50,"?*"),23),10,FALSE),""),"")</f>
        <v>L</v>
      </c>
      <c r="N29" s="424">
        <f ca="1">IFERROR(IF(VLOOKUP(M28,OFFSET($AG$2,,,COUNTIF($AG$2:$AG$50,"?*"),23),2,FALSE)&lt;&gt;0,YEAR(VLOOKUP(M28,OFFSET($AG$2,,,COUNTIF($AG$2:$AG$50,"?*"),23),2,FALSE)),""),"")</f>
        <v>2000</v>
      </c>
      <c r="O29" s="425"/>
      <c r="P29" s="117">
        <f ca="1">IFERROR(VLOOKUP(M28,OFFSET($AG$2,,,COUNTIF($AG$2:$AG$50,"?*"),23),15,FALSE),"")</f>
        <v>21</v>
      </c>
      <c r="Q29" s="426" t="str">
        <f ca="1">IFERROR(VLOOKUP(M28,OFFSET($AG$2,,,COUNTIF($AG$2:$AG$50,"?*"),23),16,FALSE),"")</f>
        <v>185/77</v>
      </c>
      <c r="R29" s="42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:AU29" ca="1" si="18">IF(AG29&lt;&gt;"",IF(AH29&lt;&gt;"",INT((TODAY()-AH29)/365),"?"),"")</f>
        <v/>
      </c>
      <c r="AV29" s="127" t="str">
        <f t="shared" ref="AV2:AV29" si="19">IF(AG29&lt;&gt;"",CONCATENATE(IF(AQ29&lt;&gt;"",AQ29,"? "),"/",IF(AR29&lt;&gt;"",AR29," ?")),"")</f>
        <v/>
      </c>
      <c r="AW29" s="128" t="str">
        <f t="shared" ref="AW2:AW29" si="20"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t="shared" ca="1" si="3"/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t="shared" ca="1" si="4"/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t="shared" ca="1" si="5"/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t="shared" ca="1" si="6"/>
        <v/>
      </c>
      <c r="BM29" s="89" t="str">
        <f ca="1">IF(AND($AG29&lt;&gt;"",BL29&gt;1),CONCATENATE($BD29," ",LEFT($AG29,MIN(4,SEARCH(" ",$AG29)-1)),IF(SEARCH(" ",$AG29)-1&gt;4,".",""),""),"")</f>
        <v/>
      </c>
      <c r="BS29" s="419"/>
      <c r="BT29" s="104" t="s">
        <v>1409</v>
      </c>
      <c r="BU29" s="103">
        <v>6</v>
      </c>
      <c r="BV29" s="104" t="str">
        <f t="shared" si="14"/>
        <v>Adam Hemerka</v>
      </c>
      <c r="BW29" s="102">
        <f t="shared" si="15"/>
        <v>6</v>
      </c>
    </row>
    <row r="30" spans="1:75" ht="15" customHeight="1" x14ac:dyDescent="0.2">
      <c r="A30" s="460" t="str">
        <f ca="1">IFERROR(VLOOKUP(A28,OFFSET($AG$2,,,COUNTIF($AG$2:$AG$50,"?*"),23),18,FALSE),"")</f>
        <v>13 OZ, 5 (3+2), +12 ±</v>
      </c>
      <c r="B30" s="461"/>
      <c r="C30" s="461"/>
      <c r="D30" s="462" t="str">
        <f ca="1">IFERROR(VLOOKUP(A28,OFFSET($AG$2,,,COUNTIF($AG$2:$AG$50,"?*"),23),19,FALSE),"")</f>
        <v>13 OZ, 5 (3+2)</v>
      </c>
      <c r="E30" s="462"/>
      <c r="F30" s="463"/>
      <c r="H30" s="464" t="str">
        <f>H$8</f>
        <v>MB</v>
      </c>
      <c r="I30" s="464"/>
      <c r="J30" s="464"/>
      <c r="K30" s="464"/>
      <c r="M30" s="460" t="str">
        <f ca="1">IFERROR(VLOOKUP(M28,OFFSET($AG$2,,,COUNTIF($AG$2:$AG$50,"?*"),23),18,FALSE),"")</f>
        <v>12 OZ, 10 (5+5), +12 ±</v>
      </c>
      <c r="N30" s="461"/>
      <c r="O30" s="461"/>
      <c r="P30" s="462" t="str">
        <f ca="1">IFERROR(VLOOKUP(M28,OFFSET($AG$2,,,COUNTIF($AG$2:$AG$50,"?*"),23),19,FALSE),"")</f>
        <v>103 OZ, 73 (41+32)</v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21">IF(AG30&lt;&gt;"",IF(AH30&lt;&gt;"",INT((TODAY()-AH30)/365),"?"),"")</f>
        <v/>
      </c>
      <c r="AV30" s="127" t="str">
        <f t="shared" ref="AV30" si="22">IF(AG30&lt;&gt;"",CONCATENATE(IF(AQ30&lt;&gt;"",AQ30,"? "),"/",IF(AR30&lt;&gt;"",AR30," ?")),"")</f>
        <v/>
      </c>
      <c r="AW30" s="128" t="str">
        <f t="shared" ref="AW30" si="23">IF(AG30&lt;&gt;"",IF(BE30=1,BD30,IF(BH30=1,BG30,IF(BJ30=1,BI30,IF(BL30=1,BK30,BM30)))),"")</f>
        <v/>
      </c>
      <c r="AX30" s="129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19"/>
      <c r="BT30" s="104" t="s">
        <v>1410</v>
      </c>
      <c r="BU30" s="103">
        <v>6</v>
      </c>
      <c r="BV30" s="104" t="str">
        <f t="shared" si="14"/>
        <v>Miroslav Fořt</v>
      </c>
      <c r="BW30" s="102">
        <f t="shared" si="15"/>
        <v>6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>Florbal Ústí</v>
      </c>
      <c r="B31" s="449"/>
      <c r="C31" s="450"/>
      <c r="D31" s="451">
        <f ca="1">IFERROR(IF(VLOOKUP(A28,OFFSET($AG$2,,,COUNTIF($AG$2:$AG$50,"?*"),23),14,FALSE)&lt;&gt;0,VLOOKUP(A28,OFFSET($AG$2,,,COUNTIF($AG$2:$AG$50,"?*"),23),14,FALSE),"?"),"")</f>
        <v>2007</v>
      </c>
      <c r="E31" s="452"/>
      <c r="F31" s="7">
        <f ca="1">IFERROR(IF(VLOOKUP(A28,OFFSET($AG$2,,,COUNTIF($AG$2:$AG$50,"?*"),23),7,FALSE)&lt;&gt;0,VLOOKUP(A28,OFFSET($AG$2,,,COUNTIF($AG$2:$AG$50,"?*"),23),7,FALSE),"?"),"")</f>
        <v>1</v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>Bulldogs Brno</v>
      </c>
      <c r="N31" s="449"/>
      <c r="O31" s="450"/>
      <c r="P31" s="451">
        <f ca="1">IFERROR(IF(VLOOKUP(M28,OFFSET($AG$2,,,COUNTIF($AG$2:$AG$50,"?*"),23),14,FALSE)&lt;&gt;0,VLOOKUP(M28,OFFSET($AG$2,,,COUNTIF($AG$2:$AG$50,"?*"),23),14,FALSE),"?"),"")</f>
        <v>2008</v>
      </c>
      <c r="Q31" s="452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9" ca="1" si="25">IF(AG31&lt;&gt;"",IF(AH31&lt;&gt;"",INT((TODAY()-AH31)/365),"?"),"")</f>
        <v/>
      </c>
      <c r="AV31" s="127" t="str">
        <f t="shared" ref="AV31:AV49" si="26">IF(AG31&lt;&gt;"",CONCATENATE(IF(AQ31&lt;&gt;"",AQ31,"? "),"/",IF(AR31&lt;&gt;"",AR31," ?")),"")</f>
        <v/>
      </c>
      <c r="AW31" s="128" t="str">
        <f t="shared" ref="AW31:AW49" si="27">IF(AG31&lt;&gt;"",IF(BE31=1,BD31,IF(BH31=1,BG31,IF(BJ31=1,BI31,IF(BL31=1,BK31,BM31)))),"")</f>
        <v/>
      </c>
      <c r="AX31" s="129" t="str">
        <f t="shared" ca="1" si="24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19"/>
      <c r="BT31" s="104" t="s">
        <v>1168</v>
      </c>
      <c r="BU31" s="103">
        <v>4</v>
      </c>
      <c r="BV31" s="104" t="str">
        <f t="shared" si="14"/>
        <v>Daniel Šebek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5"/>
        <v/>
      </c>
      <c r="AV32" s="127" t="str">
        <f t="shared" si="26"/>
        <v/>
      </c>
      <c r="AW32" s="128" t="str">
        <f t="shared" si="27"/>
        <v/>
      </c>
      <c r="AX32" s="129" t="str">
        <f t="shared" ca="1" si="24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5"/>
        <v/>
      </c>
      <c r="AV33" s="127" t="str">
        <f t="shared" si="26"/>
        <v/>
      </c>
      <c r="AW33" s="128" t="str">
        <f t="shared" si="27"/>
        <v/>
      </c>
      <c r="AX33" s="129" t="str">
        <f t="shared" ca="1" si="24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31" t="s">
        <v>379</v>
      </c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59" t="s">
        <v>16</v>
      </c>
      <c r="J34" s="431" t="s">
        <v>800</v>
      </c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5"/>
        <v/>
      </c>
      <c r="AV34" s="127" t="str">
        <f t="shared" si="26"/>
        <v/>
      </c>
      <c r="AW34" s="128" t="str">
        <f t="shared" si="27"/>
        <v/>
      </c>
      <c r="AX34" s="129" t="str">
        <f t="shared" ca="1" si="24"/>
        <v/>
      </c>
      <c r="AY34" s="129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ref="BE34:BE65" ca="1" si="29">IF(AG34&lt;&gt;"",COUNTIF(OFFSET($BD$2,,,COUNTIF($AG$2:$AG$50,"?*")),BD34),"")</f>
        <v/>
      </c>
      <c r="BF34" s="62" t="str">
        <f t="shared" si="8"/>
        <v/>
      </c>
      <c r="BG34" s="3" t="str">
        <f t="shared" ca="1" si="9"/>
        <v/>
      </c>
      <c r="BH34" s="62" t="str">
        <f t="shared" ref="BH34:BH65" ca="1" si="30">IF(BG34&lt;&gt;"",COUNTIF(OFFSET(BG$2,,,COUNTIF($AG$2:$AG$50,"?*")),BG34),IF($AG34&lt;&gt;"",0,""))</f>
        <v/>
      </c>
      <c r="BI34" s="3" t="str">
        <f t="shared" ca="1" si="10"/>
        <v/>
      </c>
      <c r="BJ34" s="62" t="str">
        <f t="shared" ref="BJ34:BJ65" ca="1" si="31">IF(BI34&lt;&gt;"",COUNTIF(OFFSET(BI$2,,,COUNTIF($AG$2:$AG$50,"?*")),BI34),IF($AG34&lt;&gt;"",0,""))</f>
        <v/>
      </c>
      <c r="BK34" s="3" t="str">
        <f t="shared" ca="1" si="11"/>
        <v/>
      </c>
      <c r="BL34" s="62" t="str">
        <f t="shared" ref="BL34:BL65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4">
        <f ca="1">IFERROR(IF(VLOOKUP(A34,OFFSET($AG$2,,,COUNTIF($AG$2:$AG$50,"?*"),23),2,FALSE)&lt;&gt;0,YEAR(VLOOKUP(A34,OFFSET($AG$2,,,COUNTIF($AG$2:$AG$50,"?*"),23),2,FALSE)),""),"")</f>
        <v>1991</v>
      </c>
      <c r="C35" s="425"/>
      <c r="D35" s="117">
        <f ca="1">IFERROR(VLOOKUP(A34,OFFSET($AG$2,,,COUNTIF($AG$2:$AG$50,"?*"),23),15,FALSE),"")</f>
        <v>30</v>
      </c>
      <c r="E35" s="426" t="str">
        <f ca="1">IFERROR(VLOOKUP(A34,OFFSET($AG$2,,,COUNTIF($AG$2:$AG$50,"?*"),23),16,FALSE),"")</f>
        <v>192/98</v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>L</v>
      </c>
      <c r="K35" s="425">
        <f ca="1">IFERROR(IF(VLOOKUP(J34,OFFSET($AG$2,,,COUNTIF($AG$2:$AG$50,"?*"),23),2,FALSE)&lt;&gt;0,YEAR(VLOOKUP(J34,OFFSET($AG$2,,,COUNTIF($AG$2:$AG$50,"?*"),23),2,FALSE)),""),"")</f>
        <v>2004</v>
      </c>
      <c r="L35" s="433"/>
      <c r="M35" s="118">
        <f ca="1">IFERROR(VLOOKUP(J34,OFFSET($AG$2,,,COUNTIF($AG$2:$AG$50,"?*"),23),15,FALSE),"")</f>
        <v>17</v>
      </c>
      <c r="N35" s="433" t="str">
        <f ca="1">IFERROR(VLOOKUP(J34,OFFSET($AG$2,,,COUNTIF($AG$2:$AG$50,"?*"),23),16,FALSE),"")</f>
        <v>172/72</v>
      </c>
      <c r="O35" s="433"/>
      <c r="P35" s="433" t="str">
        <f ca="1">IFERROR(VLOOKUP(J34,OFFSET($AG$2,,,COUNTIF($AG$2:$AG$50,"?*"),23),18,FALSE),"")</f>
        <v>8 OZ, 0 (0+0), +2 ±</v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5"/>
        <v/>
      </c>
      <c r="AV35" s="127" t="str">
        <f t="shared" si="26"/>
        <v/>
      </c>
      <c r="AW35" s="128" t="str">
        <f t="shared" si="27"/>
        <v/>
      </c>
      <c r="AX35" s="129" t="str">
        <f t="shared" ca="1" si="24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7"/>
        <v/>
      </c>
      <c r="BE35" s="91" t="str">
        <f t="shared" ca="1" si="29"/>
        <v/>
      </c>
      <c r="BF35" s="90" t="str">
        <f t="shared" si="8"/>
        <v/>
      </c>
      <c r="BG35" s="89" t="str">
        <f t="shared" ca="1" si="9"/>
        <v/>
      </c>
      <c r="BH35" s="90" t="str">
        <f t="shared" ca="1" si="30"/>
        <v/>
      </c>
      <c r="BI35" s="89" t="str">
        <f t="shared" ca="1" si="10"/>
        <v/>
      </c>
      <c r="BJ35" s="90" t="str">
        <f t="shared" ca="1" si="31"/>
        <v/>
      </c>
      <c r="BK35" s="89" t="str">
        <f t="shared" ca="1" si="11"/>
        <v/>
      </c>
      <c r="BL35" s="90" t="str">
        <f t="shared" ca="1" si="32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12</v>
      </c>
      <c r="B36" s="428" t="str">
        <f ca="1">IFERROR(VLOOKUP(A34,OFFSET($AG$2,,,COUNTIF($AG$2:$AG$50,"?*"),23),18,FALSE),"")</f>
        <v>10 V, 2 P</v>
      </c>
      <c r="C36" s="428"/>
      <c r="D36" s="429">
        <f ca="1">IFERROR(VLOOKUP(A34,OFFSET($S$45,,,COUNTIF($S$45:$S$50,"?*"),14),5,FALSE),"")</f>
        <v>35</v>
      </c>
      <c r="E36" s="430"/>
      <c r="F36" s="17">
        <f ca="1">IFERROR(VLOOKUP(A34,OFFSET($S$45,,,COUNTIF($S$45:$S$50,"?*"),14),14,FALSE),"")</f>
        <v>79.651162790697668</v>
      </c>
      <c r="H36" s="459"/>
      <c r="J36" s="18">
        <f ca="1">IFERROR(IF(VLOOKUP(J34,OFFSET($AG$2,,,COUNTIF($AG$2:$AG$50,"?*"),23),7,FALSE)&lt;&gt;0,VLOOKUP(J34,OFFSET($AG$2,,,COUNTIF($AG$2:$AG$50,"?*"),23),7,FALSE),"?"),"")</f>
        <v>1</v>
      </c>
      <c r="K36" s="435" t="str">
        <f ca="1">IFERROR(VLOOKUP(J34,OFFSET($AG$2,,,COUNTIF($AG$2:$AG$50,"?*"),23),19,FALSE),"")</f>
        <v>8 OZ, 0 (0+0)</v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>Mladá Boleslav</v>
      </c>
      <c r="O36" s="436"/>
      <c r="P36" s="436"/>
      <c r="Q36" s="435">
        <f ca="1">IFERROR(IF(VLOOKUP(J34,OFFSET($AG$2,,,COUNTIF($AG$2:$AG$50,"?*"),23),14,FALSE)&lt;&gt;0,VLOOKUP(J34,OFFSET($AG$2,,,COUNTIF($AG$2:$AG$50,"?*"),23),14,FALSE),"?"),"")</f>
        <v>2013</v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5"/>
        <v/>
      </c>
      <c r="AV36" s="127" t="str">
        <f t="shared" si="26"/>
        <v/>
      </c>
      <c r="AW36" s="128" t="str">
        <f t="shared" si="27"/>
        <v/>
      </c>
      <c r="AX36" s="129" t="str">
        <f t="shared" ca="1" si="24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ca="1" si="29"/>
        <v/>
      </c>
      <c r="BF36" s="62" t="str">
        <f t="shared" si="8"/>
        <v/>
      </c>
      <c r="BG36" s="3" t="str">
        <f t="shared" ca="1" si="9"/>
        <v/>
      </c>
      <c r="BH36" s="62" t="str">
        <f t="shared" ca="1" si="30"/>
        <v/>
      </c>
      <c r="BI36" s="3" t="str">
        <f t="shared" ca="1" si="10"/>
        <v/>
      </c>
      <c r="BJ36" s="62" t="str">
        <f t="shared" ca="1" si="31"/>
        <v/>
      </c>
      <c r="BK36" s="3" t="str">
        <f t="shared" ca="1" si="11"/>
        <v/>
      </c>
      <c r="BL36" s="62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453">
        <f ca="1">IFERROR(VLOOKUP(A34,OFFSET($S$45,,,COUNTIF($S$45:$S$50,"?*"),14),3,FALSE),"")</f>
        <v>722.72</v>
      </c>
      <c r="B37" s="454"/>
      <c r="C37" s="455">
        <f ca="1">IFERROR(VLOOKUP(A34,OFFSET($S$45,,,COUNTIF($S$45:$S$50,"?*"),14),13,FALSE),"")</f>
        <v>2.9056896170024351</v>
      </c>
      <c r="D37" s="456"/>
      <c r="E37" s="457" t="str">
        <f ca="1">IFERROR(VLOOKUP(A34,OFFSET($AG$2,,,COUNTIF($AG$2:$AG$50,"?*"),23),19,FALSE),"")</f>
        <v>172 OZ, 9 A</v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5"/>
        <v/>
      </c>
      <c r="AV37" s="127" t="str">
        <f t="shared" si="26"/>
        <v/>
      </c>
      <c r="AW37" s="128" t="str">
        <f t="shared" si="27"/>
        <v/>
      </c>
      <c r="AX37" s="129" t="str">
        <f t="shared" ca="1" si="24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9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30"/>
        <v/>
      </c>
      <c r="BI37" s="89" t="str">
        <f t="shared" ca="1" si="10"/>
        <v/>
      </c>
      <c r="BJ37" s="90" t="str">
        <f t="shared" ca="1" si="31"/>
        <v/>
      </c>
      <c r="BK37" s="89" t="str">
        <f t="shared" ca="1" si="11"/>
        <v/>
      </c>
      <c r="BL37" s="90" t="str">
        <f t="shared" ca="1" si="32"/>
        <v/>
      </c>
      <c r="BM37" s="89" t="str">
        <f t="shared" ca="1" si="12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>TJ SKV</v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>?</v>
      </c>
      <c r="E38" s="452"/>
      <c r="F38" s="19">
        <f ca="1">IFERROR(VLOOKUP(A34,OFFSET($S$45,,,COUNTIF($S$45:$S$50,"?*"),14),6,FALSE),"")</f>
        <v>0</v>
      </c>
      <c r="H38" s="459"/>
      <c r="J38" s="431" t="s">
        <v>373</v>
      </c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49" si="33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5"/>
        <v/>
      </c>
      <c r="AV38" s="127" t="str">
        <f t="shared" si="26"/>
        <v/>
      </c>
      <c r="AW38" s="128" t="str">
        <f t="shared" si="27"/>
        <v/>
      </c>
      <c r="AX38" s="129" t="str">
        <f t="shared" ca="1" si="24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9"/>
        <v/>
      </c>
      <c r="BF38" s="62" t="str">
        <f t="shared" si="8"/>
        <v/>
      </c>
      <c r="BG38" s="3" t="str">
        <f t="shared" ca="1" si="9"/>
        <v/>
      </c>
      <c r="BH38" s="62" t="str">
        <f t="shared" ca="1" si="30"/>
        <v/>
      </c>
      <c r="BI38" s="3" t="str">
        <f t="shared" ca="1" si="10"/>
        <v/>
      </c>
      <c r="BJ38" s="62" t="str">
        <f t="shared" ca="1" si="31"/>
        <v/>
      </c>
      <c r="BK38" s="3" t="str">
        <f t="shared" ca="1" si="11"/>
        <v/>
      </c>
      <c r="BL38" s="62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>L</v>
      </c>
      <c r="K39" s="425">
        <f ca="1">IFERROR(IF(VLOOKUP(J38,OFFSET($AG$2,,,COUNTIF($AG$2:$AG$50,"?*"),23),2,FALSE)&lt;&gt;0,YEAR(VLOOKUP(J38,OFFSET($AG$2,,,COUNTIF($AG$2:$AG$50,"?*"),23),2,FALSE)),""),"")</f>
        <v>2003</v>
      </c>
      <c r="L39" s="433"/>
      <c r="M39" s="150">
        <f ca="1">IFERROR(VLOOKUP(J38,OFFSET($AG$2,,,COUNTIF($AG$2:$AG$50,"?*"),23),15,FALSE),"")</f>
        <v>18</v>
      </c>
      <c r="N39" s="433" t="str">
        <f ca="1">IFERROR(VLOOKUP(J38,OFFSET($AG$2,,,COUNTIF($AG$2:$AG$50,"?*"),23),16,FALSE),"")</f>
        <v>185/71</v>
      </c>
      <c r="O39" s="433"/>
      <c r="P39" s="433" t="str">
        <f ca="1">IFERROR(VLOOKUP(J38,OFFSET($AG$2,,,COUNTIF($AG$2:$AG$50,"?*"),23),18,FALSE),"")</f>
        <v>10 OZ, 2 (1+1), +4 ±</v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5"/>
        <v/>
      </c>
      <c r="AV39" s="127" t="str">
        <f t="shared" si="26"/>
        <v/>
      </c>
      <c r="AW39" s="128" t="str">
        <f t="shared" si="27"/>
        <v/>
      </c>
      <c r="AX39" s="129" t="str">
        <f t="shared" ca="1" si="24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9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30"/>
        <v/>
      </c>
      <c r="BI39" s="89" t="str">
        <f t="shared" ca="1" si="10"/>
        <v/>
      </c>
      <c r="BJ39" s="90" t="str">
        <f t="shared" ca="1" si="31"/>
        <v/>
      </c>
      <c r="BK39" s="89" t="str">
        <f t="shared" ca="1" si="11"/>
        <v/>
      </c>
      <c r="BL39" s="90" t="str">
        <f t="shared" ca="1" si="32"/>
        <v/>
      </c>
      <c r="BM39" s="89" t="str">
        <f t="shared" ca="1" si="12"/>
        <v/>
      </c>
    </row>
    <row r="40" spans="1:65" ht="15" customHeight="1" thickTop="1" thickBot="1" x14ac:dyDescent="0.25">
      <c r="A40" s="431" t="s">
        <v>384</v>
      </c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59"/>
      <c r="J40" s="18">
        <f ca="1">IFERROR(IF(VLOOKUP(J38,OFFSET($AG$2,,,COUNTIF($AG$2:$AG$50,"?*"),23),7,FALSE)&lt;&gt;0,VLOOKUP(J38,OFFSET($AG$2,,,COUNTIF($AG$2:$AG$50,"?*"),23),7,FALSE),"?"),"")</f>
        <v>2</v>
      </c>
      <c r="K40" s="435" t="str">
        <f ca="1">IFERROR(VLOOKUP(J38,OFFSET($AG$2,,,COUNTIF($AG$2:$AG$50,"?*"),23),19,FALSE),"")</f>
        <v>35 OZ, 13 (7+6)</v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>Mladá Boleslav</v>
      </c>
      <c r="O40" s="436"/>
      <c r="P40" s="436"/>
      <c r="Q40" s="435">
        <f ca="1">IFERROR(IF(VLOOKUP(J38,OFFSET($AG$2,,,COUNTIF($AG$2:$AG$50,"?*"),23),14,FALSE)&lt;&gt;0,VLOOKUP(J38,OFFSET($AG$2,,,COUNTIF($AG$2:$AG$50,"?*"),23),14,FALSE),"?"),"")</f>
        <v>2011</v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5"/>
        <v/>
      </c>
      <c r="AV40" s="127" t="str">
        <f t="shared" si="26"/>
        <v/>
      </c>
      <c r="AW40" s="128" t="str">
        <f t="shared" si="27"/>
        <v/>
      </c>
      <c r="AX40" s="129" t="str">
        <f t="shared" ca="1" si="24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9"/>
        <v/>
      </c>
      <c r="BF40" s="62" t="str">
        <f t="shared" si="8"/>
        <v/>
      </c>
      <c r="BG40" s="3" t="str">
        <f t="shared" ca="1" si="9"/>
        <v/>
      </c>
      <c r="BH40" s="62" t="str">
        <f t="shared" ca="1" si="30"/>
        <v/>
      </c>
      <c r="BI40" s="3" t="str">
        <f t="shared" ca="1" si="10"/>
        <v/>
      </c>
      <c r="BJ40" s="62" t="str">
        <f t="shared" ca="1" si="31"/>
        <v/>
      </c>
      <c r="BK40" s="3" t="str">
        <f t="shared" ca="1" si="11"/>
        <v/>
      </c>
      <c r="BL40" s="62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4">
        <f ca="1">IFERROR(IF(VLOOKUP(A40,OFFSET($AG$2,,,COUNTIF($AG$2:$AG$50,"?*"),23),2,FALSE)&lt;&gt;0,YEAR(VLOOKUP(A40,OFFSET($AG$2,,,COUNTIF($AG$2:$AG$50,"?*"),23),2,FALSE)),""),"")</f>
        <v>2003</v>
      </c>
      <c r="C41" s="425"/>
      <c r="D41" s="117">
        <f ca="1">IFERROR(VLOOKUP(A40,OFFSET($AG$2,,,COUNTIF($AG$2:$AG$50,"?*"),23),15,FALSE),"")</f>
        <v>18</v>
      </c>
      <c r="E41" s="426" t="str">
        <f ca="1">IFERROR(VLOOKUP(A40,OFFSET($AG$2,,,COUNTIF($AG$2:$AG$50,"?*"),23),16,FALSE),"")</f>
        <v>189/77</v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5"/>
        <v/>
      </c>
      <c r="AV41" s="127" t="str">
        <f t="shared" si="26"/>
        <v/>
      </c>
      <c r="AW41" s="128" t="str">
        <f t="shared" si="27"/>
        <v/>
      </c>
      <c r="AX41" s="129" t="str">
        <f t="shared" ca="1" si="24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9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30"/>
        <v/>
      </c>
      <c r="BI41" s="89" t="str">
        <f t="shared" ca="1" si="10"/>
        <v/>
      </c>
      <c r="BJ41" s="90" t="str">
        <f t="shared" ca="1" si="31"/>
        <v/>
      </c>
      <c r="BK41" s="89" t="str">
        <f t="shared" ca="1" si="11"/>
        <v/>
      </c>
      <c r="BL41" s="90" t="str">
        <f t="shared" ca="1" si="32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28" t="str">
        <f ca="1">IFERROR(VLOOKUP(A40,OFFSET($AG$2,,,COUNTIF($AG$2:$AG$50,"?*"),23),18,FALSE),"")</f>
        <v>1 V, 0 P</v>
      </c>
      <c r="C42" s="428"/>
      <c r="D42" s="429">
        <f ca="1">IFERROR(VLOOKUP(A40,OFFSET($S$45,,,COUNTIF($S$45:$S$50,"?*"),14),5,FALSE),"")</f>
        <v>1</v>
      </c>
      <c r="E42" s="430"/>
      <c r="F42" s="17">
        <f ca="1">IFERROR(VLOOKUP(A40,OFFSET($S$45,,,COUNTIF($S$45:$S$50,"?*"),14),14,FALSE),"")</f>
        <v>90.909090909090907</v>
      </c>
      <c r="H42" s="459"/>
      <c r="J42" s="431" t="s">
        <v>369</v>
      </c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5"/>
        <v/>
      </c>
      <c r="AV42" s="127" t="str">
        <f t="shared" si="26"/>
        <v/>
      </c>
      <c r="AW42" s="128" t="str">
        <f t="shared" si="27"/>
        <v/>
      </c>
      <c r="AX42" s="129" t="str">
        <f t="shared" ca="1" si="24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9"/>
        <v/>
      </c>
      <c r="BF42" s="62" t="str">
        <f t="shared" si="8"/>
        <v/>
      </c>
      <c r="BG42" s="3" t="str">
        <f t="shared" ca="1" si="9"/>
        <v/>
      </c>
      <c r="BH42" s="62" t="str">
        <f t="shared" ca="1" si="30"/>
        <v/>
      </c>
      <c r="BI42" s="3" t="str">
        <f t="shared" ca="1" si="10"/>
        <v/>
      </c>
      <c r="BJ42" s="62" t="str">
        <f t="shared" ca="1" si="31"/>
        <v/>
      </c>
      <c r="BK42" s="3" t="str">
        <f t="shared" ca="1" si="11"/>
        <v/>
      </c>
      <c r="BL42" s="62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453">
        <f ca="1">IFERROR(VLOOKUP(A40,OFFSET($S$45,,,COUNTIF($S$45:$S$50,"?*"),14),3,FALSE),"")</f>
        <v>60</v>
      </c>
      <c r="B43" s="454"/>
      <c r="C43" s="455">
        <f ca="1">IFERROR(VLOOKUP(A40,OFFSET($S$45,,,COUNTIF($S$45:$S$50,"?*"),14),13,FALSE),"")</f>
        <v>1</v>
      </c>
      <c r="D43" s="456"/>
      <c r="E43" s="457" t="str">
        <f ca="1">IFERROR(VLOOKUP(A40,OFFSET($AG$2,,,COUNTIF($AG$2:$AG$50,"?*"),23),19,FALSE),"")</f>
        <v>2 OZ, 0 A</v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>P</v>
      </c>
      <c r="K43" s="425">
        <f ca="1">IFERROR(IF(VLOOKUP(J42,OFFSET($AG$2,,,COUNTIF($AG$2:$AG$50,"?*"),23),2,FALSE)&lt;&gt;0,YEAR(VLOOKUP(J42,OFFSET($AG$2,,,COUNTIF($AG$2:$AG$50,"?*"),23),2,FALSE)),""),"")</f>
        <v>1992</v>
      </c>
      <c r="L43" s="433"/>
      <c r="M43" s="150">
        <f ca="1">IFERROR(VLOOKUP(J42,OFFSET($AG$2,,,COUNTIF($AG$2:$AG$50,"?*"),23),15,FALSE),"")</f>
        <v>29</v>
      </c>
      <c r="N43" s="433" t="str">
        <f ca="1">IFERROR(VLOOKUP(J42,OFFSET($AG$2,,,COUNTIF($AG$2:$AG$50,"?*"),23),16,FALSE),"")</f>
        <v>181/76</v>
      </c>
      <c r="O43" s="433"/>
      <c r="P43" s="433" t="str">
        <f ca="1">IFERROR(VLOOKUP(J42,OFFSET($AG$2,,,COUNTIF($AG$2:$AG$50,"?*"),23),18,FALSE),"")</f>
        <v>8 OZ, 6 (4+2), +8 ±</v>
      </c>
      <c r="Q43" s="433"/>
      <c r="R43" s="434"/>
      <c r="AG43" s="121"/>
      <c r="AH43" s="122"/>
      <c r="AI43" s="123"/>
      <c r="AJ43" s="123"/>
      <c r="AK43" s="123"/>
      <c r="AL43" s="124" t="str">
        <f t="shared" si="3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5"/>
        <v/>
      </c>
      <c r="AV43" s="127" t="str">
        <f t="shared" si="26"/>
        <v/>
      </c>
      <c r="AW43" s="128" t="str">
        <f t="shared" si="27"/>
        <v/>
      </c>
      <c r="AX43" s="129" t="str">
        <f t="shared" ca="1" si="24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9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30"/>
        <v/>
      </c>
      <c r="BI43" s="89" t="str">
        <f t="shared" ca="1" si="10"/>
        <v/>
      </c>
      <c r="BJ43" s="90" t="str">
        <f t="shared" ca="1" si="31"/>
        <v/>
      </c>
      <c r="BK43" s="89" t="str">
        <f t="shared" ca="1" si="11"/>
        <v/>
      </c>
      <c r="BL43" s="90" t="str">
        <f t="shared" ca="1" si="32"/>
        <v/>
      </c>
      <c r="BM43" s="89" t="str">
        <f t="shared" ca="1" si="12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>FA Mladá Boleslav</v>
      </c>
      <c r="B44" s="449"/>
      <c r="C44" s="450"/>
      <c r="D44" s="451">
        <f ca="1">IFERROR(IF(VLOOKUP(A40,OFFSET($AG$2,,,COUNTIF($AG$2:$AG$50,"?*"),23),14,FALSE)&lt;&gt;0,VLOOKUP(A40,OFFSET($AG$2,,,COUNTIF($AG$2:$AG$50,"?*"),23),14,FALSE),"?"),"")</f>
        <v>2009</v>
      </c>
      <c r="E44" s="452"/>
      <c r="F44" s="19">
        <f ca="1">IFERROR(VLOOKUP(A40,OFFSET($S$45,,,COUNTIF($S$45:$S$50,"?*"),14),6,FALSE),"")</f>
        <v>0</v>
      </c>
      <c r="H44" s="459"/>
      <c r="J44" s="18">
        <f ca="1">IFERROR(IF(VLOOKUP(J42,OFFSET($AG$2,,,COUNTIF($AG$2:$AG$50,"?*"),23),7,FALSE)&lt;&gt;0,VLOOKUP(J42,OFFSET($AG$2,,,COUNTIF($AG$2:$AG$50,"?*"),23),7,FALSE),"?"),"")</f>
        <v>14</v>
      </c>
      <c r="K44" s="435" t="str">
        <f ca="1">IFERROR(VLOOKUP(J42,OFFSET($AG$2,,,COUNTIF($AG$2:$AG$50,"?*"),23),19,FALSE),"")</f>
        <v>281 OZ, 462 (279+183)</v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>Torpedo Havířov</v>
      </c>
      <c r="O44" s="436"/>
      <c r="P44" s="436"/>
      <c r="Q44" s="435">
        <f ca="1">IFERROR(IF(VLOOKUP(J42,OFFSET($AG$2,,,COUNTIF($AG$2:$AG$50,"?*"),23),14,FALSE)&lt;&gt;0,VLOOKUP(J42,OFFSET($AG$2,,,COUNTIF($AG$2:$AG$50,"?*"),23),14,FALSE),"?"),"")</f>
        <v>2000</v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3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5"/>
        <v/>
      </c>
      <c r="AV44" s="127" t="str">
        <f t="shared" si="26"/>
        <v/>
      </c>
      <c r="AW44" s="128" t="str">
        <f t="shared" si="27"/>
        <v/>
      </c>
      <c r="AX44" s="129" t="str">
        <f t="shared" ca="1" si="24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9"/>
        <v/>
      </c>
      <c r="BF44" s="62" t="str">
        <f t="shared" si="8"/>
        <v/>
      </c>
      <c r="BG44" s="3" t="str">
        <f t="shared" ca="1" si="9"/>
        <v/>
      </c>
      <c r="BH44" s="62" t="str">
        <f t="shared" ca="1" si="30"/>
        <v/>
      </c>
      <c r="BI44" s="3" t="str">
        <f t="shared" ca="1" si="10"/>
        <v/>
      </c>
      <c r="BJ44" s="62" t="str">
        <f t="shared" ca="1" si="31"/>
        <v/>
      </c>
      <c r="BK44" s="3" t="str">
        <f t="shared" ca="1" si="11"/>
        <v/>
      </c>
      <c r="BL44" s="62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379</v>
      </c>
      <c r="T45" s="102">
        <v>12</v>
      </c>
      <c r="U45" s="112">
        <v>722.72</v>
      </c>
      <c r="V45" s="102">
        <v>10</v>
      </c>
      <c r="W45" s="102">
        <v>35</v>
      </c>
      <c r="X45" s="102">
        <v>0</v>
      </c>
      <c r="Y45" s="102">
        <v>172</v>
      </c>
      <c r="Z45" s="102">
        <v>0</v>
      </c>
      <c r="AA45" s="102">
        <v>2</v>
      </c>
      <c r="AB45" s="102">
        <v>137</v>
      </c>
      <c r="AC45" s="102">
        <v>0</v>
      </c>
      <c r="AD45" s="102">
        <v>0</v>
      </c>
      <c r="AE45" s="112">
        <f>IF(S45&lt;&gt;"",IF(T45&gt;0,W45/(U45/60),0),"")</f>
        <v>2.9056896170024351</v>
      </c>
      <c r="AF45" s="112">
        <f>IF(S45&lt;&gt;"",IF(Y45&gt;0,(AB45/Y45)*100,"-"),"")</f>
        <v>79.651162790697668</v>
      </c>
      <c r="AG45" s="121"/>
      <c r="AH45" s="122"/>
      <c r="AI45" s="123"/>
      <c r="AJ45" s="123"/>
      <c r="AK45" s="123"/>
      <c r="AL45" s="124" t="str">
        <f t="shared" si="3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5"/>
        <v/>
      </c>
      <c r="AV45" s="127" t="str">
        <f t="shared" si="26"/>
        <v/>
      </c>
      <c r="AW45" s="128" t="str">
        <f t="shared" si="27"/>
        <v/>
      </c>
      <c r="AX45" s="129" t="str">
        <f t="shared" ca="1" si="24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9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30"/>
        <v/>
      </c>
      <c r="BI45" s="89" t="str">
        <f t="shared" ca="1" si="10"/>
        <v/>
      </c>
      <c r="BJ45" s="90" t="str">
        <f t="shared" ca="1" si="31"/>
        <v/>
      </c>
      <c r="BK45" s="89" t="str">
        <f t="shared" ca="1" si="11"/>
        <v/>
      </c>
      <c r="BL45" s="90" t="str">
        <f t="shared" ca="1" si="32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384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34">IF(S46&lt;&gt;"",IF(T46&gt;0,W46/(U46/60),0),"")</f>
        <v>1</v>
      </c>
      <c r="AF46" s="112">
        <f t="shared" ref="AF46:AF50" si="35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3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5"/>
        <v/>
      </c>
      <c r="AV46" s="127" t="str">
        <f t="shared" si="26"/>
        <v/>
      </c>
      <c r="AW46" s="128" t="str">
        <f t="shared" si="27"/>
        <v/>
      </c>
      <c r="AX46" s="129" t="str">
        <f t="shared" ca="1" si="24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9"/>
        <v/>
      </c>
      <c r="BF46" s="62" t="str">
        <f t="shared" si="8"/>
        <v/>
      </c>
      <c r="BG46" s="3" t="str">
        <f t="shared" ca="1" si="9"/>
        <v/>
      </c>
      <c r="BH46" s="62" t="str">
        <f t="shared" ca="1" si="30"/>
        <v/>
      </c>
      <c r="BI46" s="3" t="str">
        <f t="shared" ca="1" si="10"/>
        <v/>
      </c>
      <c r="BJ46" s="62" t="str">
        <f t="shared" ca="1" si="31"/>
        <v/>
      </c>
      <c r="BK46" s="3" t="str">
        <f t="shared" ca="1" si="11"/>
        <v/>
      </c>
      <c r="BL46" s="62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420" t="s">
        <v>403</v>
      </c>
      <c r="B47" s="421"/>
      <c r="C47" s="421"/>
      <c r="D47" s="421"/>
      <c r="E47" s="422" t="str">
        <f ca="1">IFERROR(VLOOKUP(A47,OFFSET($BN$2,,,COUNTIF($BN$2:$BN$11,"?*"),5),3,FALSE),"")</f>
        <v>hlavní trenér</v>
      </c>
      <c r="F47" s="422"/>
      <c r="G47" s="422"/>
      <c r="H47" s="422"/>
      <c r="I47" s="423"/>
      <c r="J47" s="420" t="s">
        <v>405</v>
      </c>
      <c r="K47" s="421"/>
      <c r="L47" s="421"/>
      <c r="M47" s="421"/>
      <c r="N47" s="422" t="str">
        <f ca="1">IFERROR(VLOOKUP(J47,OFFSET($BN$2,,,COUNTIF($BN$2:$BN$11,"?*"),5),3,FALSE),"")</f>
        <v>kondiční trenér</v>
      </c>
      <c r="O47" s="422"/>
      <c r="P47" s="422"/>
      <c r="Q47" s="422"/>
      <c r="R47" s="423"/>
      <c r="S47" s="111" t="s">
        <v>1167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4"/>
        <v>0</v>
      </c>
      <c r="AF47" s="112" t="str">
        <f t="shared" si="35"/>
        <v>-</v>
      </c>
      <c r="AG47" s="121"/>
      <c r="AH47" s="122"/>
      <c r="AI47" s="123"/>
      <c r="AJ47" s="123"/>
      <c r="AK47" s="123"/>
      <c r="AL47" s="124" t="str">
        <f t="shared" si="3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5"/>
        <v/>
      </c>
      <c r="AV47" s="127" t="str">
        <f t="shared" si="26"/>
        <v/>
      </c>
      <c r="AW47" s="128" t="str">
        <f t="shared" si="27"/>
        <v/>
      </c>
      <c r="AX47" s="129" t="str">
        <f t="shared" ca="1" si="24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9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30"/>
        <v/>
      </c>
      <c r="BI47" s="89" t="str">
        <f t="shared" ca="1" si="10"/>
        <v/>
      </c>
      <c r="BJ47" s="90" t="str">
        <f t="shared" ca="1" si="31"/>
        <v/>
      </c>
      <c r="BK47" s="89" t="str">
        <f t="shared" ca="1" si="11"/>
        <v/>
      </c>
      <c r="BL47" s="90" t="str">
        <f t="shared" ca="1" si="32"/>
        <v/>
      </c>
      <c r="BM47" s="89" t="str">
        <f t="shared" ca="1" si="12"/>
        <v/>
      </c>
    </row>
    <row r="48" spans="1:65" ht="15" customHeight="1" thickBot="1" x14ac:dyDescent="0.25">
      <c r="A48" s="438">
        <f ca="1">IFERROR(VLOOKUP(A47,OFFSET($BN$2,,,COUNTIF($BN$2:$BN$11,"?*"),5),5,FALSE),"")</f>
        <v>39</v>
      </c>
      <c r="B48" s="440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40"/>
      <c r="D48" s="440"/>
      <c r="E48" s="440"/>
      <c r="F48" s="440"/>
      <c r="G48" s="440"/>
      <c r="H48" s="440"/>
      <c r="I48" s="441"/>
      <c r="J48" s="119">
        <f ca="1">IFERROR(VLOOKUP(J47,OFFSET($BN$2,,,COUNTIF($BN$2:$BN$11,"?*"),5),5,FALSE),"")</f>
        <v>31</v>
      </c>
      <c r="K48" s="444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34"/>
        <v/>
      </c>
      <c r="AF48" s="112" t="str">
        <f t="shared" si="35"/>
        <v/>
      </c>
      <c r="AG48" s="121"/>
      <c r="AH48" s="122"/>
      <c r="AI48" s="123"/>
      <c r="AJ48" s="123"/>
      <c r="AK48" s="123"/>
      <c r="AL48" s="124" t="str">
        <f t="shared" si="3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5"/>
        <v/>
      </c>
      <c r="AV48" s="127" t="str">
        <f t="shared" si="26"/>
        <v/>
      </c>
      <c r="AW48" s="128" t="str">
        <f t="shared" si="27"/>
        <v/>
      </c>
      <c r="AX48" s="129" t="str">
        <f t="shared" ca="1" si="24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9"/>
        <v/>
      </c>
      <c r="BF48" s="62" t="str">
        <f t="shared" si="8"/>
        <v/>
      </c>
      <c r="BG48" s="3" t="str">
        <f t="shared" ca="1" si="9"/>
        <v/>
      </c>
      <c r="BH48" s="62" t="str">
        <f t="shared" ca="1" si="30"/>
        <v/>
      </c>
      <c r="BI48" s="3" t="str">
        <f t="shared" ca="1" si="10"/>
        <v/>
      </c>
      <c r="BJ48" s="62" t="str">
        <f t="shared" ca="1" si="31"/>
        <v/>
      </c>
      <c r="BK48" s="3" t="str">
        <f t="shared" ca="1" si="11"/>
        <v/>
      </c>
      <c r="BL48" s="62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 t="s">
        <v>407</v>
      </c>
      <c r="K49" s="447"/>
      <c r="L49" s="447"/>
      <c r="M49" s="447"/>
      <c r="N49" s="422" t="str">
        <f ca="1">IFERROR(VLOOKUP(J49,OFFSET($BN$2,,,COUNTIF($BN$2:$BN$11,"?*"),5),3,FALSE),"")</f>
        <v>asistent trenéra</v>
      </c>
      <c r="O49" s="422"/>
      <c r="P49" s="422"/>
      <c r="Q49" s="422"/>
      <c r="R49" s="423"/>
      <c r="S49" s="111"/>
      <c r="U49" s="112"/>
      <c r="AE49" s="112" t="str">
        <f t="shared" si="34"/>
        <v/>
      </c>
      <c r="AF49" s="112" t="str">
        <f t="shared" si="35"/>
        <v/>
      </c>
      <c r="AG49" s="121"/>
      <c r="AH49" s="122"/>
      <c r="AI49" s="123"/>
      <c r="AJ49" s="123"/>
      <c r="AK49" s="123"/>
      <c r="AL49" s="124" t="str">
        <f t="shared" si="3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5"/>
        <v/>
      </c>
      <c r="AV49" s="127" t="str">
        <f t="shared" si="26"/>
        <v/>
      </c>
      <c r="AW49" s="128" t="str">
        <f t="shared" si="27"/>
        <v/>
      </c>
      <c r="AX49" s="129" t="str">
        <f t="shared" ca="1" si="24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9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30"/>
        <v/>
      </c>
      <c r="BI49" s="89" t="str">
        <f t="shared" ca="1" si="10"/>
        <v/>
      </c>
      <c r="BJ49" s="90" t="str">
        <f t="shared" ca="1" si="31"/>
        <v/>
      </c>
      <c r="BK49" s="89" t="str">
        <f t="shared" ca="1" si="11"/>
        <v/>
      </c>
      <c r="BL49" s="90" t="str">
        <f t="shared" ca="1" si="32"/>
        <v/>
      </c>
      <c r="BM49" s="89" t="str">
        <f t="shared" ca="1" si="12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>
        <f ca="1">IFERROR(VLOOKUP(J49,OFFSET($BN$2,,,COUNTIF($BN$2:$BN$11,"?*"),5),5,FALSE),"")</f>
        <v>38</v>
      </c>
      <c r="K50" s="444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34"/>
        <v/>
      </c>
      <c r="AF50" s="112" t="str">
        <f t="shared" si="35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t="shared" ca="1" si="29"/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M2:BC50 AG2:AK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716</v>
      </c>
      <c r="T2" s="102" t="s">
        <v>107</v>
      </c>
      <c r="U2" s="102">
        <v>13</v>
      </c>
      <c r="V2" s="102">
        <v>12</v>
      </c>
      <c r="W2" s="102">
        <v>3</v>
      </c>
      <c r="X2" s="102">
        <v>0</v>
      </c>
      <c r="Y2" s="102">
        <v>11</v>
      </c>
      <c r="Z2" s="102">
        <v>23</v>
      </c>
      <c r="AA2" s="102">
        <v>2</v>
      </c>
      <c r="AB2" s="102">
        <v>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6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9" t="s">
        <v>36</v>
      </c>
      <c r="BT2" s="104" t="s">
        <v>1181</v>
      </c>
      <c r="BU2" s="103">
        <v>23</v>
      </c>
      <c r="BV2" s="104" t="str">
        <f>IFERROR(RIGHT(BT2,LEN(BT2)-SEARCH(" ",BT2)),"")</f>
        <v>Michal Sládek</v>
      </c>
      <c r="BW2" s="102">
        <f>IF(BT2&lt;&gt;0,_xlfn.NUMBERVALUE(BU2,","),"")</f>
        <v>23</v>
      </c>
      <c r="BX2" s="418" t="s">
        <v>192</v>
      </c>
      <c r="BY2" s="103" t="s">
        <v>1045</v>
      </c>
      <c r="BZ2" s="103" t="s">
        <v>839</v>
      </c>
      <c r="CA2" s="115" t="s">
        <v>1411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717</v>
      </c>
      <c r="T3" s="102" t="s">
        <v>107</v>
      </c>
      <c r="U3" s="102">
        <v>12</v>
      </c>
      <c r="V3" s="102">
        <v>7</v>
      </c>
      <c r="W3" s="102">
        <v>1</v>
      </c>
      <c r="X3" s="102">
        <v>0</v>
      </c>
      <c r="Y3" s="102">
        <v>15</v>
      </c>
      <c r="Z3" s="102">
        <v>22</v>
      </c>
      <c r="AA3" s="102">
        <v>4</v>
      </c>
      <c r="AB3" s="102">
        <v>19</v>
      </c>
      <c r="AC3" s="102" t="str">
        <f t="shared" ca="1" si="0"/>
        <v>ANO</v>
      </c>
      <c r="AG3" s="121" t="s">
        <v>486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13 OZ, 14 (12+2), +3 ±</v>
      </c>
      <c r="AY3" s="129" t="str">
        <f t="shared" ca="1" si="2"/>
        <v>13 OZ, 14 (12+2)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9"/>
      <c r="BT3" s="104" t="s">
        <v>1182</v>
      </c>
      <c r="BU3" s="103">
        <v>22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22</v>
      </c>
      <c r="BX3" s="418"/>
      <c r="BY3" s="103" t="s">
        <v>1302</v>
      </c>
      <c r="BZ3" s="103" t="s">
        <v>823</v>
      </c>
      <c r="CA3" s="115" t="s">
        <v>765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16</v>
      </c>
      <c r="AC4" s="102" t="str">
        <f t="shared" ca="1" si="0"/>
        <v>ANO</v>
      </c>
      <c r="AG4" s="121" t="s">
        <v>724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13 OZ, 3 (2+1), -3 ±</v>
      </c>
      <c r="AY4" s="129" t="str">
        <f t="shared" ca="1" si="2"/>
        <v>13 OZ, 3 (2+1)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9"/>
      <c r="BT4" s="104" t="s">
        <v>1183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18"/>
      <c r="BY4" s="103" t="s">
        <v>841</v>
      </c>
      <c r="BZ4" s="103" t="s">
        <v>821</v>
      </c>
      <c r="CA4" s="115" t="s">
        <v>309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718</v>
      </c>
      <c r="U5" s="102">
        <v>13</v>
      </c>
      <c r="V5" s="102">
        <v>12</v>
      </c>
      <c r="W5" s="102">
        <v>2</v>
      </c>
      <c r="X5" s="102">
        <v>0</v>
      </c>
      <c r="Y5" s="102">
        <v>5</v>
      </c>
      <c r="Z5" s="102">
        <v>17</v>
      </c>
      <c r="AA5" s="102">
        <v>4</v>
      </c>
      <c r="AB5" s="102">
        <v>-3</v>
      </c>
      <c r="AC5" s="102" t="str">
        <f t="shared" ca="1" si="0"/>
        <v>ANO</v>
      </c>
      <c r="AG5" s="121" t="s">
        <v>726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11 OZ, 1 (1+0), -6 ±</v>
      </c>
      <c r="AY5" s="129" t="str">
        <f t="shared" ca="1" si="2"/>
        <v>11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9"/>
      <c r="BT5" s="104" t="s">
        <v>1413</v>
      </c>
      <c r="BU5" s="103">
        <v>17</v>
      </c>
      <c r="BV5" s="104" t="str">
        <f t="shared" si="13"/>
        <v>Daniel Chatrný</v>
      </c>
      <c r="BW5" s="102">
        <f t="shared" si="14"/>
        <v>17</v>
      </c>
      <c r="BX5" s="418"/>
      <c r="BY5" s="103" t="s">
        <v>822</v>
      </c>
      <c r="BZ5" s="103" t="s">
        <v>819</v>
      </c>
      <c r="CA5" s="115" t="s">
        <v>1180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333</v>
      </c>
      <c r="T6" s="102" t="s">
        <v>58</v>
      </c>
      <c r="U6" s="102">
        <v>13</v>
      </c>
      <c r="V6" s="102">
        <v>4</v>
      </c>
      <c r="W6" s="102">
        <v>0</v>
      </c>
      <c r="X6" s="102">
        <v>0</v>
      </c>
      <c r="Y6" s="102">
        <v>12</v>
      </c>
      <c r="Z6" s="102">
        <v>16</v>
      </c>
      <c r="AA6" s="102">
        <v>2</v>
      </c>
      <c r="AB6" s="102">
        <v>16</v>
      </c>
      <c r="AC6" s="102" t="str">
        <f t="shared" ca="1" si="0"/>
        <v>ANO</v>
      </c>
      <c r="AG6" s="121" t="s">
        <v>718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13 OZ, 17 (12+5), -3 ±</v>
      </c>
      <c r="AY6" s="129" t="str">
        <f t="shared" ca="1" si="2"/>
        <v>13 OZ, 17 (12+5)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9"/>
      <c r="BT6" s="104" t="s">
        <v>1414</v>
      </c>
      <c r="BU6" s="103">
        <v>16</v>
      </c>
      <c r="BV6" s="104" t="str">
        <f t="shared" si="13"/>
        <v>Šimon Kuczera</v>
      </c>
      <c r="BW6" s="102">
        <f t="shared" si="14"/>
        <v>16</v>
      </c>
      <c r="BX6" s="418"/>
      <c r="BY6" s="103" t="s">
        <v>820</v>
      </c>
      <c r="BZ6" s="103" t="s">
        <v>844</v>
      </c>
      <c r="CA6" s="115" t="s">
        <v>779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486</v>
      </c>
      <c r="T7" s="102" t="s">
        <v>107</v>
      </c>
      <c r="U7" s="102">
        <v>13</v>
      </c>
      <c r="V7" s="102">
        <v>12</v>
      </c>
      <c r="W7" s="102">
        <v>0</v>
      </c>
      <c r="X7" s="102">
        <v>0</v>
      </c>
      <c r="Y7" s="102">
        <v>2</v>
      </c>
      <c r="Z7" s="102">
        <v>14</v>
      </c>
      <c r="AA7" s="102">
        <v>4</v>
      </c>
      <c r="AB7" s="102">
        <v>3</v>
      </c>
      <c r="AC7" s="102" t="str">
        <f t="shared" ca="1" si="0"/>
        <v>ANO</v>
      </c>
      <c r="AG7" s="121" t="s">
        <v>330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6 OZ, 0 (0+0), -7 ±</v>
      </c>
      <c r="AY7" s="129" t="str">
        <f t="shared" ca="1" si="2"/>
        <v>6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729</v>
      </c>
      <c r="BU7" s="103" t="s">
        <v>1415</v>
      </c>
      <c r="BV7" s="104" t="str">
        <f t="shared" si="13"/>
        <v>Jan Binder</v>
      </c>
      <c r="BW7" s="112">
        <f t="shared" si="14"/>
        <v>5.22</v>
      </c>
      <c r="BX7" s="418" t="s">
        <v>193</v>
      </c>
      <c r="BY7" s="103" t="s">
        <v>1100</v>
      </c>
      <c r="BZ7" s="103" t="s">
        <v>826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93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727</v>
      </c>
      <c r="U8" s="102">
        <v>13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-5</v>
      </c>
      <c r="AC8" s="102" t="str">
        <f t="shared" ca="1" si="0"/>
        <v>ANO</v>
      </c>
      <c r="AG8" s="121" t="s">
        <v>719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13 OZ, 4 (3+1), -6 ±</v>
      </c>
      <c r="AY8" s="129" t="str">
        <f t="shared" ca="1" si="2"/>
        <v>13 OZ, 4 (3+1)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771</v>
      </c>
      <c r="BU8" s="103" t="s">
        <v>1184</v>
      </c>
      <c r="BV8" s="104" t="str">
        <f t="shared" si="13"/>
        <v>Martin Janík</v>
      </c>
      <c r="BW8" s="112">
        <f t="shared" si="14"/>
        <v>4.37</v>
      </c>
      <c r="BX8" s="418"/>
      <c r="BY8" s="103" t="s">
        <v>1111</v>
      </c>
      <c r="BZ8" s="103" t="s">
        <v>816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728</v>
      </c>
      <c r="U9" s="102">
        <v>13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14</v>
      </c>
      <c r="AC9" s="102" t="str">
        <f t="shared" ca="1" si="0"/>
        <v>ANO</v>
      </c>
      <c r="AG9" s="121" t="s">
        <v>728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13 OZ, 7 (4+3), +14 ±</v>
      </c>
      <c r="AY9" s="129" t="str">
        <f t="shared" ca="1" si="2"/>
        <v>13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772</v>
      </c>
      <c r="BU9" s="103" t="s">
        <v>1416</v>
      </c>
      <c r="BV9" s="104" t="str">
        <f t="shared" si="13"/>
        <v>Jan Klinka</v>
      </c>
      <c r="BW9" s="112">
        <f t="shared" si="14"/>
        <v>4.68</v>
      </c>
      <c r="BX9" s="418"/>
      <c r="BY9" s="103" t="s">
        <v>1150</v>
      </c>
      <c r="BZ9" s="103" t="s">
        <v>817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719</v>
      </c>
      <c r="U10" s="102">
        <v>13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6</v>
      </c>
      <c r="AB10" s="102">
        <v>-6</v>
      </c>
      <c r="AC10" s="102" t="str">
        <f t="shared" ca="1" si="0"/>
        <v>ANO</v>
      </c>
      <c r="AG10" s="121" t="s">
        <v>721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1344</v>
      </c>
      <c r="BZ10" s="103" t="s">
        <v>861</v>
      </c>
      <c r="CA10" s="115" t="s">
        <v>188</v>
      </c>
    </row>
    <row r="11" spans="1:79" ht="15" customHeight="1" thickTop="1" thickBot="1" x14ac:dyDescent="0.25">
      <c r="R11" s="13"/>
      <c r="S11" s="110" t="s">
        <v>724</v>
      </c>
      <c r="U11" s="102">
        <v>13</v>
      </c>
      <c r="V11" s="102">
        <v>2</v>
      </c>
      <c r="W11" s="102">
        <v>0</v>
      </c>
      <c r="X11" s="102">
        <v>0</v>
      </c>
      <c r="Y11" s="102">
        <v>1</v>
      </c>
      <c r="Z11" s="102">
        <v>3</v>
      </c>
      <c r="AA11" s="102">
        <v>2</v>
      </c>
      <c r="AB11" s="102">
        <v>-3</v>
      </c>
      <c r="AC11" s="102" t="str">
        <f t="shared" ca="1" si="0"/>
        <v>ANO</v>
      </c>
      <c r="AG11" s="121" t="s">
        <v>333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13 OZ, 16 (4+12), +16 ±</v>
      </c>
      <c r="AY11" s="129" t="str">
        <f t="shared" ca="1" si="2"/>
        <v>13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840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723</v>
      </c>
      <c r="T12" s="102" t="s">
        <v>58</v>
      </c>
      <c r="U12" s="102">
        <v>7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-1</v>
      </c>
      <c r="AC12" s="102" t="str">
        <f t="shared" ca="1" si="0"/>
        <v>ANO</v>
      </c>
      <c r="AG12" s="121" t="s">
        <v>723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1188</v>
      </c>
      <c r="BU12" s="103">
        <v>12</v>
      </c>
      <c r="BV12" s="104" t="str">
        <f t="shared" si="13"/>
        <v>Daniel Chatrný</v>
      </c>
      <c r="BW12" s="102">
        <f t="shared" si="14"/>
        <v>12</v>
      </c>
      <c r="BX12" s="120" t="s">
        <v>191</v>
      </c>
      <c r="BY12" s="100" t="s">
        <v>1412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726</v>
      </c>
      <c r="U13" s="102">
        <v>11</v>
      </c>
      <c r="V13" s="102">
        <v>1</v>
      </c>
      <c r="W13" s="102">
        <v>1</v>
      </c>
      <c r="X13" s="102">
        <v>0</v>
      </c>
      <c r="Y13" s="102">
        <v>0</v>
      </c>
      <c r="Z13" s="102">
        <v>1</v>
      </c>
      <c r="AA13" s="102">
        <v>2</v>
      </c>
      <c r="AB13" s="102">
        <v>-6</v>
      </c>
      <c r="AC13" s="102" t="str">
        <f t="shared" ca="1" si="0"/>
        <v>ANO</v>
      </c>
      <c r="AG13" s="121" t="s">
        <v>715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12 OZ, 20 (11+9), +16 ±</v>
      </c>
      <c r="AY13" s="129" t="str">
        <f t="shared" ca="1" si="2"/>
        <v>12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1417</v>
      </c>
      <c r="BU13" s="103">
        <v>12</v>
      </c>
      <c r="BV13" s="104" t="str">
        <f t="shared" si="13"/>
        <v>Ladislav Gál</v>
      </c>
      <c r="BW13" s="102">
        <f t="shared" si="14"/>
        <v>12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725</v>
      </c>
      <c r="U14" s="102">
        <v>6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4</v>
      </c>
      <c r="AC14" s="102" t="str">
        <f t="shared" ca="1" si="0"/>
        <v>ANO</v>
      </c>
      <c r="AG14" s="121" t="s">
        <v>717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12 OZ, 22 (7+15), +19 ±</v>
      </c>
      <c r="AY14" s="129" t="str">
        <f t="shared" ca="1" si="2"/>
        <v>12 OZ, 22 (7+15)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1041</v>
      </c>
      <c r="BU14" s="103">
        <v>12</v>
      </c>
      <c r="BV14" s="104" t="str">
        <f t="shared" si="13"/>
        <v>Michal Sládek</v>
      </c>
      <c r="BW14" s="102">
        <f t="shared" si="14"/>
        <v>12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768</v>
      </c>
      <c r="T15" s="102" t="s">
        <v>107</v>
      </c>
      <c r="U15" s="102">
        <v>11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722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10 OZ, 0 (0+0), -5 ±</v>
      </c>
      <c r="AY15" s="129" t="str">
        <f t="shared" ca="1" si="2"/>
        <v>10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773</v>
      </c>
      <c r="BU15" s="103">
        <v>11</v>
      </c>
      <c r="BV15" s="104" t="str">
        <f t="shared" si="13"/>
        <v>Wojciech Malajka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766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13 OZ, 23 (12+11), +6 ±</v>
      </c>
      <c r="AY16" s="129" t="str">
        <f t="shared" ca="1" si="2"/>
        <v>13 OZ, 23 (12+11)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1043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1179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NE</v>
      </c>
      <c r="AG17" s="121" t="s">
        <v>727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13 OZ, 8 (2+6), -5 ±</v>
      </c>
      <c r="AY17" s="129" t="str">
        <f t="shared" ca="1" si="2"/>
        <v>13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729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1178</v>
      </c>
      <c r="T18" s="102" t="s">
        <v>58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725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6 OZ, 1 (0+1), +4 ±</v>
      </c>
      <c r="AY18" s="129" t="str">
        <f t="shared" ca="1" si="2"/>
        <v>6 OZ, 1 (0+1)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730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OST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330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-7</v>
      </c>
      <c r="AC19" s="102" t="str">
        <f t="shared" ca="1" si="0"/>
        <v>ANO</v>
      </c>
      <c r="AG19" s="121" t="s">
        <v>506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11 OZ, 0 (0+0), -8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770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1044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767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721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9" t="s">
        <v>38</v>
      </c>
      <c r="BT22" s="104" t="s">
        <v>1185</v>
      </c>
      <c r="BU22" s="103">
        <v>15</v>
      </c>
      <c r="BV22" s="104" t="str">
        <f t="shared" si="13"/>
        <v>Lukáš Pešat</v>
      </c>
      <c r="BW22" s="102">
        <f t="shared" si="14"/>
        <v>15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769</v>
      </c>
      <c r="U23" s="102">
        <v>10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9"/>
      <c r="BT23" s="104" t="s">
        <v>1186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0" t="s">
        <v>722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9"/>
      <c r="BT24" s="104" t="s">
        <v>1041</v>
      </c>
      <c r="BU24" s="103">
        <v>11</v>
      </c>
      <c r="BV24" s="104" t="str">
        <f t="shared" si="13"/>
        <v>Michal Sládek</v>
      </c>
      <c r="BW24" s="102">
        <f t="shared" si="14"/>
        <v>11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0" t="s">
        <v>720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9"/>
      <c r="BT25" s="104" t="s">
        <v>773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506</v>
      </c>
      <c r="T26" s="102" t="s">
        <v>58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-8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9"/>
      <c r="BT26" s="104" t="s">
        <v>1187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9" t="s">
        <v>39</v>
      </c>
      <c r="BT27" s="104" t="s">
        <v>1418</v>
      </c>
      <c r="BU27" s="103">
        <v>6</v>
      </c>
      <c r="BV27" s="104" t="str">
        <f t="shared" si="13"/>
        <v>Marcel Jakubec</v>
      </c>
      <c r="BW27" s="102">
        <f t="shared" si="14"/>
        <v>6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9"/>
      <c r="BT28" s="104" t="s">
        <v>1419</v>
      </c>
      <c r="BU28" s="103">
        <v>4</v>
      </c>
      <c r="BV28" s="104" t="str">
        <f t="shared" si="13"/>
        <v>Daniel Chatrný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9"/>
      <c r="BT29" s="104" t="s">
        <v>1420</v>
      </c>
      <c r="BU29" s="103">
        <v>4</v>
      </c>
      <c r="BV29" s="104" t="str">
        <f t="shared" si="13"/>
        <v>Denis Zimmer</v>
      </c>
      <c r="BW29" s="102">
        <f t="shared" si="14"/>
        <v>4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OST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9"/>
      <c r="BT30" s="104" t="s">
        <v>1042</v>
      </c>
      <c r="BU30" s="103">
        <v>4</v>
      </c>
      <c r="BV30" s="104" t="str">
        <f t="shared" si="13"/>
        <v>Ladislav Gál</v>
      </c>
      <c r="BW30" s="102">
        <f t="shared" si="14"/>
        <v>4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9"/>
      <c r="BT31" s="104" t="s">
        <v>1043</v>
      </c>
      <c r="BU31" s="103">
        <v>4</v>
      </c>
      <c r="BV31" s="104" t="str">
        <f t="shared" si="13"/>
        <v>Lukáš Pešat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720</v>
      </c>
      <c r="T45" s="102">
        <v>10</v>
      </c>
      <c r="U45" s="112">
        <v>551.29</v>
      </c>
      <c r="V45" s="102">
        <v>4</v>
      </c>
      <c r="W45" s="102">
        <v>48</v>
      </c>
      <c r="X45" s="102">
        <v>0</v>
      </c>
      <c r="Y45" s="102">
        <v>210</v>
      </c>
      <c r="Z45" s="102">
        <v>0</v>
      </c>
      <c r="AA45" s="102">
        <v>6</v>
      </c>
      <c r="AB45" s="102">
        <v>162</v>
      </c>
      <c r="AC45" s="102">
        <v>0</v>
      </c>
      <c r="AD45" s="102">
        <v>2</v>
      </c>
      <c r="AE45" s="112">
        <f>IF(S45&lt;&gt;"",IF(T45&gt;0,W45/(U45/60),0),"")</f>
        <v>5.2241107221244718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766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721</v>
      </c>
      <c r="T47" s="102">
        <v>4</v>
      </c>
      <c r="U47" s="112">
        <v>153.74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4.683231429686483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Y10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467</v>
      </c>
      <c r="U2" s="102">
        <v>12</v>
      </c>
      <c r="V2" s="102">
        <v>9</v>
      </c>
      <c r="W2" s="102">
        <v>1</v>
      </c>
      <c r="X2" s="102">
        <v>0</v>
      </c>
      <c r="Y2" s="102">
        <v>14</v>
      </c>
      <c r="Z2" s="102">
        <v>23</v>
      </c>
      <c r="AA2" s="102">
        <v>4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485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507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526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19" t="s">
        <v>36</v>
      </c>
      <c r="BT2" s="104" t="s">
        <v>774</v>
      </c>
      <c r="BU2" s="103">
        <v>23</v>
      </c>
      <c r="BV2" s="104" t="str">
        <f>IFERROR(RIGHT(BT2,LEN(BT2)-SEARCH(" ",BT2)),"")</f>
        <v>Ronald Gašparík</v>
      </c>
      <c r="BW2" s="102">
        <f>IF(BT2&lt;&gt;0,_xlfn.NUMBERVALUE(BU2,","),"")</f>
        <v>23</v>
      </c>
      <c r="BX2" s="418" t="s">
        <v>192</v>
      </c>
      <c r="BY2" s="103" t="s">
        <v>1045</v>
      </c>
      <c r="BZ2" s="103" t="s">
        <v>837</v>
      </c>
      <c r="CA2" s="115" t="s">
        <v>1431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466</v>
      </c>
      <c r="T3" s="102" t="s">
        <v>107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</v>
      </c>
      <c r="AC3" s="102" t="str">
        <f t="shared" ca="1" si="0"/>
        <v>ANO</v>
      </c>
      <c r="AG3" s="121" t="s">
        <v>483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508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13 OZ, 4 (2+2), -14 ±</v>
      </c>
      <c r="AY3" s="129" t="str">
        <f t="shared" ca="1" si="2"/>
        <v>61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527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19"/>
      <c r="BT3" s="104" t="s">
        <v>1421</v>
      </c>
      <c r="BU3" s="103">
        <v>22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22</v>
      </c>
      <c r="BX3" s="418"/>
      <c r="BY3" s="103" t="s">
        <v>1343</v>
      </c>
      <c r="BZ3" s="103" t="s">
        <v>847</v>
      </c>
      <c r="CA3" s="115" t="s">
        <v>1432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470</v>
      </c>
      <c r="U4" s="102">
        <v>13</v>
      </c>
      <c r="V4" s="102">
        <v>12</v>
      </c>
      <c r="W4" s="102">
        <v>0</v>
      </c>
      <c r="X4" s="102">
        <v>0</v>
      </c>
      <c r="Y4" s="102">
        <v>6</v>
      </c>
      <c r="Z4" s="102">
        <v>18</v>
      </c>
      <c r="AA4" s="102">
        <v>2</v>
      </c>
      <c r="AB4" s="102">
        <v>-8</v>
      </c>
      <c r="AC4" s="102" t="str">
        <f t="shared" ca="1" si="0"/>
        <v>ANO</v>
      </c>
      <c r="AG4" s="121" t="s">
        <v>486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509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528</v>
      </c>
      <c r="BO4" s="122">
        <v>25991</v>
      </c>
      <c r="BP4" s="131" t="s">
        <v>176</v>
      </c>
      <c r="BQ4" s="132"/>
      <c r="BR4" s="127">
        <f t="shared" ca="1" si="12"/>
        <v>50</v>
      </c>
      <c r="BS4" s="419"/>
      <c r="BT4" s="104" t="s">
        <v>1189</v>
      </c>
      <c r="BU4" s="103">
        <v>18</v>
      </c>
      <c r="BV4" s="104" t="str">
        <f t="shared" si="13"/>
        <v>Peter Nehila</v>
      </c>
      <c r="BW4" s="102">
        <f t="shared" si="14"/>
        <v>18</v>
      </c>
      <c r="BX4" s="418"/>
      <c r="BY4" s="103" t="s">
        <v>841</v>
      </c>
      <c r="BZ4" s="103" t="s">
        <v>848</v>
      </c>
      <c r="CA4" s="115" t="s">
        <v>1194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473</v>
      </c>
      <c r="T5" s="102" t="s">
        <v>107</v>
      </c>
      <c r="U5" s="102">
        <v>13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487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510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9"/>
      <c r="BT5" s="104" t="s">
        <v>1049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18"/>
      <c r="BY5" s="103" t="s">
        <v>822</v>
      </c>
      <c r="BZ5" s="103" t="s">
        <v>849</v>
      </c>
      <c r="CA5" s="115" t="s">
        <v>1195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468</v>
      </c>
      <c r="T6" s="102" t="s">
        <v>107</v>
      </c>
      <c r="U6" s="102">
        <v>13</v>
      </c>
      <c r="V6" s="102">
        <v>7</v>
      </c>
      <c r="W6" s="102">
        <v>2</v>
      </c>
      <c r="X6" s="102">
        <v>0</v>
      </c>
      <c r="Y6" s="102">
        <v>3</v>
      </c>
      <c r="Z6" s="102">
        <v>10</v>
      </c>
      <c r="AA6" s="102">
        <v>6</v>
      </c>
      <c r="AB6" s="102">
        <v>-11</v>
      </c>
      <c r="AC6" s="102" t="str">
        <f t="shared" ca="1" si="0"/>
        <v>NE</v>
      </c>
      <c r="AG6" s="121" t="s">
        <v>482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508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9"/>
      <c r="BT6" s="104" t="s">
        <v>1422</v>
      </c>
      <c r="BU6" s="103">
        <v>10</v>
      </c>
      <c r="BV6" s="104" t="str">
        <f t="shared" si="13"/>
        <v>Martin Ležatka</v>
      </c>
      <c r="BW6" s="102">
        <f t="shared" si="14"/>
        <v>10</v>
      </c>
      <c r="BX6" s="418"/>
      <c r="BY6" s="103" t="s">
        <v>820</v>
      </c>
      <c r="BZ6" s="103" t="s">
        <v>850</v>
      </c>
      <c r="CA6" s="115" t="s">
        <v>793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500</v>
      </c>
      <c r="T7" s="102" t="s">
        <v>107</v>
      </c>
      <c r="U7" s="102">
        <v>11</v>
      </c>
      <c r="V7" s="102">
        <v>2</v>
      </c>
      <c r="W7" s="102">
        <v>0</v>
      </c>
      <c r="X7" s="102">
        <v>0</v>
      </c>
      <c r="Y7" s="102">
        <v>8</v>
      </c>
      <c r="Z7" s="102">
        <v>10</v>
      </c>
      <c r="AA7" s="102">
        <v>8</v>
      </c>
      <c r="AB7" s="102">
        <v>1</v>
      </c>
      <c r="AC7" s="102" t="str">
        <f t="shared" ca="1" si="0"/>
        <v>ANO</v>
      </c>
      <c r="AG7" s="121" t="s">
        <v>471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511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12 OZ, 7 (3+4), -8 ±</v>
      </c>
      <c r="AY7" s="129" t="str">
        <f t="shared" ca="1" si="2"/>
        <v>183 OZ, 167 (102+65)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862</v>
      </c>
      <c r="BU7" s="103" t="s">
        <v>1423</v>
      </c>
      <c r="BV7" s="104" t="str">
        <f t="shared" si="13"/>
        <v>Adam Kohút</v>
      </c>
      <c r="BW7" s="112">
        <f t="shared" si="14"/>
        <v>6.33</v>
      </c>
      <c r="BX7" s="418" t="s">
        <v>193</v>
      </c>
      <c r="BY7" s="103" t="s">
        <v>1100</v>
      </c>
      <c r="BZ7" s="103" t="s">
        <v>812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94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1046</v>
      </c>
      <c r="U8" s="102">
        <v>7</v>
      </c>
      <c r="V8" s="102">
        <v>5</v>
      </c>
      <c r="W8" s="102">
        <v>0</v>
      </c>
      <c r="X8" s="102">
        <v>0</v>
      </c>
      <c r="Y8" s="102">
        <v>2</v>
      </c>
      <c r="Z8" s="102">
        <v>7</v>
      </c>
      <c r="AA8" s="102">
        <v>0</v>
      </c>
      <c r="AB8" s="102">
        <v>3</v>
      </c>
      <c r="AC8" s="102" t="str">
        <f t="shared" ca="1" si="0"/>
        <v>NE</v>
      </c>
      <c r="AG8" s="121" t="s">
        <v>488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512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863</v>
      </c>
      <c r="BU8" s="103" t="s">
        <v>864</v>
      </c>
      <c r="BV8" s="104" t="str">
        <f t="shared" si="13"/>
        <v>Kevin Majrich</v>
      </c>
      <c r="BW8" s="112">
        <f t="shared" si="14"/>
        <v>8.09</v>
      </c>
      <c r="BX8" s="418"/>
      <c r="BY8" s="103" t="s">
        <v>1111</v>
      </c>
      <c r="BZ8" s="103" t="s">
        <v>818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476</v>
      </c>
      <c r="T9" s="102" t="s">
        <v>107</v>
      </c>
      <c r="U9" s="102">
        <v>13</v>
      </c>
      <c r="V9" s="102">
        <v>5</v>
      </c>
      <c r="W9" s="102">
        <v>0</v>
      </c>
      <c r="X9" s="102">
        <v>0</v>
      </c>
      <c r="Y9" s="102">
        <v>2</v>
      </c>
      <c r="Z9" s="102">
        <v>7</v>
      </c>
      <c r="AA9" s="102">
        <v>0</v>
      </c>
      <c r="AB9" s="102">
        <v>-10</v>
      </c>
      <c r="AC9" s="102" t="str">
        <f t="shared" ca="1" si="0"/>
        <v>ANO</v>
      </c>
      <c r="AG9" s="121" t="s">
        <v>489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513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865</v>
      </c>
      <c r="BU9" s="103" t="s">
        <v>1424</v>
      </c>
      <c r="BV9" s="104" t="str">
        <f t="shared" si="13"/>
        <v>Miroslav Steiger</v>
      </c>
      <c r="BW9" s="112">
        <f t="shared" si="14"/>
        <v>9.57</v>
      </c>
      <c r="BX9" s="418"/>
      <c r="BY9" s="103" t="s">
        <v>1150</v>
      </c>
      <c r="BZ9" s="103" t="s">
        <v>819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471</v>
      </c>
      <c r="T10" s="102" t="s">
        <v>107</v>
      </c>
      <c r="U10" s="102">
        <v>12</v>
      </c>
      <c r="V10" s="102">
        <v>3</v>
      </c>
      <c r="W10" s="102">
        <v>2</v>
      </c>
      <c r="X10" s="102">
        <v>0</v>
      </c>
      <c r="Y10" s="102">
        <v>4</v>
      </c>
      <c r="Z10" s="102">
        <v>7</v>
      </c>
      <c r="AA10" s="102">
        <v>0</v>
      </c>
      <c r="AB10" s="102">
        <v>-8</v>
      </c>
      <c r="AC10" s="102" t="str">
        <f t="shared" ca="1" si="0"/>
        <v>ANO</v>
      </c>
      <c r="AG10" s="121" t="s">
        <v>331</v>
      </c>
      <c r="AH10" s="122"/>
      <c r="AI10" s="123"/>
      <c r="AJ10" s="123"/>
      <c r="AK10" s="123"/>
      <c r="AL10" s="124">
        <f>IF(AG10&lt;&gt;"",AJ10+AK10,"")</f>
        <v>0</v>
      </c>
      <c r="AM10" s="123" t="s">
        <v>281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1344</v>
      </c>
      <c r="BZ10" s="103" t="s">
        <v>821</v>
      </c>
      <c r="CA10" s="115" t="s">
        <v>188</v>
      </c>
    </row>
    <row r="11" spans="1:79" ht="15" customHeight="1" thickTop="1" thickBot="1" x14ac:dyDescent="0.25">
      <c r="R11" s="13"/>
      <c r="S11" s="110" t="s">
        <v>469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4</v>
      </c>
      <c r="Z11" s="102">
        <v>6</v>
      </c>
      <c r="AA11" s="102">
        <v>0</v>
      </c>
      <c r="AB11" s="102">
        <v>-1</v>
      </c>
      <c r="AC11" s="102" t="str">
        <f t="shared" ca="1" si="0"/>
        <v>NE</v>
      </c>
      <c r="AG11" s="121" t="s">
        <v>490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508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823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483</v>
      </c>
      <c r="T12" s="102" t="s">
        <v>107</v>
      </c>
      <c r="U12" s="102">
        <v>13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-14</v>
      </c>
      <c r="AC12" s="102" t="str">
        <f t="shared" ca="1" si="0"/>
        <v>ANO</v>
      </c>
      <c r="AG12" s="121" t="s">
        <v>476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514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13 OZ, 7 (5+2), -10 ±</v>
      </c>
      <c r="AY12" s="129" t="str">
        <f t="shared" ca="1" si="2"/>
        <v>154 OZ, 68 (46+22)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529</v>
      </c>
      <c r="BU12" s="103">
        <v>15</v>
      </c>
      <c r="BV12" s="104" t="str">
        <f t="shared" si="13"/>
        <v>František Vykopal</v>
      </c>
      <c r="BW12" s="102">
        <f t="shared" si="14"/>
        <v>15</v>
      </c>
      <c r="BX12" s="120" t="s">
        <v>191</v>
      </c>
      <c r="BY12" s="100" t="s">
        <v>1433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475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4</v>
      </c>
      <c r="AB13" s="102">
        <v>-12</v>
      </c>
      <c r="AC13" s="102" t="str">
        <f t="shared" ca="1" si="0"/>
        <v>NE</v>
      </c>
      <c r="AG13" s="121" t="s">
        <v>491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513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1047</v>
      </c>
      <c r="BU13" s="103">
        <v>12</v>
      </c>
      <c r="BV13" s="104" t="str">
        <f t="shared" si="13"/>
        <v>Peter Nehila</v>
      </c>
      <c r="BW13" s="102">
        <f t="shared" si="14"/>
        <v>12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480</v>
      </c>
      <c r="T14" s="102" t="s">
        <v>58</v>
      </c>
      <c r="U14" s="102">
        <v>13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-10</v>
      </c>
      <c r="AC14" s="102" t="str">
        <f t="shared" ca="1" si="0"/>
        <v>ANO</v>
      </c>
      <c r="AG14" s="121" t="s">
        <v>492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515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1048</v>
      </c>
      <c r="BU14" s="103">
        <v>9</v>
      </c>
      <c r="BV14" s="104" t="str">
        <f t="shared" si="13"/>
        <v>Ronald Gašparík</v>
      </c>
      <c r="BW14" s="102">
        <f t="shared" si="14"/>
        <v>9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472</v>
      </c>
      <c r="U15" s="102">
        <v>13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-12</v>
      </c>
      <c r="AC15" s="102" t="str">
        <f t="shared" ca="1" si="0"/>
        <v>NE</v>
      </c>
      <c r="AG15" s="121" t="s">
        <v>377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1425</v>
      </c>
      <c r="BU15" s="103">
        <v>7</v>
      </c>
      <c r="BV15" s="104" t="str">
        <f t="shared" si="13"/>
        <v>Martin Ležatka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479</v>
      </c>
      <c r="T16" s="102" t="s">
        <v>58</v>
      </c>
      <c r="U16" s="102">
        <v>4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0</v>
      </c>
      <c r="AC16" s="102" t="str">
        <f t="shared" ca="1" si="0"/>
        <v>ANO</v>
      </c>
      <c r="AG16" s="121" t="s">
        <v>493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513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1426</v>
      </c>
      <c r="BU16" s="103">
        <v>5</v>
      </c>
      <c r="BV16" s="104" t="str">
        <f t="shared" si="13"/>
        <v>Jakub Grich</v>
      </c>
      <c r="BW16" s="102">
        <f t="shared" si="14"/>
        <v>5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482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494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516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862</v>
      </c>
      <c r="BU17" s="103">
        <v>2</v>
      </c>
      <c r="BV17" s="104" t="str">
        <f t="shared" si="13"/>
        <v>Adam Kohút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477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480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398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13 OZ, 2 (1+1), -10 ±</v>
      </c>
      <c r="AY18" s="129" t="str">
        <f t="shared" ca="1" si="2"/>
        <v>101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863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OTR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484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495</v>
      </c>
      <c r="AH19" s="122"/>
      <c r="AI19" s="123"/>
      <c r="AJ19" s="123"/>
      <c r="AK19" s="123"/>
      <c r="AL19" s="124">
        <f>IF(AG19&lt;&gt;"",AJ19+AK19,"")</f>
        <v>0</v>
      </c>
      <c r="AM19" s="123" t="s">
        <v>281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865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474</v>
      </c>
      <c r="U20" s="102">
        <v>8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477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517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868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-11</v>
      </c>
      <c r="AC21" s="102" t="str">
        <f t="shared" ca="1" si="0"/>
        <v>NE</v>
      </c>
      <c r="AG21" s="121" t="s">
        <v>479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518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4 OZ, 1 (0+1), 0 ±</v>
      </c>
      <c r="AY21" s="129" t="str">
        <f t="shared" ca="1" si="2"/>
        <v>42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866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496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513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774</v>
      </c>
      <c r="BU22" s="103">
        <v>14</v>
      </c>
      <c r="BV22" s="104" t="str">
        <f t="shared" si="13"/>
        <v>Ronald Gašparík</v>
      </c>
      <c r="BW22" s="102">
        <f t="shared" si="14"/>
        <v>14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867</v>
      </c>
      <c r="T23" s="102" t="s">
        <v>58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-12</v>
      </c>
      <c r="AC23" s="102" t="str">
        <f t="shared" ca="1" si="0"/>
        <v>NE</v>
      </c>
      <c r="AG23" s="121" t="s">
        <v>470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519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13 OZ, 18 (12+6), -8 ±</v>
      </c>
      <c r="AY23" s="129" t="str">
        <f t="shared" ca="1" si="2"/>
        <v>75 OZ, 51 (31+20)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1190</v>
      </c>
      <c r="BU23" s="103">
        <v>8</v>
      </c>
      <c r="BV23" s="104" t="str">
        <f t="shared" si="13"/>
        <v>Tomáš Sovják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0" t="s">
        <v>478</v>
      </c>
      <c r="T24" s="102" t="s">
        <v>107</v>
      </c>
      <c r="U24" s="102">
        <v>9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473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520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319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1427</v>
      </c>
      <c r="BU24" s="103">
        <v>7</v>
      </c>
      <c r="BV24" s="104" t="str">
        <f t="shared" si="13"/>
        <v>František Vykopal</v>
      </c>
      <c r="BW24" s="102">
        <f t="shared" si="14"/>
        <v>7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0" t="s">
        <v>481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497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513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1049</v>
      </c>
      <c r="BU25" s="103">
        <v>7</v>
      </c>
      <c r="BV25" s="104" t="str">
        <f t="shared" si="13"/>
        <v>Lukáš Petřík</v>
      </c>
      <c r="BW25" s="102">
        <f t="shared" si="14"/>
        <v>7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498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521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1428</v>
      </c>
      <c r="BU26" s="103">
        <v>6</v>
      </c>
      <c r="BV26" s="104" t="str">
        <f t="shared" si="13"/>
        <v>Peter Nehila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1"/>
      <c r="AC27" s="102" t="str">
        <f t="shared" ca="1" si="0"/>
        <v/>
      </c>
      <c r="AG27" s="121" t="s">
        <v>499</v>
      </c>
      <c r="AH27" s="122"/>
      <c r="AI27" s="123"/>
      <c r="AJ27" s="123"/>
      <c r="AK27" s="123"/>
      <c r="AL27" s="124">
        <f>IF(AG27&lt;&gt;"",AJ27+AK27,"")</f>
        <v>0</v>
      </c>
      <c r="AM27" s="123" t="s">
        <v>281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1429</v>
      </c>
      <c r="BU27" s="103">
        <v>8</v>
      </c>
      <c r="BV27" s="104" t="str">
        <f t="shared" si="13"/>
        <v>Tomáš Sovják</v>
      </c>
      <c r="BW27" s="102">
        <f t="shared" si="14"/>
        <v>8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500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513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10 (2+8), +1 ±</v>
      </c>
      <c r="AY28" s="129" t="str">
        <f t="shared" ca="1" si="16"/>
        <v>220 OZ, 180 (109+71)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1430</v>
      </c>
      <c r="BU28" s="103">
        <v>6</v>
      </c>
      <c r="BV28" s="104" t="str">
        <f t="shared" si="13"/>
        <v>Martin Ležatka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1"/>
      <c r="AC29" s="102" t="str">
        <f t="shared" ca="1" si="0"/>
        <v/>
      </c>
      <c r="AG29" s="121" t="s">
        <v>501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522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9"/>
      <c r="BT29" s="104" t="s">
        <v>1191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OTR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 t="s">
        <v>502</v>
      </c>
      <c r="AH30" s="122"/>
      <c r="AI30" s="123"/>
      <c r="AJ30" s="123"/>
      <c r="AK30" s="123"/>
      <c r="AL30" s="124">
        <f>IF(AG30&lt;&gt;"",AJ30+AK30,"")</f>
        <v>0</v>
      </c>
      <c r="AM30" s="123" t="s">
        <v>281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9"/>
      <c r="BT30" s="104" t="s">
        <v>1192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478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513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9 OZ, 0 (0+0), -5 ±</v>
      </c>
      <c r="AY31" s="129" t="str">
        <f t="shared" ca="1" si="16"/>
        <v>28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9"/>
      <c r="BT31" s="104" t="s">
        <v>1193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503</v>
      </c>
      <c r="AH32" s="122"/>
      <c r="AI32" s="123"/>
      <c r="AJ32" s="123"/>
      <c r="AK32" s="123"/>
      <c r="AL32" s="124">
        <f>IF(AG32&lt;&gt;"",AJ32+AK32,"")</f>
        <v>0</v>
      </c>
      <c r="AM32" s="123" t="s">
        <v>281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504</v>
      </c>
      <c r="AH33" s="122"/>
      <c r="AI33" s="123"/>
      <c r="AJ33" s="123"/>
      <c r="AK33" s="123"/>
      <c r="AL33" s="124">
        <f>IF(AG33&lt;&gt;"",AJ33+AK33,"")</f>
        <v>0</v>
      </c>
      <c r="AM33" s="123" t="s">
        <v>281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466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523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11 OZ, 22 (15+7), +2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110 OZ, 92 (56+36)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 t="s">
        <v>505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524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 t="s">
        <v>506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525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477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481</v>
      </c>
      <c r="T46" s="102">
        <v>10</v>
      </c>
      <c r="U46" s="112">
        <v>578.01</v>
      </c>
      <c r="V46" s="102">
        <v>2</v>
      </c>
      <c r="W46" s="102">
        <v>61</v>
      </c>
      <c r="X46" s="102">
        <v>0</v>
      </c>
      <c r="Y46" s="102">
        <v>208</v>
      </c>
      <c r="Z46" s="102">
        <v>0</v>
      </c>
      <c r="AA46" s="102">
        <v>8</v>
      </c>
      <c r="AB46" s="102">
        <v>147</v>
      </c>
      <c r="AC46" s="102">
        <v>0</v>
      </c>
      <c r="AD46" s="102">
        <v>0</v>
      </c>
      <c r="AE46" s="112">
        <f t="shared" ref="AE46:AE50" si="23">IF(S46&lt;&gt;"",IF(T46&gt;0,W46/(U46/60),0),"")</f>
        <v>6.3320703794052005</v>
      </c>
      <c r="AF46" s="112">
        <f t="shared" ref="AF46:AF50" si="24">IF(S46&lt;&gt;"",IF(Y46&gt;0,(AB46/Y46)*100,"-"),"")</f>
        <v>70.673076923076934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866</v>
      </c>
      <c r="T47" s="102">
        <v>3</v>
      </c>
      <c r="U47" s="112">
        <v>94</v>
      </c>
      <c r="V47" s="102">
        <v>0</v>
      </c>
      <c r="W47" s="102">
        <v>15</v>
      </c>
      <c r="X47" s="102">
        <v>0</v>
      </c>
      <c r="Y47" s="102">
        <v>42</v>
      </c>
      <c r="Z47" s="102">
        <v>0</v>
      </c>
      <c r="AA47" s="102">
        <v>3</v>
      </c>
      <c r="AB47" s="102">
        <v>27</v>
      </c>
      <c r="AC47" s="102">
        <v>0</v>
      </c>
      <c r="AD47" s="102">
        <v>0</v>
      </c>
      <c r="AE47" s="112">
        <f t="shared" si="23"/>
        <v>9.5744680851063837</v>
      </c>
      <c r="AF47" s="112">
        <f t="shared" si="24"/>
        <v>64.285714285714292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734</v>
      </c>
      <c r="U2" s="102">
        <v>11</v>
      </c>
      <c r="V2" s="102">
        <v>10</v>
      </c>
      <c r="W2" s="102">
        <v>1</v>
      </c>
      <c r="X2" s="102">
        <v>0</v>
      </c>
      <c r="Y2" s="102">
        <v>8</v>
      </c>
      <c r="Z2" s="102">
        <v>18</v>
      </c>
      <c r="AA2" s="102">
        <v>31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745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9" t="s">
        <v>36</v>
      </c>
      <c r="BT2" s="104" t="s">
        <v>1197</v>
      </c>
      <c r="BU2" s="103">
        <v>18</v>
      </c>
      <c r="BV2" s="104" t="str">
        <f>IFERROR(RIGHT(BT2,LEN(BT2)-SEARCH(" ",BT2)),"")</f>
        <v>Adam Šmíd</v>
      </c>
      <c r="BW2" s="102">
        <f>IF(BT2&lt;&gt;0,_xlfn.NUMBERVALUE(BU2,","),"")</f>
        <v>18</v>
      </c>
      <c r="BX2" s="418" t="s">
        <v>192</v>
      </c>
      <c r="BY2" s="103" t="s">
        <v>1028</v>
      </c>
      <c r="BZ2" s="103" t="s">
        <v>851</v>
      </c>
      <c r="CA2" s="115" t="s">
        <v>1434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604</v>
      </c>
      <c r="U3" s="102">
        <v>13</v>
      </c>
      <c r="V3" s="102">
        <v>9</v>
      </c>
      <c r="W3" s="102">
        <v>1</v>
      </c>
      <c r="X3" s="102">
        <v>0</v>
      </c>
      <c r="Y3" s="102">
        <v>4</v>
      </c>
      <c r="Z3" s="102">
        <v>13</v>
      </c>
      <c r="AA3" s="102">
        <v>0</v>
      </c>
      <c r="AB3" s="102">
        <v>-27</v>
      </c>
      <c r="AC3" s="102" t="str">
        <f t="shared" ca="1" si="0"/>
        <v>ANO</v>
      </c>
      <c r="AG3" s="121" t="s">
        <v>738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7 OZ, 3 (2+1), -6 ±</v>
      </c>
      <c r="AY3" s="129" t="str">
        <f t="shared" ca="1" si="2"/>
        <v>7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9"/>
      <c r="BT3" s="104" t="s">
        <v>1436</v>
      </c>
      <c r="BU3" s="103">
        <v>13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13</v>
      </c>
      <c r="BX3" s="418"/>
      <c r="BY3" s="103" t="s">
        <v>1343</v>
      </c>
      <c r="BZ3" s="103" t="s">
        <v>857</v>
      </c>
      <c r="CA3" s="115" t="s">
        <v>1050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740</v>
      </c>
      <c r="T4" s="102" t="s">
        <v>107</v>
      </c>
      <c r="U4" s="102">
        <v>13</v>
      </c>
      <c r="V4" s="102">
        <v>8</v>
      </c>
      <c r="W4" s="102">
        <v>2</v>
      </c>
      <c r="X4" s="102">
        <v>0</v>
      </c>
      <c r="Y4" s="102">
        <v>5</v>
      </c>
      <c r="Z4" s="102">
        <v>13</v>
      </c>
      <c r="AA4" s="102">
        <v>4</v>
      </c>
      <c r="AB4" s="102">
        <v>-21</v>
      </c>
      <c r="AC4" s="102" t="str">
        <f t="shared" ca="1" si="0"/>
        <v>ANO</v>
      </c>
      <c r="AG4" s="121" t="s">
        <v>743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9 P</v>
      </c>
      <c r="AY4" s="129" t="str">
        <f t="shared" ca="1" si="2"/>
        <v>11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9"/>
      <c r="BT4" s="104" t="s">
        <v>1202</v>
      </c>
      <c r="BU4" s="103">
        <v>13</v>
      </c>
      <c r="BV4" s="104" t="str">
        <f t="shared" si="13"/>
        <v>Ivo Teichman</v>
      </c>
      <c r="BW4" s="102">
        <f t="shared" si="14"/>
        <v>13</v>
      </c>
      <c r="BX4" s="418"/>
      <c r="BY4" s="103" t="s">
        <v>841</v>
      </c>
      <c r="BZ4" s="103" t="s">
        <v>840</v>
      </c>
      <c r="CA4" s="115" t="s">
        <v>1196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742</v>
      </c>
      <c r="T5" s="102" t="s">
        <v>107</v>
      </c>
      <c r="U5" s="102">
        <v>13</v>
      </c>
      <c r="V5" s="102">
        <v>4</v>
      </c>
      <c r="W5" s="102">
        <v>1</v>
      </c>
      <c r="X5" s="102">
        <v>0</v>
      </c>
      <c r="Y5" s="102">
        <v>8</v>
      </c>
      <c r="Z5" s="102">
        <v>12</v>
      </c>
      <c r="AA5" s="102">
        <v>2</v>
      </c>
      <c r="AB5" s="102">
        <v>-16</v>
      </c>
      <c r="AC5" s="102" t="str">
        <f t="shared" ca="1" si="0"/>
        <v>ANO</v>
      </c>
      <c r="AG5" s="121" t="s">
        <v>733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13 OZ, 2 (2+0), -11 ±</v>
      </c>
      <c r="AY5" s="129" t="str">
        <f t="shared" ca="1" si="2"/>
        <v>13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9"/>
      <c r="BT5" s="104" t="s">
        <v>802</v>
      </c>
      <c r="BU5" s="103">
        <v>12</v>
      </c>
      <c r="BV5" s="104" t="str">
        <f t="shared" si="13"/>
        <v>Přemek Pakosta</v>
      </c>
      <c r="BW5" s="102">
        <f t="shared" si="14"/>
        <v>12</v>
      </c>
      <c r="BX5" s="418"/>
      <c r="BY5" s="103" t="s">
        <v>1038</v>
      </c>
      <c r="BZ5" s="103" t="s">
        <v>861</v>
      </c>
      <c r="CA5" s="115" t="s">
        <v>779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746</v>
      </c>
      <c r="T6" s="102" t="s">
        <v>107</v>
      </c>
      <c r="U6" s="102">
        <v>8</v>
      </c>
      <c r="V6" s="102">
        <v>4</v>
      </c>
      <c r="W6" s="102">
        <v>1</v>
      </c>
      <c r="X6" s="102">
        <v>0</v>
      </c>
      <c r="Y6" s="102">
        <v>4</v>
      </c>
      <c r="Z6" s="102">
        <v>8</v>
      </c>
      <c r="AA6" s="102">
        <v>0</v>
      </c>
      <c r="AB6" s="102">
        <v>-6</v>
      </c>
      <c r="AC6" s="102" t="str">
        <f t="shared" ca="1" si="0"/>
        <v>ANO</v>
      </c>
      <c r="AG6" s="121" t="s">
        <v>739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11 OZ, 0 (0+0), -1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9"/>
      <c r="BT6" s="104" t="s">
        <v>1051</v>
      </c>
      <c r="BU6" s="103">
        <v>8</v>
      </c>
      <c r="BV6" s="104" t="str">
        <f t="shared" si="13"/>
        <v>Jan Savický</v>
      </c>
      <c r="BW6" s="102">
        <f t="shared" si="14"/>
        <v>8</v>
      </c>
      <c r="BX6" s="418"/>
      <c r="BY6" s="103" t="s">
        <v>820</v>
      </c>
      <c r="BZ6" s="103" t="s">
        <v>837</v>
      </c>
      <c r="CA6" s="115" t="s">
        <v>778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732</v>
      </c>
      <c r="U7" s="102">
        <v>13</v>
      </c>
      <c r="V7" s="102">
        <v>4</v>
      </c>
      <c r="W7" s="102">
        <v>0</v>
      </c>
      <c r="X7" s="102">
        <v>0</v>
      </c>
      <c r="Y7" s="102">
        <v>3</v>
      </c>
      <c r="Z7" s="102">
        <v>7</v>
      </c>
      <c r="AA7" s="102">
        <v>2</v>
      </c>
      <c r="AB7" s="102">
        <v>-12</v>
      </c>
      <c r="AC7" s="102" t="str">
        <f t="shared" ca="1" si="0"/>
        <v>ANO</v>
      </c>
      <c r="AG7" s="121" t="s">
        <v>703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13 OZ, 5 (2+3), -12 ±</v>
      </c>
      <c r="AY7" s="129" t="str">
        <f t="shared" ca="1" si="2"/>
        <v>13 OZ, 5 (2+3)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747</v>
      </c>
      <c r="BU7" s="103" t="s">
        <v>1437</v>
      </c>
      <c r="BV7" s="104" t="str">
        <f t="shared" si="13"/>
        <v>Martin Haleš</v>
      </c>
      <c r="BW7" s="112">
        <f t="shared" si="14"/>
        <v>7.73</v>
      </c>
      <c r="BX7" s="418" t="s">
        <v>193</v>
      </c>
      <c r="BY7" s="103" t="s">
        <v>1100</v>
      </c>
      <c r="BZ7" s="103" t="s">
        <v>830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98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735</v>
      </c>
      <c r="U8" s="102">
        <v>13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6</v>
      </c>
      <c r="AB8" s="102">
        <v>-12</v>
      </c>
      <c r="AC8" s="102" t="str">
        <f t="shared" ca="1" si="0"/>
        <v>ANO</v>
      </c>
      <c r="AG8" s="121" t="s">
        <v>744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8 OZ, 0 (0+0), -8 ±</v>
      </c>
      <c r="AY8" s="129" t="str">
        <f t="shared" ca="1" si="2"/>
        <v>8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748</v>
      </c>
      <c r="BU8" s="103" t="s">
        <v>1198</v>
      </c>
      <c r="BV8" s="104" t="str">
        <f t="shared" si="13"/>
        <v>Karel Aubus</v>
      </c>
      <c r="BW8" s="112">
        <f t="shared" si="14"/>
        <v>7.32</v>
      </c>
      <c r="BX8" s="418"/>
      <c r="BY8" s="103" t="s">
        <v>1111</v>
      </c>
      <c r="BZ8" s="103" t="s">
        <v>839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12</v>
      </c>
      <c r="V9" s="102">
        <v>3</v>
      </c>
      <c r="W9" s="102">
        <v>0</v>
      </c>
      <c r="X9" s="102">
        <v>0</v>
      </c>
      <c r="Y9" s="102">
        <v>2</v>
      </c>
      <c r="Z9" s="102">
        <v>5</v>
      </c>
      <c r="AA9" s="102">
        <v>2</v>
      </c>
      <c r="AB9" s="102">
        <v>-18</v>
      </c>
      <c r="AC9" s="102" t="str">
        <f t="shared" ca="1" si="0"/>
        <v>ANO</v>
      </c>
      <c r="AG9" s="121" t="s">
        <v>742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13 OZ, 12 (4+8), -16 ±</v>
      </c>
      <c r="AY9" s="129" t="str">
        <f t="shared" ca="1" si="2"/>
        <v>13 OZ, 12 (4+8)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869</v>
      </c>
      <c r="BU9" s="103" t="s">
        <v>1199</v>
      </c>
      <c r="BV9" s="104" t="str">
        <f t="shared" si="13"/>
        <v>Matěj Denemark</v>
      </c>
      <c r="BW9" s="112">
        <f t="shared" si="14"/>
        <v>10.14</v>
      </c>
      <c r="BX9" s="418"/>
      <c r="BY9" s="103" t="s">
        <v>1150</v>
      </c>
      <c r="BZ9" s="103" t="s">
        <v>828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703</v>
      </c>
      <c r="U10" s="102">
        <v>13</v>
      </c>
      <c r="V10" s="102">
        <v>2</v>
      </c>
      <c r="W10" s="102">
        <v>0</v>
      </c>
      <c r="X10" s="102">
        <v>0</v>
      </c>
      <c r="Y10" s="102">
        <v>3</v>
      </c>
      <c r="Z10" s="102">
        <v>5</v>
      </c>
      <c r="AA10" s="102">
        <v>4</v>
      </c>
      <c r="AB10" s="102">
        <v>-12</v>
      </c>
      <c r="AC10" s="102" t="str">
        <f t="shared" ca="1" si="0"/>
        <v>ANO</v>
      </c>
      <c r="AG10" s="121" t="s">
        <v>736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13 OZ, 2 (2+0), -13 ±</v>
      </c>
      <c r="AY10" s="129" t="str">
        <f t="shared" ca="1" si="2"/>
        <v>13 OZ, 2 (2+0)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1344</v>
      </c>
      <c r="BZ10" s="103" t="s">
        <v>827</v>
      </c>
      <c r="CA10" s="115" t="s">
        <v>188</v>
      </c>
    </row>
    <row r="11" spans="1:79" ht="15" customHeight="1" thickTop="1" thickBot="1" x14ac:dyDescent="0.25">
      <c r="R11" s="13"/>
      <c r="S11" s="110" t="s">
        <v>731</v>
      </c>
      <c r="U11" s="102">
        <v>12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-5</v>
      </c>
      <c r="AC11" s="102" t="str">
        <f t="shared" ca="1" si="0"/>
        <v>ANO</v>
      </c>
      <c r="AG11" s="121" t="s">
        <v>731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12 OZ, 4 (1+3), -5 ±</v>
      </c>
      <c r="AY11" s="129" t="str">
        <f t="shared" ca="1" si="2"/>
        <v>12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848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738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735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13 OZ, 7 (3+4), -12 ±</v>
      </c>
      <c r="AY12" s="129" t="str">
        <f t="shared" ca="1" si="2"/>
        <v>13 OZ, 7 (3+4)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1197</v>
      </c>
      <c r="BU12" s="103">
        <v>10</v>
      </c>
      <c r="BV12" s="104" t="str">
        <f t="shared" si="13"/>
        <v>Adam Šmíd</v>
      </c>
      <c r="BW12" s="102">
        <f t="shared" si="14"/>
        <v>10</v>
      </c>
      <c r="BX12" s="120" t="s">
        <v>191</v>
      </c>
      <c r="BY12" s="100" t="s">
        <v>1435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785</v>
      </c>
      <c r="U13" s="102">
        <v>12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-12</v>
      </c>
      <c r="AC13" s="102" t="str">
        <f t="shared" ca="1" si="0"/>
        <v>NE</v>
      </c>
      <c r="AG13" s="121" t="s">
        <v>732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13 OZ, 7 (4+3), -12 ±</v>
      </c>
      <c r="AY13" s="129" t="str">
        <f t="shared" ca="1" si="2"/>
        <v>13 OZ, 7 (4+3)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1436</v>
      </c>
      <c r="BU13" s="103">
        <v>9</v>
      </c>
      <c r="BV13" s="104" t="str">
        <f t="shared" si="13"/>
        <v>Matyáš Velc</v>
      </c>
      <c r="BW13" s="102">
        <f t="shared" si="14"/>
        <v>9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741</v>
      </c>
      <c r="U14" s="102">
        <v>13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2</v>
      </c>
      <c r="AB14" s="102">
        <v>-27</v>
      </c>
      <c r="AC14" s="102" t="str">
        <f t="shared" ca="1" si="0"/>
        <v>ANO</v>
      </c>
      <c r="AG14" s="121" t="s">
        <v>746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8 OZ, 8 (4+4), -6 ±</v>
      </c>
      <c r="AY14" s="129" t="str">
        <f t="shared" ca="1" si="2"/>
        <v>8 OZ, 8 (4+4)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1202</v>
      </c>
      <c r="BU14" s="103">
        <v>8</v>
      </c>
      <c r="BV14" s="104" t="str">
        <f t="shared" si="13"/>
        <v>Ivo Teichman</v>
      </c>
      <c r="BW14" s="102">
        <f t="shared" si="14"/>
        <v>8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736</v>
      </c>
      <c r="T15" s="102" t="s">
        <v>107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4</v>
      </c>
      <c r="AB15" s="102">
        <v>-13</v>
      </c>
      <c r="AC15" s="102" t="str">
        <f t="shared" ca="1" si="0"/>
        <v>ANO</v>
      </c>
      <c r="AG15" s="121" t="s">
        <v>741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13 OZ, 3 (1+2), -27 ±</v>
      </c>
      <c r="AY15" s="129" t="str">
        <f t="shared" ca="1" si="2"/>
        <v>13 OZ, 3 (1+2)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1200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733</v>
      </c>
      <c r="T16" s="102" t="s">
        <v>58</v>
      </c>
      <c r="U16" s="102">
        <v>13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734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11 OZ, 18 (10+8), -12 ±</v>
      </c>
      <c r="AY16" s="129" t="str">
        <f t="shared" ca="1" si="2"/>
        <v>11 OZ, 18 (10+8)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1438</v>
      </c>
      <c r="BU16" s="103">
        <v>4</v>
      </c>
      <c r="BV16" s="104" t="str">
        <f t="shared" si="13"/>
        <v>Přemek Pakosta</v>
      </c>
      <c r="BW16" s="102">
        <f t="shared" si="14"/>
        <v>4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784</v>
      </c>
      <c r="T17" s="102" t="s">
        <v>58</v>
      </c>
      <c r="U17" s="102">
        <v>12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-21</v>
      </c>
      <c r="AC17" s="102" t="str">
        <f t="shared" ca="1" si="0"/>
        <v>NE</v>
      </c>
      <c r="AG17" s="121" t="s">
        <v>740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13 OZ, 13 (8+5), -21 ±</v>
      </c>
      <c r="AY17" s="129" t="str">
        <f t="shared" ca="1" si="2"/>
        <v>13 OZ, 13 (8+5)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747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870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13 OZ, 13 (9+4), -27 ±</v>
      </c>
      <c r="AY18" s="129" t="str">
        <f t="shared" ca="1" si="2"/>
        <v>13 OZ, 13 (9+4)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748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PAR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744</v>
      </c>
      <c r="T19" s="102" t="s">
        <v>107</v>
      </c>
      <c r="U19" s="102">
        <v>8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-8</v>
      </c>
      <c r="AC19" s="102" t="str">
        <f t="shared" ca="1" si="0"/>
        <v>ANO</v>
      </c>
      <c r="AG19" s="121" t="s">
        <v>737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12 OZ, 5 (3+2), -18 ±</v>
      </c>
      <c r="AY19" s="129" t="str">
        <f t="shared" ca="1" si="2"/>
        <v>12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869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745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739</v>
      </c>
      <c r="U21" s="102">
        <v>11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743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9" t="s">
        <v>38</v>
      </c>
      <c r="BT22" s="104" t="s">
        <v>1197</v>
      </c>
      <c r="BU22" s="103">
        <v>8</v>
      </c>
      <c r="BV22" s="104" t="str">
        <f t="shared" si="13"/>
        <v>Adam Šmíd</v>
      </c>
      <c r="BW22" s="102">
        <f t="shared" si="14"/>
        <v>8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9"/>
      <c r="BT23" s="104" t="s">
        <v>1201</v>
      </c>
      <c r="BU23" s="103">
        <v>8</v>
      </c>
      <c r="BV23" s="104" t="str">
        <f t="shared" si="13"/>
        <v>Přemek Pakosta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9"/>
      <c r="BT24" s="104" t="s">
        <v>1202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9"/>
      <c r="BT25" s="104" t="s">
        <v>1200</v>
      </c>
      <c r="BU25" s="103">
        <v>4</v>
      </c>
      <c r="BV25" s="104" t="str">
        <f t="shared" si="13"/>
        <v>Jan Savický</v>
      </c>
      <c r="BW25" s="102">
        <f t="shared" si="14"/>
        <v>4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9"/>
      <c r="BT26" s="104" t="s">
        <v>1439</v>
      </c>
      <c r="BU26" s="103">
        <v>4</v>
      </c>
      <c r="BV26" s="104" t="str">
        <f t="shared" si="13"/>
        <v>Lukáš Prix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9" t="s">
        <v>39</v>
      </c>
      <c r="BT27" s="104" t="s">
        <v>1197</v>
      </c>
      <c r="BU27" s="103">
        <v>31</v>
      </c>
      <c r="BV27" s="104" t="str">
        <f t="shared" si="13"/>
        <v>Adam Šmíd</v>
      </c>
      <c r="BW27" s="102">
        <f t="shared" si="14"/>
        <v>31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9"/>
      <c r="BT28" s="104" t="s">
        <v>1440</v>
      </c>
      <c r="BU28" s="103">
        <v>10</v>
      </c>
      <c r="BV28" s="104" t="str">
        <f t="shared" si="13"/>
        <v>Vojtěch Klein</v>
      </c>
      <c r="BW28" s="102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9"/>
      <c r="BT29" s="104" t="s">
        <v>1441</v>
      </c>
      <c r="BU29" s="103">
        <v>6</v>
      </c>
      <c r="BV29" s="104" t="str">
        <f t="shared" si="13"/>
        <v>Lukáš Prix</v>
      </c>
      <c r="BW29" s="102">
        <f t="shared" si="14"/>
        <v>6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PAR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9"/>
      <c r="BT30" s="104" t="s">
        <v>1203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9"/>
      <c r="BT31" s="104" t="s">
        <v>1204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743</v>
      </c>
      <c r="T45" s="102">
        <v>11</v>
      </c>
      <c r="U45" s="112">
        <v>551.01</v>
      </c>
      <c r="V45" s="102">
        <v>2</v>
      </c>
      <c r="W45" s="102">
        <v>71</v>
      </c>
      <c r="X45" s="102">
        <v>0</v>
      </c>
      <c r="Y45" s="102">
        <v>272</v>
      </c>
      <c r="Z45" s="102">
        <v>0</v>
      </c>
      <c r="AA45" s="102">
        <v>9</v>
      </c>
      <c r="AB45" s="102">
        <v>201</v>
      </c>
      <c r="AC45" s="102">
        <v>0</v>
      </c>
      <c r="AD45" s="102">
        <v>0</v>
      </c>
      <c r="AE45" s="112">
        <f>IF(S45&lt;&gt;"",IF(T45&gt;0,W45/(U45/60),0),"")</f>
        <v>7.7312571459683124</v>
      </c>
      <c r="AF45" s="112">
        <f>IF(S45&lt;&gt;"",IF(Y45&gt;0,(AB45/Y45)*100,"-"),"")</f>
        <v>73.89705882352942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745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51</v>
      </c>
      <c r="Z46" s="102">
        <v>0</v>
      </c>
      <c r="AA46" s="102">
        <v>3</v>
      </c>
      <c r="AB46" s="102">
        <v>38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74.509803921568633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870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W1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578</v>
      </c>
      <c r="U2" s="102">
        <v>13</v>
      </c>
      <c r="V2" s="102">
        <v>13</v>
      </c>
      <c r="W2" s="102">
        <v>1</v>
      </c>
      <c r="X2" s="102">
        <v>1</v>
      </c>
      <c r="Y2" s="102">
        <v>10</v>
      </c>
      <c r="Z2" s="102">
        <v>23</v>
      </c>
      <c r="AA2" s="102">
        <v>6</v>
      </c>
      <c r="AB2" s="102">
        <v>18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595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607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621</v>
      </c>
      <c r="BO2" s="122">
        <v>29384</v>
      </c>
      <c r="BP2" s="131" t="s">
        <v>236</v>
      </c>
      <c r="BQ2" s="132" t="s">
        <v>622</v>
      </c>
      <c r="BR2" s="127">
        <f ca="1">IF(BN2&lt;&gt;"",IF(BO2&lt;&gt;"",INT((TODAY()-BO2)/365),"?"),"")</f>
        <v>41</v>
      </c>
      <c r="BS2" s="419" t="s">
        <v>36</v>
      </c>
      <c r="BT2" s="104" t="s">
        <v>629</v>
      </c>
      <c r="BU2" s="103">
        <v>23</v>
      </c>
      <c r="BV2" s="104" t="str">
        <f>IFERROR(RIGHT(BT2,LEN(BT2)-SEARCH(" ",BT2)),"")</f>
        <v>Lukáš Ujhélyi</v>
      </c>
      <c r="BW2" s="102">
        <f>IF(BT2&lt;&gt;0,_xlfn.NUMBERVALUE(BU2,","),"")</f>
        <v>23</v>
      </c>
      <c r="BX2" s="418" t="s">
        <v>192</v>
      </c>
      <c r="BY2" s="103" t="s">
        <v>1021</v>
      </c>
      <c r="BZ2" s="103" t="s">
        <v>848</v>
      </c>
      <c r="CA2" s="115" t="s">
        <v>1449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576</v>
      </c>
      <c r="T3" s="102" t="s">
        <v>107</v>
      </c>
      <c r="U3" s="102">
        <v>13</v>
      </c>
      <c r="V3" s="102">
        <v>13</v>
      </c>
      <c r="W3" s="102">
        <v>4</v>
      </c>
      <c r="X3" s="102">
        <v>1</v>
      </c>
      <c r="Y3" s="102">
        <v>10</v>
      </c>
      <c r="Z3" s="102">
        <v>23</v>
      </c>
      <c r="AA3" s="102">
        <v>4</v>
      </c>
      <c r="AB3" s="102">
        <v>15</v>
      </c>
      <c r="AC3" s="102" t="str">
        <f t="shared" ca="1" si="0"/>
        <v>NE</v>
      </c>
      <c r="AG3" s="121" t="s">
        <v>581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608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13 OZ, 9 (3+6), +8 ±</v>
      </c>
      <c r="AY3" s="129" t="str">
        <f t="shared" ca="1" si="2"/>
        <v>140 OZ, 35 (12+23)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623</v>
      </c>
      <c r="BO3" s="122">
        <v>31166</v>
      </c>
      <c r="BP3" s="131" t="s">
        <v>237</v>
      </c>
      <c r="BQ3" s="132" t="s">
        <v>624</v>
      </c>
      <c r="BR3" s="127">
        <f t="shared" ref="BR3:BR11" ca="1" si="12">IF(BN3&lt;&gt;"",IF(BO3&lt;&gt;"",INT((TODAY()-BO3)/365),"?"),"")</f>
        <v>36</v>
      </c>
      <c r="BS3" s="419"/>
      <c r="BT3" s="104" t="s">
        <v>871</v>
      </c>
      <c r="BU3" s="103">
        <v>23</v>
      </c>
      <c r="BV3" s="104" t="str">
        <f t="shared" ref="BV3:BV31" si="13">IFERROR(RIGHT(BT3,LEN(BT3)-SEARCH(" ",BT3)),"")</f>
        <v>Mikuláš Krbec</v>
      </c>
      <c r="BW3" s="102">
        <f t="shared" ref="BW3:BW31" si="14">IF(BT3&lt;&gt;0,_xlfn.NUMBERVALUE(BU3,","),"")</f>
        <v>23</v>
      </c>
      <c r="BX3" s="418"/>
      <c r="BY3" s="103" t="s">
        <v>1343</v>
      </c>
      <c r="BZ3" s="103" t="s">
        <v>817</v>
      </c>
      <c r="CA3" s="115" t="s">
        <v>1121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579</v>
      </c>
      <c r="T4" s="102" t="s">
        <v>107</v>
      </c>
      <c r="U4" s="102">
        <v>13</v>
      </c>
      <c r="V4" s="102">
        <v>7</v>
      </c>
      <c r="W4" s="102">
        <v>1</v>
      </c>
      <c r="X4" s="102">
        <v>0</v>
      </c>
      <c r="Y4" s="102">
        <v>13</v>
      </c>
      <c r="Z4" s="102">
        <v>20</v>
      </c>
      <c r="AA4" s="102">
        <v>2</v>
      </c>
      <c r="AB4" s="102">
        <v>14</v>
      </c>
      <c r="AC4" s="102" t="str">
        <f t="shared" ca="1" si="0"/>
        <v>ANO</v>
      </c>
      <c r="AG4" s="121" t="s">
        <v>371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249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625</v>
      </c>
      <c r="BO4" s="122">
        <v>32564</v>
      </c>
      <c r="BP4" s="131" t="s">
        <v>237</v>
      </c>
      <c r="BQ4" s="132" t="s">
        <v>626</v>
      </c>
      <c r="BR4" s="127">
        <f t="shared" ca="1" si="12"/>
        <v>32</v>
      </c>
      <c r="BS4" s="419"/>
      <c r="BT4" s="104" t="s">
        <v>1442</v>
      </c>
      <c r="BU4" s="103">
        <v>20</v>
      </c>
      <c r="BV4" s="104" t="str">
        <f t="shared" si="13"/>
        <v>Marek Zouzal</v>
      </c>
      <c r="BW4" s="102">
        <f t="shared" si="14"/>
        <v>20</v>
      </c>
      <c r="BX4" s="418"/>
      <c r="BY4" s="103" t="s">
        <v>841</v>
      </c>
      <c r="BZ4" s="103" t="s">
        <v>828</v>
      </c>
      <c r="CA4" s="115" t="s">
        <v>793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577</v>
      </c>
      <c r="U5" s="102">
        <v>13</v>
      </c>
      <c r="V5" s="102">
        <v>12</v>
      </c>
      <c r="W5" s="102">
        <v>0</v>
      </c>
      <c r="X5" s="102">
        <v>0</v>
      </c>
      <c r="Y5" s="102">
        <v>7</v>
      </c>
      <c r="Z5" s="102">
        <v>19</v>
      </c>
      <c r="AA5" s="102">
        <v>4</v>
      </c>
      <c r="AB5" s="102">
        <v>14</v>
      </c>
      <c r="AC5" s="102" t="str">
        <f t="shared" ca="1" si="0"/>
        <v>ANO</v>
      </c>
      <c r="AG5" s="121" t="s">
        <v>591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609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8 V, 4 P</v>
      </c>
      <c r="AY5" s="129" t="str">
        <f t="shared" ca="1" si="2"/>
        <v>219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627</v>
      </c>
      <c r="BO5" s="122">
        <v>33689</v>
      </c>
      <c r="BP5" s="131" t="s">
        <v>413</v>
      </c>
      <c r="BQ5" s="132"/>
      <c r="BR5" s="127">
        <f t="shared" ca="1" si="12"/>
        <v>29</v>
      </c>
      <c r="BS5" s="419"/>
      <c r="BT5" s="104" t="s">
        <v>1213</v>
      </c>
      <c r="BU5" s="103">
        <v>19</v>
      </c>
      <c r="BV5" s="104" t="str">
        <f t="shared" si="13"/>
        <v>Josef Juha</v>
      </c>
      <c r="BW5" s="102">
        <f t="shared" si="14"/>
        <v>19</v>
      </c>
      <c r="BX5" s="418"/>
      <c r="BY5" s="103" t="s">
        <v>822</v>
      </c>
      <c r="BZ5" s="103" t="s">
        <v>829</v>
      </c>
      <c r="CA5" s="115" t="s">
        <v>1207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580</v>
      </c>
      <c r="U6" s="102">
        <v>13</v>
      </c>
      <c r="V6" s="102">
        <v>6</v>
      </c>
      <c r="W6" s="102">
        <v>0</v>
      </c>
      <c r="X6" s="102">
        <v>0</v>
      </c>
      <c r="Y6" s="102">
        <v>8</v>
      </c>
      <c r="Z6" s="102">
        <v>14</v>
      </c>
      <c r="AA6" s="102">
        <v>2</v>
      </c>
      <c r="AB6" s="102">
        <v>11</v>
      </c>
      <c r="AC6" s="102" t="str">
        <f t="shared" ca="1" si="0"/>
        <v>ANO</v>
      </c>
      <c r="AG6" s="121" t="s">
        <v>583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610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13 OZ, 11 (7+4), +3 ±</v>
      </c>
      <c r="AY6" s="129" t="str">
        <f t="shared" ca="1" si="2"/>
        <v>65 OZ, 57 (32+25)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628</v>
      </c>
      <c r="BO6" s="122">
        <v>35048</v>
      </c>
      <c r="BP6" s="131" t="s">
        <v>176</v>
      </c>
      <c r="BQ6" s="132" t="s">
        <v>622</v>
      </c>
      <c r="BR6" s="127">
        <f t="shared" ca="1" si="12"/>
        <v>25</v>
      </c>
      <c r="BS6" s="419"/>
      <c r="BT6" s="104" t="s">
        <v>1054</v>
      </c>
      <c r="BU6" s="103">
        <v>14</v>
      </c>
      <c r="BV6" s="104" t="str">
        <f t="shared" si="13"/>
        <v>Jakub Kolstrunk</v>
      </c>
      <c r="BW6" s="102">
        <f t="shared" si="14"/>
        <v>14</v>
      </c>
      <c r="BX6" s="418"/>
      <c r="BY6" s="103" t="s">
        <v>833</v>
      </c>
      <c r="BZ6" s="103" t="s">
        <v>830</v>
      </c>
      <c r="CA6" s="115" t="s">
        <v>1033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583</v>
      </c>
      <c r="U7" s="102">
        <v>13</v>
      </c>
      <c r="V7" s="102">
        <v>7</v>
      </c>
      <c r="W7" s="102">
        <v>0</v>
      </c>
      <c r="X7" s="102">
        <v>0</v>
      </c>
      <c r="Y7" s="102">
        <v>4</v>
      </c>
      <c r="Z7" s="102">
        <v>11</v>
      </c>
      <c r="AA7" s="102">
        <v>2</v>
      </c>
      <c r="AB7" s="102">
        <v>3</v>
      </c>
      <c r="AC7" s="102" t="str">
        <f t="shared" ca="1" si="0"/>
        <v>ANO</v>
      </c>
      <c r="AG7" s="121" t="s">
        <v>596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630</v>
      </c>
      <c r="BU7" s="103" t="s">
        <v>1309</v>
      </c>
      <c r="BV7" s="104" t="str">
        <f t="shared" si="13"/>
        <v>Martin Beneš</v>
      </c>
      <c r="BW7" s="112">
        <f t="shared" si="14"/>
        <v>4.62</v>
      </c>
      <c r="BX7" s="418" t="s">
        <v>193</v>
      </c>
      <c r="BY7" s="103" t="s">
        <v>1386</v>
      </c>
      <c r="BZ7" s="103" t="s">
        <v>814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95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592</v>
      </c>
      <c r="T8" s="102" t="s">
        <v>58</v>
      </c>
      <c r="U8" s="102">
        <v>13</v>
      </c>
      <c r="V8" s="102">
        <v>4</v>
      </c>
      <c r="W8" s="102">
        <v>2</v>
      </c>
      <c r="X8" s="102">
        <v>0</v>
      </c>
      <c r="Y8" s="102">
        <v>5</v>
      </c>
      <c r="Z8" s="102">
        <v>9</v>
      </c>
      <c r="AA8" s="102">
        <v>6</v>
      </c>
      <c r="AB8" s="102">
        <v>15</v>
      </c>
      <c r="AC8" s="102" t="str">
        <f t="shared" ca="1" si="0"/>
        <v>ANO</v>
      </c>
      <c r="AG8" s="121" t="s">
        <v>597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611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1209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18"/>
      <c r="BY8" s="103" t="s">
        <v>1112</v>
      </c>
      <c r="BZ8" s="103" t="s">
        <v>813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581</v>
      </c>
      <c r="T9" s="102" t="s">
        <v>58</v>
      </c>
      <c r="U9" s="102">
        <v>13</v>
      </c>
      <c r="V9" s="102">
        <v>3</v>
      </c>
      <c r="W9" s="102">
        <v>0</v>
      </c>
      <c r="X9" s="102">
        <v>0</v>
      </c>
      <c r="Y9" s="102">
        <v>6</v>
      </c>
      <c r="Z9" s="102">
        <v>9</v>
      </c>
      <c r="AA9" s="102">
        <v>2</v>
      </c>
      <c r="AB9" s="102">
        <v>8</v>
      </c>
      <c r="AC9" s="102" t="str">
        <f t="shared" ca="1" si="0"/>
        <v>ANO</v>
      </c>
      <c r="AG9" s="121" t="s">
        <v>584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13 OZ, 7 (4+3), -3 ±</v>
      </c>
      <c r="AY9" s="129" t="str">
        <f t="shared" ca="1" si="2"/>
        <v>301 OZ, 294 (159+135)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1210</v>
      </c>
      <c r="BU9" s="103" t="s">
        <v>365</v>
      </c>
      <c r="BV9" s="104" t="str">
        <f t="shared" si="13"/>
        <v>Viktor Hejna</v>
      </c>
      <c r="BW9" s="112">
        <f t="shared" si="14"/>
        <v>4</v>
      </c>
      <c r="BX9" s="418"/>
      <c r="BY9" s="103" t="s">
        <v>1150</v>
      </c>
      <c r="BZ9" s="103" t="s">
        <v>812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585</v>
      </c>
      <c r="T10" s="102" t="s">
        <v>107</v>
      </c>
      <c r="U10" s="102">
        <v>13</v>
      </c>
      <c r="V10" s="102">
        <v>5</v>
      </c>
      <c r="W10" s="102">
        <v>0</v>
      </c>
      <c r="X10" s="102">
        <v>0</v>
      </c>
      <c r="Y10" s="102">
        <v>3</v>
      </c>
      <c r="Z10" s="102">
        <v>8</v>
      </c>
      <c r="AA10" s="102">
        <v>2</v>
      </c>
      <c r="AB10" s="102">
        <v>9</v>
      </c>
      <c r="AC10" s="102" t="str">
        <f t="shared" ca="1" si="0"/>
        <v>ANO</v>
      </c>
      <c r="AG10" s="121" t="s">
        <v>593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10 OZ, 0 (0+0), -6 ±</v>
      </c>
      <c r="AY10" s="129" t="str">
        <f t="shared" ca="1" si="2"/>
        <v>36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1344</v>
      </c>
      <c r="BZ10" s="103" t="s">
        <v>844</v>
      </c>
      <c r="CA10" s="115" t="s">
        <v>188</v>
      </c>
    </row>
    <row r="11" spans="1:79" ht="15" customHeight="1" thickTop="1" thickBot="1" x14ac:dyDescent="0.25">
      <c r="R11" s="13"/>
      <c r="S11" s="110" t="s">
        <v>584</v>
      </c>
      <c r="T11" s="102" t="s">
        <v>58</v>
      </c>
      <c r="U11" s="102">
        <v>13</v>
      </c>
      <c r="V11" s="102">
        <v>4</v>
      </c>
      <c r="W11" s="102">
        <v>0</v>
      </c>
      <c r="X11" s="102">
        <v>0</v>
      </c>
      <c r="Y11" s="102">
        <v>3</v>
      </c>
      <c r="Z11" s="102">
        <v>7</v>
      </c>
      <c r="AA11" s="102">
        <v>2</v>
      </c>
      <c r="AB11" s="102">
        <v>-3</v>
      </c>
      <c r="AC11" s="102" t="str">
        <f t="shared" ca="1" si="0"/>
        <v>ANO</v>
      </c>
      <c r="AG11" s="121" t="s">
        <v>577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13 OZ, 19 (12+7), +14 ±</v>
      </c>
      <c r="AY11" s="129" t="str">
        <f t="shared" ca="1" si="2"/>
        <v>82 OZ, 80 (45+35)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1361</v>
      </c>
      <c r="BZ11" s="103" t="s">
        <v>819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588</v>
      </c>
      <c r="T12" s="102" t="s">
        <v>107</v>
      </c>
      <c r="U12" s="102">
        <v>13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9</v>
      </c>
      <c r="AC12" s="102" t="str">
        <f t="shared" ca="1" si="0"/>
        <v>ANO</v>
      </c>
      <c r="AG12" s="121" t="s">
        <v>588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612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13 OZ, 6 (4+2), +9 ±</v>
      </c>
      <c r="AY12" s="129" t="str">
        <f t="shared" ca="1" si="2"/>
        <v>122 OZ, 65 (38+27)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629</v>
      </c>
      <c r="BU12" s="103">
        <v>13</v>
      </c>
      <c r="BV12" s="104" t="str">
        <f t="shared" si="13"/>
        <v>Lukáš Ujhélyi</v>
      </c>
      <c r="BW12" s="102">
        <f t="shared" si="14"/>
        <v>13</v>
      </c>
      <c r="BX12" s="120" t="s">
        <v>191</v>
      </c>
      <c r="BY12" s="100" t="s">
        <v>1450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594</v>
      </c>
      <c r="T13" s="102" t="s">
        <v>58</v>
      </c>
      <c r="U13" s="102">
        <v>13</v>
      </c>
      <c r="V13" s="102">
        <v>2</v>
      </c>
      <c r="W13" s="102">
        <v>0</v>
      </c>
      <c r="X13" s="102">
        <v>0</v>
      </c>
      <c r="Y13" s="102">
        <v>4</v>
      </c>
      <c r="Z13" s="102">
        <v>6</v>
      </c>
      <c r="AA13" s="102">
        <v>8</v>
      </c>
      <c r="AB13" s="102">
        <v>7</v>
      </c>
      <c r="AC13" s="102" t="str">
        <f t="shared" ca="1" si="0"/>
        <v>ANO</v>
      </c>
      <c r="AG13" s="121" t="s">
        <v>580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249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13 OZ, 14 (6+8), +11 ±</v>
      </c>
      <c r="AY13" s="129" t="str">
        <f t="shared" ca="1" si="2"/>
        <v>101 OZ, 97 (66+31)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871</v>
      </c>
      <c r="BU13" s="103">
        <v>13</v>
      </c>
      <c r="BV13" s="104" t="str">
        <f t="shared" si="13"/>
        <v>Mikuláš Krbec</v>
      </c>
      <c r="BW13" s="102">
        <f t="shared" si="14"/>
        <v>13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599</v>
      </c>
      <c r="U14" s="102">
        <v>12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6</v>
      </c>
      <c r="AB14" s="102">
        <v>-2</v>
      </c>
      <c r="AC14" s="102" t="str">
        <f t="shared" ca="1" si="0"/>
        <v>ANO</v>
      </c>
      <c r="AG14" s="121" t="s">
        <v>598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281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1214</v>
      </c>
      <c r="BU14" s="103">
        <v>12</v>
      </c>
      <c r="BV14" s="104" t="str">
        <f t="shared" si="13"/>
        <v>Josef Juha</v>
      </c>
      <c r="BW14" s="102">
        <f t="shared" si="14"/>
        <v>12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590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-5</v>
      </c>
      <c r="AC15" s="102" t="str">
        <f t="shared" ca="1" si="0"/>
        <v>NE</v>
      </c>
      <c r="AG15" s="121" t="s">
        <v>599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613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12 OZ, 3 (1+2), -2 ±</v>
      </c>
      <c r="AY15" s="129" t="str">
        <f t="shared" ca="1" si="2"/>
        <v>60 OZ, 13 (9+4)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1208</v>
      </c>
      <c r="BU15" s="103">
        <v>7</v>
      </c>
      <c r="BV15" s="104" t="str">
        <f t="shared" si="13"/>
        <v>Marek Zouzal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872</v>
      </c>
      <c r="T16" s="102" t="s">
        <v>58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-2</v>
      </c>
      <c r="AC16" s="102" t="str">
        <f t="shared" ca="1" si="0"/>
        <v>NE</v>
      </c>
      <c r="AG16" s="121" t="s">
        <v>578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614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13 OZ, 23 (13+10), +18 ±</v>
      </c>
      <c r="AY16" s="129" t="str">
        <f t="shared" ca="1" si="2"/>
        <v>112 OZ, 165 (68+97)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1443</v>
      </c>
      <c r="BU16" s="103">
        <v>7</v>
      </c>
      <c r="BV16" s="104" t="str">
        <f t="shared" si="13"/>
        <v>Matěj Čermák</v>
      </c>
      <c r="BW16" s="102">
        <f t="shared" si="14"/>
        <v>7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587</v>
      </c>
      <c r="T17" s="102" t="s">
        <v>107</v>
      </c>
      <c r="U17" s="102">
        <v>12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-1</v>
      </c>
      <c r="AC17" s="102" t="str">
        <f t="shared" ca="1" si="0"/>
        <v>ANO</v>
      </c>
      <c r="AG17" s="121" t="s">
        <v>592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293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13 OZ, 9 (4+5), +15 ±</v>
      </c>
      <c r="AY17" s="129" t="str">
        <f t="shared" ca="1" si="2"/>
        <v>354 OZ, 325 (145+180)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630</v>
      </c>
      <c r="BU17" s="103">
        <v>8</v>
      </c>
      <c r="BV17" s="104" t="str">
        <f t="shared" si="13"/>
        <v>Martin Beneš</v>
      </c>
      <c r="BW17" s="102">
        <f t="shared" si="14"/>
        <v>8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1206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589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803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SPA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1205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600</v>
      </c>
      <c r="AH19" s="122"/>
      <c r="AI19" s="123"/>
      <c r="AJ19" s="123"/>
      <c r="AK19" s="123"/>
      <c r="AL19" s="124">
        <f>IF(AG19&lt;&gt;"",AJ19+AK19,"")</f>
        <v>0</v>
      </c>
      <c r="AM19" s="123" t="s">
        <v>281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1211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582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587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613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12 OZ, 1 (0+1), -1 ±</v>
      </c>
      <c r="AY20" s="129" t="str">
        <f t="shared" ca="1" si="2"/>
        <v>78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589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601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615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593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585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616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13 OZ, 8 (5+3), +9 ±</v>
      </c>
      <c r="AY22" s="129" t="str">
        <f t="shared" ca="1" si="2"/>
        <v>157 OZ, 103 (48+55)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1212</v>
      </c>
      <c r="BU22" s="103">
        <v>13</v>
      </c>
      <c r="BV22" s="104" t="str">
        <f t="shared" si="13"/>
        <v>Marek Zouzal</v>
      </c>
      <c r="BW22" s="102">
        <f t="shared" si="14"/>
        <v>13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586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602</v>
      </c>
      <c r="AH23" s="122"/>
      <c r="AI23" s="123"/>
      <c r="AJ23" s="123"/>
      <c r="AK23" s="123"/>
      <c r="AL23" s="124">
        <f>IF(AG23&lt;&gt;"",AJ23+AK23,"")</f>
        <v>0</v>
      </c>
      <c r="AM23" s="123" t="s">
        <v>281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1444</v>
      </c>
      <c r="BU23" s="103">
        <v>10</v>
      </c>
      <c r="BV23" s="104" t="str">
        <f t="shared" si="13"/>
        <v>Lukáš Ujhélyi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0" t="s">
        <v>591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603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617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1053</v>
      </c>
      <c r="BU24" s="103">
        <v>10</v>
      </c>
      <c r="BV24" s="104" t="str">
        <f t="shared" si="13"/>
        <v>Mikuláš Krbec</v>
      </c>
      <c r="BW24" s="102">
        <f t="shared" si="14"/>
        <v>10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1"/>
      <c r="AC25" s="102" t="str">
        <f t="shared" ca="1" si="0"/>
        <v/>
      </c>
      <c r="AG25" s="121" t="s">
        <v>604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618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1445</v>
      </c>
      <c r="BU25" s="103">
        <v>8</v>
      </c>
      <c r="BV25" s="104" t="str">
        <f t="shared" si="13"/>
        <v>Jakub Kolstrunk</v>
      </c>
      <c r="BW25" s="102">
        <f t="shared" si="14"/>
        <v>8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605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619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1446</v>
      </c>
      <c r="BU26" s="103">
        <v>7</v>
      </c>
      <c r="BV26" s="104" t="str">
        <f t="shared" si="13"/>
        <v>Josef Juha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1"/>
      <c r="AC27" s="102" t="str">
        <f t="shared" ca="1" si="0"/>
        <v/>
      </c>
      <c r="AG27" s="121" t="s">
        <v>594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400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13 OZ, 6 (2+4), +7 ±</v>
      </c>
      <c r="AY27" s="129" t="str">
        <f t="shared" ca="1" si="16"/>
        <v>139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1055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606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620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1447</v>
      </c>
      <c r="BU28" s="103">
        <v>6</v>
      </c>
      <c r="BV28" s="104" t="str">
        <f t="shared" si="13"/>
        <v>Kristián Kozák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1"/>
      <c r="AC29" s="102" t="str">
        <f t="shared" ca="1" si="0"/>
        <v/>
      </c>
      <c r="AG29" s="121" t="s">
        <v>579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20 (7+13), +14 ±</v>
      </c>
      <c r="AY29" s="129" t="str">
        <f t="shared" ca="1" si="16"/>
        <v>152 OZ, 156 (70+86)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9"/>
      <c r="BT29" s="104" t="s">
        <v>1053</v>
      </c>
      <c r="BU29" s="103">
        <v>6</v>
      </c>
      <c r="BV29" s="104" t="str">
        <f t="shared" si="13"/>
        <v>Mikuláš Krbec</v>
      </c>
      <c r="BW29" s="102">
        <f t="shared" si="14"/>
        <v>6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SPA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9"/>
      <c r="BT30" s="104" t="s">
        <v>1448</v>
      </c>
      <c r="BU30" s="103">
        <v>6</v>
      </c>
      <c r="BV30" s="104" t="str">
        <f t="shared" si="13"/>
        <v>Radim Křenek</v>
      </c>
      <c r="BW30" s="102">
        <f t="shared" si="14"/>
        <v>6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9"/>
      <c r="BT31" s="104" t="s">
        <v>1446</v>
      </c>
      <c r="BU31" s="103">
        <v>4</v>
      </c>
      <c r="BV31" s="104" t="str">
        <f t="shared" si="13"/>
        <v>Josef Juha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591</v>
      </c>
      <c r="T45" s="102">
        <v>12</v>
      </c>
      <c r="U45" s="112">
        <v>714.56</v>
      </c>
      <c r="V45" s="102">
        <v>8</v>
      </c>
      <c r="W45" s="102">
        <v>55</v>
      </c>
      <c r="X45" s="102">
        <v>0</v>
      </c>
      <c r="Y45" s="102">
        <v>247</v>
      </c>
      <c r="Z45" s="102">
        <v>0</v>
      </c>
      <c r="AA45" s="102">
        <v>4</v>
      </c>
      <c r="AB45" s="102">
        <v>192</v>
      </c>
      <c r="AC45" s="102">
        <v>0</v>
      </c>
      <c r="AD45" s="102">
        <v>0</v>
      </c>
      <c r="AE45" s="112">
        <f>IF(S45&lt;&gt;"",IF(T45&gt;0,W45/(U45/60),0),"")</f>
        <v>4.6182266009852215</v>
      </c>
      <c r="AF45" s="112">
        <f>IF(S45&lt;&gt;"",IF(Y45&gt;0,(AB45/Y45)*100,"-"),"")</f>
        <v>77.732793522267201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586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1205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U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420</v>
      </c>
      <c r="U2" s="102">
        <v>13</v>
      </c>
      <c r="V2" s="102">
        <v>16</v>
      </c>
      <c r="W2" s="102">
        <v>3</v>
      </c>
      <c r="X2" s="102">
        <v>0</v>
      </c>
      <c r="Y2" s="102">
        <v>11</v>
      </c>
      <c r="Z2" s="102">
        <v>27</v>
      </c>
      <c r="AA2" s="102">
        <v>2</v>
      </c>
      <c r="AB2" s="102">
        <v>23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425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15 (8+7), +13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112 OZ, 99 (67+32)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457</v>
      </c>
      <c r="BO2" s="122">
        <v>29164</v>
      </c>
      <c r="BP2" s="131" t="s">
        <v>175</v>
      </c>
      <c r="BQ2" s="132" t="s">
        <v>458</v>
      </c>
      <c r="BR2" s="127">
        <f ca="1">IF(BN2&lt;&gt;"",IF(BO2&lt;&gt;"",INT((TODAY()-BO2)/365),"?"),"")</f>
        <v>42</v>
      </c>
      <c r="BS2" s="419" t="s">
        <v>36</v>
      </c>
      <c r="BT2" s="104" t="s">
        <v>1056</v>
      </c>
      <c r="BU2" s="103">
        <v>27</v>
      </c>
      <c r="BV2" s="104" t="str">
        <f>IFERROR(RIGHT(BT2,LEN(BT2)-SEARCH(" ",BT2)),"")</f>
        <v>David Šimek</v>
      </c>
      <c r="BW2" s="102">
        <f>IF(BT2&lt;&gt;0,_xlfn.NUMBERVALUE(BU2,","),"")</f>
        <v>27</v>
      </c>
      <c r="BX2" s="418" t="s">
        <v>192</v>
      </c>
      <c r="BY2" s="103" t="s">
        <v>1028</v>
      </c>
      <c r="BZ2" s="103" t="s">
        <v>828</v>
      </c>
      <c r="CA2" s="115" t="s">
        <v>1451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416</v>
      </c>
      <c r="U3" s="102">
        <v>8</v>
      </c>
      <c r="V3" s="102">
        <v>12</v>
      </c>
      <c r="W3" s="102">
        <v>1</v>
      </c>
      <c r="X3" s="102">
        <v>0</v>
      </c>
      <c r="Y3" s="102">
        <v>15</v>
      </c>
      <c r="Z3" s="102">
        <v>27</v>
      </c>
      <c r="AA3" s="102">
        <v>4</v>
      </c>
      <c r="AB3" s="102">
        <v>20</v>
      </c>
      <c r="AC3" s="102" t="str">
        <f t="shared" ca="1" si="0"/>
        <v>NE</v>
      </c>
      <c r="AG3" s="121" t="s">
        <v>436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448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459</v>
      </c>
      <c r="BO3" s="122">
        <v>27190</v>
      </c>
      <c r="BP3" s="131" t="s">
        <v>304</v>
      </c>
      <c r="BQ3" s="132"/>
      <c r="BR3" s="127">
        <f t="shared" ref="BR3:BR11" ca="1" si="12">IF(BN3&lt;&gt;"",IF(BO3&lt;&gt;"",INT((TODAY()-BO3)/365),"?"),"")</f>
        <v>47</v>
      </c>
      <c r="BS3" s="419"/>
      <c r="BT3" s="104" t="s">
        <v>1057</v>
      </c>
      <c r="BU3" s="103">
        <v>27</v>
      </c>
      <c r="BV3" s="104" t="str">
        <f t="shared" ref="BV3:BV31" si="13">IFERROR(RIGHT(BT3,LEN(BT3)-SEARCH(" ",BT3)),"")</f>
        <v>Marek Beneš</v>
      </c>
      <c r="BW3" s="102">
        <f t="shared" ref="BW3:BW31" si="14">IF(BT3&lt;&gt;0,_xlfn.NUMBERVALUE(BU3,","),"")</f>
        <v>27</v>
      </c>
      <c r="BX3" s="418"/>
      <c r="BY3" s="103" t="s">
        <v>1343</v>
      </c>
      <c r="BZ3" s="103" t="s">
        <v>829</v>
      </c>
      <c r="CA3" s="115" t="s">
        <v>1452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417</v>
      </c>
      <c r="T4" s="102" t="s">
        <v>107</v>
      </c>
      <c r="U4" s="102">
        <v>13</v>
      </c>
      <c r="V4" s="102">
        <v>7</v>
      </c>
      <c r="W4" s="102">
        <v>3</v>
      </c>
      <c r="X4" s="102">
        <v>0</v>
      </c>
      <c r="Y4" s="102">
        <v>14</v>
      </c>
      <c r="Z4" s="102">
        <v>21</v>
      </c>
      <c r="AA4" s="102">
        <v>2</v>
      </c>
      <c r="AB4" s="102">
        <v>4</v>
      </c>
      <c r="AC4" s="102" t="str">
        <f t="shared" ca="1" si="0"/>
        <v>ANO</v>
      </c>
      <c r="AG4" s="121" t="s">
        <v>431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13 OZ, 15 (10+5), +15 ±</v>
      </c>
      <c r="AY4" s="129" t="str">
        <f t="shared" ca="1" si="2"/>
        <v>37 OZ, 60 (32+28)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460</v>
      </c>
      <c r="BO4" s="122"/>
      <c r="BP4" s="131" t="s">
        <v>176</v>
      </c>
      <c r="BQ4" s="132"/>
      <c r="BR4" s="127" t="str">
        <f t="shared" ca="1" si="12"/>
        <v>?</v>
      </c>
      <c r="BS4" s="419"/>
      <c r="BT4" s="104" t="s">
        <v>874</v>
      </c>
      <c r="BU4" s="103">
        <v>21</v>
      </c>
      <c r="BV4" s="104" t="str">
        <f t="shared" si="13"/>
        <v>Martin Šindelář</v>
      </c>
      <c r="BW4" s="102">
        <f t="shared" si="14"/>
        <v>21</v>
      </c>
      <c r="BX4" s="418"/>
      <c r="BY4" s="103" t="s">
        <v>841</v>
      </c>
      <c r="BZ4" s="103" t="s">
        <v>830</v>
      </c>
      <c r="CA4" s="115" t="s">
        <v>1217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418</v>
      </c>
      <c r="U5" s="102">
        <v>13</v>
      </c>
      <c r="V5" s="102">
        <v>10</v>
      </c>
      <c r="W5" s="102">
        <v>5</v>
      </c>
      <c r="X5" s="102">
        <v>0</v>
      </c>
      <c r="Y5" s="102">
        <v>9</v>
      </c>
      <c r="Z5" s="102">
        <v>19</v>
      </c>
      <c r="AA5" s="102">
        <v>4</v>
      </c>
      <c r="AB5" s="102">
        <v>24</v>
      </c>
      <c r="AC5" s="102" t="str">
        <f t="shared" ca="1" si="0"/>
        <v>ANO</v>
      </c>
      <c r="AG5" s="121" t="s">
        <v>437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449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461</v>
      </c>
      <c r="BO5" s="122"/>
      <c r="BP5" s="131" t="s">
        <v>239</v>
      </c>
      <c r="BQ5" s="132"/>
      <c r="BR5" s="127" t="str">
        <f t="shared" ca="1" si="12"/>
        <v>?</v>
      </c>
      <c r="BS5" s="419"/>
      <c r="BT5" s="104" t="s">
        <v>875</v>
      </c>
      <c r="BU5" s="103">
        <v>19</v>
      </c>
      <c r="BV5" s="104" t="str">
        <f t="shared" si="13"/>
        <v>Ondřej Němeček</v>
      </c>
      <c r="BW5" s="102">
        <f t="shared" si="14"/>
        <v>19</v>
      </c>
      <c r="BX5" s="418"/>
      <c r="BY5" s="103" t="s">
        <v>822</v>
      </c>
      <c r="BZ5" s="103" t="s">
        <v>831</v>
      </c>
      <c r="CA5" s="115" t="s">
        <v>760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431</v>
      </c>
      <c r="U6" s="102">
        <v>13</v>
      </c>
      <c r="V6" s="102">
        <v>10</v>
      </c>
      <c r="W6" s="102">
        <v>1</v>
      </c>
      <c r="X6" s="102">
        <v>1</v>
      </c>
      <c r="Y6" s="102">
        <v>5</v>
      </c>
      <c r="Z6" s="102">
        <v>15</v>
      </c>
      <c r="AA6" s="102">
        <v>6</v>
      </c>
      <c r="AB6" s="102">
        <v>15</v>
      </c>
      <c r="AC6" s="102" t="str">
        <f t="shared" ca="1" si="0"/>
        <v>ANO</v>
      </c>
      <c r="AG6" s="121" t="s">
        <v>438</v>
      </c>
      <c r="AH6" s="122"/>
      <c r="AI6" s="123"/>
      <c r="AJ6" s="123"/>
      <c r="AK6" s="123"/>
      <c r="AL6" s="124">
        <f>IF(AG6&lt;&gt;"",AJ6+AK6,"")</f>
        <v>0</v>
      </c>
      <c r="AM6" s="123" t="s">
        <v>281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462</v>
      </c>
      <c r="BO6" s="122"/>
      <c r="BP6" s="131" t="s">
        <v>175</v>
      </c>
      <c r="BQ6" s="132"/>
      <c r="BR6" s="127" t="str">
        <f t="shared" ca="1" si="12"/>
        <v>?</v>
      </c>
      <c r="BS6" s="419"/>
      <c r="BT6" s="104" t="s">
        <v>1454</v>
      </c>
      <c r="BU6" s="103">
        <v>15</v>
      </c>
      <c r="BV6" s="104" t="str">
        <f t="shared" si="13"/>
        <v>Matěj Havlas</v>
      </c>
      <c r="BW6" s="102">
        <f t="shared" si="14"/>
        <v>15</v>
      </c>
      <c r="BX6" s="418"/>
      <c r="BY6" s="103" t="s">
        <v>820</v>
      </c>
      <c r="BZ6" s="103" t="s">
        <v>838</v>
      </c>
      <c r="CA6" s="115" t="s">
        <v>775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425</v>
      </c>
      <c r="U7" s="102">
        <v>13</v>
      </c>
      <c r="V7" s="102">
        <v>8</v>
      </c>
      <c r="W7" s="102">
        <v>0</v>
      </c>
      <c r="X7" s="102">
        <v>1</v>
      </c>
      <c r="Y7" s="102">
        <v>7</v>
      </c>
      <c r="Z7" s="102">
        <v>15</v>
      </c>
      <c r="AA7" s="102">
        <v>16</v>
      </c>
      <c r="AB7" s="102">
        <v>13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464</v>
      </c>
      <c r="BU7" s="103" t="s">
        <v>1455</v>
      </c>
      <c r="BV7" s="104" t="str">
        <f t="shared" si="13"/>
        <v>Lukáš Kříž</v>
      </c>
      <c r="BW7" s="112">
        <f t="shared" si="14"/>
        <v>3.68</v>
      </c>
      <c r="BX7" s="418" t="s">
        <v>193</v>
      </c>
      <c r="BY7" s="103" t="s">
        <v>1099</v>
      </c>
      <c r="BZ7" s="103" t="s">
        <v>848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88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423</v>
      </c>
      <c r="T8" s="102" t="s">
        <v>107</v>
      </c>
      <c r="U8" s="102">
        <v>13</v>
      </c>
      <c r="V8" s="102">
        <v>6</v>
      </c>
      <c r="W8" s="102">
        <v>0</v>
      </c>
      <c r="X8" s="102">
        <v>0</v>
      </c>
      <c r="Y8" s="102">
        <v>9</v>
      </c>
      <c r="Z8" s="102">
        <v>15</v>
      </c>
      <c r="AA8" s="102">
        <v>2</v>
      </c>
      <c r="AB8" s="102">
        <v>18</v>
      </c>
      <c r="AC8" s="102" t="str">
        <f t="shared" ca="1" si="0"/>
        <v>ANO</v>
      </c>
      <c r="AG8" s="121" t="s">
        <v>423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13 OZ, 15 (6+9), +18 ±</v>
      </c>
      <c r="AY8" s="129" t="str">
        <f t="shared" ca="1" si="2"/>
        <v>133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465</v>
      </c>
      <c r="BU8" s="103" t="s">
        <v>1218</v>
      </c>
      <c r="BV8" s="104" t="str">
        <f t="shared" si="13"/>
        <v>Jan Buzík</v>
      </c>
      <c r="BW8" s="112">
        <f t="shared" si="14"/>
        <v>1.5</v>
      </c>
      <c r="BX8" s="418"/>
      <c r="BY8" s="103" t="s">
        <v>1100</v>
      </c>
      <c r="BZ8" s="103" t="s">
        <v>817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421</v>
      </c>
      <c r="T9" s="102" t="s">
        <v>107</v>
      </c>
      <c r="U9" s="102">
        <v>9</v>
      </c>
      <c r="V9" s="102">
        <v>6</v>
      </c>
      <c r="W9" s="102">
        <v>3</v>
      </c>
      <c r="X9" s="102">
        <v>0</v>
      </c>
      <c r="Y9" s="102">
        <v>4</v>
      </c>
      <c r="Z9" s="102">
        <v>10</v>
      </c>
      <c r="AA9" s="102">
        <v>2</v>
      </c>
      <c r="AB9" s="102">
        <v>8</v>
      </c>
      <c r="AC9" s="102" t="str">
        <f t="shared" ca="1" si="0"/>
        <v>ANO</v>
      </c>
      <c r="AG9" s="121" t="s">
        <v>439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1219</v>
      </c>
      <c r="BU9" s="103" t="s">
        <v>1220</v>
      </c>
      <c r="BV9" s="104" t="str">
        <f t="shared" si="13"/>
        <v>Tomáš Jurco</v>
      </c>
      <c r="BW9" s="112">
        <f t="shared" si="14"/>
        <v>3.59</v>
      </c>
      <c r="BX9" s="418"/>
      <c r="BY9" s="103" t="s">
        <v>1111</v>
      </c>
      <c r="BZ9" s="103" t="s">
        <v>815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419</v>
      </c>
      <c r="U10" s="102">
        <v>13</v>
      </c>
      <c r="V10" s="102">
        <v>6</v>
      </c>
      <c r="W10" s="102">
        <v>0</v>
      </c>
      <c r="X10" s="102">
        <v>0</v>
      </c>
      <c r="Y10" s="102">
        <v>4</v>
      </c>
      <c r="Z10" s="102">
        <v>10</v>
      </c>
      <c r="AA10" s="102">
        <v>4</v>
      </c>
      <c r="AB10" s="102">
        <v>-3</v>
      </c>
      <c r="AC10" s="102" t="str">
        <f t="shared" ca="1" si="0"/>
        <v>ANO</v>
      </c>
      <c r="AG10" s="121" t="s">
        <v>419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450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13 OZ, 10 (6+4), -3 ±</v>
      </c>
      <c r="AY10" s="129" t="str">
        <f t="shared" ca="1" si="2"/>
        <v>81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V10" s="104" t="str">
        <f t="shared" si="13"/>
        <v/>
      </c>
      <c r="BW10" s="112" t="str">
        <f t="shared" si="14"/>
        <v/>
      </c>
      <c r="BX10" s="418"/>
      <c r="BY10" s="103" t="s">
        <v>1308</v>
      </c>
      <c r="BZ10" s="103" t="s">
        <v>814</v>
      </c>
      <c r="CA10" s="115" t="s">
        <v>188</v>
      </c>
    </row>
    <row r="11" spans="1:79" ht="15" customHeight="1" thickTop="1" thickBot="1" x14ac:dyDescent="0.25">
      <c r="R11" s="13"/>
      <c r="S11" s="110" t="s">
        <v>435</v>
      </c>
      <c r="T11" s="102" t="s">
        <v>58</v>
      </c>
      <c r="U11" s="102">
        <v>13</v>
      </c>
      <c r="V11" s="102">
        <v>5</v>
      </c>
      <c r="W11" s="102">
        <v>0</v>
      </c>
      <c r="X11" s="102">
        <v>0</v>
      </c>
      <c r="Y11" s="102">
        <v>2</v>
      </c>
      <c r="Z11" s="102">
        <v>7</v>
      </c>
      <c r="AA11" s="102">
        <v>2</v>
      </c>
      <c r="AB11" s="102">
        <v>14</v>
      </c>
      <c r="AC11" s="102" t="str">
        <f t="shared" ca="1" si="0"/>
        <v>ANO</v>
      </c>
      <c r="AG11" s="121" t="s">
        <v>424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451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11 V, 0 P</v>
      </c>
      <c r="AY11" s="129" t="str">
        <f t="shared" ca="1" si="2"/>
        <v>47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V11" s="104" t="str">
        <f t="shared" si="13"/>
        <v/>
      </c>
      <c r="BW11" s="112" t="str">
        <f t="shared" si="14"/>
        <v/>
      </c>
      <c r="BX11" s="418"/>
      <c r="BY11" s="103" t="s">
        <v>1344</v>
      </c>
      <c r="BZ11" s="103" t="s">
        <v>813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434</v>
      </c>
      <c r="U12" s="102">
        <v>12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4</v>
      </c>
      <c r="AB12" s="102">
        <v>-5</v>
      </c>
      <c r="AC12" s="102" t="str">
        <f t="shared" ca="1" si="0"/>
        <v>NE</v>
      </c>
      <c r="AG12" s="121" t="s">
        <v>440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1056</v>
      </c>
      <c r="BU12" s="103">
        <v>16</v>
      </c>
      <c r="BV12" s="104" t="str">
        <f t="shared" si="13"/>
        <v>David Šimek</v>
      </c>
      <c r="BW12" s="102">
        <f t="shared" si="14"/>
        <v>16</v>
      </c>
      <c r="BX12" s="120" t="s">
        <v>191</v>
      </c>
      <c r="BY12" s="100" t="s">
        <v>1453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426</v>
      </c>
      <c r="U13" s="102">
        <v>10</v>
      </c>
      <c r="V13" s="102">
        <v>3</v>
      </c>
      <c r="W13" s="102">
        <v>0</v>
      </c>
      <c r="X13" s="102">
        <v>0</v>
      </c>
      <c r="Y13" s="102">
        <v>1</v>
      </c>
      <c r="Z13" s="102">
        <v>4</v>
      </c>
      <c r="AA13" s="102">
        <v>2</v>
      </c>
      <c r="AB13" s="102">
        <v>13</v>
      </c>
      <c r="AC13" s="102" t="str">
        <f t="shared" ca="1" si="0"/>
        <v>ANO</v>
      </c>
      <c r="AG13" s="121" t="s">
        <v>421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9 OZ, 10 (6+4), +8 ±</v>
      </c>
      <c r="AY13" s="129" t="str">
        <f t="shared" ca="1" si="2"/>
        <v>147 OZ, 177 (94+83)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1057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422</v>
      </c>
      <c r="T14" s="102" t="s">
        <v>58</v>
      </c>
      <c r="U14" s="102">
        <v>10</v>
      </c>
      <c r="V14" s="102">
        <v>1</v>
      </c>
      <c r="W14" s="102">
        <v>0</v>
      </c>
      <c r="X14" s="102">
        <v>1</v>
      </c>
      <c r="Y14" s="102">
        <v>3</v>
      </c>
      <c r="Z14" s="102">
        <v>4</v>
      </c>
      <c r="AA14" s="102">
        <v>0</v>
      </c>
      <c r="AB14" s="102">
        <v>11</v>
      </c>
      <c r="AC14" s="102" t="str">
        <f t="shared" ca="1" si="0"/>
        <v>ANO</v>
      </c>
      <c r="AG14" s="121" t="s">
        <v>427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448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13 OZ, 2 (1+1), +10 ±</v>
      </c>
      <c r="AY14" s="129" t="str">
        <f t="shared" ca="1" si="2"/>
        <v>140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1221</v>
      </c>
      <c r="BU14" s="103">
        <v>10</v>
      </c>
      <c r="BV14" s="104" t="str">
        <f t="shared" si="13"/>
        <v>Matěj Havlas</v>
      </c>
      <c r="BW14" s="102">
        <f t="shared" si="14"/>
        <v>10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776</v>
      </c>
      <c r="U15" s="102">
        <v>10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4</v>
      </c>
      <c r="AC15" s="102" t="str">
        <f t="shared" ca="1" si="0"/>
        <v>NE</v>
      </c>
      <c r="AG15" s="121" t="s">
        <v>441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875</v>
      </c>
      <c r="BU15" s="103">
        <v>10</v>
      </c>
      <c r="BV15" s="104" t="str">
        <f t="shared" si="13"/>
        <v>Ondřej Němeček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427</v>
      </c>
      <c r="T16" s="102" t="s">
        <v>58</v>
      </c>
      <c r="U16" s="102">
        <v>13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10</v>
      </c>
      <c r="AC16" s="102" t="str">
        <f t="shared" ca="1" si="0"/>
        <v>ANO</v>
      </c>
      <c r="AG16" s="121" t="s">
        <v>418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13 OZ, 19 (10+9), +24 ±</v>
      </c>
      <c r="AY16" s="129" t="str">
        <f t="shared" ca="1" si="2"/>
        <v>86 OZ, 102 (44+58)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1222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1215</v>
      </c>
      <c r="U17" s="102">
        <v>6</v>
      </c>
      <c r="V17" s="102">
        <v>0</v>
      </c>
      <c r="W17" s="102">
        <v>0</v>
      </c>
      <c r="X17" s="102">
        <v>0</v>
      </c>
      <c r="Y17" s="102">
        <v>2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403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452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464</v>
      </c>
      <c r="BU17" s="103">
        <v>11</v>
      </c>
      <c r="BV17" s="104" t="str">
        <f t="shared" si="13"/>
        <v>Lukáš Kříž</v>
      </c>
      <c r="BW17" s="102">
        <f t="shared" si="14"/>
        <v>11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430</v>
      </c>
      <c r="U18" s="102">
        <v>6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422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291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465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TAT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429</v>
      </c>
      <c r="T19" s="102" t="s">
        <v>107</v>
      </c>
      <c r="U19" s="102">
        <v>10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5</v>
      </c>
      <c r="AC19" s="102" t="str">
        <f t="shared" ca="1" si="0"/>
        <v>NE</v>
      </c>
      <c r="AG19" s="121" t="s">
        <v>442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1219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426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10 OZ, 4 (3+1), +13 ±</v>
      </c>
      <c r="AY20" s="129" t="str">
        <f t="shared" ca="1" si="2"/>
        <v>26 OZ, 10 (9+1)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878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443</v>
      </c>
      <c r="AH21" s="122"/>
      <c r="AI21" s="123"/>
      <c r="AJ21" s="123"/>
      <c r="AK21" s="123"/>
      <c r="AL21" s="124">
        <f>IF(AG21&lt;&gt;"",AJ21+AK21,"")</f>
        <v>0</v>
      </c>
      <c r="AM21" s="123" t="s">
        <v>281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879</v>
      </c>
      <c r="T22" s="102" t="s">
        <v>107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444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463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877</v>
      </c>
      <c r="T23" s="102" t="s">
        <v>107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430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1456</v>
      </c>
      <c r="BU23" s="103">
        <v>14</v>
      </c>
      <c r="BV23" s="104" t="str">
        <f t="shared" si="13"/>
        <v>Martin Šindelář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0" t="s">
        <v>437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433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453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105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1457</v>
      </c>
      <c r="BU24" s="103">
        <v>11</v>
      </c>
      <c r="BV24" s="104" t="str">
        <f t="shared" si="13"/>
        <v>David Šimek</v>
      </c>
      <c r="BW24" s="102">
        <f t="shared" si="14"/>
        <v>11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0" t="s">
        <v>1216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2</v>
      </c>
      <c r="AC25" s="102" t="str">
        <f t="shared" ca="1" si="0"/>
        <v>NE</v>
      </c>
      <c r="AG25" s="121" t="s">
        <v>417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291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13 OZ, 21 (7+14), +4 ±</v>
      </c>
      <c r="AY25" s="129" t="str">
        <f t="shared" ca="1" si="16"/>
        <v>113 OZ, 154 (77+77)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873</v>
      </c>
      <c r="BU25" s="103">
        <v>9</v>
      </c>
      <c r="BV25" s="104" t="str">
        <f t="shared" si="13"/>
        <v>Jakub Kolísko</v>
      </c>
      <c r="BW25" s="102">
        <f t="shared" si="14"/>
        <v>9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432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</v>
      </c>
      <c r="AC26" s="102" t="str">
        <f t="shared" ca="1" si="0"/>
        <v>ANO</v>
      </c>
      <c r="AG26" s="121" t="s">
        <v>445</v>
      </c>
      <c r="AH26" s="122"/>
      <c r="AI26" s="123"/>
      <c r="AJ26" s="123"/>
      <c r="AK26" s="123"/>
      <c r="AL26" s="124">
        <f>IF(AG26&lt;&gt;"",AJ26+AK26,"")</f>
        <v>0</v>
      </c>
      <c r="AM26" s="123" t="s">
        <v>281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876</v>
      </c>
      <c r="BU26" s="103">
        <v>9</v>
      </c>
      <c r="BV26" s="104" t="str">
        <f t="shared" si="13"/>
        <v>Ondřej Němeček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0" t="s">
        <v>428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NE</v>
      </c>
      <c r="AG27" s="121" t="s">
        <v>432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454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7 OZ, 0 (0+0), -1 ±</v>
      </c>
      <c r="AY27" s="129" t="str">
        <f t="shared" ca="1" si="16"/>
        <v>61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1458</v>
      </c>
      <c r="BU27" s="103">
        <v>16</v>
      </c>
      <c r="BV27" s="104" t="str">
        <f t="shared" si="13"/>
        <v>Petr Brautferger</v>
      </c>
      <c r="BW27" s="102">
        <f t="shared" si="14"/>
        <v>16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433</v>
      </c>
      <c r="T28" s="102" t="s">
        <v>58</v>
      </c>
      <c r="U28" s="102">
        <v>13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-7</v>
      </c>
      <c r="AC28" s="102" t="str">
        <f t="shared" ca="1" si="0"/>
        <v>ANO</v>
      </c>
      <c r="AG28" s="121" t="s">
        <v>435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455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13 OZ, 7 (5+2), +14 ±</v>
      </c>
      <c r="AY28" s="129" t="str">
        <f t="shared" ca="1" si="16"/>
        <v>132 OZ, 64 (30+34)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1459</v>
      </c>
      <c r="BU28" s="103">
        <v>6</v>
      </c>
      <c r="BV28" s="104" t="str">
        <f t="shared" si="13"/>
        <v>Matěj Havlas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0" t="s">
        <v>424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446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281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9"/>
      <c r="BT29" s="104" t="s">
        <v>1460</v>
      </c>
      <c r="BU29" s="103">
        <v>4</v>
      </c>
      <c r="BV29" s="104" t="str">
        <f t="shared" si="13"/>
        <v>Jonáš Kreysa</v>
      </c>
      <c r="BW29" s="102">
        <f t="shared" si="14"/>
        <v>4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TAT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 t="s">
        <v>447</v>
      </c>
      <c r="AH30" s="122"/>
      <c r="AI30" s="123"/>
      <c r="AJ30" s="123"/>
      <c r="AK30" s="123"/>
      <c r="AL30" s="124">
        <f>IF(AG30&lt;&gt;"",AJ30+AK30,"")</f>
        <v>0</v>
      </c>
      <c r="AM30" s="123" t="s">
        <v>281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9"/>
      <c r="BT30" s="104" t="s">
        <v>1461</v>
      </c>
      <c r="BU30" s="103">
        <v>4</v>
      </c>
      <c r="BV30" s="104" t="str">
        <f t="shared" si="13"/>
        <v>Marek Beneš</v>
      </c>
      <c r="BW30" s="102">
        <f t="shared" si="14"/>
        <v>4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456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9"/>
      <c r="BT31" s="104" t="s">
        <v>1462</v>
      </c>
      <c r="BU31" s="103">
        <v>4</v>
      </c>
      <c r="BV31" s="104" t="str">
        <f t="shared" si="13"/>
        <v>Martin Čermák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424</v>
      </c>
      <c r="T45" s="102">
        <v>11</v>
      </c>
      <c r="U45" s="112">
        <v>619.91999999999996</v>
      </c>
      <c r="V45" s="102">
        <v>11</v>
      </c>
      <c r="W45" s="102">
        <v>38</v>
      </c>
      <c r="X45" s="102">
        <v>0</v>
      </c>
      <c r="Y45" s="102">
        <v>221</v>
      </c>
      <c r="Z45" s="102">
        <v>0</v>
      </c>
      <c r="AA45" s="102">
        <v>0</v>
      </c>
      <c r="AB45" s="102">
        <v>183</v>
      </c>
      <c r="AC45" s="102">
        <v>0</v>
      </c>
      <c r="AD45" s="102">
        <v>0</v>
      </c>
      <c r="AE45" s="112">
        <f>IF(S45&lt;&gt;"",IF(T45&gt;0,W45/(U45/60),0),"")</f>
        <v>3.6778939217963611</v>
      </c>
      <c r="AF45" s="112">
        <f>IF(S45&lt;&gt;"",IF(Y45&gt;0,(AB45/Y45)*100,"-"),"")</f>
        <v>82.805429864253384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428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437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32</v>
      </c>
      <c r="Z47" s="102">
        <v>0</v>
      </c>
      <c r="AA47" s="102">
        <v>1</v>
      </c>
      <c r="AB47" s="102">
        <v>25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78.125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V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31"/>
      <c r="B1" s="432"/>
      <c r="C1" s="432"/>
      <c r="D1" s="43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5" t="s">
        <v>1</v>
      </c>
      <c r="I1" s="465"/>
      <c r="J1" s="465"/>
      <c r="K1" s="465"/>
      <c r="M1" s="431"/>
      <c r="N1" s="432"/>
      <c r="O1" s="432"/>
      <c r="P1" s="43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4" t="str">
        <f ca="1">IFERROR(IF(VLOOKUP(A1,OFFSET($AG$2,,,COUNTIF($AG$2:$AG$50,"?*"),23),2,FALSE)&lt;&gt;0,YEAR(VLOOKUP(A1,OFFSET($AG$2,,,COUNTIF($AG$2:$AG$50,"?*"),23),2,FALSE)),""),"")</f>
        <v/>
      </c>
      <c r="C2" s="425"/>
      <c r="D2" s="117" t="str">
        <f ca="1">IFERROR(VLOOKUP(A1,OFFSET($AG$2,,,COUNTIF($AG$2:$AG$50,"?*"),23),15,FALSE),"")</f>
        <v/>
      </c>
      <c r="E2" s="426" t="str">
        <f ca="1">IFERROR(VLOOKUP(A1,OFFSET($AG$2,,,COUNTIF($AG$2:$AG$50,"?*"),23),16,FALSE),"")</f>
        <v/>
      </c>
      <c r="F2" s="427"/>
      <c r="M2" s="4" t="str">
        <f ca="1">IFERROR(IF(VLOOKUP(M1,OFFSET($AG$2,,,COUNTIF($AG$2:$AG$50,"?*"),23),10,FALSE)&lt;&gt;0,VLOOKUP(M1,OFFSET($AG$2,,,COUNTIF($AG$2:$AG$50,"?*"),23),10,FALSE),""),"")</f>
        <v/>
      </c>
      <c r="N2" s="424" t="str">
        <f ca="1">IFERROR(IF(VLOOKUP(M1,OFFSET($AG$2,,,COUNTIF($AG$2:$AG$50,"?*"),23),2,FALSE)&lt;&gt;0,YEAR(VLOOKUP(M1,OFFSET($AG$2,,,COUNTIF($AG$2:$AG$50,"?*"),23),2,FALSE)),""),"")</f>
        <v/>
      </c>
      <c r="O2" s="425"/>
      <c r="P2" s="117" t="str">
        <f ca="1">IFERROR(VLOOKUP(M1,OFFSET($AG$2,,,COUNTIF($AG$2:$AG$50,"?*"),23),15,FALSE),"")</f>
        <v/>
      </c>
      <c r="Q2" s="426" t="str">
        <f ca="1">IFERROR(VLOOKUP(M1,OFFSET($AG$2,,,COUNTIF($AG$2:$AG$50,"?*"),23),16,FALSE),"")</f>
        <v/>
      </c>
      <c r="R2" s="427"/>
      <c r="S2" s="110" t="s">
        <v>310</v>
      </c>
      <c r="T2" s="102" t="s">
        <v>107</v>
      </c>
      <c r="U2" s="102">
        <v>12</v>
      </c>
      <c r="V2" s="102">
        <v>20</v>
      </c>
      <c r="W2" s="102">
        <v>3</v>
      </c>
      <c r="X2" s="102">
        <v>0</v>
      </c>
      <c r="Y2" s="102">
        <v>11</v>
      </c>
      <c r="Z2" s="102">
        <v>31</v>
      </c>
      <c r="AA2" s="102">
        <v>2</v>
      </c>
      <c r="AB2" s="102">
        <v>25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14 (8+6), +22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139 OZ, 105 (46+59)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356</v>
      </c>
      <c r="BO2" s="122">
        <v>31830</v>
      </c>
      <c r="BP2" s="131" t="s">
        <v>236</v>
      </c>
      <c r="BQ2" s="132" t="s">
        <v>357</v>
      </c>
      <c r="BR2" s="127">
        <f ca="1">IF(BN2&lt;&gt;"",IF(BO2&lt;&gt;"",INT((TODAY()-BO2)/365),"?"),"")</f>
        <v>34</v>
      </c>
      <c r="BS2" s="419" t="s">
        <v>36</v>
      </c>
      <c r="BT2" s="104" t="s">
        <v>363</v>
      </c>
      <c r="BU2" s="103">
        <v>31</v>
      </c>
      <c r="BV2" s="104" t="str">
        <f>IFERROR(RIGHT(BT2,LEN(BT2)-SEARCH(" ",BT2)),"")</f>
        <v>Adam Delong</v>
      </c>
      <c r="BW2" s="102">
        <f>IF(BT2&lt;&gt;0,_xlfn.NUMBERVALUE(BU2,","),"")</f>
        <v>31</v>
      </c>
      <c r="BX2" s="418" t="s">
        <v>192</v>
      </c>
      <c r="BY2" s="103" t="s">
        <v>1021</v>
      </c>
      <c r="BZ2" s="103" t="s">
        <v>840</v>
      </c>
      <c r="CA2" s="115" t="s">
        <v>754</v>
      </c>
    </row>
    <row r="3" spans="1:79" ht="15" customHeight="1" thickTop="1" thickBot="1" x14ac:dyDescent="0.25">
      <c r="A3" s="460" t="str">
        <f ca="1">IFERROR(VLOOKUP(A1,OFFSET($AG$2,,,COUNTIF($AG$2:$AG$50,"?*"),23),18,FALSE),"")</f>
        <v/>
      </c>
      <c r="B3" s="461"/>
      <c r="C3" s="461"/>
      <c r="D3" s="462" t="str">
        <f ca="1">IFERROR(VLOOKUP(A1,OFFSET($AG$2,,,COUNTIF($AG$2:$AG$50,"?*"),23),19,FALSE),"")</f>
        <v/>
      </c>
      <c r="E3" s="462"/>
      <c r="F3" s="463"/>
      <c r="G3" s="431"/>
      <c r="H3" s="432"/>
      <c r="I3" s="432"/>
      <c r="J3" s="43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60" t="str">
        <f ca="1">IFERROR(VLOOKUP(M1,OFFSET($AG$2,,,COUNTIF($AG$2:$AG$50,"?*"),23),18,FALSE),"")</f>
        <v/>
      </c>
      <c r="N3" s="461"/>
      <c r="O3" s="461"/>
      <c r="P3" s="462" t="str">
        <f ca="1">IFERROR(VLOOKUP(M1,OFFSET($AG$2,,,COUNTIF($AG$2:$AG$50,"?*"),23),19,FALSE),"")</f>
        <v/>
      </c>
      <c r="Q3" s="462"/>
      <c r="R3" s="463"/>
      <c r="S3" s="110" t="s">
        <v>313</v>
      </c>
      <c r="T3" s="102" t="s">
        <v>107</v>
      </c>
      <c r="U3" s="102">
        <v>13</v>
      </c>
      <c r="V3" s="102">
        <v>11</v>
      </c>
      <c r="W3" s="102">
        <v>0</v>
      </c>
      <c r="X3" s="102">
        <v>0</v>
      </c>
      <c r="Y3" s="102">
        <v>15</v>
      </c>
      <c r="Z3" s="102">
        <v>26</v>
      </c>
      <c r="AA3" s="102">
        <v>0</v>
      </c>
      <c r="AB3" s="102">
        <v>23</v>
      </c>
      <c r="AC3" s="102" t="str">
        <f t="shared" ca="1" si="0"/>
        <v>ANO</v>
      </c>
      <c r="AG3" s="121" t="s">
        <v>317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13 OZ, 13 (11+2), +2 ±</v>
      </c>
      <c r="AY3" s="129" t="str">
        <f t="shared" ca="1" si="2"/>
        <v>183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358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19"/>
      <c r="BT3" s="104" t="s">
        <v>881</v>
      </c>
      <c r="BU3" s="103">
        <v>26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26</v>
      </c>
      <c r="BX3" s="418"/>
      <c r="BY3" s="103" t="s">
        <v>1343</v>
      </c>
      <c r="BZ3" s="103" t="s">
        <v>861</v>
      </c>
      <c r="CA3" s="115" t="s">
        <v>1020</v>
      </c>
    </row>
    <row r="4" spans="1:79" ht="15" customHeight="1" thickBot="1" x14ac:dyDescent="0.25">
      <c r="A4" s="448" t="str">
        <f ca="1">IFERROR(IF(VLOOKUP(A1,OFFSET($AG$2,,,COUNTIF($AG$2:$AG$50,"?*"),23),13,FALSE)&lt;&gt;0,VLOOKUP(A1,OFFSET($AG$2,,,COUNTIF($AG$2:$AG$50,"?*"),23),13,FALSE),"?"),"")</f>
        <v/>
      </c>
      <c r="B4" s="449"/>
      <c r="C4" s="450"/>
      <c r="D4" s="451" t="str">
        <f ca="1">IFERROR(IF(VLOOKUP(A1,OFFSET($AG$2,,,COUNTIF($AG$2:$AG$50,"?*"),23),14,FALSE)&lt;&gt;0,VLOOKUP(A1,OFFSET($AG$2,,,COUNTIF($AG$2:$AG$50,"?*"),23),14,FALSE),"?"),"")</f>
        <v/>
      </c>
      <c r="E4" s="452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4" t="str">
        <f ca="1">IFERROR(IF(VLOOKUP(G3,OFFSET($AG$2,,,COUNTIF($AG$2:$AG$50,"?*"),23),2,FALSE)&lt;&gt;0,YEAR(VLOOKUP(G3,OFFSET($AG$2,,,COUNTIF($AG$2:$AG$50,"?*"),23),2,FALSE)),""),"")</f>
        <v/>
      </c>
      <c r="I4" s="425"/>
      <c r="J4" s="117" t="str">
        <f ca="1">IFERROR(VLOOKUP(G3,OFFSET($AG$2,,,COUNTIF($AG$2:$AG$50,"?*"),23),15,FALSE),"")</f>
        <v/>
      </c>
      <c r="K4" s="426" t="str">
        <f ca="1">IFERROR(VLOOKUP(G3,OFFSET($AG$2,,,COUNTIF($AG$2:$AG$50,"?*"),23),16,FALSE),"")</f>
        <v/>
      </c>
      <c r="L4" s="427"/>
      <c r="M4" s="448" t="str">
        <f ca="1">IFERROR(IF(VLOOKUP(M1,OFFSET($AG$2,,,COUNTIF($AG$2:$AG$50,"?*"),23),13,FALSE)&lt;&gt;0,VLOOKUP(M1,OFFSET($AG$2,,,COUNTIF($AG$2:$AG$50,"?*"),23),13,FALSE),"?"),"")</f>
        <v/>
      </c>
      <c r="N4" s="449"/>
      <c r="O4" s="450"/>
      <c r="P4" s="451" t="str">
        <f ca="1">IFERROR(IF(VLOOKUP(M1,OFFSET($AG$2,,,COUNTIF($AG$2:$AG$50,"?*"),23),14,FALSE)&lt;&gt;0,VLOOKUP(M1,OFFSET($AG$2,,,COUNTIF($AG$2:$AG$50,"?*"),23),14,FALSE),"?"),"")</f>
        <v/>
      </c>
      <c r="Q4" s="452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311</v>
      </c>
      <c r="T4" s="102" t="s">
        <v>107</v>
      </c>
      <c r="U4" s="102">
        <v>13</v>
      </c>
      <c r="V4" s="102">
        <v>17</v>
      </c>
      <c r="W4" s="102">
        <v>1</v>
      </c>
      <c r="X4" s="102">
        <v>0</v>
      </c>
      <c r="Y4" s="102">
        <v>7</v>
      </c>
      <c r="Z4" s="102">
        <v>24</v>
      </c>
      <c r="AA4" s="102">
        <v>6</v>
      </c>
      <c r="AB4" s="102">
        <v>15</v>
      </c>
      <c r="AC4" s="102" t="str">
        <f t="shared" ca="1" si="0"/>
        <v>ANO</v>
      </c>
      <c r="AG4" s="121" t="s">
        <v>312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13 OZ, 7 (4+3), +1 ±</v>
      </c>
      <c r="AY4" s="129" t="str">
        <f t="shared" ca="1" si="2"/>
        <v>77 OZ, 47 (22+25)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359</v>
      </c>
      <c r="BO4" s="122">
        <v>35289</v>
      </c>
      <c r="BP4" s="131" t="s">
        <v>360</v>
      </c>
      <c r="BQ4" s="132"/>
      <c r="BR4" s="127">
        <f t="shared" ca="1" si="12"/>
        <v>25</v>
      </c>
      <c r="BS4" s="419"/>
      <c r="BT4" s="104" t="s">
        <v>805</v>
      </c>
      <c r="BU4" s="103">
        <v>24</v>
      </c>
      <c r="BV4" s="104" t="str">
        <f t="shared" si="13"/>
        <v>Rostislav Gattnar</v>
      </c>
      <c r="BW4" s="102">
        <f t="shared" si="14"/>
        <v>24</v>
      </c>
      <c r="BX4" s="418"/>
      <c r="BY4" s="103" t="s">
        <v>841</v>
      </c>
      <c r="BZ4" s="103" t="s">
        <v>837</v>
      </c>
      <c r="CA4" s="115" t="s">
        <v>530</v>
      </c>
    </row>
    <row r="5" spans="1:79" ht="15" customHeight="1" thickTop="1" thickBot="1" x14ac:dyDescent="0.25">
      <c r="A5" s="8"/>
      <c r="B5" s="8"/>
      <c r="C5" s="8"/>
      <c r="D5" s="8"/>
      <c r="G5" s="460" t="str">
        <f ca="1">IFERROR(VLOOKUP(G3,OFFSET($AG$2,,,COUNTIF($AG$2:$AG$50,"?*"),23),18,FALSE),"")</f>
        <v/>
      </c>
      <c r="H5" s="461"/>
      <c r="I5" s="461"/>
      <c r="J5" s="462" t="str">
        <f ca="1">IFERROR(VLOOKUP(G3,OFFSET($AG$2,,,COUNTIF($AG$2:$AG$50,"?*"),23),19,FALSE),"")</f>
        <v/>
      </c>
      <c r="K5" s="462"/>
      <c r="L5" s="463"/>
      <c r="S5" s="110" t="s">
        <v>314</v>
      </c>
      <c r="T5" s="102" t="s">
        <v>107</v>
      </c>
      <c r="U5" s="102">
        <v>10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12 OZ, 31 (20+11), +25 ±</v>
      </c>
      <c r="AY5" s="129" t="str">
        <f t="shared" ca="1" si="2"/>
        <v>153 OZ, 250 (142+108)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361</v>
      </c>
      <c r="BO5" s="122">
        <v>24331</v>
      </c>
      <c r="BP5" s="131" t="s">
        <v>360</v>
      </c>
      <c r="BQ5" s="132"/>
      <c r="BR5" s="127">
        <f t="shared" ca="1" si="12"/>
        <v>55</v>
      </c>
      <c r="BS5" s="419"/>
      <c r="BT5" s="104" t="s">
        <v>882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18"/>
      <c r="BY5" s="103" t="s">
        <v>822</v>
      </c>
      <c r="BZ5" s="103" t="s">
        <v>847</v>
      </c>
      <c r="CA5" s="115" t="s">
        <v>754</v>
      </c>
    </row>
    <row r="6" spans="1:79" ht="15" customHeight="1" thickTop="1" thickBot="1" x14ac:dyDescent="0.25">
      <c r="A6" s="431"/>
      <c r="B6" s="432"/>
      <c r="C6" s="432"/>
      <c r="D6" s="43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8" t="str">
        <f ca="1">IFERROR(IF(VLOOKUP(G3,OFFSET($AG$2,,,COUNTIF($AG$2:$AG$50,"?*"),23),13,FALSE)&lt;&gt;0,VLOOKUP(G3,OFFSET($AG$2,,,COUNTIF($AG$2:$AG$50,"?*"),23),13,FALSE),"?"),"")</f>
        <v/>
      </c>
      <c r="H6" s="449"/>
      <c r="I6" s="450"/>
      <c r="J6" s="451" t="str">
        <f ca="1">IFERROR(IF(VLOOKUP(G3,OFFSET($AG$2,,,COUNTIF($AG$2:$AG$50,"?*"),23),14,FALSE)&lt;&gt;0,VLOOKUP(G3,OFFSET($AG$2,,,COUNTIF($AG$2:$AG$50,"?*"),23),14,FALSE),"?"),"")</f>
        <v/>
      </c>
      <c r="K6" s="452"/>
      <c r="L6" s="7" t="str">
        <f ca="1">IFERROR(IF(VLOOKUP(G3,OFFSET($AG$2,,,COUNTIF($AG$2:$AG$50,"?*"),23),7,FALSE)&lt;&gt;0,VLOOKUP(G3,OFFSET($AG$2,,,COUNTIF($AG$2:$AG$50,"?*"),23),7,FALSE),"?"),"")</f>
        <v/>
      </c>
      <c r="M6" s="431"/>
      <c r="N6" s="432"/>
      <c r="O6" s="432"/>
      <c r="P6" s="43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327</v>
      </c>
      <c r="T6" s="102" t="s">
        <v>107</v>
      </c>
      <c r="U6" s="102">
        <v>12</v>
      </c>
      <c r="V6" s="102">
        <v>8</v>
      </c>
      <c r="W6" s="102">
        <v>0</v>
      </c>
      <c r="X6" s="102">
        <v>0</v>
      </c>
      <c r="Y6" s="102">
        <v>6</v>
      </c>
      <c r="Z6" s="102">
        <v>14</v>
      </c>
      <c r="AA6" s="102">
        <v>4</v>
      </c>
      <c r="AB6" s="102">
        <v>22</v>
      </c>
      <c r="AC6" s="102" t="str">
        <f t="shared" ca="1" si="0"/>
        <v>ANO</v>
      </c>
      <c r="AG6" s="121" t="s">
        <v>311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13 OZ, 24 (17+7), +15 ±</v>
      </c>
      <c r="AY6" s="129" t="str">
        <f t="shared" ca="1" si="2"/>
        <v>84 OZ, 97 (62+35)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362</v>
      </c>
      <c r="BO6" s="122">
        <v>31439</v>
      </c>
      <c r="BP6" s="131" t="s">
        <v>176</v>
      </c>
      <c r="BQ6" s="132"/>
      <c r="BR6" s="127">
        <f t="shared" ca="1" si="12"/>
        <v>35</v>
      </c>
      <c r="BS6" s="419"/>
      <c r="BT6" s="104" t="s">
        <v>1226</v>
      </c>
      <c r="BU6" s="103">
        <v>14</v>
      </c>
      <c r="BV6" s="104" t="str">
        <f t="shared" si="13"/>
        <v>Jiří Besta</v>
      </c>
      <c r="BW6" s="102">
        <f t="shared" si="14"/>
        <v>14</v>
      </c>
      <c r="BX6" s="418"/>
      <c r="BY6" s="103" t="s">
        <v>820</v>
      </c>
      <c r="BZ6" s="103" t="s">
        <v>848</v>
      </c>
      <c r="CA6" s="115" t="s">
        <v>858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4" t="str">
        <f ca="1">IFERROR(IF(VLOOKUP(A6,OFFSET($AG$2,,,COUNTIF($AG$2:$AG$50,"?*"),23),2,FALSE)&lt;&gt;0,YEAR(VLOOKUP(A6,OFFSET($AG$2,,,COUNTIF($AG$2:$AG$50,"?*"),23),2,FALSE)),""),"")</f>
        <v/>
      </c>
      <c r="C7" s="425"/>
      <c r="D7" s="117" t="str">
        <f ca="1">IFERROR(VLOOKUP(A6,OFFSET($AG$2,,,COUNTIF($AG$2:$AG$50,"?*"),23),15,FALSE),"")</f>
        <v/>
      </c>
      <c r="E7" s="426" t="str">
        <f ca="1">IFERROR(VLOOKUP(A6,OFFSET($AG$2,,,COUNTIF($AG$2:$AG$50,"?*"),23),16,FALSE),"")</f>
        <v/>
      </c>
      <c r="F7" s="427"/>
      <c r="M7" s="4" t="str">
        <f ca="1">IFERROR(IF(VLOOKUP(M6,OFFSET($AG$2,,,COUNTIF($AG$2:$AG$50,"?*"),23),10,FALSE)&lt;&gt;0,VLOOKUP(M6,OFFSET($AG$2,,,COUNTIF($AG$2:$AG$50,"?*"),23),10,FALSE),""),"")</f>
        <v/>
      </c>
      <c r="N7" s="424" t="str">
        <f ca="1">IFERROR(IF(VLOOKUP(M6,OFFSET($AG$2,,,COUNTIF($AG$2:$AG$50,"?*"),23),2,FALSE)&lt;&gt;0,YEAR(VLOOKUP(M6,OFFSET($AG$2,,,COUNTIF($AG$2:$AG$50,"?*"),23),2,FALSE)),""),"")</f>
        <v/>
      </c>
      <c r="O7" s="425"/>
      <c r="P7" s="117" t="str">
        <f ca="1">IFERROR(VLOOKUP(M6,OFFSET($AG$2,,,COUNTIF($AG$2:$AG$50,"?*"),23),15,FALSE),"")</f>
        <v/>
      </c>
      <c r="Q7" s="426" t="str">
        <f ca="1">IFERROR(VLOOKUP(M6,OFFSET($AG$2,,,COUNTIF($AG$2:$AG$50,"?*"),23),16,FALSE),"")</f>
        <v/>
      </c>
      <c r="R7" s="427"/>
      <c r="S7" s="110" t="s">
        <v>315</v>
      </c>
      <c r="T7" s="102" t="s">
        <v>107</v>
      </c>
      <c r="U7" s="102">
        <v>12</v>
      </c>
      <c r="V7" s="102">
        <v>5</v>
      </c>
      <c r="W7" s="102">
        <v>0</v>
      </c>
      <c r="X7" s="102">
        <v>0</v>
      </c>
      <c r="Y7" s="102">
        <v>9</v>
      </c>
      <c r="Z7" s="102">
        <v>14</v>
      </c>
      <c r="AA7" s="102">
        <v>0</v>
      </c>
      <c r="AB7" s="102">
        <v>7</v>
      </c>
      <c r="AC7" s="102" t="str">
        <f t="shared" ca="1" si="0"/>
        <v>NE</v>
      </c>
      <c r="AG7" s="121" t="s">
        <v>329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9" t="s">
        <v>40</v>
      </c>
      <c r="BT7" s="104" t="s">
        <v>364</v>
      </c>
      <c r="BU7" s="103" t="s">
        <v>1464</v>
      </c>
      <c r="BV7" s="104" t="str">
        <f t="shared" si="13"/>
        <v>Denis Jasiok</v>
      </c>
      <c r="BW7" s="112">
        <f t="shared" si="14"/>
        <v>4.16</v>
      </c>
      <c r="BX7" s="418" t="s">
        <v>193</v>
      </c>
      <c r="BY7" s="103" t="s">
        <v>1100</v>
      </c>
      <c r="BZ7" s="103" t="s">
        <v>819</v>
      </c>
      <c r="CA7" s="115" t="s">
        <v>188</v>
      </c>
    </row>
    <row r="8" spans="1:79" ht="15" customHeight="1" x14ac:dyDescent="0.2">
      <c r="A8" s="460" t="str">
        <f ca="1">IFERROR(VLOOKUP(A6,OFFSET($AG$2,,,COUNTIF($AG$2:$AG$50,"?*"),23),18,FALSE),"")</f>
        <v/>
      </c>
      <c r="B8" s="461"/>
      <c r="C8" s="461"/>
      <c r="D8" s="462" t="str">
        <f ca="1">IFERROR(VLOOKUP(A6,OFFSET($AG$2,,,COUNTIF($AG$2:$AG$50,"?*"),23),19,FALSE),"")</f>
        <v/>
      </c>
      <c r="E8" s="462"/>
      <c r="F8" s="463"/>
      <c r="H8" s="464" t="s">
        <v>90</v>
      </c>
      <c r="I8" s="464"/>
      <c r="J8" s="464"/>
      <c r="K8" s="464"/>
      <c r="M8" s="460" t="str">
        <f ca="1">IFERROR(VLOOKUP(M6,OFFSET($AG$2,,,COUNTIF($AG$2:$AG$50,"?*"),23),18,FALSE),"")</f>
        <v/>
      </c>
      <c r="N8" s="461"/>
      <c r="O8" s="461"/>
      <c r="P8" s="462" t="str">
        <f ca="1">IFERROR(VLOOKUP(M6,OFFSET($AG$2,,,COUNTIF($AG$2:$AG$50,"?*"),23),19,FALSE),"")</f>
        <v/>
      </c>
      <c r="Q8" s="462"/>
      <c r="R8" s="463"/>
      <c r="S8" s="110" t="s">
        <v>317</v>
      </c>
      <c r="T8" s="102" t="s">
        <v>107</v>
      </c>
      <c r="U8" s="102">
        <v>13</v>
      </c>
      <c r="V8" s="102">
        <v>11</v>
      </c>
      <c r="W8" s="102">
        <v>0</v>
      </c>
      <c r="X8" s="102">
        <v>0</v>
      </c>
      <c r="Y8" s="102">
        <v>2</v>
      </c>
      <c r="Z8" s="102">
        <v>13</v>
      </c>
      <c r="AA8" s="102">
        <v>4</v>
      </c>
      <c r="AB8" s="102">
        <v>2</v>
      </c>
      <c r="AC8" s="102" t="str">
        <f t="shared" ca="1" si="0"/>
        <v>ANO</v>
      </c>
      <c r="AG8" s="121" t="s">
        <v>320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10 OZ, 3 (1+2), +6 ±</v>
      </c>
      <c r="AY8" s="129" t="str">
        <f t="shared" ca="1" si="2"/>
        <v>61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9"/>
      <c r="BT8" s="104" t="s">
        <v>884</v>
      </c>
      <c r="BU8" s="103" t="s">
        <v>1465</v>
      </c>
      <c r="BV8" s="104" t="str">
        <f t="shared" si="13"/>
        <v>Lukáš Souček</v>
      </c>
      <c r="BW8" s="112">
        <f t="shared" si="14"/>
        <v>4.4000000000000004</v>
      </c>
      <c r="BX8" s="418"/>
      <c r="BY8" s="103" t="s">
        <v>1101</v>
      </c>
      <c r="BZ8" s="103" t="s">
        <v>851</v>
      </c>
      <c r="CA8" s="115" t="s">
        <v>188</v>
      </c>
    </row>
    <row r="9" spans="1:79" ht="15" customHeight="1" thickBot="1" x14ac:dyDescent="0.25">
      <c r="A9" s="448" t="str">
        <f ca="1">IFERROR(IF(VLOOKUP(A6,OFFSET($AG$2,,,COUNTIF($AG$2:$AG$50,"?*"),23),13,FALSE)&lt;&gt;0,VLOOKUP(A6,OFFSET($AG$2,,,COUNTIF($AG$2:$AG$50,"?*"),23),13,FALSE),"?"),"")</f>
        <v/>
      </c>
      <c r="B9" s="449"/>
      <c r="C9" s="450"/>
      <c r="D9" s="451" t="str">
        <f ca="1">IFERROR(IF(VLOOKUP(A6,OFFSET($AG$2,,,COUNTIF($AG$2:$AG$50,"?*"),23),14,FALSE)&lt;&gt;0,VLOOKUP(A6,OFFSET($AG$2,,,COUNTIF($AG$2:$AG$50,"?*"),23),14,FALSE),"?"),"")</f>
        <v/>
      </c>
      <c r="E9" s="452"/>
      <c r="F9" s="7" t="str">
        <f ca="1">IFERROR(IF(VLOOKUP(A6,OFFSET($AG$2,,,COUNTIF($AG$2:$AG$50,"?*"),23),7,FALSE)&lt;&gt;0,VLOOKUP(A6,OFFSET($AG$2,,,COUNTIF($AG$2:$AG$50,"?*"),23),7,FALSE),"?"),"")</f>
        <v/>
      </c>
      <c r="H9" s="464"/>
      <c r="I9" s="464"/>
      <c r="J9" s="464"/>
      <c r="K9" s="464"/>
      <c r="M9" s="448" t="str">
        <f ca="1">IFERROR(IF(VLOOKUP(M6,OFFSET($AG$2,,,COUNTIF($AG$2:$AG$50,"?*"),23),13,FALSE)&lt;&gt;0,VLOOKUP(M6,OFFSET($AG$2,,,COUNTIF($AG$2:$AG$50,"?*"),23),13,FALSE),"?"),"")</f>
        <v/>
      </c>
      <c r="N9" s="449"/>
      <c r="O9" s="450"/>
      <c r="P9" s="451" t="str">
        <f ca="1">IFERROR(IF(VLOOKUP(M6,OFFSET($AG$2,,,COUNTIF($AG$2:$AG$50,"?*"),23),14,FALSE)&lt;&gt;0,VLOOKUP(M6,OFFSET($AG$2,,,COUNTIF($AG$2:$AG$50,"?*"),23),14,FALSE),"?"),"")</f>
        <v/>
      </c>
      <c r="Q9" s="452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316</v>
      </c>
      <c r="U9" s="102">
        <v>13</v>
      </c>
      <c r="V9" s="102">
        <v>8</v>
      </c>
      <c r="W9" s="102">
        <v>0</v>
      </c>
      <c r="X9" s="102">
        <v>0</v>
      </c>
      <c r="Y9" s="102">
        <v>3</v>
      </c>
      <c r="Z9" s="102">
        <v>11</v>
      </c>
      <c r="AA9" s="102">
        <v>2</v>
      </c>
      <c r="AB9" s="102">
        <v>18</v>
      </c>
      <c r="AC9" s="102" t="str">
        <f t="shared" ca="1" si="0"/>
        <v>NE</v>
      </c>
      <c r="AG9" s="121" t="s">
        <v>318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10 OZ, 10 (5+5), +8 ±</v>
      </c>
      <c r="AY9" s="129" t="str">
        <f t="shared" ca="1" si="2"/>
        <v>200 OZ, 171 (82+89)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9"/>
      <c r="BT9" s="104" t="s">
        <v>885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18"/>
      <c r="BY9" s="103" t="s">
        <v>1150</v>
      </c>
      <c r="BZ9" s="103" t="s">
        <v>830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318</v>
      </c>
      <c r="T10" s="102" t="s">
        <v>58</v>
      </c>
      <c r="U10" s="102">
        <v>10</v>
      </c>
      <c r="V10" s="102">
        <v>5</v>
      </c>
      <c r="W10" s="102">
        <v>3</v>
      </c>
      <c r="X10" s="102">
        <v>0</v>
      </c>
      <c r="Y10" s="102">
        <v>5</v>
      </c>
      <c r="Z10" s="102">
        <v>10</v>
      </c>
      <c r="AA10" s="102">
        <v>0</v>
      </c>
      <c r="AB10" s="102">
        <v>8</v>
      </c>
      <c r="AC10" s="102" t="str">
        <f t="shared" ca="1" si="0"/>
        <v>ANO</v>
      </c>
      <c r="AG10" s="121" t="s">
        <v>330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286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9"/>
      <c r="BT10" s="104" t="s">
        <v>886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18"/>
      <c r="BY10" s="103" t="s">
        <v>1344</v>
      </c>
      <c r="BZ10" s="103" t="s">
        <v>829</v>
      </c>
      <c r="CA10" s="115" t="s">
        <v>188</v>
      </c>
    </row>
    <row r="11" spans="1:79" ht="15" customHeight="1" thickTop="1" thickBot="1" x14ac:dyDescent="0.25">
      <c r="R11" s="13"/>
      <c r="S11" s="110" t="s">
        <v>321</v>
      </c>
      <c r="U11" s="102">
        <v>13</v>
      </c>
      <c r="V11" s="102">
        <v>2</v>
      </c>
      <c r="W11" s="102">
        <v>1</v>
      </c>
      <c r="X11" s="102">
        <v>1</v>
      </c>
      <c r="Y11" s="102">
        <v>7</v>
      </c>
      <c r="Z11" s="102">
        <v>9</v>
      </c>
      <c r="AA11" s="102">
        <v>0</v>
      </c>
      <c r="AB11" s="102">
        <v>9</v>
      </c>
      <c r="AC11" s="102" t="str">
        <f t="shared" ca="1" si="0"/>
        <v>NE</v>
      </c>
      <c r="AG11" s="121" t="s">
        <v>331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9"/>
      <c r="BT11" s="104" t="s">
        <v>887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18"/>
      <c r="BY11" s="103" t="s">
        <v>1361</v>
      </c>
      <c r="BZ11" s="103" t="s">
        <v>828</v>
      </c>
      <c r="CA11" s="115" t="s">
        <v>188</v>
      </c>
    </row>
    <row r="12" spans="1:79" ht="15" customHeight="1" thickTop="1" thickBot="1" x14ac:dyDescent="0.25">
      <c r="A12" s="431"/>
      <c r="B12" s="432"/>
      <c r="C12" s="432"/>
      <c r="D12" s="43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5" t="s">
        <v>7</v>
      </c>
      <c r="I12" s="465"/>
      <c r="J12" s="465"/>
      <c r="K12" s="465"/>
      <c r="M12" s="431"/>
      <c r="N12" s="432"/>
      <c r="O12" s="432"/>
      <c r="P12" s="43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312</v>
      </c>
      <c r="T12" s="102" t="s">
        <v>107</v>
      </c>
      <c r="U12" s="102">
        <v>13</v>
      </c>
      <c r="V12" s="102">
        <v>4</v>
      </c>
      <c r="W12" s="102">
        <v>0</v>
      </c>
      <c r="X12" s="102">
        <v>0</v>
      </c>
      <c r="Y12" s="102">
        <v>3</v>
      </c>
      <c r="Z12" s="102">
        <v>7</v>
      </c>
      <c r="AA12" s="102">
        <v>2</v>
      </c>
      <c r="AB12" s="102">
        <v>1</v>
      </c>
      <c r="AC12" s="102" t="str">
        <f t="shared" ca="1" si="0"/>
        <v>ANO</v>
      </c>
      <c r="AG12" s="121" t="s">
        <v>324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6 V, 2 P</v>
      </c>
      <c r="AY12" s="129" t="str">
        <f t="shared" ca="1" si="2"/>
        <v>14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9" t="s">
        <v>37</v>
      </c>
      <c r="BT12" s="104" t="s">
        <v>363</v>
      </c>
      <c r="BU12" s="103">
        <v>20</v>
      </c>
      <c r="BV12" s="104" t="str">
        <f t="shared" si="13"/>
        <v>Adam Delong</v>
      </c>
      <c r="BW12" s="102">
        <f t="shared" si="14"/>
        <v>20</v>
      </c>
      <c r="BX12" s="120" t="s">
        <v>191</v>
      </c>
      <c r="BY12" s="100" t="s">
        <v>1463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4" t="str">
        <f ca="1">IFERROR(IF(VLOOKUP(A12,OFFSET($AG$2,,,COUNTIF($AG$2:$AG$50,"?*"),23),2,FALSE)&lt;&gt;0,YEAR(VLOOKUP(A12,OFFSET($AG$2,,,COUNTIF($AG$2:$AG$50,"?*"),23),2,FALSE)),""),"")</f>
        <v/>
      </c>
      <c r="C13" s="425"/>
      <c r="D13" s="117" t="str">
        <f ca="1">IFERROR(VLOOKUP(A12,OFFSET($AG$2,,,COUNTIF($AG$2:$AG$50,"?*"),23),15,FALSE),"")</f>
        <v/>
      </c>
      <c r="E13" s="426" t="str">
        <f ca="1">IFERROR(VLOOKUP(A12,OFFSET($AG$2,,,COUNTIF($AG$2:$AG$50,"?*"),23),16,FALSE),"")</f>
        <v/>
      </c>
      <c r="F13" s="427"/>
      <c r="M13" s="4" t="str">
        <f ca="1">IFERROR(IF(VLOOKUP(M12,OFFSET($AG$2,,,COUNTIF($AG$2:$AG$50,"?*"),23),10,FALSE)&lt;&gt;0,VLOOKUP(M12,OFFSET($AG$2,,,COUNTIF($AG$2:$AG$50,"?*"),23),10,FALSE),""),"")</f>
        <v/>
      </c>
      <c r="N13" s="424" t="str">
        <f ca="1">IFERROR(IF(VLOOKUP(M12,OFFSET($AG$2,,,COUNTIF($AG$2:$AG$50,"?*"),23),2,FALSE)&lt;&gt;0,YEAR(VLOOKUP(M12,OFFSET($AG$2,,,COUNTIF($AG$2:$AG$50,"?*"),23),2,FALSE)),""),"")</f>
        <v/>
      </c>
      <c r="O13" s="425"/>
      <c r="P13" s="117" t="str">
        <f ca="1">IFERROR(VLOOKUP(M12,OFFSET($AG$2,,,COUNTIF($AG$2:$AG$50,"?*"),23),15,FALSE),"")</f>
        <v/>
      </c>
      <c r="Q13" s="426" t="str">
        <f ca="1">IFERROR(VLOOKUP(M12,OFFSET($AG$2,,,COUNTIF($AG$2:$AG$50,"?*"),23),16,FALSE),"")</f>
        <v/>
      </c>
      <c r="R13" s="427"/>
      <c r="S13" s="110" t="s">
        <v>319</v>
      </c>
      <c r="T13" s="102" t="s">
        <v>107</v>
      </c>
      <c r="U13" s="102">
        <v>13</v>
      </c>
      <c r="V13" s="102">
        <v>2</v>
      </c>
      <c r="W13" s="102">
        <v>0</v>
      </c>
      <c r="X13" s="102">
        <v>0</v>
      </c>
      <c r="Y13" s="102">
        <v>4</v>
      </c>
      <c r="Z13" s="102">
        <v>6</v>
      </c>
      <c r="AA13" s="102">
        <v>0</v>
      </c>
      <c r="AB13" s="102">
        <v>14</v>
      </c>
      <c r="AC13" s="102" t="str">
        <f t="shared" ca="1" si="0"/>
        <v>ANO</v>
      </c>
      <c r="AG13" s="121" t="s">
        <v>332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9"/>
      <c r="BT13" s="104" t="s">
        <v>1224</v>
      </c>
      <c r="BU13" s="103">
        <v>17</v>
      </c>
      <c r="BV13" s="104" t="str">
        <f t="shared" si="13"/>
        <v>Rostislav Gattnar</v>
      </c>
      <c r="BW13" s="102">
        <f t="shared" si="14"/>
        <v>17</v>
      </c>
    </row>
    <row r="14" spans="1:79" ht="15" customHeight="1" thickTop="1" thickBot="1" x14ac:dyDescent="0.25">
      <c r="A14" s="460" t="str">
        <f ca="1">IFERROR(VLOOKUP(A12,OFFSET($AG$2,,,COUNTIF($AG$2:$AG$50,"?*"),23),18,FALSE),"")</f>
        <v/>
      </c>
      <c r="B14" s="461"/>
      <c r="C14" s="461"/>
      <c r="D14" s="462" t="str">
        <f ca="1">IFERROR(VLOOKUP(A12,OFFSET($AG$2,,,COUNTIF($AG$2:$AG$50,"?*"),23),19,FALSE),"")</f>
        <v/>
      </c>
      <c r="E14" s="462"/>
      <c r="F14" s="463"/>
      <c r="G14" s="431"/>
      <c r="H14" s="432"/>
      <c r="I14" s="432"/>
      <c r="J14" s="43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60" t="str">
        <f ca="1">IFERROR(VLOOKUP(M12,OFFSET($AG$2,,,COUNTIF($AG$2:$AG$50,"?*"),23),18,FALSE),"")</f>
        <v/>
      </c>
      <c r="N14" s="461"/>
      <c r="O14" s="461"/>
      <c r="P14" s="462" t="str">
        <f ca="1">IFERROR(VLOOKUP(M12,OFFSET($AG$2,,,COUNTIF($AG$2:$AG$50,"?*"),23),19,FALSE),"")</f>
        <v/>
      </c>
      <c r="Q14" s="462"/>
      <c r="R14" s="463"/>
      <c r="S14" s="110" t="s">
        <v>323</v>
      </c>
      <c r="T14" s="102" t="s">
        <v>58</v>
      </c>
      <c r="U14" s="102">
        <v>11</v>
      </c>
      <c r="V14" s="102">
        <v>2</v>
      </c>
      <c r="W14" s="102">
        <v>0</v>
      </c>
      <c r="X14" s="102">
        <v>0</v>
      </c>
      <c r="Y14" s="102">
        <v>3</v>
      </c>
      <c r="Z14" s="102">
        <v>5</v>
      </c>
      <c r="AA14" s="102">
        <v>0</v>
      </c>
      <c r="AB14" s="102">
        <v>11</v>
      </c>
      <c r="AC14" s="102" t="str">
        <f t="shared" ca="1" si="0"/>
        <v>ANO</v>
      </c>
      <c r="AG14" s="121" t="s">
        <v>328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348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13 OZ, 2 (0+2), -1 ±</v>
      </c>
      <c r="AY14" s="129" t="str">
        <f t="shared" ca="1" si="2"/>
        <v>32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9"/>
      <c r="BT14" s="104" t="s">
        <v>883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48" t="str">
        <f ca="1">IFERROR(IF(VLOOKUP(A12,OFFSET($AG$2,,,COUNTIF($AG$2:$AG$50,"?*"),23),13,FALSE)&lt;&gt;0,VLOOKUP(A12,OFFSET($AG$2,,,COUNTIF($AG$2:$AG$50,"?*"),23),13,FALSE),"?"),"")</f>
        <v/>
      </c>
      <c r="B15" s="449"/>
      <c r="C15" s="450"/>
      <c r="D15" s="451" t="str">
        <f ca="1">IFERROR(IF(VLOOKUP(A12,OFFSET($AG$2,,,COUNTIF($AG$2:$AG$50,"?*"),23),14,FALSE)&lt;&gt;0,VLOOKUP(A12,OFFSET($AG$2,,,COUNTIF($AG$2:$AG$50,"?*"),23),14,FALSE),"?"),"")</f>
        <v/>
      </c>
      <c r="E15" s="452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4" t="str">
        <f ca="1">IFERROR(IF(VLOOKUP(G14,OFFSET($AG$2,,,COUNTIF($AG$2:$AG$50,"?*"),23),2,FALSE)&lt;&gt;0,YEAR(VLOOKUP(G14,OFFSET($AG$2,,,COUNTIF($AG$2:$AG$50,"?*"),23),2,FALSE)),""),"")</f>
        <v/>
      </c>
      <c r="I15" s="425"/>
      <c r="J15" s="117" t="str">
        <f ca="1">IFERROR(VLOOKUP(G14,OFFSET($AG$2,,,COUNTIF($AG$2:$AG$50,"?*"),23),15,FALSE),"")</f>
        <v/>
      </c>
      <c r="K15" s="426" t="str">
        <f ca="1">IFERROR(VLOOKUP(G14,OFFSET($AG$2,,,COUNTIF($AG$2:$AG$50,"?*"),23),16,FALSE),"")</f>
        <v/>
      </c>
      <c r="L15" s="427"/>
      <c r="M15" s="448" t="str">
        <f ca="1">IFERROR(IF(VLOOKUP(M12,OFFSET($AG$2,,,COUNTIF($AG$2:$AG$50,"?*"),23),13,FALSE)&lt;&gt;0,VLOOKUP(M12,OFFSET($AG$2,,,COUNTIF($AG$2:$AG$50,"?*"),23),13,FALSE),"?"),"")</f>
        <v/>
      </c>
      <c r="N15" s="449"/>
      <c r="O15" s="450"/>
      <c r="P15" s="451" t="str">
        <f ca="1">IFERROR(IF(VLOOKUP(M12,OFFSET($AG$2,,,COUNTIF($AG$2:$AG$50,"?*"),23),14,FALSE)&lt;&gt;0,VLOOKUP(M12,OFFSET($AG$2,,,COUNTIF($AG$2:$AG$50,"?*"),23),14,FALSE),"?"),"")</f>
        <v/>
      </c>
      <c r="Q15" s="452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777</v>
      </c>
      <c r="U15" s="102">
        <v>12</v>
      </c>
      <c r="V15" s="102">
        <v>1</v>
      </c>
      <c r="W15" s="102">
        <v>0</v>
      </c>
      <c r="X15" s="102">
        <v>0</v>
      </c>
      <c r="Y15" s="102">
        <v>3</v>
      </c>
      <c r="Z15" s="102">
        <v>4</v>
      </c>
      <c r="AA15" s="102">
        <v>0</v>
      </c>
      <c r="AB15" s="102">
        <v>1</v>
      </c>
      <c r="AC15" s="102" t="str">
        <f t="shared" ca="1" si="0"/>
        <v>NE</v>
      </c>
      <c r="AG15" s="121" t="s">
        <v>333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349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9"/>
      <c r="BT15" s="104" t="s">
        <v>1225</v>
      </c>
      <c r="BU15" s="103">
        <v>11</v>
      </c>
      <c r="BV15" s="104" t="str">
        <f t="shared" si="13"/>
        <v>Matyáš Šindler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60" t="str">
        <f ca="1">IFERROR(VLOOKUP(G14,OFFSET($AG$2,,,COUNTIF($AG$2:$AG$50,"?*"),23),18,FALSE),"")</f>
        <v/>
      </c>
      <c r="H16" s="461"/>
      <c r="I16" s="461"/>
      <c r="J16" s="462" t="str">
        <f ca="1">IFERROR(VLOOKUP(G14,OFFSET($AG$2,,,COUNTIF($AG$2:$AG$50,"?*"),23),19,FALSE),"")</f>
        <v/>
      </c>
      <c r="K16" s="462"/>
      <c r="L16" s="463"/>
      <c r="S16" s="110" t="s">
        <v>320</v>
      </c>
      <c r="T16" s="102" t="s">
        <v>58</v>
      </c>
      <c r="U16" s="102">
        <v>10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6</v>
      </c>
      <c r="AC16" s="102" t="str">
        <f t="shared" ca="1" si="0"/>
        <v>ANO</v>
      </c>
      <c r="AG16" s="121" t="s">
        <v>334</v>
      </c>
      <c r="AH16" s="122"/>
      <c r="AI16" s="123"/>
      <c r="AJ16" s="123"/>
      <c r="AK16" s="123"/>
      <c r="AL16" s="124">
        <f>IF(AG16&lt;&gt;"",AJ16+AK16,"")</f>
        <v>0</v>
      </c>
      <c r="AM16" s="123" t="s">
        <v>281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9"/>
      <c r="BT16" s="104" t="s">
        <v>1226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31"/>
      <c r="B17" s="432"/>
      <c r="C17" s="432"/>
      <c r="D17" s="43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8" t="str">
        <f ca="1">IFERROR(IF(VLOOKUP(G14,OFFSET($AG$2,,,COUNTIF($AG$2:$AG$50,"?*"),23),13,FALSE)&lt;&gt;0,VLOOKUP(G14,OFFSET($AG$2,,,COUNTIF($AG$2:$AG$50,"?*"),23),13,FALSE),"?"),"")</f>
        <v/>
      </c>
      <c r="H17" s="449"/>
      <c r="I17" s="450"/>
      <c r="J17" s="451" t="str">
        <f ca="1">IFERROR(IF(VLOOKUP(G14,OFFSET($AG$2,,,COUNTIF($AG$2:$AG$50,"?*"),23),14,FALSE)&lt;&gt;0,VLOOKUP(G14,OFFSET($AG$2,,,COUNTIF($AG$2:$AG$50,"?*"),23),14,FALSE),"?"),"")</f>
        <v/>
      </c>
      <c r="K17" s="452"/>
      <c r="L17" s="7" t="str">
        <f ca="1">IFERROR(IF(VLOOKUP(G14,OFFSET($AG$2,,,COUNTIF($AG$2:$AG$50,"?*"),23),7,FALSE)&lt;&gt;0,VLOOKUP(G14,OFFSET($AG$2,,,COUNTIF($AG$2:$AG$50,"?*"),23),7,FALSE),"?"),"")</f>
        <v/>
      </c>
      <c r="M17" s="431"/>
      <c r="N17" s="432"/>
      <c r="O17" s="432"/>
      <c r="P17" s="43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322</v>
      </c>
      <c r="T17" s="102" t="s">
        <v>107</v>
      </c>
      <c r="U17" s="102">
        <v>8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1</v>
      </c>
      <c r="AC17" s="102" t="str">
        <f t="shared" ca="1" si="0"/>
        <v>ANO</v>
      </c>
      <c r="AG17" s="121" t="s">
        <v>325</v>
      </c>
      <c r="AH17" s="122"/>
      <c r="AI17" s="123"/>
      <c r="AJ17" s="123"/>
      <c r="AK17" s="123"/>
      <c r="AL17" s="124">
        <f>IF(AG17&lt;&gt;"",AJ17+AK17,"")</f>
        <v>0</v>
      </c>
      <c r="AM17" s="123" t="s">
        <v>281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9" t="s">
        <v>41</v>
      </c>
      <c r="BT17" s="104" t="s">
        <v>364</v>
      </c>
      <c r="BU17" s="103">
        <v>6</v>
      </c>
      <c r="BV17" s="104" t="str">
        <f t="shared" si="13"/>
        <v>Denis Jasiok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4" t="str">
        <f ca="1">IFERROR(IF(VLOOKUP(A17,OFFSET($AG$2,,,COUNTIF($AG$2:$AG$50,"?*"),23),2,FALSE)&lt;&gt;0,YEAR(VLOOKUP(A17,OFFSET($AG$2,,,COUNTIF($AG$2:$AG$50,"?*"),23),2,FALSE)),""),"")</f>
        <v/>
      </c>
      <c r="C18" s="425"/>
      <c r="D18" s="149" t="str">
        <f ca="1">IFERROR(VLOOKUP(A17,OFFSET($AG$2,,,COUNTIF($AG$2:$AG$50,"?*"),23),15,FALSE),"")</f>
        <v/>
      </c>
      <c r="E18" s="426" t="str">
        <f ca="1">IFERROR(VLOOKUP(A17,OFFSET($AG$2,,,COUNTIF($AG$2:$AG$50,"?*"),23),16,FALSE),"")</f>
        <v/>
      </c>
      <c r="F18" s="427"/>
      <c r="M18" s="4" t="str">
        <f ca="1">IFERROR(IF(VLOOKUP(M17,OFFSET($AG$2,,,COUNTIF($AG$2:$AG$50,"?*"),23),10,FALSE)&lt;&gt;0,VLOOKUP(M17,OFFSET($AG$2,,,COUNTIF($AG$2:$AG$50,"?*"),23),10,FALSE),""),"")</f>
        <v/>
      </c>
      <c r="N18" s="424" t="str">
        <f ca="1">IFERROR(IF(VLOOKUP(M17,OFFSET($AG$2,,,COUNTIF($AG$2:$AG$50,"?*"),23),2,FALSE)&lt;&gt;0,YEAR(VLOOKUP(M17,OFFSET($AG$2,,,COUNTIF($AG$2:$AG$50,"?*"),23),2,FALSE)),""),"")</f>
        <v/>
      </c>
      <c r="O18" s="425"/>
      <c r="P18" s="117" t="str">
        <f ca="1">IFERROR(VLOOKUP(M17,OFFSET($AG$2,,,COUNTIF($AG$2:$AG$50,"?*"),23),15,FALSE),"")</f>
        <v/>
      </c>
      <c r="Q18" s="426" t="str">
        <f ca="1">IFERROR(VLOOKUP(M17,OFFSET($AG$2,,,COUNTIF($AG$2:$AG$50,"?*"),23),16,FALSE),"")</f>
        <v/>
      </c>
      <c r="R18" s="427"/>
      <c r="S18" s="110" t="s">
        <v>328</v>
      </c>
      <c r="T18" s="102" t="s">
        <v>58</v>
      </c>
      <c r="U18" s="102">
        <v>13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-1</v>
      </c>
      <c r="AC18" s="102" t="str">
        <f t="shared" ca="1" si="0"/>
        <v>ANO</v>
      </c>
      <c r="AG18" s="121" t="s">
        <v>314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341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10 OZ, 16 (5+11), +12 ±</v>
      </c>
      <c r="AY18" s="129" t="str">
        <f t="shared" ca="1" si="2"/>
        <v>215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9"/>
      <c r="BT18" s="104" t="s">
        <v>884</v>
      </c>
      <c r="BU18" s="103">
        <v>4</v>
      </c>
      <c r="BV18" s="104" t="str">
        <f t="shared" si="13"/>
        <v>Lukáš Souček</v>
      </c>
      <c r="BW18" s="102">
        <f t="shared" si="14"/>
        <v>4</v>
      </c>
    </row>
    <row r="19" spans="1:75" ht="15" customHeight="1" x14ac:dyDescent="0.2">
      <c r="A19" s="460" t="str">
        <f ca="1">IFERROR(VLOOKUP(A17,OFFSET($AG$2,,,COUNTIF($AG$2:$AG$50,"?*"),23),18,FALSE),"")</f>
        <v/>
      </c>
      <c r="B19" s="461"/>
      <c r="C19" s="461"/>
      <c r="D19" s="462" t="str">
        <f ca="1">IFERROR(VLOOKUP(A17,OFFSET($AG$2,,,COUNTIF($AG$2:$AG$50,"?*"),23),19,FALSE),"")</f>
        <v/>
      </c>
      <c r="E19" s="462"/>
      <c r="F19" s="463"/>
      <c r="H19" s="464" t="str">
        <f>H$8</f>
        <v>VIT</v>
      </c>
      <c r="I19" s="464"/>
      <c r="J19" s="464"/>
      <c r="K19" s="464"/>
      <c r="M19" s="460" t="str">
        <f ca="1">IFERROR(VLOOKUP(M17,OFFSET($AG$2,,,COUNTIF($AG$2:$AG$50,"?*"),23),18,FALSE),"")</f>
        <v/>
      </c>
      <c r="N19" s="461"/>
      <c r="O19" s="461"/>
      <c r="P19" s="462" t="str">
        <f ca="1">IFERROR(VLOOKUP(M17,OFFSET($AG$2,,,COUNTIF($AG$2:$AG$50,"?*"),23),19,FALSE),"")</f>
        <v/>
      </c>
      <c r="Q19" s="462"/>
      <c r="R19" s="463"/>
      <c r="S19" s="110" t="s">
        <v>1468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335</v>
      </c>
      <c r="AH19" s="122"/>
      <c r="AI19" s="123"/>
      <c r="AJ19" s="123"/>
      <c r="AK19" s="123"/>
      <c r="AL19" s="124">
        <f>IF(AG19&lt;&gt;"",AJ19+AK19,"")</f>
        <v>0</v>
      </c>
      <c r="AM19" s="123" t="s">
        <v>281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9"/>
      <c r="BT19" s="104" t="s">
        <v>885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48" t="str">
        <f ca="1">IFERROR(IF(VLOOKUP(A17,OFFSET($AG$2,,,COUNTIF($AG$2:$AG$50,"?*"),23),13,FALSE)&lt;&gt;0,VLOOKUP(A17,OFFSET($AG$2,,,COUNTIF($AG$2:$AG$50,"?*"),23),13,FALSE),"?"),"")</f>
        <v/>
      </c>
      <c r="B20" s="449"/>
      <c r="C20" s="450"/>
      <c r="D20" s="451" t="str">
        <f ca="1">IFERROR(IF(VLOOKUP(A17,OFFSET($AG$2,,,COUNTIF($AG$2:$AG$50,"?*"),23),14,FALSE)&lt;&gt;0,VLOOKUP(A17,OFFSET($AG$2,,,COUNTIF($AG$2:$AG$50,"?*"),23),14,FALSE),"?"),"")</f>
        <v/>
      </c>
      <c r="E20" s="452"/>
      <c r="F20" s="7" t="str">
        <f ca="1">IFERROR(IF(VLOOKUP(A17,OFFSET($AG$2,,,COUNTIF($AG$2:$AG$50,"?*"),23),7,FALSE)&lt;&gt;0,VLOOKUP(A17,OFFSET($AG$2,,,COUNTIF($AG$2:$AG$50,"?*"),23),7,FALSE),"?"),"")</f>
        <v/>
      </c>
      <c r="H20" s="464"/>
      <c r="I20" s="464"/>
      <c r="J20" s="464"/>
      <c r="K20" s="464"/>
      <c r="M20" s="448" t="str">
        <f ca="1">IFERROR(IF(VLOOKUP(M17,OFFSET($AG$2,,,COUNTIF($AG$2:$AG$50,"?*"),23),13,FALSE)&lt;&gt;0,VLOOKUP(M17,OFFSET($AG$2,,,COUNTIF($AG$2:$AG$50,"?*"),23),13,FALSE),"?"),"")</f>
        <v/>
      </c>
      <c r="N20" s="449"/>
      <c r="O20" s="450"/>
      <c r="P20" s="451" t="str">
        <f ca="1">IFERROR(IF(VLOOKUP(M17,OFFSET($AG$2,,,COUNTIF($AG$2:$AG$50,"?*"),23),14,FALSE)&lt;&gt;0,VLOOKUP(M17,OFFSET($AG$2,,,COUNTIF($AG$2:$AG$50,"?*"),23),14,FALSE),"?"),"")</f>
        <v/>
      </c>
      <c r="Q20" s="452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1469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323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11 OZ, 5 (2+3), +11 ±</v>
      </c>
      <c r="AY20" s="129" t="str">
        <f t="shared" ca="1" si="2"/>
        <v>150 OZ, 45 (12+33)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9"/>
      <c r="BT20" s="104" t="s">
        <v>886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1223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NE</v>
      </c>
      <c r="AG21" s="121" t="s">
        <v>319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13 OZ, 6 (2+4), +14 ±</v>
      </c>
      <c r="AY21" s="129" t="str">
        <f t="shared" ca="1" si="2"/>
        <v>55 OZ, 38 (21+17)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9"/>
      <c r="BT21" s="104" t="s">
        <v>887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880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336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9" t="s">
        <v>38</v>
      </c>
      <c r="BT22" s="104" t="s">
        <v>888</v>
      </c>
      <c r="BU22" s="103">
        <v>15</v>
      </c>
      <c r="BV22" s="104" t="str">
        <f t="shared" si="13"/>
        <v>Matyáš Šindler</v>
      </c>
      <c r="BW22" s="102">
        <f t="shared" si="14"/>
        <v>15</v>
      </c>
    </row>
    <row r="23" spans="1:75" ht="15" customHeight="1" thickTop="1" thickBot="1" x14ac:dyDescent="0.25">
      <c r="A23" s="431"/>
      <c r="B23" s="432"/>
      <c r="C23" s="432"/>
      <c r="D23" s="43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5" t="s">
        <v>13</v>
      </c>
      <c r="I23" s="465"/>
      <c r="J23" s="465"/>
      <c r="K23" s="465"/>
      <c r="M23" s="431"/>
      <c r="N23" s="432"/>
      <c r="O23" s="432"/>
      <c r="P23" s="43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326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4 V, 1 P</v>
      </c>
      <c r="AY23" s="129" t="str">
        <f t="shared" ca="1" si="2"/>
        <v>150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9"/>
      <c r="BT23" s="104" t="s">
        <v>1227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4" t="str">
        <f ca="1">IFERROR(IF(VLOOKUP(A23,OFFSET($AG$2,,,COUNTIF($AG$2:$AG$50,"?*"),23),2,FALSE)&lt;&gt;0,YEAR(VLOOKUP(A23,OFFSET($AG$2,,,COUNTIF($AG$2:$AG$50,"?*"),23),2,FALSE)),""),"")</f>
        <v/>
      </c>
      <c r="C24" s="425"/>
      <c r="D24" s="117" t="str">
        <f ca="1">IFERROR(VLOOKUP(A23,OFFSET($AG$2,,,COUNTIF($AG$2:$AG$50,"?*"),23),15,FALSE),"")</f>
        <v/>
      </c>
      <c r="E24" s="426" t="str">
        <f ca="1">IFERROR(VLOOKUP(A23,OFFSET($AG$2,,,COUNTIF($AG$2:$AG$50,"?*"),23),16,FALSE),"")</f>
        <v/>
      </c>
      <c r="F24" s="427"/>
      <c r="M24" s="4" t="str">
        <f ca="1">IFERROR(IF(VLOOKUP(M23,OFFSET($AG$2,,,COUNTIF($AG$2:$AG$50,"?*"),23),10,FALSE)&lt;&gt;0,VLOOKUP(M23,OFFSET($AG$2,,,COUNTIF($AG$2:$AG$50,"?*"),23),10,FALSE),""),"")</f>
        <v/>
      </c>
      <c r="N24" s="424" t="str">
        <f ca="1">IFERROR(IF(VLOOKUP(M23,OFFSET($AG$2,,,COUNTIF($AG$2:$AG$50,"?*"),23),2,FALSE)&lt;&gt;0,YEAR(VLOOKUP(M23,OFFSET($AG$2,,,COUNTIF($AG$2:$AG$50,"?*"),23),2,FALSE)),""),"")</f>
        <v/>
      </c>
      <c r="O24" s="425"/>
      <c r="P24" s="117" t="str">
        <f ca="1">IFERROR(VLOOKUP(M23,OFFSET($AG$2,,,COUNTIF($AG$2:$AG$50,"?*"),23),15,FALSE),"")</f>
        <v/>
      </c>
      <c r="Q24" s="426" t="str">
        <f ca="1">IFERROR(VLOOKUP(M23,OFFSET($AG$2,,,COUNTIF($AG$2:$AG$50,"?*"),23),16,FALSE),"")</f>
        <v/>
      </c>
      <c r="R24" s="427"/>
      <c r="S24" s="110" t="s">
        <v>325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338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353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4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9"/>
      <c r="BT24" s="104" t="s">
        <v>891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60" t="str">
        <f ca="1">IFERROR(VLOOKUP(A23,OFFSET($AG$2,,,COUNTIF($AG$2:$AG$50,"?*"),23),18,FALSE),"")</f>
        <v/>
      </c>
      <c r="B25" s="461"/>
      <c r="C25" s="461"/>
      <c r="D25" s="462" t="str">
        <f ca="1">IFERROR(VLOOKUP(A23,OFFSET($AG$2,,,COUNTIF($AG$2:$AG$50,"?*"),23),19,FALSE),"")</f>
        <v/>
      </c>
      <c r="E25" s="462"/>
      <c r="F25" s="463"/>
      <c r="G25" s="431"/>
      <c r="H25" s="432"/>
      <c r="I25" s="432"/>
      <c r="J25" s="43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60" t="str">
        <f ca="1">IFERROR(VLOOKUP(M23,OFFSET($AG$2,,,COUNTIF($AG$2:$AG$50,"?*"),23),18,FALSE),"")</f>
        <v/>
      </c>
      <c r="N25" s="461"/>
      <c r="O25" s="461"/>
      <c r="P25" s="462" t="str">
        <f ca="1">IFERROR(VLOOKUP(M23,OFFSET($AG$2,,,COUNTIF($AG$2:$AG$50,"?*"),23),19,FALSE),"")</f>
        <v/>
      </c>
      <c r="Q25" s="462"/>
      <c r="R25" s="463"/>
      <c r="S25" s="110" t="s">
        <v>804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326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9"/>
      <c r="BT25" s="104" t="s">
        <v>889</v>
      </c>
      <c r="BU25" s="103">
        <v>9</v>
      </c>
      <c r="BV25" s="104" t="str">
        <f t="shared" si="13"/>
        <v>Adam Zubek</v>
      </c>
      <c r="BW25" s="102">
        <f t="shared" si="14"/>
        <v>9</v>
      </c>
    </row>
    <row r="26" spans="1:75" ht="15" customHeight="1" thickBot="1" x14ac:dyDescent="0.25">
      <c r="A26" s="448" t="str">
        <f ca="1">IFERROR(IF(VLOOKUP(A23,OFFSET($AG$2,,,COUNTIF($AG$2:$AG$50,"?*"),23),13,FALSE)&lt;&gt;0,VLOOKUP(A23,OFFSET($AG$2,,,COUNTIF($AG$2:$AG$50,"?*"),23),13,FALSE),"?"),"")</f>
        <v/>
      </c>
      <c r="B26" s="449"/>
      <c r="C26" s="450"/>
      <c r="D26" s="451" t="str">
        <f ca="1">IFERROR(IF(VLOOKUP(A23,OFFSET($AG$2,,,COUNTIF($AG$2:$AG$50,"?*"),23),14,FALSE)&lt;&gt;0,VLOOKUP(A23,OFFSET($AG$2,,,COUNTIF($AG$2:$AG$50,"?*"),23),14,FALSE),"?"),"")</f>
        <v/>
      </c>
      <c r="E26" s="452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4" t="str">
        <f ca="1">IFERROR(IF(VLOOKUP(G25,OFFSET($AG$2,,,COUNTIF($AG$2:$AG$50,"?*"),23),2,FALSE)&lt;&gt;0,YEAR(VLOOKUP(G25,OFFSET($AG$2,,,COUNTIF($AG$2:$AG$50,"?*"),23),2,FALSE)),""),"")</f>
        <v/>
      </c>
      <c r="I26" s="425"/>
      <c r="J26" s="117" t="str">
        <f ca="1">IFERROR(VLOOKUP(G25,OFFSET($AG$2,,,COUNTIF($AG$2:$AG$50,"?*"),23),15,FALSE),"")</f>
        <v/>
      </c>
      <c r="K26" s="426" t="str">
        <f ca="1">IFERROR(VLOOKUP(G25,OFFSET($AG$2,,,COUNTIF($AG$2:$AG$50,"?*"),23),16,FALSE),"")</f>
        <v/>
      </c>
      <c r="L26" s="427"/>
      <c r="M26" s="448" t="str">
        <f ca="1">IFERROR(IF(VLOOKUP(M23,OFFSET($AG$2,,,COUNTIF($AG$2:$AG$50,"?*"),23),13,FALSE)&lt;&gt;0,VLOOKUP(M23,OFFSET($AG$2,,,COUNTIF($AG$2:$AG$50,"?*"),23),13,FALSE),"?"),"")</f>
        <v/>
      </c>
      <c r="N26" s="449"/>
      <c r="O26" s="450"/>
      <c r="P26" s="451" t="str">
        <f ca="1">IFERROR(IF(VLOOKUP(M23,OFFSET($AG$2,,,COUNTIF($AG$2:$AG$50,"?*"),23),14,FALSE)&lt;&gt;0,VLOOKUP(M23,OFFSET($AG$2,,,COUNTIF($AG$2:$AG$50,"?*"),23),14,FALSE),"?"),"")</f>
        <v/>
      </c>
      <c r="Q26" s="452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338</v>
      </c>
      <c r="T26" s="102" t="s">
        <v>107</v>
      </c>
      <c r="U26" s="102">
        <v>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13 OZ, 26 (11+15), +23 ±</v>
      </c>
      <c r="AY26" s="129" t="str">
        <f t="shared" ca="1" si="16"/>
        <v>97 OZ, 147 (47+100)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9"/>
      <c r="BT26" s="104" t="s">
        <v>890</v>
      </c>
      <c r="BU26" s="103">
        <v>7</v>
      </c>
      <c r="BV26" s="104" t="str">
        <f t="shared" si="13"/>
        <v>Ondřej Vítovec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60" t="str">
        <f ca="1">IFERROR(VLOOKUP(G25,OFFSET($AG$2,,,COUNTIF($AG$2:$AG$50,"?*"),23),18,FALSE),"")</f>
        <v/>
      </c>
      <c r="H27" s="461"/>
      <c r="I27" s="461"/>
      <c r="J27" s="462" t="str">
        <f ca="1">IFERROR(VLOOKUP(G25,OFFSET($AG$2,,,COUNTIF($AG$2:$AG$50,"?*"),23),19,FALSE),"")</f>
        <v/>
      </c>
      <c r="K27" s="462"/>
      <c r="L27" s="463"/>
      <c r="S27" s="110" t="s">
        <v>337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322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286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8 OZ, 3 (0+3), +1 ±</v>
      </c>
      <c r="AY27" s="129" t="str">
        <f t="shared" ca="1" si="16"/>
        <v>187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9" t="s">
        <v>39</v>
      </c>
      <c r="BT27" s="104" t="s">
        <v>1466</v>
      </c>
      <c r="BU27" s="103">
        <v>6</v>
      </c>
      <c r="BV27" s="104" t="str">
        <f t="shared" si="13"/>
        <v>Rostislav Gattnar</v>
      </c>
      <c r="BW27" s="102">
        <f t="shared" si="14"/>
        <v>6</v>
      </c>
    </row>
    <row r="28" spans="1:75" ht="15" customHeight="1" thickTop="1" thickBot="1" x14ac:dyDescent="0.25">
      <c r="A28" s="431"/>
      <c r="B28" s="432"/>
      <c r="C28" s="432"/>
      <c r="D28" s="43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8" t="str">
        <f ca="1">IFERROR(IF(VLOOKUP(G25,OFFSET($AG$2,,,COUNTIF($AG$2:$AG$50,"?*"),23),13,FALSE)&lt;&gt;0,VLOOKUP(G25,OFFSET($AG$2,,,COUNTIF($AG$2:$AG$50,"?*"),23),13,FALSE),"?"),"")</f>
        <v/>
      </c>
      <c r="H28" s="449"/>
      <c r="I28" s="450"/>
      <c r="J28" s="451" t="str">
        <f ca="1">IFERROR(IF(VLOOKUP(G25,OFFSET($AG$2,,,COUNTIF($AG$2:$AG$50,"?*"),23),14,FALSE)&lt;&gt;0,VLOOKUP(G25,OFFSET($AG$2,,,COUNTIF($AG$2:$AG$50,"?*"),23),14,FALSE),"?"),"")</f>
        <v/>
      </c>
      <c r="K28" s="452"/>
      <c r="L28" s="7" t="str">
        <f ca="1">IFERROR(IF(VLOOKUP(G25,OFFSET($AG$2,,,COUNTIF($AG$2:$AG$50,"?*"),23),7,FALSE)&lt;&gt;0,VLOOKUP(G25,OFFSET($AG$2,,,COUNTIF($AG$2:$AG$50,"?*"),23),7,FALSE),"?"),"")</f>
        <v/>
      </c>
      <c r="M28" s="431"/>
      <c r="N28" s="432"/>
      <c r="O28" s="432"/>
      <c r="P28" s="43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324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339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9"/>
      <c r="BT28" s="104" t="s">
        <v>1467</v>
      </c>
      <c r="BU28" s="103">
        <v>4</v>
      </c>
      <c r="BV28" s="104" t="str">
        <f t="shared" si="13"/>
        <v>Jiří Besta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4" t="str">
        <f ca="1">IFERROR(IF(VLOOKUP(A28,OFFSET($AG$2,,,COUNTIF($AG$2:$AG$50,"?*"),23),2,FALSE)&lt;&gt;0,YEAR(VLOOKUP(A28,OFFSET($AG$2,,,COUNTIF($AG$2:$AG$50,"?*"),23),2,FALSE)),""),"")</f>
        <v/>
      </c>
      <c r="C29" s="425"/>
      <c r="D29" s="117" t="str">
        <f ca="1">IFERROR(VLOOKUP(A28,OFFSET($AG$2,,,COUNTIF($AG$2:$AG$50,"?*"),23),15,FALSE),"")</f>
        <v/>
      </c>
      <c r="E29" s="426" t="str">
        <f ca="1">IFERROR(VLOOKUP(A28,OFFSET($AG$2,,,COUNTIF($AG$2:$AG$50,"?*"),23),16,FALSE),"")</f>
        <v/>
      </c>
      <c r="F29" s="427"/>
      <c r="M29" s="4" t="str">
        <f ca="1">IFERROR(IF(VLOOKUP(M28,OFFSET($AG$2,,,COUNTIF($AG$2:$AG$50,"?*"),23),10,FALSE)&lt;&gt;0,VLOOKUP(M28,OFFSET($AG$2,,,COUNTIF($AG$2:$AG$50,"?*"),23),10,FALSE),""),"")</f>
        <v/>
      </c>
      <c r="N29" s="424" t="str">
        <f ca="1">IFERROR(IF(VLOOKUP(M28,OFFSET($AG$2,,,COUNTIF($AG$2:$AG$50,"?*"),23),2,FALSE)&lt;&gt;0,YEAR(VLOOKUP(M28,OFFSET($AG$2,,,COUNTIF($AG$2:$AG$50,"?*"),23),2,FALSE)),""),"")</f>
        <v/>
      </c>
      <c r="O29" s="425"/>
      <c r="P29" s="117" t="str">
        <f ca="1">IFERROR(VLOOKUP(M28,OFFSET($AG$2,,,COUNTIF($AG$2:$AG$50,"?*"),23),15,FALSE),"")</f>
        <v/>
      </c>
      <c r="Q29" s="426" t="str">
        <f ca="1">IFERROR(VLOOKUP(M28,OFFSET($AG$2,,,COUNTIF($AG$2:$AG$50,"?*"),23),16,FALSE),"")</f>
        <v/>
      </c>
      <c r="R29" s="427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9"/>
      <c r="BT29" s="104" t="s">
        <v>883</v>
      </c>
      <c r="BU29" s="103">
        <v>4</v>
      </c>
      <c r="BV29" s="104" t="str">
        <f t="shared" si="13"/>
        <v>Marek Bräuer</v>
      </c>
      <c r="BW29" s="102">
        <f t="shared" si="14"/>
        <v>4</v>
      </c>
    </row>
    <row r="30" spans="1:75" ht="15" customHeight="1" x14ac:dyDescent="0.2">
      <c r="A30" s="460" t="str">
        <f ca="1">IFERROR(VLOOKUP(A28,OFFSET($AG$2,,,COUNTIF($AG$2:$AG$50,"?*"),23),18,FALSE),"")</f>
        <v/>
      </c>
      <c r="B30" s="461"/>
      <c r="C30" s="461"/>
      <c r="D30" s="462" t="str">
        <f ca="1">IFERROR(VLOOKUP(A28,OFFSET($AG$2,,,COUNTIF($AG$2:$AG$50,"?*"),23),19,FALSE),"")</f>
        <v/>
      </c>
      <c r="E30" s="462"/>
      <c r="F30" s="463"/>
      <c r="H30" s="464" t="str">
        <f>H$8</f>
        <v>VIT</v>
      </c>
      <c r="I30" s="464"/>
      <c r="J30" s="464"/>
      <c r="K30" s="464"/>
      <c r="M30" s="460" t="str">
        <f ca="1">IFERROR(VLOOKUP(M28,OFFSET($AG$2,,,COUNTIF($AG$2:$AG$50,"?*"),23),18,FALSE),"")</f>
        <v/>
      </c>
      <c r="N30" s="461"/>
      <c r="O30" s="461"/>
      <c r="P30" s="462" t="str">
        <f ca="1">IFERROR(VLOOKUP(M28,OFFSET($AG$2,,,COUNTIF($AG$2:$AG$50,"?*"),23),19,FALSE),"")</f>
        <v/>
      </c>
      <c r="Q30" s="462"/>
      <c r="R30" s="46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9"/>
      <c r="BT30" s="104" t="s">
        <v>1228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48" t="str">
        <f ca="1">IFERROR(IF(VLOOKUP(A28,OFFSET($AG$2,,,COUNTIF($AG$2:$AG$50,"?*"),23),13,FALSE)&lt;&gt;0,VLOOKUP(A28,OFFSET($AG$2,,,COUNTIF($AG$2:$AG$50,"?*"),23),13,FALSE),"?"),"")</f>
        <v/>
      </c>
      <c r="B31" s="449"/>
      <c r="C31" s="450"/>
      <c r="D31" s="451" t="str">
        <f ca="1">IFERROR(IF(VLOOKUP(A28,OFFSET($AG$2,,,COUNTIF($AG$2:$AG$50,"?*"),23),14,FALSE)&lt;&gt;0,VLOOKUP(A28,OFFSET($AG$2,,,COUNTIF($AG$2:$AG$50,"?*"),23),14,FALSE),"?"),"")</f>
        <v/>
      </c>
      <c r="E31" s="452"/>
      <c r="F31" s="7" t="str">
        <f ca="1">IFERROR(IF(VLOOKUP(A28,OFFSET($AG$2,,,COUNTIF($AG$2:$AG$50,"?*"),23),7,FALSE)&lt;&gt;0,VLOOKUP(A28,OFFSET($AG$2,,,COUNTIF($AG$2:$AG$50,"?*"),23),7,FALSE),"?"),"")</f>
        <v/>
      </c>
      <c r="H31" s="464"/>
      <c r="I31" s="464"/>
      <c r="J31" s="464"/>
      <c r="K31" s="464"/>
      <c r="M31" s="448" t="str">
        <f ca="1">IFERROR(IF(VLOOKUP(M28,OFFSET($AG$2,,,COUNTIF($AG$2:$AG$50,"?*"),23),13,FALSE)&lt;&gt;0,VLOOKUP(M28,OFFSET($AG$2,,,COUNTIF($AG$2:$AG$50,"?*"),23),13,FALSE),"?"),"")</f>
        <v/>
      </c>
      <c r="N31" s="449"/>
      <c r="O31" s="450"/>
      <c r="P31" s="451" t="str">
        <f ca="1">IFERROR(IF(VLOOKUP(M28,OFFSET($AG$2,,,COUNTIF($AG$2:$AG$50,"?*"),23),14,FALSE)&lt;&gt;0,VLOOKUP(M28,OFFSET($AG$2,,,COUNTIF($AG$2:$AG$50,"?*"),23),14,FALSE),"?"),"")</f>
        <v/>
      </c>
      <c r="Q31" s="452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9"/>
      <c r="BT31" s="104" t="s">
        <v>1229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31"/>
      <c r="B34" s="432"/>
      <c r="C34" s="432"/>
      <c r="D34" s="43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9" t="s">
        <v>16</v>
      </c>
      <c r="J34" s="431"/>
      <c r="K34" s="432"/>
      <c r="L34" s="432"/>
      <c r="M34" s="432"/>
      <c r="N34" s="432"/>
      <c r="O34" s="432"/>
      <c r="P34" s="43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4" t="str">
        <f ca="1">IFERROR(IF(VLOOKUP(A34,OFFSET($AG$2,,,COUNTIF($AG$2:$AG$50,"?*"),23),2,FALSE)&lt;&gt;0,YEAR(VLOOKUP(A34,OFFSET($AG$2,,,COUNTIF($AG$2:$AG$50,"?*"),23),2,FALSE)),""),"")</f>
        <v/>
      </c>
      <c r="C35" s="425"/>
      <c r="D35" s="117" t="str">
        <f ca="1">IFERROR(VLOOKUP(A34,OFFSET($AG$2,,,COUNTIF($AG$2:$AG$50,"?*"),23),15,FALSE),"")</f>
        <v/>
      </c>
      <c r="E35" s="426" t="str">
        <f ca="1">IFERROR(VLOOKUP(A34,OFFSET($AG$2,,,COUNTIF($AG$2:$AG$50,"?*"),23),16,FALSE),"")</f>
        <v/>
      </c>
      <c r="F35" s="427"/>
      <c r="H35" s="459"/>
      <c r="J35" s="4" t="str">
        <f ca="1">IFERROR(IF(VLOOKUP(J34,OFFSET($AG$2,,,COUNTIF($AG$2:$AG$50,"?*"),23),10,FALSE)&lt;&gt;0,VLOOKUP(J34,OFFSET($AG$2,,,COUNTIF($AG$2:$AG$50,"?*"),23),10,FALSE),""),"")</f>
        <v/>
      </c>
      <c r="K35" s="425" t="str">
        <f ca="1">IFERROR(IF(VLOOKUP(J34,OFFSET($AG$2,,,COUNTIF($AG$2:$AG$50,"?*"),23),2,FALSE)&lt;&gt;0,YEAR(VLOOKUP(J34,OFFSET($AG$2,,,COUNTIF($AG$2:$AG$50,"?*"),23),2,FALSE)),""),"")</f>
        <v/>
      </c>
      <c r="L35" s="433"/>
      <c r="M35" s="118" t="str">
        <f ca="1">IFERROR(VLOOKUP(J34,OFFSET($AG$2,,,COUNTIF($AG$2:$AG$50,"?*"),23),15,FALSE),"")</f>
        <v/>
      </c>
      <c r="N35" s="433" t="str">
        <f ca="1">IFERROR(VLOOKUP(J34,OFFSET($AG$2,,,COUNTIF($AG$2:$AG$50,"?*"),23),16,FALSE),"")</f>
        <v/>
      </c>
      <c r="O35" s="433"/>
      <c r="P35" s="433" t="str">
        <f ca="1">IFERROR(VLOOKUP(J34,OFFSET($AG$2,,,COUNTIF($AG$2:$AG$50,"?*"),23),18,FALSE),"")</f>
        <v/>
      </c>
      <c r="Q35" s="433"/>
      <c r="R35" s="434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8" t="str">
        <f ca="1">IFERROR(VLOOKUP(A34,OFFSET($AG$2,,,COUNTIF($AG$2:$AG$50,"?*"),23),18,FALSE),"")</f>
        <v/>
      </c>
      <c r="C36" s="428"/>
      <c r="D36" s="429" t="str">
        <f ca="1">IFERROR(VLOOKUP(A34,OFFSET($S$45,,,COUNTIF($S$45:$S$50,"?*"),14),5,FALSE),"")</f>
        <v/>
      </c>
      <c r="E36" s="430"/>
      <c r="F36" s="17" t="str">
        <f ca="1">IFERROR(VLOOKUP(A34,OFFSET($S$45,,,COUNTIF($S$45:$S$50,"?*"),14),14,FALSE),"")</f>
        <v/>
      </c>
      <c r="H36" s="459"/>
      <c r="J36" s="18" t="str">
        <f ca="1">IFERROR(IF(VLOOKUP(J34,OFFSET($AG$2,,,COUNTIF($AG$2:$AG$50,"?*"),23),7,FALSE)&lt;&gt;0,VLOOKUP(J34,OFFSET($AG$2,,,COUNTIF($AG$2:$AG$50,"?*"),23),7,FALSE),"?"),"")</f>
        <v/>
      </c>
      <c r="K36" s="435" t="str">
        <f ca="1">IFERROR(VLOOKUP(J34,OFFSET($AG$2,,,COUNTIF($AG$2:$AG$50,"?*"),23),19,FALSE),"")</f>
        <v/>
      </c>
      <c r="L36" s="435"/>
      <c r="M36" s="435"/>
      <c r="N36" s="436" t="str">
        <f ca="1">IFERROR(IF(VLOOKUP(J34,OFFSET($AG$2,,,COUNTIF($AG$2:$AG$50,"?*"),23),13,FALSE)&lt;&gt;0,VLOOKUP(J34,OFFSET($AG$2,,,COUNTIF($AG$2:$AG$50,"?*"),23),13,FALSE),"?"),"")</f>
        <v/>
      </c>
      <c r="O36" s="436"/>
      <c r="P36" s="436"/>
      <c r="Q36" s="435" t="str">
        <f ca="1">IFERROR(IF(VLOOKUP(J34,OFFSET($AG$2,,,COUNTIF($AG$2:$AG$50,"?*"),23),14,FALSE)&lt;&gt;0,VLOOKUP(J34,OFFSET($AG$2,,,COUNTIF($AG$2:$AG$50,"?*"),23),14,FALSE),"?"),"")</f>
        <v/>
      </c>
      <c r="R36" s="437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3" t="str">
        <f ca="1">IFERROR(VLOOKUP(A34,OFFSET($S$45,,,COUNTIF($S$45:$S$50,"?*"),14),3,FALSE),"")</f>
        <v/>
      </c>
      <c r="B37" s="454"/>
      <c r="C37" s="455" t="str">
        <f ca="1">IFERROR(VLOOKUP(A34,OFFSET($S$45,,,COUNTIF($S$45:$S$50,"?*"),14),13,FALSE),"")</f>
        <v/>
      </c>
      <c r="D37" s="456"/>
      <c r="E37" s="457" t="str">
        <f ca="1">IFERROR(VLOOKUP(A34,OFFSET($AG$2,,,COUNTIF($AG$2:$AG$50,"?*"),23),19,FALSE),"")</f>
        <v/>
      </c>
      <c r="F37" s="458"/>
      <c r="H37" s="459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8" t="str">
        <f ca="1">IFERROR(IF(VLOOKUP(A34,OFFSET($AG$2,,,COUNTIF($AG$2:$AG$50,"?*"),23),13,FALSE)&lt;&gt;0,VLOOKUP(A34,OFFSET($AG$2,,,COUNTIF($AG$2:$AG$50,"?*"),23),13,FALSE),"?"),"")</f>
        <v/>
      </c>
      <c r="B38" s="449"/>
      <c r="C38" s="450"/>
      <c r="D38" s="451" t="str">
        <f ca="1">IFERROR(IF(VLOOKUP(A34,OFFSET($AG$2,,,COUNTIF($AG$2:$AG$50,"?*"),23),14,FALSE)&lt;&gt;0,VLOOKUP(A34,OFFSET($AG$2,,,COUNTIF($AG$2:$AG$50,"?*"),23),14,FALSE),"?"),"")</f>
        <v/>
      </c>
      <c r="E38" s="452"/>
      <c r="F38" s="19" t="str">
        <f ca="1">IFERROR(VLOOKUP(A34,OFFSET($S$45,,,COUNTIF($S$45:$S$50,"?*"),14),6,FALSE),"")</f>
        <v/>
      </c>
      <c r="H38" s="459"/>
      <c r="J38" s="431"/>
      <c r="K38" s="432"/>
      <c r="L38" s="432"/>
      <c r="M38" s="432"/>
      <c r="N38" s="432"/>
      <c r="O38" s="432"/>
      <c r="P38" s="43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9"/>
      <c r="J39" s="4" t="str">
        <f ca="1">IFERROR(IF(VLOOKUP(J38,OFFSET($AG$2,,,COUNTIF($AG$2:$AG$50,"?*"),23),10,FALSE)&lt;&gt;0,VLOOKUP(J38,OFFSET($AG$2,,,COUNTIF($AG$2:$AG$50,"?*"),23),10,FALSE),""),"")</f>
        <v/>
      </c>
      <c r="K39" s="425" t="str">
        <f ca="1">IFERROR(IF(VLOOKUP(J38,OFFSET($AG$2,,,COUNTIF($AG$2:$AG$50,"?*"),23),2,FALSE)&lt;&gt;0,YEAR(VLOOKUP(J38,OFFSET($AG$2,,,COUNTIF($AG$2:$AG$50,"?*"),23),2,FALSE)),""),"")</f>
        <v/>
      </c>
      <c r="L39" s="433"/>
      <c r="M39" s="150" t="str">
        <f ca="1">IFERROR(VLOOKUP(J38,OFFSET($AG$2,,,COUNTIF($AG$2:$AG$50,"?*"),23),15,FALSE),"")</f>
        <v/>
      </c>
      <c r="N39" s="433" t="str">
        <f ca="1">IFERROR(VLOOKUP(J38,OFFSET($AG$2,,,COUNTIF($AG$2:$AG$50,"?*"),23),16,FALSE),"")</f>
        <v/>
      </c>
      <c r="O39" s="433"/>
      <c r="P39" s="433" t="str">
        <f ca="1">IFERROR(VLOOKUP(J38,OFFSET($AG$2,,,COUNTIF($AG$2:$AG$50,"?*"),23),18,FALSE),"")</f>
        <v/>
      </c>
      <c r="Q39" s="433"/>
      <c r="R39" s="434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31"/>
      <c r="B40" s="432"/>
      <c r="C40" s="432"/>
      <c r="D40" s="43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9"/>
      <c r="J40" s="18" t="str">
        <f ca="1">IFERROR(IF(VLOOKUP(J38,OFFSET($AG$2,,,COUNTIF($AG$2:$AG$50,"?*"),23),7,FALSE)&lt;&gt;0,VLOOKUP(J38,OFFSET($AG$2,,,COUNTIF($AG$2:$AG$50,"?*"),23),7,FALSE),"?"),"")</f>
        <v/>
      </c>
      <c r="K40" s="435" t="str">
        <f ca="1">IFERROR(VLOOKUP(J38,OFFSET($AG$2,,,COUNTIF($AG$2:$AG$50,"?*"),23),19,FALSE),"")</f>
        <v/>
      </c>
      <c r="L40" s="435"/>
      <c r="M40" s="435"/>
      <c r="N40" s="436" t="str">
        <f ca="1">IFERROR(IF(VLOOKUP(J38,OFFSET($AG$2,,,COUNTIF($AG$2:$AG$50,"?*"),23),13,FALSE)&lt;&gt;0,VLOOKUP(J38,OFFSET($AG$2,,,COUNTIF($AG$2:$AG$50,"?*"),23),13,FALSE),"?"),"")</f>
        <v/>
      </c>
      <c r="O40" s="436"/>
      <c r="P40" s="436"/>
      <c r="Q40" s="435" t="str">
        <f ca="1">IFERROR(IF(VLOOKUP(J38,OFFSET($AG$2,,,COUNTIF($AG$2:$AG$50,"?*"),23),14,FALSE)&lt;&gt;0,VLOOKUP(J38,OFFSET($AG$2,,,COUNTIF($AG$2:$AG$50,"?*"),23),14,FALSE),"?"),"")</f>
        <v/>
      </c>
      <c r="R40" s="437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4" t="str">
        <f ca="1">IFERROR(IF(VLOOKUP(A40,OFFSET($AG$2,,,COUNTIF($AG$2:$AG$50,"?*"),23),2,FALSE)&lt;&gt;0,YEAR(VLOOKUP(A40,OFFSET($AG$2,,,COUNTIF($AG$2:$AG$50,"?*"),23),2,FALSE)),""),"")</f>
        <v/>
      </c>
      <c r="C41" s="425"/>
      <c r="D41" s="117" t="str">
        <f ca="1">IFERROR(VLOOKUP(A40,OFFSET($AG$2,,,COUNTIF($AG$2:$AG$50,"?*"),23),15,FALSE),"")</f>
        <v/>
      </c>
      <c r="E41" s="426" t="str">
        <f ca="1">IFERROR(VLOOKUP(A40,OFFSET($AG$2,,,COUNTIF($AG$2:$AG$50,"?*"),23),16,FALSE),"")</f>
        <v/>
      </c>
      <c r="F41" s="427"/>
      <c r="H41" s="459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8" t="str">
        <f ca="1">IFERROR(VLOOKUP(A40,OFFSET($AG$2,,,COUNTIF($AG$2:$AG$50,"?*"),23),18,FALSE),"")</f>
        <v/>
      </c>
      <c r="C42" s="428"/>
      <c r="D42" s="429" t="str">
        <f ca="1">IFERROR(VLOOKUP(A40,OFFSET($S$45,,,COUNTIF($S$45:$S$50,"?*"),14),5,FALSE),"")</f>
        <v/>
      </c>
      <c r="E42" s="430"/>
      <c r="F42" s="17" t="str">
        <f ca="1">IFERROR(VLOOKUP(A40,OFFSET($S$45,,,COUNTIF($S$45:$S$50,"?*"),14),14,FALSE),"")</f>
        <v/>
      </c>
      <c r="H42" s="459"/>
      <c r="J42" s="431"/>
      <c r="K42" s="432"/>
      <c r="L42" s="432"/>
      <c r="M42" s="432"/>
      <c r="N42" s="432"/>
      <c r="O42" s="432"/>
      <c r="P42" s="43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3" t="str">
        <f ca="1">IFERROR(VLOOKUP(A40,OFFSET($S$45,,,COUNTIF($S$45:$S$50,"?*"),14),3,FALSE),"")</f>
        <v/>
      </c>
      <c r="B43" s="454"/>
      <c r="C43" s="455" t="str">
        <f ca="1">IFERROR(VLOOKUP(A40,OFFSET($S$45,,,COUNTIF($S$45:$S$50,"?*"),14),13,FALSE),"")</f>
        <v/>
      </c>
      <c r="D43" s="456"/>
      <c r="E43" s="457" t="str">
        <f ca="1">IFERROR(VLOOKUP(A40,OFFSET($AG$2,,,COUNTIF($AG$2:$AG$50,"?*"),23),19,FALSE),"")</f>
        <v/>
      </c>
      <c r="F43" s="458"/>
      <c r="H43" s="459"/>
      <c r="J43" s="4" t="str">
        <f ca="1">IFERROR(IF(VLOOKUP(J42,OFFSET($AG$2,,,COUNTIF($AG$2:$AG$50,"?*"),23),10,FALSE)&lt;&gt;0,VLOOKUP(J42,OFFSET($AG$2,,,COUNTIF($AG$2:$AG$50,"?*"),23),10,FALSE),""),"")</f>
        <v/>
      </c>
      <c r="K43" s="425" t="str">
        <f ca="1">IFERROR(IF(VLOOKUP(J42,OFFSET($AG$2,,,COUNTIF($AG$2:$AG$50,"?*"),23),2,FALSE)&lt;&gt;0,YEAR(VLOOKUP(J42,OFFSET($AG$2,,,COUNTIF($AG$2:$AG$50,"?*"),23),2,FALSE)),""),"")</f>
        <v/>
      </c>
      <c r="L43" s="433"/>
      <c r="M43" s="150" t="str">
        <f ca="1">IFERROR(VLOOKUP(J42,OFFSET($AG$2,,,COUNTIF($AG$2:$AG$50,"?*"),23),15,FALSE),"")</f>
        <v/>
      </c>
      <c r="N43" s="433" t="str">
        <f ca="1">IFERROR(VLOOKUP(J42,OFFSET($AG$2,,,COUNTIF($AG$2:$AG$50,"?*"),23),16,FALSE),"")</f>
        <v/>
      </c>
      <c r="O43" s="433"/>
      <c r="P43" s="433" t="str">
        <f ca="1">IFERROR(VLOOKUP(J42,OFFSET($AG$2,,,COUNTIF($AG$2:$AG$50,"?*"),23),18,FALSE),"")</f>
        <v/>
      </c>
      <c r="Q43" s="433"/>
      <c r="R43" s="434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8" t="str">
        <f ca="1">IFERROR(IF(VLOOKUP(A40,OFFSET($AG$2,,,COUNTIF($AG$2:$AG$50,"?*"),23),13,FALSE)&lt;&gt;0,VLOOKUP(A40,OFFSET($AG$2,,,COUNTIF($AG$2:$AG$50,"?*"),23),13,FALSE),"?"),"")</f>
        <v/>
      </c>
      <c r="B44" s="449"/>
      <c r="C44" s="450"/>
      <c r="D44" s="451" t="str">
        <f ca="1">IFERROR(IF(VLOOKUP(A40,OFFSET($AG$2,,,COUNTIF($AG$2:$AG$50,"?*"),23),14,FALSE)&lt;&gt;0,VLOOKUP(A40,OFFSET($AG$2,,,COUNTIF($AG$2:$AG$50,"?*"),23),14,FALSE),"?"),"")</f>
        <v/>
      </c>
      <c r="E44" s="452"/>
      <c r="F44" s="19" t="str">
        <f ca="1">IFERROR(VLOOKUP(A40,OFFSET($S$45,,,COUNTIF($S$45:$S$50,"?*"),14),6,FALSE),"")</f>
        <v/>
      </c>
      <c r="H44" s="459"/>
      <c r="J44" s="18" t="str">
        <f ca="1">IFERROR(IF(VLOOKUP(J42,OFFSET($AG$2,,,COUNTIF($AG$2:$AG$50,"?*"),23),7,FALSE)&lt;&gt;0,VLOOKUP(J42,OFFSET($AG$2,,,COUNTIF($AG$2:$AG$50,"?*"),23),7,FALSE),"?"),"")</f>
        <v/>
      </c>
      <c r="K44" s="435" t="str">
        <f ca="1">IFERROR(VLOOKUP(J42,OFFSET($AG$2,,,COUNTIF($AG$2:$AG$50,"?*"),23),19,FALSE),"")</f>
        <v/>
      </c>
      <c r="L44" s="435"/>
      <c r="M44" s="435"/>
      <c r="N44" s="436" t="str">
        <f ca="1">IFERROR(IF(VLOOKUP(J42,OFFSET($AG$2,,,COUNTIF($AG$2:$AG$50,"?*"),23),13,FALSE)&lt;&gt;0,VLOOKUP(J42,OFFSET($AG$2,,,COUNTIF($AG$2:$AG$50,"?*"),23),13,FALSE),"?"),"")</f>
        <v/>
      </c>
      <c r="O44" s="436"/>
      <c r="P44" s="436"/>
      <c r="Q44" s="435" t="str">
        <f ca="1">IFERROR(IF(VLOOKUP(J42,OFFSET($AG$2,,,COUNTIF($AG$2:$AG$50,"?*"),23),14,FALSE)&lt;&gt;0,VLOOKUP(J42,OFFSET($AG$2,,,COUNTIF($AG$2:$AG$50,"?*"),23),14,FALSE),"?"),"")</f>
        <v/>
      </c>
      <c r="R44" s="437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324</v>
      </c>
      <c r="T45" s="102">
        <v>8</v>
      </c>
      <c r="U45" s="112">
        <v>476.5</v>
      </c>
      <c r="V45" s="102">
        <v>6</v>
      </c>
      <c r="W45" s="102">
        <v>33</v>
      </c>
      <c r="X45" s="102">
        <v>0</v>
      </c>
      <c r="Y45" s="102">
        <v>158</v>
      </c>
      <c r="Z45" s="102">
        <v>0</v>
      </c>
      <c r="AA45" s="102">
        <v>2</v>
      </c>
      <c r="AB45" s="102">
        <v>125</v>
      </c>
      <c r="AC45" s="102">
        <v>0</v>
      </c>
      <c r="AD45" s="102">
        <v>0</v>
      </c>
      <c r="AE45" s="112">
        <f>IF(S45&lt;&gt;"",IF(T45&gt;0,W45/(U45/60),0),"")</f>
        <v>4.1552990556138507</v>
      </c>
      <c r="AF45" s="112">
        <f>IF(S45&lt;&gt;"",IF(Y45&gt;0,(AB45/Y45)*100,"-"),"")</f>
        <v>79.113924050632917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337</v>
      </c>
      <c r="T46" s="102">
        <v>5</v>
      </c>
      <c r="U46" s="112">
        <v>300</v>
      </c>
      <c r="V46" s="102">
        <v>4</v>
      </c>
      <c r="W46" s="102">
        <v>22</v>
      </c>
      <c r="X46" s="102">
        <v>0</v>
      </c>
      <c r="Y46" s="102">
        <v>86</v>
      </c>
      <c r="Z46" s="102">
        <v>0</v>
      </c>
      <c r="AA46" s="102">
        <v>1</v>
      </c>
      <c r="AB46" s="102">
        <v>64</v>
      </c>
      <c r="AC46" s="102">
        <v>0</v>
      </c>
      <c r="AD46" s="102">
        <v>0</v>
      </c>
      <c r="AE46" s="112">
        <f t="shared" ref="AE46:AE50" si="23">IF(S46&lt;&gt;"",IF(T46&gt;0,W46/(U46/60),0),"")</f>
        <v>4.4000000000000004</v>
      </c>
      <c r="AF46" s="112">
        <f t="shared" ref="AF46:AF50" si="24">IF(S46&lt;&gt;"",IF(Y46&gt;0,(AB46/Y46)*100,"-"),"")</f>
        <v>74.418604651162795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20"/>
      <c r="B47" s="421"/>
      <c r="C47" s="421"/>
      <c r="D47" s="421"/>
      <c r="E47" s="422" t="str">
        <f ca="1">IFERROR(VLOOKUP(A47,OFFSET($BN$2,,,COUNTIF($BN$2:$BN$11,"?*"),5),3,FALSE),"")</f>
        <v/>
      </c>
      <c r="F47" s="422"/>
      <c r="G47" s="422"/>
      <c r="H47" s="422"/>
      <c r="I47" s="423"/>
      <c r="J47" s="420"/>
      <c r="K47" s="421"/>
      <c r="L47" s="421"/>
      <c r="M47" s="421"/>
      <c r="N47" s="422" t="str">
        <f ca="1">IFERROR(VLOOKUP(J47,OFFSET($BN$2,,,COUNTIF($BN$2:$BN$11,"?*"),5),3,FALSE),"")</f>
        <v/>
      </c>
      <c r="O47" s="422"/>
      <c r="P47" s="422"/>
      <c r="Q47" s="422"/>
      <c r="R47" s="423"/>
      <c r="S47" s="111" t="s">
        <v>325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8" t="str">
        <f ca="1">IFERROR(VLOOKUP(A47,OFFSET($BN$2,,,COUNTIF($BN$2:$BN$11,"?*"),5),5,FALSE),"")</f>
        <v/>
      </c>
      <c r="B48" s="440" t="str">
        <f ca="1">IFERROR(IF(VLOOKUP(A47,OFFSET($BN$2,,,COUNTIF($BN$2:$BN$11,"?*"),5),4,FALSE)&lt;&gt;0,VLOOKUP(A47,OFFSET($BN$2,,,COUNTIF($BN$2:$BN$11,"?*"),5),4,FALSE),"-"),"")</f>
        <v/>
      </c>
      <c r="C48" s="440"/>
      <c r="D48" s="440"/>
      <c r="E48" s="440"/>
      <c r="F48" s="440"/>
      <c r="G48" s="440"/>
      <c r="H48" s="440"/>
      <c r="I48" s="441"/>
      <c r="J48" s="119" t="str">
        <f ca="1">IFERROR(VLOOKUP(J47,OFFSET($BN$2,,,COUNTIF($BN$2:$BN$11,"?*"),5),5,FALSE),"")</f>
        <v/>
      </c>
      <c r="K48" s="444" t="str">
        <f ca="1">IFERROR(IF(VLOOKUP(J47,OFFSET($BN$2,,,COUNTIF($BN$2:$BN$11,"?*"),5),4,FALSE)&lt;&gt;0,VLOOKUP(J47,OFFSET($BN$2,,,COUNTIF($BN$2:$BN$11,"?*"),5),4,FALSE),"-"),"")</f>
        <v/>
      </c>
      <c r="L48" s="444"/>
      <c r="M48" s="444"/>
      <c r="N48" s="444"/>
      <c r="O48" s="444"/>
      <c r="P48" s="444"/>
      <c r="Q48" s="444"/>
      <c r="R48" s="445"/>
      <c r="S48" s="111" t="s">
        <v>880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8"/>
      <c r="B49" s="440"/>
      <c r="C49" s="440"/>
      <c r="D49" s="440"/>
      <c r="E49" s="440"/>
      <c r="F49" s="440"/>
      <c r="G49" s="440"/>
      <c r="H49" s="440"/>
      <c r="I49" s="441"/>
      <c r="J49" s="446"/>
      <c r="K49" s="447"/>
      <c r="L49" s="447"/>
      <c r="M49" s="447"/>
      <c r="N49" s="422" t="str">
        <f ca="1">IFERROR(VLOOKUP(J49,OFFSET($BN$2,,,COUNTIF($BN$2:$BN$11,"?*"),5),3,FALSE),"")</f>
        <v/>
      </c>
      <c r="O49" s="422"/>
      <c r="P49" s="422"/>
      <c r="Q49" s="422"/>
      <c r="R49" s="423"/>
      <c r="S49" s="111" t="s">
        <v>804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9"/>
      <c r="B50" s="442"/>
      <c r="C50" s="442"/>
      <c r="D50" s="442"/>
      <c r="E50" s="442"/>
      <c r="F50" s="442"/>
      <c r="G50" s="442"/>
      <c r="H50" s="442"/>
      <c r="I50" s="443"/>
      <c r="J50" s="119" t="str">
        <f ca="1">IFERROR(VLOOKUP(J49,OFFSET($BN$2,,,COUNTIF($BN$2:$BN$11,"?*"),5),5,FALSE),"")</f>
        <v/>
      </c>
      <c r="K50" s="444" t="str">
        <f ca="1">IFERROR(IF(VLOOKUP(J49,OFFSET($BN$2,,,COUNTIF($BN$2:$BN$11,"?*"),5),4,FALSE)&lt;&gt;0,VLOOKUP(J49,OFFSET($BN$2,,,COUNTIF($BN$2:$BN$11,"?*"),5),4,FALSE),"-"),"")</f>
        <v/>
      </c>
      <c r="L50" s="444"/>
      <c r="M50" s="444"/>
      <c r="N50" s="444"/>
      <c r="O50" s="444"/>
      <c r="P50" s="444"/>
      <c r="Q50" s="444"/>
      <c r="R50" s="445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2021-11-14T16:28:54Z</cp:lastPrinted>
  <dcterms:created xsi:type="dcterms:W3CDTF">2021-09-13T20:56:50Z</dcterms:created>
  <dcterms:modified xsi:type="dcterms:W3CDTF">2021-11-14T16:29:06Z</dcterms:modified>
</cp:coreProperties>
</file>